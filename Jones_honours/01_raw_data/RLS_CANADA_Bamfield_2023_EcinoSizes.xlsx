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schuster/Desktop/RLS/RLS Bamfield/2023/"/>
    </mc:Choice>
  </mc:AlternateContent>
  <xr:revisionPtr revIDLastSave="9" documentId="13_ncr:1_{B485BEE0-AA2C-B047-ABDD-2F87536D7145}" xr6:coauthVersionLast="47" xr6:coauthVersionMax="47" xr10:uidLastSave="{B00AB5D1-0354-42AF-904F-089EF5925837}"/>
  <bookViews>
    <workbookView xWindow="1100" yWindow="500" windowWidth="25380" windowHeight="14920" firstSheet="1" activeTab="1" xr2:uid="{5F71316C-C71C-0644-BD65-7FF3F1DFBF58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1" hidden="1">Sheet2!$D$1:$D$678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3" i="2" l="1"/>
  <c r="T84" i="2"/>
  <c r="T85" i="2"/>
  <c r="T86" i="2"/>
  <c r="T87" i="2"/>
  <c r="T211" i="2" l="1"/>
  <c r="T212" i="2"/>
  <c r="T213" i="2"/>
  <c r="T214" i="2"/>
  <c r="T215" i="2"/>
  <c r="T216" i="2"/>
  <c r="T217" i="2"/>
  <c r="T218" i="2"/>
  <c r="T219" i="2"/>
  <c r="T220" i="2"/>
  <c r="T221" i="2"/>
  <c r="T222" i="2"/>
  <c r="T223" i="2"/>
  <c r="T267" i="2"/>
  <c r="T268" i="2"/>
  <c r="T269" i="2"/>
  <c r="T270" i="2"/>
  <c r="T271" i="2"/>
  <c r="T272" i="2"/>
  <c r="T273" i="2"/>
  <c r="T274" i="2"/>
  <c r="T275" i="2"/>
  <c r="T276" i="2"/>
  <c r="T257" i="2"/>
  <c r="T258" i="2"/>
  <c r="T259" i="2"/>
  <c r="T260" i="2"/>
  <c r="T261" i="2"/>
  <c r="T262" i="2"/>
  <c r="T263" i="2"/>
  <c r="T264" i="2"/>
  <c r="T265" i="2"/>
  <c r="T266" i="2"/>
  <c r="T101" i="2"/>
  <c r="T102" i="2"/>
  <c r="T103" i="2"/>
  <c r="T104" i="2"/>
  <c r="T105" i="2"/>
  <c r="T106" i="2"/>
  <c r="T107" i="2"/>
  <c r="T108" i="2"/>
  <c r="T68" i="2"/>
  <c r="T69" i="2"/>
  <c r="T70" i="2"/>
  <c r="T71" i="2"/>
  <c r="T72" i="2"/>
  <c r="T73" i="2"/>
  <c r="T74" i="2"/>
  <c r="T75" i="2"/>
  <c r="T76" i="2"/>
  <c r="T60" i="2"/>
  <c r="T56" i="2"/>
  <c r="T57" i="2"/>
  <c r="T58" i="2"/>
  <c r="T96" i="2"/>
  <c r="T171" i="2" l="1"/>
  <c r="T172" i="2"/>
  <c r="T173" i="2"/>
  <c r="T174" i="2"/>
  <c r="T175" i="2"/>
  <c r="T176" i="2"/>
  <c r="T177" i="2"/>
  <c r="T178" i="2"/>
  <c r="T179" i="2"/>
  <c r="T180" i="2"/>
  <c r="T181" i="2"/>
  <c r="T182" i="2"/>
  <c r="T183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96" i="2" l="1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195" i="2"/>
  <c r="T185" i="2"/>
  <c r="T186" i="2"/>
  <c r="T187" i="2"/>
  <c r="T188" i="2"/>
  <c r="T189" i="2"/>
  <c r="T190" i="2"/>
  <c r="T191" i="2"/>
  <c r="T192" i="2"/>
  <c r="T193" i="2"/>
  <c r="T194" i="2"/>
  <c r="T77" i="2"/>
  <c r="T78" i="2"/>
  <c r="T79" i="2"/>
  <c r="T80" i="2"/>
  <c r="T81" i="2"/>
  <c r="T82" i="2"/>
  <c r="T89" i="2"/>
  <c r="T90" i="2"/>
  <c r="T91" i="2"/>
  <c r="T92" i="2"/>
  <c r="T93" i="2"/>
  <c r="T94" i="2"/>
  <c r="T95" i="2"/>
  <c r="T97" i="2"/>
  <c r="T99" i="2"/>
  <c r="T100" i="2"/>
  <c r="T109" i="2"/>
  <c r="T11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155" i="2"/>
  <c r="T184" i="2"/>
  <c r="T210" i="2"/>
  <c r="T224" i="2"/>
  <c r="T25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135" i="2" l="1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28" i="2" l="1"/>
  <c r="T129" i="2"/>
  <c r="T126" i="2"/>
  <c r="T127" i="2"/>
  <c r="T130" i="2"/>
  <c r="T131" i="2"/>
  <c r="T123" i="2"/>
  <c r="T124" i="2"/>
  <c r="T125" i="2"/>
  <c r="T119" i="2"/>
  <c r="T117" i="2"/>
  <c r="T118" i="2"/>
  <c r="T120" i="2"/>
  <c r="T121" i="2"/>
  <c r="T122" i="2"/>
  <c r="T132" i="2"/>
  <c r="T133" i="2"/>
  <c r="T134" i="2"/>
  <c r="T116" i="2"/>
  <c r="T111" i="2"/>
  <c r="T112" i="2"/>
  <c r="T113" i="2"/>
  <c r="T114" i="2"/>
  <c r="T115" i="2"/>
  <c r="T37" i="2" l="1"/>
  <c r="T34" i="2"/>
  <c r="T35" i="2"/>
  <c r="T36" i="2"/>
  <c r="T44" i="2"/>
  <c r="T13" i="2"/>
  <c r="T14" i="2"/>
  <c r="T10" i="2"/>
  <c r="T11" i="2"/>
  <c r="T12" i="2"/>
  <c r="T6" i="2"/>
  <c r="T7" i="2"/>
  <c r="T20" i="2" l="1"/>
  <c r="T17" i="2"/>
  <c r="T4" i="2" l="1"/>
  <c r="T5" i="2"/>
  <c r="T8" i="2"/>
  <c r="T9" i="2"/>
  <c r="T15" i="2"/>
  <c r="T16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8" i="2"/>
  <c r="T39" i="2"/>
  <c r="T40" i="2"/>
  <c r="T41" i="2"/>
  <c r="T42" i="2"/>
  <c r="T43" i="2"/>
  <c r="T45" i="2"/>
  <c r="T46" i="2"/>
  <c r="T47" i="2"/>
  <c r="T48" i="2"/>
  <c r="T49" i="2"/>
  <c r="T50" i="2"/>
  <c r="T51" i="2"/>
  <c r="T52" i="2"/>
  <c r="T53" i="2"/>
  <c r="T54" i="2"/>
  <c r="T55" i="2"/>
  <c r="T59" i="2"/>
  <c r="T61" i="2"/>
  <c r="T62" i="2"/>
  <c r="T63" i="2"/>
  <c r="T64" i="2"/>
  <c r="T65" i="2"/>
  <c r="T66" i="2"/>
  <c r="T67" i="2"/>
  <c r="T88" i="2"/>
  <c r="T98" i="2"/>
  <c r="T3" i="2"/>
  <c r="AS1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D4" i="1"/>
  <c r="G4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R3" i="1"/>
  <c r="G3" i="1"/>
  <c r="F3" i="1"/>
  <c r="E3" i="1"/>
  <c r="A3" i="1"/>
  <c r="A4" i="1" s="1"/>
  <c r="S2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T2" i="2" l="1"/>
  <c r="A4" i="2"/>
  <c r="R2" i="1"/>
  <c r="A5" i="1"/>
  <c r="E4" i="1"/>
  <c r="F4" i="1"/>
  <c r="D5" i="1"/>
  <c r="A5" i="2" l="1"/>
  <c r="D6" i="1"/>
  <c r="E5" i="1"/>
  <c r="G5" i="1"/>
  <c r="F5" i="1"/>
  <c r="A6" i="1"/>
  <c r="A7" i="1" s="1"/>
  <c r="A6" i="2" l="1"/>
  <c r="D7" i="1"/>
  <c r="G6" i="1"/>
  <c r="F6" i="1"/>
  <c r="E6" i="1"/>
  <c r="A8" i="1"/>
  <c r="A9" i="1" s="1"/>
  <c r="A7" i="2" l="1"/>
  <c r="A8" i="2"/>
  <c r="A10" i="1"/>
  <c r="G7" i="1"/>
  <c r="F7" i="1"/>
  <c r="D8" i="1"/>
  <c r="E7" i="1"/>
  <c r="A9" i="2" l="1"/>
  <c r="D9" i="1"/>
  <c r="G8" i="1"/>
  <c r="F8" i="1"/>
  <c r="E8" i="1"/>
  <c r="A11" i="1"/>
  <c r="A10" i="2" l="1"/>
  <c r="F9" i="1"/>
  <c r="G9" i="1"/>
  <c r="E9" i="1"/>
  <c r="D10" i="1"/>
  <c r="A12" i="1"/>
  <c r="A11" i="2" l="1"/>
  <c r="A12" i="2" s="1"/>
  <c r="A13" i="1"/>
  <c r="D11" i="1"/>
  <c r="G10" i="1"/>
  <c r="F10" i="1"/>
  <c r="E10" i="1"/>
  <c r="A13" i="2" l="1"/>
  <c r="A14" i="2" s="1"/>
  <c r="A14" i="1"/>
  <c r="F11" i="1"/>
  <c r="E11" i="1"/>
  <c r="D12" i="1"/>
  <c r="G11" i="1"/>
  <c r="A15" i="2" l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E12" i="1"/>
  <c r="G12" i="1"/>
  <c r="F12" i="1"/>
  <c r="D13" i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63" i="2" l="1"/>
  <c r="A64" i="2" s="1"/>
  <c r="A65" i="2" s="1"/>
  <c r="A66" i="2" s="1"/>
  <c r="A67" i="2" s="1"/>
  <c r="A68" i="2" s="1"/>
  <c r="A69" i="2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D14" i="1"/>
  <c r="G13" i="1"/>
  <c r="F13" i="1"/>
  <c r="E13" i="1"/>
  <c r="D15" i="1" l="1"/>
  <c r="G14" i="1"/>
  <c r="E14" i="1"/>
  <c r="F14" i="1"/>
  <c r="G15" i="1" l="1"/>
  <c r="D16" i="1"/>
  <c r="F15" i="1"/>
  <c r="E15" i="1"/>
  <c r="D17" i="1" l="1"/>
  <c r="G16" i="1"/>
  <c r="F16" i="1"/>
  <c r="E16" i="1"/>
  <c r="F17" i="1" l="1"/>
  <c r="E17" i="1"/>
  <c r="G17" i="1"/>
  <c r="D18" i="1"/>
  <c r="D19" i="1" l="1"/>
  <c r="G18" i="1"/>
  <c r="F18" i="1"/>
  <c r="E18" i="1"/>
  <c r="D20" i="1" l="1"/>
  <c r="G19" i="1"/>
  <c r="F19" i="1"/>
  <c r="E19" i="1"/>
  <c r="E20" i="1" l="1"/>
  <c r="G20" i="1"/>
  <c r="D21" i="1"/>
  <c r="F20" i="1"/>
  <c r="D22" i="1" l="1"/>
  <c r="G21" i="1"/>
  <c r="F21" i="1"/>
  <c r="E21" i="1"/>
  <c r="D23" i="1" l="1"/>
  <c r="G22" i="1"/>
  <c r="F22" i="1"/>
  <c r="E22" i="1"/>
  <c r="G23" i="1" l="1"/>
  <c r="D24" i="1"/>
  <c r="F23" i="1"/>
  <c r="E23" i="1"/>
  <c r="D25" i="1" l="1"/>
  <c r="G24" i="1"/>
  <c r="F24" i="1"/>
  <c r="E24" i="1"/>
  <c r="F25" i="1" l="1"/>
  <c r="E25" i="1"/>
  <c r="G25" i="1"/>
  <c r="D26" i="1"/>
  <c r="D27" i="1" l="1"/>
  <c r="G26" i="1"/>
  <c r="F26" i="1"/>
  <c r="E26" i="1"/>
  <c r="D28" i="1" l="1"/>
  <c r="G27" i="1"/>
  <c r="F27" i="1"/>
  <c r="E27" i="1"/>
  <c r="E28" i="1" l="1"/>
  <c r="G28" i="1"/>
  <c r="D29" i="1"/>
  <c r="F28" i="1"/>
  <c r="D30" i="1" l="1"/>
  <c r="G29" i="1"/>
  <c r="F29" i="1"/>
  <c r="E29" i="1"/>
  <c r="D31" i="1" l="1"/>
  <c r="G30" i="1"/>
  <c r="F30" i="1"/>
  <c r="E30" i="1"/>
  <c r="G31" i="1" l="1"/>
  <c r="D32" i="1"/>
  <c r="F31" i="1"/>
  <c r="E31" i="1"/>
  <c r="D33" i="1" l="1"/>
  <c r="G32" i="1"/>
  <c r="F32" i="1"/>
  <c r="E32" i="1"/>
  <c r="F33" i="1" l="1"/>
  <c r="E33" i="1"/>
  <c r="D34" i="1"/>
  <c r="G33" i="1"/>
  <c r="D35" i="1" l="1"/>
  <c r="G34" i="1"/>
  <c r="F34" i="1"/>
  <c r="E34" i="1"/>
  <c r="D36" i="1" l="1"/>
  <c r="G35" i="1"/>
  <c r="F35" i="1"/>
  <c r="E35" i="1"/>
  <c r="E36" i="1" l="1"/>
  <c r="D37" i="1"/>
  <c r="F36" i="1"/>
  <c r="G36" i="1"/>
  <c r="D38" i="1" l="1"/>
  <c r="G37" i="1"/>
  <c r="F37" i="1"/>
  <c r="E37" i="1"/>
  <c r="D39" i="1" l="1"/>
  <c r="G38" i="1"/>
  <c r="F38" i="1"/>
  <c r="E38" i="1"/>
  <c r="D40" i="1" l="1"/>
  <c r="F39" i="1"/>
  <c r="E39" i="1"/>
  <c r="G39" i="1"/>
  <c r="D41" i="1" l="1"/>
  <c r="G40" i="1"/>
  <c r="F40" i="1"/>
  <c r="E40" i="1"/>
  <c r="F41" i="1" l="1"/>
  <c r="E41" i="1"/>
  <c r="G41" i="1"/>
  <c r="D42" i="1"/>
  <c r="D43" i="1" l="1"/>
  <c r="G42" i="1"/>
  <c r="F42" i="1"/>
  <c r="E42" i="1"/>
  <c r="D44" i="1" l="1"/>
  <c r="G43" i="1"/>
  <c r="F43" i="1"/>
  <c r="E43" i="1"/>
  <c r="E44" i="1" l="1"/>
  <c r="G44" i="1"/>
  <c r="D45" i="1"/>
  <c r="F44" i="1"/>
  <c r="D46" i="1" l="1"/>
  <c r="G45" i="1"/>
  <c r="F45" i="1"/>
  <c r="E45" i="1"/>
  <c r="D47" i="1" l="1"/>
  <c r="G46" i="1"/>
  <c r="F46" i="1"/>
  <c r="E46" i="1"/>
  <c r="G47" i="1" l="1"/>
  <c r="D48" i="1"/>
  <c r="F47" i="1"/>
  <c r="E47" i="1"/>
  <c r="D49" i="1" l="1"/>
  <c r="G48" i="1"/>
  <c r="F48" i="1"/>
  <c r="E48" i="1"/>
  <c r="F49" i="1" l="1"/>
  <c r="E49" i="1"/>
  <c r="G49" i="1"/>
  <c r="D50" i="1"/>
  <c r="D51" i="1" l="1"/>
  <c r="G50" i="1"/>
  <c r="F50" i="1"/>
  <c r="E50" i="1"/>
  <c r="D52" i="1" l="1"/>
  <c r="G51" i="1"/>
  <c r="F51" i="1"/>
  <c r="E51" i="1"/>
  <c r="E52" i="1" l="1"/>
  <c r="G52" i="1"/>
  <c r="F52" i="1"/>
  <c r="D53" i="1"/>
  <c r="F53" i="1" l="1"/>
  <c r="G53" i="1"/>
  <c r="E53" i="1"/>
  <c r="D54" i="1"/>
  <c r="G54" i="1" l="1"/>
  <c r="F54" i="1"/>
  <c r="D55" i="1"/>
  <c r="E54" i="1"/>
  <c r="G55" i="1" l="1"/>
  <c r="F55" i="1"/>
  <c r="D56" i="1"/>
  <c r="E55" i="1"/>
  <c r="E56" i="1" l="1"/>
  <c r="G56" i="1"/>
  <c r="F56" i="1"/>
  <c r="D57" i="1"/>
  <c r="G57" i="1" l="1"/>
  <c r="F57" i="1"/>
  <c r="D58" i="1"/>
  <c r="E57" i="1"/>
  <c r="D59" i="1" l="1"/>
  <c r="G58" i="1"/>
  <c r="F58" i="1"/>
  <c r="E58" i="1"/>
  <c r="G59" i="1" l="1"/>
  <c r="F59" i="1"/>
  <c r="D60" i="1"/>
  <c r="E59" i="1"/>
  <c r="D61" i="1" l="1"/>
  <c r="F60" i="1"/>
  <c r="E60" i="1"/>
  <c r="G60" i="1"/>
  <c r="F61" i="1" l="1"/>
  <c r="G61" i="1"/>
  <c r="E61" i="1"/>
  <c r="D62" i="1"/>
  <c r="G62" i="1" l="1"/>
  <c r="F62" i="1"/>
  <c r="E62" i="1"/>
  <c r="D63" i="1"/>
  <c r="F63" i="1" l="1"/>
  <c r="G63" i="1"/>
  <c r="E63" i="1"/>
  <c r="D64" i="1"/>
  <c r="E64" i="1" l="1"/>
  <c r="D65" i="1"/>
  <c r="G64" i="1"/>
  <c r="F64" i="1"/>
  <c r="D66" i="1" l="1"/>
  <c r="G65" i="1"/>
  <c r="F65" i="1"/>
  <c r="E65" i="1"/>
  <c r="D67" i="1" l="1"/>
  <c r="G66" i="1"/>
  <c r="E66" i="1"/>
  <c r="F66" i="1"/>
  <c r="D68" i="1" l="1"/>
  <c r="G67" i="1"/>
  <c r="F67" i="1"/>
  <c r="E67" i="1"/>
  <c r="D69" i="1" l="1"/>
  <c r="G68" i="1"/>
  <c r="F68" i="1"/>
  <c r="E68" i="1"/>
  <c r="F69" i="1" l="1"/>
  <c r="E69" i="1"/>
  <c r="G69" i="1"/>
  <c r="D70" i="1"/>
  <c r="D71" i="1" l="1"/>
  <c r="G70" i="1"/>
  <c r="F70" i="1"/>
  <c r="E70" i="1"/>
  <c r="D72" i="1" l="1"/>
  <c r="G71" i="1"/>
  <c r="F71" i="1"/>
  <c r="E71" i="1"/>
  <c r="E72" i="1" l="1"/>
  <c r="G72" i="1"/>
  <c r="F72" i="1"/>
  <c r="D73" i="1"/>
  <c r="D74" i="1" l="1"/>
  <c r="G73" i="1"/>
  <c r="F73" i="1"/>
  <c r="E73" i="1"/>
  <c r="D75" i="1" l="1"/>
  <c r="G74" i="1"/>
  <c r="F74" i="1"/>
  <c r="E74" i="1"/>
  <c r="D76" i="1" l="1"/>
  <c r="G75" i="1"/>
  <c r="F75" i="1"/>
  <c r="E75" i="1"/>
  <c r="D77" i="1" l="1"/>
  <c r="G76" i="1"/>
  <c r="F76" i="1"/>
  <c r="E76" i="1"/>
  <c r="F77" i="1" l="1"/>
  <c r="E77" i="1"/>
  <c r="G77" i="1"/>
  <c r="D78" i="1"/>
  <c r="D79" i="1" l="1"/>
  <c r="G78" i="1"/>
  <c r="F78" i="1"/>
  <c r="E78" i="1"/>
  <c r="D80" i="1" l="1"/>
  <c r="G79" i="1"/>
  <c r="F79" i="1"/>
  <c r="E79" i="1"/>
  <c r="E80" i="1" l="1"/>
  <c r="D81" i="1"/>
  <c r="F80" i="1"/>
  <c r="G80" i="1"/>
  <c r="D82" i="1" l="1"/>
  <c r="G81" i="1"/>
  <c r="F81" i="1"/>
  <c r="E81" i="1"/>
  <c r="D83" i="1" l="1"/>
  <c r="G82" i="1"/>
  <c r="F82" i="1"/>
  <c r="E82" i="1"/>
  <c r="D84" i="1" l="1"/>
  <c r="G83" i="1"/>
  <c r="E83" i="1"/>
  <c r="F83" i="1"/>
  <c r="D85" i="1" l="1"/>
  <c r="G84" i="1"/>
  <c r="F84" i="1"/>
  <c r="E84" i="1"/>
  <c r="F85" i="1" l="1"/>
  <c r="E85" i="1"/>
  <c r="G85" i="1"/>
  <c r="D86" i="1"/>
  <c r="D87" i="1" l="1"/>
  <c r="G86" i="1"/>
  <c r="F86" i="1"/>
  <c r="E86" i="1"/>
  <c r="D88" i="1" l="1"/>
  <c r="G87" i="1"/>
  <c r="F87" i="1"/>
  <c r="E87" i="1"/>
  <c r="E88" i="1" l="1"/>
  <c r="G88" i="1"/>
  <c r="F88" i="1"/>
  <c r="D89" i="1"/>
  <c r="D90" i="1" l="1"/>
  <c r="G89" i="1"/>
  <c r="F89" i="1"/>
  <c r="E89" i="1"/>
  <c r="D91" i="1" l="1"/>
  <c r="G90" i="1"/>
  <c r="F90" i="1"/>
  <c r="E90" i="1"/>
  <c r="D92" i="1" l="1"/>
  <c r="G91" i="1"/>
  <c r="F91" i="1"/>
  <c r="E91" i="1"/>
  <c r="D93" i="1" l="1"/>
  <c r="G92" i="1"/>
  <c r="F92" i="1"/>
  <c r="E92" i="1"/>
  <c r="F93" i="1" l="1"/>
  <c r="E93" i="1"/>
  <c r="G93" i="1"/>
  <c r="D94" i="1"/>
  <c r="D95" i="1" l="1"/>
  <c r="G94" i="1"/>
  <c r="F94" i="1"/>
  <c r="E94" i="1"/>
  <c r="D96" i="1" l="1"/>
  <c r="G95" i="1"/>
  <c r="F95" i="1"/>
  <c r="E95" i="1"/>
  <c r="E96" i="1" l="1"/>
  <c r="D97" i="1"/>
  <c r="G96" i="1"/>
  <c r="F96" i="1"/>
  <c r="D98" i="1" l="1"/>
  <c r="G97" i="1"/>
  <c r="F97" i="1"/>
  <c r="E97" i="1"/>
  <c r="D99" i="1" l="1"/>
  <c r="G98" i="1"/>
  <c r="F98" i="1"/>
  <c r="E98" i="1"/>
  <c r="D100" i="1" l="1"/>
  <c r="G99" i="1"/>
  <c r="F99" i="1"/>
  <c r="E99" i="1"/>
  <c r="D101" i="1" l="1"/>
  <c r="G100" i="1"/>
  <c r="F100" i="1"/>
  <c r="E100" i="1"/>
  <c r="F101" i="1" l="1"/>
  <c r="E101" i="1"/>
  <c r="G101" i="1"/>
  <c r="D102" i="1"/>
  <c r="D103" i="1" l="1"/>
  <c r="G102" i="1"/>
  <c r="F102" i="1"/>
  <c r="E102" i="1"/>
  <c r="G103" i="1" l="1"/>
  <c r="F103" i="1"/>
  <c r="E103" i="1"/>
  <c r="D104" i="1"/>
  <c r="D105" i="1" l="1"/>
  <c r="G104" i="1"/>
  <c r="F104" i="1"/>
  <c r="E104" i="1"/>
  <c r="F105" i="1" l="1"/>
  <c r="G105" i="1"/>
  <c r="E105" i="1"/>
  <c r="D106" i="1"/>
  <c r="G106" i="1" l="1"/>
  <c r="F106" i="1"/>
  <c r="E106" i="1"/>
  <c r="D107" i="1"/>
  <c r="F107" i="1" l="1"/>
  <c r="E107" i="1"/>
  <c r="D108" i="1"/>
  <c r="G107" i="1"/>
  <c r="E108" i="1" l="1"/>
  <c r="G108" i="1"/>
  <c r="F108" i="1"/>
  <c r="D109" i="1"/>
  <c r="D110" i="1" l="1"/>
  <c r="G109" i="1"/>
  <c r="F109" i="1"/>
  <c r="E109" i="1"/>
  <c r="D111" i="1" l="1"/>
  <c r="G110" i="1"/>
  <c r="E110" i="1"/>
  <c r="F110" i="1"/>
  <c r="D112" i="1" l="1"/>
  <c r="G111" i="1"/>
  <c r="F111" i="1"/>
  <c r="E111" i="1"/>
  <c r="D113" i="1" l="1"/>
  <c r="G112" i="1"/>
  <c r="F112" i="1"/>
  <c r="E112" i="1"/>
  <c r="F113" i="1" l="1"/>
  <c r="D114" i="1"/>
  <c r="G113" i="1"/>
  <c r="E113" i="1"/>
  <c r="G114" i="1" l="1"/>
  <c r="F114" i="1"/>
  <c r="E114" i="1"/>
  <c r="D115" i="1"/>
  <c r="F115" i="1" l="1"/>
  <c r="E115" i="1"/>
  <c r="D116" i="1"/>
  <c r="G115" i="1"/>
  <c r="E116" i="1" l="1"/>
  <c r="G116" i="1"/>
  <c r="F116" i="1"/>
  <c r="D117" i="1"/>
  <c r="D118" i="1" l="1"/>
  <c r="G117" i="1"/>
  <c r="F117" i="1"/>
  <c r="E117" i="1"/>
  <c r="D119" i="1" l="1"/>
  <c r="G118" i="1"/>
  <c r="E118" i="1"/>
  <c r="F118" i="1"/>
  <c r="D120" i="1" l="1"/>
  <c r="G119" i="1"/>
  <c r="F119" i="1"/>
  <c r="E119" i="1"/>
  <c r="D121" i="1" l="1"/>
  <c r="G120" i="1"/>
  <c r="F120" i="1"/>
  <c r="E120" i="1"/>
  <c r="F121" i="1" l="1"/>
  <c r="E121" i="1"/>
  <c r="D122" i="1"/>
  <c r="G121" i="1"/>
  <c r="D123" i="1" l="1"/>
  <c r="G122" i="1"/>
  <c r="F122" i="1"/>
  <c r="E122" i="1"/>
  <c r="D124" i="1" l="1"/>
  <c r="G123" i="1"/>
  <c r="F123" i="1"/>
  <c r="E123" i="1"/>
  <c r="E124" i="1" l="1"/>
  <c r="F124" i="1"/>
  <c r="G124" i="1"/>
  <c r="D125" i="1"/>
  <c r="D126" i="1" l="1"/>
  <c r="G125" i="1"/>
  <c r="F125" i="1"/>
  <c r="E125" i="1"/>
  <c r="D127" i="1" l="1"/>
  <c r="G126" i="1"/>
  <c r="F126" i="1"/>
  <c r="E126" i="1"/>
  <c r="D128" i="1" l="1"/>
  <c r="G127" i="1"/>
  <c r="F127" i="1"/>
  <c r="E127" i="1"/>
  <c r="D129" i="1" l="1"/>
  <c r="G128" i="1"/>
  <c r="F128" i="1"/>
  <c r="E128" i="1"/>
  <c r="F129" i="1" l="1"/>
  <c r="E129" i="1"/>
  <c r="D130" i="1"/>
  <c r="G129" i="1"/>
  <c r="D131" i="1" l="1"/>
  <c r="G130" i="1"/>
  <c r="F130" i="1"/>
  <c r="E130" i="1"/>
  <c r="D132" i="1" l="1"/>
  <c r="G131" i="1"/>
  <c r="F131" i="1"/>
  <c r="E131" i="1"/>
  <c r="E132" i="1" l="1"/>
  <c r="F132" i="1"/>
  <c r="G132" i="1"/>
  <c r="D133" i="1"/>
  <c r="D134" i="1" l="1"/>
  <c r="G133" i="1"/>
  <c r="F133" i="1"/>
  <c r="E133" i="1"/>
  <c r="D135" i="1" l="1"/>
  <c r="G134" i="1"/>
  <c r="F134" i="1"/>
  <c r="E134" i="1"/>
  <c r="D136" i="1" l="1"/>
  <c r="G135" i="1"/>
  <c r="F135" i="1"/>
  <c r="E135" i="1"/>
  <c r="D137" i="1" l="1"/>
  <c r="G136" i="1"/>
  <c r="F136" i="1"/>
  <c r="E136" i="1"/>
  <c r="F137" i="1" l="1"/>
  <c r="E137" i="1"/>
  <c r="D138" i="1"/>
  <c r="G137" i="1"/>
  <c r="D139" i="1" l="1"/>
  <c r="G138" i="1"/>
  <c r="F138" i="1"/>
  <c r="E138" i="1"/>
  <c r="D140" i="1" l="1"/>
  <c r="G139" i="1"/>
  <c r="F139" i="1"/>
  <c r="E139" i="1"/>
  <c r="E140" i="1" l="1"/>
  <c r="F140" i="1"/>
  <c r="D141" i="1"/>
  <c r="G140" i="1"/>
  <c r="D142" i="1" l="1"/>
  <c r="G141" i="1"/>
  <c r="F141" i="1"/>
  <c r="E141" i="1"/>
  <c r="D143" i="1" l="1"/>
  <c r="G142" i="1"/>
  <c r="F142" i="1"/>
  <c r="E142" i="1"/>
  <c r="D144" i="1" l="1"/>
  <c r="G143" i="1"/>
  <c r="F143" i="1"/>
  <c r="E143" i="1"/>
  <c r="D145" i="1" l="1"/>
  <c r="G144" i="1"/>
  <c r="F144" i="1"/>
  <c r="E144" i="1"/>
  <c r="D146" i="1" l="1"/>
  <c r="F145" i="1"/>
  <c r="E145" i="1"/>
  <c r="G145" i="1"/>
  <c r="E146" i="1" l="1"/>
  <c r="F146" i="1"/>
  <c r="D147" i="1"/>
  <c r="G146" i="1"/>
  <c r="G147" i="1" l="1"/>
  <c r="F147" i="1"/>
  <c r="E147" i="1"/>
  <c r="D148" i="1"/>
  <c r="D149" i="1" l="1"/>
  <c r="G148" i="1"/>
  <c r="F148" i="1"/>
  <c r="E148" i="1"/>
  <c r="G149" i="1" l="1"/>
  <c r="F149" i="1"/>
  <c r="E149" i="1"/>
  <c r="D150" i="1"/>
  <c r="D151" i="1" l="1"/>
  <c r="G150" i="1"/>
  <c r="F150" i="1"/>
  <c r="E150" i="1"/>
  <c r="F151" i="1" l="1"/>
  <c r="E151" i="1"/>
  <c r="D152" i="1"/>
  <c r="G151" i="1"/>
  <c r="D153" i="1" l="1"/>
  <c r="G152" i="1"/>
  <c r="F152" i="1"/>
  <c r="E152" i="1"/>
  <c r="D154" i="1" l="1"/>
  <c r="G153" i="1"/>
  <c r="F153" i="1"/>
  <c r="E153" i="1"/>
  <c r="E154" i="1" l="1"/>
  <c r="D155" i="1"/>
  <c r="G154" i="1"/>
  <c r="F154" i="1"/>
  <c r="F155" i="1" l="1"/>
  <c r="E155" i="1"/>
  <c r="G155" i="1"/>
  <c r="D156" i="1"/>
  <c r="D157" i="1" l="1"/>
  <c r="G156" i="1"/>
  <c r="F156" i="1"/>
  <c r="E156" i="1"/>
  <c r="G157" i="1" l="1"/>
  <c r="F157" i="1"/>
  <c r="E157" i="1"/>
  <c r="D158" i="1"/>
  <c r="D159" i="1" l="1"/>
  <c r="G158" i="1"/>
  <c r="F158" i="1"/>
  <c r="E158" i="1"/>
  <c r="F159" i="1" l="1"/>
  <c r="E159" i="1"/>
  <c r="G159" i="1"/>
  <c r="D160" i="1"/>
  <c r="D161" i="1" l="1"/>
  <c r="G160" i="1"/>
  <c r="F160" i="1"/>
  <c r="E160" i="1"/>
  <c r="D162" i="1" l="1"/>
  <c r="G161" i="1"/>
  <c r="F161" i="1"/>
  <c r="E161" i="1"/>
  <c r="E162" i="1" l="1"/>
  <c r="D163" i="1"/>
  <c r="G162" i="1"/>
  <c r="F162" i="1"/>
  <c r="D164" i="1" l="1"/>
  <c r="G163" i="1"/>
  <c r="F163" i="1"/>
  <c r="E163" i="1"/>
  <c r="D165" i="1" l="1"/>
  <c r="G164" i="1"/>
  <c r="F164" i="1"/>
  <c r="E164" i="1"/>
  <c r="D166" i="1" l="1"/>
  <c r="F165" i="1"/>
  <c r="E165" i="1"/>
  <c r="G165" i="1"/>
  <c r="D167" i="1" l="1"/>
  <c r="G166" i="1"/>
  <c r="F166" i="1"/>
  <c r="E166" i="1"/>
  <c r="F167" i="1" l="1"/>
  <c r="E167" i="1"/>
  <c r="G167" i="1"/>
  <c r="D168" i="1"/>
  <c r="D169" i="1" l="1"/>
  <c r="G168" i="1"/>
  <c r="F168" i="1"/>
  <c r="E168" i="1"/>
  <c r="D170" i="1" l="1"/>
  <c r="G169" i="1"/>
  <c r="F169" i="1"/>
  <c r="E169" i="1"/>
  <c r="E170" i="1" l="1"/>
  <c r="G170" i="1"/>
  <c r="D171" i="1"/>
  <c r="F170" i="1"/>
  <c r="D172" i="1" l="1"/>
  <c r="G171" i="1"/>
  <c r="F171" i="1"/>
  <c r="E171" i="1"/>
  <c r="D173" i="1" l="1"/>
  <c r="G172" i="1"/>
  <c r="F172" i="1"/>
  <c r="E172" i="1"/>
  <c r="G173" i="1" l="1"/>
  <c r="D174" i="1"/>
  <c r="F173" i="1"/>
  <c r="E173" i="1"/>
  <c r="D175" i="1" l="1"/>
  <c r="G174" i="1"/>
  <c r="F174" i="1"/>
  <c r="E174" i="1"/>
  <c r="F175" i="1" l="1"/>
  <c r="E175" i="1"/>
  <c r="G175" i="1"/>
  <c r="D176" i="1"/>
  <c r="D177" i="1" l="1"/>
  <c r="G176" i="1"/>
  <c r="F176" i="1"/>
  <c r="E176" i="1"/>
  <c r="D178" i="1" l="1"/>
  <c r="G177" i="1"/>
  <c r="F177" i="1"/>
  <c r="E177" i="1"/>
  <c r="E178" i="1" l="1"/>
  <c r="G178" i="1"/>
  <c r="F178" i="1"/>
  <c r="D179" i="1"/>
  <c r="D180" i="1" l="1"/>
  <c r="G179" i="1"/>
  <c r="F179" i="1"/>
  <c r="E179" i="1"/>
  <c r="D181" i="1" l="1"/>
  <c r="G180" i="1"/>
  <c r="F180" i="1"/>
  <c r="E180" i="1"/>
  <c r="G181" i="1" l="1"/>
  <c r="E181" i="1"/>
  <c r="D182" i="1"/>
  <c r="F181" i="1"/>
  <c r="D183" i="1" l="1"/>
  <c r="G182" i="1"/>
  <c r="F182" i="1"/>
  <c r="E182" i="1"/>
  <c r="F183" i="1" l="1"/>
  <c r="E183" i="1"/>
  <c r="G183" i="1"/>
  <c r="D184" i="1"/>
  <c r="D185" i="1" l="1"/>
  <c r="G184" i="1"/>
  <c r="F184" i="1"/>
  <c r="E184" i="1"/>
  <c r="D186" i="1" l="1"/>
  <c r="G185" i="1"/>
  <c r="F185" i="1"/>
  <c r="E185" i="1"/>
  <c r="D187" i="1" l="1"/>
  <c r="G186" i="1"/>
  <c r="E186" i="1"/>
  <c r="F186" i="1"/>
  <c r="E187" i="1" l="1"/>
  <c r="G187" i="1"/>
  <c r="F187" i="1"/>
  <c r="D188" i="1"/>
  <c r="G188" i="1" l="1"/>
  <c r="F188" i="1"/>
  <c r="E188" i="1"/>
  <c r="D189" i="1"/>
  <c r="D190" i="1" l="1"/>
  <c r="G189" i="1"/>
  <c r="F189" i="1"/>
  <c r="E189" i="1"/>
  <c r="D191" i="1" l="1"/>
  <c r="G190" i="1"/>
  <c r="F190" i="1"/>
  <c r="E190" i="1"/>
  <c r="D192" i="1" l="1"/>
  <c r="E191" i="1"/>
  <c r="G191" i="1"/>
  <c r="F191" i="1"/>
  <c r="F192" i="1" l="1"/>
  <c r="E192" i="1"/>
  <c r="G192" i="1"/>
  <c r="D193" i="1"/>
  <c r="G193" i="1" l="1"/>
  <c r="F193" i="1"/>
  <c r="E193" i="1"/>
  <c r="D194" i="1"/>
  <c r="D195" i="1" l="1"/>
  <c r="G194" i="1"/>
  <c r="F194" i="1"/>
  <c r="E194" i="1"/>
  <c r="E195" i="1" l="1"/>
  <c r="D196" i="1"/>
  <c r="G195" i="1"/>
  <c r="F195" i="1"/>
  <c r="D197" i="1" l="1"/>
  <c r="G196" i="1"/>
  <c r="F196" i="1"/>
  <c r="E196" i="1"/>
  <c r="D198" i="1" l="1"/>
  <c r="G197" i="1"/>
  <c r="F197" i="1"/>
  <c r="E197" i="1"/>
  <c r="G198" i="1" l="1"/>
  <c r="F198" i="1"/>
  <c r="E198" i="1"/>
  <c r="D199" i="1"/>
  <c r="G199" i="1" l="1"/>
  <c r="F199" i="1"/>
  <c r="E199" i="1"/>
  <c r="D200" i="1"/>
  <c r="F200" i="1" l="1"/>
  <c r="E200" i="1"/>
  <c r="D201" i="1"/>
  <c r="G200" i="1"/>
  <c r="D202" i="1" l="1"/>
  <c r="G201" i="1"/>
  <c r="F201" i="1"/>
  <c r="E201" i="1"/>
  <c r="D203" i="1" l="1"/>
  <c r="G202" i="1"/>
  <c r="F202" i="1"/>
  <c r="E202" i="1"/>
  <c r="E203" i="1" l="1"/>
  <c r="G203" i="1"/>
  <c r="F203" i="1"/>
  <c r="D204" i="1"/>
  <c r="G204" i="1" l="1"/>
  <c r="F204" i="1"/>
  <c r="E204" i="1"/>
  <c r="D205" i="1"/>
  <c r="D206" i="1" l="1"/>
  <c r="G205" i="1"/>
  <c r="F205" i="1"/>
  <c r="E205" i="1"/>
  <c r="E206" i="1" l="1"/>
  <c r="D207" i="1"/>
  <c r="G206" i="1"/>
  <c r="F206" i="1"/>
  <c r="F207" i="1" l="1"/>
  <c r="E207" i="1"/>
  <c r="D208" i="1"/>
  <c r="G207" i="1"/>
  <c r="F208" i="1" l="1"/>
  <c r="E208" i="1"/>
  <c r="D209" i="1"/>
  <c r="G208" i="1"/>
  <c r="D210" i="1" l="1"/>
  <c r="G209" i="1"/>
  <c r="F209" i="1"/>
  <c r="E209" i="1"/>
  <c r="D211" i="1" l="1"/>
  <c r="G210" i="1"/>
  <c r="E210" i="1"/>
  <c r="F210" i="1"/>
  <c r="E211" i="1" l="1"/>
  <c r="D212" i="1"/>
  <c r="G211" i="1"/>
  <c r="F211" i="1"/>
  <c r="D213" i="1" l="1"/>
  <c r="G212" i="1"/>
  <c r="F212" i="1"/>
  <c r="E212" i="1"/>
  <c r="D214" i="1" l="1"/>
  <c r="G213" i="1"/>
  <c r="F213" i="1"/>
  <c r="E213" i="1"/>
  <c r="E214" i="1" l="1"/>
  <c r="G214" i="1"/>
  <c r="F214" i="1"/>
  <c r="D215" i="1"/>
  <c r="F215" i="1" l="1"/>
  <c r="E215" i="1"/>
  <c r="D216" i="1"/>
  <c r="G215" i="1"/>
  <c r="F216" i="1" l="1"/>
  <c r="E216" i="1"/>
  <c r="D217" i="1"/>
  <c r="G216" i="1"/>
  <c r="D218" i="1" l="1"/>
  <c r="G217" i="1"/>
  <c r="F217" i="1"/>
  <c r="E217" i="1"/>
  <c r="D219" i="1" l="1"/>
  <c r="G218" i="1"/>
  <c r="E218" i="1"/>
  <c r="F218" i="1"/>
  <c r="E219" i="1" l="1"/>
  <c r="D220" i="1"/>
  <c r="G219" i="1"/>
  <c r="F219" i="1"/>
  <c r="D221" i="1" l="1"/>
  <c r="G220" i="1"/>
  <c r="F220" i="1"/>
  <c r="E220" i="1"/>
  <c r="D222" i="1" l="1"/>
  <c r="G221" i="1"/>
  <c r="F221" i="1"/>
  <c r="E221" i="1"/>
  <c r="E222" i="1" l="1"/>
  <c r="G222" i="1"/>
  <c r="F222" i="1"/>
  <c r="D223" i="1"/>
  <c r="D224" i="1" l="1"/>
  <c r="F223" i="1"/>
  <c r="E223" i="1"/>
  <c r="G223" i="1"/>
  <c r="D225" i="1" l="1"/>
  <c r="F224" i="1"/>
  <c r="E224" i="1"/>
  <c r="G224" i="1"/>
  <c r="D226" i="1" l="1"/>
  <c r="G225" i="1"/>
  <c r="F225" i="1"/>
  <c r="E225" i="1"/>
  <c r="G226" i="1" l="1"/>
  <c r="F226" i="1"/>
  <c r="E226" i="1"/>
  <c r="D227" i="1"/>
  <c r="D228" i="1" l="1"/>
  <c r="G227" i="1"/>
  <c r="F227" i="1"/>
  <c r="E227" i="1"/>
  <c r="F228" i="1" l="1"/>
  <c r="E228" i="1"/>
  <c r="D229" i="1"/>
  <c r="G228" i="1"/>
  <c r="D230" i="1" l="1"/>
  <c r="G229" i="1"/>
  <c r="F229" i="1"/>
  <c r="E229" i="1"/>
  <c r="D231" i="1" l="1"/>
  <c r="G230" i="1"/>
  <c r="F230" i="1"/>
  <c r="E230" i="1"/>
  <c r="E231" i="1" l="1"/>
  <c r="G231" i="1"/>
  <c r="F231" i="1"/>
  <c r="D232" i="1"/>
  <c r="D233" i="1" l="1"/>
  <c r="G232" i="1"/>
  <c r="F232" i="1"/>
  <c r="E232" i="1"/>
  <c r="D234" i="1" l="1"/>
  <c r="G233" i="1"/>
  <c r="F233" i="1"/>
  <c r="E233" i="1"/>
  <c r="G234" i="1" l="1"/>
  <c r="F234" i="1"/>
  <c r="E234" i="1"/>
  <c r="D235" i="1"/>
  <c r="D236" i="1" l="1"/>
  <c r="G235" i="1"/>
  <c r="F235" i="1"/>
  <c r="E235" i="1"/>
  <c r="F236" i="1" l="1"/>
  <c r="E236" i="1"/>
  <c r="D237" i="1"/>
  <c r="G236" i="1"/>
  <c r="D238" i="1" l="1"/>
  <c r="G237" i="1"/>
  <c r="F237" i="1"/>
  <c r="E237" i="1"/>
  <c r="D239" i="1" l="1"/>
  <c r="G238" i="1"/>
  <c r="F238" i="1"/>
  <c r="E238" i="1"/>
  <c r="E239" i="1" l="1"/>
  <c r="G239" i="1"/>
  <c r="F239" i="1"/>
  <c r="D240" i="1"/>
  <c r="D241" i="1" l="1"/>
  <c r="G240" i="1"/>
  <c r="F240" i="1"/>
  <c r="E240" i="1"/>
  <c r="D242" i="1" l="1"/>
  <c r="G241" i="1"/>
  <c r="F241" i="1"/>
  <c r="E241" i="1"/>
  <c r="G242" i="1" l="1"/>
  <c r="F242" i="1"/>
  <c r="E242" i="1"/>
  <c r="D243" i="1"/>
  <c r="D244" i="1" l="1"/>
  <c r="G243" i="1"/>
  <c r="F243" i="1"/>
  <c r="E243" i="1"/>
  <c r="F244" i="1" l="1"/>
  <c r="E244" i="1"/>
  <c r="D245" i="1"/>
  <c r="G244" i="1"/>
  <c r="D246" i="1" l="1"/>
  <c r="G245" i="1"/>
  <c r="F245" i="1"/>
  <c r="E245" i="1"/>
  <c r="D247" i="1" l="1"/>
  <c r="G246" i="1"/>
  <c r="F246" i="1"/>
  <c r="E246" i="1"/>
  <c r="E247" i="1" l="1"/>
  <c r="D248" i="1"/>
  <c r="G247" i="1"/>
  <c r="F247" i="1"/>
  <c r="D249" i="1" l="1"/>
  <c r="G248" i="1"/>
  <c r="F248" i="1"/>
  <c r="E248" i="1"/>
  <c r="D250" i="1" l="1"/>
  <c r="G249" i="1"/>
  <c r="F249" i="1"/>
  <c r="E249" i="1"/>
  <c r="G250" i="1" l="1"/>
  <c r="F250" i="1"/>
  <c r="E250" i="1"/>
  <c r="D251" i="1"/>
  <c r="D252" i="1" l="1"/>
  <c r="G251" i="1"/>
  <c r="F251" i="1"/>
  <c r="E251" i="1"/>
  <c r="F252" i="1" l="1"/>
  <c r="E252" i="1"/>
  <c r="D253" i="1"/>
  <c r="G252" i="1"/>
  <c r="D254" i="1" l="1"/>
  <c r="G253" i="1"/>
  <c r="F253" i="1"/>
  <c r="E253" i="1"/>
  <c r="D255" i="1" l="1"/>
  <c r="G254" i="1"/>
  <c r="F254" i="1"/>
  <c r="E254" i="1"/>
  <c r="E255" i="1" l="1"/>
  <c r="G255" i="1"/>
  <c r="F255" i="1"/>
  <c r="D256" i="1"/>
  <c r="D257" i="1" l="1"/>
  <c r="G256" i="1"/>
  <c r="F256" i="1"/>
  <c r="E256" i="1"/>
  <c r="D258" i="1" l="1"/>
  <c r="G257" i="1"/>
  <c r="F257" i="1"/>
  <c r="E257" i="1"/>
  <c r="G258" i="1" l="1"/>
  <c r="F258" i="1"/>
  <c r="E258" i="1"/>
  <c r="D259" i="1"/>
  <c r="D260" i="1" l="1"/>
  <c r="G259" i="1"/>
  <c r="F259" i="1"/>
  <c r="E259" i="1"/>
  <c r="F260" i="1" l="1"/>
  <c r="E260" i="1"/>
  <c r="D261" i="1"/>
  <c r="G260" i="1"/>
  <c r="D262" i="1" l="1"/>
  <c r="G261" i="1"/>
  <c r="F261" i="1"/>
  <c r="E261" i="1"/>
  <c r="D263" i="1" l="1"/>
  <c r="G262" i="1"/>
  <c r="F262" i="1"/>
  <c r="E262" i="1"/>
  <c r="E263" i="1" l="1"/>
  <c r="F263" i="1"/>
  <c r="D264" i="1"/>
  <c r="G263" i="1"/>
  <c r="D265" i="1" l="1"/>
  <c r="G264" i="1"/>
  <c r="F264" i="1"/>
  <c r="E264" i="1"/>
  <c r="D266" i="1" l="1"/>
  <c r="G265" i="1"/>
  <c r="F265" i="1"/>
  <c r="E265" i="1"/>
  <c r="G266" i="1" l="1"/>
  <c r="F266" i="1"/>
  <c r="E266" i="1"/>
  <c r="D267" i="1"/>
  <c r="D268" i="1" l="1"/>
  <c r="G267" i="1"/>
  <c r="F267" i="1"/>
  <c r="E267" i="1"/>
  <c r="F268" i="1" l="1"/>
  <c r="E268" i="1"/>
  <c r="D269" i="1"/>
  <c r="G268" i="1"/>
  <c r="D270" i="1" l="1"/>
  <c r="G269" i="1"/>
  <c r="F269" i="1"/>
  <c r="E269" i="1"/>
  <c r="D271" i="1" l="1"/>
  <c r="G270" i="1"/>
  <c r="F270" i="1"/>
  <c r="E270" i="1"/>
  <c r="E271" i="1" l="1"/>
  <c r="D272" i="1"/>
  <c r="G271" i="1"/>
  <c r="F271" i="1"/>
  <c r="D273" i="1" l="1"/>
  <c r="G272" i="1"/>
  <c r="F272" i="1"/>
  <c r="E272" i="1"/>
  <c r="D274" i="1" l="1"/>
  <c r="G273" i="1"/>
  <c r="F273" i="1"/>
  <c r="E273" i="1"/>
  <c r="G274" i="1" l="1"/>
  <c r="F274" i="1"/>
  <c r="E274" i="1"/>
  <c r="D275" i="1"/>
  <c r="D276" i="1" l="1"/>
  <c r="G275" i="1"/>
  <c r="F275" i="1"/>
  <c r="E275" i="1"/>
  <c r="F276" i="1" l="1"/>
  <c r="E276" i="1"/>
  <c r="D277" i="1"/>
  <c r="G276" i="1"/>
  <c r="D278" i="1" l="1"/>
  <c r="G277" i="1"/>
  <c r="F277" i="1"/>
  <c r="E277" i="1"/>
  <c r="D279" i="1" l="1"/>
  <c r="G278" i="1"/>
  <c r="F278" i="1"/>
  <c r="E278" i="1"/>
  <c r="E279" i="1" l="1"/>
  <c r="D280" i="1"/>
  <c r="G279" i="1"/>
  <c r="F279" i="1"/>
  <c r="D281" i="1" l="1"/>
  <c r="G280" i="1"/>
  <c r="F280" i="1"/>
  <c r="E280" i="1"/>
  <c r="D282" i="1" l="1"/>
  <c r="G281" i="1"/>
  <c r="F281" i="1"/>
  <c r="E281" i="1"/>
  <c r="G282" i="1" l="1"/>
  <c r="F282" i="1"/>
  <c r="E282" i="1"/>
  <c r="D283" i="1"/>
  <c r="G283" i="1" l="1"/>
  <c r="D284" i="1"/>
  <c r="F283" i="1"/>
  <c r="E283" i="1"/>
  <c r="G284" i="1" l="1"/>
  <c r="F284" i="1"/>
  <c r="D285" i="1"/>
  <c r="E284" i="1"/>
  <c r="D286" i="1" l="1"/>
  <c r="G285" i="1"/>
  <c r="F285" i="1"/>
  <c r="E285" i="1"/>
  <c r="D287" i="1" l="1"/>
  <c r="G286" i="1"/>
  <c r="F286" i="1"/>
  <c r="E286" i="1"/>
  <c r="D288" i="1" l="1"/>
  <c r="G287" i="1"/>
  <c r="E287" i="1"/>
  <c r="F287" i="1"/>
  <c r="F288" i="1" l="1"/>
  <c r="E288" i="1"/>
  <c r="D289" i="1"/>
  <c r="G288" i="1"/>
  <c r="F289" i="1" l="1"/>
  <c r="E289" i="1"/>
  <c r="D290" i="1"/>
  <c r="G289" i="1"/>
  <c r="D291" i="1" l="1"/>
  <c r="G290" i="1"/>
  <c r="F290" i="1"/>
  <c r="E290" i="1"/>
  <c r="E291" i="1" l="1"/>
  <c r="F291" i="1"/>
  <c r="G291" i="1"/>
  <c r="D292" i="1"/>
  <c r="G292" i="1" l="1"/>
  <c r="F292" i="1"/>
  <c r="E292" i="1"/>
  <c r="D293" i="1"/>
  <c r="D294" i="1" l="1"/>
  <c r="G293" i="1"/>
  <c r="F293" i="1"/>
  <c r="E293" i="1"/>
  <c r="G294" i="1" l="1"/>
  <c r="F294" i="1"/>
  <c r="E294" i="1"/>
  <c r="D295" i="1"/>
  <c r="D296" i="1" l="1"/>
  <c r="G295" i="1"/>
  <c r="F295" i="1"/>
  <c r="E295" i="1"/>
  <c r="F296" i="1" l="1"/>
  <c r="E296" i="1"/>
  <c r="D297" i="1"/>
  <c r="G296" i="1"/>
  <c r="D298" i="1" l="1"/>
  <c r="G297" i="1"/>
  <c r="F297" i="1"/>
  <c r="E297" i="1"/>
  <c r="D299" i="1" l="1"/>
  <c r="G298" i="1"/>
  <c r="F298" i="1"/>
  <c r="E298" i="1"/>
  <c r="E299" i="1" l="1"/>
  <c r="D300" i="1"/>
  <c r="G299" i="1"/>
  <c r="F299" i="1"/>
  <c r="F300" i="1" l="1"/>
  <c r="E300" i="1"/>
  <c r="G300" i="1"/>
  <c r="D301" i="1"/>
  <c r="D302" i="1" l="1"/>
  <c r="G301" i="1"/>
  <c r="F301" i="1"/>
  <c r="E301" i="1"/>
  <c r="D303" i="1" l="1"/>
  <c r="G302" i="1"/>
  <c r="F302" i="1"/>
  <c r="E302" i="1"/>
  <c r="D304" i="1" l="1"/>
  <c r="G303" i="1"/>
  <c r="F303" i="1"/>
  <c r="E303" i="1"/>
  <c r="F304" i="1" l="1"/>
  <c r="E304" i="1"/>
  <c r="D305" i="1"/>
  <c r="G304" i="1"/>
  <c r="D306" i="1" l="1"/>
  <c r="G305" i="1"/>
  <c r="F305" i="1"/>
  <c r="E305" i="1"/>
  <c r="D307" i="1" l="1"/>
  <c r="G306" i="1"/>
  <c r="F306" i="1"/>
  <c r="E306" i="1"/>
  <c r="E307" i="1" l="1"/>
  <c r="D308" i="1"/>
  <c r="G307" i="1"/>
  <c r="F307" i="1"/>
  <c r="D309" i="1" l="1"/>
  <c r="G308" i="1"/>
  <c r="F308" i="1"/>
  <c r="E308" i="1"/>
  <c r="D310" i="1" l="1"/>
  <c r="G309" i="1"/>
  <c r="F309" i="1"/>
  <c r="E309" i="1"/>
  <c r="D311" i="1" l="1"/>
  <c r="G310" i="1"/>
  <c r="F310" i="1"/>
  <c r="E310" i="1"/>
  <c r="D312" i="1" l="1"/>
  <c r="G311" i="1"/>
  <c r="F311" i="1"/>
  <c r="E311" i="1"/>
  <c r="F312" i="1" l="1"/>
  <c r="E312" i="1"/>
  <c r="D313" i="1"/>
  <c r="G312" i="1"/>
  <c r="D314" i="1" l="1"/>
  <c r="G313" i="1"/>
  <c r="F313" i="1"/>
  <c r="E313" i="1"/>
  <c r="D315" i="1" l="1"/>
  <c r="G314" i="1"/>
  <c r="F314" i="1"/>
  <c r="E314" i="1"/>
  <c r="E315" i="1" l="1"/>
  <c r="D316" i="1"/>
  <c r="G315" i="1"/>
  <c r="F315" i="1"/>
  <c r="D317" i="1" l="1"/>
  <c r="G316" i="1"/>
  <c r="F316" i="1"/>
  <c r="E316" i="1"/>
  <c r="D318" i="1" l="1"/>
  <c r="G317" i="1"/>
  <c r="F317" i="1"/>
  <c r="E317" i="1"/>
  <c r="D319" i="1" l="1"/>
  <c r="G318" i="1"/>
  <c r="F318" i="1"/>
  <c r="E318" i="1"/>
  <c r="D320" i="1" l="1"/>
  <c r="G319" i="1"/>
  <c r="F319" i="1"/>
  <c r="E319" i="1"/>
  <c r="F320" i="1" l="1"/>
  <c r="E320" i="1"/>
  <c r="G320" i="1"/>
  <c r="D321" i="1"/>
  <c r="D322" i="1" l="1"/>
  <c r="G321" i="1"/>
  <c r="F321" i="1"/>
  <c r="E321" i="1"/>
  <c r="D323" i="1" l="1"/>
  <c r="G322" i="1"/>
  <c r="F322" i="1"/>
  <c r="E322" i="1"/>
  <c r="E323" i="1" l="1"/>
  <c r="D324" i="1"/>
  <c r="G323" i="1"/>
  <c r="F323" i="1"/>
  <c r="D325" i="1" l="1"/>
  <c r="G324" i="1"/>
  <c r="F324" i="1"/>
  <c r="E324" i="1"/>
  <c r="D326" i="1" l="1"/>
  <c r="G325" i="1"/>
  <c r="F325" i="1"/>
  <c r="E325" i="1"/>
  <c r="D327" i="1" l="1"/>
  <c r="G326" i="1"/>
  <c r="F326" i="1"/>
  <c r="E326" i="1"/>
  <c r="D328" i="1" l="1"/>
  <c r="G327" i="1"/>
  <c r="F327" i="1"/>
  <c r="E327" i="1"/>
  <c r="F328" i="1" l="1"/>
  <c r="E328" i="1"/>
  <c r="G328" i="1"/>
  <c r="D329" i="1"/>
  <c r="D330" i="1" l="1"/>
  <c r="G329" i="1"/>
  <c r="E329" i="1"/>
  <c r="F329" i="1"/>
  <c r="D331" i="1" l="1"/>
  <c r="G330" i="1"/>
  <c r="F330" i="1"/>
  <c r="E330" i="1"/>
  <c r="D332" i="1" l="1"/>
  <c r="G331" i="1"/>
  <c r="F331" i="1"/>
  <c r="E331" i="1"/>
  <c r="D333" i="1" l="1"/>
  <c r="G332" i="1"/>
  <c r="F332" i="1"/>
  <c r="E332" i="1"/>
  <c r="F333" i="1" l="1"/>
  <c r="E333" i="1"/>
  <c r="G333" i="1"/>
  <c r="D334" i="1"/>
  <c r="D335" i="1" l="1"/>
  <c r="G334" i="1"/>
  <c r="F334" i="1"/>
  <c r="E334" i="1"/>
  <c r="D336" i="1" l="1"/>
  <c r="G335" i="1"/>
  <c r="F335" i="1"/>
  <c r="E335" i="1"/>
  <c r="E336" i="1" l="1"/>
  <c r="F336" i="1"/>
  <c r="D337" i="1"/>
  <c r="G336" i="1"/>
  <c r="D338" i="1" l="1"/>
  <c r="G337" i="1"/>
  <c r="F337" i="1"/>
  <c r="E337" i="1"/>
  <c r="D339" i="1" l="1"/>
  <c r="G338" i="1"/>
  <c r="F338" i="1"/>
  <c r="E338" i="1"/>
  <c r="D340" i="1" l="1"/>
  <c r="G339" i="1"/>
  <c r="E339" i="1"/>
  <c r="F339" i="1"/>
  <c r="D341" i="1" l="1"/>
  <c r="G340" i="1"/>
  <c r="F340" i="1"/>
  <c r="E340" i="1"/>
  <c r="F341" i="1" l="1"/>
  <c r="E341" i="1"/>
  <c r="D342" i="1"/>
  <c r="G341" i="1"/>
  <c r="D343" i="1" l="1"/>
  <c r="G342" i="1"/>
  <c r="F342" i="1"/>
  <c r="E342" i="1"/>
  <c r="D344" i="1" l="1"/>
  <c r="G343" i="1"/>
  <c r="F343" i="1"/>
  <c r="E343" i="1"/>
  <c r="E344" i="1" l="1"/>
  <c r="G344" i="1"/>
  <c r="F344" i="1"/>
  <c r="D345" i="1"/>
  <c r="D346" i="1" l="1"/>
  <c r="G345" i="1"/>
  <c r="F345" i="1"/>
  <c r="E345" i="1"/>
  <c r="D347" i="1" l="1"/>
  <c r="G346" i="1"/>
  <c r="F346" i="1"/>
  <c r="E346" i="1"/>
  <c r="D348" i="1" l="1"/>
  <c r="G347" i="1"/>
  <c r="F347" i="1"/>
  <c r="E347" i="1"/>
  <c r="D349" i="1" l="1"/>
  <c r="G348" i="1"/>
  <c r="F348" i="1"/>
  <c r="E348" i="1"/>
  <c r="F349" i="1" l="1"/>
  <c r="E349" i="1"/>
  <c r="G349" i="1"/>
  <c r="D350" i="1"/>
  <c r="D351" i="1" l="1"/>
  <c r="G350" i="1"/>
  <c r="F350" i="1"/>
  <c r="E350" i="1"/>
  <c r="D352" i="1" l="1"/>
  <c r="G351" i="1"/>
  <c r="F351" i="1"/>
  <c r="E351" i="1"/>
  <c r="E352" i="1" l="1"/>
  <c r="F352" i="1"/>
  <c r="D353" i="1"/>
  <c r="G352" i="1"/>
  <c r="D354" i="1" l="1"/>
  <c r="G353" i="1"/>
  <c r="F353" i="1"/>
  <c r="E353" i="1"/>
  <c r="D355" i="1" l="1"/>
  <c r="G354" i="1"/>
  <c r="F354" i="1"/>
  <c r="E354" i="1"/>
  <c r="D356" i="1" l="1"/>
  <c r="G355" i="1"/>
  <c r="E355" i="1"/>
  <c r="F355" i="1"/>
  <c r="G356" i="1" l="1"/>
  <c r="F356" i="1"/>
  <c r="D357" i="1"/>
  <c r="E356" i="1"/>
  <c r="E357" i="1" l="1"/>
  <c r="G357" i="1"/>
  <c r="F357" i="1"/>
  <c r="D358" i="1"/>
  <c r="D359" i="1" l="1"/>
  <c r="G358" i="1"/>
  <c r="F358" i="1"/>
  <c r="E358" i="1"/>
  <c r="D360" i="1" l="1"/>
  <c r="G359" i="1"/>
  <c r="E359" i="1"/>
  <c r="F359" i="1"/>
  <c r="E360" i="1" l="1"/>
  <c r="D361" i="1"/>
  <c r="G360" i="1"/>
  <c r="F360" i="1"/>
  <c r="D362" i="1" l="1"/>
  <c r="G361" i="1"/>
  <c r="F361" i="1"/>
  <c r="E361" i="1"/>
  <c r="D363" i="1" l="1"/>
  <c r="G362" i="1"/>
  <c r="F362" i="1"/>
  <c r="E362" i="1"/>
  <c r="D364" i="1" l="1"/>
  <c r="G363" i="1"/>
  <c r="F363" i="1"/>
  <c r="E363" i="1"/>
  <c r="D365" i="1" l="1"/>
  <c r="G364" i="1"/>
  <c r="F364" i="1"/>
  <c r="E364" i="1"/>
  <c r="F365" i="1" l="1"/>
  <c r="E365" i="1"/>
  <c r="G365" i="1"/>
  <c r="D366" i="1"/>
  <c r="D367" i="1" l="1"/>
  <c r="G366" i="1"/>
  <c r="F366" i="1"/>
  <c r="E366" i="1"/>
  <c r="D368" i="1" l="1"/>
  <c r="G367" i="1"/>
  <c r="F367" i="1"/>
  <c r="E367" i="1"/>
  <c r="E368" i="1" l="1"/>
  <c r="G368" i="1"/>
  <c r="D369" i="1"/>
  <c r="F368" i="1"/>
  <c r="D370" i="1" l="1"/>
  <c r="G369" i="1"/>
  <c r="F369" i="1"/>
  <c r="E369" i="1"/>
  <c r="D371" i="1" l="1"/>
  <c r="G370" i="1"/>
  <c r="F370" i="1"/>
  <c r="E370" i="1"/>
  <c r="D372" i="1" l="1"/>
  <c r="G371" i="1"/>
  <c r="F371" i="1"/>
  <c r="E371" i="1"/>
  <c r="D373" i="1" l="1"/>
  <c r="G372" i="1"/>
  <c r="F372" i="1"/>
  <c r="E372" i="1"/>
  <c r="F373" i="1" l="1"/>
  <c r="E373" i="1"/>
  <c r="D374" i="1"/>
  <c r="G373" i="1"/>
  <c r="D375" i="1" l="1"/>
  <c r="G374" i="1"/>
  <c r="F374" i="1"/>
  <c r="E374" i="1"/>
  <c r="D376" i="1" l="1"/>
  <c r="G375" i="1"/>
  <c r="F375" i="1"/>
  <c r="E375" i="1"/>
  <c r="E376" i="1" l="1"/>
  <c r="D377" i="1"/>
  <c r="G376" i="1"/>
  <c r="F376" i="1"/>
  <c r="D378" i="1" l="1"/>
  <c r="G377" i="1"/>
  <c r="F377" i="1"/>
  <c r="E377" i="1"/>
  <c r="D379" i="1" l="1"/>
  <c r="G378" i="1"/>
  <c r="F378" i="1"/>
  <c r="E378" i="1"/>
  <c r="D380" i="1" l="1"/>
  <c r="G379" i="1"/>
  <c r="F379" i="1"/>
  <c r="E379" i="1"/>
  <c r="D381" i="1" l="1"/>
  <c r="G380" i="1"/>
  <c r="F380" i="1"/>
  <c r="E380" i="1"/>
  <c r="F381" i="1" l="1"/>
  <c r="E381" i="1"/>
  <c r="G381" i="1"/>
  <c r="D382" i="1"/>
  <c r="D383" i="1" l="1"/>
  <c r="G382" i="1"/>
  <c r="F382" i="1"/>
  <c r="E382" i="1"/>
  <c r="D384" i="1" l="1"/>
  <c r="G383" i="1"/>
  <c r="F383" i="1"/>
  <c r="E383" i="1"/>
  <c r="E384" i="1" l="1"/>
  <c r="G384" i="1"/>
  <c r="D385" i="1"/>
  <c r="F384" i="1"/>
  <c r="D386" i="1" l="1"/>
  <c r="G385" i="1"/>
  <c r="F385" i="1"/>
  <c r="E385" i="1"/>
  <c r="D387" i="1" l="1"/>
  <c r="G386" i="1"/>
  <c r="F386" i="1"/>
  <c r="E386" i="1"/>
  <c r="G387" i="1" l="1"/>
  <c r="D388" i="1"/>
  <c r="F387" i="1"/>
  <c r="E387" i="1"/>
  <c r="D389" i="1" l="1"/>
  <c r="G388" i="1"/>
  <c r="F388" i="1"/>
  <c r="E388" i="1"/>
  <c r="F389" i="1" l="1"/>
  <c r="E389" i="1"/>
  <c r="G389" i="1"/>
  <c r="D390" i="1"/>
  <c r="D391" i="1" l="1"/>
  <c r="G390" i="1"/>
  <c r="F390" i="1"/>
  <c r="E390" i="1"/>
  <c r="D392" i="1" l="1"/>
  <c r="G391" i="1"/>
  <c r="F391" i="1"/>
  <c r="E391" i="1"/>
  <c r="E392" i="1" l="1"/>
  <c r="G392" i="1"/>
  <c r="D393" i="1"/>
  <c r="F392" i="1"/>
  <c r="D394" i="1" l="1"/>
  <c r="G393" i="1"/>
  <c r="F393" i="1"/>
  <c r="E393" i="1"/>
  <c r="D395" i="1" l="1"/>
  <c r="G394" i="1"/>
  <c r="F394" i="1"/>
  <c r="E394" i="1"/>
  <c r="G395" i="1" l="1"/>
  <c r="D396" i="1"/>
  <c r="F395" i="1"/>
  <c r="E395" i="1"/>
  <c r="D397" i="1" l="1"/>
  <c r="G396" i="1"/>
  <c r="F396" i="1"/>
  <c r="E396" i="1"/>
  <c r="F397" i="1" l="1"/>
  <c r="E397" i="1"/>
  <c r="G397" i="1"/>
  <c r="D398" i="1"/>
  <c r="D399" i="1" l="1"/>
  <c r="G398" i="1"/>
  <c r="F398" i="1"/>
  <c r="E398" i="1"/>
  <c r="D400" i="1" l="1"/>
  <c r="G399" i="1"/>
  <c r="F399" i="1"/>
  <c r="E399" i="1"/>
  <c r="E400" i="1" l="1"/>
  <c r="G400" i="1"/>
  <c r="D401" i="1"/>
  <c r="F400" i="1"/>
  <c r="D402" i="1" l="1"/>
  <c r="G401" i="1"/>
  <c r="F401" i="1"/>
  <c r="E401" i="1"/>
  <c r="D403" i="1" l="1"/>
  <c r="G402" i="1"/>
  <c r="F402" i="1"/>
  <c r="E402" i="1"/>
  <c r="E403" i="1" l="1"/>
  <c r="G403" i="1"/>
  <c r="D404" i="1"/>
  <c r="F403" i="1"/>
  <c r="D405" i="1" l="1"/>
  <c r="G404" i="1"/>
  <c r="F404" i="1"/>
  <c r="E404" i="1"/>
  <c r="F405" i="1" l="1"/>
  <c r="E405" i="1"/>
  <c r="G405" i="1"/>
  <c r="D406" i="1"/>
  <c r="D407" i="1" l="1"/>
  <c r="G406" i="1"/>
  <c r="E406" i="1"/>
  <c r="F406" i="1"/>
  <c r="D408" i="1" l="1"/>
  <c r="G407" i="1"/>
  <c r="F407" i="1"/>
  <c r="E407" i="1"/>
  <c r="D409" i="1" l="1"/>
  <c r="G408" i="1"/>
  <c r="E408" i="1"/>
  <c r="F408" i="1"/>
  <c r="F409" i="1" l="1"/>
  <c r="E409" i="1"/>
  <c r="D410" i="1"/>
  <c r="G409" i="1"/>
  <c r="E410" i="1" l="1"/>
  <c r="D411" i="1"/>
  <c r="G410" i="1"/>
  <c r="F410" i="1"/>
  <c r="D412" i="1" l="1"/>
  <c r="G411" i="1"/>
  <c r="F411" i="1"/>
  <c r="E411" i="1"/>
  <c r="E412" i="1" l="1"/>
  <c r="D413" i="1"/>
  <c r="G412" i="1"/>
  <c r="F412" i="1"/>
  <c r="D414" i="1" l="1"/>
  <c r="G413" i="1"/>
  <c r="E413" i="1"/>
  <c r="F413" i="1"/>
  <c r="D415" i="1" l="1"/>
  <c r="G414" i="1"/>
  <c r="F414" i="1"/>
  <c r="E414" i="1"/>
  <c r="D416" i="1" l="1"/>
  <c r="G415" i="1"/>
  <c r="F415" i="1"/>
  <c r="E415" i="1"/>
  <c r="D417" i="1" l="1"/>
  <c r="G416" i="1"/>
  <c r="E416" i="1"/>
  <c r="F416" i="1"/>
  <c r="F417" i="1" l="1"/>
  <c r="E417" i="1"/>
  <c r="D418" i="1"/>
  <c r="G417" i="1"/>
  <c r="D419" i="1" l="1"/>
  <c r="G418" i="1"/>
  <c r="F418" i="1"/>
  <c r="E418" i="1"/>
  <c r="D420" i="1" l="1"/>
  <c r="G419" i="1"/>
  <c r="F419" i="1"/>
  <c r="E419" i="1"/>
  <c r="E420" i="1" l="1"/>
  <c r="D421" i="1"/>
  <c r="G420" i="1"/>
  <c r="F420" i="1"/>
  <c r="F421" i="1" l="1"/>
  <c r="E421" i="1"/>
  <c r="G421" i="1"/>
  <c r="D422" i="1"/>
  <c r="D423" i="1" l="1"/>
  <c r="G422" i="1"/>
  <c r="F422" i="1"/>
  <c r="E422" i="1"/>
  <c r="D424" i="1" l="1"/>
  <c r="G423" i="1"/>
  <c r="F423" i="1"/>
  <c r="E423" i="1"/>
  <c r="D425" i="1" l="1"/>
  <c r="G424" i="1"/>
  <c r="F424" i="1"/>
  <c r="E424" i="1"/>
  <c r="F425" i="1" l="1"/>
  <c r="E425" i="1"/>
  <c r="G425" i="1"/>
  <c r="D426" i="1"/>
  <c r="D427" i="1" l="1"/>
  <c r="G426" i="1"/>
  <c r="F426" i="1"/>
  <c r="E426" i="1"/>
  <c r="D428" i="1" l="1"/>
  <c r="G427" i="1"/>
  <c r="E427" i="1"/>
  <c r="F427" i="1"/>
  <c r="D429" i="1" l="1"/>
  <c r="G428" i="1"/>
  <c r="E428" i="1"/>
  <c r="F428" i="1"/>
  <c r="F429" i="1" l="1"/>
  <c r="E429" i="1"/>
  <c r="D430" i="1"/>
  <c r="G429" i="1"/>
  <c r="D431" i="1" l="1"/>
  <c r="G430" i="1"/>
  <c r="F430" i="1"/>
  <c r="E430" i="1"/>
  <c r="F431" i="1" l="1"/>
  <c r="G431" i="1"/>
  <c r="E431" i="1"/>
  <c r="D432" i="1"/>
  <c r="D433" i="1" l="1"/>
  <c r="E432" i="1"/>
  <c r="G432" i="1"/>
  <c r="F432" i="1"/>
  <c r="D434" i="1" l="1"/>
  <c r="G433" i="1"/>
  <c r="F433" i="1"/>
  <c r="E433" i="1"/>
  <c r="F434" i="1" l="1"/>
  <c r="E434" i="1"/>
  <c r="D435" i="1"/>
  <c r="G434" i="1"/>
  <c r="D436" i="1" l="1"/>
  <c r="G435" i="1"/>
  <c r="F435" i="1"/>
  <c r="E435" i="1"/>
  <c r="F436" i="1" l="1"/>
  <c r="D437" i="1"/>
  <c r="G436" i="1"/>
  <c r="E436" i="1"/>
  <c r="G437" i="1" l="1"/>
  <c r="D438" i="1"/>
  <c r="F437" i="1"/>
  <c r="E437" i="1"/>
  <c r="F438" i="1" l="1"/>
  <c r="D439" i="1"/>
  <c r="E438" i="1"/>
  <c r="G438" i="1"/>
  <c r="E439" i="1" l="1"/>
  <c r="F439" i="1"/>
  <c r="D440" i="1"/>
  <c r="G439" i="1"/>
  <c r="G440" i="1" l="1"/>
  <c r="D441" i="1"/>
  <c r="E440" i="1"/>
  <c r="F440" i="1"/>
  <c r="D442" i="1" l="1"/>
  <c r="G441" i="1"/>
  <c r="F441" i="1"/>
  <c r="E441" i="1"/>
  <c r="F442" i="1" l="1"/>
  <c r="D443" i="1"/>
  <c r="G442" i="1"/>
  <c r="E442" i="1"/>
  <c r="D444" i="1" l="1"/>
  <c r="E443" i="1"/>
  <c r="G443" i="1"/>
  <c r="F443" i="1"/>
  <c r="F444" i="1" l="1"/>
  <c r="D445" i="1"/>
  <c r="G444" i="1"/>
  <c r="E444" i="1"/>
  <c r="D446" i="1" l="1"/>
  <c r="G445" i="1"/>
  <c r="F445" i="1"/>
  <c r="E445" i="1"/>
  <c r="G446" i="1" l="1"/>
  <c r="F446" i="1"/>
  <c r="E446" i="1"/>
  <c r="D447" i="1"/>
  <c r="E447" i="1" l="1"/>
  <c r="G447" i="1"/>
  <c r="D448" i="1"/>
  <c r="F447" i="1"/>
  <c r="G448" i="1" l="1"/>
  <c r="F448" i="1"/>
  <c r="D449" i="1"/>
  <c r="E448" i="1"/>
  <c r="D450" i="1" l="1"/>
  <c r="G449" i="1"/>
  <c r="F449" i="1"/>
  <c r="E449" i="1"/>
  <c r="F450" i="1" l="1"/>
  <c r="D451" i="1"/>
  <c r="E450" i="1"/>
  <c r="G450" i="1"/>
  <c r="G451" i="1" l="1"/>
  <c r="D452" i="1"/>
  <c r="E451" i="1"/>
  <c r="F451" i="1"/>
  <c r="F452" i="1" l="1"/>
  <c r="G452" i="1"/>
  <c r="D453" i="1"/>
  <c r="E452" i="1"/>
  <c r="G453" i="1" l="1"/>
  <c r="D454" i="1"/>
  <c r="F453" i="1"/>
  <c r="E453" i="1"/>
  <c r="D455" i="1" l="1"/>
  <c r="E454" i="1"/>
  <c r="G454" i="1"/>
  <c r="F454" i="1"/>
  <c r="E455" i="1" l="1"/>
  <c r="D456" i="1"/>
  <c r="F455" i="1"/>
  <c r="G455" i="1"/>
  <c r="G456" i="1" l="1"/>
  <c r="D457" i="1"/>
  <c r="F456" i="1"/>
  <c r="E456" i="1"/>
  <c r="D458" i="1" l="1"/>
  <c r="G457" i="1"/>
  <c r="F457" i="1"/>
  <c r="E457" i="1"/>
  <c r="G458" i="1" l="1"/>
  <c r="D459" i="1"/>
  <c r="F458" i="1"/>
  <c r="E458" i="1"/>
  <c r="G459" i="1" l="1"/>
  <c r="F459" i="1"/>
  <c r="D460" i="1"/>
  <c r="E459" i="1"/>
  <c r="F460" i="1" l="1"/>
  <c r="G460" i="1"/>
  <c r="E460" i="1"/>
  <c r="D461" i="1"/>
  <c r="D462" i="1" l="1"/>
  <c r="F461" i="1"/>
  <c r="E461" i="1"/>
  <c r="G461" i="1"/>
  <c r="G462" i="1" l="1"/>
  <c r="F462" i="1"/>
  <c r="E462" i="1"/>
  <c r="D463" i="1"/>
  <c r="E463" i="1" l="1"/>
  <c r="G463" i="1"/>
  <c r="F463" i="1"/>
  <c r="D464" i="1"/>
  <c r="G464" i="1" l="1"/>
  <c r="F464" i="1"/>
  <c r="D465" i="1"/>
  <c r="E464" i="1"/>
  <c r="D466" i="1" l="1"/>
  <c r="G465" i="1"/>
  <c r="F465" i="1"/>
  <c r="E465" i="1"/>
  <c r="F466" i="1" l="1"/>
  <c r="D467" i="1"/>
  <c r="E466" i="1"/>
  <c r="G466" i="1"/>
  <c r="D468" i="1" l="1"/>
  <c r="E467" i="1"/>
  <c r="G467" i="1"/>
  <c r="F467" i="1"/>
  <c r="F468" i="1" l="1"/>
  <c r="G468" i="1"/>
  <c r="E468" i="1"/>
</calcChain>
</file>

<file path=xl/sharedStrings.xml><?xml version="1.0" encoding="utf-8"?>
<sst xmlns="http://schemas.openxmlformats.org/spreadsheetml/2006/main" count="2725" uniqueCount="131">
  <si>
    <t>ID</t>
  </si>
  <si>
    <t>Diver</t>
  </si>
  <si>
    <t>Buddy</t>
  </si>
  <si>
    <t>Site No.</t>
  </si>
  <si>
    <t>Site Name</t>
  </si>
  <si>
    <t>Latitude</t>
  </si>
  <si>
    <t>Longitude</t>
  </si>
  <si>
    <t>Date</t>
  </si>
  <si>
    <t>vis</t>
  </si>
  <si>
    <t>Direction</t>
  </si>
  <si>
    <t>Time</t>
  </si>
  <si>
    <t>Depth</t>
  </si>
  <si>
    <t>Block</t>
  </si>
  <si>
    <t>Code</t>
  </si>
  <si>
    <t>Species</t>
  </si>
  <si>
    <t>Common name</t>
  </si>
  <si>
    <t>Total</t>
  </si>
  <si>
    <t>Inverts</t>
  </si>
  <si>
    <t>0, 1, 2</t>
  </si>
  <si>
    <t>DIVER NAME</t>
  </si>
  <si>
    <t>BUDDY NAME</t>
  </si>
  <si>
    <t>DATE</t>
  </si>
  <si>
    <t>VIS</t>
  </si>
  <si>
    <t>DIRECTION</t>
  </si>
  <si>
    <t>TIME</t>
  </si>
  <si>
    <t>DEPTH</t>
  </si>
  <si>
    <t>BLOCK</t>
  </si>
  <si>
    <t>1m</t>
  </si>
  <si>
    <t>Temperature C</t>
  </si>
  <si>
    <t>Method</t>
  </si>
  <si>
    <t>Quadrat # (m)</t>
  </si>
  <si>
    <t>Jasmin Schuster</t>
  </si>
  <si>
    <t>Em Lim</t>
  </si>
  <si>
    <t>BMSC22</t>
  </si>
  <si>
    <t>Dixon Inside</t>
  </si>
  <si>
    <t>08/05/2023</t>
  </si>
  <si>
    <t>Quadrat</t>
  </si>
  <si>
    <t>NSF</t>
  </si>
  <si>
    <t>No species found</t>
  </si>
  <si>
    <t>Mfra</t>
  </si>
  <si>
    <t>Mesocentrotus franciscanus</t>
  </si>
  <si>
    <t>Red sea urchin</t>
  </si>
  <si>
    <t>Hsp.</t>
  </si>
  <si>
    <t>Henricia sp.</t>
  </si>
  <si>
    <t>Unidentified blood star</t>
  </si>
  <si>
    <t>Pmi</t>
  </si>
  <si>
    <t>Patiria miniata</t>
  </si>
  <si>
    <t>Bat star</t>
  </si>
  <si>
    <t>Oko</t>
  </si>
  <si>
    <t>Orthasterias koehleri</t>
  </si>
  <si>
    <t>Rainbow star</t>
  </si>
  <si>
    <t>BMSC21</t>
  </si>
  <si>
    <t>Dixon SW</t>
  </si>
  <si>
    <t>Dim</t>
  </si>
  <si>
    <t>Dermasterias imbricata</t>
  </si>
  <si>
    <t>Leather star</t>
  </si>
  <si>
    <t>BMSC10</t>
  </si>
  <si>
    <t>Ross Islets Slug Island</t>
  </si>
  <si>
    <t>09/05/2023</t>
  </si>
  <si>
    <t>Phe</t>
  </si>
  <si>
    <t>Pycnopodia helianthoides</t>
  </si>
  <si>
    <t>Sunflower star</t>
  </si>
  <si>
    <t>Poc</t>
  </si>
  <si>
    <t>Pisaster ochraceus</t>
  </si>
  <si>
    <t>Purple sea star</t>
  </si>
  <si>
    <t>BMSC2</t>
  </si>
  <si>
    <t>Kirby</t>
  </si>
  <si>
    <t>Spu</t>
  </si>
  <si>
    <t>Strongylocentrotus purpuratus</t>
  </si>
  <si>
    <t>Purple sea urchin</t>
  </si>
  <si>
    <t>BMSC19</t>
  </si>
  <si>
    <t>Ed King SW Pyramid</t>
  </si>
  <si>
    <t>10/05/2023</t>
  </si>
  <si>
    <t>BMSC20</t>
  </si>
  <si>
    <t>Ed King East</t>
  </si>
  <si>
    <t>BMSC9</t>
  </si>
  <si>
    <t>Eagle Bay</t>
  </si>
  <si>
    <t>11/05/2023</t>
  </si>
  <si>
    <t>BMSC23</t>
  </si>
  <si>
    <t>Aguilar Point</t>
  </si>
  <si>
    <t>BMSC4</t>
  </si>
  <si>
    <t>Kii xin</t>
  </si>
  <si>
    <t>12/05/2023</t>
  </si>
  <si>
    <t>Etr</t>
  </si>
  <si>
    <t>Evasterias troschelii</t>
  </si>
  <si>
    <t>Mottled starfish</t>
  </si>
  <si>
    <t>BMSC3</t>
  </si>
  <si>
    <t>Ohiat</t>
  </si>
  <si>
    <t>no quadrat data collected</t>
  </si>
  <si>
    <t>SNC</t>
  </si>
  <si>
    <t>Survey not completed</t>
  </si>
  <si>
    <t>Tom Bird</t>
  </si>
  <si>
    <t>BMSC1</t>
  </si>
  <si>
    <t>Dodger Channel</t>
  </si>
  <si>
    <t>15/05/2023</t>
  </si>
  <si>
    <t>Sfo</t>
  </si>
  <si>
    <t>Stylasterias forreri</t>
  </si>
  <si>
    <t>Velcro seastar</t>
  </si>
  <si>
    <t>BMSC5</t>
  </si>
  <si>
    <t>Taylor Rock</t>
  </si>
  <si>
    <t>Isabelle Cote</t>
  </si>
  <si>
    <t>BMSC11</t>
  </si>
  <si>
    <t>Wizard South</t>
  </si>
  <si>
    <t>16/05/2023</t>
  </si>
  <si>
    <t>BMSC12</t>
  </si>
  <si>
    <t>Wizard North</t>
  </si>
  <si>
    <t>Andrew Bickell</t>
  </si>
  <si>
    <t>BMSC6</t>
  </si>
  <si>
    <t>Baeria Rocks South</t>
  </si>
  <si>
    <t>17/05/2023</t>
  </si>
  <si>
    <t>BMSC8</t>
  </si>
  <si>
    <t>Baeria Rocks North</t>
  </si>
  <si>
    <t>NSP</t>
  </si>
  <si>
    <t>Valesca de Groot</t>
  </si>
  <si>
    <t>BMSC24</t>
  </si>
  <si>
    <t>Swiss Boy</t>
  </si>
  <si>
    <t>18/05/2023</t>
  </si>
  <si>
    <t>this quadrat was missed</t>
  </si>
  <si>
    <t>BMSC25</t>
  </si>
  <si>
    <t>Goby Town</t>
  </si>
  <si>
    <t>BMSC26</t>
  </si>
  <si>
    <t>Hosie South</t>
  </si>
  <si>
    <t>19/05/2023</t>
  </si>
  <si>
    <t>Mae</t>
  </si>
  <si>
    <t>Mediaster aequalis</t>
  </si>
  <si>
    <t>Vermillion sea star</t>
  </si>
  <si>
    <t>BMSC27</t>
  </si>
  <si>
    <t>San Jose North Island</t>
  </si>
  <si>
    <t>Sdr</t>
  </si>
  <si>
    <t>Strongylocentrotus droebachiensis</t>
  </si>
  <si>
    <t>Green sea urchin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</si>
</sst>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Calibri"/>
      <family val="2"/>
      <scheme val="minor"/>
    </font>
    <font>
      <sz val="12"/>
      <color theme="5"/>
      <name val="Arial"/>
      <family val="2"/>
    </font>
    <font>
      <sz val="12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gray125">
        <f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1" borderId="1" xfId="0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1" borderId="1" xfId="0" applyFont="1" applyFill="1" applyBorder="1"/>
    <xf numFmtId="0" fontId="2" fillId="1" borderId="2" xfId="0" applyFont="1" applyFill="1" applyBorder="1"/>
    <xf numFmtId="0" fontId="2" fillId="1" borderId="3" xfId="0" applyFont="1" applyFill="1" applyBorder="1"/>
    <xf numFmtId="14" fontId="2" fillId="0" borderId="2" xfId="0" applyNumberFormat="1" applyFont="1" applyBorder="1" applyProtection="1">
      <protection locked="0"/>
    </xf>
    <xf numFmtId="20" fontId="2" fillId="0" borderId="2" xfId="0" applyNumberFormat="1" applyFont="1" applyBorder="1" applyProtection="1">
      <protection locked="0"/>
    </xf>
    <xf numFmtId="0" fontId="2" fillId="1" borderId="4" xfId="0" applyFont="1" applyFill="1" applyBorder="1"/>
    <xf numFmtId="0" fontId="2" fillId="0" borderId="2" xfId="0" applyFont="1" applyBorder="1"/>
    <xf numFmtId="0" fontId="0" fillId="0" borderId="2" xfId="0" applyBorder="1"/>
    <xf numFmtId="0" fontId="3" fillId="1" borderId="0" xfId="0" applyFont="1" applyFill="1"/>
    <xf numFmtId="0" fontId="0" fillId="0" borderId="0" xfId="0" applyProtection="1">
      <protection locked="0"/>
    </xf>
    <xf numFmtId="0" fontId="3" fillId="0" borderId="0" xfId="0" applyFont="1"/>
    <xf numFmtId="0" fontId="0" fillId="1" borderId="5" xfId="0" applyFill="1" applyBorder="1"/>
    <xf numFmtId="0" fontId="0" fillId="1" borderId="0" xfId="0" applyFill="1"/>
    <xf numFmtId="0" fontId="0" fillId="1" borderId="6" xfId="0" applyFill="1" applyBorder="1"/>
    <xf numFmtId="14" fontId="3" fillId="0" borderId="0" xfId="0" applyNumberFormat="1" applyFont="1"/>
    <xf numFmtId="20" fontId="0" fillId="0" borderId="0" xfId="0" applyNumberFormat="1" applyAlignment="1" applyProtection="1">
      <alignment horizontal="left"/>
      <protection locked="0"/>
    </xf>
    <xf numFmtId="0" fontId="4" fillId="1" borderId="5" xfId="0" applyFont="1" applyFill="1" applyBorder="1"/>
    <xf numFmtId="0" fontId="4" fillId="1" borderId="0" xfId="0" applyFont="1" applyFill="1"/>
    <xf numFmtId="0" fontId="3" fillId="1" borderId="6" xfId="0" applyFont="1" applyFill="1" applyBorder="1"/>
    <xf numFmtId="0" fontId="3" fillId="0" borderId="0" xfId="0" applyFont="1" applyProtection="1">
      <protection locked="0"/>
    </xf>
    <xf numFmtId="14" fontId="3" fillId="0" borderId="0" xfId="0" applyNumberFormat="1" applyFont="1" applyProtection="1">
      <protection locked="0"/>
    </xf>
    <xf numFmtId="20" fontId="0" fillId="0" borderId="0" xfId="0" applyNumberFormat="1" applyProtection="1">
      <protection locked="0"/>
    </xf>
    <xf numFmtId="0" fontId="0" fillId="1" borderId="7" xfId="0" applyFill="1" applyBorder="1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/>
    <xf numFmtId="0" fontId="5" fillId="1" borderId="5" xfId="0" applyFont="1" applyFill="1" applyBorder="1"/>
    <xf numFmtId="0" fontId="6" fillId="0" borderId="2" xfId="0" applyFont="1" applyBorder="1"/>
    <xf numFmtId="0" fontId="0" fillId="0" borderId="0" xfId="0" applyFont="1"/>
    <xf numFmtId="0" fontId="5" fillId="1" borderId="0" xfId="0" applyFont="1" applyFill="1"/>
    <xf numFmtId="0" fontId="5" fillId="0" borderId="0" xfId="0" applyFont="1"/>
    <xf numFmtId="0" fontId="6" fillId="1" borderId="9" xfId="0" applyFont="1" applyFill="1" applyBorder="1"/>
    <xf numFmtId="0" fontId="6" fillId="1" borderId="8" xfId="0" applyFont="1" applyFill="1" applyBorder="1"/>
    <xf numFmtId="0" fontId="6" fillId="1" borderId="11" xfId="0" applyFont="1" applyFill="1" applyBorder="1"/>
    <xf numFmtId="0" fontId="5" fillId="1" borderId="7" xfId="0" applyFont="1" applyFill="1" applyBorder="1"/>
    <xf numFmtId="0" fontId="7" fillId="1" borderId="5" xfId="0" applyFont="1" applyFill="1" applyBorder="1"/>
    <xf numFmtId="0" fontId="7" fillId="1" borderId="0" xfId="0" applyFont="1" applyFill="1"/>
    <xf numFmtId="0" fontId="6" fillId="1" borderId="1" xfId="0" applyFont="1" applyFill="1" applyBorder="1" applyProtection="1">
      <protection locked="0"/>
    </xf>
    <xf numFmtId="0" fontId="8" fillId="0" borderId="8" xfId="0" applyFont="1" applyBorder="1"/>
    <xf numFmtId="0" fontId="7" fillId="0" borderId="0" xfId="0" applyFont="1"/>
    <xf numFmtId="0" fontId="7" fillId="1" borderId="7" xfId="0" applyFont="1" applyFill="1" applyBorder="1" applyProtection="1">
      <protection locked="0"/>
    </xf>
    <xf numFmtId="0" fontId="5" fillId="1" borderId="12" xfId="0" applyFont="1" applyFill="1" applyBorder="1"/>
    <xf numFmtId="0" fontId="7" fillId="1" borderId="6" xfId="0" applyFont="1" applyFill="1" applyBorder="1" applyProtection="1">
      <protection locked="0"/>
    </xf>
    <xf numFmtId="0" fontId="5" fillId="1" borderId="0" xfId="0" applyFont="1" applyFill="1" applyBorder="1"/>
    <xf numFmtId="0" fontId="7" fillId="1" borderId="6" xfId="0" applyFont="1" applyFill="1" applyBorder="1"/>
    <xf numFmtId="20" fontId="7" fillId="0" borderId="0" xfId="0" applyNumberFormat="1" applyFont="1" applyProtection="1">
      <protection locked="0"/>
    </xf>
    <xf numFmtId="0" fontId="7" fillId="1" borderId="12" xfId="0" applyFont="1" applyFill="1" applyBorder="1"/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Fill="1" applyBorder="1" applyProtection="1">
      <protection locked="0"/>
    </xf>
    <xf numFmtId="0" fontId="7" fillId="0" borderId="0" xfId="0" applyFont="1" applyBorder="1"/>
    <xf numFmtId="0" fontId="7" fillId="0" borderId="12" xfId="0" applyFont="1" applyBorder="1"/>
    <xf numFmtId="0" fontId="7" fillId="1" borderId="0" xfId="0" applyFont="1" applyFill="1" applyBorder="1"/>
    <xf numFmtId="0" fontId="0" fillId="0" borderId="12" xfId="0" applyFont="1" applyBorder="1"/>
    <xf numFmtId="0" fontId="7" fillId="0" borderId="10" xfId="0" applyFont="1" applyBorder="1"/>
    <xf numFmtId="0" fontId="0" fillId="0" borderId="10" xfId="0" applyFont="1" applyBorder="1"/>
    <xf numFmtId="0" fontId="8" fillId="0" borderId="13" xfId="0" applyFont="1" applyBorder="1"/>
    <xf numFmtId="0" fontId="7" fillId="0" borderId="6" xfId="0" applyFont="1" applyBorder="1"/>
    <xf numFmtId="20" fontId="7" fillId="0" borderId="0" xfId="0" applyNumberFormat="1" applyFont="1"/>
    <xf numFmtId="0" fontId="9" fillId="0" borderId="0" xfId="0" applyFont="1"/>
    <xf numFmtId="0" fontId="9" fillId="2" borderId="5" xfId="0" applyFont="1" applyFill="1" applyBorder="1"/>
    <xf numFmtId="0" fontId="9" fillId="2" borderId="12" xfId="0" applyFont="1" applyFill="1" applyBorder="1"/>
    <xf numFmtId="0" fontId="5" fillId="2" borderId="5" xfId="0" applyFont="1" applyFill="1" applyBorder="1"/>
    <xf numFmtId="0" fontId="5" fillId="2" borderId="0" xfId="0" applyFont="1" applyFill="1"/>
    <xf numFmtId="0" fontId="11" fillId="0" borderId="0" xfId="0" applyFont="1"/>
    <xf numFmtId="0" fontId="11" fillId="2" borderId="5" xfId="0" applyFont="1" applyFill="1" applyBorder="1"/>
    <xf numFmtId="0" fontId="11" fillId="2" borderId="0" xfId="0" applyFont="1" applyFill="1"/>
    <xf numFmtId="0" fontId="11" fillId="1" borderId="7" xfId="0" applyFont="1" applyFill="1" applyBorder="1" applyProtection="1">
      <protection locked="0"/>
    </xf>
    <xf numFmtId="0" fontId="12" fillId="0" borderId="0" xfId="0" applyFont="1"/>
    <xf numFmtId="0" fontId="7" fillId="2" borderId="5" xfId="0" applyFont="1" applyFill="1" applyBorder="1"/>
    <xf numFmtId="0" fontId="7" fillId="2" borderId="0" xfId="0" applyFont="1" applyFill="1"/>
    <xf numFmtId="0" fontId="7" fillId="0" borderId="0" xfId="0" applyFont="1" applyFill="1"/>
    <xf numFmtId="0" fontId="11" fillId="0" borderId="0" xfId="0" applyFont="1" applyFill="1"/>
    <xf numFmtId="0" fontId="1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LS_Bamfield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"/>
      <sheetName val="M1"/>
      <sheetName val="M2"/>
      <sheetName val="SITES"/>
      <sheetName val="NOTES"/>
      <sheetName val="CRYPTIC FAMILIES"/>
      <sheetName val="DIVERS"/>
      <sheetName val="Pivot data check"/>
    </sheetNames>
    <sheetDataSet>
      <sheetData sheetId="0"/>
      <sheetData sheetId="1"/>
      <sheetData sheetId="2"/>
      <sheetData sheetId="3"/>
      <sheetData sheetId="4">
        <row r="1">
          <cell r="A1" t="str">
            <v>SITE</v>
          </cell>
          <cell r="B1" t="str">
            <v>Site Name</v>
          </cell>
          <cell r="C1" t="str">
            <v>Latitude</v>
          </cell>
          <cell r="D1" t="str">
            <v>Longitude</v>
          </cell>
          <cell r="E1" t="str">
            <v>Region</v>
          </cell>
        </row>
        <row r="2">
          <cell r="A2" t="str">
            <v>BC1</v>
          </cell>
          <cell r="B2" t="str">
            <v>Mercury</v>
          </cell>
          <cell r="C2">
            <v>51.74418</v>
          </cell>
          <cell r="D2">
            <v>-128.07130000000001</v>
          </cell>
          <cell r="E2" t="str">
            <v>British Columbia</v>
          </cell>
        </row>
        <row r="3">
          <cell r="A3" t="str">
            <v>BC2</v>
          </cell>
          <cell r="B3" t="str">
            <v>Kelpie Point</v>
          </cell>
          <cell r="C3">
            <v>51.733899999999998</v>
          </cell>
          <cell r="D3">
            <v>-127.99670999999999</v>
          </cell>
          <cell r="E3" t="str">
            <v>British Columbia</v>
          </cell>
        </row>
        <row r="4">
          <cell r="A4" t="str">
            <v>BC3</v>
          </cell>
          <cell r="B4" t="str">
            <v>West Beach</v>
          </cell>
          <cell r="C4">
            <v>51.649079999999998</v>
          </cell>
          <cell r="D4">
            <v>-128.15116</v>
          </cell>
          <cell r="E4" t="str">
            <v>British Columbia</v>
          </cell>
        </row>
        <row r="5">
          <cell r="A5" t="str">
            <v>BC4</v>
          </cell>
          <cell r="B5" t="str">
            <v>Triquet</v>
          </cell>
          <cell r="C5">
            <v>51.803629999999998</v>
          </cell>
          <cell r="D5">
            <v>-128.25416000000001</v>
          </cell>
          <cell r="E5" t="str">
            <v>British Columbia</v>
          </cell>
        </row>
        <row r="6">
          <cell r="A6" t="str">
            <v>BC5</v>
          </cell>
          <cell r="B6" t="str">
            <v>North Beach</v>
          </cell>
          <cell r="C6">
            <v>51.667029999999997</v>
          </cell>
          <cell r="D6">
            <v>-128.13995</v>
          </cell>
          <cell r="E6" t="str">
            <v>British Columbia</v>
          </cell>
        </row>
        <row r="7">
          <cell r="A7" t="str">
            <v>BC6</v>
          </cell>
          <cell r="B7" t="str">
            <v>West Beach Nereo</v>
          </cell>
          <cell r="C7">
            <v>51.649099999999997</v>
          </cell>
          <cell r="D7">
            <v>-128.15525</v>
          </cell>
          <cell r="E7" t="str">
            <v>British Columbia</v>
          </cell>
        </row>
        <row r="8">
          <cell r="A8" t="str">
            <v>BC7</v>
          </cell>
          <cell r="B8" t="str">
            <v>Rattenbury</v>
          </cell>
          <cell r="C8">
            <v>51.701180000000001</v>
          </cell>
          <cell r="D8">
            <v>-128.07386</v>
          </cell>
          <cell r="E8" t="str">
            <v>British Columbia</v>
          </cell>
        </row>
        <row r="9">
          <cell r="A9" t="str">
            <v>BC8</v>
          </cell>
          <cell r="B9" t="str">
            <v>Starfish</v>
          </cell>
          <cell r="C9">
            <v>51.680250000000001</v>
          </cell>
          <cell r="D9">
            <v>-128.12610000000001</v>
          </cell>
          <cell r="E9" t="str">
            <v>British Columbia</v>
          </cell>
        </row>
        <row r="10">
          <cell r="A10" t="str">
            <v>BMSC1</v>
          </cell>
          <cell r="B10" t="str">
            <v>Dodger Channel</v>
          </cell>
          <cell r="C10">
            <v>48.828948974609297</v>
          </cell>
          <cell r="D10">
            <v>-125.19757080078099</v>
          </cell>
          <cell r="E10" t="str">
            <v>Bamfield</v>
          </cell>
        </row>
        <row r="11">
          <cell r="A11" t="str">
            <v>BMSC10</v>
          </cell>
          <cell r="B11" t="str">
            <v>Ross Islets Slug Island</v>
          </cell>
          <cell r="C11">
            <v>48.870517730712798</v>
          </cell>
          <cell r="D11">
            <v>-125.160346984863</v>
          </cell>
          <cell r="E11" t="str">
            <v>Bamfield</v>
          </cell>
        </row>
        <row r="12">
          <cell r="A12" t="str">
            <v>BMSC11</v>
          </cell>
          <cell r="B12" t="str">
            <v>Wizard Island South</v>
          </cell>
          <cell r="C12">
            <v>48.857467651367102</v>
          </cell>
          <cell r="D12">
            <v>-125.158233642578</v>
          </cell>
          <cell r="E12" t="str">
            <v>Bamfield</v>
          </cell>
        </row>
        <row r="13">
          <cell r="A13" t="str">
            <v>BMSC12</v>
          </cell>
          <cell r="B13" t="str">
            <v>Wizard Island North</v>
          </cell>
          <cell r="C13">
            <v>48.858283996582003</v>
          </cell>
          <cell r="D13">
            <v>-125.160919189453</v>
          </cell>
          <cell r="E13" t="str">
            <v>Bamfield</v>
          </cell>
        </row>
        <row r="14">
          <cell r="A14" t="str">
            <v>BMSC13</v>
          </cell>
          <cell r="B14" t="str">
            <v>Effingham West</v>
          </cell>
          <cell r="C14">
            <v>48.865032196044901</v>
          </cell>
          <cell r="D14">
            <v>-125.313720703125</v>
          </cell>
          <cell r="E14" t="str">
            <v>Bamfield</v>
          </cell>
        </row>
        <row r="15">
          <cell r="A15" t="str">
            <v>BMSC14</v>
          </cell>
          <cell r="B15" t="str">
            <v>Effingham Archipelago</v>
          </cell>
          <cell r="C15">
            <v>48.879081726074197</v>
          </cell>
          <cell r="D15">
            <v>-125.297401428222</v>
          </cell>
          <cell r="E15" t="str">
            <v>Bamfield</v>
          </cell>
        </row>
        <row r="16">
          <cell r="A16" t="str">
            <v>BMSC15</v>
          </cell>
          <cell r="B16" t="str">
            <v>Raymond Kelp Rock</v>
          </cell>
          <cell r="C16">
            <v>48.880283355712798</v>
          </cell>
          <cell r="D16">
            <v>-125.31288146972599</v>
          </cell>
          <cell r="E16" t="str">
            <v>Bamfield</v>
          </cell>
        </row>
        <row r="17">
          <cell r="A17" t="str">
            <v>BMSC16</v>
          </cell>
          <cell r="B17" t="str">
            <v>Faber Islets</v>
          </cell>
          <cell r="C17">
            <v>48.890701293945298</v>
          </cell>
          <cell r="D17">
            <v>-125.300498962402</v>
          </cell>
          <cell r="E17" t="str">
            <v>Bamfield</v>
          </cell>
        </row>
        <row r="18">
          <cell r="A18" t="str">
            <v>BMSC17</v>
          </cell>
          <cell r="B18" t="str">
            <v>Wouwer Channel</v>
          </cell>
          <cell r="C18">
            <v>48.865482330322202</v>
          </cell>
          <cell r="D18">
            <v>-125.36148071289</v>
          </cell>
          <cell r="E18" t="str">
            <v>Bamfield</v>
          </cell>
        </row>
        <row r="19">
          <cell r="A19" t="str">
            <v>BMSC18</v>
          </cell>
          <cell r="B19" t="str">
            <v>Eussen Rock</v>
          </cell>
          <cell r="C19">
            <v>48.911617279052699</v>
          </cell>
          <cell r="D19">
            <v>-125.267036437988</v>
          </cell>
          <cell r="E19" t="str">
            <v>Bamfield</v>
          </cell>
        </row>
        <row r="20">
          <cell r="A20" t="str">
            <v>BMSC19</v>
          </cell>
          <cell r="B20" t="str">
            <v>Ed King SW Pyramid</v>
          </cell>
          <cell r="C20">
            <v>48.828601837158203</v>
          </cell>
          <cell r="D20">
            <v>-125.221298217773</v>
          </cell>
          <cell r="E20" t="str">
            <v>Bamfield</v>
          </cell>
        </row>
        <row r="21">
          <cell r="A21" t="str">
            <v>BMSC2</v>
          </cell>
          <cell r="B21" t="str">
            <v>Kirby</v>
          </cell>
          <cell r="C21">
            <v>48.850399017333899</v>
          </cell>
          <cell r="D21">
            <v>-125.198768615722</v>
          </cell>
          <cell r="E21" t="str">
            <v>Bamfield</v>
          </cell>
        </row>
        <row r="22">
          <cell r="A22" t="str">
            <v>BMSC20</v>
          </cell>
          <cell r="B22" t="str">
            <v>Ed King East</v>
          </cell>
          <cell r="C22">
            <v>48.835666656494098</v>
          </cell>
          <cell r="D22">
            <v>-125.214797973632</v>
          </cell>
          <cell r="E22" t="str">
            <v>Bamfield</v>
          </cell>
        </row>
        <row r="23">
          <cell r="A23" t="str">
            <v>BMSC21</v>
          </cell>
          <cell r="B23" t="str">
            <v>Dixon SW</v>
          </cell>
          <cell r="C23">
            <v>48.85205078125</v>
          </cell>
          <cell r="D23">
            <v>-125.123565673828</v>
          </cell>
          <cell r="E23" t="str">
            <v>Bamfield</v>
          </cell>
        </row>
        <row r="24">
          <cell r="A24" t="str">
            <v>BMSC22</v>
          </cell>
          <cell r="B24" t="str">
            <v>Dixon Inside</v>
          </cell>
          <cell r="C24">
            <v>48.8542671203613</v>
          </cell>
          <cell r="D24">
            <v>-125.11703491210901</v>
          </cell>
          <cell r="E24" t="str">
            <v>Bamfield</v>
          </cell>
        </row>
        <row r="25">
          <cell r="A25" t="str">
            <v>BMSC23</v>
          </cell>
          <cell r="B25" t="str">
            <v>Aguilar Point</v>
          </cell>
          <cell r="C25">
            <v>48.837589000000001</v>
          </cell>
          <cell r="D25">
            <v>-125.14414499999999</v>
          </cell>
          <cell r="E25" t="str">
            <v>Bamfield</v>
          </cell>
        </row>
        <row r="26">
          <cell r="A26" t="str">
            <v>BMSC24</v>
          </cell>
          <cell r="B26" t="str">
            <v>Swiss Boy</v>
          </cell>
          <cell r="C26">
            <v>48.916072999999997</v>
          </cell>
          <cell r="D26">
            <v>-125.131174</v>
          </cell>
          <cell r="E26" t="str">
            <v>Bamfield</v>
          </cell>
        </row>
        <row r="27">
          <cell r="A27" t="str">
            <v>BMSC25</v>
          </cell>
          <cell r="B27" t="str">
            <v>Goby Town</v>
          </cell>
          <cell r="C27">
            <v>48.838594999999998</v>
          </cell>
          <cell r="D27">
            <v>-125.135015</v>
          </cell>
          <cell r="E27" t="str">
            <v>Bamfield</v>
          </cell>
        </row>
        <row r="28">
          <cell r="A28" t="str">
            <v>BMSC26</v>
          </cell>
          <cell r="B28" t="str">
            <v>Hosie South</v>
          </cell>
          <cell r="C28">
            <v>48.9071</v>
          </cell>
          <cell r="D28">
            <v>-125.03701700000001</v>
          </cell>
          <cell r="E28" t="str">
            <v>Bamfield</v>
          </cell>
        </row>
        <row r="29">
          <cell r="A29" t="str">
            <v>BMSC27</v>
          </cell>
          <cell r="B29" t="str">
            <v>San Jose North Island</v>
          </cell>
          <cell r="C29">
            <v>48.901183000000003</v>
          </cell>
          <cell r="D29">
            <v>-125.060433</v>
          </cell>
          <cell r="E29" t="str">
            <v>Bamfield</v>
          </cell>
        </row>
        <row r="30">
          <cell r="A30" t="str">
            <v>BMSC3</v>
          </cell>
          <cell r="B30" t="str">
            <v>Ohiat</v>
          </cell>
          <cell r="C30">
            <v>48.855583190917898</v>
          </cell>
          <cell r="D30">
            <v>-125.183799743652</v>
          </cell>
          <cell r="E30" t="str">
            <v>Bamfield</v>
          </cell>
        </row>
        <row r="31">
          <cell r="A31" t="str">
            <v>BMSC4</v>
          </cell>
          <cell r="B31" t="str">
            <v>Kii xin</v>
          </cell>
          <cell r="C31">
            <v>48.815116882324197</v>
          </cell>
          <cell r="D31">
            <v>-125.175331115722</v>
          </cell>
          <cell r="E31" t="str">
            <v>Bamfield</v>
          </cell>
        </row>
        <row r="32">
          <cell r="A32" t="str">
            <v>BMSC5</v>
          </cell>
          <cell r="B32" t="str">
            <v>Taylor Rock</v>
          </cell>
          <cell r="C32">
            <v>48.8273315429687</v>
          </cell>
          <cell r="D32">
            <v>-125.196601867675</v>
          </cell>
          <cell r="E32" t="str">
            <v>Bamfield</v>
          </cell>
        </row>
        <row r="33">
          <cell r="A33" t="str">
            <v>BMSC6</v>
          </cell>
          <cell r="B33" t="str">
            <v>Baeria Rocks South Island</v>
          </cell>
          <cell r="C33">
            <v>48.950233459472599</v>
          </cell>
          <cell r="D33">
            <v>-125.155548095703</v>
          </cell>
          <cell r="E33" t="str">
            <v>Bamfield</v>
          </cell>
        </row>
        <row r="34">
          <cell r="A34" t="str">
            <v>BMSC7</v>
          </cell>
          <cell r="B34" t="str">
            <v>Baeria Rocks North Island Southside</v>
          </cell>
          <cell r="C34">
            <v>48.954643249511697</v>
          </cell>
          <cell r="D34">
            <v>-125.153991699218</v>
          </cell>
          <cell r="E34" t="str">
            <v>Bamfield</v>
          </cell>
        </row>
        <row r="35">
          <cell r="A35" t="str">
            <v>BMSC8</v>
          </cell>
          <cell r="B35" t="str">
            <v>Baeria Rocks North Island Northside</v>
          </cell>
          <cell r="C35">
            <v>48.955081939697202</v>
          </cell>
          <cell r="D35">
            <v>-125.15337371826099</v>
          </cell>
          <cell r="E35" t="str">
            <v>Bamfield</v>
          </cell>
        </row>
        <row r="36">
          <cell r="A36" t="str">
            <v>BMSC9</v>
          </cell>
          <cell r="B36" t="str">
            <v>Eagle Bay</v>
          </cell>
          <cell r="C36">
            <v>48.834789276122997</v>
          </cell>
          <cell r="D36">
            <v>-125.14702606201099</v>
          </cell>
          <cell r="E36" t="str">
            <v>Bamfield</v>
          </cell>
        </row>
        <row r="37">
          <cell r="A37" t="str">
            <v>NFLD1</v>
          </cell>
          <cell r="B37" t="str">
            <v>Middle Cove</v>
          </cell>
          <cell r="C37">
            <v>47.652140000000003</v>
          </cell>
          <cell r="D37">
            <v>-52.696169999999903</v>
          </cell>
          <cell r="E37" t="str">
            <v>Newfoundland</v>
          </cell>
        </row>
        <row r="38">
          <cell r="A38" t="str">
            <v>NFLD10</v>
          </cell>
          <cell r="B38" t="str">
            <v>Admirals Cove</v>
          </cell>
          <cell r="C38">
            <v>47.095253</v>
          </cell>
          <cell r="D38">
            <v>-52.909590000000001</v>
          </cell>
          <cell r="E38" t="str">
            <v>Newfoundland</v>
          </cell>
        </row>
        <row r="39">
          <cell r="A39" t="str">
            <v>NFLD11</v>
          </cell>
          <cell r="B39" t="str">
            <v>Harbour Main</v>
          </cell>
          <cell r="C39">
            <v>47.433706000000001</v>
          </cell>
          <cell r="D39">
            <v>-53.158597999999998</v>
          </cell>
          <cell r="E39" t="str">
            <v>Newfoundland</v>
          </cell>
        </row>
        <row r="40">
          <cell r="A40" t="str">
            <v>NFLD12</v>
          </cell>
          <cell r="B40" t="str">
            <v>Biscayan Cove</v>
          </cell>
          <cell r="C40">
            <v>47.803725999999997</v>
          </cell>
          <cell r="D40">
            <v>-52.787438000000002</v>
          </cell>
          <cell r="E40" t="str">
            <v>Newfoundland</v>
          </cell>
        </row>
        <row r="41">
          <cell r="A41" t="str">
            <v>NFLD13</v>
          </cell>
          <cell r="B41" t="str">
            <v>Bauline</v>
          </cell>
          <cell r="C41">
            <v>47.722558999999997</v>
          </cell>
          <cell r="D41">
            <v>-52.835217999999998</v>
          </cell>
          <cell r="E41" t="str">
            <v>Newfoundland</v>
          </cell>
        </row>
        <row r="42">
          <cell r="A42" t="str">
            <v>NFLD2</v>
          </cell>
          <cell r="B42" t="str">
            <v>Tappers Cove</v>
          </cell>
          <cell r="C42">
            <v>47.66498</v>
          </cell>
          <cell r="D42">
            <v>-52.726889999999997</v>
          </cell>
          <cell r="E42" t="str">
            <v>Newfoundland</v>
          </cell>
        </row>
        <row r="43">
          <cell r="A43" t="str">
            <v>NFLD3</v>
          </cell>
          <cell r="B43" t="str">
            <v>OSC Canyon</v>
          </cell>
          <cell r="C43">
            <v>47.625320000000002</v>
          </cell>
          <cell r="D43">
            <v>-52.663369999999901</v>
          </cell>
          <cell r="E43" t="str">
            <v>Newfoundland</v>
          </cell>
        </row>
        <row r="44">
          <cell r="A44" t="str">
            <v>NFLD4</v>
          </cell>
          <cell r="B44" t="str">
            <v>Portugal Cove</v>
          </cell>
          <cell r="C44">
            <v>47.627290000000002</v>
          </cell>
          <cell r="D44">
            <v>-52.857689999999998</v>
          </cell>
          <cell r="E44" t="str">
            <v>Newfoundland</v>
          </cell>
        </row>
        <row r="45">
          <cell r="A45" t="str">
            <v>NFLD5</v>
          </cell>
          <cell r="B45" t="str">
            <v>Broad Cove</v>
          </cell>
          <cell r="C45">
            <v>47.593032000000001</v>
          </cell>
          <cell r="D45">
            <v>-52.887818000000003</v>
          </cell>
          <cell r="E45" t="str">
            <v>Newfoundland</v>
          </cell>
        </row>
        <row r="46">
          <cell r="A46" t="str">
            <v>NFLD6</v>
          </cell>
          <cell r="B46" t="str">
            <v>Hare Bay</v>
          </cell>
          <cell r="C46">
            <v>48.862142999999897</v>
          </cell>
          <cell r="D46">
            <v>-53.988593000000002</v>
          </cell>
          <cell r="E46" t="str">
            <v>Newfoundland</v>
          </cell>
        </row>
        <row r="47">
          <cell r="A47" t="str">
            <v>NFLD7</v>
          </cell>
          <cell r="B47" t="str">
            <v>Sandy Cove Beach</v>
          </cell>
          <cell r="C47">
            <v>48.640341999999997</v>
          </cell>
          <cell r="D47">
            <v>-53.729569999999903</v>
          </cell>
          <cell r="E47" t="str">
            <v>Newfoundland</v>
          </cell>
        </row>
        <row r="48">
          <cell r="A48" t="str">
            <v>NFLD8</v>
          </cell>
          <cell r="B48" t="str">
            <v>Wild Cove</v>
          </cell>
          <cell r="C48">
            <v>48.679724999999998</v>
          </cell>
          <cell r="D48">
            <v>-53.677975000000004</v>
          </cell>
          <cell r="E48" t="str">
            <v>Newfoundland</v>
          </cell>
        </row>
        <row r="49">
          <cell r="A49" t="str">
            <v>NFLD9</v>
          </cell>
          <cell r="B49" t="str">
            <v>Flatrock</v>
          </cell>
          <cell r="C49">
            <v>47.700316000000001</v>
          </cell>
          <cell r="D49">
            <v>-52.703564</v>
          </cell>
          <cell r="E49" t="str">
            <v>Newfoundland</v>
          </cell>
        </row>
        <row r="50">
          <cell r="A50" t="str">
            <v>USWC10</v>
          </cell>
          <cell r="B50" t="str">
            <v>Johnsons Lee South  Sta Rosa CA</v>
          </cell>
          <cell r="C50">
            <v>33.897529999999897</v>
          </cell>
          <cell r="D50">
            <v>-120.10075000000001</v>
          </cell>
          <cell r="E50" t="str">
            <v>Channel Islands</v>
          </cell>
        </row>
        <row r="51">
          <cell r="A51" t="str">
            <v>USWC11</v>
          </cell>
          <cell r="B51" t="str">
            <v>Cavern Point  Santa Cruz</v>
          </cell>
          <cell r="C51">
            <v>34.054279999999999</v>
          </cell>
          <cell r="D51">
            <v>-119.56686999999999</v>
          </cell>
          <cell r="E51" t="str">
            <v>Channel Islands</v>
          </cell>
        </row>
        <row r="52">
          <cell r="A52" t="str">
            <v>USWC12</v>
          </cell>
          <cell r="B52" t="str">
            <v>Little Scorpion  Santa Cruz</v>
          </cell>
          <cell r="C52">
            <v>34.044150000000002</v>
          </cell>
          <cell r="D52">
            <v>-119.54245</v>
          </cell>
          <cell r="E52" t="str">
            <v>Channel Islands</v>
          </cell>
        </row>
        <row r="53">
          <cell r="A53" t="str">
            <v>USWC13</v>
          </cell>
          <cell r="B53" t="str">
            <v>Devils Peak Member  Santa Cruz</v>
          </cell>
          <cell r="C53">
            <v>34.044930000000001</v>
          </cell>
          <cell r="D53">
            <v>-119.6014</v>
          </cell>
          <cell r="E53" t="str">
            <v>Channel Islands</v>
          </cell>
        </row>
        <row r="54">
          <cell r="A54" t="str">
            <v>USWC14</v>
          </cell>
          <cell r="B54" t="str">
            <v>Devils Peak Member south  Santa Cruz</v>
          </cell>
          <cell r="C54">
            <v>34.0246</v>
          </cell>
          <cell r="D54">
            <v>-119.60597</v>
          </cell>
          <cell r="E54" t="str">
            <v>Channel Islands</v>
          </cell>
        </row>
        <row r="55">
          <cell r="A55" t="str">
            <v>USWC17</v>
          </cell>
          <cell r="B55" t="str">
            <v>Cottam Point  Nanaimo BC</v>
          </cell>
          <cell r="C55">
            <v>49.315709999999903</v>
          </cell>
          <cell r="D55">
            <v>-124.21548999999899</v>
          </cell>
          <cell r="E55" t="str">
            <v>Vancouver</v>
          </cell>
        </row>
        <row r="56">
          <cell r="A56" t="str">
            <v>USWC18</v>
          </cell>
          <cell r="B56" t="str">
            <v>Madrona Point SW  Nainaimo BC</v>
          </cell>
          <cell r="C56">
            <v>49.313270000000003</v>
          </cell>
          <cell r="D56">
            <v>-124.243169999999</v>
          </cell>
          <cell r="E56" t="str">
            <v>Vancouver</v>
          </cell>
        </row>
        <row r="57">
          <cell r="A57" t="str">
            <v>USWC19</v>
          </cell>
          <cell r="B57" t="str">
            <v>Madrona Point NW  Nainaimo BC</v>
          </cell>
          <cell r="C57">
            <v>49.313569999999999</v>
          </cell>
          <cell r="D57">
            <v>-124.241939999999</v>
          </cell>
          <cell r="E57" t="str">
            <v>Vancouver</v>
          </cell>
        </row>
        <row r="58">
          <cell r="A58" t="str">
            <v>USWC2</v>
          </cell>
          <cell r="B58" t="str">
            <v>Scorpion Anchorage  Sta Cruz CA</v>
          </cell>
          <cell r="C58">
            <v>34.047979999999903</v>
          </cell>
          <cell r="D58">
            <v>-119.5514</v>
          </cell>
          <cell r="E58" t="str">
            <v>Channel Islands</v>
          </cell>
        </row>
        <row r="59">
          <cell r="A59" t="str">
            <v>USWC20</v>
          </cell>
          <cell r="B59" t="str">
            <v>Quathiaski Cove BC</v>
          </cell>
          <cell r="C59">
            <v>50.051540000000003</v>
          </cell>
          <cell r="D59">
            <v>-125.22526000000001</v>
          </cell>
          <cell r="E59" t="str">
            <v>Vancouver</v>
          </cell>
        </row>
        <row r="60">
          <cell r="A60" t="str">
            <v>USWC21</v>
          </cell>
          <cell r="B60" t="str">
            <v>Dolphin Beach East BC</v>
          </cell>
          <cell r="C60">
            <v>49.292499999999997</v>
          </cell>
          <cell r="D60">
            <v>-124.14351000000001</v>
          </cell>
          <cell r="E60" t="str">
            <v>Vancouver</v>
          </cell>
        </row>
        <row r="61">
          <cell r="A61" t="str">
            <v>USWC22</v>
          </cell>
          <cell r="B61" t="str">
            <v>Maple Cove  Vancouver I BC</v>
          </cell>
          <cell r="C61">
            <v>48.814749999999997</v>
          </cell>
          <cell r="D61">
            <v>-123.608539999999</v>
          </cell>
          <cell r="E61" t="str">
            <v>Vancouver</v>
          </cell>
        </row>
        <row r="62">
          <cell r="A62" t="str">
            <v>USWC23</v>
          </cell>
          <cell r="B62" t="str">
            <v>Kelvin Grove  BC</v>
          </cell>
          <cell r="C62">
            <v>49.450020000000002</v>
          </cell>
          <cell r="D62">
            <v>-123.24075999999999</v>
          </cell>
          <cell r="E62" t="str">
            <v>Vancouver</v>
          </cell>
        </row>
        <row r="63">
          <cell r="A63" t="str">
            <v>USWC3</v>
          </cell>
          <cell r="B63" t="str">
            <v>South Point  Sta Rosa CA</v>
          </cell>
          <cell r="C63">
            <v>33.892330000000001</v>
          </cell>
          <cell r="D63">
            <v>-120.1195</v>
          </cell>
          <cell r="E63" t="str">
            <v>Channel Islands</v>
          </cell>
        </row>
        <row r="64">
          <cell r="A64" t="str">
            <v>USWC4</v>
          </cell>
          <cell r="B64" t="str">
            <v>Chickasaw  Sta Rosa CA</v>
          </cell>
          <cell r="C64">
            <v>33.900370000000002</v>
          </cell>
          <cell r="D64">
            <v>-120.13563000000001</v>
          </cell>
          <cell r="E64" t="str">
            <v>Channel Islands</v>
          </cell>
        </row>
        <row r="65">
          <cell r="A65" t="str">
            <v>USWC5</v>
          </cell>
          <cell r="B65" t="str">
            <v>Johnson s Lee  Sta Rosa CA</v>
          </cell>
          <cell r="C65">
            <v>33.901420000000002</v>
          </cell>
          <cell r="D65">
            <v>-120.10221999999899</v>
          </cell>
          <cell r="E65" t="str">
            <v>Channel Islands</v>
          </cell>
        </row>
        <row r="66">
          <cell r="A66" t="str">
            <v>USWC6</v>
          </cell>
          <cell r="B66" t="str">
            <v>Johnsons Lee North  Sta Rosa CA</v>
          </cell>
          <cell r="C66">
            <v>33.901470000000003</v>
          </cell>
          <cell r="D66">
            <v>-120.10297</v>
          </cell>
          <cell r="E66" t="str">
            <v>Channel Islands</v>
          </cell>
        </row>
        <row r="67">
          <cell r="A67" t="str">
            <v>USWC7</v>
          </cell>
          <cell r="B67" t="str">
            <v>Pedro Reef  Santa Cruz</v>
          </cell>
          <cell r="C67">
            <v>34.03837</v>
          </cell>
          <cell r="D67">
            <v>-119.5253</v>
          </cell>
          <cell r="E67" t="str">
            <v>Channel Islands</v>
          </cell>
        </row>
        <row r="68">
          <cell r="A68" t="str">
            <v>USWC8</v>
          </cell>
          <cell r="B68" t="str">
            <v>Potato Pasture  Santa Cruz</v>
          </cell>
          <cell r="C68">
            <v>34.052169999999997</v>
          </cell>
          <cell r="D68">
            <v>-119.58211999999899</v>
          </cell>
          <cell r="E68" t="str">
            <v>Channel Islands</v>
          </cell>
        </row>
        <row r="69">
          <cell r="A69" t="str">
            <v>USWC9</v>
          </cell>
          <cell r="B69" t="str">
            <v>Hare Rock  San Miguel</v>
          </cell>
          <cell r="C69">
            <v>34.06438</v>
          </cell>
          <cell r="D69">
            <v>-120.3566</v>
          </cell>
          <cell r="E69" t="str">
            <v>Channel Islands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7C09-2E79-6F47-A95C-B3F8521E2B1E}">
  <dimension ref="A1:CJ468"/>
  <sheetViews>
    <sheetView topLeftCell="A48" workbookViewId="0"/>
  </sheetViews>
  <sheetFormatPr defaultColWidth="9.125" defaultRowHeight="15.95"/>
  <cols>
    <col min="1" max="1" width="2.875" style="15" customWidth="1"/>
    <col min="2" max="2" width="11.875" style="12" bestFit="1" customWidth="1"/>
    <col min="3" max="3" width="12.625" style="12" bestFit="1" customWidth="1"/>
    <col min="4" max="4" width="8.125" style="12" bestFit="1" customWidth="1"/>
    <col min="5" max="5" width="10.5" style="14" bestFit="1" customWidth="1"/>
    <col min="6" max="6" width="8.5" style="15" bestFit="1" customWidth="1"/>
    <col min="7" max="7" width="10.125" style="16" bestFit="1" customWidth="1"/>
    <col min="8" max="8" width="10.5" style="26" customWidth="1"/>
    <col min="9" max="9" width="3.625" style="12" customWidth="1"/>
    <col min="10" max="10" width="10.375" style="12" bestFit="1" customWidth="1"/>
    <col min="11" max="11" width="7.875" style="24" bestFit="1" customWidth="1"/>
    <col min="12" max="12" width="6.875" style="12" bestFit="1" customWidth="1"/>
    <col min="13" max="14" width="8.5" style="12" customWidth="1"/>
    <col min="15" max="15" width="6.5" style="12" customWidth="1"/>
    <col min="16" max="16" width="20.375" style="14" customWidth="1"/>
    <col min="17" max="17" width="20.375" style="15" customWidth="1"/>
    <col min="18" max="18" width="7.125" style="25" customWidth="1"/>
    <col min="19" max="19" width="6.625" style="12" customWidth="1"/>
    <col min="20" max="20" width="4" style="12" bestFit="1" customWidth="1"/>
    <col min="21" max="21" width="4.625" style="12" customWidth="1"/>
    <col min="22" max="22" width="4" style="12" bestFit="1" customWidth="1"/>
    <col min="23" max="23" width="4.375" style="12" customWidth="1"/>
    <col min="24" max="24" width="5" style="12" bestFit="1" customWidth="1"/>
    <col min="25" max="25" width="4" style="12" customWidth="1"/>
    <col min="26" max="31" width="3" style="12" bestFit="1" customWidth="1"/>
    <col min="32" max="32" width="5" style="12" bestFit="1" customWidth="1"/>
    <col min="33" max="33" width="3" style="12" bestFit="1" customWidth="1"/>
    <col min="34" max="34" width="5" style="12" bestFit="1" customWidth="1"/>
    <col min="35" max="35" width="4" style="12" bestFit="1" customWidth="1"/>
    <col min="36" max="36" width="6" style="12" bestFit="1" customWidth="1"/>
    <col min="37" max="37" width="4" style="12" bestFit="1" customWidth="1"/>
    <col min="38" max="38" width="6" style="12" bestFit="1" customWidth="1"/>
    <col min="39" max="39" width="4" style="12" bestFit="1" customWidth="1"/>
    <col min="40" max="40" width="6" style="12" bestFit="1" customWidth="1"/>
    <col min="41" max="41" width="4" style="12" bestFit="1" customWidth="1"/>
    <col min="42" max="42" width="6" style="12" bestFit="1" customWidth="1"/>
    <col min="43" max="47" width="4" style="12" bestFit="1" customWidth="1"/>
    <col min="48" max="16384" width="9.125" style="12"/>
  </cols>
  <sheetData>
    <row r="1" spans="1:88" s="10" customFormat="1" ht="17.100000000000001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2" t="s">
        <v>9</v>
      </c>
      <c r="K1" s="7" t="s">
        <v>10</v>
      </c>
      <c r="L1" s="2" t="s">
        <v>11</v>
      </c>
      <c r="M1" s="2" t="s">
        <v>12</v>
      </c>
      <c r="N1" s="2"/>
      <c r="O1" s="2" t="s">
        <v>13</v>
      </c>
      <c r="P1" s="3" t="s">
        <v>14</v>
      </c>
      <c r="Q1" s="4" t="s">
        <v>15</v>
      </c>
      <c r="R1" s="8" t="s">
        <v>16</v>
      </c>
      <c r="S1" s="9" t="s">
        <v>17</v>
      </c>
      <c r="T1" s="9">
        <f t="shared" ref="T1:AQ1" si="0">2.5*T2</f>
        <v>2.5</v>
      </c>
      <c r="U1" s="9">
        <f t="shared" si="0"/>
        <v>5</v>
      </c>
      <c r="V1" s="9">
        <f t="shared" si="0"/>
        <v>7.5</v>
      </c>
      <c r="W1" s="9">
        <f t="shared" si="0"/>
        <v>10</v>
      </c>
      <c r="X1" s="9">
        <f>2.5*X2</f>
        <v>12.5</v>
      </c>
      <c r="Y1" s="9">
        <f t="shared" si="0"/>
        <v>15</v>
      </c>
      <c r="Z1" s="9">
        <f>2.5*Z2</f>
        <v>20</v>
      </c>
      <c r="AA1" s="9">
        <f t="shared" si="0"/>
        <v>25</v>
      </c>
      <c r="AB1" s="9">
        <f t="shared" si="0"/>
        <v>30</v>
      </c>
      <c r="AC1" s="9">
        <f t="shared" si="0"/>
        <v>35</v>
      </c>
      <c r="AD1" s="9">
        <f t="shared" si="0"/>
        <v>40</v>
      </c>
      <c r="AE1" s="9">
        <f t="shared" si="0"/>
        <v>50</v>
      </c>
      <c r="AF1" s="9">
        <f t="shared" si="0"/>
        <v>62.5</v>
      </c>
      <c r="AG1" s="9">
        <f t="shared" si="0"/>
        <v>75</v>
      </c>
      <c r="AH1" s="9">
        <f t="shared" si="0"/>
        <v>87.5</v>
      </c>
      <c r="AI1" s="9">
        <f t="shared" si="0"/>
        <v>100</v>
      </c>
      <c r="AJ1" s="9">
        <f t="shared" si="0"/>
        <v>112.5</v>
      </c>
      <c r="AK1" s="9">
        <f t="shared" si="0"/>
        <v>125</v>
      </c>
      <c r="AL1" s="9">
        <f t="shared" si="0"/>
        <v>137.5</v>
      </c>
      <c r="AM1" s="9">
        <f t="shared" si="0"/>
        <v>150</v>
      </c>
      <c r="AN1" s="9">
        <f t="shared" si="0"/>
        <v>162.5</v>
      </c>
      <c r="AO1" s="9">
        <f t="shared" si="0"/>
        <v>175</v>
      </c>
      <c r="AP1" s="9">
        <f t="shared" si="0"/>
        <v>187.5</v>
      </c>
      <c r="AQ1" s="9">
        <f t="shared" si="0"/>
        <v>200</v>
      </c>
      <c r="AR1" s="9">
        <v>250</v>
      </c>
      <c r="AS1" s="9">
        <v>300</v>
      </c>
      <c r="AT1" s="9">
        <v>350</v>
      </c>
      <c r="AU1" s="9">
        <v>400</v>
      </c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</row>
    <row r="2" spans="1:88" s="13" customFormat="1">
      <c r="A2" s="11"/>
      <c r="B2" s="12"/>
      <c r="C2" s="12"/>
      <c r="E2" s="14"/>
      <c r="F2" s="15"/>
      <c r="G2" s="16"/>
      <c r="H2" s="17"/>
      <c r="K2" s="18">
        <v>0.5</v>
      </c>
      <c r="M2" s="13" t="s">
        <v>18</v>
      </c>
      <c r="P2" s="19">
        <v>2</v>
      </c>
      <c r="Q2" s="20">
        <v>3</v>
      </c>
      <c r="R2" s="21">
        <f>SUM(R3:R9999)</f>
        <v>0</v>
      </c>
      <c r="S2" s="13">
        <f>SUM(S3:S9999)</f>
        <v>0</v>
      </c>
      <c r="T2" s="13">
        <v>1</v>
      </c>
      <c r="U2" s="13">
        <v>2</v>
      </c>
      <c r="V2" s="13">
        <v>3</v>
      </c>
      <c r="W2" s="13">
        <v>4</v>
      </c>
      <c r="X2" s="13">
        <v>5</v>
      </c>
      <c r="Y2" s="13">
        <v>6</v>
      </c>
      <c r="Z2" s="13">
        <v>8</v>
      </c>
      <c r="AA2" s="13">
        <v>10</v>
      </c>
      <c r="AB2" s="13">
        <v>12</v>
      </c>
      <c r="AC2" s="13">
        <v>14</v>
      </c>
      <c r="AD2" s="13">
        <v>16</v>
      </c>
      <c r="AE2" s="13">
        <v>20</v>
      </c>
      <c r="AF2" s="13">
        <v>25</v>
      </c>
      <c r="AG2" s="13">
        <v>30</v>
      </c>
      <c r="AH2" s="13">
        <v>35</v>
      </c>
      <c r="AI2" s="13">
        <v>40</v>
      </c>
      <c r="AJ2" s="13">
        <v>45</v>
      </c>
      <c r="AK2" s="13">
        <v>50</v>
      </c>
      <c r="AL2" s="13">
        <v>55</v>
      </c>
      <c r="AM2" s="13">
        <v>60</v>
      </c>
      <c r="AN2" s="13">
        <v>65</v>
      </c>
      <c r="AO2" s="13">
        <v>70</v>
      </c>
      <c r="AP2" s="13">
        <v>75</v>
      </c>
      <c r="AQ2" s="13">
        <v>80</v>
      </c>
      <c r="AR2" s="13">
        <v>100</v>
      </c>
      <c r="AS2" s="13">
        <v>120</v>
      </c>
      <c r="AT2" s="13">
        <v>140</v>
      </c>
      <c r="AU2" s="13">
        <v>160</v>
      </c>
    </row>
    <row r="3" spans="1:88">
      <c r="A3" s="14">
        <f>MAX($A$1:$A2)+1</f>
        <v>1</v>
      </c>
      <c r="B3" s="22" t="s">
        <v>19</v>
      </c>
      <c r="C3" s="22" t="s">
        <v>20</v>
      </c>
      <c r="D3" s="22">
        <v>0</v>
      </c>
      <c r="E3" s="14" t="str">
        <f>IF(ISERROR(VLOOKUP($D3,[1]SITES!$A:$E,2,FALSE)),"",VLOOKUP($D3,[1]SITES!$A:$E,2,FALSE))</f>
        <v/>
      </c>
      <c r="F3" s="15" t="str">
        <f>IF(ISERROR(VLOOKUP($D3,[1]SITES!$A:$E,3,FALSE)),"",VLOOKUP($D3,[1]SITES!$A:$E,3,FALSE))</f>
        <v/>
      </c>
      <c r="G3" s="16" t="str">
        <f>IF(ISERROR(VLOOKUP($D3,[1]SITES!$A:$E,4,FALSE)),"",VLOOKUP($D3,[1]SITES!$A:$E,4,FALSE))</f>
        <v/>
      </c>
      <c r="H3" s="23" t="s">
        <v>21</v>
      </c>
      <c r="I3" s="22" t="s">
        <v>22</v>
      </c>
      <c r="J3" s="22" t="s">
        <v>23</v>
      </c>
      <c r="K3" s="24" t="s">
        <v>24</v>
      </c>
      <c r="L3" s="22" t="s">
        <v>25</v>
      </c>
      <c r="M3" s="22" t="s">
        <v>26</v>
      </c>
      <c r="N3" s="22" t="s">
        <v>27</v>
      </c>
      <c r="O3" s="22"/>
      <c r="Q3" s="14"/>
      <c r="R3" s="25">
        <f>SUM(S3:AU3)</f>
        <v>0</v>
      </c>
      <c r="S3" s="12">
        <v>0</v>
      </c>
      <c r="U3" s="22"/>
    </row>
    <row r="4" spans="1:88">
      <c r="A4" s="14">
        <f>MAX($A$1:$A3)+1</f>
        <v>2</v>
      </c>
      <c r="B4" s="12" t="str">
        <f>IF(ISERROR(B3),IF(ISERROR(B2),IF(ISERROR(B1),"BLANK",B1),B2),B3)</f>
        <v>DIVER NAME</v>
      </c>
      <c r="C4" s="12" t="str">
        <f>IF(ISERROR(C3),IF(ISERROR(C2),IF(ISERROR(C1),"BLANK",C1),C2),C3)</f>
        <v>BUDDY NAME</v>
      </c>
      <c r="D4" s="12">
        <f>IF(ISERROR(D3),IF(ISERROR(D2),IF(ISERROR(D1),"BLANK",D1),D2),D3)</f>
        <v>0</v>
      </c>
      <c r="E4" s="14" t="str">
        <f>IF(ISERROR(VLOOKUP($D4,[1]SITES!$A:$E,2,FALSE)),"",VLOOKUP($D4,[1]SITES!$A:$E,2,FALSE))</f>
        <v/>
      </c>
      <c r="F4" s="15" t="str">
        <f>IF(ISERROR(VLOOKUP($D4,[1]SITES!$A:$E,3,FALSE)),"",VLOOKUP($D4,[1]SITES!$A:$E,3,FALSE))</f>
        <v/>
      </c>
      <c r="G4" s="16" t="str">
        <f>IF(ISERROR(VLOOKUP($D4,[1]SITES!$A:$E,4,FALSE)),"",VLOOKUP($D4,[1]SITES!$A:$E,4,FALSE))</f>
        <v/>
      </c>
      <c r="H4" s="26" t="str">
        <f t="shared" ref="H4:M19" si="1">IF(ISERROR(H3),IF(ISERROR(H2),IF(ISERROR(H1),"BLANK",H1),H2),H3)</f>
        <v>DATE</v>
      </c>
      <c r="I4" s="12" t="str">
        <f t="shared" si="1"/>
        <v>VIS</v>
      </c>
      <c r="J4" s="12" t="str">
        <f t="shared" si="1"/>
        <v>DIRECTION</v>
      </c>
      <c r="K4" s="24" t="str">
        <f t="shared" si="1"/>
        <v>TIME</v>
      </c>
      <c r="L4" s="12" t="str">
        <f t="shared" si="1"/>
        <v>DEPTH</v>
      </c>
      <c r="M4" s="12" t="str">
        <f t="shared" si="1"/>
        <v>BLOCK</v>
      </c>
      <c r="O4" s="22"/>
      <c r="Q4" s="14"/>
      <c r="R4" s="25">
        <f>SUM(S4:AU4)</f>
        <v>0</v>
      </c>
      <c r="S4" s="12">
        <v>0</v>
      </c>
    </row>
    <row r="5" spans="1:88">
      <c r="A5" s="14">
        <f>MAX($A$1:$A4)+1</f>
        <v>3</v>
      </c>
      <c r="B5" s="12" t="str">
        <f t="shared" ref="B5:D20" si="2">IF(ISERROR(B4),IF(ISERROR(B3),IF(ISERROR(B2),"BLANK",B2),B3),B4)</f>
        <v>DIVER NAME</v>
      </c>
      <c r="C5" s="12" t="str">
        <f t="shared" si="2"/>
        <v>BUDDY NAME</v>
      </c>
      <c r="D5" s="12">
        <f t="shared" si="2"/>
        <v>0</v>
      </c>
      <c r="E5" s="14" t="str">
        <f>IF(ISERROR(VLOOKUP($D5,[1]SITES!$A:$E,2,FALSE)),"",VLOOKUP($D5,[1]SITES!$A:$E,2,FALSE))</f>
        <v/>
      </c>
      <c r="F5" s="15" t="str">
        <f>IF(ISERROR(VLOOKUP($D5,[1]SITES!$A:$E,3,FALSE)),"",VLOOKUP($D5,[1]SITES!$A:$E,3,FALSE))</f>
        <v/>
      </c>
      <c r="G5" s="16" t="str">
        <f>IF(ISERROR(VLOOKUP($D5,[1]SITES!$A:$E,4,FALSE)),"",VLOOKUP($D5,[1]SITES!$A:$E,4,FALSE))</f>
        <v/>
      </c>
      <c r="H5" s="26" t="str">
        <f t="shared" si="1"/>
        <v>DATE</v>
      </c>
      <c r="I5" s="12" t="str">
        <f t="shared" si="1"/>
        <v>VIS</v>
      </c>
      <c r="J5" s="12" t="str">
        <f t="shared" si="1"/>
        <v>DIRECTION</v>
      </c>
      <c r="K5" s="24" t="str">
        <f t="shared" si="1"/>
        <v>TIME</v>
      </c>
      <c r="L5" s="12" t="str">
        <f t="shared" si="1"/>
        <v>DEPTH</v>
      </c>
      <c r="M5" s="12" t="str">
        <f t="shared" si="1"/>
        <v>BLOCK</v>
      </c>
      <c r="O5" s="22"/>
      <c r="Q5" s="14"/>
      <c r="R5" s="25">
        <f t="shared" ref="R5:R34" si="3">SUM(S5:AU5)</f>
        <v>0</v>
      </c>
      <c r="S5" s="12">
        <v>0</v>
      </c>
    </row>
    <row r="6" spans="1:88">
      <c r="A6" s="14">
        <f>MAX($A$1:$A5)+1</f>
        <v>4</v>
      </c>
      <c r="B6" s="12" t="str">
        <f t="shared" si="2"/>
        <v>DIVER NAME</v>
      </c>
      <c r="C6" s="12" t="str">
        <f t="shared" si="2"/>
        <v>BUDDY NAME</v>
      </c>
      <c r="D6" s="12">
        <f t="shared" si="2"/>
        <v>0</v>
      </c>
      <c r="E6" s="14" t="str">
        <f>IF(ISERROR(VLOOKUP($D6,[1]SITES!$A:$E,2,FALSE)),"",VLOOKUP($D6,[1]SITES!$A:$E,2,FALSE))</f>
        <v/>
      </c>
      <c r="F6" s="15" t="str">
        <f>IF(ISERROR(VLOOKUP($D6,[1]SITES!$A:$E,3,FALSE)),"",VLOOKUP($D6,[1]SITES!$A:$E,3,FALSE))</f>
        <v/>
      </c>
      <c r="G6" s="16" t="str">
        <f>IF(ISERROR(VLOOKUP($D6,[1]SITES!$A:$E,4,FALSE)),"",VLOOKUP($D6,[1]SITES!$A:$E,4,FALSE))</f>
        <v/>
      </c>
      <c r="H6" s="26" t="str">
        <f t="shared" si="1"/>
        <v>DATE</v>
      </c>
      <c r="I6" s="12" t="str">
        <f t="shared" si="1"/>
        <v>VIS</v>
      </c>
      <c r="J6" s="12" t="str">
        <f t="shared" si="1"/>
        <v>DIRECTION</v>
      </c>
      <c r="K6" s="24" t="str">
        <f t="shared" si="1"/>
        <v>TIME</v>
      </c>
      <c r="L6" s="12" t="str">
        <f t="shared" si="1"/>
        <v>DEPTH</v>
      </c>
      <c r="M6" s="12" t="str">
        <f t="shared" si="1"/>
        <v>BLOCK</v>
      </c>
      <c r="O6" s="22"/>
      <c r="Q6" s="14"/>
      <c r="R6" s="25">
        <f t="shared" si="3"/>
        <v>0</v>
      </c>
      <c r="S6" s="12">
        <v>0</v>
      </c>
    </row>
    <row r="7" spans="1:88">
      <c r="A7" s="14">
        <f>MAX($A$1:$A6)+1</f>
        <v>5</v>
      </c>
      <c r="B7" s="12" t="str">
        <f t="shared" si="2"/>
        <v>DIVER NAME</v>
      </c>
      <c r="C7" s="12" t="str">
        <f t="shared" si="2"/>
        <v>BUDDY NAME</v>
      </c>
      <c r="D7" s="12">
        <f t="shared" si="2"/>
        <v>0</v>
      </c>
      <c r="E7" s="14" t="str">
        <f>IF(ISERROR(VLOOKUP($D7,[1]SITES!$A:$E,2,FALSE)),"",VLOOKUP($D7,[1]SITES!$A:$E,2,FALSE))</f>
        <v/>
      </c>
      <c r="F7" s="15" t="str">
        <f>IF(ISERROR(VLOOKUP($D7,[1]SITES!$A:$E,3,FALSE)),"",VLOOKUP($D7,[1]SITES!$A:$E,3,FALSE))</f>
        <v/>
      </c>
      <c r="G7" s="16" t="str">
        <f>IF(ISERROR(VLOOKUP($D7,[1]SITES!$A:$E,4,FALSE)),"",VLOOKUP($D7,[1]SITES!$A:$E,4,FALSE))</f>
        <v/>
      </c>
      <c r="H7" s="26" t="str">
        <f t="shared" si="1"/>
        <v>DATE</v>
      </c>
      <c r="I7" s="12" t="str">
        <f t="shared" si="1"/>
        <v>VIS</v>
      </c>
      <c r="J7" s="12" t="str">
        <f t="shared" si="1"/>
        <v>DIRECTION</v>
      </c>
      <c r="K7" s="24" t="str">
        <f t="shared" si="1"/>
        <v>TIME</v>
      </c>
      <c r="L7" s="12" t="str">
        <f t="shared" si="1"/>
        <v>DEPTH</v>
      </c>
      <c r="M7" s="12" t="str">
        <f t="shared" si="1"/>
        <v>BLOCK</v>
      </c>
      <c r="O7" s="22"/>
      <c r="Q7" s="14"/>
      <c r="R7" s="25">
        <f t="shared" si="3"/>
        <v>0</v>
      </c>
      <c r="S7" s="12">
        <v>0</v>
      </c>
    </row>
    <row r="8" spans="1:88">
      <c r="A8" s="14">
        <f>MAX($A$1:$A7)+1</f>
        <v>6</v>
      </c>
      <c r="B8" s="12" t="str">
        <f t="shared" si="2"/>
        <v>DIVER NAME</v>
      </c>
      <c r="C8" s="12" t="str">
        <f t="shared" si="2"/>
        <v>BUDDY NAME</v>
      </c>
      <c r="D8" s="12">
        <f t="shared" si="2"/>
        <v>0</v>
      </c>
      <c r="E8" s="14" t="str">
        <f>IF(ISERROR(VLOOKUP($D8,[1]SITES!$A:$E,2,FALSE)),"",VLOOKUP($D8,[1]SITES!$A:$E,2,FALSE))</f>
        <v/>
      </c>
      <c r="F8" s="15" t="str">
        <f>IF(ISERROR(VLOOKUP($D8,[1]SITES!$A:$E,3,FALSE)),"",VLOOKUP($D8,[1]SITES!$A:$E,3,FALSE))</f>
        <v/>
      </c>
      <c r="G8" s="16" t="str">
        <f>IF(ISERROR(VLOOKUP($D8,[1]SITES!$A:$E,4,FALSE)),"",VLOOKUP($D8,[1]SITES!$A:$E,4,FALSE))</f>
        <v/>
      </c>
      <c r="H8" s="26" t="str">
        <f t="shared" si="1"/>
        <v>DATE</v>
      </c>
      <c r="I8" s="12" t="str">
        <f t="shared" si="1"/>
        <v>VIS</v>
      </c>
      <c r="J8" s="12" t="str">
        <f t="shared" si="1"/>
        <v>DIRECTION</v>
      </c>
      <c r="K8" s="24" t="str">
        <f t="shared" si="1"/>
        <v>TIME</v>
      </c>
      <c r="L8" s="12" t="str">
        <f t="shared" si="1"/>
        <v>DEPTH</v>
      </c>
      <c r="M8" s="12" t="str">
        <f t="shared" si="1"/>
        <v>BLOCK</v>
      </c>
      <c r="O8" s="22"/>
      <c r="Q8" s="14"/>
      <c r="R8" s="25">
        <f t="shared" si="3"/>
        <v>0</v>
      </c>
      <c r="S8" s="12">
        <v>0</v>
      </c>
    </row>
    <row r="9" spans="1:88">
      <c r="A9" s="14">
        <f>MAX($A$1:$A8)+1</f>
        <v>7</v>
      </c>
      <c r="B9" s="12" t="str">
        <f t="shared" si="2"/>
        <v>DIVER NAME</v>
      </c>
      <c r="C9" s="12" t="str">
        <f t="shared" si="2"/>
        <v>BUDDY NAME</v>
      </c>
      <c r="D9" s="12">
        <f t="shared" si="2"/>
        <v>0</v>
      </c>
      <c r="E9" s="14" t="str">
        <f>IF(ISERROR(VLOOKUP($D9,[1]SITES!$A:$E,2,FALSE)),"",VLOOKUP($D9,[1]SITES!$A:$E,2,FALSE))</f>
        <v/>
      </c>
      <c r="F9" s="15" t="str">
        <f>IF(ISERROR(VLOOKUP($D9,[1]SITES!$A:$E,3,FALSE)),"",VLOOKUP($D9,[1]SITES!$A:$E,3,FALSE))</f>
        <v/>
      </c>
      <c r="G9" s="16" t="str">
        <f>IF(ISERROR(VLOOKUP($D9,[1]SITES!$A:$E,4,FALSE)),"",VLOOKUP($D9,[1]SITES!$A:$E,4,FALSE))</f>
        <v/>
      </c>
      <c r="H9" s="26" t="str">
        <f t="shared" si="1"/>
        <v>DATE</v>
      </c>
      <c r="I9" s="12" t="str">
        <f t="shared" si="1"/>
        <v>VIS</v>
      </c>
      <c r="J9" s="12" t="str">
        <f t="shared" si="1"/>
        <v>DIRECTION</v>
      </c>
      <c r="K9" s="24" t="str">
        <f t="shared" si="1"/>
        <v>TIME</v>
      </c>
      <c r="L9" s="12" t="str">
        <f t="shared" si="1"/>
        <v>DEPTH</v>
      </c>
      <c r="M9" s="12" t="str">
        <f t="shared" si="1"/>
        <v>BLOCK</v>
      </c>
      <c r="O9" s="22"/>
      <c r="Q9" s="14"/>
      <c r="R9" s="25">
        <f t="shared" si="3"/>
        <v>0</v>
      </c>
      <c r="S9" s="12">
        <v>0</v>
      </c>
    </row>
    <row r="10" spans="1:88">
      <c r="A10" s="14">
        <f>MAX($A$1:$A9)+1</f>
        <v>8</v>
      </c>
      <c r="B10" s="12" t="str">
        <f t="shared" si="2"/>
        <v>DIVER NAME</v>
      </c>
      <c r="C10" s="12" t="str">
        <f t="shared" si="2"/>
        <v>BUDDY NAME</v>
      </c>
      <c r="D10" s="12">
        <f t="shared" si="2"/>
        <v>0</v>
      </c>
      <c r="E10" s="14" t="str">
        <f>IF(ISERROR(VLOOKUP($D10,[1]SITES!$A:$E,2,FALSE)),"",VLOOKUP($D10,[1]SITES!$A:$E,2,FALSE))</f>
        <v/>
      </c>
      <c r="F10" s="15" t="str">
        <f>IF(ISERROR(VLOOKUP($D10,[1]SITES!$A:$E,3,FALSE)),"",VLOOKUP($D10,[1]SITES!$A:$E,3,FALSE))</f>
        <v/>
      </c>
      <c r="G10" s="16" t="str">
        <f>IF(ISERROR(VLOOKUP($D10,[1]SITES!$A:$E,4,FALSE)),"",VLOOKUP($D10,[1]SITES!$A:$E,4,FALSE))</f>
        <v/>
      </c>
      <c r="H10" s="26" t="str">
        <f t="shared" si="1"/>
        <v>DATE</v>
      </c>
      <c r="I10" s="12" t="str">
        <f t="shared" si="1"/>
        <v>VIS</v>
      </c>
      <c r="J10" s="12" t="str">
        <f t="shared" si="1"/>
        <v>DIRECTION</v>
      </c>
      <c r="K10" s="24" t="str">
        <f t="shared" si="1"/>
        <v>TIME</v>
      </c>
      <c r="L10" s="12" t="str">
        <f t="shared" si="1"/>
        <v>DEPTH</v>
      </c>
      <c r="M10" s="12" t="str">
        <f t="shared" si="1"/>
        <v>BLOCK</v>
      </c>
      <c r="O10" s="22"/>
      <c r="Q10" s="14"/>
      <c r="R10" s="25">
        <f t="shared" si="3"/>
        <v>0</v>
      </c>
      <c r="S10" s="12">
        <v>0</v>
      </c>
    </row>
    <row r="11" spans="1:88">
      <c r="A11" s="14">
        <f>MAX($A$1:$A10)+1</f>
        <v>9</v>
      </c>
      <c r="B11" s="12" t="str">
        <f t="shared" si="2"/>
        <v>DIVER NAME</v>
      </c>
      <c r="C11" s="12" t="str">
        <f t="shared" si="2"/>
        <v>BUDDY NAME</v>
      </c>
      <c r="D11" s="12">
        <f t="shared" si="2"/>
        <v>0</v>
      </c>
      <c r="E11" s="14" t="str">
        <f>IF(ISERROR(VLOOKUP($D11,[1]SITES!$A:$E,2,FALSE)),"",VLOOKUP($D11,[1]SITES!$A:$E,2,FALSE))</f>
        <v/>
      </c>
      <c r="F11" s="15" t="str">
        <f>IF(ISERROR(VLOOKUP($D11,[1]SITES!$A:$E,3,FALSE)),"",VLOOKUP($D11,[1]SITES!$A:$E,3,FALSE))</f>
        <v/>
      </c>
      <c r="G11" s="16" t="str">
        <f>IF(ISERROR(VLOOKUP($D11,[1]SITES!$A:$E,4,FALSE)),"",VLOOKUP($D11,[1]SITES!$A:$E,4,FALSE))</f>
        <v/>
      </c>
      <c r="H11" s="26" t="str">
        <f t="shared" si="1"/>
        <v>DATE</v>
      </c>
      <c r="I11" s="12" t="str">
        <f t="shared" si="1"/>
        <v>VIS</v>
      </c>
      <c r="J11" s="12" t="str">
        <f t="shared" si="1"/>
        <v>DIRECTION</v>
      </c>
      <c r="K11" s="24" t="str">
        <f t="shared" si="1"/>
        <v>TIME</v>
      </c>
      <c r="L11" s="12" t="str">
        <f t="shared" si="1"/>
        <v>DEPTH</v>
      </c>
      <c r="M11" s="12" t="str">
        <f t="shared" si="1"/>
        <v>BLOCK</v>
      </c>
      <c r="O11" s="22"/>
      <c r="Q11" s="14"/>
      <c r="R11" s="25">
        <f t="shared" si="3"/>
        <v>0</v>
      </c>
      <c r="S11" s="12">
        <v>0</v>
      </c>
    </row>
    <row r="12" spans="1:88">
      <c r="A12" s="14">
        <f>MAX($A$1:$A11)+1</f>
        <v>10</v>
      </c>
      <c r="B12" s="12" t="str">
        <f t="shared" si="2"/>
        <v>DIVER NAME</v>
      </c>
      <c r="C12" s="12" t="str">
        <f t="shared" si="2"/>
        <v>BUDDY NAME</v>
      </c>
      <c r="D12" s="12">
        <f t="shared" si="2"/>
        <v>0</v>
      </c>
      <c r="E12" s="14" t="str">
        <f>IF(ISERROR(VLOOKUP($D12,[1]SITES!$A:$E,2,FALSE)),"",VLOOKUP($D12,[1]SITES!$A:$E,2,FALSE))</f>
        <v/>
      </c>
      <c r="F12" s="15" t="str">
        <f>IF(ISERROR(VLOOKUP($D12,[1]SITES!$A:$E,3,FALSE)),"",VLOOKUP($D12,[1]SITES!$A:$E,3,FALSE))</f>
        <v/>
      </c>
      <c r="G12" s="16" t="str">
        <f>IF(ISERROR(VLOOKUP($D12,[1]SITES!$A:$E,4,FALSE)),"",VLOOKUP($D12,[1]SITES!$A:$E,4,FALSE))</f>
        <v/>
      </c>
      <c r="H12" s="26" t="str">
        <f t="shared" si="1"/>
        <v>DATE</v>
      </c>
      <c r="I12" s="12" t="str">
        <f t="shared" si="1"/>
        <v>VIS</v>
      </c>
      <c r="J12" s="12" t="str">
        <f t="shared" si="1"/>
        <v>DIRECTION</v>
      </c>
      <c r="K12" s="24" t="str">
        <f t="shared" si="1"/>
        <v>TIME</v>
      </c>
      <c r="L12" s="12" t="str">
        <f t="shared" si="1"/>
        <v>DEPTH</v>
      </c>
      <c r="M12" s="12" t="str">
        <f t="shared" si="1"/>
        <v>BLOCK</v>
      </c>
      <c r="O12" s="22"/>
      <c r="Q12" s="14"/>
      <c r="R12" s="25">
        <f t="shared" si="3"/>
        <v>0</v>
      </c>
      <c r="S12" s="12">
        <v>0</v>
      </c>
    </row>
    <row r="13" spans="1:88">
      <c r="A13" s="14">
        <f>MAX($A$1:$A12)+1</f>
        <v>11</v>
      </c>
      <c r="B13" s="12" t="str">
        <f t="shared" si="2"/>
        <v>DIVER NAME</v>
      </c>
      <c r="C13" s="12" t="str">
        <f t="shared" si="2"/>
        <v>BUDDY NAME</v>
      </c>
      <c r="D13" s="12">
        <f t="shared" si="2"/>
        <v>0</v>
      </c>
      <c r="E13" s="14" t="str">
        <f>IF(ISERROR(VLOOKUP($D13,[1]SITES!$A:$E,2,FALSE)),"",VLOOKUP($D13,[1]SITES!$A:$E,2,FALSE))</f>
        <v/>
      </c>
      <c r="F13" s="15" t="str">
        <f>IF(ISERROR(VLOOKUP($D13,[1]SITES!$A:$E,3,FALSE)),"",VLOOKUP($D13,[1]SITES!$A:$E,3,FALSE))</f>
        <v/>
      </c>
      <c r="G13" s="16" t="str">
        <f>IF(ISERROR(VLOOKUP($D13,[1]SITES!$A:$E,4,FALSE)),"",VLOOKUP($D13,[1]SITES!$A:$E,4,FALSE))</f>
        <v/>
      </c>
      <c r="H13" s="26" t="str">
        <f t="shared" si="1"/>
        <v>DATE</v>
      </c>
      <c r="I13" s="12" t="str">
        <f t="shared" si="1"/>
        <v>VIS</v>
      </c>
      <c r="J13" s="12" t="str">
        <f t="shared" si="1"/>
        <v>DIRECTION</v>
      </c>
      <c r="K13" s="24" t="str">
        <f t="shared" si="1"/>
        <v>TIME</v>
      </c>
      <c r="L13" s="12" t="str">
        <f t="shared" si="1"/>
        <v>DEPTH</v>
      </c>
      <c r="M13" s="12" t="str">
        <f t="shared" si="1"/>
        <v>BLOCK</v>
      </c>
      <c r="O13" s="22"/>
      <c r="Q13" s="14"/>
      <c r="R13" s="25">
        <f t="shared" si="3"/>
        <v>0</v>
      </c>
      <c r="S13" s="12">
        <v>0</v>
      </c>
    </row>
    <row r="14" spans="1:88">
      <c r="A14" s="14">
        <f>MAX($A$1:$A13)+1</f>
        <v>12</v>
      </c>
      <c r="B14" s="12" t="str">
        <f t="shared" si="2"/>
        <v>DIVER NAME</v>
      </c>
      <c r="C14" s="12" t="str">
        <f t="shared" si="2"/>
        <v>BUDDY NAME</v>
      </c>
      <c r="D14" s="12">
        <f t="shared" si="2"/>
        <v>0</v>
      </c>
      <c r="E14" s="14" t="str">
        <f>IF(ISERROR(VLOOKUP($D14,[1]SITES!$A:$E,2,FALSE)),"",VLOOKUP($D14,[1]SITES!$A:$E,2,FALSE))</f>
        <v/>
      </c>
      <c r="F14" s="15" t="str">
        <f>IF(ISERROR(VLOOKUP($D14,[1]SITES!$A:$E,3,FALSE)),"",VLOOKUP($D14,[1]SITES!$A:$E,3,FALSE))</f>
        <v/>
      </c>
      <c r="G14" s="16" t="str">
        <f>IF(ISERROR(VLOOKUP($D14,[1]SITES!$A:$E,4,FALSE)),"",VLOOKUP($D14,[1]SITES!$A:$E,4,FALSE))</f>
        <v/>
      </c>
      <c r="H14" s="26" t="str">
        <f t="shared" si="1"/>
        <v>DATE</v>
      </c>
      <c r="I14" s="12" t="str">
        <f t="shared" si="1"/>
        <v>VIS</v>
      </c>
      <c r="J14" s="12" t="str">
        <f t="shared" si="1"/>
        <v>DIRECTION</v>
      </c>
      <c r="K14" s="24" t="str">
        <f t="shared" si="1"/>
        <v>TIME</v>
      </c>
      <c r="L14" s="12" t="str">
        <f t="shared" si="1"/>
        <v>DEPTH</v>
      </c>
      <c r="M14" s="12" t="str">
        <f t="shared" si="1"/>
        <v>BLOCK</v>
      </c>
      <c r="O14" s="22"/>
      <c r="Q14" s="14"/>
      <c r="R14" s="25">
        <f t="shared" si="3"/>
        <v>0</v>
      </c>
      <c r="S14" s="12">
        <v>0</v>
      </c>
    </row>
    <row r="15" spans="1:88">
      <c r="A15" s="14">
        <f>MAX($A$1:$A14)+1</f>
        <v>13</v>
      </c>
      <c r="B15" s="12" t="str">
        <f t="shared" si="2"/>
        <v>DIVER NAME</v>
      </c>
      <c r="C15" s="12" t="str">
        <f t="shared" si="2"/>
        <v>BUDDY NAME</v>
      </c>
      <c r="D15" s="12">
        <f t="shared" si="2"/>
        <v>0</v>
      </c>
      <c r="E15" s="14" t="str">
        <f>IF(ISERROR(VLOOKUP($D15,[1]SITES!$A:$E,2,FALSE)),"",VLOOKUP($D15,[1]SITES!$A:$E,2,FALSE))</f>
        <v/>
      </c>
      <c r="F15" s="15" t="str">
        <f>IF(ISERROR(VLOOKUP($D15,[1]SITES!$A:$E,3,FALSE)),"",VLOOKUP($D15,[1]SITES!$A:$E,3,FALSE))</f>
        <v/>
      </c>
      <c r="G15" s="16" t="str">
        <f>IF(ISERROR(VLOOKUP($D15,[1]SITES!$A:$E,4,FALSE)),"",VLOOKUP($D15,[1]SITES!$A:$E,4,FALSE))</f>
        <v/>
      </c>
      <c r="H15" s="26" t="str">
        <f t="shared" si="1"/>
        <v>DATE</v>
      </c>
      <c r="I15" s="12" t="str">
        <f t="shared" si="1"/>
        <v>VIS</v>
      </c>
      <c r="J15" s="12" t="str">
        <f t="shared" si="1"/>
        <v>DIRECTION</v>
      </c>
      <c r="K15" s="24" t="str">
        <f t="shared" si="1"/>
        <v>TIME</v>
      </c>
      <c r="L15" s="12" t="str">
        <f t="shared" si="1"/>
        <v>DEPTH</v>
      </c>
      <c r="M15" s="12" t="str">
        <f t="shared" si="1"/>
        <v>BLOCK</v>
      </c>
      <c r="O15" s="22"/>
      <c r="Q15" s="14"/>
      <c r="R15" s="25">
        <f t="shared" si="3"/>
        <v>0</v>
      </c>
      <c r="S15" s="12">
        <v>0</v>
      </c>
    </row>
    <row r="16" spans="1:88">
      <c r="A16" s="14">
        <f>MAX($A$1:$A15)+1</f>
        <v>14</v>
      </c>
      <c r="B16" s="12" t="str">
        <f t="shared" si="2"/>
        <v>DIVER NAME</v>
      </c>
      <c r="C16" s="12" t="str">
        <f t="shared" si="2"/>
        <v>BUDDY NAME</v>
      </c>
      <c r="D16" s="12">
        <f t="shared" si="2"/>
        <v>0</v>
      </c>
      <c r="E16" s="14" t="str">
        <f>IF(ISERROR(VLOOKUP($D16,[1]SITES!$A:$E,2,FALSE)),"",VLOOKUP($D16,[1]SITES!$A:$E,2,FALSE))</f>
        <v/>
      </c>
      <c r="F16" s="15" t="str">
        <f>IF(ISERROR(VLOOKUP($D16,[1]SITES!$A:$E,3,FALSE)),"",VLOOKUP($D16,[1]SITES!$A:$E,3,FALSE))</f>
        <v/>
      </c>
      <c r="G16" s="16" t="str">
        <f>IF(ISERROR(VLOOKUP($D16,[1]SITES!$A:$E,4,FALSE)),"",VLOOKUP($D16,[1]SITES!$A:$E,4,FALSE))</f>
        <v/>
      </c>
      <c r="H16" s="26" t="str">
        <f t="shared" si="1"/>
        <v>DATE</v>
      </c>
      <c r="I16" s="12" t="str">
        <f t="shared" si="1"/>
        <v>VIS</v>
      </c>
      <c r="J16" s="12" t="str">
        <f t="shared" si="1"/>
        <v>DIRECTION</v>
      </c>
      <c r="K16" s="24" t="str">
        <f t="shared" si="1"/>
        <v>TIME</v>
      </c>
      <c r="L16" s="12" t="str">
        <f t="shared" si="1"/>
        <v>DEPTH</v>
      </c>
      <c r="M16" s="12" t="str">
        <f t="shared" si="1"/>
        <v>BLOCK</v>
      </c>
      <c r="O16" s="22"/>
      <c r="Q16" s="14"/>
      <c r="R16" s="25">
        <f t="shared" si="3"/>
        <v>0</v>
      </c>
      <c r="S16" s="12">
        <v>0</v>
      </c>
    </row>
    <row r="17" spans="1:19">
      <c r="A17" s="14">
        <f>MAX($A$1:$A16)+1</f>
        <v>15</v>
      </c>
      <c r="B17" s="12" t="str">
        <f t="shared" si="2"/>
        <v>DIVER NAME</v>
      </c>
      <c r="C17" s="12" t="str">
        <f t="shared" si="2"/>
        <v>BUDDY NAME</v>
      </c>
      <c r="D17" s="12">
        <f t="shared" si="2"/>
        <v>0</v>
      </c>
      <c r="E17" s="14" t="str">
        <f>IF(ISERROR(VLOOKUP($D17,[1]SITES!$A:$E,2,FALSE)),"",VLOOKUP($D17,[1]SITES!$A:$E,2,FALSE))</f>
        <v/>
      </c>
      <c r="F17" s="15" t="str">
        <f>IF(ISERROR(VLOOKUP($D17,[1]SITES!$A:$E,3,FALSE)),"",VLOOKUP($D17,[1]SITES!$A:$E,3,FALSE))</f>
        <v/>
      </c>
      <c r="G17" s="16" t="str">
        <f>IF(ISERROR(VLOOKUP($D17,[1]SITES!$A:$E,4,FALSE)),"",VLOOKUP($D17,[1]SITES!$A:$E,4,FALSE))</f>
        <v/>
      </c>
      <c r="H17" s="26" t="str">
        <f t="shared" si="1"/>
        <v>DATE</v>
      </c>
      <c r="I17" s="12" t="str">
        <f t="shared" si="1"/>
        <v>VIS</v>
      </c>
      <c r="J17" s="12" t="str">
        <f t="shared" si="1"/>
        <v>DIRECTION</v>
      </c>
      <c r="K17" s="24" t="str">
        <f t="shared" si="1"/>
        <v>TIME</v>
      </c>
      <c r="L17" s="12" t="str">
        <f t="shared" si="1"/>
        <v>DEPTH</v>
      </c>
      <c r="M17" s="12" t="str">
        <f t="shared" si="1"/>
        <v>BLOCK</v>
      </c>
      <c r="O17" s="22"/>
      <c r="Q17" s="14"/>
      <c r="R17" s="25">
        <f t="shared" si="3"/>
        <v>0</v>
      </c>
      <c r="S17" s="12">
        <v>0</v>
      </c>
    </row>
    <row r="18" spans="1:19">
      <c r="A18" s="14">
        <f>MAX($A$1:$A17)+1</f>
        <v>16</v>
      </c>
      <c r="B18" s="12" t="str">
        <f t="shared" si="2"/>
        <v>DIVER NAME</v>
      </c>
      <c r="C18" s="12" t="str">
        <f t="shared" si="2"/>
        <v>BUDDY NAME</v>
      </c>
      <c r="D18" s="12">
        <f t="shared" si="2"/>
        <v>0</v>
      </c>
      <c r="E18" s="14" t="str">
        <f>IF(ISERROR(VLOOKUP($D18,[1]SITES!$A:$E,2,FALSE)),"",VLOOKUP($D18,[1]SITES!$A:$E,2,FALSE))</f>
        <v/>
      </c>
      <c r="F18" s="15" t="str">
        <f>IF(ISERROR(VLOOKUP($D18,[1]SITES!$A:$E,3,FALSE)),"",VLOOKUP($D18,[1]SITES!$A:$E,3,FALSE))</f>
        <v/>
      </c>
      <c r="G18" s="16" t="str">
        <f>IF(ISERROR(VLOOKUP($D18,[1]SITES!$A:$E,4,FALSE)),"",VLOOKUP($D18,[1]SITES!$A:$E,4,FALSE))</f>
        <v/>
      </c>
      <c r="H18" s="26" t="str">
        <f t="shared" si="1"/>
        <v>DATE</v>
      </c>
      <c r="I18" s="12" t="str">
        <f t="shared" si="1"/>
        <v>VIS</v>
      </c>
      <c r="J18" s="12" t="str">
        <f t="shared" si="1"/>
        <v>DIRECTION</v>
      </c>
      <c r="K18" s="24" t="str">
        <f t="shared" si="1"/>
        <v>TIME</v>
      </c>
      <c r="L18" s="12" t="str">
        <f t="shared" si="1"/>
        <v>DEPTH</v>
      </c>
      <c r="M18" s="12" t="str">
        <f t="shared" si="1"/>
        <v>BLOCK</v>
      </c>
      <c r="O18" s="22"/>
      <c r="Q18" s="14"/>
      <c r="R18" s="25">
        <f t="shared" si="3"/>
        <v>0</v>
      </c>
      <c r="S18" s="12">
        <v>0</v>
      </c>
    </row>
    <row r="19" spans="1:19">
      <c r="A19" s="14">
        <f>MAX($A$1:$A18)+1</f>
        <v>17</v>
      </c>
      <c r="B19" s="12" t="str">
        <f t="shared" si="2"/>
        <v>DIVER NAME</v>
      </c>
      <c r="C19" s="12" t="str">
        <f t="shared" si="2"/>
        <v>BUDDY NAME</v>
      </c>
      <c r="D19" s="12">
        <f t="shared" si="2"/>
        <v>0</v>
      </c>
      <c r="E19" s="14" t="str">
        <f>IF(ISERROR(VLOOKUP($D19,[1]SITES!$A:$E,2,FALSE)),"",VLOOKUP($D19,[1]SITES!$A:$E,2,FALSE))</f>
        <v/>
      </c>
      <c r="F19" s="15" t="str">
        <f>IF(ISERROR(VLOOKUP($D19,[1]SITES!$A:$E,3,FALSE)),"",VLOOKUP($D19,[1]SITES!$A:$E,3,FALSE))</f>
        <v/>
      </c>
      <c r="G19" s="16" t="str">
        <f>IF(ISERROR(VLOOKUP($D19,[1]SITES!$A:$E,4,FALSE)),"",VLOOKUP($D19,[1]SITES!$A:$E,4,FALSE))</f>
        <v/>
      </c>
      <c r="H19" s="26" t="str">
        <f t="shared" si="1"/>
        <v>DATE</v>
      </c>
      <c r="I19" s="12" t="str">
        <f t="shared" si="1"/>
        <v>VIS</v>
      </c>
      <c r="J19" s="12" t="str">
        <f t="shared" si="1"/>
        <v>DIRECTION</v>
      </c>
      <c r="K19" s="24" t="str">
        <f t="shared" si="1"/>
        <v>TIME</v>
      </c>
      <c r="L19" s="12" t="str">
        <f t="shared" si="1"/>
        <v>DEPTH</v>
      </c>
      <c r="M19" s="12" t="str">
        <f t="shared" si="1"/>
        <v>BLOCK</v>
      </c>
      <c r="O19" s="22"/>
      <c r="Q19" s="14"/>
      <c r="R19" s="25">
        <f t="shared" si="3"/>
        <v>0</v>
      </c>
      <c r="S19" s="12">
        <v>0</v>
      </c>
    </row>
    <row r="20" spans="1:19">
      <c r="A20" s="14">
        <f>MAX($A$1:$A19)+1</f>
        <v>18</v>
      </c>
      <c r="B20" s="12" t="str">
        <f t="shared" si="2"/>
        <v>DIVER NAME</v>
      </c>
      <c r="C20" s="12" t="str">
        <f t="shared" si="2"/>
        <v>BUDDY NAME</v>
      </c>
      <c r="D20" s="12">
        <f t="shared" si="2"/>
        <v>0</v>
      </c>
      <c r="E20" s="14" t="str">
        <f>IF(ISERROR(VLOOKUP($D20,[1]SITES!$A:$E,2,FALSE)),"",VLOOKUP($D20,[1]SITES!$A:$E,2,FALSE))</f>
        <v/>
      </c>
      <c r="F20" s="15" t="str">
        <f>IF(ISERROR(VLOOKUP($D20,[1]SITES!$A:$E,3,FALSE)),"",VLOOKUP($D20,[1]SITES!$A:$E,3,FALSE))</f>
        <v/>
      </c>
      <c r="G20" s="16" t="str">
        <f>IF(ISERROR(VLOOKUP($D20,[1]SITES!$A:$E,4,FALSE)),"",VLOOKUP($D20,[1]SITES!$A:$E,4,FALSE))</f>
        <v/>
      </c>
      <c r="H20" s="26" t="str">
        <f t="shared" ref="H20:M35" si="4">IF(ISERROR(H19),IF(ISERROR(H18),IF(ISERROR(H17),"BLANK",H17),H18),H19)</f>
        <v>DATE</v>
      </c>
      <c r="I20" s="12" t="str">
        <f t="shared" si="4"/>
        <v>VIS</v>
      </c>
      <c r="J20" s="12" t="str">
        <f t="shared" si="4"/>
        <v>DIRECTION</v>
      </c>
      <c r="K20" s="24" t="str">
        <f t="shared" si="4"/>
        <v>TIME</v>
      </c>
      <c r="L20" s="12" t="str">
        <f t="shared" si="4"/>
        <v>DEPTH</v>
      </c>
      <c r="M20" s="12" t="str">
        <f t="shared" si="4"/>
        <v>BLOCK</v>
      </c>
      <c r="O20" s="22"/>
      <c r="Q20" s="14"/>
      <c r="R20" s="25">
        <f t="shared" si="3"/>
        <v>0</v>
      </c>
      <c r="S20" s="12">
        <v>0</v>
      </c>
    </row>
    <row r="21" spans="1:19">
      <c r="A21" s="14">
        <f>MAX($A$1:$A20)+1</f>
        <v>19</v>
      </c>
      <c r="B21" s="12" t="str">
        <f t="shared" ref="B21:D36" si="5">IF(ISERROR(B20),IF(ISERROR(B19),IF(ISERROR(B18),"BLANK",B18),B19),B20)</f>
        <v>DIVER NAME</v>
      </c>
      <c r="C21" s="12" t="str">
        <f t="shared" si="5"/>
        <v>BUDDY NAME</v>
      </c>
      <c r="D21" s="12">
        <f t="shared" si="5"/>
        <v>0</v>
      </c>
      <c r="E21" s="14" t="str">
        <f>IF(ISERROR(VLOOKUP($D21,[1]SITES!$A:$E,2,FALSE)),"",VLOOKUP($D21,[1]SITES!$A:$E,2,FALSE))</f>
        <v/>
      </c>
      <c r="F21" s="15" t="str">
        <f>IF(ISERROR(VLOOKUP($D21,[1]SITES!$A:$E,3,FALSE)),"",VLOOKUP($D21,[1]SITES!$A:$E,3,FALSE))</f>
        <v/>
      </c>
      <c r="G21" s="16" t="str">
        <f>IF(ISERROR(VLOOKUP($D21,[1]SITES!$A:$E,4,FALSE)),"",VLOOKUP($D21,[1]SITES!$A:$E,4,FALSE))</f>
        <v/>
      </c>
      <c r="H21" s="26" t="str">
        <f t="shared" si="4"/>
        <v>DATE</v>
      </c>
      <c r="I21" s="12" t="str">
        <f t="shared" si="4"/>
        <v>VIS</v>
      </c>
      <c r="J21" s="12" t="str">
        <f t="shared" si="4"/>
        <v>DIRECTION</v>
      </c>
      <c r="K21" s="24" t="str">
        <f t="shared" si="4"/>
        <v>TIME</v>
      </c>
      <c r="L21" s="12" t="str">
        <f t="shared" si="4"/>
        <v>DEPTH</v>
      </c>
      <c r="M21" s="12" t="str">
        <f t="shared" si="4"/>
        <v>BLOCK</v>
      </c>
      <c r="O21" s="22"/>
      <c r="Q21" s="14"/>
      <c r="R21" s="25">
        <f t="shared" si="3"/>
        <v>0</v>
      </c>
      <c r="S21" s="12">
        <v>0</v>
      </c>
    </row>
    <row r="22" spans="1:19">
      <c r="A22" s="14">
        <f>MAX($A$1:$A21)+1</f>
        <v>20</v>
      </c>
      <c r="B22" s="12" t="str">
        <f t="shared" si="5"/>
        <v>DIVER NAME</v>
      </c>
      <c r="C22" s="12" t="str">
        <f t="shared" si="5"/>
        <v>BUDDY NAME</v>
      </c>
      <c r="D22" s="12">
        <f t="shared" si="5"/>
        <v>0</v>
      </c>
      <c r="E22" s="14" t="str">
        <f>IF(ISERROR(VLOOKUP($D22,[1]SITES!$A:$E,2,FALSE)),"",VLOOKUP($D22,[1]SITES!$A:$E,2,FALSE))</f>
        <v/>
      </c>
      <c r="F22" s="15" t="str">
        <f>IF(ISERROR(VLOOKUP($D22,[1]SITES!$A:$E,3,FALSE)),"",VLOOKUP($D22,[1]SITES!$A:$E,3,FALSE))</f>
        <v/>
      </c>
      <c r="G22" s="16" t="str">
        <f>IF(ISERROR(VLOOKUP($D22,[1]SITES!$A:$E,4,FALSE)),"",VLOOKUP($D22,[1]SITES!$A:$E,4,FALSE))</f>
        <v/>
      </c>
      <c r="H22" s="26" t="str">
        <f t="shared" si="4"/>
        <v>DATE</v>
      </c>
      <c r="I22" s="12" t="str">
        <f t="shared" si="4"/>
        <v>VIS</v>
      </c>
      <c r="J22" s="12" t="str">
        <f t="shared" si="4"/>
        <v>DIRECTION</v>
      </c>
      <c r="K22" s="24" t="str">
        <f t="shared" si="4"/>
        <v>TIME</v>
      </c>
      <c r="L22" s="12" t="str">
        <f t="shared" si="4"/>
        <v>DEPTH</v>
      </c>
      <c r="M22" s="12" t="str">
        <f t="shared" si="4"/>
        <v>BLOCK</v>
      </c>
      <c r="O22" s="22"/>
      <c r="Q22" s="14"/>
      <c r="R22" s="25">
        <f t="shared" si="3"/>
        <v>0</v>
      </c>
      <c r="S22" s="12">
        <v>0</v>
      </c>
    </row>
    <row r="23" spans="1:19">
      <c r="A23" s="14">
        <f>MAX($A$1:$A22)+1</f>
        <v>21</v>
      </c>
      <c r="B23" s="12" t="str">
        <f t="shared" si="5"/>
        <v>DIVER NAME</v>
      </c>
      <c r="C23" s="12" t="str">
        <f t="shared" si="5"/>
        <v>BUDDY NAME</v>
      </c>
      <c r="D23" s="12">
        <f t="shared" si="5"/>
        <v>0</v>
      </c>
      <c r="E23" s="14" t="str">
        <f>IF(ISERROR(VLOOKUP($D23,[1]SITES!$A:$E,2,FALSE)),"",VLOOKUP($D23,[1]SITES!$A:$E,2,FALSE))</f>
        <v/>
      </c>
      <c r="F23" s="15" t="str">
        <f>IF(ISERROR(VLOOKUP($D23,[1]SITES!$A:$E,3,FALSE)),"",VLOOKUP($D23,[1]SITES!$A:$E,3,FALSE))</f>
        <v/>
      </c>
      <c r="G23" s="16" t="str">
        <f>IF(ISERROR(VLOOKUP($D23,[1]SITES!$A:$E,4,FALSE)),"",VLOOKUP($D23,[1]SITES!$A:$E,4,FALSE))</f>
        <v/>
      </c>
      <c r="H23" s="26" t="str">
        <f t="shared" si="4"/>
        <v>DATE</v>
      </c>
      <c r="I23" s="12" t="str">
        <f t="shared" si="4"/>
        <v>VIS</v>
      </c>
      <c r="J23" s="12" t="str">
        <f t="shared" si="4"/>
        <v>DIRECTION</v>
      </c>
      <c r="K23" s="24" t="str">
        <f t="shared" si="4"/>
        <v>TIME</v>
      </c>
      <c r="L23" s="12" t="str">
        <f t="shared" si="4"/>
        <v>DEPTH</v>
      </c>
      <c r="M23" s="12" t="str">
        <f t="shared" si="4"/>
        <v>BLOCK</v>
      </c>
      <c r="O23" s="22"/>
      <c r="Q23" s="14"/>
      <c r="R23" s="25">
        <f t="shared" si="3"/>
        <v>0</v>
      </c>
      <c r="S23" s="12">
        <v>0</v>
      </c>
    </row>
    <row r="24" spans="1:19">
      <c r="A24" s="14">
        <f>MAX($A$1:$A23)+1</f>
        <v>22</v>
      </c>
      <c r="B24" s="12" t="str">
        <f t="shared" si="5"/>
        <v>DIVER NAME</v>
      </c>
      <c r="C24" s="12" t="str">
        <f t="shared" si="5"/>
        <v>BUDDY NAME</v>
      </c>
      <c r="D24" s="12">
        <f t="shared" si="5"/>
        <v>0</v>
      </c>
      <c r="E24" s="14" t="str">
        <f>IF(ISERROR(VLOOKUP($D24,[1]SITES!$A:$E,2,FALSE)),"",VLOOKUP($D24,[1]SITES!$A:$E,2,FALSE))</f>
        <v/>
      </c>
      <c r="F24" s="15" t="str">
        <f>IF(ISERROR(VLOOKUP($D24,[1]SITES!$A:$E,3,FALSE)),"",VLOOKUP($D24,[1]SITES!$A:$E,3,FALSE))</f>
        <v/>
      </c>
      <c r="G24" s="16" t="str">
        <f>IF(ISERROR(VLOOKUP($D24,[1]SITES!$A:$E,4,FALSE)),"",VLOOKUP($D24,[1]SITES!$A:$E,4,FALSE))</f>
        <v/>
      </c>
      <c r="H24" s="26" t="str">
        <f t="shared" si="4"/>
        <v>DATE</v>
      </c>
      <c r="I24" s="12" t="str">
        <f t="shared" si="4"/>
        <v>VIS</v>
      </c>
      <c r="J24" s="12" t="str">
        <f t="shared" si="4"/>
        <v>DIRECTION</v>
      </c>
      <c r="K24" s="24" t="str">
        <f t="shared" si="4"/>
        <v>TIME</v>
      </c>
      <c r="L24" s="12" t="str">
        <f t="shared" si="4"/>
        <v>DEPTH</v>
      </c>
      <c r="M24" s="12" t="str">
        <f t="shared" si="4"/>
        <v>BLOCK</v>
      </c>
      <c r="O24" s="22"/>
      <c r="Q24" s="14"/>
      <c r="R24" s="25">
        <f t="shared" si="3"/>
        <v>0</v>
      </c>
      <c r="S24" s="12">
        <v>0</v>
      </c>
    </row>
    <row r="25" spans="1:19">
      <c r="A25" s="14">
        <f>MAX($A$1:$A24)+1</f>
        <v>23</v>
      </c>
      <c r="B25" s="12" t="str">
        <f t="shared" si="5"/>
        <v>DIVER NAME</v>
      </c>
      <c r="C25" s="12" t="str">
        <f t="shared" si="5"/>
        <v>BUDDY NAME</v>
      </c>
      <c r="D25" s="12">
        <f t="shared" si="5"/>
        <v>0</v>
      </c>
      <c r="E25" s="14" t="str">
        <f>IF(ISERROR(VLOOKUP($D25,[1]SITES!$A:$E,2,FALSE)),"",VLOOKUP($D25,[1]SITES!$A:$E,2,FALSE))</f>
        <v/>
      </c>
      <c r="F25" s="15" t="str">
        <f>IF(ISERROR(VLOOKUP($D25,[1]SITES!$A:$E,3,FALSE)),"",VLOOKUP($D25,[1]SITES!$A:$E,3,FALSE))</f>
        <v/>
      </c>
      <c r="G25" s="16" t="str">
        <f>IF(ISERROR(VLOOKUP($D25,[1]SITES!$A:$E,4,FALSE)),"",VLOOKUP($D25,[1]SITES!$A:$E,4,FALSE))</f>
        <v/>
      </c>
      <c r="H25" s="26" t="str">
        <f t="shared" si="4"/>
        <v>DATE</v>
      </c>
      <c r="I25" s="12" t="str">
        <f t="shared" si="4"/>
        <v>VIS</v>
      </c>
      <c r="J25" s="12" t="str">
        <f t="shared" si="4"/>
        <v>DIRECTION</v>
      </c>
      <c r="K25" s="24" t="str">
        <f t="shared" si="4"/>
        <v>TIME</v>
      </c>
      <c r="L25" s="12" t="str">
        <f t="shared" si="4"/>
        <v>DEPTH</v>
      </c>
      <c r="M25" s="12" t="str">
        <f t="shared" si="4"/>
        <v>BLOCK</v>
      </c>
      <c r="O25" s="22"/>
      <c r="Q25" s="14"/>
      <c r="R25" s="25">
        <f t="shared" si="3"/>
        <v>0</v>
      </c>
      <c r="S25" s="12">
        <v>0</v>
      </c>
    </row>
    <row r="26" spans="1:19">
      <c r="A26" s="14">
        <f>MAX($A$1:$A25)+1</f>
        <v>24</v>
      </c>
      <c r="B26" s="12" t="str">
        <f t="shared" si="5"/>
        <v>DIVER NAME</v>
      </c>
      <c r="C26" s="12" t="str">
        <f t="shared" si="5"/>
        <v>BUDDY NAME</v>
      </c>
      <c r="D26" s="12">
        <f t="shared" si="5"/>
        <v>0</v>
      </c>
      <c r="E26" s="14" t="str">
        <f>IF(ISERROR(VLOOKUP($D26,[1]SITES!$A:$E,2,FALSE)),"",VLOOKUP($D26,[1]SITES!$A:$E,2,FALSE))</f>
        <v/>
      </c>
      <c r="F26" s="15" t="str">
        <f>IF(ISERROR(VLOOKUP($D26,[1]SITES!$A:$E,3,FALSE)),"",VLOOKUP($D26,[1]SITES!$A:$E,3,FALSE))</f>
        <v/>
      </c>
      <c r="G26" s="16" t="str">
        <f>IF(ISERROR(VLOOKUP($D26,[1]SITES!$A:$E,4,FALSE)),"",VLOOKUP($D26,[1]SITES!$A:$E,4,FALSE))</f>
        <v/>
      </c>
      <c r="H26" s="26" t="str">
        <f t="shared" si="4"/>
        <v>DATE</v>
      </c>
      <c r="I26" s="12" t="str">
        <f t="shared" si="4"/>
        <v>VIS</v>
      </c>
      <c r="J26" s="12" t="str">
        <f t="shared" si="4"/>
        <v>DIRECTION</v>
      </c>
      <c r="K26" s="24" t="str">
        <f t="shared" si="4"/>
        <v>TIME</v>
      </c>
      <c r="L26" s="12" t="str">
        <f t="shared" si="4"/>
        <v>DEPTH</v>
      </c>
      <c r="M26" s="12" t="str">
        <f t="shared" si="4"/>
        <v>BLOCK</v>
      </c>
      <c r="O26" s="22"/>
      <c r="Q26" s="14"/>
      <c r="R26" s="25">
        <f t="shared" si="3"/>
        <v>0</v>
      </c>
      <c r="S26" s="12">
        <v>0</v>
      </c>
    </row>
    <row r="27" spans="1:19">
      <c r="A27" s="14">
        <f>MAX($A$1:$A26)+1</f>
        <v>25</v>
      </c>
      <c r="B27" s="12" t="str">
        <f>IF(ISERROR(B26),IF(ISERROR(B25),IF(ISERROR(B24),"BLANK",B24),B25),B26)</f>
        <v>DIVER NAME</v>
      </c>
      <c r="C27" s="12" t="str">
        <f>IF(ISERROR(C26),IF(ISERROR(C25),IF(ISERROR(C24),"BLANK",C24),C25),C26)</f>
        <v>BUDDY NAME</v>
      </c>
      <c r="D27" s="12">
        <f>IF(ISERROR(D26),IF(ISERROR(D25),IF(ISERROR(D24),"BLANK",D24),D25),D26)</f>
        <v>0</v>
      </c>
      <c r="E27" s="14" t="str">
        <f>IF(ISERROR(VLOOKUP($D27,[1]SITES!$A:$E,2,FALSE)),"",VLOOKUP($D27,[1]SITES!$A:$E,2,FALSE))</f>
        <v/>
      </c>
      <c r="F27" s="15" t="str">
        <f>IF(ISERROR(VLOOKUP($D27,[1]SITES!$A:$E,3,FALSE)),"",VLOOKUP($D27,[1]SITES!$A:$E,3,FALSE))</f>
        <v/>
      </c>
      <c r="G27" s="16" t="str">
        <f>IF(ISERROR(VLOOKUP($D27,[1]SITES!$A:$E,4,FALSE)),"",VLOOKUP($D27,[1]SITES!$A:$E,4,FALSE))</f>
        <v/>
      </c>
      <c r="H27" s="26" t="str">
        <f>IF(ISERROR(H26),IF(ISERROR(H25),IF(ISERROR(H24),"BLANK",H24),H25),H26)</f>
        <v>DATE</v>
      </c>
      <c r="I27" s="12" t="str">
        <f>IF(ISERROR(I26),IF(ISERROR(I25),IF(ISERROR(I24),"BLANK",I24),I25),I26)</f>
        <v>VIS</v>
      </c>
      <c r="J27" s="12" t="str">
        <f>IF(ISERROR(J26),IF(ISERROR(J25),IF(ISERROR(J24),"BLANK",J24),J25),J26)</f>
        <v>DIRECTION</v>
      </c>
      <c r="K27" s="24" t="str">
        <f>IF(ISERROR(K26),IF(ISERROR(K25),IF(ISERROR(K24),"BLANK",K24),K25),K26)</f>
        <v>TIME</v>
      </c>
      <c r="L27" s="12" t="str">
        <f t="shared" si="4"/>
        <v>DEPTH</v>
      </c>
      <c r="M27" s="12" t="str">
        <f>IF(ISERROR(M26),IF(ISERROR(M25),IF(ISERROR(M24),"BLANK",M24),M25),M26)</f>
        <v>BLOCK</v>
      </c>
      <c r="O27" s="22"/>
      <c r="Q27" s="14"/>
      <c r="R27" s="25">
        <f t="shared" si="3"/>
        <v>0</v>
      </c>
      <c r="S27" s="12">
        <v>0</v>
      </c>
    </row>
    <row r="28" spans="1:19">
      <c r="A28" s="14">
        <f>MAX($A$1:$A27)+1</f>
        <v>26</v>
      </c>
      <c r="B28" s="12" t="str">
        <f t="shared" si="5"/>
        <v>DIVER NAME</v>
      </c>
      <c r="C28" s="12" t="str">
        <f t="shared" si="5"/>
        <v>BUDDY NAME</v>
      </c>
      <c r="D28" s="12">
        <f t="shared" si="5"/>
        <v>0</v>
      </c>
      <c r="E28" s="14" t="str">
        <f>IF(ISERROR(VLOOKUP($D28,[1]SITES!$A:$E,2,FALSE)),"",VLOOKUP($D28,[1]SITES!$A:$E,2,FALSE))</f>
        <v/>
      </c>
      <c r="F28" s="15" t="str">
        <f>IF(ISERROR(VLOOKUP($D28,[1]SITES!$A:$E,3,FALSE)),"",VLOOKUP($D28,[1]SITES!$A:$E,3,FALSE))</f>
        <v/>
      </c>
      <c r="G28" s="16" t="str">
        <f>IF(ISERROR(VLOOKUP($D28,[1]SITES!$A:$E,4,FALSE)),"",VLOOKUP($D28,[1]SITES!$A:$E,4,FALSE))</f>
        <v/>
      </c>
      <c r="H28" s="26" t="str">
        <f t="shared" si="4"/>
        <v>DATE</v>
      </c>
      <c r="I28" s="12" t="str">
        <f t="shared" si="4"/>
        <v>VIS</v>
      </c>
      <c r="J28" s="12" t="str">
        <f t="shared" si="4"/>
        <v>DIRECTION</v>
      </c>
      <c r="K28" s="24" t="str">
        <f t="shared" si="4"/>
        <v>TIME</v>
      </c>
      <c r="L28" s="12" t="str">
        <f t="shared" si="4"/>
        <v>DEPTH</v>
      </c>
      <c r="M28" s="12" t="str">
        <f t="shared" si="4"/>
        <v>BLOCK</v>
      </c>
      <c r="O28" s="22"/>
      <c r="Q28" s="14"/>
      <c r="R28" s="25">
        <f t="shared" si="3"/>
        <v>0</v>
      </c>
      <c r="S28" s="12">
        <v>0</v>
      </c>
    </row>
    <row r="29" spans="1:19">
      <c r="A29" s="14">
        <f>MAX($A$1:$A28)+1</f>
        <v>27</v>
      </c>
      <c r="B29" s="12" t="str">
        <f t="shared" si="5"/>
        <v>DIVER NAME</v>
      </c>
      <c r="C29" s="12" t="str">
        <f t="shared" si="5"/>
        <v>BUDDY NAME</v>
      </c>
      <c r="D29" s="12">
        <f t="shared" si="5"/>
        <v>0</v>
      </c>
      <c r="E29" s="14" t="str">
        <f>IF(ISERROR(VLOOKUP($D29,[1]SITES!$A:$E,2,FALSE)),"",VLOOKUP($D29,[1]SITES!$A:$E,2,FALSE))</f>
        <v/>
      </c>
      <c r="F29" s="15" t="str">
        <f>IF(ISERROR(VLOOKUP($D29,[1]SITES!$A:$E,3,FALSE)),"",VLOOKUP($D29,[1]SITES!$A:$E,3,FALSE))</f>
        <v/>
      </c>
      <c r="G29" s="16" t="str">
        <f>IF(ISERROR(VLOOKUP($D29,[1]SITES!$A:$E,4,FALSE)),"",VLOOKUP($D29,[1]SITES!$A:$E,4,FALSE))</f>
        <v/>
      </c>
      <c r="H29" s="26" t="str">
        <f t="shared" si="4"/>
        <v>DATE</v>
      </c>
      <c r="I29" s="12" t="str">
        <f t="shared" si="4"/>
        <v>VIS</v>
      </c>
      <c r="J29" s="12" t="str">
        <f t="shared" si="4"/>
        <v>DIRECTION</v>
      </c>
      <c r="K29" s="24" t="str">
        <f t="shared" si="4"/>
        <v>TIME</v>
      </c>
      <c r="L29" s="12" t="str">
        <f t="shared" si="4"/>
        <v>DEPTH</v>
      </c>
      <c r="M29" s="12" t="str">
        <f t="shared" si="4"/>
        <v>BLOCK</v>
      </c>
      <c r="O29" s="22"/>
      <c r="Q29" s="14"/>
      <c r="R29" s="25">
        <f t="shared" si="3"/>
        <v>0</v>
      </c>
      <c r="S29" s="12">
        <v>0</v>
      </c>
    </row>
    <row r="30" spans="1:19">
      <c r="A30" s="14">
        <f>MAX($A$1:$A29)+1</f>
        <v>28</v>
      </c>
      <c r="B30" s="12" t="str">
        <f t="shared" si="5"/>
        <v>DIVER NAME</v>
      </c>
      <c r="C30" s="12" t="str">
        <f t="shared" si="5"/>
        <v>BUDDY NAME</v>
      </c>
      <c r="D30" s="12">
        <f t="shared" si="5"/>
        <v>0</v>
      </c>
      <c r="E30" s="14" t="str">
        <f>IF(ISERROR(VLOOKUP($D30,[1]SITES!$A:$E,2,FALSE)),"",VLOOKUP($D30,[1]SITES!$A:$E,2,FALSE))</f>
        <v/>
      </c>
      <c r="F30" s="15" t="str">
        <f>IF(ISERROR(VLOOKUP($D30,[1]SITES!$A:$E,3,FALSE)),"",VLOOKUP($D30,[1]SITES!$A:$E,3,FALSE))</f>
        <v/>
      </c>
      <c r="G30" s="16" t="str">
        <f>IF(ISERROR(VLOOKUP($D30,[1]SITES!$A:$E,4,FALSE)),"",VLOOKUP($D30,[1]SITES!$A:$E,4,FALSE))</f>
        <v/>
      </c>
      <c r="H30" s="26" t="str">
        <f t="shared" si="4"/>
        <v>DATE</v>
      </c>
      <c r="I30" s="12" t="str">
        <f t="shared" si="4"/>
        <v>VIS</v>
      </c>
      <c r="J30" s="12" t="str">
        <f t="shared" si="4"/>
        <v>DIRECTION</v>
      </c>
      <c r="K30" s="24" t="str">
        <f t="shared" si="4"/>
        <v>TIME</v>
      </c>
      <c r="L30" s="12" t="str">
        <f t="shared" si="4"/>
        <v>DEPTH</v>
      </c>
      <c r="M30" s="12" t="str">
        <f t="shared" si="4"/>
        <v>BLOCK</v>
      </c>
      <c r="O30" s="22"/>
      <c r="Q30" s="14"/>
      <c r="R30" s="25">
        <f t="shared" si="3"/>
        <v>0</v>
      </c>
      <c r="S30" s="12">
        <v>0</v>
      </c>
    </row>
    <row r="31" spans="1:19">
      <c r="A31" s="14">
        <f>MAX($A$1:$A30)+1</f>
        <v>29</v>
      </c>
      <c r="B31" s="12" t="str">
        <f t="shared" si="5"/>
        <v>DIVER NAME</v>
      </c>
      <c r="C31" s="12" t="str">
        <f t="shared" si="5"/>
        <v>BUDDY NAME</v>
      </c>
      <c r="D31" s="12">
        <f t="shared" si="5"/>
        <v>0</v>
      </c>
      <c r="E31" s="14" t="str">
        <f>IF(ISERROR(VLOOKUP($D31,[1]SITES!$A:$E,2,FALSE)),"",VLOOKUP($D31,[1]SITES!$A:$E,2,FALSE))</f>
        <v/>
      </c>
      <c r="F31" s="15" t="str">
        <f>IF(ISERROR(VLOOKUP($D31,[1]SITES!$A:$E,3,FALSE)),"",VLOOKUP($D31,[1]SITES!$A:$E,3,FALSE))</f>
        <v/>
      </c>
      <c r="G31" s="16" t="str">
        <f>IF(ISERROR(VLOOKUP($D31,[1]SITES!$A:$E,4,FALSE)),"",VLOOKUP($D31,[1]SITES!$A:$E,4,FALSE))</f>
        <v/>
      </c>
      <c r="H31" s="26" t="str">
        <f t="shared" si="4"/>
        <v>DATE</v>
      </c>
      <c r="I31" s="12" t="str">
        <f t="shared" si="4"/>
        <v>VIS</v>
      </c>
      <c r="J31" s="12" t="str">
        <f t="shared" si="4"/>
        <v>DIRECTION</v>
      </c>
      <c r="K31" s="24" t="str">
        <f t="shared" si="4"/>
        <v>TIME</v>
      </c>
      <c r="L31" s="12" t="str">
        <f t="shared" si="4"/>
        <v>DEPTH</v>
      </c>
      <c r="M31" s="12" t="str">
        <f t="shared" si="4"/>
        <v>BLOCK</v>
      </c>
      <c r="O31" s="22"/>
      <c r="Q31" s="14"/>
      <c r="R31" s="25">
        <f t="shared" si="3"/>
        <v>0</v>
      </c>
      <c r="S31" s="12">
        <v>0</v>
      </c>
    </row>
    <row r="32" spans="1:19">
      <c r="A32" s="14">
        <f>MAX($A$1:$A31)+1</f>
        <v>30</v>
      </c>
      <c r="B32" s="12" t="str">
        <f t="shared" si="5"/>
        <v>DIVER NAME</v>
      </c>
      <c r="C32" s="12" t="str">
        <f t="shared" si="5"/>
        <v>BUDDY NAME</v>
      </c>
      <c r="D32" s="12">
        <f t="shared" si="5"/>
        <v>0</v>
      </c>
      <c r="E32" s="14" t="str">
        <f>IF(ISERROR(VLOOKUP($D32,[1]SITES!$A:$E,2,FALSE)),"",VLOOKUP($D32,[1]SITES!$A:$E,2,FALSE))</f>
        <v/>
      </c>
      <c r="F32" s="15" t="str">
        <f>IF(ISERROR(VLOOKUP($D32,[1]SITES!$A:$E,3,FALSE)),"",VLOOKUP($D32,[1]SITES!$A:$E,3,FALSE))</f>
        <v/>
      </c>
      <c r="G32" s="16" t="str">
        <f>IF(ISERROR(VLOOKUP($D32,[1]SITES!$A:$E,4,FALSE)),"",VLOOKUP($D32,[1]SITES!$A:$E,4,FALSE))</f>
        <v/>
      </c>
      <c r="H32" s="26" t="str">
        <f t="shared" si="4"/>
        <v>DATE</v>
      </c>
      <c r="I32" s="12" t="str">
        <f t="shared" si="4"/>
        <v>VIS</v>
      </c>
      <c r="J32" s="12" t="str">
        <f t="shared" si="4"/>
        <v>DIRECTION</v>
      </c>
      <c r="K32" s="24" t="str">
        <f t="shared" si="4"/>
        <v>TIME</v>
      </c>
      <c r="L32" s="12" t="str">
        <f t="shared" si="4"/>
        <v>DEPTH</v>
      </c>
      <c r="M32" s="12" t="str">
        <f t="shared" si="4"/>
        <v>BLOCK</v>
      </c>
      <c r="O32" s="22"/>
      <c r="Q32" s="14"/>
      <c r="R32" s="25">
        <f t="shared" si="3"/>
        <v>0</v>
      </c>
      <c r="S32" s="12">
        <v>0</v>
      </c>
    </row>
    <row r="33" spans="1:19">
      <c r="A33" s="14">
        <f>MAX($A$1:$A32)+1</f>
        <v>31</v>
      </c>
      <c r="B33" s="12" t="str">
        <f t="shared" si="5"/>
        <v>DIVER NAME</v>
      </c>
      <c r="C33" s="12" t="str">
        <f t="shared" si="5"/>
        <v>BUDDY NAME</v>
      </c>
      <c r="D33" s="12">
        <f t="shared" si="5"/>
        <v>0</v>
      </c>
      <c r="E33" s="14" t="str">
        <f>IF(ISERROR(VLOOKUP($D33,[1]SITES!$A:$E,2,FALSE)),"",VLOOKUP($D33,[1]SITES!$A:$E,2,FALSE))</f>
        <v/>
      </c>
      <c r="F33" s="15" t="str">
        <f>IF(ISERROR(VLOOKUP($D33,[1]SITES!$A:$E,3,FALSE)),"",VLOOKUP($D33,[1]SITES!$A:$E,3,FALSE))</f>
        <v/>
      </c>
      <c r="G33" s="16" t="str">
        <f>IF(ISERROR(VLOOKUP($D33,[1]SITES!$A:$E,4,FALSE)),"",VLOOKUP($D33,[1]SITES!$A:$E,4,FALSE))</f>
        <v/>
      </c>
      <c r="H33" s="26" t="str">
        <f t="shared" si="4"/>
        <v>DATE</v>
      </c>
      <c r="I33" s="12" t="str">
        <f t="shared" si="4"/>
        <v>VIS</v>
      </c>
      <c r="J33" s="12" t="str">
        <f t="shared" si="4"/>
        <v>DIRECTION</v>
      </c>
      <c r="K33" s="24" t="str">
        <f t="shared" si="4"/>
        <v>TIME</v>
      </c>
      <c r="L33" s="12" t="str">
        <f t="shared" si="4"/>
        <v>DEPTH</v>
      </c>
      <c r="M33" s="12" t="str">
        <f t="shared" si="4"/>
        <v>BLOCK</v>
      </c>
      <c r="O33" s="22"/>
      <c r="Q33" s="14"/>
      <c r="R33" s="25">
        <f t="shared" si="3"/>
        <v>0</v>
      </c>
      <c r="S33" s="12">
        <v>0</v>
      </c>
    </row>
    <row r="34" spans="1:19">
      <c r="A34" s="14">
        <f>MAX($A$1:$A33)+1</f>
        <v>32</v>
      </c>
      <c r="B34" s="12" t="str">
        <f t="shared" si="5"/>
        <v>DIVER NAME</v>
      </c>
      <c r="C34" s="12" t="str">
        <f t="shared" si="5"/>
        <v>BUDDY NAME</v>
      </c>
      <c r="D34" s="12">
        <f t="shared" si="5"/>
        <v>0</v>
      </c>
      <c r="E34" s="14" t="str">
        <f>IF(ISERROR(VLOOKUP($D34,[1]SITES!$A:$E,2,FALSE)),"",VLOOKUP($D34,[1]SITES!$A:$E,2,FALSE))</f>
        <v/>
      </c>
      <c r="F34" s="15" t="str">
        <f>IF(ISERROR(VLOOKUP($D34,[1]SITES!$A:$E,3,FALSE)),"",VLOOKUP($D34,[1]SITES!$A:$E,3,FALSE))</f>
        <v/>
      </c>
      <c r="G34" s="16" t="str">
        <f>IF(ISERROR(VLOOKUP($D34,[1]SITES!$A:$E,4,FALSE)),"",VLOOKUP($D34,[1]SITES!$A:$E,4,FALSE))</f>
        <v/>
      </c>
      <c r="H34" s="26" t="str">
        <f t="shared" si="4"/>
        <v>DATE</v>
      </c>
      <c r="I34" s="12" t="str">
        <f t="shared" si="4"/>
        <v>VIS</v>
      </c>
      <c r="J34" s="12" t="str">
        <f t="shared" si="4"/>
        <v>DIRECTION</v>
      </c>
      <c r="K34" s="24" t="str">
        <f t="shared" si="4"/>
        <v>TIME</v>
      </c>
      <c r="L34" s="12" t="str">
        <f t="shared" si="4"/>
        <v>DEPTH</v>
      </c>
      <c r="M34" s="12" t="str">
        <f t="shared" si="4"/>
        <v>BLOCK</v>
      </c>
      <c r="O34" s="22"/>
      <c r="Q34" s="14"/>
      <c r="R34" s="25">
        <f t="shared" si="3"/>
        <v>0</v>
      </c>
      <c r="S34" s="12">
        <v>0</v>
      </c>
    </row>
    <row r="35" spans="1:19">
      <c r="A35" s="14">
        <f>MAX($A$1:$A34)+1</f>
        <v>33</v>
      </c>
      <c r="B35" s="12" t="str">
        <f t="shared" si="5"/>
        <v>DIVER NAME</v>
      </c>
      <c r="C35" s="12" t="str">
        <f t="shared" si="5"/>
        <v>BUDDY NAME</v>
      </c>
      <c r="D35" s="12">
        <f t="shared" si="5"/>
        <v>0</v>
      </c>
      <c r="E35" s="14" t="str">
        <f>IF(ISERROR(VLOOKUP($D35,[1]SITES!$A:$E,2,FALSE)),"",VLOOKUP($D35,[1]SITES!$A:$E,2,FALSE))</f>
        <v/>
      </c>
      <c r="F35" s="15" t="str">
        <f>IF(ISERROR(VLOOKUP($D35,[1]SITES!$A:$E,3,FALSE)),"",VLOOKUP($D35,[1]SITES!$A:$E,3,FALSE))</f>
        <v/>
      </c>
      <c r="G35" s="16" t="str">
        <f>IF(ISERROR(VLOOKUP($D35,[1]SITES!$A:$E,4,FALSE)),"",VLOOKUP($D35,[1]SITES!$A:$E,4,FALSE))</f>
        <v/>
      </c>
      <c r="H35" s="26" t="str">
        <f t="shared" si="4"/>
        <v>DATE</v>
      </c>
      <c r="I35" s="12" t="str">
        <f t="shared" si="4"/>
        <v>VIS</v>
      </c>
      <c r="J35" s="12" t="str">
        <f t="shared" si="4"/>
        <v>DIRECTION</v>
      </c>
      <c r="K35" s="24" t="str">
        <f t="shared" si="4"/>
        <v>TIME</v>
      </c>
      <c r="L35" s="12" t="str">
        <f t="shared" si="4"/>
        <v>DEPTH</v>
      </c>
      <c r="M35" s="12" t="str">
        <f t="shared" si="4"/>
        <v>BLOCK</v>
      </c>
      <c r="O35" s="22"/>
      <c r="Q35" s="14"/>
      <c r="R35" s="25">
        <f t="shared" ref="R35:R100" si="6">SUM(S35:AU35)</f>
        <v>0</v>
      </c>
      <c r="S35" s="12">
        <v>0</v>
      </c>
    </row>
    <row r="36" spans="1:19">
      <c r="A36" s="14">
        <f>MAX($A$1:$A35)+1</f>
        <v>34</v>
      </c>
      <c r="B36" s="12" t="str">
        <f t="shared" si="5"/>
        <v>DIVER NAME</v>
      </c>
      <c r="C36" s="12" t="str">
        <f t="shared" si="5"/>
        <v>BUDDY NAME</v>
      </c>
      <c r="D36" s="12">
        <f t="shared" si="5"/>
        <v>0</v>
      </c>
      <c r="E36" s="14" t="str">
        <f>IF(ISERROR(VLOOKUP($D36,[1]SITES!$A:$E,2,FALSE)),"",VLOOKUP($D36,[1]SITES!$A:$E,2,FALSE))</f>
        <v/>
      </c>
      <c r="F36" s="15" t="str">
        <f>IF(ISERROR(VLOOKUP($D36,[1]SITES!$A:$E,3,FALSE)),"",VLOOKUP($D36,[1]SITES!$A:$E,3,FALSE))</f>
        <v/>
      </c>
      <c r="G36" s="16" t="str">
        <f>IF(ISERROR(VLOOKUP($D36,[1]SITES!$A:$E,4,FALSE)),"",VLOOKUP($D36,[1]SITES!$A:$E,4,FALSE))</f>
        <v/>
      </c>
      <c r="H36" s="26" t="str">
        <f t="shared" ref="H36:M51" si="7">IF(ISERROR(H35),IF(ISERROR(H34),IF(ISERROR(H33),"BLANK",H33),H34),H35)</f>
        <v>DATE</v>
      </c>
      <c r="I36" s="12" t="str">
        <f t="shared" si="7"/>
        <v>VIS</v>
      </c>
      <c r="J36" s="12" t="str">
        <f t="shared" si="7"/>
        <v>DIRECTION</v>
      </c>
      <c r="K36" s="24" t="str">
        <f t="shared" si="7"/>
        <v>TIME</v>
      </c>
      <c r="L36" s="12" t="str">
        <f t="shared" si="7"/>
        <v>DEPTH</v>
      </c>
      <c r="M36" s="12" t="str">
        <f t="shared" si="7"/>
        <v>BLOCK</v>
      </c>
      <c r="O36" s="22"/>
      <c r="Q36" s="14"/>
      <c r="R36" s="25">
        <f t="shared" si="6"/>
        <v>0</v>
      </c>
      <c r="S36" s="12">
        <v>0</v>
      </c>
    </row>
    <row r="37" spans="1:19">
      <c r="A37" s="14">
        <f>MAX($A$1:$A36)+1</f>
        <v>35</v>
      </c>
      <c r="B37" s="12" t="str">
        <f t="shared" ref="B37:D52" si="8">IF(ISERROR(B36),IF(ISERROR(B35),IF(ISERROR(B34),"BLANK",B34),B35),B36)</f>
        <v>DIVER NAME</v>
      </c>
      <c r="C37" s="12" t="str">
        <f t="shared" si="8"/>
        <v>BUDDY NAME</v>
      </c>
      <c r="D37" s="12">
        <f t="shared" si="8"/>
        <v>0</v>
      </c>
      <c r="E37" s="14" t="str">
        <f>IF(ISERROR(VLOOKUP($D37,[1]SITES!$A:$E,2,FALSE)),"",VLOOKUP($D37,[1]SITES!$A:$E,2,FALSE))</f>
        <v/>
      </c>
      <c r="F37" s="15" t="str">
        <f>IF(ISERROR(VLOOKUP($D37,[1]SITES!$A:$E,3,FALSE)),"",VLOOKUP($D37,[1]SITES!$A:$E,3,FALSE))</f>
        <v/>
      </c>
      <c r="G37" s="16" t="str">
        <f>IF(ISERROR(VLOOKUP($D37,[1]SITES!$A:$E,4,FALSE)),"",VLOOKUP($D37,[1]SITES!$A:$E,4,FALSE))</f>
        <v/>
      </c>
      <c r="H37" s="26" t="str">
        <f t="shared" si="7"/>
        <v>DATE</v>
      </c>
      <c r="I37" s="12" t="str">
        <f t="shared" si="7"/>
        <v>VIS</v>
      </c>
      <c r="J37" s="12" t="str">
        <f t="shared" si="7"/>
        <v>DIRECTION</v>
      </c>
      <c r="K37" s="24" t="str">
        <f t="shared" si="7"/>
        <v>TIME</v>
      </c>
      <c r="L37" s="12" t="str">
        <f t="shared" si="7"/>
        <v>DEPTH</v>
      </c>
      <c r="M37" s="12" t="str">
        <f t="shared" si="7"/>
        <v>BLOCK</v>
      </c>
      <c r="O37" s="22"/>
      <c r="Q37" s="14"/>
      <c r="R37" s="25">
        <f t="shared" si="6"/>
        <v>0</v>
      </c>
      <c r="S37" s="12">
        <v>0</v>
      </c>
    </row>
    <row r="38" spans="1:19">
      <c r="A38" s="14">
        <f>MAX($A$1:$A37)+1</f>
        <v>36</v>
      </c>
      <c r="B38" s="12" t="str">
        <f t="shared" si="8"/>
        <v>DIVER NAME</v>
      </c>
      <c r="C38" s="12" t="str">
        <f t="shared" si="8"/>
        <v>BUDDY NAME</v>
      </c>
      <c r="D38" s="12">
        <f t="shared" si="8"/>
        <v>0</v>
      </c>
      <c r="E38" s="14" t="str">
        <f>IF(ISERROR(VLOOKUP($D38,[1]SITES!$A:$E,2,FALSE)),"",VLOOKUP($D38,[1]SITES!$A:$E,2,FALSE))</f>
        <v/>
      </c>
      <c r="F38" s="15" t="str">
        <f>IF(ISERROR(VLOOKUP($D38,[1]SITES!$A:$E,3,FALSE)),"",VLOOKUP($D38,[1]SITES!$A:$E,3,FALSE))</f>
        <v/>
      </c>
      <c r="G38" s="16" t="str">
        <f>IF(ISERROR(VLOOKUP($D38,[1]SITES!$A:$E,4,FALSE)),"",VLOOKUP($D38,[1]SITES!$A:$E,4,FALSE))</f>
        <v/>
      </c>
      <c r="H38" s="26" t="str">
        <f t="shared" si="7"/>
        <v>DATE</v>
      </c>
      <c r="I38" s="12" t="str">
        <f t="shared" si="7"/>
        <v>VIS</v>
      </c>
      <c r="J38" s="12" t="str">
        <f t="shared" si="7"/>
        <v>DIRECTION</v>
      </c>
      <c r="K38" s="24" t="str">
        <f t="shared" si="7"/>
        <v>TIME</v>
      </c>
      <c r="L38" s="12" t="str">
        <f t="shared" si="7"/>
        <v>DEPTH</v>
      </c>
      <c r="M38" s="12" t="str">
        <f t="shared" si="7"/>
        <v>BLOCK</v>
      </c>
      <c r="O38" s="22"/>
      <c r="Q38" s="14"/>
      <c r="R38" s="25">
        <f t="shared" si="6"/>
        <v>0</v>
      </c>
      <c r="S38" s="12">
        <v>0</v>
      </c>
    </row>
    <row r="39" spans="1:19">
      <c r="A39" s="14">
        <f>MAX($A$1:$A38)+1</f>
        <v>37</v>
      </c>
      <c r="B39" s="12" t="str">
        <f t="shared" si="8"/>
        <v>DIVER NAME</v>
      </c>
      <c r="C39" s="12" t="str">
        <f t="shared" si="8"/>
        <v>BUDDY NAME</v>
      </c>
      <c r="D39" s="12">
        <f t="shared" si="8"/>
        <v>0</v>
      </c>
      <c r="E39" s="14" t="str">
        <f>IF(ISERROR(VLOOKUP($D39,[1]SITES!$A:$E,2,FALSE)),"",VLOOKUP($D39,[1]SITES!$A:$E,2,FALSE))</f>
        <v/>
      </c>
      <c r="F39" s="15" t="str">
        <f>IF(ISERROR(VLOOKUP($D39,[1]SITES!$A:$E,3,FALSE)),"",VLOOKUP($D39,[1]SITES!$A:$E,3,FALSE))</f>
        <v/>
      </c>
      <c r="G39" s="16" t="str">
        <f>IF(ISERROR(VLOOKUP($D39,[1]SITES!$A:$E,4,FALSE)),"",VLOOKUP($D39,[1]SITES!$A:$E,4,FALSE))</f>
        <v/>
      </c>
      <c r="H39" s="26" t="str">
        <f t="shared" si="7"/>
        <v>DATE</v>
      </c>
      <c r="I39" s="12" t="str">
        <f t="shared" si="7"/>
        <v>VIS</v>
      </c>
      <c r="J39" s="12" t="str">
        <f t="shared" si="7"/>
        <v>DIRECTION</v>
      </c>
      <c r="K39" s="24" t="str">
        <f t="shared" si="7"/>
        <v>TIME</v>
      </c>
      <c r="L39" s="12" t="str">
        <f t="shared" si="7"/>
        <v>DEPTH</v>
      </c>
      <c r="M39" s="12" t="str">
        <f t="shared" si="7"/>
        <v>BLOCK</v>
      </c>
      <c r="O39" s="22"/>
      <c r="Q39" s="14"/>
      <c r="R39" s="25">
        <f t="shared" si="6"/>
        <v>0</v>
      </c>
      <c r="S39" s="12">
        <v>0</v>
      </c>
    </row>
    <row r="40" spans="1:19">
      <c r="A40" s="14">
        <f>MAX($A$1:$A39)+1</f>
        <v>38</v>
      </c>
      <c r="B40" s="12" t="str">
        <f t="shared" si="8"/>
        <v>DIVER NAME</v>
      </c>
      <c r="C40" s="12" t="str">
        <f t="shared" si="8"/>
        <v>BUDDY NAME</v>
      </c>
      <c r="D40" s="12">
        <f t="shared" si="8"/>
        <v>0</v>
      </c>
      <c r="E40" s="14" t="str">
        <f>IF(ISERROR(VLOOKUP($D40,[1]SITES!$A:$E,2,FALSE)),"",VLOOKUP($D40,[1]SITES!$A:$E,2,FALSE))</f>
        <v/>
      </c>
      <c r="F40" s="15" t="str">
        <f>IF(ISERROR(VLOOKUP($D40,[1]SITES!$A:$E,3,FALSE)),"",VLOOKUP($D40,[1]SITES!$A:$E,3,FALSE))</f>
        <v/>
      </c>
      <c r="G40" s="16" t="str">
        <f>IF(ISERROR(VLOOKUP($D40,[1]SITES!$A:$E,4,FALSE)),"",VLOOKUP($D40,[1]SITES!$A:$E,4,FALSE))</f>
        <v/>
      </c>
      <c r="H40" s="26" t="str">
        <f t="shared" si="7"/>
        <v>DATE</v>
      </c>
      <c r="I40" s="12" t="str">
        <f t="shared" si="7"/>
        <v>VIS</v>
      </c>
      <c r="J40" s="12" t="str">
        <f t="shared" si="7"/>
        <v>DIRECTION</v>
      </c>
      <c r="K40" s="24" t="str">
        <f t="shared" si="7"/>
        <v>TIME</v>
      </c>
      <c r="L40" s="12" t="str">
        <f t="shared" si="7"/>
        <v>DEPTH</v>
      </c>
      <c r="M40" s="12" t="str">
        <f t="shared" si="7"/>
        <v>BLOCK</v>
      </c>
      <c r="O40" s="22"/>
      <c r="Q40" s="14"/>
      <c r="R40" s="25">
        <f t="shared" si="6"/>
        <v>0</v>
      </c>
      <c r="S40" s="12">
        <v>0</v>
      </c>
    </row>
    <row r="41" spans="1:19">
      <c r="A41" s="14">
        <f>MAX($A$1:$A40)+1</f>
        <v>39</v>
      </c>
      <c r="B41" s="12" t="str">
        <f t="shared" si="8"/>
        <v>DIVER NAME</v>
      </c>
      <c r="C41" s="12" t="str">
        <f t="shared" si="8"/>
        <v>BUDDY NAME</v>
      </c>
      <c r="D41" s="12">
        <f t="shared" si="8"/>
        <v>0</v>
      </c>
      <c r="E41" s="14" t="str">
        <f>IF(ISERROR(VLOOKUP($D41,[1]SITES!$A:$E,2,FALSE)),"",VLOOKUP($D41,[1]SITES!$A:$E,2,FALSE))</f>
        <v/>
      </c>
      <c r="F41" s="15" t="str">
        <f>IF(ISERROR(VLOOKUP($D41,[1]SITES!$A:$E,3,FALSE)),"",VLOOKUP($D41,[1]SITES!$A:$E,3,FALSE))</f>
        <v/>
      </c>
      <c r="G41" s="16" t="str">
        <f>IF(ISERROR(VLOOKUP($D41,[1]SITES!$A:$E,4,FALSE)),"",VLOOKUP($D41,[1]SITES!$A:$E,4,FALSE))</f>
        <v/>
      </c>
      <c r="H41" s="26" t="str">
        <f t="shared" si="7"/>
        <v>DATE</v>
      </c>
      <c r="I41" s="12" t="str">
        <f t="shared" si="7"/>
        <v>VIS</v>
      </c>
      <c r="J41" s="12" t="str">
        <f t="shared" si="7"/>
        <v>DIRECTION</v>
      </c>
      <c r="K41" s="24" t="str">
        <f t="shared" si="7"/>
        <v>TIME</v>
      </c>
      <c r="L41" s="12" t="str">
        <f t="shared" si="7"/>
        <v>DEPTH</v>
      </c>
      <c r="M41" s="12" t="str">
        <f t="shared" si="7"/>
        <v>BLOCK</v>
      </c>
      <c r="O41" s="22"/>
      <c r="Q41" s="14"/>
      <c r="R41" s="25">
        <f t="shared" si="6"/>
        <v>0</v>
      </c>
      <c r="S41" s="12">
        <v>0</v>
      </c>
    </row>
    <row r="42" spans="1:19">
      <c r="A42" s="14">
        <f>MAX($A$1:$A41)+1</f>
        <v>40</v>
      </c>
      <c r="B42" s="12" t="str">
        <f t="shared" si="8"/>
        <v>DIVER NAME</v>
      </c>
      <c r="C42" s="12" t="str">
        <f t="shared" si="8"/>
        <v>BUDDY NAME</v>
      </c>
      <c r="D42" s="12">
        <f t="shared" si="8"/>
        <v>0</v>
      </c>
      <c r="E42" s="14" t="str">
        <f>IF(ISERROR(VLOOKUP($D42,[1]SITES!$A:$E,2,FALSE)),"",VLOOKUP($D42,[1]SITES!$A:$E,2,FALSE))</f>
        <v/>
      </c>
      <c r="F42" s="15" t="str">
        <f>IF(ISERROR(VLOOKUP($D42,[1]SITES!$A:$E,3,FALSE)),"",VLOOKUP($D42,[1]SITES!$A:$E,3,FALSE))</f>
        <v/>
      </c>
      <c r="G42" s="16" t="str">
        <f>IF(ISERROR(VLOOKUP($D42,[1]SITES!$A:$E,4,FALSE)),"",VLOOKUP($D42,[1]SITES!$A:$E,4,FALSE))</f>
        <v/>
      </c>
      <c r="H42" s="26" t="str">
        <f t="shared" si="7"/>
        <v>DATE</v>
      </c>
      <c r="I42" s="12" t="str">
        <f t="shared" si="7"/>
        <v>VIS</v>
      </c>
      <c r="J42" s="12" t="str">
        <f t="shared" si="7"/>
        <v>DIRECTION</v>
      </c>
      <c r="K42" s="24" t="str">
        <f t="shared" si="7"/>
        <v>TIME</v>
      </c>
      <c r="L42" s="12" t="str">
        <f t="shared" si="7"/>
        <v>DEPTH</v>
      </c>
      <c r="M42" s="12" t="str">
        <f t="shared" si="7"/>
        <v>BLOCK</v>
      </c>
      <c r="O42" s="22"/>
      <c r="Q42" s="14"/>
      <c r="R42" s="25">
        <f t="shared" si="6"/>
        <v>0</v>
      </c>
      <c r="S42" s="12">
        <v>0</v>
      </c>
    </row>
    <row r="43" spans="1:19">
      <c r="A43" s="14">
        <f>MAX($A$1:$A42)+1</f>
        <v>41</v>
      </c>
      <c r="B43" s="12" t="str">
        <f t="shared" si="8"/>
        <v>DIVER NAME</v>
      </c>
      <c r="C43" s="12" t="str">
        <f t="shared" si="8"/>
        <v>BUDDY NAME</v>
      </c>
      <c r="D43" s="12">
        <f t="shared" si="8"/>
        <v>0</v>
      </c>
      <c r="E43" s="14" t="str">
        <f>IF(ISERROR(VLOOKUP($D43,[1]SITES!$A:$E,2,FALSE)),"",VLOOKUP($D43,[1]SITES!$A:$E,2,FALSE))</f>
        <v/>
      </c>
      <c r="F43" s="15" t="str">
        <f>IF(ISERROR(VLOOKUP($D43,[1]SITES!$A:$E,3,FALSE)),"",VLOOKUP($D43,[1]SITES!$A:$E,3,FALSE))</f>
        <v/>
      </c>
      <c r="G43" s="16" t="str">
        <f>IF(ISERROR(VLOOKUP($D43,[1]SITES!$A:$E,4,FALSE)),"",VLOOKUP($D43,[1]SITES!$A:$E,4,FALSE))</f>
        <v/>
      </c>
      <c r="H43" s="26" t="str">
        <f t="shared" si="7"/>
        <v>DATE</v>
      </c>
      <c r="I43" s="12" t="str">
        <f t="shared" si="7"/>
        <v>VIS</v>
      </c>
      <c r="J43" s="12" t="str">
        <f t="shared" si="7"/>
        <v>DIRECTION</v>
      </c>
      <c r="K43" s="24" t="str">
        <f t="shared" si="7"/>
        <v>TIME</v>
      </c>
      <c r="L43" s="12" t="str">
        <f t="shared" si="7"/>
        <v>DEPTH</v>
      </c>
      <c r="M43" s="12" t="str">
        <f t="shared" si="7"/>
        <v>BLOCK</v>
      </c>
      <c r="O43" s="22"/>
      <c r="Q43" s="14"/>
      <c r="R43" s="25">
        <f t="shared" si="6"/>
        <v>0</v>
      </c>
      <c r="S43" s="12">
        <v>0</v>
      </c>
    </row>
    <row r="44" spans="1:19">
      <c r="A44" s="14">
        <f>MAX($A$1:$A43)+1</f>
        <v>42</v>
      </c>
      <c r="B44" s="12" t="str">
        <f t="shared" si="8"/>
        <v>DIVER NAME</v>
      </c>
      <c r="C44" s="12" t="str">
        <f t="shared" si="8"/>
        <v>BUDDY NAME</v>
      </c>
      <c r="D44" s="12">
        <f t="shared" si="8"/>
        <v>0</v>
      </c>
      <c r="E44" s="14" t="str">
        <f>IF(ISERROR(VLOOKUP($D44,[1]SITES!$A:$E,2,FALSE)),"",VLOOKUP($D44,[1]SITES!$A:$E,2,FALSE))</f>
        <v/>
      </c>
      <c r="F44" s="15" t="str">
        <f>IF(ISERROR(VLOOKUP($D44,[1]SITES!$A:$E,3,FALSE)),"",VLOOKUP($D44,[1]SITES!$A:$E,3,FALSE))</f>
        <v/>
      </c>
      <c r="G44" s="16" t="str">
        <f>IF(ISERROR(VLOOKUP($D44,[1]SITES!$A:$E,4,FALSE)),"",VLOOKUP($D44,[1]SITES!$A:$E,4,FALSE))</f>
        <v/>
      </c>
      <c r="H44" s="26" t="str">
        <f t="shared" si="7"/>
        <v>DATE</v>
      </c>
      <c r="I44" s="12" t="str">
        <f t="shared" si="7"/>
        <v>VIS</v>
      </c>
      <c r="J44" s="12" t="str">
        <f t="shared" si="7"/>
        <v>DIRECTION</v>
      </c>
      <c r="K44" s="24" t="str">
        <f t="shared" si="7"/>
        <v>TIME</v>
      </c>
      <c r="L44" s="12" t="str">
        <f t="shared" si="7"/>
        <v>DEPTH</v>
      </c>
      <c r="M44" s="12" t="str">
        <f t="shared" si="7"/>
        <v>BLOCK</v>
      </c>
      <c r="O44" s="22"/>
      <c r="Q44" s="14"/>
      <c r="R44" s="25">
        <f t="shared" si="6"/>
        <v>0</v>
      </c>
      <c r="S44" s="12">
        <v>0</v>
      </c>
    </row>
    <row r="45" spans="1:19">
      <c r="A45" s="14">
        <f>MAX($A$1:$A44)+1</f>
        <v>43</v>
      </c>
      <c r="B45" s="12" t="str">
        <f t="shared" si="8"/>
        <v>DIVER NAME</v>
      </c>
      <c r="C45" s="12" t="str">
        <f t="shared" si="8"/>
        <v>BUDDY NAME</v>
      </c>
      <c r="D45" s="12">
        <f t="shared" si="8"/>
        <v>0</v>
      </c>
      <c r="E45" s="14" t="str">
        <f>IF(ISERROR(VLOOKUP($D45,[1]SITES!$A:$E,2,FALSE)),"",VLOOKUP($D45,[1]SITES!$A:$E,2,FALSE))</f>
        <v/>
      </c>
      <c r="F45" s="15" t="str">
        <f>IF(ISERROR(VLOOKUP($D45,[1]SITES!$A:$E,3,FALSE)),"",VLOOKUP($D45,[1]SITES!$A:$E,3,FALSE))</f>
        <v/>
      </c>
      <c r="G45" s="16" t="str">
        <f>IF(ISERROR(VLOOKUP($D45,[1]SITES!$A:$E,4,FALSE)),"",VLOOKUP($D45,[1]SITES!$A:$E,4,FALSE))</f>
        <v/>
      </c>
      <c r="H45" s="26" t="str">
        <f t="shared" si="7"/>
        <v>DATE</v>
      </c>
      <c r="I45" s="12" t="str">
        <f t="shared" si="7"/>
        <v>VIS</v>
      </c>
      <c r="J45" s="12" t="str">
        <f t="shared" si="7"/>
        <v>DIRECTION</v>
      </c>
      <c r="K45" s="24" t="str">
        <f t="shared" si="7"/>
        <v>TIME</v>
      </c>
      <c r="L45" s="12" t="str">
        <f t="shared" si="7"/>
        <v>DEPTH</v>
      </c>
      <c r="M45" s="12" t="str">
        <f t="shared" si="7"/>
        <v>BLOCK</v>
      </c>
      <c r="O45" s="22"/>
      <c r="Q45" s="14"/>
      <c r="R45" s="25">
        <f t="shared" si="6"/>
        <v>0</v>
      </c>
      <c r="S45" s="12">
        <v>0</v>
      </c>
    </row>
    <row r="46" spans="1:19">
      <c r="A46" s="14">
        <f>MAX($A$1:$A45)+1</f>
        <v>44</v>
      </c>
      <c r="B46" s="12" t="str">
        <f t="shared" si="8"/>
        <v>DIVER NAME</v>
      </c>
      <c r="C46" s="12" t="str">
        <f t="shared" si="8"/>
        <v>BUDDY NAME</v>
      </c>
      <c r="D46" s="12">
        <f t="shared" si="8"/>
        <v>0</v>
      </c>
      <c r="E46" s="14" t="str">
        <f>IF(ISERROR(VLOOKUP($D46,[1]SITES!$A:$E,2,FALSE)),"",VLOOKUP($D46,[1]SITES!$A:$E,2,FALSE))</f>
        <v/>
      </c>
      <c r="F46" s="15" t="str">
        <f>IF(ISERROR(VLOOKUP($D46,[1]SITES!$A:$E,3,FALSE)),"",VLOOKUP($D46,[1]SITES!$A:$E,3,FALSE))</f>
        <v/>
      </c>
      <c r="G46" s="16" t="str">
        <f>IF(ISERROR(VLOOKUP($D46,[1]SITES!$A:$E,4,FALSE)),"",VLOOKUP($D46,[1]SITES!$A:$E,4,FALSE))</f>
        <v/>
      </c>
      <c r="H46" s="26" t="str">
        <f t="shared" si="7"/>
        <v>DATE</v>
      </c>
      <c r="I46" s="12" t="str">
        <f t="shared" si="7"/>
        <v>VIS</v>
      </c>
      <c r="J46" s="12" t="str">
        <f t="shared" si="7"/>
        <v>DIRECTION</v>
      </c>
      <c r="K46" s="24" t="str">
        <f t="shared" si="7"/>
        <v>TIME</v>
      </c>
      <c r="L46" s="12" t="str">
        <f t="shared" si="7"/>
        <v>DEPTH</v>
      </c>
      <c r="M46" s="12" t="str">
        <f t="shared" si="7"/>
        <v>BLOCK</v>
      </c>
      <c r="O46" s="22"/>
      <c r="Q46" s="14"/>
      <c r="R46" s="25">
        <f t="shared" si="6"/>
        <v>0</v>
      </c>
      <c r="S46" s="12">
        <v>0</v>
      </c>
    </row>
    <row r="47" spans="1:19">
      <c r="A47" s="14">
        <f>MAX($A$1:$A46)+1</f>
        <v>45</v>
      </c>
      <c r="B47" s="12" t="str">
        <f t="shared" si="8"/>
        <v>DIVER NAME</v>
      </c>
      <c r="C47" s="12" t="str">
        <f t="shared" si="8"/>
        <v>BUDDY NAME</v>
      </c>
      <c r="D47" s="12">
        <f t="shared" si="8"/>
        <v>0</v>
      </c>
      <c r="E47" s="14" t="str">
        <f>IF(ISERROR(VLOOKUP($D47,[1]SITES!$A:$E,2,FALSE)),"",VLOOKUP($D47,[1]SITES!$A:$E,2,FALSE))</f>
        <v/>
      </c>
      <c r="F47" s="15" t="str">
        <f>IF(ISERROR(VLOOKUP($D47,[1]SITES!$A:$E,3,FALSE)),"",VLOOKUP($D47,[1]SITES!$A:$E,3,FALSE))</f>
        <v/>
      </c>
      <c r="G47" s="16" t="str">
        <f>IF(ISERROR(VLOOKUP($D47,[1]SITES!$A:$E,4,FALSE)),"",VLOOKUP($D47,[1]SITES!$A:$E,4,FALSE))</f>
        <v/>
      </c>
      <c r="H47" s="26" t="str">
        <f t="shared" si="7"/>
        <v>DATE</v>
      </c>
      <c r="I47" s="12" t="str">
        <f t="shared" si="7"/>
        <v>VIS</v>
      </c>
      <c r="J47" s="12" t="str">
        <f t="shared" si="7"/>
        <v>DIRECTION</v>
      </c>
      <c r="K47" s="24" t="str">
        <f t="shared" si="7"/>
        <v>TIME</v>
      </c>
      <c r="L47" s="12" t="str">
        <f t="shared" si="7"/>
        <v>DEPTH</v>
      </c>
      <c r="M47" s="12" t="str">
        <f t="shared" si="7"/>
        <v>BLOCK</v>
      </c>
      <c r="O47" s="22"/>
      <c r="Q47" s="14"/>
      <c r="R47" s="25">
        <f t="shared" si="6"/>
        <v>0</v>
      </c>
      <c r="S47" s="12">
        <v>0</v>
      </c>
    </row>
    <row r="48" spans="1:19">
      <c r="A48" s="14">
        <f>MAX($A$1:$A47)+1</f>
        <v>46</v>
      </c>
      <c r="B48" s="12" t="str">
        <f t="shared" si="8"/>
        <v>DIVER NAME</v>
      </c>
      <c r="C48" s="12" t="str">
        <f t="shared" si="8"/>
        <v>BUDDY NAME</v>
      </c>
      <c r="D48" s="12">
        <f t="shared" si="8"/>
        <v>0</v>
      </c>
      <c r="E48" s="14" t="str">
        <f>IF(ISERROR(VLOOKUP($D48,[1]SITES!$A:$E,2,FALSE)),"",VLOOKUP($D48,[1]SITES!$A:$E,2,FALSE))</f>
        <v/>
      </c>
      <c r="F48" s="15" t="str">
        <f>IF(ISERROR(VLOOKUP($D48,[1]SITES!$A:$E,3,FALSE)),"",VLOOKUP($D48,[1]SITES!$A:$E,3,FALSE))</f>
        <v/>
      </c>
      <c r="G48" s="16" t="str">
        <f>IF(ISERROR(VLOOKUP($D48,[1]SITES!$A:$E,4,FALSE)),"",VLOOKUP($D48,[1]SITES!$A:$E,4,FALSE))</f>
        <v/>
      </c>
      <c r="H48" s="26" t="str">
        <f t="shared" si="7"/>
        <v>DATE</v>
      </c>
      <c r="I48" s="12" t="str">
        <f t="shared" si="7"/>
        <v>VIS</v>
      </c>
      <c r="J48" s="12" t="str">
        <f t="shared" si="7"/>
        <v>DIRECTION</v>
      </c>
      <c r="K48" s="24" t="str">
        <f t="shared" si="7"/>
        <v>TIME</v>
      </c>
      <c r="L48" s="12" t="str">
        <f t="shared" si="7"/>
        <v>DEPTH</v>
      </c>
      <c r="M48" s="12" t="str">
        <f t="shared" si="7"/>
        <v>BLOCK</v>
      </c>
      <c r="O48" s="22"/>
      <c r="Q48" s="14"/>
      <c r="R48" s="25">
        <f t="shared" si="6"/>
        <v>0</v>
      </c>
      <c r="S48" s="12">
        <v>0</v>
      </c>
    </row>
    <row r="49" spans="1:19">
      <c r="A49" s="14">
        <f>MAX($A$1:$A48)+1</f>
        <v>47</v>
      </c>
      <c r="B49" s="12" t="str">
        <f t="shared" si="8"/>
        <v>DIVER NAME</v>
      </c>
      <c r="C49" s="12" t="str">
        <f t="shared" si="8"/>
        <v>BUDDY NAME</v>
      </c>
      <c r="D49" s="12">
        <f t="shared" si="8"/>
        <v>0</v>
      </c>
      <c r="E49" s="14" t="str">
        <f>IF(ISERROR(VLOOKUP($D49,[1]SITES!$A:$E,2,FALSE)),"",VLOOKUP($D49,[1]SITES!$A:$E,2,FALSE))</f>
        <v/>
      </c>
      <c r="F49" s="15" t="str">
        <f>IF(ISERROR(VLOOKUP($D49,[1]SITES!$A:$E,3,FALSE)),"",VLOOKUP($D49,[1]SITES!$A:$E,3,FALSE))</f>
        <v/>
      </c>
      <c r="G49" s="16" t="str">
        <f>IF(ISERROR(VLOOKUP($D49,[1]SITES!$A:$E,4,FALSE)),"",VLOOKUP($D49,[1]SITES!$A:$E,4,FALSE))</f>
        <v/>
      </c>
      <c r="H49" s="26" t="str">
        <f t="shared" si="7"/>
        <v>DATE</v>
      </c>
      <c r="I49" s="12" t="str">
        <f t="shared" si="7"/>
        <v>VIS</v>
      </c>
      <c r="J49" s="12" t="str">
        <f t="shared" si="7"/>
        <v>DIRECTION</v>
      </c>
      <c r="K49" s="24" t="str">
        <f t="shared" si="7"/>
        <v>TIME</v>
      </c>
      <c r="L49" s="12" t="str">
        <f t="shared" si="7"/>
        <v>DEPTH</v>
      </c>
      <c r="M49" s="12" t="str">
        <f t="shared" si="7"/>
        <v>BLOCK</v>
      </c>
      <c r="O49" s="22"/>
      <c r="Q49" s="14"/>
      <c r="R49" s="25">
        <f t="shared" si="6"/>
        <v>0</v>
      </c>
      <c r="S49" s="12">
        <v>0</v>
      </c>
    </row>
    <row r="50" spans="1:19">
      <c r="A50" s="14">
        <f>MAX($A$1:$A49)+1</f>
        <v>48</v>
      </c>
      <c r="B50" s="12" t="str">
        <f t="shared" si="8"/>
        <v>DIVER NAME</v>
      </c>
      <c r="C50" s="12" t="str">
        <f t="shared" si="8"/>
        <v>BUDDY NAME</v>
      </c>
      <c r="D50" s="12">
        <f t="shared" si="8"/>
        <v>0</v>
      </c>
      <c r="E50" s="14" t="str">
        <f>IF(ISERROR(VLOOKUP($D50,[1]SITES!$A:$E,2,FALSE)),"",VLOOKUP($D50,[1]SITES!$A:$E,2,FALSE))</f>
        <v/>
      </c>
      <c r="F50" s="15" t="str">
        <f>IF(ISERROR(VLOOKUP($D50,[1]SITES!$A:$E,3,FALSE)),"",VLOOKUP($D50,[1]SITES!$A:$E,3,FALSE))</f>
        <v/>
      </c>
      <c r="G50" s="16" t="str">
        <f>IF(ISERROR(VLOOKUP($D50,[1]SITES!$A:$E,4,FALSE)),"",VLOOKUP($D50,[1]SITES!$A:$E,4,FALSE))</f>
        <v/>
      </c>
      <c r="H50" s="26" t="str">
        <f t="shared" si="7"/>
        <v>DATE</v>
      </c>
      <c r="I50" s="12" t="str">
        <f t="shared" si="7"/>
        <v>VIS</v>
      </c>
      <c r="J50" s="12" t="str">
        <f t="shared" si="7"/>
        <v>DIRECTION</v>
      </c>
      <c r="K50" s="24" t="str">
        <f t="shared" si="7"/>
        <v>TIME</v>
      </c>
      <c r="L50" s="12" t="str">
        <f t="shared" si="7"/>
        <v>DEPTH</v>
      </c>
      <c r="M50" s="12" t="str">
        <f t="shared" si="7"/>
        <v>BLOCK</v>
      </c>
      <c r="O50" s="22"/>
      <c r="Q50" s="14"/>
      <c r="R50" s="25">
        <f t="shared" si="6"/>
        <v>0</v>
      </c>
      <c r="S50" s="12">
        <v>0</v>
      </c>
    </row>
    <row r="51" spans="1:19">
      <c r="A51" s="14">
        <f>MAX($A$1:$A50)+1</f>
        <v>49</v>
      </c>
      <c r="B51" s="12" t="str">
        <f t="shared" si="8"/>
        <v>DIVER NAME</v>
      </c>
      <c r="C51" s="12" t="str">
        <f t="shared" si="8"/>
        <v>BUDDY NAME</v>
      </c>
      <c r="D51" s="12">
        <f t="shared" si="8"/>
        <v>0</v>
      </c>
      <c r="E51" s="14" t="str">
        <f>IF(ISERROR(VLOOKUP($D51,[1]SITES!$A:$E,2,FALSE)),"",VLOOKUP($D51,[1]SITES!$A:$E,2,FALSE))</f>
        <v/>
      </c>
      <c r="F51" s="15" t="str">
        <f>IF(ISERROR(VLOOKUP($D51,[1]SITES!$A:$E,3,FALSE)),"",VLOOKUP($D51,[1]SITES!$A:$E,3,FALSE))</f>
        <v/>
      </c>
      <c r="G51" s="16" t="str">
        <f>IF(ISERROR(VLOOKUP($D51,[1]SITES!$A:$E,4,FALSE)),"",VLOOKUP($D51,[1]SITES!$A:$E,4,FALSE))</f>
        <v/>
      </c>
      <c r="H51" s="26" t="str">
        <f t="shared" si="7"/>
        <v>DATE</v>
      </c>
      <c r="I51" s="12" t="str">
        <f t="shared" si="7"/>
        <v>VIS</v>
      </c>
      <c r="J51" s="12" t="str">
        <f t="shared" si="7"/>
        <v>DIRECTION</v>
      </c>
      <c r="K51" s="24" t="str">
        <f t="shared" si="7"/>
        <v>TIME</v>
      </c>
      <c r="L51" s="12" t="str">
        <f t="shared" si="7"/>
        <v>DEPTH</v>
      </c>
      <c r="M51" s="12" t="str">
        <f t="shared" si="7"/>
        <v>BLOCK</v>
      </c>
      <c r="O51" s="22"/>
      <c r="Q51" s="14"/>
      <c r="R51" s="25">
        <f>SUM(S51:AU51)</f>
        <v>0</v>
      </c>
      <c r="S51" s="12">
        <v>0</v>
      </c>
    </row>
    <row r="52" spans="1:19">
      <c r="A52" s="14">
        <f>MAX($A$1:$A51)+1</f>
        <v>50</v>
      </c>
      <c r="B52" s="12" t="str">
        <f t="shared" si="8"/>
        <v>DIVER NAME</v>
      </c>
      <c r="C52" s="12" t="str">
        <f t="shared" si="8"/>
        <v>BUDDY NAME</v>
      </c>
      <c r="D52" s="12">
        <f t="shared" si="8"/>
        <v>0</v>
      </c>
      <c r="E52" s="14" t="str">
        <f>IF(ISERROR(VLOOKUP($D52,[1]SITES!$A:$E,2,FALSE)),"",VLOOKUP($D52,[1]SITES!$A:$E,2,FALSE))</f>
        <v/>
      </c>
      <c r="F52" s="15" t="str">
        <f>IF(ISERROR(VLOOKUP($D52,[1]SITES!$A:$E,3,FALSE)),"",VLOOKUP($D52,[1]SITES!$A:$E,3,FALSE))</f>
        <v/>
      </c>
      <c r="G52" s="16" t="str">
        <f>IF(ISERROR(VLOOKUP($D52,[1]SITES!$A:$E,4,FALSE)),"",VLOOKUP($D52,[1]SITES!$A:$E,4,FALSE))</f>
        <v/>
      </c>
      <c r="H52" s="26" t="str">
        <f t="shared" ref="H52:M67" si="9">IF(ISERROR(H51),IF(ISERROR(H50),IF(ISERROR(H49),"BLANK",H49),H50),H51)</f>
        <v>DATE</v>
      </c>
      <c r="I52" s="12" t="str">
        <f t="shared" si="9"/>
        <v>VIS</v>
      </c>
      <c r="J52" s="12" t="str">
        <f t="shared" si="9"/>
        <v>DIRECTION</v>
      </c>
      <c r="K52" s="24" t="str">
        <f t="shared" si="9"/>
        <v>TIME</v>
      </c>
      <c r="L52" s="12" t="str">
        <f t="shared" si="9"/>
        <v>DEPTH</v>
      </c>
      <c r="M52" s="12" t="str">
        <f t="shared" si="9"/>
        <v>BLOCK</v>
      </c>
      <c r="O52" s="22"/>
      <c r="Q52" s="14"/>
      <c r="R52" s="25">
        <f>SUM(S52:AU52)</f>
        <v>0</v>
      </c>
      <c r="S52" s="12">
        <v>0</v>
      </c>
    </row>
    <row r="53" spans="1:19">
      <c r="A53" s="14">
        <f>MAX($A$1:$A52)+1</f>
        <v>51</v>
      </c>
      <c r="B53" s="12" t="str">
        <f t="shared" ref="B53:D68" si="10">IF(ISERROR(B52),IF(ISERROR(B51),IF(ISERROR(B50),"BLANK",B50),B51),B52)</f>
        <v>DIVER NAME</v>
      </c>
      <c r="C53" s="12" t="str">
        <f t="shared" si="10"/>
        <v>BUDDY NAME</v>
      </c>
      <c r="D53" s="12">
        <f t="shared" si="10"/>
        <v>0</v>
      </c>
      <c r="E53" s="14" t="str">
        <f>IF(ISERROR(VLOOKUP($D53,[1]SITES!$A:$E,2,FALSE)),"",VLOOKUP($D53,[1]SITES!$A:$E,2,FALSE))</f>
        <v/>
      </c>
      <c r="F53" s="15" t="str">
        <f>IF(ISERROR(VLOOKUP($D53,[1]SITES!$A:$E,3,FALSE)),"",VLOOKUP($D53,[1]SITES!$A:$E,3,FALSE))</f>
        <v/>
      </c>
      <c r="G53" s="16" t="str">
        <f>IF(ISERROR(VLOOKUP($D53,[1]SITES!$A:$E,4,FALSE)),"",VLOOKUP($D53,[1]SITES!$A:$E,4,FALSE))</f>
        <v/>
      </c>
      <c r="H53" s="26" t="str">
        <f t="shared" si="9"/>
        <v>DATE</v>
      </c>
      <c r="I53" s="12" t="str">
        <f t="shared" si="9"/>
        <v>VIS</v>
      </c>
      <c r="J53" s="12" t="str">
        <f t="shared" si="9"/>
        <v>DIRECTION</v>
      </c>
      <c r="K53" s="24" t="str">
        <f t="shared" si="9"/>
        <v>TIME</v>
      </c>
      <c r="L53" s="12" t="str">
        <f t="shared" si="9"/>
        <v>DEPTH</v>
      </c>
      <c r="M53" s="12" t="str">
        <f t="shared" si="9"/>
        <v>BLOCK</v>
      </c>
      <c r="O53" s="22"/>
      <c r="Q53" s="14"/>
      <c r="R53" s="25">
        <f t="shared" si="6"/>
        <v>0</v>
      </c>
      <c r="S53" s="12">
        <v>0</v>
      </c>
    </row>
    <row r="54" spans="1:19">
      <c r="A54" s="14">
        <f>MAX($A$1:$A53)+1</f>
        <v>52</v>
      </c>
      <c r="B54" s="12" t="str">
        <f t="shared" si="10"/>
        <v>DIVER NAME</v>
      </c>
      <c r="C54" s="12" t="str">
        <f t="shared" si="10"/>
        <v>BUDDY NAME</v>
      </c>
      <c r="D54" s="12">
        <f t="shared" si="10"/>
        <v>0</v>
      </c>
      <c r="E54" s="14" t="str">
        <f>IF(ISERROR(VLOOKUP($D54,[1]SITES!$A:$E,2,FALSE)),"",VLOOKUP($D54,[1]SITES!$A:$E,2,FALSE))</f>
        <v/>
      </c>
      <c r="F54" s="15" t="str">
        <f>IF(ISERROR(VLOOKUP($D54,[1]SITES!$A:$E,3,FALSE)),"",VLOOKUP($D54,[1]SITES!$A:$E,3,FALSE))</f>
        <v/>
      </c>
      <c r="G54" s="16" t="str">
        <f>IF(ISERROR(VLOOKUP($D54,[1]SITES!$A:$E,4,FALSE)),"",VLOOKUP($D54,[1]SITES!$A:$E,4,FALSE))</f>
        <v/>
      </c>
      <c r="H54" s="26" t="str">
        <f t="shared" si="9"/>
        <v>DATE</v>
      </c>
      <c r="I54" s="12" t="str">
        <f t="shared" si="9"/>
        <v>VIS</v>
      </c>
      <c r="J54" s="12" t="str">
        <f t="shared" si="9"/>
        <v>DIRECTION</v>
      </c>
      <c r="K54" s="24" t="str">
        <f t="shared" si="9"/>
        <v>TIME</v>
      </c>
      <c r="L54" s="12" t="str">
        <f t="shared" si="9"/>
        <v>DEPTH</v>
      </c>
      <c r="M54" s="12" t="str">
        <f t="shared" si="9"/>
        <v>BLOCK</v>
      </c>
      <c r="O54" s="22"/>
      <c r="Q54" s="14"/>
      <c r="R54" s="25">
        <f t="shared" si="6"/>
        <v>0</v>
      </c>
      <c r="S54" s="12">
        <v>0</v>
      </c>
    </row>
    <row r="55" spans="1:19">
      <c r="A55" s="14">
        <f>MAX($A$1:$A54)+1</f>
        <v>53</v>
      </c>
      <c r="B55" s="12" t="str">
        <f t="shared" si="10"/>
        <v>DIVER NAME</v>
      </c>
      <c r="C55" s="12" t="str">
        <f t="shared" si="10"/>
        <v>BUDDY NAME</v>
      </c>
      <c r="D55" s="12">
        <f t="shared" si="10"/>
        <v>0</v>
      </c>
      <c r="E55" s="14" t="str">
        <f>IF(ISERROR(VLOOKUP($D55,[1]SITES!$A:$E,2,FALSE)),"",VLOOKUP($D55,[1]SITES!$A:$E,2,FALSE))</f>
        <v/>
      </c>
      <c r="F55" s="15" t="str">
        <f>IF(ISERROR(VLOOKUP($D55,[1]SITES!$A:$E,3,FALSE)),"",VLOOKUP($D55,[1]SITES!$A:$E,3,FALSE))</f>
        <v/>
      </c>
      <c r="G55" s="16" t="str">
        <f>IF(ISERROR(VLOOKUP($D55,[1]SITES!$A:$E,4,FALSE)),"",VLOOKUP($D55,[1]SITES!$A:$E,4,FALSE))</f>
        <v/>
      </c>
      <c r="H55" s="26" t="str">
        <f t="shared" si="9"/>
        <v>DATE</v>
      </c>
      <c r="I55" s="12" t="str">
        <f t="shared" si="9"/>
        <v>VIS</v>
      </c>
      <c r="J55" s="12" t="str">
        <f t="shared" si="9"/>
        <v>DIRECTION</v>
      </c>
      <c r="K55" s="24" t="str">
        <f t="shared" si="9"/>
        <v>TIME</v>
      </c>
      <c r="L55" s="12" t="str">
        <f t="shared" si="9"/>
        <v>DEPTH</v>
      </c>
      <c r="M55" s="12" t="str">
        <f t="shared" si="9"/>
        <v>BLOCK</v>
      </c>
      <c r="O55" s="22"/>
      <c r="Q55" s="14"/>
      <c r="R55" s="25">
        <f t="shared" si="6"/>
        <v>0</v>
      </c>
      <c r="S55" s="12">
        <v>0</v>
      </c>
    </row>
    <row r="56" spans="1:19">
      <c r="A56" s="14">
        <f>MAX($A$1:$A55)+1</f>
        <v>54</v>
      </c>
      <c r="B56" s="12" t="str">
        <f t="shared" si="10"/>
        <v>DIVER NAME</v>
      </c>
      <c r="C56" s="12" t="str">
        <f t="shared" si="10"/>
        <v>BUDDY NAME</v>
      </c>
      <c r="D56" s="12">
        <f t="shared" si="10"/>
        <v>0</v>
      </c>
      <c r="E56" s="14" t="str">
        <f>IF(ISERROR(VLOOKUP($D56,[1]SITES!$A:$E,2,FALSE)),"",VLOOKUP($D56,[1]SITES!$A:$E,2,FALSE))</f>
        <v/>
      </c>
      <c r="F56" s="15" t="str">
        <f>IF(ISERROR(VLOOKUP($D56,[1]SITES!$A:$E,3,FALSE)),"",VLOOKUP($D56,[1]SITES!$A:$E,3,FALSE))</f>
        <v/>
      </c>
      <c r="G56" s="16" t="str">
        <f>IF(ISERROR(VLOOKUP($D56,[1]SITES!$A:$E,4,FALSE)),"",VLOOKUP($D56,[1]SITES!$A:$E,4,FALSE))</f>
        <v/>
      </c>
      <c r="H56" s="26" t="str">
        <f t="shared" si="9"/>
        <v>DATE</v>
      </c>
      <c r="I56" s="12" t="str">
        <f t="shared" si="9"/>
        <v>VIS</v>
      </c>
      <c r="J56" s="12" t="str">
        <f t="shared" si="9"/>
        <v>DIRECTION</v>
      </c>
      <c r="K56" s="24" t="str">
        <f t="shared" si="9"/>
        <v>TIME</v>
      </c>
      <c r="L56" s="12" t="str">
        <f t="shared" si="9"/>
        <v>DEPTH</v>
      </c>
      <c r="M56" s="12" t="str">
        <f t="shared" si="9"/>
        <v>BLOCK</v>
      </c>
      <c r="O56" s="22"/>
      <c r="Q56" s="14"/>
      <c r="R56" s="25">
        <f t="shared" si="6"/>
        <v>0</v>
      </c>
      <c r="S56" s="12">
        <v>0</v>
      </c>
    </row>
    <row r="57" spans="1:19">
      <c r="A57" s="14">
        <f>MAX($A$1:$A56)+1</f>
        <v>55</v>
      </c>
      <c r="B57" s="12" t="str">
        <f t="shared" si="10"/>
        <v>DIVER NAME</v>
      </c>
      <c r="C57" s="12" t="str">
        <f t="shared" si="10"/>
        <v>BUDDY NAME</v>
      </c>
      <c r="D57" s="12">
        <f t="shared" si="10"/>
        <v>0</v>
      </c>
      <c r="E57" s="14" t="str">
        <f>IF(ISERROR(VLOOKUP($D57,[1]SITES!$A:$E,2,FALSE)),"",VLOOKUP($D57,[1]SITES!$A:$E,2,FALSE))</f>
        <v/>
      </c>
      <c r="F57" s="15" t="str">
        <f>IF(ISERROR(VLOOKUP($D57,[1]SITES!$A:$E,3,FALSE)),"",VLOOKUP($D57,[1]SITES!$A:$E,3,FALSE))</f>
        <v/>
      </c>
      <c r="G57" s="16" t="str">
        <f>IF(ISERROR(VLOOKUP($D57,[1]SITES!$A:$E,4,FALSE)),"",VLOOKUP($D57,[1]SITES!$A:$E,4,FALSE))</f>
        <v/>
      </c>
      <c r="H57" s="26" t="str">
        <f t="shared" si="9"/>
        <v>DATE</v>
      </c>
      <c r="I57" s="12" t="str">
        <f t="shared" si="9"/>
        <v>VIS</v>
      </c>
      <c r="J57" s="12" t="str">
        <f t="shared" si="9"/>
        <v>DIRECTION</v>
      </c>
      <c r="K57" s="24" t="str">
        <f t="shared" si="9"/>
        <v>TIME</v>
      </c>
      <c r="L57" s="12" t="str">
        <f t="shared" si="9"/>
        <v>DEPTH</v>
      </c>
      <c r="M57" s="12" t="str">
        <f t="shared" si="9"/>
        <v>BLOCK</v>
      </c>
      <c r="O57" s="22"/>
      <c r="Q57" s="14"/>
      <c r="R57" s="25">
        <f t="shared" si="6"/>
        <v>0</v>
      </c>
      <c r="S57" s="12">
        <v>0</v>
      </c>
    </row>
    <row r="58" spans="1:19">
      <c r="A58" s="14">
        <f>MAX($A$1:$A57)+1</f>
        <v>56</v>
      </c>
      <c r="B58" s="12" t="str">
        <f t="shared" si="10"/>
        <v>DIVER NAME</v>
      </c>
      <c r="C58" s="12" t="str">
        <f t="shared" si="10"/>
        <v>BUDDY NAME</v>
      </c>
      <c r="D58" s="12">
        <f t="shared" si="10"/>
        <v>0</v>
      </c>
      <c r="E58" s="14" t="str">
        <f>IF(ISERROR(VLOOKUP($D58,[1]SITES!$A:$E,2,FALSE)),"",VLOOKUP($D58,[1]SITES!$A:$E,2,FALSE))</f>
        <v/>
      </c>
      <c r="F58" s="15" t="str">
        <f>IF(ISERROR(VLOOKUP($D58,[1]SITES!$A:$E,3,FALSE)),"",VLOOKUP($D58,[1]SITES!$A:$E,3,FALSE))</f>
        <v/>
      </c>
      <c r="G58" s="16" t="str">
        <f>IF(ISERROR(VLOOKUP($D58,[1]SITES!$A:$E,4,FALSE)),"",VLOOKUP($D58,[1]SITES!$A:$E,4,FALSE))</f>
        <v/>
      </c>
      <c r="H58" s="26" t="str">
        <f t="shared" si="9"/>
        <v>DATE</v>
      </c>
      <c r="I58" s="12" t="str">
        <f t="shared" si="9"/>
        <v>VIS</v>
      </c>
      <c r="J58" s="12" t="str">
        <f t="shared" si="9"/>
        <v>DIRECTION</v>
      </c>
      <c r="K58" s="24" t="str">
        <f t="shared" si="9"/>
        <v>TIME</v>
      </c>
      <c r="L58" s="12" t="str">
        <f t="shared" si="9"/>
        <v>DEPTH</v>
      </c>
      <c r="M58" s="12" t="str">
        <f t="shared" si="9"/>
        <v>BLOCK</v>
      </c>
      <c r="O58" s="22"/>
      <c r="Q58" s="14"/>
      <c r="R58" s="25">
        <f t="shared" si="6"/>
        <v>0</v>
      </c>
      <c r="S58" s="12">
        <v>0</v>
      </c>
    </row>
    <row r="59" spans="1:19">
      <c r="A59" s="14">
        <f>MAX($A$1:$A58)+1</f>
        <v>57</v>
      </c>
      <c r="B59" s="12" t="str">
        <f t="shared" si="10"/>
        <v>DIVER NAME</v>
      </c>
      <c r="C59" s="12" t="str">
        <f t="shared" si="10"/>
        <v>BUDDY NAME</v>
      </c>
      <c r="D59" s="12">
        <f t="shared" si="10"/>
        <v>0</v>
      </c>
      <c r="E59" s="14" t="str">
        <f>IF(ISERROR(VLOOKUP($D59,[1]SITES!$A:$E,2,FALSE)),"",VLOOKUP($D59,[1]SITES!$A:$E,2,FALSE))</f>
        <v/>
      </c>
      <c r="F59" s="15" t="str">
        <f>IF(ISERROR(VLOOKUP($D59,[1]SITES!$A:$E,3,FALSE)),"",VLOOKUP($D59,[1]SITES!$A:$E,3,FALSE))</f>
        <v/>
      </c>
      <c r="G59" s="16" t="str">
        <f>IF(ISERROR(VLOOKUP($D59,[1]SITES!$A:$E,4,FALSE)),"",VLOOKUP($D59,[1]SITES!$A:$E,4,FALSE))</f>
        <v/>
      </c>
      <c r="H59" s="26" t="str">
        <f t="shared" si="9"/>
        <v>DATE</v>
      </c>
      <c r="I59" s="12" t="str">
        <f t="shared" si="9"/>
        <v>VIS</v>
      </c>
      <c r="J59" s="12" t="str">
        <f t="shared" si="9"/>
        <v>DIRECTION</v>
      </c>
      <c r="K59" s="24" t="str">
        <f t="shared" si="9"/>
        <v>TIME</v>
      </c>
      <c r="L59" s="12" t="str">
        <f t="shared" si="9"/>
        <v>DEPTH</v>
      </c>
      <c r="M59" s="12" t="str">
        <f t="shared" si="9"/>
        <v>BLOCK</v>
      </c>
      <c r="O59" s="22"/>
      <c r="Q59" s="14"/>
      <c r="R59" s="25">
        <f t="shared" si="6"/>
        <v>0</v>
      </c>
      <c r="S59" s="12">
        <v>0</v>
      </c>
    </row>
    <row r="60" spans="1:19">
      <c r="A60" s="14">
        <f>MAX($A$1:$A59)+1</f>
        <v>58</v>
      </c>
      <c r="B60" s="12" t="str">
        <f t="shared" si="10"/>
        <v>DIVER NAME</v>
      </c>
      <c r="C60" s="12" t="str">
        <f t="shared" si="10"/>
        <v>BUDDY NAME</v>
      </c>
      <c r="D60" s="12">
        <f t="shared" si="10"/>
        <v>0</v>
      </c>
      <c r="E60" s="14" t="str">
        <f>IF(ISERROR(VLOOKUP($D60,[1]SITES!$A:$E,2,FALSE)),"",VLOOKUP($D60,[1]SITES!$A:$E,2,FALSE))</f>
        <v/>
      </c>
      <c r="F60" s="15" t="str">
        <f>IF(ISERROR(VLOOKUP($D60,[1]SITES!$A:$E,3,FALSE)),"",VLOOKUP($D60,[1]SITES!$A:$E,3,FALSE))</f>
        <v/>
      </c>
      <c r="G60" s="16" t="str">
        <f>IF(ISERROR(VLOOKUP($D60,[1]SITES!$A:$E,4,FALSE)),"",VLOOKUP($D60,[1]SITES!$A:$E,4,FALSE))</f>
        <v/>
      </c>
      <c r="H60" s="26" t="str">
        <f t="shared" si="9"/>
        <v>DATE</v>
      </c>
      <c r="I60" s="12" t="str">
        <f t="shared" si="9"/>
        <v>VIS</v>
      </c>
      <c r="J60" s="12" t="str">
        <f t="shared" si="9"/>
        <v>DIRECTION</v>
      </c>
      <c r="K60" s="24" t="str">
        <f t="shared" si="9"/>
        <v>TIME</v>
      </c>
      <c r="L60" s="12" t="str">
        <f t="shared" si="9"/>
        <v>DEPTH</v>
      </c>
      <c r="M60" s="12" t="str">
        <f t="shared" si="9"/>
        <v>BLOCK</v>
      </c>
      <c r="O60" s="22"/>
      <c r="Q60" s="14"/>
      <c r="R60" s="25">
        <f t="shared" si="6"/>
        <v>0</v>
      </c>
      <c r="S60" s="12">
        <v>0</v>
      </c>
    </row>
    <row r="61" spans="1:19">
      <c r="A61" s="14">
        <f>MAX($A$1:$A60)+1</f>
        <v>59</v>
      </c>
      <c r="B61" s="12" t="str">
        <f t="shared" si="10"/>
        <v>DIVER NAME</v>
      </c>
      <c r="C61" s="12" t="str">
        <f t="shared" si="10"/>
        <v>BUDDY NAME</v>
      </c>
      <c r="D61" s="12">
        <f t="shared" si="10"/>
        <v>0</v>
      </c>
      <c r="E61" s="14" t="str">
        <f>IF(ISERROR(VLOOKUP($D61,[1]SITES!$A:$E,2,FALSE)),"",VLOOKUP($D61,[1]SITES!$A:$E,2,FALSE))</f>
        <v/>
      </c>
      <c r="F61" s="15" t="str">
        <f>IF(ISERROR(VLOOKUP($D61,[1]SITES!$A:$E,3,FALSE)),"",VLOOKUP($D61,[1]SITES!$A:$E,3,FALSE))</f>
        <v/>
      </c>
      <c r="G61" s="16" t="str">
        <f>IF(ISERROR(VLOOKUP($D61,[1]SITES!$A:$E,4,FALSE)),"",VLOOKUP($D61,[1]SITES!$A:$E,4,FALSE))</f>
        <v/>
      </c>
      <c r="H61" s="26" t="str">
        <f t="shared" si="9"/>
        <v>DATE</v>
      </c>
      <c r="I61" s="12" t="str">
        <f t="shared" si="9"/>
        <v>VIS</v>
      </c>
      <c r="J61" s="12" t="str">
        <f t="shared" si="9"/>
        <v>DIRECTION</v>
      </c>
      <c r="K61" s="24" t="str">
        <f t="shared" si="9"/>
        <v>TIME</v>
      </c>
      <c r="L61" s="12" t="str">
        <f t="shared" si="9"/>
        <v>DEPTH</v>
      </c>
      <c r="M61" s="12" t="str">
        <f t="shared" si="9"/>
        <v>BLOCK</v>
      </c>
      <c r="O61" s="22"/>
      <c r="Q61" s="14"/>
      <c r="R61" s="25">
        <f t="shared" si="6"/>
        <v>0</v>
      </c>
      <c r="S61" s="12">
        <v>0</v>
      </c>
    </row>
    <row r="62" spans="1:19">
      <c r="A62" s="14">
        <f>MAX($A$1:$A61)+1</f>
        <v>60</v>
      </c>
      <c r="B62" s="12" t="str">
        <f t="shared" si="10"/>
        <v>DIVER NAME</v>
      </c>
      <c r="C62" s="12" t="str">
        <f t="shared" si="10"/>
        <v>BUDDY NAME</v>
      </c>
      <c r="D62" s="12">
        <f t="shared" si="10"/>
        <v>0</v>
      </c>
      <c r="E62" s="14" t="str">
        <f>IF(ISERROR(VLOOKUP($D62,[1]SITES!$A:$E,2,FALSE)),"",VLOOKUP($D62,[1]SITES!$A:$E,2,FALSE))</f>
        <v/>
      </c>
      <c r="F62" s="15" t="str">
        <f>IF(ISERROR(VLOOKUP($D62,[1]SITES!$A:$E,3,FALSE)),"",VLOOKUP($D62,[1]SITES!$A:$E,3,FALSE))</f>
        <v/>
      </c>
      <c r="G62" s="16" t="str">
        <f>IF(ISERROR(VLOOKUP($D62,[1]SITES!$A:$E,4,FALSE)),"",VLOOKUP($D62,[1]SITES!$A:$E,4,FALSE))</f>
        <v/>
      </c>
      <c r="H62" s="26" t="str">
        <f t="shared" si="9"/>
        <v>DATE</v>
      </c>
      <c r="I62" s="12" t="str">
        <f t="shared" si="9"/>
        <v>VIS</v>
      </c>
      <c r="J62" s="12" t="str">
        <f t="shared" si="9"/>
        <v>DIRECTION</v>
      </c>
      <c r="K62" s="24" t="str">
        <f t="shared" si="9"/>
        <v>TIME</v>
      </c>
      <c r="L62" s="12" t="str">
        <f t="shared" si="9"/>
        <v>DEPTH</v>
      </c>
      <c r="M62" s="12" t="str">
        <f t="shared" si="9"/>
        <v>BLOCK</v>
      </c>
      <c r="O62" s="22"/>
      <c r="Q62" s="14"/>
      <c r="R62" s="25">
        <f t="shared" si="6"/>
        <v>0</v>
      </c>
      <c r="S62" s="12">
        <v>0</v>
      </c>
    </row>
    <row r="63" spans="1:19">
      <c r="A63" s="14">
        <f>MAX($A$1:$A62)+1</f>
        <v>61</v>
      </c>
      <c r="B63" s="12" t="str">
        <f t="shared" si="10"/>
        <v>DIVER NAME</v>
      </c>
      <c r="C63" s="12" t="str">
        <f t="shared" si="10"/>
        <v>BUDDY NAME</v>
      </c>
      <c r="D63" s="12">
        <f t="shared" si="10"/>
        <v>0</v>
      </c>
      <c r="E63" s="14" t="str">
        <f>IF(ISERROR(VLOOKUP($D63,[1]SITES!$A:$E,2,FALSE)),"",VLOOKUP($D63,[1]SITES!$A:$E,2,FALSE))</f>
        <v/>
      </c>
      <c r="F63" s="15" t="str">
        <f>IF(ISERROR(VLOOKUP($D63,[1]SITES!$A:$E,3,FALSE)),"",VLOOKUP($D63,[1]SITES!$A:$E,3,FALSE))</f>
        <v/>
      </c>
      <c r="G63" s="16" t="str">
        <f>IF(ISERROR(VLOOKUP($D63,[1]SITES!$A:$E,4,FALSE)),"",VLOOKUP($D63,[1]SITES!$A:$E,4,FALSE))</f>
        <v/>
      </c>
      <c r="H63" s="26" t="str">
        <f t="shared" si="9"/>
        <v>DATE</v>
      </c>
      <c r="I63" s="12" t="str">
        <f t="shared" si="9"/>
        <v>VIS</v>
      </c>
      <c r="J63" s="12" t="str">
        <f t="shared" si="9"/>
        <v>DIRECTION</v>
      </c>
      <c r="K63" s="24" t="str">
        <f t="shared" si="9"/>
        <v>TIME</v>
      </c>
      <c r="L63" s="12" t="str">
        <f t="shared" si="9"/>
        <v>DEPTH</v>
      </c>
      <c r="M63" s="12" t="str">
        <f t="shared" si="9"/>
        <v>BLOCK</v>
      </c>
      <c r="O63" s="22"/>
      <c r="Q63" s="14"/>
      <c r="R63" s="25">
        <f t="shared" si="6"/>
        <v>0</v>
      </c>
      <c r="S63" s="12">
        <v>0</v>
      </c>
    </row>
    <row r="64" spans="1:19">
      <c r="A64" s="14">
        <f>MAX($A$1:$A63)+1</f>
        <v>62</v>
      </c>
      <c r="B64" s="12" t="str">
        <f t="shared" si="10"/>
        <v>DIVER NAME</v>
      </c>
      <c r="C64" s="12" t="str">
        <f t="shared" si="10"/>
        <v>BUDDY NAME</v>
      </c>
      <c r="D64" s="12">
        <f t="shared" si="10"/>
        <v>0</v>
      </c>
      <c r="E64" s="14" t="str">
        <f>IF(ISERROR(VLOOKUP($D64,[1]SITES!$A:$E,2,FALSE)),"",VLOOKUP($D64,[1]SITES!$A:$E,2,FALSE))</f>
        <v/>
      </c>
      <c r="F64" s="15" t="str">
        <f>IF(ISERROR(VLOOKUP($D64,[1]SITES!$A:$E,3,FALSE)),"",VLOOKUP($D64,[1]SITES!$A:$E,3,FALSE))</f>
        <v/>
      </c>
      <c r="G64" s="16" t="str">
        <f>IF(ISERROR(VLOOKUP($D64,[1]SITES!$A:$E,4,FALSE)),"",VLOOKUP($D64,[1]SITES!$A:$E,4,FALSE))</f>
        <v/>
      </c>
      <c r="H64" s="26" t="str">
        <f t="shared" si="9"/>
        <v>DATE</v>
      </c>
      <c r="I64" s="12" t="str">
        <f t="shared" si="9"/>
        <v>VIS</v>
      </c>
      <c r="J64" s="12" t="str">
        <f t="shared" si="9"/>
        <v>DIRECTION</v>
      </c>
      <c r="K64" s="24" t="str">
        <f t="shared" si="9"/>
        <v>TIME</v>
      </c>
      <c r="L64" s="12" t="str">
        <f t="shared" si="9"/>
        <v>DEPTH</v>
      </c>
      <c r="M64" s="12" t="str">
        <f t="shared" si="9"/>
        <v>BLOCK</v>
      </c>
      <c r="O64" s="22"/>
      <c r="Q64" s="14"/>
      <c r="R64" s="25">
        <f t="shared" si="6"/>
        <v>0</v>
      </c>
      <c r="S64" s="12">
        <v>0</v>
      </c>
    </row>
    <row r="65" spans="1:19">
      <c r="A65" s="14">
        <f>MAX($A$1:$A64)+1</f>
        <v>63</v>
      </c>
      <c r="B65" s="12" t="str">
        <f t="shared" si="10"/>
        <v>DIVER NAME</v>
      </c>
      <c r="C65" s="12" t="str">
        <f t="shared" si="10"/>
        <v>BUDDY NAME</v>
      </c>
      <c r="D65" s="12">
        <f t="shared" si="10"/>
        <v>0</v>
      </c>
      <c r="E65" s="14" t="str">
        <f>IF(ISERROR(VLOOKUP($D65,[1]SITES!$A:$E,2,FALSE)),"",VLOOKUP($D65,[1]SITES!$A:$E,2,FALSE))</f>
        <v/>
      </c>
      <c r="F65" s="15" t="str">
        <f>IF(ISERROR(VLOOKUP($D65,[1]SITES!$A:$E,3,FALSE)),"",VLOOKUP($D65,[1]SITES!$A:$E,3,FALSE))</f>
        <v/>
      </c>
      <c r="G65" s="16" t="str">
        <f>IF(ISERROR(VLOOKUP($D65,[1]SITES!$A:$E,4,FALSE)),"",VLOOKUP($D65,[1]SITES!$A:$E,4,FALSE))</f>
        <v/>
      </c>
      <c r="H65" s="26" t="str">
        <f t="shared" si="9"/>
        <v>DATE</v>
      </c>
      <c r="I65" s="12" t="str">
        <f t="shared" si="9"/>
        <v>VIS</v>
      </c>
      <c r="J65" s="12" t="str">
        <f t="shared" si="9"/>
        <v>DIRECTION</v>
      </c>
      <c r="K65" s="24" t="str">
        <f t="shared" si="9"/>
        <v>TIME</v>
      </c>
      <c r="L65" s="12" t="str">
        <f t="shared" si="9"/>
        <v>DEPTH</v>
      </c>
      <c r="M65" s="12" t="str">
        <f t="shared" si="9"/>
        <v>BLOCK</v>
      </c>
      <c r="O65" s="22"/>
      <c r="Q65" s="14"/>
      <c r="R65" s="25">
        <f t="shared" si="6"/>
        <v>0</v>
      </c>
      <c r="S65" s="12">
        <v>0</v>
      </c>
    </row>
    <row r="66" spans="1:19">
      <c r="A66" s="14">
        <f>MAX($A$1:$A65)+1</f>
        <v>64</v>
      </c>
      <c r="B66" s="12" t="str">
        <f t="shared" si="10"/>
        <v>DIVER NAME</v>
      </c>
      <c r="C66" s="12" t="str">
        <f t="shared" si="10"/>
        <v>BUDDY NAME</v>
      </c>
      <c r="D66" s="12">
        <f t="shared" si="10"/>
        <v>0</v>
      </c>
      <c r="E66" s="14" t="str">
        <f>IF(ISERROR(VLOOKUP($D66,[1]SITES!$A:$E,2,FALSE)),"",VLOOKUP($D66,[1]SITES!$A:$E,2,FALSE))</f>
        <v/>
      </c>
      <c r="F66" s="15" t="str">
        <f>IF(ISERROR(VLOOKUP($D66,[1]SITES!$A:$E,3,FALSE)),"",VLOOKUP($D66,[1]SITES!$A:$E,3,FALSE))</f>
        <v/>
      </c>
      <c r="G66" s="16" t="str">
        <f>IF(ISERROR(VLOOKUP($D66,[1]SITES!$A:$E,4,FALSE)),"",VLOOKUP($D66,[1]SITES!$A:$E,4,FALSE))</f>
        <v/>
      </c>
      <c r="H66" s="26" t="str">
        <f t="shared" si="9"/>
        <v>DATE</v>
      </c>
      <c r="I66" s="12" t="str">
        <f t="shared" si="9"/>
        <v>VIS</v>
      </c>
      <c r="J66" s="12" t="str">
        <f t="shared" si="9"/>
        <v>DIRECTION</v>
      </c>
      <c r="K66" s="24" t="str">
        <f t="shared" si="9"/>
        <v>TIME</v>
      </c>
      <c r="L66" s="12" t="str">
        <f t="shared" si="9"/>
        <v>DEPTH</v>
      </c>
      <c r="M66" s="12" t="str">
        <f t="shared" si="9"/>
        <v>BLOCK</v>
      </c>
      <c r="O66" s="22"/>
      <c r="Q66" s="14"/>
      <c r="R66" s="25">
        <f t="shared" si="6"/>
        <v>0</v>
      </c>
      <c r="S66" s="12">
        <v>0</v>
      </c>
    </row>
    <row r="67" spans="1:19">
      <c r="A67" s="14">
        <f>MAX($A$1:$A66)+1</f>
        <v>65</v>
      </c>
      <c r="B67" s="12" t="str">
        <f t="shared" si="10"/>
        <v>DIVER NAME</v>
      </c>
      <c r="C67" s="12" t="str">
        <f t="shared" si="10"/>
        <v>BUDDY NAME</v>
      </c>
      <c r="D67" s="12">
        <f t="shared" si="10"/>
        <v>0</v>
      </c>
      <c r="E67" s="14" t="str">
        <f>IF(ISERROR(VLOOKUP($D67,[1]SITES!$A:$E,2,FALSE)),"",VLOOKUP($D67,[1]SITES!$A:$E,2,FALSE))</f>
        <v/>
      </c>
      <c r="F67" s="15" t="str">
        <f>IF(ISERROR(VLOOKUP($D67,[1]SITES!$A:$E,3,FALSE)),"",VLOOKUP($D67,[1]SITES!$A:$E,3,FALSE))</f>
        <v/>
      </c>
      <c r="G67" s="16" t="str">
        <f>IF(ISERROR(VLOOKUP($D67,[1]SITES!$A:$E,4,FALSE)),"",VLOOKUP($D67,[1]SITES!$A:$E,4,FALSE))</f>
        <v/>
      </c>
      <c r="H67" s="26" t="str">
        <f t="shared" si="9"/>
        <v>DATE</v>
      </c>
      <c r="I67" s="12" t="str">
        <f t="shared" si="9"/>
        <v>VIS</v>
      </c>
      <c r="J67" s="12" t="str">
        <f t="shared" si="9"/>
        <v>DIRECTION</v>
      </c>
      <c r="K67" s="24" t="str">
        <f t="shared" si="9"/>
        <v>TIME</v>
      </c>
      <c r="L67" s="12" t="str">
        <f t="shared" si="9"/>
        <v>DEPTH</v>
      </c>
      <c r="M67" s="12" t="str">
        <f t="shared" si="9"/>
        <v>BLOCK</v>
      </c>
      <c r="O67" s="22"/>
      <c r="Q67" s="14"/>
      <c r="R67" s="25">
        <f t="shared" si="6"/>
        <v>0</v>
      </c>
      <c r="S67" s="12">
        <v>0</v>
      </c>
    </row>
    <row r="68" spans="1:19">
      <c r="A68" s="14">
        <f>MAX($A$1:$A67)+1</f>
        <v>66</v>
      </c>
      <c r="B68" s="12" t="str">
        <f t="shared" si="10"/>
        <v>DIVER NAME</v>
      </c>
      <c r="C68" s="12" t="str">
        <f t="shared" si="10"/>
        <v>BUDDY NAME</v>
      </c>
      <c r="D68" s="12">
        <f t="shared" si="10"/>
        <v>0</v>
      </c>
      <c r="E68" s="14" t="str">
        <f>IF(ISERROR(VLOOKUP($D68,[1]SITES!$A:$E,2,FALSE)),"",VLOOKUP($D68,[1]SITES!$A:$E,2,FALSE))</f>
        <v/>
      </c>
      <c r="F68" s="15" t="str">
        <f>IF(ISERROR(VLOOKUP($D68,[1]SITES!$A:$E,3,FALSE)),"",VLOOKUP($D68,[1]SITES!$A:$E,3,FALSE))</f>
        <v/>
      </c>
      <c r="G68" s="16" t="str">
        <f>IF(ISERROR(VLOOKUP($D68,[1]SITES!$A:$E,4,FALSE)),"",VLOOKUP($D68,[1]SITES!$A:$E,4,FALSE))</f>
        <v/>
      </c>
      <c r="H68" s="26" t="str">
        <f t="shared" ref="H68:M83" si="11">IF(ISERROR(H67),IF(ISERROR(H66),IF(ISERROR(H65),"BLANK",H65),H66),H67)</f>
        <v>DATE</v>
      </c>
      <c r="I68" s="12" t="str">
        <f t="shared" si="11"/>
        <v>VIS</v>
      </c>
      <c r="J68" s="12" t="str">
        <f t="shared" si="11"/>
        <v>DIRECTION</v>
      </c>
      <c r="K68" s="24" t="str">
        <f t="shared" si="11"/>
        <v>TIME</v>
      </c>
      <c r="L68" s="12" t="str">
        <f t="shared" si="11"/>
        <v>DEPTH</v>
      </c>
      <c r="M68" s="12" t="str">
        <f t="shared" si="11"/>
        <v>BLOCK</v>
      </c>
      <c r="O68" s="22"/>
      <c r="Q68" s="14"/>
      <c r="R68" s="25">
        <f t="shared" si="6"/>
        <v>0</v>
      </c>
      <c r="S68" s="12">
        <v>0</v>
      </c>
    </row>
    <row r="69" spans="1:19">
      <c r="A69" s="14">
        <f>MAX($A$1:$A68)+1</f>
        <v>67</v>
      </c>
      <c r="B69" s="12" t="str">
        <f t="shared" ref="B69:D84" si="12">IF(ISERROR(B68),IF(ISERROR(B67),IF(ISERROR(B66),"BLANK",B66),B67),B68)</f>
        <v>DIVER NAME</v>
      </c>
      <c r="C69" s="12" t="str">
        <f t="shared" si="12"/>
        <v>BUDDY NAME</v>
      </c>
      <c r="D69" s="12">
        <f t="shared" si="12"/>
        <v>0</v>
      </c>
      <c r="E69" s="14" t="str">
        <f>IF(ISERROR(VLOOKUP($D69,[1]SITES!$A:$E,2,FALSE)),"",VLOOKUP($D69,[1]SITES!$A:$E,2,FALSE))</f>
        <v/>
      </c>
      <c r="F69" s="15" t="str">
        <f>IF(ISERROR(VLOOKUP($D69,[1]SITES!$A:$E,3,FALSE)),"",VLOOKUP($D69,[1]SITES!$A:$E,3,FALSE))</f>
        <v/>
      </c>
      <c r="G69" s="16" t="str">
        <f>IF(ISERROR(VLOOKUP($D69,[1]SITES!$A:$E,4,FALSE)),"",VLOOKUP($D69,[1]SITES!$A:$E,4,FALSE))</f>
        <v/>
      </c>
      <c r="H69" s="26" t="str">
        <f t="shared" si="11"/>
        <v>DATE</v>
      </c>
      <c r="I69" s="12" t="str">
        <f t="shared" si="11"/>
        <v>VIS</v>
      </c>
      <c r="J69" s="12" t="str">
        <f t="shared" si="11"/>
        <v>DIRECTION</v>
      </c>
      <c r="K69" s="24" t="str">
        <f t="shared" si="11"/>
        <v>TIME</v>
      </c>
      <c r="L69" s="12" t="str">
        <f t="shared" si="11"/>
        <v>DEPTH</v>
      </c>
      <c r="M69" s="12" t="str">
        <f t="shared" si="11"/>
        <v>BLOCK</v>
      </c>
      <c r="O69" s="22"/>
      <c r="Q69" s="14"/>
      <c r="R69" s="25">
        <f t="shared" si="6"/>
        <v>0</v>
      </c>
      <c r="S69" s="12">
        <v>0</v>
      </c>
    </row>
    <row r="70" spans="1:19">
      <c r="A70" s="14">
        <f>MAX($A$1:$A69)+1</f>
        <v>68</v>
      </c>
      <c r="B70" s="12" t="str">
        <f t="shared" si="12"/>
        <v>DIVER NAME</v>
      </c>
      <c r="C70" s="12" t="str">
        <f t="shared" si="12"/>
        <v>BUDDY NAME</v>
      </c>
      <c r="D70" s="12">
        <f t="shared" si="12"/>
        <v>0</v>
      </c>
      <c r="E70" s="14" t="str">
        <f>IF(ISERROR(VLOOKUP($D70,[1]SITES!$A:$E,2,FALSE)),"",VLOOKUP($D70,[1]SITES!$A:$E,2,FALSE))</f>
        <v/>
      </c>
      <c r="F70" s="15" t="str">
        <f>IF(ISERROR(VLOOKUP($D70,[1]SITES!$A:$E,3,FALSE)),"",VLOOKUP($D70,[1]SITES!$A:$E,3,FALSE))</f>
        <v/>
      </c>
      <c r="G70" s="16" t="str">
        <f>IF(ISERROR(VLOOKUP($D70,[1]SITES!$A:$E,4,FALSE)),"",VLOOKUP($D70,[1]SITES!$A:$E,4,FALSE))</f>
        <v/>
      </c>
      <c r="H70" s="26" t="str">
        <f t="shared" si="11"/>
        <v>DATE</v>
      </c>
      <c r="I70" s="12" t="str">
        <f t="shared" si="11"/>
        <v>VIS</v>
      </c>
      <c r="J70" s="12" t="str">
        <f t="shared" si="11"/>
        <v>DIRECTION</v>
      </c>
      <c r="K70" s="24" t="str">
        <f t="shared" si="11"/>
        <v>TIME</v>
      </c>
      <c r="L70" s="12" t="str">
        <f t="shared" si="11"/>
        <v>DEPTH</v>
      </c>
      <c r="M70" s="12" t="str">
        <f t="shared" si="11"/>
        <v>BLOCK</v>
      </c>
      <c r="O70" s="22"/>
      <c r="Q70" s="14"/>
      <c r="R70" s="25">
        <f t="shared" si="6"/>
        <v>0</v>
      </c>
      <c r="S70" s="12">
        <v>0</v>
      </c>
    </row>
    <row r="71" spans="1:19">
      <c r="A71" s="14">
        <f>MAX($A$1:$A70)+1</f>
        <v>69</v>
      </c>
      <c r="B71" s="12" t="str">
        <f t="shared" si="12"/>
        <v>DIVER NAME</v>
      </c>
      <c r="C71" s="12" t="str">
        <f t="shared" si="12"/>
        <v>BUDDY NAME</v>
      </c>
      <c r="D71" s="12">
        <f t="shared" si="12"/>
        <v>0</v>
      </c>
      <c r="E71" s="14" t="str">
        <f>IF(ISERROR(VLOOKUP($D71,[1]SITES!$A:$E,2,FALSE)),"",VLOOKUP($D71,[1]SITES!$A:$E,2,FALSE))</f>
        <v/>
      </c>
      <c r="F71" s="15" t="str">
        <f>IF(ISERROR(VLOOKUP($D71,[1]SITES!$A:$E,3,FALSE)),"",VLOOKUP($D71,[1]SITES!$A:$E,3,FALSE))</f>
        <v/>
      </c>
      <c r="G71" s="16" t="str">
        <f>IF(ISERROR(VLOOKUP($D71,[1]SITES!$A:$E,4,FALSE)),"",VLOOKUP($D71,[1]SITES!$A:$E,4,FALSE))</f>
        <v/>
      </c>
      <c r="H71" s="26" t="str">
        <f t="shared" si="11"/>
        <v>DATE</v>
      </c>
      <c r="I71" s="12" t="str">
        <f t="shared" si="11"/>
        <v>VIS</v>
      </c>
      <c r="J71" s="12" t="str">
        <f t="shared" si="11"/>
        <v>DIRECTION</v>
      </c>
      <c r="K71" s="24" t="str">
        <f t="shared" si="11"/>
        <v>TIME</v>
      </c>
      <c r="L71" s="12" t="str">
        <f t="shared" si="11"/>
        <v>DEPTH</v>
      </c>
      <c r="M71" s="12" t="str">
        <f t="shared" si="11"/>
        <v>BLOCK</v>
      </c>
      <c r="O71" s="22"/>
      <c r="Q71" s="14"/>
      <c r="R71" s="25">
        <f t="shared" si="6"/>
        <v>0</v>
      </c>
      <c r="S71" s="12">
        <v>0</v>
      </c>
    </row>
    <row r="72" spans="1:19">
      <c r="A72" s="14">
        <f>MAX($A$1:$A71)+1</f>
        <v>70</v>
      </c>
      <c r="B72" s="12" t="str">
        <f t="shared" si="12"/>
        <v>DIVER NAME</v>
      </c>
      <c r="C72" s="12" t="str">
        <f t="shared" si="12"/>
        <v>BUDDY NAME</v>
      </c>
      <c r="D72" s="12">
        <f t="shared" si="12"/>
        <v>0</v>
      </c>
      <c r="E72" s="14" t="str">
        <f>IF(ISERROR(VLOOKUP($D72,[1]SITES!$A:$E,2,FALSE)),"",VLOOKUP($D72,[1]SITES!$A:$E,2,FALSE))</f>
        <v/>
      </c>
      <c r="F72" s="15" t="str">
        <f>IF(ISERROR(VLOOKUP($D72,[1]SITES!$A:$E,3,FALSE)),"",VLOOKUP($D72,[1]SITES!$A:$E,3,FALSE))</f>
        <v/>
      </c>
      <c r="G72" s="16" t="str">
        <f>IF(ISERROR(VLOOKUP($D72,[1]SITES!$A:$E,4,FALSE)),"",VLOOKUP($D72,[1]SITES!$A:$E,4,FALSE))</f>
        <v/>
      </c>
      <c r="H72" s="26" t="str">
        <f t="shared" si="11"/>
        <v>DATE</v>
      </c>
      <c r="I72" s="12" t="str">
        <f t="shared" si="11"/>
        <v>VIS</v>
      </c>
      <c r="J72" s="12" t="str">
        <f t="shared" si="11"/>
        <v>DIRECTION</v>
      </c>
      <c r="K72" s="24" t="str">
        <f t="shared" si="11"/>
        <v>TIME</v>
      </c>
      <c r="L72" s="12" t="str">
        <f t="shared" si="11"/>
        <v>DEPTH</v>
      </c>
      <c r="M72" s="12" t="str">
        <f t="shared" si="11"/>
        <v>BLOCK</v>
      </c>
      <c r="O72" s="22"/>
      <c r="Q72" s="14"/>
      <c r="R72" s="25">
        <f t="shared" si="6"/>
        <v>0</v>
      </c>
      <c r="S72" s="12">
        <v>0</v>
      </c>
    </row>
    <row r="73" spans="1:19">
      <c r="A73" s="14">
        <f>MAX($A$1:$A72)+1</f>
        <v>71</v>
      </c>
      <c r="B73" s="12" t="str">
        <f t="shared" si="12"/>
        <v>DIVER NAME</v>
      </c>
      <c r="C73" s="12" t="str">
        <f t="shared" si="12"/>
        <v>BUDDY NAME</v>
      </c>
      <c r="D73" s="12">
        <f t="shared" si="12"/>
        <v>0</v>
      </c>
      <c r="E73" s="14" t="str">
        <f>IF(ISERROR(VLOOKUP($D73,[1]SITES!$A:$E,2,FALSE)),"",VLOOKUP($D73,[1]SITES!$A:$E,2,FALSE))</f>
        <v/>
      </c>
      <c r="F73" s="15" t="str">
        <f>IF(ISERROR(VLOOKUP($D73,[1]SITES!$A:$E,3,FALSE)),"",VLOOKUP($D73,[1]SITES!$A:$E,3,FALSE))</f>
        <v/>
      </c>
      <c r="G73" s="16" t="str">
        <f>IF(ISERROR(VLOOKUP($D73,[1]SITES!$A:$E,4,FALSE)),"",VLOOKUP($D73,[1]SITES!$A:$E,4,FALSE))</f>
        <v/>
      </c>
      <c r="H73" s="26" t="str">
        <f t="shared" si="11"/>
        <v>DATE</v>
      </c>
      <c r="I73" s="12" t="str">
        <f t="shared" si="11"/>
        <v>VIS</v>
      </c>
      <c r="J73" s="12" t="str">
        <f t="shared" si="11"/>
        <v>DIRECTION</v>
      </c>
      <c r="K73" s="24" t="str">
        <f t="shared" si="11"/>
        <v>TIME</v>
      </c>
      <c r="L73" s="12" t="str">
        <f t="shared" si="11"/>
        <v>DEPTH</v>
      </c>
      <c r="M73" s="12" t="str">
        <f t="shared" si="11"/>
        <v>BLOCK</v>
      </c>
      <c r="O73" s="22"/>
      <c r="Q73" s="14"/>
      <c r="R73" s="25">
        <f t="shared" si="6"/>
        <v>0</v>
      </c>
      <c r="S73" s="12">
        <v>0</v>
      </c>
    </row>
    <row r="74" spans="1:19">
      <c r="A74" s="14">
        <f>MAX($A$1:$A73)+1</f>
        <v>72</v>
      </c>
      <c r="B74" s="12" t="str">
        <f t="shared" si="12"/>
        <v>DIVER NAME</v>
      </c>
      <c r="C74" s="12" t="str">
        <f t="shared" si="12"/>
        <v>BUDDY NAME</v>
      </c>
      <c r="D74" s="12">
        <f t="shared" si="12"/>
        <v>0</v>
      </c>
      <c r="E74" s="14" t="str">
        <f>IF(ISERROR(VLOOKUP($D74,[1]SITES!$A:$E,2,FALSE)),"",VLOOKUP($D74,[1]SITES!$A:$E,2,FALSE))</f>
        <v/>
      </c>
      <c r="F74" s="15" t="str">
        <f>IF(ISERROR(VLOOKUP($D74,[1]SITES!$A:$E,3,FALSE)),"",VLOOKUP($D74,[1]SITES!$A:$E,3,FALSE))</f>
        <v/>
      </c>
      <c r="G74" s="16" t="str">
        <f>IF(ISERROR(VLOOKUP($D74,[1]SITES!$A:$E,4,FALSE)),"",VLOOKUP($D74,[1]SITES!$A:$E,4,FALSE))</f>
        <v/>
      </c>
      <c r="H74" s="26" t="str">
        <f t="shared" si="11"/>
        <v>DATE</v>
      </c>
      <c r="I74" s="12" t="str">
        <f t="shared" si="11"/>
        <v>VIS</v>
      </c>
      <c r="J74" s="12" t="str">
        <f t="shared" si="11"/>
        <v>DIRECTION</v>
      </c>
      <c r="K74" s="24" t="str">
        <f t="shared" si="11"/>
        <v>TIME</v>
      </c>
      <c r="L74" s="12" t="str">
        <f t="shared" si="11"/>
        <v>DEPTH</v>
      </c>
      <c r="M74" s="12" t="str">
        <f t="shared" si="11"/>
        <v>BLOCK</v>
      </c>
      <c r="O74" s="22"/>
      <c r="Q74" s="14"/>
      <c r="R74" s="25">
        <f t="shared" si="6"/>
        <v>0</v>
      </c>
      <c r="S74" s="12">
        <v>0</v>
      </c>
    </row>
    <row r="75" spans="1:19">
      <c r="A75" s="14">
        <f>MAX($A$1:$A74)+1</f>
        <v>73</v>
      </c>
      <c r="B75" s="12" t="str">
        <f t="shared" si="12"/>
        <v>DIVER NAME</v>
      </c>
      <c r="C75" s="12" t="str">
        <f t="shared" si="12"/>
        <v>BUDDY NAME</v>
      </c>
      <c r="D75" s="12">
        <f t="shared" si="12"/>
        <v>0</v>
      </c>
      <c r="E75" s="14" t="str">
        <f>IF(ISERROR(VLOOKUP($D75,[1]SITES!$A:$E,2,FALSE)),"",VLOOKUP($D75,[1]SITES!$A:$E,2,FALSE))</f>
        <v/>
      </c>
      <c r="F75" s="15" t="str">
        <f>IF(ISERROR(VLOOKUP($D75,[1]SITES!$A:$E,3,FALSE)),"",VLOOKUP($D75,[1]SITES!$A:$E,3,FALSE))</f>
        <v/>
      </c>
      <c r="G75" s="16" t="str">
        <f>IF(ISERROR(VLOOKUP($D75,[1]SITES!$A:$E,4,FALSE)),"",VLOOKUP($D75,[1]SITES!$A:$E,4,FALSE))</f>
        <v/>
      </c>
      <c r="H75" s="26" t="str">
        <f t="shared" si="11"/>
        <v>DATE</v>
      </c>
      <c r="I75" s="12" t="str">
        <f t="shared" si="11"/>
        <v>VIS</v>
      </c>
      <c r="J75" s="12" t="str">
        <f t="shared" si="11"/>
        <v>DIRECTION</v>
      </c>
      <c r="K75" s="24" t="str">
        <f t="shared" si="11"/>
        <v>TIME</v>
      </c>
      <c r="L75" s="12" t="str">
        <f t="shared" si="11"/>
        <v>DEPTH</v>
      </c>
      <c r="M75" s="12" t="str">
        <f t="shared" si="11"/>
        <v>BLOCK</v>
      </c>
      <c r="O75" s="22"/>
      <c r="Q75" s="14"/>
      <c r="R75" s="25">
        <f t="shared" si="6"/>
        <v>0</v>
      </c>
      <c r="S75" s="12">
        <v>0</v>
      </c>
    </row>
    <row r="76" spans="1:19">
      <c r="A76" s="14">
        <f>MAX($A$1:$A75)+1</f>
        <v>74</v>
      </c>
      <c r="B76" s="12" t="str">
        <f t="shared" si="12"/>
        <v>DIVER NAME</v>
      </c>
      <c r="C76" s="12" t="str">
        <f t="shared" si="12"/>
        <v>BUDDY NAME</v>
      </c>
      <c r="D76" s="12">
        <f t="shared" si="12"/>
        <v>0</v>
      </c>
      <c r="E76" s="14" t="str">
        <f>IF(ISERROR(VLOOKUP($D76,[1]SITES!$A:$E,2,FALSE)),"",VLOOKUP($D76,[1]SITES!$A:$E,2,FALSE))</f>
        <v/>
      </c>
      <c r="F76" s="15" t="str">
        <f>IF(ISERROR(VLOOKUP($D76,[1]SITES!$A:$E,3,FALSE)),"",VLOOKUP($D76,[1]SITES!$A:$E,3,FALSE))</f>
        <v/>
      </c>
      <c r="G76" s="16" t="str">
        <f>IF(ISERROR(VLOOKUP($D76,[1]SITES!$A:$E,4,FALSE)),"",VLOOKUP($D76,[1]SITES!$A:$E,4,FALSE))</f>
        <v/>
      </c>
      <c r="H76" s="26" t="str">
        <f t="shared" si="11"/>
        <v>DATE</v>
      </c>
      <c r="I76" s="12" t="str">
        <f t="shared" si="11"/>
        <v>VIS</v>
      </c>
      <c r="J76" s="12" t="str">
        <f t="shared" si="11"/>
        <v>DIRECTION</v>
      </c>
      <c r="K76" s="24" t="str">
        <f t="shared" si="11"/>
        <v>TIME</v>
      </c>
      <c r="L76" s="12" t="str">
        <f t="shared" si="11"/>
        <v>DEPTH</v>
      </c>
      <c r="M76" s="12" t="str">
        <f t="shared" si="11"/>
        <v>BLOCK</v>
      </c>
      <c r="O76" s="22"/>
      <c r="Q76" s="14"/>
      <c r="R76" s="25">
        <f t="shared" si="6"/>
        <v>0</v>
      </c>
      <c r="S76" s="12">
        <v>0</v>
      </c>
    </row>
    <row r="77" spans="1:19">
      <c r="A77" s="14">
        <f>MAX($A$1:$A76)+1</f>
        <v>75</v>
      </c>
      <c r="B77" s="12" t="str">
        <f t="shared" si="12"/>
        <v>DIVER NAME</v>
      </c>
      <c r="C77" s="12" t="str">
        <f t="shared" si="12"/>
        <v>BUDDY NAME</v>
      </c>
      <c r="D77" s="12">
        <f t="shared" si="12"/>
        <v>0</v>
      </c>
      <c r="E77" s="14" t="str">
        <f>IF(ISERROR(VLOOKUP($D77,[1]SITES!$A:$E,2,FALSE)),"",VLOOKUP($D77,[1]SITES!$A:$E,2,FALSE))</f>
        <v/>
      </c>
      <c r="F77" s="15" t="str">
        <f>IF(ISERROR(VLOOKUP($D77,[1]SITES!$A:$E,3,FALSE)),"",VLOOKUP($D77,[1]SITES!$A:$E,3,FALSE))</f>
        <v/>
      </c>
      <c r="G77" s="16" t="str">
        <f>IF(ISERROR(VLOOKUP($D77,[1]SITES!$A:$E,4,FALSE)),"",VLOOKUP($D77,[1]SITES!$A:$E,4,FALSE))</f>
        <v/>
      </c>
      <c r="H77" s="26" t="str">
        <f t="shared" si="11"/>
        <v>DATE</v>
      </c>
      <c r="I77" s="12" t="str">
        <f t="shared" si="11"/>
        <v>VIS</v>
      </c>
      <c r="J77" s="12" t="str">
        <f t="shared" si="11"/>
        <v>DIRECTION</v>
      </c>
      <c r="K77" s="24" t="str">
        <f t="shared" si="11"/>
        <v>TIME</v>
      </c>
      <c r="L77" s="12" t="str">
        <f t="shared" si="11"/>
        <v>DEPTH</v>
      </c>
      <c r="M77" s="12" t="str">
        <f t="shared" si="11"/>
        <v>BLOCK</v>
      </c>
      <c r="O77" s="22"/>
      <c r="Q77" s="14"/>
      <c r="R77" s="25">
        <f t="shared" si="6"/>
        <v>0</v>
      </c>
      <c r="S77" s="12">
        <v>0</v>
      </c>
    </row>
    <row r="78" spans="1:19">
      <c r="A78" s="14">
        <f>MAX($A$1:$A77)+1</f>
        <v>76</v>
      </c>
      <c r="B78" s="12" t="str">
        <f t="shared" si="12"/>
        <v>DIVER NAME</v>
      </c>
      <c r="C78" s="12" t="str">
        <f t="shared" si="12"/>
        <v>BUDDY NAME</v>
      </c>
      <c r="D78" s="12">
        <f t="shared" si="12"/>
        <v>0</v>
      </c>
      <c r="E78" s="14" t="str">
        <f>IF(ISERROR(VLOOKUP($D78,[1]SITES!$A:$E,2,FALSE)),"",VLOOKUP($D78,[1]SITES!$A:$E,2,FALSE))</f>
        <v/>
      </c>
      <c r="F78" s="15" t="str">
        <f>IF(ISERROR(VLOOKUP($D78,[1]SITES!$A:$E,3,FALSE)),"",VLOOKUP($D78,[1]SITES!$A:$E,3,FALSE))</f>
        <v/>
      </c>
      <c r="G78" s="16" t="str">
        <f>IF(ISERROR(VLOOKUP($D78,[1]SITES!$A:$E,4,FALSE)),"",VLOOKUP($D78,[1]SITES!$A:$E,4,FALSE))</f>
        <v/>
      </c>
      <c r="H78" s="26" t="str">
        <f t="shared" si="11"/>
        <v>DATE</v>
      </c>
      <c r="I78" s="12" t="str">
        <f t="shared" si="11"/>
        <v>VIS</v>
      </c>
      <c r="J78" s="12" t="str">
        <f t="shared" si="11"/>
        <v>DIRECTION</v>
      </c>
      <c r="K78" s="24" t="str">
        <f t="shared" si="11"/>
        <v>TIME</v>
      </c>
      <c r="L78" s="12" t="str">
        <f t="shared" si="11"/>
        <v>DEPTH</v>
      </c>
      <c r="M78" s="12" t="str">
        <f t="shared" si="11"/>
        <v>BLOCK</v>
      </c>
      <c r="O78" s="22"/>
      <c r="Q78" s="14"/>
      <c r="R78" s="25">
        <f t="shared" si="6"/>
        <v>0</v>
      </c>
      <c r="S78" s="12">
        <v>0</v>
      </c>
    </row>
    <row r="79" spans="1:19">
      <c r="A79" s="14">
        <f>MAX($A$1:$A78)+1</f>
        <v>77</v>
      </c>
      <c r="B79" s="12" t="str">
        <f t="shared" si="12"/>
        <v>DIVER NAME</v>
      </c>
      <c r="C79" s="12" t="str">
        <f t="shared" si="12"/>
        <v>BUDDY NAME</v>
      </c>
      <c r="D79" s="12">
        <f t="shared" si="12"/>
        <v>0</v>
      </c>
      <c r="E79" s="14" t="str">
        <f>IF(ISERROR(VLOOKUP($D79,[1]SITES!$A:$E,2,FALSE)),"",VLOOKUP($D79,[1]SITES!$A:$E,2,FALSE))</f>
        <v/>
      </c>
      <c r="F79" s="15" t="str">
        <f>IF(ISERROR(VLOOKUP($D79,[1]SITES!$A:$E,3,FALSE)),"",VLOOKUP($D79,[1]SITES!$A:$E,3,FALSE))</f>
        <v/>
      </c>
      <c r="G79" s="16" t="str">
        <f>IF(ISERROR(VLOOKUP($D79,[1]SITES!$A:$E,4,FALSE)),"",VLOOKUP($D79,[1]SITES!$A:$E,4,FALSE))</f>
        <v/>
      </c>
      <c r="H79" s="26" t="str">
        <f t="shared" si="11"/>
        <v>DATE</v>
      </c>
      <c r="I79" s="12" t="str">
        <f t="shared" si="11"/>
        <v>VIS</v>
      </c>
      <c r="J79" s="12" t="str">
        <f t="shared" si="11"/>
        <v>DIRECTION</v>
      </c>
      <c r="K79" s="24" t="str">
        <f t="shared" si="11"/>
        <v>TIME</v>
      </c>
      <c r="L79" s="12" t="str">
        <f t="shared" si="11"/>
        <v>DEPTH</v>
      </c>
      <c r="M79" s="12" t="str">
        <f t="shared" si="11"/>
        <v>BLOCK</v>
      </c>
      <c r="O79" s="22"/>
      <c r="Q79" s="14"/>
      <c r="R79" s="25">
        <f t="shared" si="6"/>
        <v>0</v>
      </c>
      <c r="S79" s="12">
        <v>0</v>
      </c>
    </row>
    <row r="80" spans="1:19">
      <c r="A80" s="14">
        <f>MAX($A$1:$A79)+1</f>
        <v>78</v>
      </c>
      <c r="B80" s="12" t="str">
        <f t="shared" si="12"/>
        <v>DIVER NAME</v>
      </c>
      <c r="C80" s="12" t="str">
        <f t="shared" si="12"/>
        <v>BUDDY NAME</v>
      </c>
      <c r="D80" s="12">
        <f t="shared" si="12"/>
        <v>0</v>
      </c>
      <c r="E80" s="14" t="str">
        <f>IF(ISERROR(VLOOKUP($D80,[1]SITES!$A:$E,2,FALSE)),"",VLOOKUP($D80,[1]SITES!$A:$E,2,FALSE))</f>
        <v/>
      </c>
      <c r="F80" s="15" t="str">
        <f>IF(ISERROR(VLOOKUP($D80,[1]SITES!$A:$E,3,FALSE)),"",VLOOKUP($D80,[1]SITES!$A:$E,3,FALSE))</f>
        <v/>
      </c>
      <c r="G80" s="16" t="str">
        <f>IF(ISERROR(VLOOKUP($D80,[1]SITES!$A:$E,4,FALSE)),"",VLOOKUP($D80,[1]SITES!$A:$E,4,FALSE))</f>
        <v/>
      </c>
      <c r="H80" s="26" t="str">
        <f t="shared" si="11"/>
        <v>DATE</v>
      </c>
      <c r="I80" s="12" t="str">
        <f t="shared" si="11"/>
        <v>VIS</v>
      </c>
      <c r="J80" s="12" t="str">
        <f t="shared" si="11"/>
        <v>DIRECTION</v>
      </c>
      <c r="K80" s="24" t="str">
        <f t="shared" si="11"/>
        <v>TIME</v>
      </c>
      <c r="L80" s="12" t="str">
        <f t="shared" si="11"/>
        <v>DEPTH</v>
      </c>
      <c r="M80" s="12" t="str">
        <f t="shared" si="11"/>
        <v>BLOCK</v>
      </c>
      <c r="O80" s="22"/>
      <c r="Q80" s="14"/>
      <c r="R80" s="25">
        <f t="shared" si="6"/>
        <v>0</v>
      </c>
      <c r="S80" s="12">
        <v>0</v>
      </c>
    </row>
    <row r="81" spans="1:19">
      <c r="A81" s="14">
        <f>MAX($A$1:$A80)+1</f>
        <v>79</v>
      </c>
      <c r="B81" s="12" t="str">
        <f t="shared" si="12"/>
        <v>DIVER NAME</v>
      </c>
      <c r="C81" s="12" t="str">
        <f t="shared" si="12"/>
        <v>BUDDY NAME</v>
      </c>
      <c r="D81" s="12">
        <f t="shared" si="12"/>
        <v>0</v>
      </c>
      <c r="E81" s="14" t="str">
        <f>IF(ISERROR(VLOOKUP($D81,[1]SITES!$A:$E,2,FALSE)),"",VLOOKUP($D81,[1]SITES!$A:$E,2,FALSE))</f>
        <v/>
      </c>
      <c r="F81" s="15" t="str">
        <f>IF(ISERROR(VLOOKUP($D81,[1]SITES!$A:$E,3,FALSE)),"",VLOOKUP($D81,[1]SITES!$A:$E,3,FALSE))</f>
        <v/>
      </c>
      <c r="G81" s="16" t="str">
        <f>IF(ISERROR(VLOOKUP($D81,[1]SITES!$A:$E,4,FALSE)),"",VLOOKUP($D81,[1]SITES!$A:$E,4,FALSE))</f>
        <v/>
      </c>
      <c r="H81" s="26" t="str">
        <f t="shared" si="11"/>
        <v>DATE</v>
      </c>
      <c r="I81" s="12" t="str">
        <f t="shared" si="11"/>
        <v>VIS</v>
      </c>
      <c r="J81" s="12" t="str">
        <f t="shared" si="11"/>
        <v>DIRECTION</v>
      </c>
      <c r="K81" s="24" t="str">
        <f t="shared" si="11"/>
        <v>TIME</v>
      </c>
      <c r="L81" s="12" t="str">
        <f t="shared" si="11"/>
        <v>DEPTH</v>
      </c>
      <c r="M81" s="12" t="str">
        <f t="shared" si="11"/>
        <v>BLOCK</v>
      </c>
      <c r="O81" s="22"/>
      <c r="Q81" s="14"/>
      <c r="R81" s="25">
        <f t="shared" si="6"/>
        <v>0</v>
      </c>
      <c r="S81" s="12">
        <v>0</v>
      </c>
    </row>
    <row r="82" spans="1:19">
      <c r="A82" s="14">
        <f>MAX($A$1:$A81)+1</f>
        <v>80</v>
      </c>
      <c r="B82" s="12" t="str">
        <f t="shared" si="12"/>
        <v>DIVER NAME</v>
      </c>
      <c r="C82" s="12" t="str">
        <f t="shared" si="12"/>
        <v>BUDDY NAME</v>
      </c>
      <c r="D82" s="12">
        <f t="shared" si="12"/>
        <v>0</v>
      </c>
      <c r="E82" s="14" t="str">
        <f>IF(ISERROR(VLOOKUP($D82,[1]SITES!$A:$E,2,FALSE)),"",VLOOKUP($D82,[1]SITES!$A:$E,2,FALSE))</f>
        <v/>
      </c>
      <c r="F82" s="15" t="str">
        <f>IF(ISERROR(VLOOKUP($D82,[1]SITES!$A:$E,3,FALSE)),"",VLOOKUP($D82,[1]SITES!$A:$E,3,FALSE))</f>
        <v/>
      </c>
      <c r="G82" s="16" t="str">
        <f>IF(ISERROR(VLOOKUP($D82,[1]SITES!$A:$E,4,FALSE)),"",VLOOKUP($D82,[1]SITES!$A:$E,4,FALSE))</f>
        <v/>
      </c>
      <c r="H82" s="26" t="str">
        <f t="shared" si="11"/>
        <v>DATE</v>
      </c>
      <c r="I82" s="12" t="str">
        <f t="shared" si="11"/>
        <v>VIS</v>
      </c>
      <c r="J82" s="12" t="str">
        <f t="shared" si="11"/>
        <v>DIRECTION</v>
      </c>
      <c r="K82" s="24" t="str">
        <f t="shared" si="11"/>
        <v>TIME</v>
      </c>
      <c r="L82" s="12" t="str">
        <f t="shared" si="11"/>
        <v>DEPTH</v>
      </c>
      <c r="M82" s="12" t="str">
        <f t="shared" si="11"/>
        <v>BLOCK</v>
      </c>
      <c r="O82" s="22"/>
      <c r="Q82" s="14"/>
      <c r="R82" s="25">
        <f t="shared" si="6"/>
        <v>0</v>
      </c>
      <c r="S82" s="12">
        <v>0</v>
      </c>
    </row>
    <row r="83" spans="1:19">
      <c r="A83" s="14">
        <f>MAX($A$1:$A82)+1</f>
        <v>81</v>
      </c>
      <c r="B83" s="12" t="str">
        <f t="shared" si="12"/>
        <v>DIVER NAME</v>
      </c>
      <c r="C83" s="12" t="str">
        <f t="shared" si="12"/>
        <v>BUDDY NAME</v>
      </c>
      <c r="D83" s="12">
        <f t="shared" si="12"/>
        <v>0</v>
      </c>
      <c r="E83" s="14" t="str">
        <f>IF(ISERROR(VLOOKUP($D83,[1]SITES!$A:$E,2,FALSE)),"",VLOOKUP($D83,[1]SITES!$A:$E,2,FALSE))</f>
        <v/>
      </c>
      <c r="F83" s="15" t="str">
        <f>IF(ISERROR(VLOOKUP($D83,[1]SITES!$A:$E,3,FALSE)),"",VLOOKUP($D83,[1]SITES!$A:$E,3,FALSE))</f>
        <v/>
      </c>
      <c r="G83" s="16" t="str">
        <f>IF(ISERROR(VLOOKUP($D83,[1]SITES!$A:$E,4,FALSE)),"",VLOOKUP($D83,[1]SITES!$A:$E,4,FALSE))</f>
        <v/>
      </c>
      <c r="H83" s="26" t="str">
        <f t="shared" si="11"/>
        <v>DATE</v>
      </c>
      <c r="I83" s="12" t="str">
        <f t="shared" si="11"/>
        <v>VIS</v>
      </c>
      <c r="J83" s="12" t="str">
        <f t="shared" si="11"/>
        <v>DIRECTION</v>
      </c>
      <c r="K83" s="24" t="str">
        <f t="shared" si="11"/>
        <v>TIME</v>
      </c>
      <c r="L83" s="12" t="str">
        <f t="shared" si="11"/>
        <v>DEPTH</v>
      </c>
      <c r="M83" s="12" t="str">
        <f t="shared" si="11"/>
        <v>BLOCK</v>
      </c>
      <c r="O83" s="22"/>
      <c r="Q83" s="14"/>
      <c r="R83" s="25">
        <f t="shared" si="6"/>
        <v>0</v>
      </c>
      <c r="S83" s="12">
        <v>0</v>
      </c>
    </row>
    <row r="84" spans="1:19">
      <c r="A84" s="14">
        <f>MAX($A$1:$A83)+1</f>
        <v>82</v>
      </c>
      <c r="B84" s="12" t="str">
        <f t="shared" si="12"/>
        <v>DIVER NAME</v>
      </c>
      <c r="C84" s="12" t="str">
        <f t="shared" si="12"/>
        <v>BUDDY NAME</v>
      </c>
      <c r="D84" s="12">
        <f t="shared" si="12"/>
        <v>0</v>
      </c>
      <c r="E84" s="14" t="str">
        <f>IF(ISERROR(VLOOKUP($D84,[1]SITES!$A:$E,2,FALSE)),"",VLOOKUP($D84,[1]SITES!$A:$E,2,FALSE))</f>
        <v/>
      </c>
      <c r="F84" s="15" t="str">
        <f>IF(ISERROR(VLOOKUP($D84,[1]SITES!$A:$E,3,FALSE)),"",VLOOKUP($D84,[1]SITES!$A:$E,3,FALSE))</f>
        <v/>
      </c>
      <c r="G84" s="16" t="str">
        <f>IF(ISERROR(VLOOKUP($D84,[1]SITES!$A:$E,4,FALSE)),"",VLOOKUP($D84,[1]SITES!$A:$E,4,FALSE))</f>
        <v/>
      </c>
      <c r="H84" s="26" t="str">
        <f t="shared" ref="H84:M99" si="13">IF(ISERROR(H83),IF(ISERROR(H82),IF(ISERROR(H81),"BLANK",H81),H82),H83)</f>
        <v>DATE</v>
      </c>
      <c r="I84" s="12" t="str">
        <f t="shared" si="13"/>
        <v>VIS</v>
      </c>
      <c r="J84" s="12" t="str">
        <f t="shared" si="13"/>
        <v>DIRECTION</v>
      </c>
      <c r="K84" s="24" t="str">
        <f t="shared" si="13"/>
        <v>TIME</v>
      </c>
      <c r="L84" s="12" t="str">
        <f t="shared" si="13"/>
        <v>DEPTH</v>
      </c>
      <c r="M84" s="12" t="str">
        <f t="shared" si="13"/>
        <v>BLOCK</v>
      </c>
      <c r="O84" s="22"/>
      <c r="Q84" s="14"/>
      <c r="R84" s="25">
        <f t="shared" si="6"/>
        <v>0</v>
      </c>
      <c r="S84" s="12">
        <v>0</v>
      </c>
    </row>
    <row r="85" spans="1:19">
      <c r="A85" s="14">
        <f>MAX($A$1:$A84)+1</f>
        <v>83</v>
      </c>
      <c r="B85" s="12" t="str">
        <f t="shared" ref="B85:D100" si="14">IF(ISERROR(B84),IF(ISERROR(B83),IF(ISERROR(B82),"BLANK",B82),B83),B84)</f>
        <v>DIVER NAME</v>
      </c>
      <c r="C85" s="12" t="str">
        <f t="shared" si="14"/>
        <v>BUDDY NAME</v>
      </c>
      <c r="D85" s="12">
        <f t="shared" si="14"/>
        <v>0</v>
      </c>
      <c r="E85" s="14" t="str">
        <f>IF(ISERROR(VLOOKUP($D85,[1]SITES!$A:$E,2,FALSE)),"",VLOOKUP($D85,[1]SITES!$A:$E,2,FALSE))</f>
        <v/>
      </c>
      <c r="F85" s="15" t="str">
        <f>IF(ISERROR(VLOOKUP($D85,[1]SITES!$A:$E,3,FALSE)),"",VLOOKUP($D85,[1]SITES!$A:$E,3,FALSE))</f>
        <v/>
      </c>
      <c r="G85" s="16" t="str">
        <f>IF(ISERROR(VLOOKUP($D85,[1]SITES!$A:$E,4,FALSE)),"",VLOOKUP($D85,[1]SITES!$A:$E,4,FALSE))</f>
        <v/>
      </c>
      <c r="H85" s="26" t="str">
        <f t="shared" si="13"/>
        <v>DATE</v>
      </c>
      <c r="I85" s="12" t="str">
        <f t="shared" si="13"/>
        <v>VIS</v>
      </c>
      <c r="J85" s="12" t="str">
        <f t="shared" si="13"/>
        <v>DIRECTION</v>
      </c>
      <c r="K85" s="24" t="str">
        <f t="shared" si="13"/>
        <v>TIME</v>
      </c>
      <c r="L85" s="12" t="str">
        <f t="shared" si="13"/>
        <v>DEPTH</v>
      </c>
      <c r="M85" s="12" t="str">
        <f t="shared" si="13"/>
        <v>BLOCK</v>
      </c>
      <c r="O85" s="22"/>
      <c r="Q85" s="14"/>
      <c r="R85" s="25">
        <f t="shared" si="6"/>
        <v>0</v>
      </c>
      <c r="S85" s="12">
        <v>0</v>
      </c>
    </row>
    <row r="86" spans="1:19">
      <c r="A86" s="14">
        <f>MAX($A$1:$A85)+1</f>
        <v>84</v>
      </c>
      <c r="B86" s="12" t="str">
        <f t="shared" si="14"/>
        <v>DIVER NAME</v>
      </c>
      <c r="C86" s="12" t="str">
        <f t="shared" si="14"/>
        <v>BUDDY NAME</v>
      </c>
      <c r="D86" s="12">
        <f t="shared" si="14"/>
        <v>0</v>
      </c>
      <c r="E86" s="14" t="str">
        <f>IF(ISERROR(VLOOKUP($D86,[1]SITES!$A:$E,2,FALSE)),"",VLOOKUP($D86,[1]SITES!$A:$E,2,FALSE))</f>
        <v/>
      </c>
      <c r="F86" s="15" t="str">
        <f>IF(ISERROR(VLOOKUP($D86,[1]SITES!$A:$E,3,FALSE)),"",VLOOKUP($D86,[1]SITES!$A:$E,3,FALSE))</f>
        <v/>
      </c>
      <c r="G86" s="16" t="str">
        <f>IF(ISERROR(VLOOKUP($D86,[1]SITES!$A:$E,4,FALSE)),"",VLOOKUP($D86,[1]SITES!$A:$E,4,FALSE))</f>
        <v/>
      </c>
      <c r="H86" s="26" t="str">
        <f t="shared" si="13"/>
        <v>DATE</v>
      </c>
      <c r="I86" s="12" t="str">
        <f t="shared" si="13"/>
        <v>VIS</v>
      </c>
      <c r="J86" s="12" t="str">
        <f t="shared" si="13"/>
        <v>DIRECTION</v>
      </c>
      <c r="K86" s="24" t="str">
        <f t="shared" si="13"/>
        <v>TIME</v>
      </c>
      <c r="L86" s="12" t="str">
        <f t="shared" si="13"/>
        <v>DEPTH</v>
      </c>
      <c r="M86" s="12" t="str">
        <f t="shared" si="13"/>
        <v>BLOCK</v>
      </c>
      <c r="O86" s="22"/>
      <c r="Q86" s="14"/>
      <c r="R86" s="25">
        <f t="shared" si="6"/>
        <v>0</v>
      </c>
      <c r="S86" s="12">
        <v>0</v>
      </c>
    </row>
    <row r="87" spans="1:19">
      <c r="A87" s="14">
        <f>MAX($A$1:$A86)+1</f>
        <v>85</v>
      </c>
      <c r="B87" s="12" t="str">
        <f t="shared" si="14"/>
        <v>DIVER NAME</v>
      </c>
      <c r="C87" s="12" t="str">
        <f t="shared" si="14"/>
        <v>BUDDY NAME</v>
      </c>
      <c r="D87" s="12">
        <f t="shared" si="14"/>
        <v>0</v>
      </c>
      <c r="E87" s="14" t="str">
        <f>IF(ISERROR(VLOOKUP($D87,[1]SITES!$A:$E,2,FALSE)),"",VLOOKUP($D87,[1]SITES!$A:$E,2,FALSE))</f>
        <v/>
      </c>
      <c r="F87" s="15" t="str">
        <f>IF(ISERROR(VLOOKUP($D87,[1]SITES!$A:$E,3,FALSE)),"",VLOOKUP($D87,[1]SITES!$A:$E,3,FALSE))</f>
        <v/>
      </c>
      <c r="G87" s="16" t="str">
        <f>IF(ISERROR(VLOOKUP($D87,[1]SITES!$A:$E,4,FALSE)),"",VLOOKUP($D87,[1]SITES!$A:$E,4,FALSE))</f>
        <v/>
      </c>
      <c r="H87" s="26" t="str">
        <f t="shared" si="13"/>
        <v>DATE</v>
      </c>
      <c r="I87" s="12" t="str">
        <f t="shared" si="13"/>
        <v>VIS</v>
      </c>
      <c r="J87" s="12" t="str">
        <f t="shared" si="13"/>
        <v>DIRECTION</v>
      </c>
      <c r="K87" s="24" t="str">
        <f t="shared" si="13"/>
        <v>TIME</v>
      </c>
      <c r="L87" s="12" t="str">
        <f t="shared" si="13"/>
        <v>DEPTH</v>
      </c>
      <c r="M87" s="12" t="str">
        <f t="shared" si="13"/>
        <v>BLOCK</v>
      </c>
      <c r="O87" s="22"/>
      <c r="Q87" s="14"/>
      <c r="R87" s="25">
        <f t="shared" si="6"/>
        <v>0</v>
      </c>
      <c r="S87" s="12">
        <v>0</v>
      </c>
    </row>
    <row r="88" spans="1:19">
      <c r="A88" s="14">
        <f>MAX($A$1:$A87)+1</f>
        <v>86</v>
      </c>
      <c r="B88" s="12" t="str">
        <f t="shared" si="14"/>
        <v>DIVER NAME</v>
      </c>
      <c r="C88" s="12" t="str">
        <f t="shared" si="14"/>
        <v>BUDDY NAME</v>
      </c>
      <c r="D88" s="12">
        <f t="shared" si="14"/>
        <v>0</v>
      </c>
      <c r="E88" s="14" t="str">
        <f>IF(ISERROR(VLOOKUP($D88,[1]SITES!$A:$E,2,FALSE)),"",VLOOKUP($D88,[1]SITES!$A:$E,2,FALSE))</f>
        <v/>
      </c>
      <c r="F88" s="15" t="str">
        <f>IF(ISERROR(VLOOKUP($D88,[1]SITES!$A:$E,3,FALSE)),"",VLOOKUP($D88,[1]SITES!$A:$E,3,FALSE))</f>
        <v/>
      </c>
      <c r="G88" s="16" t="str">
        <f>IF(ISERROR(VLOOKUP($D88,[1]SITES!$A:$E,4,FALSE)),"",VLOOKUP($D88,[1]SITES!$A:$E,4,FALSE))</f>
        <v/>
      </c>
      <c r="H88" s="26" t="str">
        <f t="shared" si="13"/>
        <v>DATE</v>
      </c>
      <c r="I88" s="12" t="str">
        <f t="shared" si="13"/>
        <v>VIS</v>
      </c>
      <c r="J88" s="12" t="str">
        <f t="shared" si="13"/>
        <v>DIRECTION</v>
      </c>
      <c r="K88" s="24" t="str">
        <f t="shared" si="13"/>
        <v>TIME</v>
      </c>
      <c r="L88" s="12" t="str">
        <f t="shared" si="13"/>
        <v>DEPTH</v>
      </c>
      <c r="M88" s="12" t="str">
        <f t="shared" si="13"/>
        <v>BLOCK</v>
      </c>
      <c r="O88" s="22"/>
      <c r="Q88" s="14"/>
      <c r="R88" s="25">
        <f t="shared" si="6"/>
        <v>0</v>
      </c>
      <c r="S88" s="12">
        <v>0</v>
      </c>
    </row>
    <row r="89" spans="1:19">
      <c r="A89" s="14">
        <f>MAX($A$1:$A88)+1</f>
        <v>87</v>
      </c>
      <c r="B89" s="12" t="str">
        <f t="shared" si="14"/>
        <v>DIVER NAME</v>
      </c>
      <c r="C89" s="12" t="str">
        <f t="shared" si="14"/>
        <v>BUDDY NAME</v>
      </c>
      <c r="D89" s="12">
        <f t="shared" si="14"/>
        <v>0</v>
      </c>
      <c r="E89" s="14" t="str">
        <f>IF(ISERROR(VLOOKUP($D89,[1]SITES!$A:$E,2,FALSE)),"",VLOOKUP($D89,[1]SITES!$A:$E,2,FALSE))</f>
        <v/>
      </c>
      <c r="F89" s="15" t="str">
        <f>IF(ISERROR(VLOOKUP($D89,[1]SITES!$A:$E,3,FALSE)),"",VLOOKUP($D89,[1]SITES!$A:$E,3,FALSE))</f>
        <v/>
      </c>
      <c r="G89" s="16" t="str">
        <f>IF(ISERROR(VLOOKUP($D89,[1]SITES!$A:$E,4,FALSE)),"",VLOOKUP($D89,[1]SITES!$A:$E,4,FALSE))</f>
        <v/>
      </c>
      <c r="H89" s="26" t="str">
        <f t="shared" si="13"/>
        <v>DATE</v>
      </c>
      <c r="I89" s="12" t="str">
        <f t="shared" si="13"/>
        <v>VIS</v>
      </c>
      <c r="J89" s="12" t="str">
        <f t="shared" si="13"/>
        <v>DIRECTION</v>
      </c>
      <c r="K89" s="24" t="str">
        <f t="shared" si="13"/>
        <v>TIME</v>
      </c>
      <c r="L89" s="12" t="str">
        <f t="shared" si="13"/>
        <v>DEPTH</v>
      </c>
      <c r="M89" s="12" t="str">
        <f t="shared" si="13"/>
        <v>BLOCK</v>
      </c>
      <c r="O89" s="22"/>
      <c r="Q89" s="14"/>
      <c r="R89" s="25">
        <f t="shared" si="6"/>
        <v>0</v>
      </c>
      <c r="S89" s="12">
        <v>0</v>
      </c>
    </row>
    <row r="90" spans="1:19">
      <c r="A90" s="14">
        <f>MAX($A$1:$A89)+1</f>
        <v>88</v>
      </c>
      <c r="B90" s="12" t="str">
        <f t="shared" si="14"/>
        <v>DIVER NAME</v>
      </c>
      <c r="C90" s="12" t="str">
        <f t="shared" si="14"/>
        <v>BUDDY NAME</v>
      </c>
      <c r="D90" s="12">
        <f t="shared" si="14"/>
        <v>0</v>
      </c>
      <c r="E90" s="14" t="str">
        <f>IF(ISERROR(VLOOKUP($D90,[1]SITES!$A:$E,2,FALSE)),"",VLOOKUP($D90,[1]SITES!$A:$E,2,FALSE))</f>
        <v/>
      </c>
      <c r="F90" s="15" t="str">
        <f>IF(ISERROR(VLOOKUP($D90,[1]SITES!$A:$E,3,FALSE)),"",VLOOKUP($D90,[1]SITES!$A:$E,3,FALSE))</f>
        <v/>
      </c>
      <c r="G90" s="16" t="str">
        <f>IF(ISERROR(VLOOKUP($D90,[1]SITES!$A:$E,4,FALSE)),"",VLOOKUP($D90,[1]SITES!$A:$E,4,FALSE))</f>
        <v/>
      </c>
      <c r="H90" s="26" t="str">
        <f t="shared" si="13"/>
        <v>DATE</v>
      </c>
      <c r="I90" s="12" t="str">
        <f t="shared" si="13"/>
        <v>VIS</v>
      </c>
      <c r="J90" s="12" t="str">
        <f t="shared" si="13"/>
        <v>DIRECTION</v>
      </c>
      <c r="K90" s="24" t="str">
        <f t="shared" si="13"/>
        <v>TIME</v>
      </c>
      <c r="L90" s="12" t="str">
        <f t="shared" si="13"/>
        <v>DEPTH</v>
      </c>
      <c r="M90" s="12" t="str">
        <f t="shared" si="13"/>
        <v>BLOCK</v>
      </c>
      <c r="O90" s="22"/>
      <c r="Q90" s="14"/>
      <c r="R90" s="25">
        <f t="shared" si="6"/>
        <v>0</v>
      </c>
      <c r="S90" s="12">
        <v>0</v>
      </c>
    </row>
    <row r="91" spans="1:19">
      <c r="A91" s="14">
        <f>MAX($A$1:$A90)+1</f>
        <v>89</v>
      </c>
      <c r="B91" s="12" t="str">
        <f t="shared" si="14"/>
        <v>DIVER NAME</v>
      </c>
      <c r="C91" s="12" t="str">
        <f t="shared" si="14"/>
        <v>BUDDY NAME</v>
      </c>
      <c r="D91" s="12">
        <f t="shared" si="14"/>
        <v>0</v>
      </c>
      <c r="E91" s="14" t="str">
        <f>IF(ISERROR(VLOOKUP($D91,[1]SITES!$A:$E,2,FALSE)),"",VLOOKUP($D91,[1]SITES!$A:$E,2,FALSE))</f>
        <v/>
      </c>
      <c r="F91" s="15" t="str">
        <f>IF(ISERROR(VLOOKUP($D91,[1]SITES!$A:$E,3,FALSE)),"",VLOOKUP($D91,[1]SITES!$A:$E,3,FALSE))</f>
        <v/>
      </c>
      <c r="G91" s="16" t="str">
        <f>IF(ISERROR(VLOOKUP($D91,[1]SITES!$A:$E,4,FALSE)),"",VLOOKUP($D91,[1]SITES!$A:$E,4,FALSE))</f>
        <v/>
      </c>
      <c r="H91" s="26" t="str">
        <f t="shared" si="13"/>
        <v>DATE</v>
      </c>
      <c r="I91" s="12" t="str">
        <f t="shared" si="13"/>
        <v>VIS</v>
      </c>
      <c r="J91" s="12" t="str">
        <f t="shared" si="13"/>
        <v>DIRECTION</v>
      </c>
      <c r="K91" s="24" t="str">
        <f t="shared" si="13"/>
        <v>TIME</v>
      </c>
      <c r="L91" s="12" t="str">
        <f t="shared" si="13"/>
        <v>DEPTH</v>
      </c>
      <c r="M91" s="12" t="str">
        <f t="shared" si="13"/>
        <v>BLOCK</v>
      </c>
      <c r="O91" s="22"/>
      <c r="Q91" s="14"/>
      <c r="R91" s="25">
        <f t="shared" si="6"/>
        <v>0</v>
      </c>
      <c r="S91" s="12">
        <v>0</v>
      </c>
    </row>
    <row r="92" spans="1:19">
      <c r="A92" s="14">
        <f>MAX($A$1:$A91)+1</f>
        <v>90</v>
      </c>
      <c r="B92" s="12" t="str">
        <f t="shared" si="14"/>
        <v>DIVER NAME</v>
      </c>
      <c r="C92" s="12" t="str">
        <f t="shared" si="14"/>
        <v>BUDDY NAME</v>
      </c>
      <c r="D92" s="12">
        <f t="shared" si="14"/>
        <v>0</v>
      </c>
      <c r="E92" s="14" t="str">
        <f>IF(ISERROR(VLOOKUP($D92,[1]SITES!$A:$E,2,FALSE)),"",VLOOKUP($D92,[1]SITES!$A:$E,2,FALSE))</f>
        <v/>
      </c>
      <c r="F92" s="15" t="str">
        <f>IF(ISERROR(VLOOKUP($D92,[1]SITES!$A:$E,3,FALSE)),"",VLOOKUP($D92,[1]SITES!$A:$E,3,FALSE))</f>
        <v/>
      </c>
      <c r="G92" s="16" t="str">
        <f>IF(ISERROR(VLOOKUP($D92,[1]SITES!$A:$E,4,FALSE)),"",VLOOKUP($D92,[1]SITES!$A:$E,4,FALSE))</f>
        <v/>
      </c>
      <c r="H92" s="26" t="str">
        <f t="shared" si="13"/>
        <v>DATE</v>
      </c>
      <c r="I92" s="12" t="str">
        <f t="shared" si="13"/>
        <v>VIS</v>
      </c>
      <c r="J92" s="12" t="str">
        <f t="shared" si="13"/>
        <v>DIRECTION</v>
      </c>
      <c r="K92" s="24" t="str">
        <f t="shared" si="13"/>
        <v>TIME</v>
      </c>
      <c r="L92" s="12" t="str">
        <f t="shared" si="13"/>
        <v>DEPTH</v>
      </c>
      <c r="M92" s="12" t="str">
        <f t="shared" si="13"/>
        <v>BLOCK</v>
      </c>
      <c r="O92" s="22"/>
      <c r="Q92" s="14"/>
      <c r="R92" s="25">
        <f t="shared" si="6"/>
        <v>0</v>
      </c>
      <c r="S92" s="12">
        <v>0</v>
      </c>
    </row>
    <row r="93" spans="1:19">
      <c r="A93" s="14">
        <f>MAX($A$1:$A92)+1</f>
        <v>91</v>
      </c>
      <c r="B93" s="12" t="str">
        <f t="shared" si="14"/>
        <v>DIVER NAME</v>
      </c>
      <c r="C93" s="12" t="str">
        <f t="shared" si="14"/>
        <v>BUDDY NAME</v>
      </c>
      <c r="D93" s="12">
        <f t="shared" si="14"/>
        <v>0</v>
      </c>
      <c r="E93" s="14" t="str">
        <f>IF(ISERROR(VLOOKUP($D93,[1]SITES!$A:$E,2,FALSE)),"",VLOOKUP($D93,[1]SITES!$A:$E,2,FALSE))</f>
        <v/>
      </c>
      <c r="F93" s="15" t="str">
        <f>IF(ISERROR(VLOOKUP($D93,[1]SITES!$A:$E,3,FALSE)),"",VLOOKUP($D93,[1]SITES!$A:$E,3,FALSE))</f>
        <v/>
      </c>
      <c r="G93" s="16" t="str">
        <f>IF(ISERROR(VLOOKUP($D93,[1]SITES!$A:$E,4,FALSE)),"",VLOOKUP($D93,[1]SITES!$A:$E,4,FALSE))</f>
        <v/>
      </c>
      <c r="H93" s="26" t="str">
        <f t="shared" si="13"/>
        <v>DATE</v>
      </c>
      <c r="I93" s="12" t="str">
        <f t="shared" si="13"/>
        <v>VIS</v>
      </c>
      <c r="J93" s="12" t="str">
        <f t="shared" si="13"/>
        <v>DIRECTION</v>
      </c>
      <c r="K93" s="24" t="str">
        <f t="shared" si="13"/>
        <v>TIME</v>
      </c>
      <c r="L93" s="12" t="str">
        <f t="shared" si="13"/>
        <v>DEPTH</v>
      </c>
      <c r="M93" s="12" t="str">
        <f t="shared" si="13"/>
        <v>BLOCK</v>
      </c>
      <c r="O93" s="22"/>
      <c r="Q93" s="14"/>
      <c r="R93" s="25">
        <f t="shared" si="6"/>
        <v>0</v>
      </c>
      <c r="S93" s="12">
        <v>0</v>
      </c>
    </row>
    <row r="94" spans="1:19">
      <c r="A94" s="14">
        <f>MAX($A$1:$A93)+1</f>
        <v>92</v>
      </c>
      <c r="B94" s="12" t="str">
        <f t="shared" si="14"/>
        <v>DIVER NAME</v>
      </c>
      <c r="C94" s="12" t="str">
        <f t="shared" si="14"/>
        <v>BUDDY NAME</v>
      </c>
      <c r="D94" s="12">
        <f t="shared" si="14"/>
        <v>0</v>
      </c>
      <c r="E94" s="14" t="str">
        <f>IF(ISERROR(VLOOKUP($D94,[1]SITES!$A:$E,2,FALSE)),"",VLOOKUP($D94,[1]SITES!$A:$E,2,FALSE))</f>
        <v/>
      </c>
      <c r="F94" s="15" t="str">
        <f>IF(ISERROR(VLOOKUP($D94,[1]SITES!$A:$E,3,FALSE)),"",VLOOKUP($D94,[1]SITES!$A:$E,3,FALSE))</f>
        <v/>
      </c>
      <c r="G94" s="16" t="str">
        <f>IF(ISERROR(VLOOKUP($D94,[1]SITES!$A:$E,4,FALSE)),"",VLOOKUP($D94,[1]SITES!$A:$E,4,FALSE))</f>
        <v/>
      </c>
      <c r="H94" s="26" t="str">
        <f t="shared" si="13"/>
        <v>DATE</v>
      </c>
      <c r="I94" s="12" t="str">
        <f t="shared" si="13"/>
        <v>VIS</v>
      </c>
      <c r="J94" s="12" t="str">
        <f t="shared" si="13"/>
        <v>DIRECTION</v>
      </c>
      <c r="K94" s="24" t="str">
        <f t="shared" si="13"/>
        <v>TIME</v>
      </c>
      <c r="L94" s="12" t="str">
        <f t="shared" si="13"/>
        <v>DEPTH</v>
      </c>
      <c r="M94" s="12" t="str">
        <f t="shared" si="13"/>
        <v>BLOCK</v>
      </c>
      <c r="O94" s="22"/>
      <c r="Q94" s="14"/>
      <c r="R94" s="25">
        <f t="shared" si="6"/>
        <v>0</v>
      </c>
      <c r="S94" s="12">
        <v>0</v>
      </c>
    </row>
    <row r="95" spans="1:19">
      <c r="A95" s="14">
        <f>MAX($A$1:$A94)+1</f>
        <v>93</v>
      </c>
      <c r="B95" s="12" t="str">
        <f t="shared" si="14"/>
        <v>DIVER NAME</v>
      </c>
      <c r="C95" s="12" t="str">
        <f t="shared" si="14"/>
        <v>BUDDY NAME</v>
      </c>
      <c r="D95" s="12">
        <f t="shared" si="14"/>
        <v>0</v>
      </c>
      <c r="E95" s="14" t="str">
        <f>IF(ISERROR(VLOOKUP($D95,[1]SITES!$A:$E,2,FALSE)),"",VLOOKUP($D95,[1]SITES!$A:$E,2,FALSE))</f>
        <v/>
      </c>
      <c r="F95" s="15" t="str">
        <f>IF(ISERROR(VLOOKUP($D95,[1]SITES!$A:$E,3,FALSE)),"",VLOOKUP($D95,[1]SITES!$A:$E,3,FALSE))</f>
        <v/>
      </c>
      <c r="G95" s="16" t="str">
        <f>IF(ISERROR(VLOOKUP($D95,[1]SITES!$A:$E,4,FALSE)),"",VLOOKUP($D95,[1]SITES!$A:$E,4,FALSE))</f>
        <v/>
      </c>
      <c r="H95" s="26" t="str">
        <f t="shared" si="13"/>
        <v>DATE</v>
      </c>
      <c r="I95" s="12" t="str">
        <f t="shared" si="13"/>
        <v>VIS</v>
      </c>
      <c r="J95" s="12" t="str">
        <f t="shared" si="13"/>
        <v>DIRECTION</v>
      </c>
      <c r="K95" s="24" t="str">
        <f t="shared" si="13"/>
        <v>TIME</v>
      </c>
      <c r="L95" s="12" t="str">
        <f t="shared" si="13"/>
        <v>DEPTH</v>
      </c>
      <c r="M95" s="12" t="str">
        <f t="shared" si="13"/>
        <v>BLOCK</v>
      </c>
      <c r="O95" s="22"/>
      <c r="Q95" s="14"/>
      <c r="R95" s="25">
        <f t="shared" si="6"/>
        <v>0</v>
      </c>
      <c r="S95" s="12">
        <v>0</v>
      </c>
    </row>
    <row r="96" spans="1:19">
      <c r="A96" s="14">
        <f>MAX($A$1:$A95)+1</f>
        <v>94</v>
      </c>
      <c r="B96" s="12" t="str">
        <f t="shared" si="14"/>
        <v>DIVER NAME</v>
      </c>
      <c r="C96" s="12" t="str">
        <f t="shared" si="14"/>
        <v>BUDDY NAME</v>
      </c>
      <c r="D96" s="12">
        <f t="shared" si="14"/>
        <v>0</v>
      </c>
      <c r="E96" s="14" t="str">
        <f>IF(ISERROR(VLOOKUP($D96,[1]SITES!$A:$E,2,FALSE)),"",VLOOKUP($D96,[1]SITES!$A:$E,2,FALSE))</f>
        <v/>
      </c>
      <c r="F96" s="15" t="str">
        <f>IF(ISERROR(VLOOKUP($D96,[1]SITES!$A:$E,3,FALSE)),"",VLOOKUP($D96,[1]SITES!$A:$E,3,FALSE))</f>
        <v/>
      </c>
      <c r="G96" s="16" t="str">
        <f>IF(ISERROR(VLOOKUP($D96,[1]SITES!$A:$E,4,FALSE)),"",VLOOKUP($D96,[1]SITES!$A:$E,4,FALSE))</f>
        <v/>
      </c>
      <c r="H96" s="26" t="str">
        <f t="shared" si="13"/>
        <v>DATE</v>
      </c>
      <c r="I96" s="12" t="str">
        <f t="shared" si="13"/>
        <v>VIS</v>
      </c>
      <c r="J96" s="12" t="str">
        <f t="shared" si="13"/>
        <v>DIRECTION</v>
      </c>
      <c r="K96" s="24" t="str">
        <f t="shared" si="13"/>
        <v>TIME</v>
      </c>
      <c r="L96" s="12" t="str">
        <f t="shared" si="13"/>
        <v>DEPTH</v>
      </c>
      <c r="M96" s="12" t="str">
        <f t="shared" si="13"/>
        <v>BLOCK</v>
      </c>
      <c r="O96" s="22"/>
      <c r="Q96" s="14"/>
      <c r="R96" s="25">
        <f t="shared" si="6"/>
        <v>0</v>
      </c>
      <c r="S96" s="12">
        <v>0</v>
      </c>
    </row>
    <row r="97" spans="1:19">
      <c r="A97" s="14">
        <f>MAX($A$1:$A96)+1</f>
        <v>95</v>
      </c>
      <c r="B97" s="12" t="str">
        <f t="shared" si="14"/>
        <v>DIVER NAME</v>
      </c>
      <c r="C97" s="12" t="str">
        <f t="shared" si="14"/>
        <v>BUDDY NAME</v>
      </c>
      <c r="D97" s="12">
        <f t="shared" si="14"/>
        <v>0</v>
      </c>
      <c r="E97" s="14" t="str">
        <f>IF(ISERROR(VLOOKUP($D97,[1]SITES!$A:$E,2,FALSE)),"",VLOOKUP($D97,[1]SITES!$A:$E,2,FALSE))</f>
        <v/>
      </c>
      <c r="F97" s="15" t="str">
        <f>IF(ISERROR(VLOOKUP($D97,[1]SITES!$A:$E,3,FALSE)),"",VLOOKUP($D97,[1]SITES!$A:$E,3,FALSE))</f>
        <v/>
      </c>
      <c r="G97" s="16" t="str">
        <f>IF(ISERROR(VLOOKUP($D97,[1]SITES!$A:$E,4,FALSE)),"",VLOOKUP($D97,[1]SITES!$A:$E,4,FALSE))</f>
        <v/>
      </c>
      <c r="H97" s="26" t="str">
        <f t="shared" si="13"/>
        <v>DATE</v>
      </c>
      <c r="I97" s="12" t="str">
        <f t="shared" si="13"/>
        <v>VIS</v>
      </c>
      <c r="J97" s="12" t="str">
        <f t="shared" si="13"/>
        <v>DIRECTION</v>
      </c>
      <c r="K97" s="24" t="str">
        <f t="shared" si="13"/>
        <v>TIME</v>
      </c>
      <c r="L97" s="12" t="str">
        <f t="shared" si="13"/>
        <v>DEPTH</v>
      </c>
      <c r="M97" s="12" t="str">
        <f t="shared" si="13"/>
        <v>BLOCK</v>
      </c>
      <c r="O97" s="22"/>
      <c r="Q97" s="14"/>
      <c r="R97" s="25">
        <f t="shared" si="6"/>
        <v>0</v>
      </c>
      <c r="S97" s="12">
        <v>0</v>
      </c>
    </row>
    <row r="98" spans="1:19">
      <c r="A98" s="14">
        <f>MAX($A$1:$A97)+1</f>
        <v>96</v>
      </c>
      <c r="B98" s="12" t="str">
        <f t="shared" si="14"/>
        <v>DIVER NAME</v>
      </c>
      <c r="C98" s="12" t="str">
        <f t="shared" si="14"/>
        <v>BUDDY NAME</v>
      </c>
      <c r="D98" s="12">
        <f t="shared" si="14"/>
        <v>0</v>
      </c>
      <c r="E98" s="14" t="str">
        <f>IF(ISERROR(VLOOKUP($D98,[1]SITES!$A:$E,2,FALSE)),"",VLOOKUP($D98,[1]SITES!$A:$E,2,FALSE))</f>
        <v/>
      </c>
      <c r="F98" s="15" t="str">
        <f>IF(ISERROR(VLOOKUP($D98,[1]SITES!$A:$E,3,FALSE)),"",VLOOKUP($D98,[1]SITES!$A:$E,3,FALSE))</f>
        <v/>
      </c>
      <c r="G98" s="16" t="str">
        <f>IF(ISERROR(VLOOKUP($D98,[1]SITES!$A:$E,4,FALSE)),"",VLOOKUP($D98,[1]SITES!$A:$E,4,FALSE))</f>
        <v/>
      </c>
      <c r="H98" s="26" t="str">
        <f t="shared" si="13"/>
        <v>DATE</v>
      </c>
      <c r="I98" s="12" t="str">
        <f t="shared" si="13"/>
        <v>VIS</v>
      </c>
      <c r="J98" s="12" t="str">
        <f t="shared" si="13"/>
        <v>DIRECTION</v>
      </c>
      <c r="K98" s="24" t="str">
        <f t="shared" si="13"/>
        <v>TIME</v>
      </c>
      <c r="L98" s="12" t="str">
        <f t="shared" si="13"/>
        <v>DEPTH</v>
      </c>
      <c r="M98" s="12" t="str">
        <f t="shared" si="13"/>
        <v>BLOCK</v>
      </c>
      <c r="O98" s="22"/>
      <c r="Q98" s="14"/>
      <c r="R98" s="25">
        <f t="shared" si="6"/>
        <v>0</v>
      </c>
      <c r="S98" s="12">
        <v>0</v>
      </c>
    </row>
    <row r="99" spans="1:19">
      <c r="A99" s="14">
        <f>MAX($A$1:$A98)+1</f>
        <v>97</v>
      </c>
      <c r="B99" s="12" t="str">
        <f t="shared" si="14"/>
        <v>DIVER NAME</v>
      </c>
      <c r="C99" s="12" t="str">
        <f t="shared" si="14"/>
        <v>BUDDY NAME</v>
      </c>
      <c r="D99" s="12">
        <f t="shared" si="14"/>
        <v>0</v>
      </c>
      <c r="E99" s="14" t="str">
        <f>IF(ISERROR(VLOOKUP($D99,[1]SITES!$A:$E,2,FALSE)),"",VLOOKUP($D99,[1]SITES!$A:$E,2,FALSE))</f>
        <v/>
      </c>
      <c r="F99" s="15" t="str">
        <f>IF(ISERROR(VLOOKUP($D99,[1]SITES!$A:$E,3,FALSE)),"",VLOOKUP($D99,[1]SITES!$A:$E,3,FALSE))</f>
        <v/>
      </c>
      <c r="G99" s="16" t="str">
        <f>IF(ISERROR(VLOOKUP($D99,[1]SITES!$A:$E,4,FALSE)),"",VLOOKUP($D99,[1]SITES!$A:$E,4,FALSE))</f>
        <v/>
      </c>
      <c r="H99" s="26" t="str">
        <f t="shared" si="13"/>
        <v>DATE</v>
      </c>
      <c r="I99" s="12" t="str">
        <f t="shared" si="13"/>
        <v>VIS</v>
      </c>
      <c r="J99" s="12" t="str">
        <f t="shared" si="13"/>
        <v>DIRECTION</v>
      </c>
      <c r="K99" s="24" t="str">
        <f t="shared" si="13"/>
        <v>TIME</v>
      </c>
      <c r="L99" s="12" t="str">
        <f t="shared" si="13"/>
        <v>DEPTH</v>
      </c>
      <c r="M99" s="12" t="str">
        <f t="shared" si="13"/>
        <v>BLOCK</v>
      </c>
      <c r="O99" s="22"/>
      <c r="Q99" s="14"/>
      <c r="R99" s="25">
        <f t="shared" si="6"/>
        <v>0</v>
      </c>
      <c r="S99" s="12">
        <v>0</v>
      </c>
    </row>
    <row r="100" spans="1:19">
      <c r="A100" s="14">
        <f>MAX($A$1:$A99)+1</f>
        <v>98</v>
      </c>
      <c r="B100" s="12" t="str">
        <f t="shared" si="14"/>
        <v>DIVER NAME</v>
      </c>
      <c r="C100" s="12" t="str">
        <f t="shared" si="14"/>
        <v>BUDDY NAME</v>
      </c>
      <c r="D100" s="12">
        <f t="shared" si="14"/>
        <v>0</v>
      </c>
      <c r="E100" s="14" t="str">
        <f>IF(ISERROR(VLOOKUP($D100,[1]SITES!$A:$E,2,FALSE)),"",VLOOKUP($D100,[1]SITES!$A:$E,2,FALSE))</f>
        <v/>
      </c>
      <c r="F100" s="15" t="str">
        <f>IF(ISERROR(VLOOKUP($D100,[1]SITES!$A:$E,3,FALSE)),"",VLOOKUP($D100,[1]SITES!$A:$E,3,FALSE))</f>
        <v/>
      </c>
      <c r="G100" s="16" t="str">
        <f>IF(ISERROR(VLOOKUP($D100,[1]SITES!$A:$E,4,FALSE)),"",VLOOKUP($D100,[1]SITES!$A:$E,4,FALSE))</f>
        <v/>
      </c>
      <c r="H100" s="26" t="str">
        <f t="shared" ref="H100:M115" si="15">IF(ISERROR(H99),IF(ISERROR(H98),IF(ISERROR(H97),"BLANK",H97),H98),H99)</f>
        <v>DATE</v>
      </c>
      <c r="I100" s="12" t="str">
        <f t="shared" si="15"/>
        <v>VIS</v>
      </c>
      <c r="J100" s="12" t="str">
        <f t="shared" si="15"/>
        <v>DIRECTION</v>
      </c>
      <c r="K100" s="24" t="str">
        <f t="shared" si="15"/>
        <v>TIME</v>
      </c>
      <c r="L100" s="12" t="str">
        <f t="shared" si="15"/>
        <v>DEPTH</v>
      </c>
      <c r="M100" s="12" t="str">
        <f t="shared" si="15"/>
        <v>BLOCK</v>
      </c>
      <c r="O100" s="22"/>
      <c r="Q100" s="14"/>
      <c r="R100" s="25">
        <f t="shared" si="6"/>
        <v>0</v>
      </c>
      <c r="S100" s="12">
        <v>0</v>
      </c>
    </row>
    <row r="101" spans="1:19">
      <c r="A101" s="14">
        <f>MAX($A$1:$A100)+1</f>
        <v>99</v>
      </c>
      <c r="B101" s="12" t="str">
        <f t="shared" ref="B101:D116" si="16">IF(ISERROR(B100),IF(ISERROR(B99),IF(ISERROR(B98),"BLANK",B98),B99),B100)</f>
        <v>DIVER NAME</v>
      </c>
      <c r="C101" s="12" t="str">
        <f t="shared" si="16"/>
        <v>BUDDY NAME</v>
      </c>
      <c r="D101" s="12">
        <f t="shared" si="16"/>
        <v>0</v>
      </c>
      <c r="E101" s="14" t="str">
        <f>IF(ISERROR(VLOOKUP($D101,[1]SITES!$A:$E,2,FALSE)),"",VLOOKUP($D101,[1]SITES!$A:$E,2,FALSE))</f>
        <v/>
      </c>
      <c r="F101" s="15" t="str">
        <f>IF(ISERROR(VLOOKUP($D101,[1]SITES!$A:$E,3,FALSE)),"",VLOOKUP($D101,[1]SITES!$A:$E,3,FALSE))</f>
        <v/>
      </c>
      <c r="G101" s="16" t="str">
        <f>IF(ISERROR(VLOOKUP($D101,[1]SITES!$A:$E,4,FALSE)),"",VLOOKUP($D101,[1]SITES!$A:$E,4,FALSE))</f>
        <v/>
      </c>
      <c r="H101" s="26" t="str">
        <f t="shared" si="15"/>
        <v>DATE</v>
      </c>
      <c r="I101" s="12" t="str">
        <f t="shared" si="15"/>
        <v>VIS</v>
      </c>
      <c r="J101" s="12" t="str">
        <f t="shared" si="15"/>
        <v>DIRECTION</v>
      </c>
      <c r="K101" s="24" t="str">
        <f t="shared" si="15"/>
        <v>TIME</v>
      </c>
      <c r="L101" s="12" t="str">
        <f t="shared" si="15"/>
        <v>DEPTH</v>
      </c>
      <c r="M101" s="12" t="str">
        <f t="shared" si="15"/>
        <v>BLOCK</v>
      </c>
      <c r="O101" s="22"/>
      <c r="Q101" s="14"/>
      <c r="R101" s="25">
        <f t="shared" ref="R101:R164" si="17">SUM(S101:AU101)</f>
        <v>0</v>
      </c>
      <c r="S101" s="12">
        <v>0</v>
      </c>
    </row>
    <row r="102" spans="1:19">
      <c r="A102" s="14">
        <f>MAX($A$1:$A101)+1</f>
        <v>100</v>
      </c>
      <c r="B102" s="12" t="str">
        <f t="shared" si="16"/>
        <v>DIVER NAME</v>
      </c>
      <c r="C102" s="12" t="str">
        <f t="shared" si="16"/>
        <v>BUDDY NAME</v>
      </c>
      <c r="D102" s="12">
        <f t="shared" si="16"/>
        <v>0</v>
      </c>
      <c r="E102" s="14" t="str">
        <f>IF(ISERROR(VLOOKUP($D102,[1]SITES!$A:$E,2,FALSE)),"",VLOOKUP($D102,[1]SITES!$A:$E,2,FALSE))</f>
        <v/>
      </c>
      <c r="F102" s="15" t="str">
        <f>IF(ISERROR(VLOOKUP($D102,[1]SITES!$A:$E,3,FALSE)),"",VLOOKUP($D102,[1]SITES!$A:$E,3,FALSE))</f>
        <v/>
      </c>
      <c r="G102" s="16" t="str">
        <f>IF(ISERROR(VLOOKUP($D102,[1]SITES!$A:$E,4,FALSE)),"",VLOOKUP($D102,[1]SITES!$A:$E,4,FALSE))</f>
        <v/>
      </c>
      <c r="H102" s="26" t="str">
        <f t="shared" si="15"/>
        <v>DATE</v>
      </c>
      <c r="I102" s="12" t="str">
        <f t="shared" si="15"/>
        <v>VIS</v>
      </c>
      <c r="J102" s="12" t="str">
        <f t="shared" si="15"/>
        <v>DIRECTION</v>
      </c>
      <c r="K102" s="24" t="str">
        <f t="shared" si="15"/>
        <v>TIME</v>
      </c>
      <c r="L102" s="12" t="str">
        <f t="shared" si="15"/>
        <v>DEPTH</v>
      </c>
      <c r="M102" s="12" t="str">
        <f t="shared" si="15"/>
        <v>BLOCK</v>
      </c>
      <c r="O102" s="22"/>
      <c r="Q102" s="14"/>
      <c r="R102" s="25">
        <f t="shared" si="17"/>
        <v>0</v>
      </c>
      <c r="S102" s="12">
        <v>0</v>
      </c>
    </row>
    <row r="103" spans="1:19">
      <c r="A103" s="14">
        <f>MAX($A$1:$A102)+1</f>
        <v>101</v>
      </c>
      <c r="B103" s="12" t="str">
        <f t="shared" si="16"/>
        <v>DIVER NAME</v>
      </c>
      <c r="C103" s="12" t="str">
        <f t="shared" si="16"/>
        <v>BUDDY NAME</v>
      </c>
      <c r="D103" s="12">
        <f t="shared" si="16"/>
        <v>0</v>
      </c>
      <c r="E103" s="14" t="str">
        <f>IF(ISERROR(VLOOKUP($D103,[1]SITES!$A:$E,2,FALSE)),"",VLOOKUP($D103,[1]SITES!$A:$E,2,FALSE))</f>
        <v/>
      </c>
      <c r="F103" s="15" t="str">
        <f>IF(ISERROR(VLOOKUP($D103,[1]SITES!$A:$E,3,FALSE)),"",VLOOKUP($D103,[1]SITES!$A:$E,3,FALSE))</f>
        <v/>
      </c>
      <c r="G103" s="16" t="str">
        <f>IF(ISERROR(VLOOKUP($D103,[1]SITES!$A:$E,4,FALSE)),"",VLOOKUP($D103,[1]SITES!$A:$E,4,FALSE))</f>
        <v/>
      </c>
      <c r="H103" s="26" t="str">
        <f t="shared" si="15"/>
        <v>DATE</v>
      </c>
      <c r="I103" s="12" t="str">
        <f t="shared" si="15"/>
        <v>VIS</v>
      </c>
      <c r="J103" s="12" t="str">
        <f t="shared" si="15"/>
        <v>DIRECTION</v>
      </c>
      <c r="K103" s="24" t="str">
        <f t="shared" si="15"/>
        <v>TIME</v>
      </c>
      <c r="L103" s="12" t="str">
        <f t="shared" si="15"/>
        <v>DEPTH</v>
      </c>
      <c r="M103" s="12" t="str">
        <f t="shared" si="15"/>
        <v>BLOCK</v>
      </c>
      <c r="O103" s="22"/>
      <c r="Q103" s="14"/>
      <c r="R103" s="25">
        <f t="shared" si="17"/>
        <v>0</v>
      </c>
      <c r="S103" s="12">
        <v>0</v>
      </c>
    </row>
    <row r="104" spans="1:19">
      <c r="A104" s="14">
        <f>MAX($A$1:$A103)+1</f>
        <v>102</v>
      </c>
      <c r="B104" s="12" t="str">
        <f t="shared" si="16"/>
        <v>DIVER NAME</v>
      </c>
      <c r="C104" s="12" t="str">
        <f t="shared" si="16"/>
        <v>BUDDY NAME</v>
      </c>
      <c r="D104" s="12">
        <f t="shared" si="16"/>
        <v>0</v>
      </c>
      <c r="E104" s="14" t="str">
        <f>IF(ISERROR(VLOOKUP($D104,[1]SITES!$A:$E,2,FALSE)),"",VLOOKUP($D104,[1]SITES!$A:$E,2,FALSE))</f>
        <v/>
      </c>
      <c r="F104" s="15" t="str">
        <f>IF(ISERROR(VLOOKUP($D104,[1]SITES!$A:$E,3,FALSE)),"",VLOOKUP($D104,[1]SITES!$A:$E,3,FALSE))</f>
        <v/>
      </c>
      <c r="G104" s="16" t="str">
        <f>IF(ISERROR(VLOOKUP($D104,[1]SITES!$A:$E,4,FALSE)),"",VLOOKUP($D104,[1]SITES!$A:$E,4,FALSE))</f>
        <v/>
      </c>
      <c r="H104" s="26" t="str">
        <f t="shared" si="15"/>
        <v>DATE</v>
      </c>
      <c r="I104" s="12" t="str">
        <f t="shared" si="15"/>
        <v>VIS</v>
      </c>
      <c r="J104" s="12" t="str">
        <f t="shared" si="15"/>
        <v>DIRECTION</v>
      </c>
      <c r="K104" s="24" t="str">
        <f t="shared" si="15"/>
        <v>TIME</v>
      </c>
      <c r="L104" s="12" t="str">
        <f t="shared" si="15"/>
        <v>DEPTH</v>
      </c>
      <c r="M104" s="12" t="str">
        <f t="shared" si="15"/>
        <v>BLOCK</v>
      </c>
      <c r="O104" s="22"/>
      <c r="Q104" s="14"/>
      <c r="R104" s="25">
        <f t="shared" si="17"/>
        <v>0</v>
      </c>
      <c r="S104" s="12">
        <v>0</v>
      </c>
    </row>
    <row r="105" spans="1:19">
      <c r="A105" s="14">
        <f>MAX($A$1:$A104)+1</f>
        <v>103</v>
      </c>
      <c r="B105" s="12" t="str">
        <f t="shared" si="16"/>
        <v>DIVER NAME</v>
      </c>
      <c r="C105" s="12" t="str">
        <f t="shared" si="16"/>
        <v>BUDDY NAME</v>
      </c>
      <c r="D105" s="12">
        <f t="shared" si="16"/>
        <v>0</v>
      </c>
      <c r="E105" s="14" t="str">
        <f>IF(ISERROR(VLOOKUP($D105,[1]SITES!$A:$E,2,FALSE)),"",VLOOKUP($D105,[1]SITES!$A:$E,2,FALSE))</f>
        <v/>
      </c>
      <c r="F105" s="15" t="str">
        <f>IF(ISERROR(VLOOKUP($D105,[1]SITES!$A:$E,3,FALSE)),"",VLOOKUP($D105,[1]SITES!$A:$E,3,FALSE))</f>
        <v/>
      </c>
      <c r="G105" s="16" t="str">
        <f>IF(ISERROR(VLOOKUP($D105,[1]SITES!$A:$E,4,FALSE)),"",VLOOKUP($D105,[1]SITES!$A:$E,4,FALSE))</f>
        <v/>
      </c>
      <c r="H105" s="26" t="str">
        <f t="shared" si="15"/>
        <v>DATE</v>
      </c>
      <c r="I105" s="12" t="str">
        <f t="shared" si="15"/>
        <v>VIS</v>
      </c>
      <c r="J105" s="12" t="str">
        <f t="shared" si="15"/>
        <v>DIRECTION</v>
      </c>
      <c r="K105" s="24" t="str">
        <f t="shared" si="15"/>
        <v>TIME</v>
      </c>
      <c r="L105" s="12" t="str">
        <f t="shared" si="15"/>
        <v>DEPTH</v>
      </c>
      <c r="M105" s="12" t="str">
        <f t="shared" si="15"/>
        <v>BLOCK</v>
      </c>
      <c r="O105" s="22"/>
      <c r="Q105" s="14"/>
      <c r="R105" s="25">
        <f t="shared" si="17"/>
        <v>0</v>
      </c>
      <c r="S105" s="12">
        <v>0</v>
      </c>
    </row>
    <row r="106" spans="1:19">
      <c r="A106" s="14">
        <f>MAX($A$1:$A105)+1</f>
        <v>104</v>
      </c>
      <c r="B106" s="12" t="str">
        <f t="shared" si="16"/>
        <v>DIVER NAME</v>
      </c>
      <c r="C106" s="12" t="str">
        <f t="shared" si="16"/>
        <v>BUDDY NAME</v>
      </c>
      <c r="D106" s="12">
        <f t="shared" si="16"/>
        <v>0</v>
      </c>
      <c r="E106" s="14" t="str">
        <f>IF(ISERROR(VLOOKUP($D106,[1]SITES!$A:$E,2,FALSE)),"",VLOOKUP($D106,[1]SITES!$A:$E,2,FALSE))</f>
        <v/>
      </c>
      <c r="F106" s="15" t="str">
        <f>IF(ISERROR(VLOOKUP($D106,[1]SITES!$A:$E,3,FALSE)),"",VLOOKUP($D106,[1]SITES!$A:$E,3,FALSE))</f>
        <v/>
      </c>
      <c r="G106" s="16" t="str">
        <f>IF(ISERROR(VLOOKUP($D106,[1]SITES!$A:$E,4,FALSE)),"",VLOOKUP($D106,[1]SITES!$A:$E,4,FALSE))</f>
        <v/>
      </c>
      <c r="H106" s="26" t="str">
        <f t="shared" si="15"/>
        <v>DATE</v>
      </c>
      <c r="I106" s="12" t="str">
        <f t="shared" si="15"/>
        <v>VIS</v>
      </c>
      <c r="J106" s="12" t="str">
        <f t="shared" si="15"/>
        <v>DIRECTION</v>
      </c>
      <c r="K106" s="24" t="str">
        <f t="shared" si="15"/>
        <v>TIME</v>
      </c>
      <c r="L106" s="12" t="str">
        <f t="shared" si="15"/>
        <v>DEPTH</v>
      </c>
      <c r="M106" s="12" t="str">
        <f t="shared" si="15"/>
        <v>BLOCK</v>
      </c>
      <c r="O106" s="22"/>
      <c r="Q106" s="14"/>
      <c r="R106" s="25">
        <f t="shared" si="17"/>
        <v>0</v>
      </c>
      <c r="S106" s="12">
        <v>0</v>
      </c>
    </row>
    <row r="107" spans="1:19">
      <c r="A107" s="14">
        <f>MAX($A$1:$A106)+1</f>
        <v>105</v>
      </c>
      <c r="B107" s="12" t="str">
        <f t="shared" si="16"/>
        <v>DIVER NAME</v>
      </c>
      <c r="C107" s="12" t="str">
        <f t="shared" si="16"/>
        <v>BUDDY NAME</v>
      </c>
      <c r="D107" s="12">
        <f t="shared" si="16"/>
        <v>0</v>
      </c>
      <c r="E107" s="14" t="str">
        <f>IF(ISERROR(VLOOKUP($D107,[1]SITES!$A:$E,2,FALSE)),"",VLOOKUP($D107,[1]SITES!$A:$E,2,FALSE))</f>
        <v/>
      </c>
      <c r="F107" s="15" t="str">
        <f>IF(ISERROR(VLOOKUP($D107,[1]SITES!$A:$E,3,FALSE)),"",VLOOKUP($D107,[1]SITES!$A:$E,3,FALSE))</f>
        <v/>
      </c>
      <c r="G107" s="16" t="str">
        <f>IF(ISERROR(VLOOKUP($D107,[1]SITES!$A:$E,4,FALSE)),"",VLOOKUP($D107,[1]SITES!$A:$E,4,FALSE))</f>
        <v/>
      </c>
      <c r="H107" s="26" t="str">
        <f t="shared" si="15"/>
        <v>DATE</v>
      </c>
      <c r="I107" s="12" t="str">
        <f t="shared" si="15"/>
        <v>VIS</v>
      </c>
      <c r="J107" s="12" t="str">
        <f t="shared" si="15"/>
        <v>DIRECTION</v>
      </c>
      <c r="K107" s="24" t="str">
        <f t="shared" si="15"/>
        <v>TIME</v>
      </c>
      <c r="L107" s="12" t="str">
        <f t="shared" si="15"/>
        <v>DEPTH</v>
      </c>
      <c r="M107" s="12" t="str">
        <f t="shared" si="15"/>
        <v>BLOCK</v>
      </c>
      <c r="O107" s="22"/>
      <c r="Q107" s="14"/>
      <c r="R107" s="25">
        <f t="shared" si="17"/>
        <v>0</v>
      </c>
      <c r="S107" s="12">
        <v>0</v>
      </c>
    </row>
    <row r="108" spans="1:19">
      <c r="A108" s="14">
        <f>MAX($A$1:$A107)+1</f>
        <v>106</v>
      </c>
      <c r="B108" s="12" t="str">
        <f t="shared" si="16"/>
        <v>DIVER NAME</v>
      </c>
      <c r="C108" s="12" t="str">
        <f t="shared" si="16"/>
        <v>BUDDY NAME</v>
      </c>
      <c r="D108" s="12">
        <f t="shared" si="16"/>
        <v>0</v>
      </c>
      <c r="E108" s="14" t="str">
        <f>IF(ISERROR(VLOOKUP($D108,[1]SITES!$A:$E,2,FALSE)),"",VLOOKUP($D108,[1]SITES!$A:$E,2,FALSE))</f>
        <v/>
      </c>
      <c r="F108" s="15" t="str">
        <f>IF(ISERROR(VLOOKUP($D108,[1]SITES!$A:$E,3,FALSE)),"",VLOOKUP($D108,[1]SITES!$A:$E,3,FALSE))</f>
        <v/>
      </c>
      <c r="G108" s="16" t="str">
        <f>IF(ISERROR(VLOOKUP($D108,[1]SITES!$A:$E,4,FALSE)),"",VLOOKUP($D108,[1]SITES!$A:$E,4,FALSE))</f>
        <v/>
      </c>
      <c r="H108" s="26" t="str">
        <f t="shared" si="15"/>
        <v>DATE</v>
      </c>
      <c r="I108" s="12" t="str">
        <f t="shared" si="15"/>
        <v>VIS</v>
      </c>
      <c r="J108" s="12" t="str">
        <f t="shared" si="15"/>
        <v>DIRECTION</v>
      </c>
      <c r="K108" s="24" t="str">
        <f t="shared" si="15"/>
        <v>TIME</v>
      </c>
      <c r="L108" s="12" t="str">
        <f t="shared" si="15"/>
        <v>DEPTH</v>
      </c>
      <c r="M108" s="12" t="str">
        <f t="shared" si="15"/>
        <v>BLOCK</v>
      </c>
      <c r="O108" s="22"/>
      <c r="Q108" s="14"/>
      <c r="R108" s="25">
        <f t="shared" si="17"/>
        <v>0</v>
      </c>
      <c r="S108" s="12">
        <v>0</v>
      </c>
    </row>
    <row r="109" spans="1:19">
      <c r="A109" s="14">
        <f>MAX($A$1:$A108)+1</f>
        <v>107</v>
      </c>
      <c r="B109" s="12" t="str">
        <f t="shared" si="16"/>
        <v>DIVER NAME</v>
      </c>
      <c r="C109" s="12" t="str">
        <f t="shared" si="16"/>
        <v>BUDDY NAME</v>
      </c>
      <c r="D109" s="12">
        <f t="shared" si="16"/>
        <v>0</v>
      </c>
      <c r="E109" s="14" t="str">
        <f>IF(ISERROR(VLOOKUP($D109,[1]SITES!$A:$E,2,FALSE)),"",VLOOKUP($D109,[1]SITES!$A:$E,2,FALSE))</f>
        <v/>
      </c>
      <c r="F109" s="15" t="str">
        <f>IF(ISERROR(VLOOKUP($D109,[1]SITES!$A:$E,3,FALSE)),"",VLOOKUP($D109,[1]SITES!$A:$E,3,FALSE))</f>
        <v/>
      </c>
      <c r="G109" s="16" t="str">
        <f>IF(ISERROR(VLOOKUP($D109,[1]SITES!$A:$E,4,FALSE)),"",VLOOKUP($D109,[1]SITES!$A:$E,4,FALSE))</f>
        <v/>
      </c>
      <c r="H109" s="26" t="str">
        <f t="shared" si="15"/>
        <v>DATE</v>
      </c>
      <c r="I109" s="12" t="str">
        <f t="shared" si="15"/>
        <v>VIS</v>
      </c>
      <c r="J109" s="12" t="str">
        <f t="shared" si="15"/>
        <v>DIRECTION</v>
      </c>
      <c r="K109" s="24" t="str">
        <f t="shared" si="15"/>
        <v>TIME</v>
      </c>
      <c r="L109" s="12" t="str">
        <f t="shared" si="15"/>
        <v>DEPTH</v>
      </c>
      <c r="M109" s="12" t="str">
        <f t="shared" si="15"/>
        <v>BLOCK</v>
      </c>
      <c r="O109" s="22"/>
      <c r="Q109" s="14"/>
      <c r="R109" s="25">
        <f t="shared" si="17"/>
        <v>0</v>
      </c>
      <c r="S109" s="12">
        <v>0</v>
      </c>
    </row>
    <row r="110" spans="1:19">
      <c r="A110" s="14">
        <f>MAX($A$1:$A109)+1</f>
        <v>108</v>
      </c>
      <c r="B110" s="12" t="str">
        <f t="shared" si="16"/>
        <v>DIVER NAME</v>
      </c>
      <c r="C110" s="12" t="str">
        <f t="shared" si="16"/>
        <v>BUDDY NAME</v>
      </c>
      <c r="D110" s="12">
        <f t="shared" si="16"/>
        <v>0</v>
      </c>
      <c r="E110" s="14" t="str">
        <f>IF(ISERROR(VLOOKUP($D110,[1]SITES!$A:$E,2,FALSE)),"",VLOOKUP($D110,[1]SITES!$A:$E,2,FALSE))</f>
        <v/>
      </c>
      <c r="F110" s="15" t="str">
        <f>IF(ISERROR(VLOOKUP($D110,[1]SITES!$A:$E,3,FALSE)),"",VLOOKUP($D110,[1]SITES!$A:$E,3,FALSE))</f>
        <v/>
      </c>
      <c r="G110" s="16" t="str">
        <f>IF(ISERROR(VLOOKUP($D110,[1]SITES!$A:$E,4,FALSE)),"",VLOOKUP($D110,[1]SITES!$A:$E,4,FALSE))</f>
        <v/>
      </c>
      <c r="H110" s="26" t="str">
        <f t="shared" si="15"/>
        <v>DATE</v>
      </c>
      <c r="I110" s="12" t="str">
        <f t="shared" si="15"/>
        <v>VIS</v>
      </c>
      <c r="J110" s="12" t="str">
        <f t="shared" si="15"/>
        <v>DIRECTION</v>
      </c>
      <c r="K110" s="24" t="str">
        <f t="shared" si="15"/>
        <v>TIME</v>
      </c>
      <c r="L110" s="12" t="str">
        <f t="shared" si="15"/>
        <v>DEPTH</v>
      </c>
      <c r="M110" s="12" t="str">
        <f t="shared" si="15"/>
        <v>BLOCK</v>
      </c>
      <c r="O110" s="22"/>
      <c r="Q110" s="14"/>
      <c r="R110" s="25">
        <f t="shared" si="17"/>
        <v>0</v>
      </c>
      <c r="S110" s="12">
        <v>0</v>
      </c>
    </row>
    <row r="111" spans="1:19">
      <c r="A111" s="14">
        <f>MAX($A$1:$A110)+1</f>
        <v>109</v>
      </c>
      <c r="B111" s="12" t="str">
        <f t="shared" si="16"/>
        <v>DIVER NAME</v>
      </c>
      <c r="C111" s="12" t="str">
        <f t="shared" si="16"/>
        <v>BUDDY NAME</v>
      </c>
      <c r="D111" s="12">
        <f t="shared" si="16"/>
        <v>0</v>
      </c>
      <c r="E111" s="14" t="str">
        <f>IF(ISERROR(VLOOKUP($D111,[1]SITES!$A:$E,2,FALSE)),"",VLOOKUP($D111,[1]SITES!$A:$E,2,FALSE))</f>
        <v/>
      </c>
      <c r="F111" s="15" t="str">
        <f>IF(ISERROR(VLOOKUP($D111,[1]SITES!$A:$E,3,FALSE)),"",VLOOKUP($D111,[1]SITES!$A:$E,3,FALSE))</f>
        <v/>
      </c>
      <c r="G111" s="16" t="str">
        <f>IF(ISERROR(VLOOKUP($D111,[1]SITES!$A:$E,4,FALSE)),"",VLOOKUP($D111,[1]SITES!$A:$E,4,FALSE))</f>
        <v/>
      </c>
      <c r="H111" s="26" t="str">
        <f t="shared" si="15"/>
        <v>DATE</v>
      </c>
      <c r="I111" s="12" t="str">
        <f t="shared" si="15"/>
        <v>VIS</v>
      </c>
      <c r="J111" s="12" t="str">
        <f t="shared" si="15"/>
        <v>DIRECTION</v>
      </c>
      <c r="K111" s="24" t="str">
        <f t="shared" si="15"/>
        <v>TIME</v>
      </c>
      <c r="L111" s="12" t="str">
        <f t="shared" si="15"/>
        <v>DEPTH</v>
      </c>
      <c r="M111" s="12" t="str">
        <f t="shared" si="15"/>
        <v>BLOCK</v>
      </c>
      <c r="O111" s="22"/>
      <c r="Q111" s="14"/>
      <c r="R111" s="25">
        <f t="shared" si="17"/>
        <v>0</v>
      </c>
      <c r="S111" s="12">
        <v>0</v>
      </c>
    </row>
    <row r="112" spans="1:19">
      <c r="A112" s="14">
        <f>MAX($A$1:$A111)+1</f>
        <v>110</v>
      </c>
      <c r="B112" s="12" t="str">
        <f t="shared" si="16"/>
        <v>DIVER NAME</v>
      </c>
      <c r="C112" s="12" t="str">
        <f t="shared" si="16"/>
        <v>BUDDY NAME</v>
      </c>
      <c r="D112" s="12">
        <f t="shared" si="16"/>
        <v>0</v>
      </c>
      <c r="E112" s="14" t="str">
        <f>IF(ISERROR(VLOOKUP($D112,[1]SITES!$A:$E,2,FALSE)),"",VLOOKUP($D112,[1]SITES!$A:$E,2,FALSE))</f>
        <v/>
      </c>
      <c r="F112" s="15" t="str">
        <f>IF(ISERROR(VLOOKUP($D112,[1]SITES!$A:$E,3,FALSE)),"",VLOOKUP($D112,[1]SITES!$A:$E,3,FALSE))</f>
        <v/>
      </c>
      <c r="G112" s="16" t="str">
        <f>IF(ISERROR(VLOOKUP($D112,[1]SITES!$A:$E,4,FALSE)),"",VLOOKUP($D112,[1]SITES!$A:$E,4,FALSE))</f>
        <v/>
      </c>
      <c r="H112" s="26" t="str">
        <f t="shared" si="15"/>
        <v>DATE</v>
      </c>
      <c r="I112" s="12" t="str">
        <f t="shared" si="15"/>
        <v>VIS</v>
      </c>
      <c r="J112" s="12" t="str">
        <f t="shared" si="15"/>
        <v>DIRECTION</v>
      </c>
      <c r="K112" s="24" t="str">
        <f t="shared" si="15"/>
        <v>TIME</v>
      </c>
      <c r="L112" s="12" t="str">
        <f t="shared" si="15"/>
        <v>DEPTH</v>
      </c>
      <c r="M112" s="12" t="str">
        <f t="shared" si="15"/>
        <v>BLOCK</v>
      </c>
      <c r="O112" s="22"/>
      <c r="Q112" s="14"/>
      <c r="R112" s="25">
        <f t="shared" si="17"/>
        <v>0</v>
      </c>
      <c r="S112" s="12">
        <v>0</v>
      </c>
    </row>
    <row r="113" spans="1:19">
      <c r="A113" s="14">
        <f>MAX($A$1:$A112)+1</f>
        <v>111</v>
      </c>
      <c r="B113" s="12" t="str">
        <f t="shared" si="16"/>
        <v>DIVER NAME</v>
      </c>
      <c r="C113" s="12" t="str">
        <f t="shared" si="16"/>
        <v>BUDDY NAME</v>
      </c>
      <c r="D113" s="12">
        <f t="shared" si="16"/>
        <v>0</v>
      </c>
      <c r="E113" s="14" t="str">
        <f>IF(ISERROR(VLOOKUP($D113,[1]SITES!$A:$E,2,FALSE)),"",VLOOKUP($D113,[1]SITES!$A:$E,2,FALSE))</f>
        <v/>
      </c>
      <c r="F113" s="15" t="str">
        <f>IF(ISERROR(VLOOKUP($D113,[1]SITES!$A:$E,3,FALSE)),"",VLOOKUP($D113,[1]SITES!$A:$E,3,FALSE))</f>
        <v/>
      </c>
      <c r="G113" s="16" t="str">
        <f>IF(ISERROR(VLOOKUP($D113,[1]SITES!$A:$E,4,FALSE)),"",VLOOKUP($D113,[1]SITES!$A:$E,4,FALSE))</f>
        <v/>
      </c>
      <c r="H113" s="26" t="str">
        <f t="shared" si="15"/>
        <v>DATE</v>
      </c>
      <c r="I113" s="12" t="str">
        <f t="shared" si="15"/>
        <v>VIS</v>
      </c>
      <c r="J113" s="12" t="str">
        <f t="shared" si="15"/>
        <v>DIRECTION</v>
      </c>
      <c r="K113" s="24" t="str">
        <f t="shared" si="15"/>
        <v>TIME</v>
      </c>
      <c r="L113" s="12" t="str">
        <f t="shared" si="15"/>
        <v>DEPTH</v>
      </c>
      <c r="M113" s="12" t="str">
        <f t="shared" si="15"/>
        <v>BLOCK</v>
      </c>
      <c r="O113" s="22"/>
      <c r="Q113" s="14"/>
      <c r="R113" s="25">
        <f t="shared" si="17"/>
        <v>0</v>
      </c>
      <c r="S113" s="12">
        <v>0</v>
      </c>
    </row>
    <row r="114" spans="1:19">
      <c r="A114" s="14">
        <f>MAX($A$1:$A113)+1</f>
        <v>112</v>
      </c>
      <c r="B114" s="12" t="str">
        <f t="shared" si="16"/>
        <v>DIVER NAME</v>
      </c>
      <c r="C114" s="12" t="str">
        <f t="shared" si="16"/>
        <v>BUDDY NAME</v>
      </c>
      <c r="D114" s="12">
        <f t="shared" si="16"/>
        <v>0</v>
      </c>
      <c r="E114" s="14" t="str">
        <f>IF(ISERROR(VLOOKUP($D114,[1]SITES!$A:$E,2,FALSE)),"",VLOOKUP($D114,[1]SITES!$A:$E,2,FALSE))</f>
        <v/>
      </c>
      <c r="F114" s="15" t="str">
        <f>IF(ISERROR(VLOOKUP($D114,[1]SITES!$A:$E,3,FALSE)),"",VLOOKUP($D114,[1]SITES!$A:$E,3,FALSE))</f>
        <v/>
      </c>
      <c r="G114" s="16" t="str">
        <f>IF(ISERROR(VLOOKUP($D114,[1]SITES!$A:$E,4,FALSE)),"",VLOOKUP($D114,[1]SITES!$A:$E,4,FALSE))</f>
        <v/>
      </c>
      <c r="H114" s="26" t="str">
        <f t="shared" si="15"/>
        <v>DATE</v>
      </c>
      <c r="I114" s="12" t="str">
        <f t="shared" si="15"/>
        <v>VIS</v>
      </c>
      <c r="J114" s="12" t="str">
        <f t="shared" si="15"/>
        <v>DIRECTION</v>
      </c>
      <c r="K114" s="24" t="str">
        <f t="shared" si="15"/>
        <v>TIME</v>
      </c>
      <c r="L114" s="12" t="str">
        <f t="shared" si="15"/>
        <v>DEPTH</v>
      </c>
      <c r="M114" s="12" t="str">
        <f t="shared" si="15"/>
        <v>BLOCK</v>
      </c>
      <c r="O114" s="22"/>
      <c r="Q114" s="14"/>
      <c r="R114" s="25">
        <f t="shared" si="17"/>
        <v>0</v>
      </c>
      <c r="S114" s="12">
        <v>0</v>
      </c>
    </row>
    <row r="115" spans="1:19">
      <c r="A115" s="14">
        <f>MAX($A$1:$A114)+1</f>
        <v>113</v>
      </c>
      <c r="B115" s="12" t="str">
        <f t="shared" si="16"/>
        <v>DIVER NAME</v>
      </c>
      <c r="C115" s="12" t="str">
        <f t="shared" si="16"/>
        <v>BUDDY NAME</v>
      </c>
      <c r="D115" s="12">
        <f t="shared" si="16"/>
        <v>0</v>
      </c>
      <c r="E115" s="14" t="str">
        <f>IF(ISERROR(VLOOKUP($D115,[1]SITES!$A:$E,2,FALSE)),"",VLOOKUP($D115,[1]SITES!$A:$E,2,FALSE))</f>
        <v/>
      </c>
      <c r="F115" s="15" t="str">
        <f>IF(ISERROR(VLOOKUP($D115,[1]SITES!$A:$E,3,FALSE)),"",VLOOKUP($D115,[1]SITES!$A:$E,3,FALSE))</f>
        <v/>
      </c>
      <c r="G115" s="16" t="str">
        <f>IF(ISERROR(VLOOKUP($D115,[1]SITES!$A:$E,4,FALSE)),"",VLOOKUP($D115,[1]SITES!$A:$E,4,FALSE))</f>
        <v/>
      </c>
      <c r="H115" s="26" t="str">
        <f t="shared" si="15"/>
        <v>DATE</v>
      </c>
      <c r="I115" s="12" t="str">
        <f t="shared" si="15"/>
        <v>VIS</v>
      </c>
      <c r="J115" s="12" t="str">
        <f t="shared" si="15"/>
        <v>DIRECTION</v>
      </c>
      <c r="K115" s="24" t="str">
        <f t="shared" si="15"/>
        <v>TIME</v>
      </c>
      <c r="L115" s="12" t="str">
        <f t="shared" si="15"/>
        <v>DEPTH</v>
      </c>
      <c r="M115" s="12" t="str">
        <f t="shared" si="15"/>
        <v>BLOCK</v>
      </c>
      <c r="O115" s="22"/>
      <c r="Q115" s="14"/>
      <c r="R115" s="25">
        <f t="shared" si="17"/>
        <v>0</v>
      </c>
      <c r="S115" s="12">
        <v>0</v>
      </c>
    </row>
    <row r="116" spans="1:19">
      <c r="A116" s="14">
        <f>MAX($A$1:$A115)+1</f>
        <v>114</v>
      </c>
      <c r="B116" s="12" t="str">
        <f t="shared" si="16"/>
        <v>DIVER NAME</v>
      </c>
      <c r="C116" s="12" t="str">
        <f t="shared" si="16"/>
        <v>BUDDY NAME</v>
      </c>
      <c r="D116" s="12">
        <f t="shared" si="16"/>
        <v>0</v>
      </c>
      <c r="E116" s="14" t="str">
        <f>IF(ISERROR(VLOOKUP($D116,[1]SITES!$A:$E,2,FALSE)),"",VLOOKUP($D116,[1]SITES!$A:$E,2,FALSE))</f>
        <v/>
      </c>
      <c r="F116" s="15" t="str">
        <f>IF(ISERROR(VLOOKUP($D116,[1]SITES!$A:$E,3,FALSE)),"",VLOOKUP($D116,[1]SITES!$A:$E,3,FALSE))</f>
        <v/>
      </c>
      <c r="G116" s="16" t="str">
        <f>IF(ISERROR(VLOOKUP($D116,[1]SITES!$A:$E,4,FALSE)),"",VLOOKUP($D116,[1]SITES!$A:$E,4,FALSE))</f>
        <v/>
      </c>
      <c r="H116" s="26" t="str">
        <f t="shared" ref="H116:M131" si="18">IF(ISERROR(H115),IF(ISERROR(H114),IF(ISERROR(H113),"BLANK",H113),H114),H115)</f>
        <v>DATE</v>
      </c>
      <c r="I116" s="12" t="str">
        <f t="shared" si="18"/>
        <v>VIS</v>
      </c>
      <c r="J116" s="12" t="str">
        <f t="shared" si="18"/>
        <v>DIRECTION</v>
      </c>
      <c r="K116" s="24" t="str">
        <f t="shared" si="18"/>
        <v>TIME</v>
      </c>
      <c r="L116" s="12" t="str">
        <f t="shared" si="18"/>
        <v>DEPTH</v>
      </c>
      <c r="M116" s="12" t="str">
        <f t="shared" si="18"/>
        <v>BLOCK</v>
      </c>
      <c r="O116" s="22"/>
      <c r="Q116" s="14"/>
      <c r="R116" s="25">
        <f t="shared" si="17"/>
        <v>0</v>
      </c>
      <c r="S116" s="12">
        <v>0</v>
      </c>
    </row>
    <row r="117" spans="1:19">
      <c r="A117" s="14">
        <f>MAX($A$1:$A116)+1</f>
        <v>115</v>
      </c>
      <c r="B117" s="12" t="str">
        <f t="shared" ref="B117:D132" si="19">IF(ISERROR(B116),IF(ISERROR(B115),IF(ISERROR(B114),"BLANK",B114),B115),B116)</f>
        <v>DIVER NAME</v>
      </c>
      <c r="C117" s="12" t="str">
        <f t="shared" si="19"/>
        <v>BUDDY NAME</v>
      </c>
      <c r="D117" s="12">
        <f t="shared" si="19"/>
        <v>0</v>
      </c>
      <c r="E117" s="14" t="str">
        <f>IF(ISERROR(VLOOKUP($D117,[1]SITES!$A:$E,2,FALSE)),"",VLOOKUP($D117,[1]SITES!$A:$E,2,FALSE))</f>
        <v/>
      </c>
      <c r="F117" s="15" t="str">
        <f>IF(ISERROR(VLOOKUP($D117,[1]SITES!$A:$E,3,FALSE)),"",VLOOKUP($D117,[1]SITES!$A:$E,3,FALSE))</f>
        <v/>
      </c>
      <c r="G117" s="16" t="str">
        <f>IF(ISERROR(VLOOKUP($D117,[1]SITES!$A:$E,4,FALSE)),"",VLOOKUP($D117,[1]SITES!$A:$E,4,FALSE))</f>
        <v/>
      </c>
      <c r="H117" s="26" t="str">
        <f t="shared" si="18"/>
        <v>DATE</v>
      </c>
      <c r="I117" s="12" t="str">
        <f t="shared" si="18"/>
        <v>VIS</v>
      </c>
      <c r="J117" s="12" t="str">
        <f t="shared" si="18"/>
        <v>DIRECTION</v>
      </c>
      <c r="K117" s="24" t="str">
        <f t="shared" si="18"/>
        <v>TIME</v>
      </c>
      <c r="L117" s="12" t="str">
        <f t="shared" si="18"/>
        <v>DEPTH</v>
      </c>
      <c r="M117" s="12" t="str">
        <f t="shared" si="18"/>
        <v>BLOCK</v>
      </c>
      <c r="O117" s="22"/>
      <c r="Q117" s="14"/>
      <c r="R117" s="25">
        <f t="shared" si="17"/>
        <v>0</v>
      </c>
      <c r="S117" s="12">
        <v>0</v>
      </c>
    </row>
    <row r="118" spans="1:19">
      <c r="A118" s="14">
        <f>MAX($A$1:$A117)+1</f>
        <v>116</v>
      </c>
      <c r="B118" s="12" t="str">
        <f t="shared" si="19"/>
        <v>DIVER NAME</v>
      </c>
      <c r="C118" s="12" t="str">
        <f t="shared" si="19"/>
        <v>BUDDY NAME</v>
      </c>
      <c r="D118" s="12">
        <f t="shared" si="19"/>
        <v>0</v>
      </c>
      <c r="E118" s="14" t="str">
        <f>IF(ISERROR(VLOOKUP($D118,[1]SITES!$A:$E,2,FALSE)),"",VLOOKUP($D118,[1]SITES!$A:$E,2,FALSE))</f>
        <v/>
      </c>
      <c r="F118" s="15" t="str">
        <f>IF(ISERROR(VLOOKUP($D118,[1]SITES!$A:$E,3,FALSE)),"",VLOOKUP($D118,[1]SITES!$A:$E,3,FALSE))</f>
        <v/>
      </c>
      <c r="G118" s="16" t="str">
        <f>IF(ISERROR(VLOOKUP($D118,[1]SITES!$A:$E,4,FALSE)),"",VLOOKUP($D118,[1]SITES!$A:$E,4,FALSE))</f>
        <v/>
      </c>
      <c r="H118" s="26" t="str">
        <f t="shared" si="18"/>
        <v>DATE</v>
      </c>
      <c r="I118" s="12" t="str">
        <f t="shared" si="18"/>
        <v>VIS</v>
      </c>
      <c r="J118" s="12" t="str">
        <f t="shared" si="18"/>
        <v>DIRECTION</v>
      </c>
      <c r="K118" s="24" t="str">
        <f t="shared" si="18"/>
        <v>TIME</v>
      </c>
      <c r="L118" s="12" t="str">
        <f t="shared" si="18"/>
        <v>DEPTH</v>
      </c>
      <c r="M118" s="12" t="str">
        <f t="shared" si="18"/>
        <v>BLOCK</v>
      </c>
      <c r="O118" s="22"/>
      <c r="Q118" s="14"/>
      <c r="R118" s="25">
        <f t="shared" si="17"/>
        <v>0</v>
      </c>
      <c r="S118" s="12">
        <v>0</v>
      </c>
    </row>
    <row r="119" spans="1:19">
      <c r="A119" s="14">
        <f>MAX($A$1:$A118)+1</f>
        <v>117</v>
      </c>
      <c r="B119" s="12" t="str">
        <f t="shared" si="19"/>
        <v>DIVER NAME</v>
      </c>
      <c r="C119" s="12" t="str">
        <f t="shared" si="19"/>
        <v>BUDDY NAME</v>
      </c>
      <c r="D119" s="12">
        <f t="shared" si="19"/>
        <v>0</v>
      </c>
      <c r="E119" s="14" t="str">
        <f>IF(ISERROR(VLOOKUP($D119,[1]SITES!$A:$E,2,FALSE)),"",VLOOKUP($D119,[1]SITES!$A:$E,2,FALSE))</f>
        <v/>
      </c>
      <c r="F119" s="15" t="str">
        <f>IF(ISERROR(VLOOKUP($D119,[1]SITES!$A:$E,3,FALSE)),"",VLOOKUP($D119,[1]SITES!$A:$E,3,FALSE))</f>
        <v/>
      </c>
      <c r="G119" s="16" t="str">
        <f>IF(ISERROR(VLOOKUP($D119,[1]SITES!$A:$E,4,FALSE)),"",VLOOKUP($D119,[1]SITES!$A:$E,4,FALSE))</f>
        <v/>
      </c>
      <c r="H119" s="26" t="str">
        <f t="shared" si="18"/>
        <v>DATE</v>
      </c>
      <c r="I119" s="12" t="str">
        <f t="shared" si="18"/>
        <v>VIS</v>
      </c>
      <c r="J119" s="12" t="str">
        <f t="shared" si="18"/>
        <v>DIRECTION</v>
      </c>
      <c r="K119" s="24" t="str">
        <f t="shared" si="18"/>
        <v>TIME</v>
      </c>
      <c r="L119" s="12" t="str">
        <f t="shared" si="18"/>
        <v>DEPTH</v>
      </c>
      <c r="M119" s="12" t="str">
        <f t="shared" si="18"/>
        <v>BLOCK</v>
      </c>
      <c r="O119" s="22"/>
      <c r="Q119" s="14"/>
      <c r="R119" s="25">
        <f t="shared" si="17"/>
        <v>0</v>
      </c>
      <c r="S119" s="12">
        <v>0</v>
      </c>
    </row>
    <row r="120" spans="1:19">
      <c r="A120" s="14">
        <f>MAX($A$1:$A119)+1</f>
        <v>118</v>
      </c>
      <c r="B120" s="12" t="str">
        <f t="shared" si="19"/>
        <v>DIVER NAME</v>
      </c>
      <c r="C120" s="12" t="str">
        <f t="shared" si="19"/>
        <v>BUDDY NAME</v>
      </c>
      <c r="D120" s="12">
        <f t="shared" si="19"/>
        <v>0</v>
      </c>
      <c r="E120" s="14" t="str">
        <f>IF(ISERROR(VLOOKUP($D120,[1]SITES!$A:$E,2,FALSE)),"",VLOOKUP($D120,[1]SITES!$A:$E,2,FALSE))</f>
        <v/>
      </c>
      <c r="F120" s="15" t="str">
        <f>IF(ISERROR(VLOOKUP($D120,[1]SITES!$A:$E,3,FALSE)),"",VLOOKUP($D120,[1]SITES!$A:$E,3,FALSE))</f>
        <v/>
      </c>
      <c r="G120" s="16" t="str">
        <f>IF(ISERROR(VLOOKUP($D120,[1]SITES!$A:$E,4,FALSE)),"",VLOOKUP($D120,[1]SITES!$A:$E,4,FALSE))</f>
        <v/>
      </c>
      <c r="H120" s="26" t="str">
        <f t="shared" si="18"/>
        <v>DATE</v>
      </c>
      <c r="I120" s="12" t="str">
        <f t="shared" si="18"/>
        <v>VIS</v>
      </c>
      <c r="J120" s="12" t="str">
        <f t="shared" si="18"/>
        <v>DIRECTION</v>
      </c>
      <c r="K120" s="24" t="str">
        <f t="shared" si="18"/>
        <v>TIME</v>
      </c>
      <c r="L120" s="12" t="str">
        <f t="shared" si="18"/>
        <v>DEPTH</v>
      </c>
      <c r="M120" s="12" t="str">
        <f t="shared" si="18"/>
        <v>BLOCK</v>
      </c>
      <c r="O120" s="22"/>
      <c r="Q120" s="14"/>
      <c r="R120" s="25">
        <f t="shared" si="17"/>
        <v>0</v>
      </c>
      <c r="S120" s="12">
        <v>0</v>
      </c>
    </row>
    <row r="121" spans="1:19">
      <c r="A121" s="14">
        <f>MAX($A$1:$A120)+1</f>
        <v>119</v>
      </c>
      <c r="B121" s="12" t="str">
        <f t="shared" si="19"/>
        <v>DIVER NAME</v>
      </c>
      <c r="C121" s="12" t="str">
        <f t="shared" si="19"/>
        <v>BUDDY NAME</v>
      </c>
      <c r="D121" s="12">
        <f t="shared" si="19"/>
        <v>0</v>
      </c>
      <c r="E121" s="14" t="str">
        <f>IF(ISERROR(VLOOKUP($D121,[1]SITES!$A:$E,2,FALSE)),"",VLOOKUP($D121,[1]SITES!$A:$E,2,FALSE))</f>
        <v/>
      </c>
      <c r="F121" s="15" t="str">
        <f>IF(ISERROR(VLOOKUP($D121,[1]SITES!$A:$E,3,FALSE)),"",VLOOKUP($D121,[1]SITES!$A:$E,3,FALSE))</f>
        <v/>
      </c>
      <c r="G121" s="16" t="str">
        <f>IF(ISERROR(VLOOKUP($D121,[1]SITES!$A:$E,4,FALSE)),"",VLOOKUP($D121,[1]SITES!$A:$E,4,FALSE))</f>
        <v/>
      </c>
      <c r="H121" s="26" t="str">
        <f t="shared" si="18"/>
        <v>DATE</v>
      </c>
      <c r="I121" s="12" t="str">
        <f t="shared" si="18"/>
        <v>VIS</v>
      </c>
      <c r="J121" s="12" t="str">
        <f t="shared" si="18"/>
        <v>DIRECTION</v>
      </c>
      <c r="K121" s="24" t="str">
        <f t="shared" si="18"/>
        <v>TIME</v>
      </c>
      <c r="L121" s="12" t="str">
        <f t="shared" si="18"/>
        <v>DEPTH</v>
      </c>
      <c r="M121" s="12" t="str">
        <f t="shared" si="18"/>
        <v>BLOCK</v>
      </c>
      <c r="O121" s="22"/>
      <c r="Q121" s="14"/>
      <c r="R121" s="25">
        <f t="shared" si="17"/>
        <v>0</v>
      </c>
      <c r="S121" s="12">
        <v>0</v>
      </c>
    </row>
    <row r="122" spans="1:19">
      <c r="A122" s="14">
        <f>MAX($A$1:$A121)+1</f>
        <v>120</v>
      </c>
      <c r="B122" s="12" t="str">
        <f t="shared" si="19"/>
        <v>DIVER NAME</v>
      </c>
      <c r="C122" s="12" t="str">
        <f t="shared" si="19"/>
        <v>BUDDY NAME</v>
      </c>
      <c r="D122" s="12">
        <f t="shared" si="19"/>
        <v>0</v>
      </c>
      <c r="E122" s="14" t="str">
        <f>IF(ISERROR(VLOOKUP($D122,[1]SITES!$A:$E,2,FALSE)),"",VLOOKUP($D122,[1]SITES!$A:$E,2,FALSE))</f>
        <v/>
      </c>
      <c r="F122" s="15" t="str">
        <f>IF(ISERROR(VLOOKUP($D122,[1]SITES!$A:$E,3,FALSE)),"",VLOOKUP($D122,[1]SITES!$A:$E,3,FALSE))</f>
        <v/>
      </c>
      <c r="G122" s="16" t="str">
        <f>IF(ISERROR(VLOOKUP($D122,[1]SITES!$A:$E,4,FALSE)),"",VLOOKUP($D122,[1]SITES!$A:$E,4,FALSE))</f>
        <v/>
      </c>
      <c r="H122" s="26" t="str">
        <f t="shared" si="18"/>
        <v>DATE</v>
      </c>
      <c r="I122" s="12" t="str">
        <f t="shared" si="18"/>
        <v>VIS</v>
      </c>
      <c r="J122" s="12" t="str">
        <f t="shared" si="18"/>
        <v>DIRECTION</v>
      </c>
      <c r="K122" s="24" t="str">
        <f t="shared" si="18"/>
        <v>TIME</v>
      </c>
      <c r="L122" s="12" t="str">
        <f t="shared" si="18"/>
        <v>DEPTH</v>
      </c>
      <c r="M122" s="12" t="str">
        <f t="shared" si="18"/>
        <v>BLOCK</v>
      </c>
      <c r="O122" s="22"/>
      <c r="Q122" s="14"/>
      <c r="R122" s="25">
        <f t="shared" si="17"/>
        <v>0</v>
      </c>
      <c r="S122" s="12">
        <v>0</v>
      </c>
    </row>
    <row r="123" spans="1:19">
      <c r="A123" s="14">
        <f>MAX($A$1:$A122)+1</f>
        <v>121</v>
      </c>
      <c r="B123" s="12" t="str">
        <f t="shared" si="19"/>
        <v>DIVER NAME</v>
      </c>
      <c r="C123" s="12" t="str">
        <f t="shared" si="19"/>
        <v>BUDDY NAME</v>
      </c>
      <c r="D123" s="12">
        <f t="shared" si="19"/>
        <v>0</v>
      </c>
      <c r="E123" s="14" t="str">
        <f>IF(ISERROR(VLOOKUP($D123,[1]SITES!$A:$E,2,FALSE)),"",VLOOKUP($D123,[1]SITES!$A:$E,2,FALSE))</f>
        <v/>
      </c>
      <c r="F123" s="15" t="str">
        <f>IF(ISERROR(VLOOKUP($D123,[1]SITES!$A:$E,3,FALSE)),"",VLOOKUP($D123,[1]SITES!$A:$E,3,FALSE))</f>
        <v/>
      </c>
      <c r="G123" s="16" t="str">
        <f>IF(ISERROR(VLOOKUP($D123,[1]SITES!$A:$E,4,FALSE)),"",VLOOKUP($D123,[1]SITES!$A:$E,4,FALSE))</f>
        <v/>
      </c>
      <c r="H123" s="26" t="str">
        <f t="shared" si="18"/>
        <v>DATE</v>
      </c>
      <c r="I123" s="12" t="str">
        <f t="shared" si="18"/>
        <v>VIS</v>
      </c>
      <c r="J123" s="12" t="str">
        <f t="shared" si="18"/>
        <v>DIRECTION</v>
      </c>
      <c r="K123" s="24" t="str">
        <f t="shared" si="18"/>
        <v>TIME</v>
      </c>
      <c r="L123" s="12" t="str">
        <f t="shared" si="18"/>
        <v>DEPTH</v>
      </c>
      <c r="M123" s="12" t="str">
        <f t="shared" si="18"/>
        <v>BLOCK</v>
      </c>
      <c r="O123" s="22"/>
      <c r="Q123" s="14"/>
      <c r="R123" s="25">
        <f t="shared" si="17"/>
        <v>0</v>
      </c>
      <c r="S123" s="12">
        <v>0</v>
      </c>
    </row>
    <row r="124" spans="1:19">
      <c r="A124" s="14">
        <f>MAX($A$1:$A123)+1</f>
        <v>122</v>
      </c>
      <c r="B124" s="12" t="str">
        <f t="shared" si="19"/>
        <v>DIVER NAME</v>
      </c>
      <c r="C124" s="12" t="str">
        <f t="shared" si="19"/>
        <v>BUDDY NAME</v>
      </c>
      <c r="D124" s="12">
        <f t="shared" si="19"/>
        <v>0</v>
      </c>
      <c r="E124" s="14" t="str">
        <f>IF(ISERROR(VLOOKUP($D124,[1]SITES!$A:$E,2,FALSE)),"",VLOOKUP($D124,[1]SITES!$A:$E,2,FALSE))</f>
        <v/>
      </c>
      <c r="F124" s="15" t="str">
        <f>IF(ISERROR(VLOOKUP($D124,[1]SITES!$A:$E,3,FALSE)),"",VLOOKUP($D124,[1]SITES!$A:$E,3,FALSE))</f>
        <v/>
      </c>
      <c r="G124" s="16" t="str">
        <f>IF(ISERROR(VLOOKUP($D124,[1]SITES!$A:$E,4,FALSE)),"",VLOOKUP($D124,[1]SITES!$A:$E,4,FALSE))</f>
        <v/>
      </c>
      <c r="H124" s="26" t="str">
        <f t="shared" si="18"/>
        <v>DATE</v>
      </c>
      <c r="I124" s="12" t="str">
        <f t="shared" si="18"/>
        <v>VIS</v>
      </c>
      <c r="J124" s="12" t="str">
        <f t="shared" si="18"/>
        <v>DIRECTION</v>
      </c>
      <c r="K124" s="24" t="str">
        <f t="shared" si="18"/>
        <v>TIME</v>
      </c>
      <c r="L124" s="12" t="str">
        <f t="shared" si="18"/>
        <v>DEPTH</v>
      </c>
      <c r="M124" s="12" t="str">
        <f t="shared" si="18"/>
        <v>BLOCK</v>
      </c>
      <c r="O124" s="22"/>
      <c r="Q124" s="14"/>
      <c r="R124" s="25">
        <f t="shared" si="17"/>
        <v>0</v>
      </c>
      <c r="S124" s="12">
        <v>0</v>
      </c>
    </row>
    <row r="125" spans="1:19">
      <c r="A125" s="14">
        <f>MAX($A$1:$A124)+1</f>
        <v>123</v>
      </c>
      <c r="B125" s="12" t="str">
        <f t="shared" si="19"/>
        <v>DIVER NAME</v>
      </c>
      <c r="C125" s="12" t="str">
        <f t="shared" si="19"/>
        <v>BUDDY NAME</v>
      </c>
      <c r="D125" s="12">
        <f t="shared" si="19"/>
        <v>0</v>
      </c>
      <c r="E125" s="14" t="str">
        <f>IF(ISERROR(VLOOKUP($D125,[1]SITES!$A:$E,2,FALSE)),"",VLOOKUP($D125,[1]SITES!$A:$E,2,FALSE))</f>
        <v/>
      </c>
      <c r="F125" s="15" t="str">
        <f>IF(ISERROR(VLOOKUP($D125,[1]SITES!$A:$E,3,FALSE)),"",VLOOKUP($D125,[1]SITES!$A:$E,3,FALSE))</f>
        <v/>
      </c>
      <c r="G125" s="16" t="str">
        <f>IF(ISERROR(VLOOKUP($D125,[1]SITES!$A:$E,4,FALSE)),"",VLOOKUP($D125,[1]SITES!$A:$E,4,FALSE))</f>
        <v/>
      </c>
      <c r="H125" s="26" t="str">
        <f t="shared" si="18"/>
        <v>DATE</v>
      </c>
      <c r="I125" s="12" t="str">
        <f t="shared" si="18"/>
        <v>VIS</v>
      </c>
      <c r="J125" s="12" t="str">
        <f t="shared" si="18"/>
        <v>DIRECTION</v>
      </c>
      <c r="K125" s="24" t="str">
        <f t="shared" si="18"/>
        <v>TIME</v>
      </c>
      <c r="L125" s="12" t="str">
        <f t="shared" si="18"/>
        <v>DEPTH</v>
      </c>
      <c r="M125" s="12" t="str">
        <f t="shared" si="18"/>
        <v>BLOCK</v>
      </c>
      <c r="O125" s="22"/>
      <c r="Q125" s="14"/>
      <c r="R125" s="25">
        <f t="shared" si="17"/>
        <v>0</v>
      </c>
      <c r="S125" s="12">
        <v>0</v>
      </c>
    </row>
    <row r="126" spans="1:19">
      <c r="A126" s="14">
        <f>MAX($A$1:$A125)+1</f>
        <v>124</v>
      </c>
      <c r="B126" s="12" t="str">
        <f t="shared" si="19"/>
        <v>DIVER NAME</v>
      </c>
      <c r="C126" s="12" t="str">
        <f t="shared" si="19"/>
        <v>BUDDY NAME</v>
      </c>
      <c r="D126" s="12">
        <f t="shared" si="19"/>
        <v>0</v>
      </c>
      <c r="E126" s="14" t="str">
        <f>IF(ISERROR(VLOOKUP($D126,[1]SITES!$A:$E,2,FALSE)),"",VLOOKUP($D126,[1]SITES!$A:$E,2,FALSE))</f>
        <v/>
      </c>
      <c r="F126" s="15" t="str">
        <f>IF(ISERROR(VLOOKUP($D126,[1]SITES!$A:$E,3,FALSE)),"",VLOOKUP($D126,[1]SITES!$A:$E,3,FALSE))</f>
        <v/>
      </c>
      <c r="G126" s="16" t="str">
        <f>IF(ISERROR(VLOOKUP($D126,[1]SITES!$A:$E,4,FALSE)),"",VLOOKUP($D126,[1]SITES!$A:$E,4,FALSE))</f>
        <v/>
      </c>
      <c r="H126" s="26" t="str">
        <f t="shared" si="18"/>
        <v>DATE</v>
      </c>
      <c r="I126" s="12" t="str">
        <f t="shared" si="18"/>
        <v>VIS</v>
      </c>
      <c r="J126" s="12" t="str">
        <f t="shared" si="18"/>
        <v>DIRECTION</v>
      </c>
      <c r="K126" s="24" t="str">
        <f t="shared" si="18"/>
        <v>TIME</v>
      </c>
      <c r="L126" s="12" t="str">
        <f t="shared" si="18"/>
        <v>DEPTH</v>
      </c>
      <c r="M126" s="12" t="str">
        <f t="shared" si="18"/>
        <v>BLOCK</v>
      </c>
      <c r="O126" s="22"/>
      <c r="Q126" s="14"/>
      <c r="R126" s="25">
        <f t="shared" si="17"/>
        <v>0</v>
      </c>
      <c r="S126" s="12">
        <v>0</v>
      </c>
    </row>
    <row r="127" spans="1:19">
      <c r="A127" s="14">
        <f>MAX($A$1:$A126)+1</f>
        <v>125</v>
      </c>
      <c r="B127" s="12" t="str">
        <f t="shared" si="19"/>
        <v>DIVER NAME</v>
      </c>
      <c r="C127" s="12" t="str">
        <f t="shared" si="19"/>
        <v>BUDDY NAME</v>
      </c>
      <c r="D127" s="12">
        <f t="shared" si="19"/>
        <v>0</v>
      </c>
      <c r="E127" s="14" t="str">
        <f>IF(ISERROR(VLOOKUP($D127,[1]SITES!$A:$E,2,FALSE)),"",VLOOKUP($D127,[1]SITES!$A:$E,2,FALSE))</f>
        <v/>
      </c>
      <c r="F127" s="15" t="str">
        <f>IF(ISERROR(VLOOKUP($D127,[1]SITES!$A:$E,3,FALSE)),"",VLOOKUP($D127,[1]SITES!$A:$E,3,FALSE))</f>
        <v/>
      </c>
      <c r="G127" s="16" t="str">
        <f>IF(ISERROR(VLOOKUP($D127,[1]SITES!$A:$E,4,FALSE)),"",VLOOKUP($D127,[1]SITES!$A:$E,4,FALSE))</f>
        <v/>
      </c>
      <c r="H127" s="26" t="str">
        <f t="shared" si="18"/>
        <v>DATE</v>
      </c>
      <c r="I127" s="12" t="str">
        <f t="shared" si="18"/>
        <v>VIS</v>
      </c>
      <c r="J127" s="12" t="str">
        <f t="shared" si="18"/>
        <v>DIRECTION</v>
      </c>
      <c r="K127" s="24" t="str">
        <f t="shared" si="18"/>
        <v>TIME</v>
      </c>
      <c r="L127" s="12" t="str">
        <f t="shared" si="18"/>
        <v>DEPTH</v>
      </c>
      <c r="M127" s="12" t="str">
        <f t="shared" si="18"/>
        <v>BLOCK</v>
      </c>
      <c r="O127" s="22"/>
      <c r="Q127" s="14"/>
      <c r="R127" s="25">
        <f t="shared" si="17"/>
        <v>0</v>
      </c>
      <c r="S127" s="12">
        <v>0</v>
      </c>
    </row>
    <row r="128" spans="1:19">
      <c r="A128" s="14">
        <f>MAX($A$1:$A127)+1</f>
        <v>126</v>
      </c>
      <c r="B128" s="12" t="str">
        <f t="shared" si="19"/>
        <v>DIVER NAME</v>
      </c>
      <c r="C128" s="12" t="str">
        <f t="shared" si="19"/>
        <v>BUDDY NAME</v>
      </c>
      <c r="D128" s="12">
        <f t="shared" si="19"/>
        <v>0</v>
      </c>
      <c r="E128" s="14" t="str">
        <f>IF(ISERROR(VLOOKUP($D128,[1]SITES!$A:$E,2,FALSE)),"",VLOOKUP($D128,[1]SITES!$A:$E,2,FALSE))</f>
        <v/>
      </c>
      <c r="F128" s="15" t="str">
        <f>IF(ISERROR(VLOOKUP($D128,[1]SITES!$A:$E,3,FALSE)),"",VLOOKUP($D128,[1]SITES!$A:$E,3,FALSE))</f>
        <v/>
      </c>
      <c r="G128" s="16" t="str">
        <f>IF(ISERROR(VLOOKUP($D128,[1]SITES!$A:$E,4,FALSE)),"",VLOOKUP($D128,[1]SITES!$A:$E,4,FALSE))</f>
        <v/>
      </c>
      <c r="H128" s="26" t="str">
        <f t="shared" si="18"/>
        <v>DATE</v>
      </c>
      <c r="I128" s="12" t="str">
        <f t="shared" si="18"/>
        <v>VIS</v>
      </c>
      <c r="J128" s="12" t="str">
        <f t="shared" si="18"/>
        <v>DIRECTION</v>
      </c>
      <c r="K128" s="24" t="str">
        <f t="shared" si="18"/>
        <v>TIME</v>
      </c>
      <c r="L128" s="12" t="str">
        <f t="shared" si="18"/>
        <v>DEPTH</v>
      </c>
      <c r="M128" s="12" t="str">
        <f t="shared" si="18"/>
        <v>BLOCK</v>
      </c>
      <c r="O128" s="22"/>
      <c r="Q128" s="14"/>
      <c r="R128" s="25">
        <f t="shared" si="17"/>
        <v>0</v>
      </c>
      <c r="S128" s="12">
        <v>0</v>
      </c>
    </row>
    <row r="129" spans="1:19">
      <c r="A129" s="14">
        <f>MAX($A$1:$A128)+1</f>
        <v>127</v>
      </c>
      <c r="B129" s="12" t="str">
        <f t="shared" si="19"/>
        <v>DIVER NAME</v>
      </c>
      <c r="C129" s="12" t="str">
        <f t="shared" si="19"/>
        <v>BUDDY NAME</v>
      </c>
      <c r="D129" s="12">
        <f t="shared" si="19"/>
        <v>0</v>
      </c>
      <c r="E129" s="14" t="str">
        <f>IF(ISERROR(VLOOKUP($D129,[1]SITES!$A:$E,2,FALSE)),"",VLOOKUP($D129,[1]SITES!$A:$E,2,FALSE))</f>
        <v/>
      </c>
      <c r="F129" s="15" t="str">
        <f>IF(ISERROR(VLOOKUP($D129,[1]SITES!$A:$E,3,FALSE)),"",VLOOKUP($D129,[1]SITES!$A:$E,3,FALSE))</f>
        <v/>
      </c>
      <c r="G129" s="16" t="str">
        <f>IF(ISERROR(VLOOKUP($D129,[1]SITES!$A:$E,4,FALSE)),"",VLOOKUP($D129,[1]SITES!$A:$E,4,FALSE))</f>
        <v/>
      </c>
      <c r="H129" s="26" t="str">
        <f t="shared" si="18"/>
        <v>DATE</v>
      </c>
      <c r="I129" s="12" t="str">
        <f t="shared" si="18"/>
        <v>VIS</v>
      </c>
      <c r="J129" s="12" t="str">
        <f t="shared" si="18"/>
        <v>DIRECTION</v>
      </c>
      <c r="K129" s="24" t="str">
        <f t="shared" si="18"/>
        <v>TIME</v>
      </c>
      <c r="L129" s="12" t="str">
        <f t="shared" si="18"/>
        <v>DEPTH</v>
      </c>
      <c r="M129" s="12" t="str">
        <f t="shared" si="18"/>
        <v>BLOCK</v>
      </c>
      <c r="O129" s="22"/>
      <c r="Q129" s="14"/>
      <c r="R129" s="25">
        <f t="shared" si="17"/>
        <v>0</v>
      </c>
      <c r="S129" s="12">
        <v>0</v>
      </c>
    </row>
    <row r="130" spans="1:19">
      <c r="A130" s="14">
        <f>MAX($A$1:$A129)+1</f>
        <v>128</v>
      </c>
      <c r="B130" s="12" t="str">
        <f t="shared" si="19"/>
        <v>DIVER NAME</v>
      </c>
      <c r="C130" s="12" t="str">
        <f t="shared" si="19"/>
        <v>BUDDY NAME</v>
      </c>
      <c r="D130" s="12">
        <f t="shared" si="19"/>
        <v>0</v>
      </c>
      <c r="E130" s="14" t="str">
        <f>IF(ISERROR(VLOOKUP($D130,[1]SITES!$A:$E,2,FALSE)),"",VLOOKUP($D130,[1]SITES!$A:$E,2,FALSE))</f>
        <v/>
      </c>
      <c r="F130" s="15" t="str">
        <f>IF(ISERROR(VLOOKUP($D130,[1]SITES!$A:$E,3,FALSE)),"",VLOOKUP($D130,[1]SITES!$A:$E,3,FALSE))</f>
        <v/>
      </c>
      <c r="G130" s="16" t="str">
        <f>IF(ISERROR(VLOOKUP($D130,[1]SITES!$A:$E,4,FALSE)),"",VLOOKUP($D130,[1]SITES!$A:$E,4,FALSE))</f>
        <v/>
      </c>
      <c r="H130" s="26" t="str">
        <f t="shared" si="18"/>
        <v>DATE</v>
      </c>
      <c r="I130" s="12" t="str">
        <f t="shared" si="18"/>
        <v>VIS</v>
      </c>
      <c r="J130" s="12" t="str">
        <f t="shared" si="18"/>
        <v>DIRECTION</v>
      </c>
      <c r="K130" s="24" t="str">
        <f t="shared" si="18"/>
        <v>TIME</v>
      </c>
      <c r="L130" s="12" t="str">
        <f t="shared" si="18"/>
        <v>DEPTH</v>
      </c>
      <c r="M130" s="12" t="str">
        <f t="shared" si="18"/>
        <v>BLOCK</v>
      </c>
      <c r="O130" s="22"/>
      <c r="Q130" s="14"/>
      <c r="R130" s="25">
        <f t="shared" si="17"/>
        <v>0</v>
      </c>
      <c r="S130" s="12">
        <v>0</v>
      </c>
    </row>
    <row r="131" spans="1:19">
      <c r="A131" s="14">
        <f>MAX($A$1:$A130)+1</f>
        <v>129</v>
      </c>
      <c r="B131" s="12" t="str">
        <f t="shared" si="19"/>
        <v>DIVER NAME</v>
      </c>
      <c r="C131" s="12" t="str">
        <f t="shared" si="19"/>
        <v>BUDDY NAME</v>
      </c>
      <c r="D131" s="12">
        <f t="shared" si="19"/>
        <v>0</v>
      </c>
      <c r="E131" s="14" t="str">
        <f>IF(ISERROR(VLOOKUP($D131,[1]SITES!$A:$E,2,FALSE)),"",VLOOKUP($D131,[1]SITES!$A:$E,2,FALSE))</f>
        <v/>
      </c>
      <c r="F131" s="15" t="str">
        <f>IF(ISERROR(VLOOKUP($D131,[1]SITES!$A:$E,3,FALSE)),"",VLOOKUP($D131,[1]SITES!$A:$E,3,FALSE))</f>
        <v/>
      </c>
      <c r="G131" s="16" t="str">
        <f>IF(ISERROR(VLOOKUP($D131,[1]SITES!$A:$E,4,FALSE)),"",VLOOKUP($D131,[1]SITES!$A:$E,4,FALSE))</f>
        <v/>
      </c>
      <c r="H131" s="26" t="str">
        <f t="shared" si="18"/>
        <v>DATE</v>
      </c>
      <c r="I131" s="12" t="str">
        <f t="shared" si="18"/>
        <v>VIS</v>
      </c>
      <c r="J131" s="12" t="str">
        <f t="shared" si="18"/>
        <v>DIRECTION</v>
      </c>
      <c r="K131" s="24" t="str">
        <f t="shared" si="18"/>
        <v>TIME</v>
      </c>
      <c r="L131" s="12" t="str">
        <f t="shared" si="18"/>
        <v>DEPTH</v>
      </c>
      <c r="M131" s="12" t="str">
        <f t="shared" si="18"/>
        <v>BLOCK</v>
      </c>
      <c r="O131" s="22"/>
      <c r="Q131" s="14"/>
      <c r="R131" s="25">
        <f t="shared" si="17"/>
        <v>0</v>
      </c>
      <c r="S131" s="12">
        <v>0</v>
      </c>
    </row>
    <row r="132" spans="1:19">
      <c r="A132" s="14">
        <f>MAX($A$1:$A131)+1</f>
        <v>130</v>
      </c>
      <c r="B132" s="12" t="str">
        <f t="shared" si="19"/>
        <v>DIVER NAME</v>
      </c>
      <c r="C132" s="12" t="str">
        <f t="shared" si="19"/>
        <v>BUDDY NAME</v>
      </c>
      <c r="D132" s="12">
        <f t="shared" si="19"/>
        <v>0</v>
      </c>
      <c r="E132" s="14" t="str">
        <f>IF(ISERROR(VLOOKUP($D132,[1]SITES!$A:$E,2,FALSE)),"",VLOOKUP($D132,[1]SITES!$A:$E,2,FALSE))</f>
        <v/>
      </c>
      <c r="F132" s="15" t="str">
        <f>IF(ISERROR(VLOOKUP($D132,[1]SITES!$A:$E,3,FALSE)),"",VLOOKUP($D132,[1]SITES!$A:$E,3,FALSE))</f>
        <v/>
      </c>
      <c r="G132" s="16" t="str">
        <f>IF(ISERROR(VLOOKUP($D132,[1]SITES!$A:$E,4,FALSE)),"",VLOOKUP($D132,[1]SITES!$A:$E,4,FALSE))</f>
        <v/>
      </c>
      <c r="H132" s="26" t="str">
        <f t="shared" ref="H132:M147" si="20">IF(ISERROR(H131),IF(ISERROR(H130),IF(ISERROR(H129),"BLANK",H129),H130),H131)</f>
        <v>DATE</v>
      </c>
      <c r="I132" s="12" t="str">
        <f t="shared" si="20"/>
        <v>VIS</v>
      </c>
      <c r="J132" s="12" t="str">
        <f t="shared" si="20"/>
        <v>DIRECTION</v>
      </c>
      <c r="K132" s="24" t="str">
        <f t="shared" si="20"/>
        <v>TIME</v>
      </c>
      <c r="L132" s="12" t="str">
        <f t="shared" si="20"/>
        <v>DEPTH</v>
      </c>
      <c r="M132" s="12" t="str">
        <f t="shared" si="20"/>
        <v>BLOCK</v>
      </c>
      <c r="O132" s="22"/>
      <c r="Q132" s="14"/>
      <c r="R132" s="25">
        <f t="shared" si="17"/>
        <v>0</v>
      </c>
      <c r="S132" s="12">
        <v>0</v>
      </c>
    </row>
    <row r="133" spans="1:19">
      <c r="A133" s="14">
        <f>MAX($A$1:$A132)+1</f>
        <v>131</v>
      </c>
      <c r="B133" s="12" t="str">
        <f t="shared" ref="B133:D148" si="21">IF(ISERROR(B132),IF(ISERROR(B131),IF(ISERROR(B130),"BLANK",B130),B131),B132)</f>
        <v>DIVER NAME</v>
      </c>
      <c r="C133" s="12" t="str">
        <f t="shared" si="21"/>
        <v>BUDDY NAME</v>
      </c>
      <c r="D133" s="12">
        <f t="shared" si="21"/>
        <v>0</v>
      </c>
      <c r="E133" s="14" t="str">
        <f>IF(ISERROR(VLOOKUP($D133,[1]SITES!$A:$E,2,FALSE)),"",VLOOKUP($D133,[1]SITES!$A:$E,2,FALSE))</f>
        <v/>
      </c>
      <c r="F133" s="15" t="str">
        <f>IF(ISERROR(VLOOKUP($D133,[1]SITES!$A:$E,3,FALSE)),"",VLOOKUP($D133,[1]SITES!$A:$E,3,FALSE))</f>
        <v/>
      </c>
      <c r="G133" s="16" t="str">
        <f>IF(ISERROR(VLOOKUP($D133,[1]SITES!$A:$E,4,FALSE)),"",VLOOKUP($D133,[1]SITES!$A:$E,4,FALSE))</f>
        <v/>
      </c>
      <c r="H133" s="26" t="str">
        <f t="shared" si="20"/>
        <v>DATE</v>
      </c>
      <c r="I133" s="12" t="str">
        <f t="shared" si="20"/>
        <v>VIS</v>
      </c>
      <c r="J133" s="12" t="str">
        <f t="shared" si="20"/>
        <v>DIRECTION</v>
      </c>
      <c r="K133" s="24" t="str">
        <f t="shared" si="20"/>
        <v>TIME</v>
      </c>
      <c r="L133" s="12" t="str">
        <f t="shared" si="20"/>
        <v>DEPTH</v>
      </c>
      <c r="M133" s="12" t="str">
        <f t="shared" si="20"/>
        <v>BLOCK</v>
      </c>
      <c r="O133" s="22"/>
      <c r="Q133" s="14"/>
      <c r="R133" s="25">
        <f t="shared" si="17"/>
        <v>0</v>
      </c>
      <c r="S133" s="12">
        <v>0</v>
      </c>
    </row>
    <row r="134" spans="1:19">
      <c r="A134" s="14">
        <f>MAX($A$1:$A133)+1</f>
        <v>132</v>
      </c>
      <c r="B134" s="12" t="str">
        <f t="shared" si="21"/>
        <v>DIVER NAME</v>
      </c>
      <c r="C134" s="12" t="str">
        <f t="shared" si="21"/>
        <v>BUDDY NAME</v>
      </c>
      <c r="D134" s="12">
        <f t="shared" si="21"/>
        <v>0</v>
      </c>
      <c r="E134" s="14" t="str">
        <f>IF(ISERROR(VLOOKUP($D134,[1]SITES!$A:$E,2,FALSE)),"",VLOOKUP($D134,[1]SITES!$A:$E,2,FALSE))</f>
        <v/>
      </c>
      <c r="F134" s="15" t="str">
        <f>IF(ISERROR(VLOOKUP($D134,[1]SITES!$A:$E,3,FALSE)),"",VLOOKUP($D134,[1]SITES!$A:$E,3,FALSE))</f>
        <v/>
      </c>
      <c r="G134" s="16" t="str">
        <f>IF(ISERROR(VLOOKUP($D134,[1]SITES!$A:$E,4,FALSE)),"",VLOOKUP($D134,[1]SITES!$A:$E,4,FALSE))</f>
        <v/>
      </c>
      <c r="H134" s="26" t="str">
        <f t="shared" si="20"/>
        <v>DATE</v>
      </c>
      <c r="I134" s="12" t="str">
        <f t="shared" si="20"/>
        <v>VIS</v>
      </c>
      <c r="J134" s="12" t="str">
        <f t="shared" si="20"/>
        <v>DIRECTION</v>
      </c>
      <c r="K134" s="24" t="str">
        <f t="shared" si="20"/>
        <v>TIME</v>
      </c>
      <c r="L134" s="12" t="str">
        <f t="shared" si="20"/>
        <v>DEPTH</v>
      </c>
      <c r="M134" s="12" t="str">
        <f t="shared" si="20"/>
        <v>BLOCK</v>
      </c>
      <c r="O134" s="22"/>
      <c r="Q134" s="14"/>
      <c r="R134" s="25">
        <f t="shared" si="17"/>
        <v>0</v>
      </c>
      <c r="S134" s="12">
        <v>0</v>
      </c>
    </row>
    <row r="135" spans="1:19">
      <c r="A135" s="14">
        <f>MAX($A$1:$A134)+1</f>
        <v>133</v>
      </c>
      <c r="B135" s="12" t="str">
        <f t="shared" si="21"/>
        <v>DIVER NAME</v>
      </c>
      <c r="C135" s="12" t="str">
        <f t="shared" si="21"/>
        <v>BUDDY NAME</v>
      </c>
      <c r="D135" s="12">
        <f t="shared" si="21"/>
        <v>0</v>
      </c>
      <c r="E135" s="14" t="str">
        <f>IF(ISERROR(VLOOKUP($D135,[1]SITES!$A:$E,2,FALSE)),"",VLOOKUP($D135,[1]SITES!$A:$E,2,FALSE))</f>
        <v/>
      </c>
      <c r="F135" s="15" t="str">
        <f>IF(ISERROR(VLOOKUP($D135,[1]SITES!$A:$E,3,FALSE)),"",VLOOKUP($D135,[1]SITES!$A:$E,3,FALSE))</f>
        <v/>
      </c>
      <c r="G135" s="16" t="str">
        <f>IF(ISERROR(VLOOKUP($D135,[1]SITES!$A:$E,4,FALSE)),"",VLOOKUP($D135,[1]SITES!$A:$E,4,FALSE))</f>
        <v/>
      </c>
      <c r="H135" s="26" t="str">
        <f t="shared" si="20"/>
        <v>DATE</v>
      </c>
      <c r="I135" s="12" t="str">
        <f t="shared" si="20"/>
        <v>VIS</v>
      </c>
      <c r="J135" s="12" t="str">
        <f t="shared" si="20"/>
        <v>DIRECTION</v>
      </c>
      <c r="K135" s="24" t="str">
        <f t="shared" si="20"/>
        <v>TIME</v>
      </c>
      <c r="L135" s="12" t="str">
        <f t="shared" si="20"/>
        <v>DEPTH</v>
      </c>
      <c r="M135" s="12" t="str">
        <f t="shared" si="20"/>
        <v>BLOCK</v>
      </c>
      <c r="O135" s="22"/>
      <c r="Q135" s="14"/>
      <c r="R135" s="25">
        <f t="shared" si="17"/>
        <v>0</v>
      </c>
      <c r="S135" s="12">
        <v>0</v>
      </c>
    </row>
    <row r="136" spans="1:19">
      <c r="A136" s="14">
        <f>MAX($A$1:$A135)+1</f>
        <v>134</v>
      </c>
      <c r="B136" s="12" t="str">
        <f t="shared" si="21"/>
        <v>DIVER NAME</v>
      </c>
      <c r="C136" s="12" t="str">
        <f t="shared" si="21"/>
        <v>BUDDY NAME</v>
      </c>
      <c r="D136" s="12">
        <f t="shared" si="21"/>
        <v>0</v>
      </c>
      <c r="E136" s="14" t="str">
        <f>IF(ISERROR(VLOOKUP($D136,[1]SITES!$A:$E,2,FALSE)),"",VLOOKUP($D136,[1]SITES!$A:$E,2,FALSE))</f>
        <v/>
      </c>
      <c r="F136" s="15" t="str">
        <f>IF(ISERROR(VLOOKUP($D136,[1]SITES!$A:$E,3,FALSE)),"",VLOOKUP($D136,[1]SITES!$A:$E,3,FALSE))</f>
        <v/>
      </c>
      <c r="G136" s="16" t="str">
        <f>IF(ISERROR(VLOOKUP($D136,[1]SITES!$A:$E,4,FALSE)),"",VLOOKUP($D136,[1]SITES!$A:$E,4,FALSE))</f>
        <v/>
      </c>
      <c r="H136" s="26" t="str">
        <f t="shared" si="20"/>
        <v>DATE</v>
      </c>
      <c r="I136" s="12" t="str">
        <f t="shared" si="20"/>
        <v>VIS</v>
      </c>
      <c r="J136" s="12" t="str">
        <f t="shared" si="20"/>
        <v>DIRECTION</v>
      </c>
      <c r="K136" s="24" t="str">
        <f t="shared" si="20"/>
        <v>TIME</v>
      </c>
      <c r="L136" s="12" t="str">
        <f t="shared" si="20"/>
        <v>DEPTH</v>
      </c>
      <c r="M136" s="12" t="str">
        <f t="shared" si="20"/>
        <v>BLOCK</v>
      </c>
      <c r="O136" s="22"/>
      <c r="Q136" s="14"/>
      <c r="R136" s="25">
        <f t="shared" si="17"/>
        <v>0</v>
      </c>
      <c r="S136" s="12">
        <v>0</v>
      </c>
    </row>
    <row r="137" spans="1:19">
      <c r="A137" s="14">
        <f>MAX($A$1:$A136)+1</f>
        <v>135</v>
      </c>
      <c r="B137" s="12" t="str">
        <f t="shared" si="21"/>
        <v>DIVER NAME</v>
      </c>
      <c r="C137" s="12" t="str">
        <f t="shared" si="21"/>
        <v>BUDDY NAME</v>
      </c>
      <c r="D137" s="12">
        <f t="shared" si="21"/>
        <v>0</v>
      </c>
      <c r="E137" s="14" t="str">
        <f>IF(ISERROR(VLOOKUP($D137,[1]SITES!$A:$E,2,FALSE)),"",VLOOKUP($D137,[1]SITES!$A:$E,2,FALSE))</f>
        <v/>
      </c>
      <c r="F137" s="15" t="str">
        <f>IF(ISERROR(VLOOKUP($D137,[1]SITES!$A:$E,3,FALSE)),"",VLOOKUP($D137,[1]SITES!$A:$E,3,FALSE))</f>
        <v/>
      </c>
      <c r="G137" s="16" t="str">
        <f>IF(ISERROR(VLOOKUP($D137,[1]SITES!$A:$E,4,FALSE)),"",VLOOKUP($D137,[1]SITES!$A:$E,4,FALSE))</f>
        <v/>
      </c>
      <c r="H137" s="26" t="str">
        <f t="shared" si="20"/>
        <v>DATE</v>
      </c>
      <c r="I137" s="12" t="str">
        <f t="shared" si="20"/>
        <v>VIS</v>
      </c>
      <c r="J137" s="12" t="str">
        <f t="shared" si="20"/>
        <v>DIRECTION</v>
      </c>
      <c r="K137" s="24" t="str">
        <f t="shared" si="20"/>
        <v>TIME</v>
      </c>
      <c r="L137" s="12" t="str">
        <f t="shared" si="20"/>
        <v>DEPTH</v>
      </c>
      <c r="M137" s="12" t="str">
        <f t="shared" si="20"/>
        <v>BLOCK</v>
      </c>
      <c r="O137" s="22"/>
      <c r="Q137" s="14"/>
      <c r="R137" s="25">
        <f t="shared" si="17"/>
        <v>0</v>
      </c>
      <c r="S137" s="12">
        <v>0</v>
      </c>
    </row>
    <row r="138" spans="1:19">
      <c r="A138" s="14">
        <f>MAX($A$1:$A137)+1</f>
        <v>136</v>
      </c>
      <c r="B138" s="12" t="str">
        <f t="shared" si="21"/>
        <v>DIVER NAME</v>
      </c>
      <c r="C138" s="12" t="str">
        <f t="shared" si="21"/>
        <v>BUDDY NAME</v>
      </c>
      <c r="D138" s="12">
        <f t="shared" si="21"/>
        <v>0</v>
      </c>
      <c r="E138" s="14" t="str">
        <f>IF(ISERROR(VLOOKUP($D138,[1]SITES!$A:$E,2,FALSE)),"",VLOOKUP($D138,[1]SITES!$A:$E,2,FALSE))</f>
        <v/>
      </c>
      <c r="F138" s="15" t="str">
        <f>IF(ISERROR(VLOOKUP($D138,[1]SITES!$A:$E,3,FALSE)),"",VLOOKUP($D138,[1]SITES!$A:$E,3,FALSE))</f>
        <v/>
      </c>
      <c r="G138" s="16" t="str">
        <f>IF(ISERROR(VLOOKUP($D138,[1]SITES!$A:$E,4,FALSE)),"",VLOOKUP($D138,[1]SITES!$A:$E,4,FALSE))</f>
        <v/>
      </c>
      <c r="H138" s="26" t="str">
        <f t="shared" si="20"/>
        <v>DATE</v>
      </c>
      <c r="I138" s="12" t="str">
        <f t="shared" si="20"/>
        <v>VIS</v>
      </c>
      <c r="J138" s="12" t="str">
        <f t="shared" si="20"/>
        <v>DIRECTION</v>
      </c>
      <c r="K138" s="24" t="str">
        <f t="shared" si="20"/>
        <v>TIME</v>
      </c>
      <c r="L138" s="12" t="str">
        <f t="shared" si="20"/>
        <v>DEPTH</v>
      </c>
      <c r="M138" s="12" t="str">
        <f t="shared" si="20"/>
        <v>BLOCK</v>
      </c>
      <c r="O138" s="22"/>
      <c r="Q138" s="14"/>
      <c r="R138" s="25">
        <f t="shared" si="17"/>
        <v>0</v>
      </c>
      <c r="S138" s="12">
        <v>0</v>
      </c>
    </row>
    <row r="139" spans="1:19">
      <c r="A139" s="14">
        <f>MAX($A$1:$A138)+1</f>
        <v>137</v>
      </c>
      <c r="B139" s="12" t="str">
        <f t="shared" si="21"/>
        <v>DIVER NAME</v>
      </c>
      <c r="C139" s="12" t="str">
        <f t="shared" si="21"/>
        <v>BUDDY NAME</v>
      </c>
      <c r="D139" s="12">
        <f t="shared" si="21"/>
        <v>0</v>
      </c>
      <c r="E139" s="14" t="str">
        <f>IF(ISERROR(VLOOKUP($D139,[1]SITES!$A:$E,2,FALSE)),"",VLOOKUP($D139,[1]SITES!$A:$E,2,FALSE))</f>
        <v/>
      </c>
      <c r="F139" s="15" t="str">
        <f>IF(ISERROR(VLOOKUP($D139,[1]SITES!$A:$E,3,FALSE)),"",VLOOKUP($D139,[1]SITES!$A:$E,3,FALSE))</f>
        <v/>
      </c>
      <c r="G139" s="16" t="str">
        <f>IF(ISERROR(VLOOKUP($D139,[1]SITES!$A:$E,4,FALSE)),"",VLOOKUP($D139,[1]SITES!$A:$E,4,FALSE))</f>
        <v/>
      </c>
      <c r="H139" s="26" t="str">
        <f t="shared" si="20"/>
        <v>DATE</v>
      </c>
      <c r="I139" s="12" t="str">
        <f t="shared" si="20"/>
        <v>VIS</v>
      </c>
      <c r="J139" s="12" t="str">
        <f t="shared" si="20"/>
        <v>DIRECTION</v>
      </c>
      <c r="K139" s="24" t="str">
        <f t="shared" si="20"/>
        <v>TIME</v>
      </c>
      <c r="L139" s="12" t="str">
        <f t="shared" si="20"/>
        <v>DEPTH</v>
      </c>
      <c r="M139" s="12" t="str">
        <f t="shared" si="20"/>
        <v>BLOCK</v>
      </c>
      <c r="O139" s="22"/>
      <c r="Q139" s="14"/>
      <c r="R139" s="25">
        <f t="shared" si="17"/>
        <v>0</v>
      </c>
      <c r="S139" s="12">
        <v>0</v>
      </c>
    </row>
    <row r="140" spans="1:19">
      <c r="A140" s="14">
        <f>MAX($A$1:$A139)+1</f>
        <v>138</v>
      </c>
      <c r="B140" s="12" t="str">
        <f t="shared" si="21"/>
        <v>DIVER NAME</v>
      </c>
      <c r="C140" s="12" t="str">
        <f t="shared" si="21"/>
        <v>BUDDY NAME</v>
      </c>
      <c r="D140" s="12">
        <f t="shared" si="21"/>
        <v>0</v>
      </c>
      <c r="E140" s="14" t="str">
        <f>IF(ISERROR(VLOOKUP($D140,[1]SITES!$A:$E,2,FALSE)),"",VLOOKUP($D140,[1]SITES!$A:$E,2,FALSE))</f>
        <v/>
      </c>
      <c r="F140" s="15" t="str">
        <f>IF(ISERROR(VLOOKUP($D140,[1]SITES!$A:$E,3,FALSE)),"",VLOOKUP($D140,[1]SITES!$A:$E,3,FALSE))</f>
        <v/>
      </c>
      <c r="G140" s="16" t="str">
        <f>IF(ISERROR(VLOOKUP($D140,[1]SITES!$A:$E,4,FALSE)),"",VLOOKUP($D140,[1]SITES!$A:$E,4,FALSE))</f>
        <v/>
      </c>
      <c r="H140" s="26" t="str">
        <f t="shared" si="20"/>
        <v>DATE</v>
      </c>
      <c r="I140" s="12" t="str">
        <f t="shared" si="20"/>
        <v>VIS</v>
      </c>
      <c r="J140" s="12" t="str">
        <f t="shared" si="20"/>
        <v>DIRECTION</v>
      </c>
      <c r="K140" s="24" t="str">
        <f t="shared" si="20"/>
        <v>TIME</v>
      </c>
      <c r="L140" s="12" t="str">
        <f t="shared" si="20"/>
        <v>DEPTH</v>
      </c>
      <c r="M140" s="12" t="str">
        <f t="shared" si="20"/>
        <v>BLOCK</v>
      </c>
      <c r="O140" s="22"/>
      <c r="Q140" s="14"/>
      <c r="R140" s="25">
        <f t="shared" si="17"/>
        <v>0</v>
      </c>
      <c r="S140" s="12">
        <v>0</v>
      </c>
    </row>
    <row r="141" spans="1:19">
      <c r="A141" s="14">
        <f>MAX($A$1:$A140)+1</f>
        <v>139</v>
      </c>
      <c r="B141" s="12" t="str">
        <f t="shared" si="21"/>
        <v>DIVER NAME</v>
      </c>
      <c r="C141" s="12" t="str">
        <f t="shared" si="21"/>
        <v>BUDDY NAME</v>
      </c>
      <c r="D141" s="12">
        <f t="shared" si="21"/>
        <v>0</v>
      </c>
      <c r="E141" s="14" t="str">
        <f>IF(ISERROR(VLOOKUP($D141,[1]SITES!$A:$E,2,FALSE)),"",VLOOKUP($D141,[1]SITES!$A:$E,2,FALSE))</f>
        <v/>
      </c>
      <c r="F141" s="15" t="str">
        <f>IF(ISERROR(VLOOKUP($D141,[1]SITES!$A:$E,3,FALSE)),"",VLOOKUP($D141,[1]SITES!$A:$E,3,FALSE))</f>
        <v/>
      </c>
      <c r="G141" s="16" t="str">
        <f>IF(ISERROR(VLOOKUP($D141,[1]SITES!$A:$E,4,FALSE)),"",VLOOKUP($D141,[1]SITES!$A:$E,4,FALSE))</f>
        <v/>
      </c>
      <c r="H141" s="26" t="str">
        <f t="shared" si="20"/>
        <v>DATE</v>
      </c>
      <c r="I141" s="12" t="str">
        <f t="shared" si="20"/>
        <v>VIS</v>
      </c>
      <c r="J141" s="12" t="str">
        <f t="shared" si="20"/>
        <v>DIRECTION</v>
      </c>
      <c r="K141" s="24" t="str">
        <f t="shared" si="20"/>
        <v>TIME</v>
      </c>
      <c r="L141" s="12" t="str">
        <f t="shared" si="20"/>
        <v>DEPTH</v>
      </c>
      <c r="M141" s="12" t="str">
        <f t="shared" si="20"/>
        <v>BLOCK</v>
      </c>
      <c r="O141" s="22"/>
      <c r="Q141" s="14"/>
      <c r="R141" s="25">
        <f t="shared" si="17"/>
        <v>0</v>
      </c>
      <c r="S141" s="12">
        <v>0</v>
      </c>
    </row>
    <row r="142" spans="1:19">
      <c r="A142" s="14">
        <f>MAX($A$1:$A141)+1</f>
        <v>140</v>
      </c>
      <c r="B142" s="12" t="str">
        <f t="shared" si="21"/>
        <v>DIVER NAME</v>
      </c>
      <c r="C142" s="12" t="str">
        <f t="shared" si="21"/>
        <v>BUDDY NAME</v>
      </c>
      <c r="D142" s="12">
        <f t="shared" si="21"/>
        <v>0</v>
      </c>
      <c r="E142" s="14" t="str">
        <f>IF(ISERROR(VLOOKUP($D142,[1]SITES!$A:$E,2,FALSE)),"",VLOOKUP($D142,[1]SITES!$A:$E,2,FALSE))</f>
        <v/>
      </c>
      <c r="F142" s="15" t="str">
        <f>IF(ISERROR(VLOOKUP($D142,[1]SITES!$A:$E,3,FALSE)),"",VLOOKUP($D142,[1]SITES!$A:$E,3,FALSE))</f>
        <v/>
      </c>
      <c r="G142" s="16" t="str">
        <f>IF(ISERROR(VLOOKUP($D142,[1]SITES!$A:$E,4,FALSE)),"",VLOOKUP($D142,[1]SITES!$A:$E,4,FALSE))</f>
        <v/>
      </c>
      <c r="H142" s="26" t="str">
        <f t="shared" si="20"/>
        <v>DATE</v>
      </c>
      <c r="I142" s="12" t="str">
        <f t="shared" si="20"/>
        <v>VIS</v>
      </c>
      <c r="J142" s="12" t="str">
        <f t="shared" si="20"/>
        <v>DIRECTION</v>
      </c>
      <c r="K142" s="24" t="str">
        <f t="shared" si="20"/>
        <v>TIME</v>
      </c>
      <c r="L142" s="12" t="str">
        <f t="shared" si="20"/>
        <v>DEPTH</v>
      </c>
      <c r="M142" s="12" t="str">
        <f t="shared" si="20"/>
        <v>BLOCK</v>
      </c>
      <c r="O142" s="22"/>
      <c r="Q142" s="14"/>
      <c r="R142" s="25">
        <f t="shared" si="17"/>
        <v>0</v>
      </c>
      <c r="S142" s="12">
        <v>0</v>
      </c>
    </row>
    <row r="143" spans="1:19">
      <c r="A143" s="14">
        <f>MAX($A$1:$A142)+1</f>
        <v>141</v>
      </c>
      <c r="B143" s="12" t="str">
        <f t="shared" si="21"/>
        <v>DIVER NAME</v>
      </c>
      <c r="C143" s="12" t="str">
        <f t="shared" si="21"/>
        <v>BUDDY NAME</v>
      </c>
      <c r="D143" s="12">
        <f t="shared" si="21"/>
        <v>0</v>
      </c>
      <c r="E143" s="14" t="str">
        <f>IF(ISERROR(VLOOKUP($D143,[1]SITES!$A:$E,2,FALSE)),"",VLOOKUP($D143,[1]SITES!$A:$E,2,FALSE))</f>
        <v/>
      </c>
      <c r="F143" s="15" t="str">
        <f>IF(ISERROR(VLOOKUP($D143,[1]SITES!$A:$E,3,FALSE)),"",VLOOKUP($D143,[1]SITES!$A:$E,3,FALSE))</f>
        <v/>
      </c>
      <c r="G143" s="16" t="str">
        <f>IF(ISERROR(VLOOKUP($D143,[1]SITES!$A:$E,4,FALSE)),"",VLOOKUP($D143,[1]SITES!$A:$E,4,FALSE))</f>
        <v/>
      </c>
      <c r="H143" s="26" t="str">
        <f t="shared" si="20"/>
        <v>DATE</v>
      </c>
      <c r="I143" s="12" t="str">
        <f t="shared" si="20"/>
        <v>VIS</v>
      </c>
      <c r="J143" s="12" t="str">
        <f t="shared" si="20"/>
        <v>DIRECTION</v>
      </c>
      <c r="K143" s="24" t="str">
        <f t="shared" si="20"/>
        <v>TIME</v>
      </c>
      <c r="L143" s="12" t="str">
        <f t="shared" si="20"/>
        <v>DEPTH</v>
      </c>
      <c r="M143" s="12" t="str">
        <f t="shared" si="20"/>
        <v>BLOCK</v>
      </c>
      <c r="O143" s="22"/>
      <c r="Q143" s="14"/>
      <c r="R143" s="25">
        <f t="shared" si="17"/>
        <v>0</v>
      </c>
      <c r="S143" s="12">
        <v>0</v>
      </c>
    </row>
    <row r="144" spans="1:19">
      <c r="A144" s="14">
        <f>MAX($A$1:$A143)+1</f>
        <v>142</v>
      </c>
      <c r="B144" s="12" t="str">
        <f t="shared" si="21"/>
        <v>DIVER NAME</v>
      </c>
      <c r="C144" s="12" t="str">
        <f t="shared" si="21"/>
        <v>BUDDY NAME</v>
      </c>
      <c r="D144" s="12">
        <f t="shared" si="21"/>
        <v>0</v>
      </c>
      <c r="E144" s="14" t="str">
        <f>IF(ISERROR(VLOOKUP($D144,[1]SITES!$A:$E,2,FALSE)),"",VLOOKUP($D144,[1]SITES!$A:$E,2,FALSE))</f>
        <v/>
      </c>
      <c r="F144" s="15" t="str">
        <f>IF(ISERROR(VLOOKUP($D144,[1]SITES!$A:$E,3,FALSE)),"",VLOOKUP($D144,[1]SITES!$A:$E,3,FALSE))</f>
        <v/>
      </c>
      <c r="G144" s="16" t="str">
        <f>IF(ISERROR(VLOOKUP($D144,[1]SITES!$A:$E,4,FALSE)),"",VLOOKUP($D144,[1]SITES!$A:$E,4,FALSE))</f>
        <v/>
      </c>
      <c r="H144" s="26" t="str">
        <f t="shared" si="20"/>
        <v>DATE</v>
      </c>
      <c r="I144" s="12" t="str">
        <f t="shared" si="20"/>
        <v>VIS</v>
      </c>
      <c r="J144" s="12" t="str">
        <f t="shared" si="20"/>
        <v>DIRECTION</v>
      </c>
      <c r="K144" s="24" t="str">
        <f t="shared" si="20"/>
        <v>TIME</v>
      </c>
      <c r="L144" s="12" t="str">
        <f t="shared" si="20"/>
        <v>DEPTH</v>
      </c>
      <c r="M144" s="12" t="str">
        <f t="shared" si="20"/>
        <v>BLOCK</v>
      </c>
      <c r="O144" s="22"/>
      <c r="Q144" s="14"/>
      <c r="R144" s="25">
        <f t="shared" si="17"/>
        <v>0</v>
      </c>
      <c r="S144" s="12">
        <v>0</v>
      </c>
    </row>
    <row r="145" spans="1:19">
      <c r="A145" s="14">
        <f>MAX($A$1:$A144)+1</f>
        <v>143</v>
      </c>
      <c r="B145" s="12" t="str">
        <f t="shared" si="21"/>
        <v>DIVER NAME</v>
      </c>
      <c r="C145" s="12" t="str">
        <f t="shared" si="21"/>
        <v>BUDDY NAME</v>
      </c>
      <c r="D145" s="12">
        <f t="shared" si="21"/>
        <v>0</v>
      </c>
      <c r="E145" s="14" t="str">
        <f>IF(ISERROR(VLOOKUP($D145,[1]SITES!$A:$E,2,FALSE)),"",VLOOKUP($D145,[1]SITES!$A:$E,2,FALSE))</f>
        <v/>
      </c>
      <c r="F145" s="15" t="str">
        <f>IF(ISERROR(VLOOKUP($D145,[1]SITES!$A:$E,3,FALSE)),"",VLOOKUP($D145,[1]SITES!$A:$E,3,FALSE))</f>
        <v/>
      </c>
      <c r="G145" s="16" t="str">
        <f>IF(ISERROR(VLOOKUP($D145,[1]SITES!$A:$E,4,FALSE)),"",VLOOKUP($D145,[1]SITES!$A:$E,4,FALSE))</f>
        <v/>
      </c>
      <c r="H145" s="26" t="str">
        <f t="shared" si="20"/>
        <v>DATE</v>
      </c>
      <c r="I145" s="12" t="str">
        <f t="shared" si="20"/>
        <v>VIS</v>
      </c>
      <c r="J145" s="12" t="str">
        <f t="shared" si="20"/>
        <v>DIRECTION</v>
      </c>
      <c r="K145" s="24" t="str">
        <f t="shared" si="20"/>
        <v>TIME</v>
      </c>
      <c r="L145" s="12" t="str">
        <f t="shared" si="20"/>
        <v>DEPTH</v>
      </c>
      <c r="M145" s="12" t="str">
        <f t="shared" si="20"/>
        <v>BLOCK</v>
      </c>
      <c r="O145" s="22"/>
      <c r="Q145" s="14"/>
      <c r="R145" s="25">
        <f t="shared" si="17"/>
        <v>0</v>
      </c>
      <c r="S145" s="12">
        <v>0</v>
      </c>
    </row>
    <row r="146" spans="1:19">
      <c r="A146" s="14">
        <f>MAX($A$1:$A145)+1</f>
        <v>144</v>
      </c>
      <c r="B146" s="12" t="str">
        <f t="shared" si="21"/>
        <v>DIVER NAME</v>
      </c>
      <c r="C146" s="12" t="str">
        <f t="shared" si="21"/>
        <v>BUDDY NAME</v>
      </c>
      <c r="D146" s="12">
        <f t="shared" si="21"/>
        <v>0</v>
      </c>
      <c r="E146" s="14" t="str">
        <f>IF(ISERROR(VLOOKUP($D146,[1]SITES!$A:$E,2,FALSE)),"",VLOOKUP($D146,[1]SITES!$A:$E,2,FALSE))</f>
        <v/>
      </c>
      <c r="F146" s="15" t="str">
        <f>IF(ISERROR(VLOOKUP($D146,[1]SITES!$A:$E,3,FALSE)),"",VLOOKUP($D146,[1]SITES!$A:$E,3,FALSE))</f>
        <v/>
      </c>
      <c r="G146" s="16" t="str">
        <f>IF(ISERROR(VLOOKUP($D146,[1]SITES!$A:$E,4,FALSE)),"",VLOOKUP($D146,[1]SITES!$A:$E,4,FALSE))</f>
        <v/>
      </c>
      <c r="H146" s="26" t="str">
        <f t="shared" si="20"/>
        <v>DATE</v>
      </c>
      <c r="I146" s="12" t="str">
        <f t="shared" si="20"/>
        <v>VIS</v>
      </c>
      <c r="J146" s="12" t="str">
        <f t="shared" si="20"/>
        <v>DIRECTION</v>
      </c>
      <c r="K146" s="24" t="str">
        <f t="shared" si="20"/>
        <v>TIME</v>
      </c>
      <c r="L146" s="12" t="str">
        <f t="shared" si="20"/>
        <v>DEPTH</v>
      </c>
      <c r="M146" s="12" t="str">
        <f t="shared" si="20"/>
        <v>BLOCK</v>
      </c>
      <c r="O146" s="22"/>
      <c r="Q146" s="14"/>
      <c r="R146" s="25">
        <f t="shared" si="17"/>
        <v>0</v>
      </c>
      <c r="S146" s="12">
        <v>0</v>
      </c>
    </row>
    <row r="147" spans="1:19">
      <c r="A147" s="14">
        <f>MAX($A$1:$A146)+1</f>
        <v>145</v>
      </c>
      <c r="B147" s="12" t="str">
        <f t="shared" si="21"/>
        <v>DIVER NAME</v>
      </c>
      <c r="C147" s="12" t="str">
        <f t="shared" si="21"/>
        <v>BUDDY NAME</v>
      </c>
      <c r="D147" s="12">
        <f t="shared" si="21"/>
        <v>0</v>
      </c>
      <c r="E147" s="14" t="str">
        <f>IF(ISERROR(VLOOKUP($D147,[1]SITES!$A:$E,2,FALSE)),"",VLOOKUP($D147,[1]SITES!$A:$E,2,FALSE))</f>
        <v/>
      </c>
      <c r="F147" s="15" t="str">
        <f>IF(ISERROR(VLOOKUP($D147,[1]SITES!$A:$E,3,FALSE)),"",VLOOKUP($D147,[1]SITES!$A:$E,3,FALSE))</f>
        <v/>
      </c>
      <c r="G147" s="16" t="str">
        <f>IF(ISERROR(VLOOKUP($D147,[1]SITES!$A:$E,4,FALSE)),"",VLOOKUP($D147,[1]SITES!$A:$E,4,FALSE))</f>
        <v/>
      </c>
      <c r="H147" s="26" t="str">
        <f t="shared" si="20"/>
        <v>DATE</v>
      </c>
      <c r="I147" s="12" t="str">
        <f t="shared" si="20"/>
        <v>VIS</v>
      </c>
      <c r="J147" s="12" t="str">
        <f t="shared" si="20"/>
        <v>DIRECTION</v>
      </c>
      <c r="K147" s="24" t="str">
        <f t="shared" si="20"/>
        <v>TIME</v>
      </c>
      <c r="L147" s="12" t="str">
        <f t="shared" si="20"/>
        <v>DEPTH</v>
      </c>
      <c r="M147" s="12" t="str">
        <f t="shared" si="20"/>
        <v>BLOCK</v>
      </c>
      <c r="O147" s="22"/>
      <c r="Q147" s="14"/>
      <c r="R147" s="25">
        <f t="shared" si="17"/>
        <v>0</v>
      </c>
      <c r="S147" s="12">
        <v>0</v>
      </c>
    </row>
    <row r="148" spans="1:19">
      <c r="A148" s="14">
        <f>MAX($A$1:$A147)+1</f>
        <v>146</v>
      </c>
      <c r="B148" s="12" t="str">
        <f t="shared" si="21"/>
        <v>DIVER NAME</v>
      </c>
      <c r="C148" s="12" t="str">
        <f t="shared" si="21"/>
        <v>BUDDY NAME</v>
      </c>
      <c r="D148" s="12">
        <f t="shared" si="21"/>
        <v>0</v>
      </c>
      <c r="E148" s="14" t="str">
        <f>IF(ISERROR(VLOOKUP($D148,[1]SITES!$A:$E,2,FALSE)),"",VLOOKUP($D148,[1]SITES!$A:$E,2,FALSE))</f>
        <v/>
      </c>
      <c r="F148" s="15" t="str">
        <f>IF(ISERROR(VLOOKUP($D148,[1]SITES!$A:$E,3,FALSE)),"",VLOOKUP($D148,[1]SITES!$A:$E,3,FALSE))</f>
        <v/>
      </c>
      <c r="G148" s="16" t="str">
        <f>IF(ISERROR(VLOOKUP($D148,[1]SITES!$A:$E,4,FALSE)),"",VLOOKUP($D148,[1]SITES!$A:$E,4,FALSE))</f>
        <v/>
      </c>
      <c r="H148" s="26" t="str">
        <f t="shared" ref="H148:M163" si="22">IF(ISERROR(H147),IF(ISERROR(H146),IF(ISERROR(H145),"BLANK",H145),H146),H147)</f>
        <v>DATE</v>
      </c>
      <c r="I148" s="12" t="str">
        <f t="shared" si="22"/>
        <v>VIS</v>
      </c>
      <c r="J148" s="12" t="str">
        <f t="shared" si="22"/>
        <v>DIRECTION</v>
      </c>
      <c r="K148" s="24" t="str">
        <f t="shared" si="22"/>
        <v>TIME</v>
      </c>
      <c r="L148" s="12" t="str">
        <f t="shared" si="22"/>
        <v>DEPTH</v>
      </c>
      <c r="M148" s="12" t="str">
        <f t="shared" si="22"/>
        <v>BLOCK</v>
      </c>
      <c r="O148" s="22"/>
      <c r="Q148" s="14"/>
      <c r="R148" s="25">
        <f t="shared" si="17"/>
        <v>0</v>
      </c>
      <c r="S148" s="12">
        <v>0</v>
      </c>
    </row>
    <row r="149" spans="1:19">
      <c r="A149" s="14">
        <f>MAX($A$1:$A148)+1</f>
        <v>147</v>
      </c>
      <c r="B149" s="12" t="str">
        <f t="shared" ref="B149:D164" si="23">IF(ISERROR(B148),IF(ISERROR(B147),IF(ISERROR(B146),"BLANK",B146),B147),B148)</f>
        <v>DIVER NAME</v>
      </c>
      <c r="C149" s="12" t="str">
        <f t="shared" si="23"/>
        <v>BUDDY NAME</v>
      </c>
      <c r="D149" s="12">
        <f t="shared" si="23"/>
        <v>0</v>
      </c>
      <c r="E149" s="14" t="str">
        <f>IF(ISERROR(VLOOKUP($D149,[1]SITES!$A:$E,2,FALSE)),"",VLOOKUP($D149,[1]SITES!$A:$E,2,FALSE))</f>
        <v/>
      </c>
      <c r="F149" s="15" t="str">
        <f>IF(ISERROR(VLOOKUP($D149,[1]SITES!$A:$E,3,FALSE)),"",VLOOKUP($D149,[1]SITES!$A:$E,3,FALSE))</f>
        <v/>
      </c>
      <c r="G149" s="16" t="str">
        <f>IF(ISERROR(VLOOKUP($D149,[1]SITES!$A:$E,4,FALSE)),"",VLOOKUP($D149,[1]SITES!$A:$E,4,FALSE))</f>
        <v/>
      </c>
      <c r="H149" s="26" t="str">
        <f t="shared" si="22"/>
        <v>DATE</v>
      </c>
      <c r="I149" s="12" t="str">
        <f t="shared" si="22"/>
        <v>VIS</v>
      </c>
      <c r="J149" s="12" t="str">
        <f t="shared" si="22"/>
        <v>DIRECTION</v>
      </c>
      <c r="K149" s="24" t="str">
        <f t="shared" si="22"/>
        <v>TIME</v>
      </c>
      <c r="L149" s="12" t="str">
        <f t="shared" si="22"/>
        <v>DEPTH</v>
      </c>
      <c r="M149" s="12" t="str">
        <f t="shared" si="22"/>
        <v>BLOCK</v>
      </c>
      <c r="O149" s="22"/>
      <c r="Q149" s="14"/>
      <c r="R149" s="25">
        <f t="shared" si="17"/>
        <v>0</v>
      </c>
      <c r="S149" s="12">
        <v>0</v>
      </c>
    </row>
    <row r="150" spans="1:19">
      <c r="A150" s="14">
        <f>MAX($A$1:$A149)+1</f>
        <v>148</v>
      </c>
      <c r="B150" s="12" t="str">
        <f t="shared" si="23"/>
        <v>DIVER NAME</v>
      </c>
      <c r="C150" s="12" t="str">
        <f t="shared" si="23"/>
        <v>BUDDY NAME</v>
      </c>
      <c r="D150" s="12">
        <f t="shared" si="23"/>
        <v>0</v>
      </c>
      <c r="E150" s="14" t="str">
        <f>IF(ISERROR(VLOOKUP($D150,[1]SITES!$A:$E,2,FALSE)),"",VLOOKUP($D150,[1]SITES!$A:$E,2,FALSE))</f>
        <v/>
      </c>
      <c r="F150" s="15" t="str">
        <f>IF(ISERROR(VLOOKUP($D150,[1]SITES!$A:$E,3,FALSE)),"",VLOOKUP($D150,[1]SITES!$A:$E,3,FALSE))</f>
        <v/>
      </c>
      <c r="G150" s="16" t="str">
        <f>IF(ISERROR(VLOOKUP($D150,[1]SITES!$A:$E,4,FALSE)),"",VLOOKUP($D150,[1]SITES!$A:$E,4,FALSE))</f>
        <v/>
      </c>
      <c r="H150" s="26" t="str">
        <f t="shared" si="22"/>
        <v>DATE</v>
      </c>
      <c r="I150" s="12" t="str">
        <f t="shared" si="22"/>
        <v>VIS</v>
      </c>
      <c r="J150" s="12" t="str">
        <f t="shared" si="22"/>
        <v>DIRECTION</v>
      </c>
      <c r="K150" s="24" t="str">
        <f t="shared" si="22"/>
        <v>TIME</v>
      </c>
      <c r="L150" s="12" t="str">
        <f t="shared" si="22"/>
        <v>DEPTH</v>
      </c>
      <c r="M150" s="12" t="str">
        <f t="shared" si="22"/>
        <v>BLOCK</v>
      </c>
      <c r="O150" s="22"/>
      <c r="Q150" s="14"/>
      <c r="R150" s="25">
        <f t="shared" si="17"/>
        <v>0</v>
      </c>
      <c r="S150" s="12">
        <v>0</v>
      </c>
    </row>
    <row r="151" spans="1:19">
      <c r="A151" s="14">
        <f>MAX($A$1:$A150)+1</f>
        <v>149</v>
      </c>
      <c r="B151" s="12" t="str">
        <f t="shared" si="23"/>
        <v>DIVER NAME</v>
      </c>
      <c r="C151" s="12" t="str">
        <f t="shared" si="23"/>
        <v>BUDDY NAME</v>
      </c>
      <c r="D151" s="12">
        <f t="shared" si="23"/>
        <v>0</v>
      </c>
      <c r="E151" s="14" t="str">
        <f>IF(ISERROR(VLOOKUP($D151,[1]SITES!$A:$E,2,FALSE)),"",VLOOKUP($D151,[1]SITES!$A:$E,2,FALSE))</f>
        <v/>
      </c>
      <c r="F151" s="15" t="str">
        <f>IF(ISERROR(VLOOKUP($D151,[1]SITES!$A:$E,3,FALSE)),"",VLOOKUP($D151,[1]SITES!$A:$E,3,FALSE))</f>
        <v/>
      </c>
      <c r="G151" s="16" t="str">
        <f>IF(ISERROR(VLOOKUP($D151,[1]SITES!$A:$E,4,FALSE)),"",VLOOKUP($D151,[1]SITES!$A:$E,4,FALSE))</f>
        <v/>
      </c>
      <c r="H151" s="26" t="str">
        <f t="shared" si="22"/>
        <v>DATE</v>
      </c>
      <c r="I151" s="12" t="str">
        <f t="shared" si="22"/>
        <v>VIS</v>
      </c>
      <c r="J151" s="12" t="str">
        <f t="shared" si="22"/>
        <v>DIRECTION</v>
      </c>
      <c r="K151" s="24" t="str">
        <f t="shared" si="22"/>
        <v>TIME</v>
      </c>
      <c r="L151" s="12" t="str">
        <f t="shared" si="22"/>
        <v>DEPTH</v>
      </c>
      <c r="M151" s="12" t="str">
        <f t="shared" si="22"/>
        <v>BLOCK</v>
      </c>
      <c r="O151" s="22"/>
      <c r="Q151" s="14"/>
      <c r="R151" s="25">
        <f t="shared" si="17"/>
        <v>0</v>
      </c>
      <c r="S151" s="12">
        <v>0</v>
      </c>
    </row>
    <row r="152" spans="1:19">
      <c r="A152" s="14">
        <f>MAX($A$1:$A151)+1</f>
        <v>150</v>
      </c>
      <c r="B152" s="12" t="str">
        <f t="shared" si="23"/>
        <v>DIVER NAME</v>
      </c>
      <c r="C152" s="12" t="str">
        <f t="shared" si="23"/>
        <v>BUDDY NAME</v>
      </c>
      <c r="D152" s="12">
        <f t="shared" si="23"/>
        <v>0</v>
      </c>
      <c r="E152" s="14" t="str">
        <f>IF(ISERROR(VLOOKUP($D152,[1]SITES!$A:$E,2,FALSE)),"",VLOOKUP($D152,[1]SITES!$A:$E,2,FALSE))</f>
        <v/>
      </c>
      <c r="F152" s="15" t="str">
        <f>IF(ISERROR(VLOOKUP($D152,[1]SITES!$A:$E,3,FALSE)),"",VLOOKUP($D152,[1]SITES!$A:$E,3,FALSE))</f>
        <v/>
      </c>
      <c r="G152" s="16" t="str">
        <f>IF(ISERROR(VLOOKUP($D152,[1]SITES!$A:$E,4,FALSE)),"",VLOOKUP($D152,[1]SITES!$A:$E,4,FALSE))</f>
        <v/>
      </c>
      <c r="H152" s="26" t="str">
        <f t="shared" si="22"/>
        <v>DATE</v>
      </c>
      <c r="I152" s="12" t="str">
        <f t="shared" si="22"/>
        <v>VIS</v>
      </c>
      <c r="J152" s="12" t="str">
        <f t="shared" si="22"/>
        <v>DIRECTION</v>
      </c>
      <c r="K152" s="24" t="str">
        <f t="shared" si="22"/>
        <v>TIME</v>
      </c>
      <c r="L152" s="12" t="str">
        <f t="shared" si="22"/>
        <v>DEPTH</v>
      </c>
      <c r="M152" s="12" t="str">
        <f t="shared" si="22"/>
        <v>BLOCK</v>
      </c>
      <c r="O152" s="22"/>
      <c r="Q152" s="14"/>
      <c r="R152" s="25">
        <f t="shared" si="17"/>
        <v>0</v>
      </c>
      <c r="S152" s="12">
        <v>0</v>
      </c>
    </row>
    <row r="153" spans="1:19">
      <c r="A153" s="14">
        <f>MAX($A$1:$A152)+1</f>
        <v>151</v>
      </c>
      <c r="B153" s="12" t="str">
        <f t="shared" si="23"/>
        <v>DIVER NAME</v>
      </c>
      <c r="C153" s="12" t="str">
        <f t="shared" si="23"/>
        <v>BUDDY NAME</v>
      </c>
      <c r="D153" s="12">
        <f t="shared" si="23"/>
        <v>0</v>
      </c>
      <c r="E153" s="14" t="str">
        <f>IF(ISERROR(VLOOKUP($D153,[1]SITES!$A:$E,2,FALSE)),"",VLOOKUP($D153,[1]SITES!$A:$E,2,FALSE))</f>
        <v/>
      </c>
      <c r="F153" s="15" t="str">
        <f>IF(ISERROR(VLOOKUP($D153,[1]SITES!$A:$E,3,FALSE)),"",VLOOKUP($D153,[1]SITES!$A:$E,3,FALSE))</f>
        <v/>
      </c>
      <c r="G153" s="16" t="str">
        <f>IF(ISERROR(VLOOKUP($D153,[1]SITES!$A:$E,4,FALSE)),"",VLOOKUP($D153,[1]SITES!$A:$E,4,FALSE))</f>
        <v/>
      </c>
      <c r="H153" s="26" t="str">
        <f t="shared" si="22"/>
        <v>DATE</v>
      </c>
      <c r="I153" s="12" t="str">
        <f t="shared" si="22"/>
        <v>VIS</v>
      </c>
      <c r="J153" s="12" t="str">
        <f t="shared" si="22"/>
        <v>DIRECTION</v>
      </c>
      <c r="K153" s="24" t="str">
        <f t="shared" si="22"/>
        <v>TIME</v>
      </c>
      <c r="L153" s="12" t="str">
        <f t="shared" si="22"/>
        <v>DEPTH</v>
      </c>
      <c r="M153" s="12" t="str">
        <f t="shared" si="22"/>
        <v>BLOCK</v>
      </c>
      <c r="O153" s="22"/>
      <c r="Q153" s="14"/>
      <c r="R153" s="25">
        <f t="shared" si="17"/>
        <v>0</v>
      </c>
      <c r="S153" s="12">
        <v>0</v>
      </c>
    </row>
    <row r="154" spans="1:19">
      <c r="A154" s="14">
        <f>MAX($A$1:$A153)+1</f>
        <v>152</v>
      </c>
      <c r="B154" s="12" t="str">
        <f t="shared" si="23"/>
        <v>DIVER NAME</v>
      </c>
      <c r="C154" s="12" t="str">
        <f t="shared" si="23"/>
        <v>BUDDY NAME</v>
      </c>
      <c r="D154" s="12">
        <f t="shared" si="23"/>
        <v>0</v>
      </c>
      <c r="E154" s="14" t="str">
        <f>IF(ISERROR(VLOOKUP($D154,[1]SITES!$A:$E,2,FALSE)),"",VLOOKUP($D154,[1]SITES!$A:$E,2,FALSE))</f>
        <v/>
      </c>
      <c r="F154" s="15" t="str">
        <f>IF(ISERROR(VLOOKUP($D154,[1]SITES!$A:$E,3,FALSE)),"",VLOOKUP($D154,[1]SITES!$A:$E,3,FALSE))</f>
        <v/>
      </c>
      <c r="G154" s="16" t="str">
        <f>IF(ISERROR(VLOOKUP($D154,[1]SITES!$A:$E,4,FALSE)),"",VLOOKUP($D154,[1]SITES!$A:$E,4,FALSE))</f>
        <v/>
      </c>
      <c r="H154" s="26" t="str">
        <f t="shared" si="22"/>
        <v>DATE</v>
      </c>
      <c r="I154" s="12" t="str">
        <f t="shared" si="22"/>
        <v>VIS</v>
      </c>
      <c r="J154" s="12" t="str">
        <f t="shared" si="22"/>
        <v>DIRECTION</v>
      </c>
      <c r="K154" s="24" t="str">
        <f t="shared" si="22"/>
        <v>TIME</v>
      </c>
      <c r="L154" s="12" t="str">
        <f t="shared" si="22"/>
        <v>DEPTH</v>
      </c>
      <c r="M154" s="12" t="str">
        <f t="shared" si="22"/>
        <v>BLOCK</v>
      </c>
      <c r="O154" s="22"/>
      <c r="Q154" s="14"/>
      <c r="R154" s="25">
        <f t="shared" si="17"/>
        <v>0</v>
      </c>
      <c r="S154" s="12">
        <v>0</v>
      </c>
    </row>
    <row r="155" spans="1:19">
      <c r="A155" s="14">
        <f>MAX($A$1:$A154)+1</f>
        <v>153</v>
      </c>
      <c r="B155" s="12" t="str">
        <f t="shared" si="23"/>
        <v>DIVER NAME</v>
      </c>
      <c r="C155" s="12" t="str">
        <f t="shared" si="23"/>
        <v>BUDDY NAME</v>
      </c>
      <c r="D155" s="12">
        <f t="shared" si="23"/>
        <v>0</v>
      </c>
      <c r="E155" s="14" t="str">
        <f>IF(ISERROR(VLOOKUP($D155,[1]SITES!$A:$E,2,FALSE)),"",VLOOKUP($D155,[1]SITES!$A:$E,2,FALSE))</f>
        <v/>
      </c>
      <c r="F155" s="15" t="str">
        <f>IF(ISERROR(VLOOKUP($D155,[1]SITES!$A:$E,3,FALSE)),"",VLOOKUP($D155,[1]SITES!$A:$E,3,FALSE))</f>
        <v/>
      </c>
      <c r="G155" s="16" t="str">
        <f>IF(ISERROR(VLOOKUP($D155,[1]SITES!$A:$E,4,FALSE)),"",VLOOKUP($D155,[1]SITES!$A:$E,4,FALSE))</f>
        <v/>
      </c>
      <c r="H155" s="26" t="str">
        <f t="shared" si="22"/>
        <v>DATE</v>
      </c>
      <c r="I155" s="12" t="str">
        <f t="shared" si="22"/>
        <v>VIS</v>
      </c>
      <c r="J155" s="12" t="str">
        <f t="shared" si="22"/>
        <v>DIRECTION</v>
      </c>
      <c r="K155" s="24" t="str">
        <f t="shared" si="22"/>
        <v>TIME</v>
      </c>
      <c r="L155" s="12" t="str">
        <f t="shared" si="22"/>
        <v>DEPTH</v>
      </c>
      <c r="M155" s="12" t="str">
        <f t="shared" si="22"/>
        <v>BLOCK</v>
      </c>
      <c r="O155" s="22"/>
      <c r="Q155" s="14"/>
      <c r="R155" s="25">
        <f t="shared" si="17"/>
        <v>0</v>
      </c>
      <c r="S155" s="12">
        <v>0</v>
      </c>
    </row>
    <row r="156" spans="1:19">
      <c r="A156" s="14">
        <f>MAX($A$1:$A155)+1</f>
        <v>154</v>
      </c>
      <c r="B156" s="12" t="str">
        <f t="shared" si="23"/>
        <v>DIVER NAME</v>
      </c>
      <c r="C156" s="12" t="str">
        <f t="shared" si="23"/>
        <v>BUDDY NAME</v>
      </c>
      <c r="D156" s="12">
        <f t="shared" si="23"/>
        <v>0</v>
      </c>
      <c r="E156" s="14" t="str">
        <f>IF(ISERROR(VLOOKUP($D156,[1]SITES!$A:$E,2,FALSE)),"",VLOOKUP($D156,[1]SITES!$A:$E,2,FALSE))</f>
        <v/>
      </c>
      <c r="F156" s="15" t="str">
        <f>IF(ISERROR(VLOOKUP($D156,[1]SITES!$A:$E,3,FALSE)),"",VLOOKUP($D156,[1]SITES!$A:$E,3,FALSE))</f>
        <v/>
      </c>
      <c r="G156" s="16" t="str">
        <f>IF(ISERROR(VLOOKUP($D156,[1]SITES!$A:$E,4,FALSE)),"",VLOOKUP($D156,[1]SITES!$A:$E,4,FALSE))</f>
        <v/>
      </c>
      <c r="H156" s="26" t="str">
        <f t="shared" si="22"/>
        <v>DATE</v>
      </c>
      <c r="I156" s="12" t="str">
        <f t="shared" si="22"/>
        <v>VIS</v>
      </c>
      <c r="J156" s="12" t="str">
        <f t="shared" si="22"/>
        <v>DIRECTION</v>
      </c>
      <c r="K156" s="24" t="str">
        <f t="shared" si="22"/>
        <v>TIME</v>
      </c>
      <c r="L156" s="12" t="str">
        <f t="shared" si="22"/>
        <v>DEPTH</v>
      </c>
      <c r="M156" s="12" t="str">
        <f t="shared" si="22"/>
        <v>BLOCK</v>
      </c>
      <c r="O156" s="22"/>
      <c r="Q156" s="14"/>
      <c r="R156" s="25">
        <f t="shared" si="17"/>
        <v>0</v>
      </c>
      <c r="S156" s="12">
        <v>0</v>
      </c>
    </row>
    <row r="157" spans="1:19">
      <c r="A157" s="14">
        <f>MAX($A$1:$A156)+1</f>
        <v>155</v>
      </c>
      <c r="B157" s="12" t="str">
        <f t="shared" si="23"/>
        <v>DIVER NAME</v>
      </c>
      <c r="C157" s="12" t="str">
        <f t="shared" si="23"/>
        <v>BUDDY NAME</v>
      </c>
      <c r="D157" s="12">
        <f t="shared" si="23"/>
        <v>0</v>
      </c>
      <c r="E157" s="14" t="str">
        <f>IF(ISERROR(VLOOKUP($D157,[1]SITES!$A:$E,2,FALSE)),"",VLOOKUP($D157,[1]SITES!$A:$E,2,FALSE))</f>
        <v/>
      </c>
      <c r="F157" s="15" t="str">
        <f>IF(ISERROR(VLOOKUP($D157,[1]SITES!$A:$E,3,FALSE)),"",VLOOKUP($D157,[1]SITES!$A:$E,3,FALSE))</f>
        <v/>
      </c>
      <c r="G157" s="16" t="str">
        <f>IF(ISERROR(VLOOKUP($D157,[1]SITES!$A:$E,4,FALSE)),"",VLOOKUP($D157,[1]SITES!$A:$E,4,FALSE))</f>
        <v/>
      </c>
      <c r="H157" s="26" t="str">
        <f t="shared" si="22"/>
        <v>DATE</v>
      </c>
      <c r="I157" s="12" t="str">
        <f t="shared" si="22"/>
        <v>VIS</v>
      </c>
      <c r="J157" s="12" t="str">
        <f t="shared" si="22"/>
        <v>DIRECTION</v>
      </c>
      <c r="K157" s="24" t="str">
        <f t="shared" si="22"/>
        <v>TIME</v>
      </c>
      <c r="L157" s="12" t="str">
        <f t="shared" si="22"/>
        <v>DEPTH</v>
      </c>
      <c r="M157" s="12" t="str">
        <f t="shared" si="22"/>
        <v>BLOCK</v>
      </c>
      <c r="O157" s="22"/>
      <c r="Q157" s="14"/>
      <c r="R157" s="25">
        <f t="shared" si="17"/>
        <v>0</v>
      </c>
      <c r="S157" s="12">
        <v>0</v>
      </c>
    </row>
    <row r="158" spans="1:19">
      <c r="A158" s="14">
        <f>MAX($A$1:$A157)+1</f>
        <v>156</v>
      </c>
      <c r="B158" s="12" t="str">
        <f t="shared" si="23"/>
        <v>DIVER NAME</v>
      </c>
      <c r="C158" s="12" t="str">
        <f t="shared" si="23"/>
        <v>BUDDY NAME</v>
      </c>
      <c r="D158" s="12">
        <f t="shared" si="23"/>
        <v>0</v>
      </c>
      <c r="E158" s="14" t="str">
        <f>IF(ISERROR(VLOOKUP($D158,[1]SITES!$A:$E,2,FALSE)),"",VLOOKUP($D158,[1]SITES!$A:$E,2,FALSE))</f>
        <v/>
      </c>
      <c r="F158" s="15" t="str">
        <f>IF(ISERROR(VLOOKUP($D158,[1]SITES!$A:$E,3,FALSE)),"",VLOOKUP($D158,[1]SITES!$A:$E,3,FALSE))</f>
        <v/>
      </c>
      <c r="G158" s="16" t="str">
        <f>IF(ISERROR(VLOOKUP($D158,[1]SITES!$A:$E,4,FALSE)),"",VLOOKUP($D158,[1]SITES!$A:$E,4,FALSE))</f>
        <v/>
      </c>
      <c r="H158" s="26" t="str">
        <f t="shared" si="22"/>
        <v>DATE</v>
      </c>
      <c r="I158" s="12" t="str">
        <f t="shared" si="22"/>
        <v>VIS</v>
      </c>
      <c r="J158" s="12" t="str">
        <f t="shared" si="22"/>
        <v>DIRECTION</v>
      </c>
      <c r="K158" s="24" t="str">
        <f t="shared" si="22"/>
        <v>TIME</v>
      </c>
      <c r="L158" s="12" t="str">
        <f t="shared" si="22"/>
        <v>DEPTH</v>
      </c>
      <c r="M158" s="12" t="str">
        <f t="shared" si="22"/>
        <v>BLOCK</v>
      </c>
      <c r="O158" s="22"/>
      <c r="Q158" s="14"/>
      <c r="R158" s="25">
        <f t="shared" si="17"/>
        <v>0</v>
      </c>
      <c r="S158" s="12">
        <v>0</v>
      </c>
    </row>
    <row r="159" spans="1:19">
      <c r="A159" s="14">
        <f>MAX($A$1:$A158)+1</f>
        <v>157</v>
      </c>
      <c r="B159" s="12" t="str">
        <f t="shared" si="23"/>
        <v>DIVER NAME</v>
      </c>
      <c r="C159" s="12" t="str">
        <f t="shared" si="23"/>
        <v>BUDDY NAME</v>
      </c>
      <c r="D159" s="12">
        <f t="shared" si="23"/>
        <v>0</v>
      </c>
      <c r="E159" s="14" t="str">
        <f>IF(ISERROR(VLOOKUP($D159,[1]SITES!$A:$E,2,FALSE)),"",VLOOKUP($D159,[1]SITES!$A:$E,2,FALSE))</f>
        <v/>
      </c>
      <c r="F159" s="15" t="str">
        <f>IF(ISERROR(VLOOKUP($D159,[1]SITES!$A:$E,3,FALSE)),"",VLOOKUP($D159,[1]SITES!$A:$E,3,FALSE))</f>
        <v/>
      </c>
      <c r="G159" s="16" t="str">
        <f>IF(ISERROR(VLOOKUP($D159,[1]SITES!$A:$E,4,FALSE)),"",VLOOKUP($D159,[1]SITES!$A:$E,4,FALSE))</f>
        <v/>
      </c>
      <c r="H159" s="26" t="str">
        <f t="shared" si="22"/>
        <v>DATE</v>
      </c>
      <c r="I159" s="12" t="str">
        <f t="shared" si="22"/>
        <v>VIS</v>
      </c>
      <c r="J159" s="12" t="str">
        <f t="shared" si="22"/>
        <v>DIRECTION</v>
      </c>
      <c r="K159" s="24" t="str">
        <f t="shared" si="22"/>
        <v>TIME</v>
      </c>
      <c r="L159" s="12" t="str">
        <f t="shared" si="22"/>
        <v>DEPTH</v>
      </c>
      <c r="M159" s="12" t="str">
        <f t="shared" si="22"/>
        <v>BLOCK</v>
      </c>
      <c r="O159" s="22"/>
      <c r="Q159" s="14"/>
      <c r="R159" s="25">
        <f t="shared" si="17"/>
        <v>0</v>
      </c>
      <c r="S159" s="12">
        <v>0</v>
      </c>
    </row>
    <row r="160" spans="1:19">
      <c r="A160" s="14">
        <f>MAX($A$1:$A159)+1</f>
        <v>158</v>
      </c>
      <c r="B160" s="12" t="str">
        <f t="shared" si="23"/>
        <v>DIVER NAME</v>
      </c>
      <c r="C160" s="12" t="str">
        <f t="shared" si="23"/>
        <v>BUDDY NAME</v>
      </c>
      <c r="D160" s="12">
        <f t="shared" si="23"/>
        <v>0</v>
      </c>
      <c r="E160" s="14" t="str">
        <f>IF(ISERROR(VLOOKUP($D160,[1]SITES!$A:$E,2,FALSE)),"",VLOOKUP($D160,[1]SITES!$A:$E,2,FALSE))</f>
        <v/>
      </c>
      <c r="F160" s="15" t="str">
        <f>IF(ISERROR(VLOOKUP($D160,[1]SITES!$A:$E,3,FALSE)),"",VLOOKUP($D160,[1]SITES!$A:$E,3,FALSE))</f>
        <v/>
      </c>
      <c r="G160" s="16" t="str">
        <f>IF(ISERROR(VLOOKUP($D160,[1]SITES!$A:$E,4,FALSE)),"",VLOOKUP($D160,[1]SITES!$A:$E,4,FALSE))</f>
        <v/>
      </c>
      <c r="H160" s="26" t="str">
        <f t="shared" si="22"/>
        <v>DATE</v>
      </c>
      <c r="I160" s="12" t="str">
        <f t="shared" si="22"/>
        <v>VIS</v>
      </c>
      <c r="J160" s="12" t="str">
        <f t="shared" si="22"/>
        <v>DIRECTION</v>
      </c>
      <c r="K160" s="24" t="str">
        <f t="shared" si="22"/>
        <v>TIME</v>
      </c>
      <c r="L160" s="12" t="str">
        <f t="shared" si="22"/>
        <v>DEPTH</v>
      </c>
      <c r="M160" s="12" t="str">
        <f t="shared" si="22"/>
        <v>BLOCK</v>
      </c>
      <c r="O160" s="22"/>
      <c r="Q160" s="14"/>
      <c r="R160" s="25">
        <f t="shared" si="17"/>
        <v>0</v>
      </c>
      <c r="S160" s="12">
        <v>0</v>
      </c>
    </row>
    <row r="161" spans="1:19">
      <c r="A161" s="14">
        <f>MAX($A$1:$A160)+1</f>
        <v>159</v>
      </c>
      <c r="B161" s="12" t="str">
        <f t="shared" si="23"/>
        <v>DIVER NAME</v>
      </c>
      <c r="C161" s="12" t="str">
        <f t="shared" si="23"/>
        <v>BUDDY NAME</v>
      </c>
      <c r="D161" s="12">
        <f t="shared" si="23"/>
        <v>0</v>
      </c>
      <c r="E161" s="14" t="str">
        <f>IF(ISERROR(VLOOKUP($D161,[1]SITES!$A:$E,2,FALSE)),"",VLOOKUP($D161,[1]SITES!$A:$E,2,FALSE))</f>
        <v/>
      </c>
      <c r="F161" s="15" t="str">
        <f>IF(ISERROR(VLOOKUP($D161,[1]SITES!$A:$E,3,FALSE)),"",VLOOKUP($D161,[1]SITES!$A:$E,3,FALSE))</f>
        <v/>
      </c>
      <c r="G161" s="16" t="str">
        <f>IF(ISERROR(VLOOKUP($D161,[1]SITES!$A:$E,4,FALSE)),"",VLOOKUP($D161,[1]SITES!$A:$E,4,FALSE))</f>
        <v/>
      </c>
      <c r="H161" s="26" t="str">
        <f t="shared" si="22"/>
        <v>DATE</v>
      </c>
      <c r="I161" s="12" t="str">
        <f t="shared" si="22"/>
        <v>VIS</v>
      </c>
      <c r="J161" s="12" t="str">
        <f t="shared" si="22"/>
        <v>DIRECTION</v>
      </c>
      <c r="K161" s="24" t="str">
        <f t="shared" si="22"/>
        <v>TIME</v>
      </c>
      <c r="L161" s="12" t="str">
        <f t="shared" si="22"/>
        <v>DEPTH</v>
      </c>
      <c r="M161" s="12" t="str">
        <f t="shared" si="22"/>
        <v>BLOCK</v>
      </c>
      <c r="O161" s="22"/>
      <c r="Q161" s="14"/>
      <c r="R161" s="25">
        <f t="shared" si="17"/>
        <v>0</v>
      </c>
      <c r="S161" s="12">
        <v>0</v>
      </c>
    </row>
    <row r="162" spans="1:19">
      <c r="A162" s="14">
        <f>MAX($A$1:$A161)+1</f>
        <v>160</v>
      </c>
      <c r="B162" s="12" t="str">
        <f t="shared" si="23"/>
        <v>DIVER NAME</v>
      </c>
      <c r="C162" s="12" t="str">
        <f t="shared" si="23"/>
        <v>BUDDY NAME</v>
      </c>
      <c r="D162" s="12">
        <f t="shared" si="23"/>
        <v>0</v>
      </c>
      <c r="E162" s="14" t="str">
        <f>IF(ISERROR(VLOOKUP($D162,[1]SITES!$A:$E,2,FALSE)),"",VLOOKUP($D162,[1]SITES!$A:$E,2,FALSE))</f>
        <v/>
      </c>
      <c r="F162" s="15" t="str">
        <f>IF(ISERROR(VLOOKUP($D162,[1]SITES!$A:$E,3,FALSE)),"",VLOOKUP($D162,[1]SITES!$A:$E,3,FALSE))</f>
        <v/>
      </c>
      <c r="G162" s="16" t="str">
        <f>IF(ISERROR(VLOOKUP($D162,[1]SITES!$A:$E,4,FALSE)),"",VLOOKUP($D162,[1]SITES!$A:$E,4,FALSE))</f>
        <v/>
      </c>
      <c r="H162" s="26" t="str">
        <f t="shared" si="22"/>
        <v>DATE</v>
      </c>
      <c r="I162" s="12" t="str">
        <f t="shared" si="22"/>
        <v>VIS</v>
      </c>
      <c r="J162" s="12" t="str">
        <f t="shared" si="22"/>
        <v>DIRECTION</v>
      </c>
      <c r="K162" s="24" t="str">
        <f t="shared" si="22"/>
        <v>TIME</v>
      </c>
      <c r="L162" s="12" t="str">
        <f t="shared" si="22"/>
        <v>DEPTH</v>
      </c>
      <c r="M162" s="12" t="str">
        <f t="shared" si="22"/>
        <v>BLOCK</v>
      </c>
      <c r="O162" s="22"/>
      <c r="Q162" s="14"/>
      <c r="R162" s="25">
        <f t="shared" si="17"/>
        <v>0</v>
      </c>
      <c r="S162" s="12">
        <v>0</v>
      </c>
    </row>
    <row r="163" spans="1:19">
      <c r="A163" s="14">
        <f>MAX($A$1:$A162)+1</f>
        <v>161</v>
      </c>
      <c r="B163" s="12" t="str">
        <f t="shared" si="23"/>
        <v>DIVER NAME</v>
      </c>
      <c r="C163" s="12" t="str">
        <f t="shared" si="23"/>
        <v>BUDDY NAME</v>
      </c>
      <c r="D163" s="12">
        <f t="shared" si="23"/>
        <v>0</v>
      </c>
      <c r="E163" s="14" t="str">
        <f>IF(ISERROR(VLOOKUP($D163,[1]SITES!$A:$E,2,FALSE)),"",VLOOKUP($D163,[1]SITES!$A:$E,2,FALSE))</f>
        <v/>
      </c>
      <c r="F163" s="15" t="str">
        <f>IF(ISERROR(VLOOKUP($D163,[1]SITES!$A:$E,3,FALSE)),"",VLOOKUP($D163,[1]SITES!$A:$E,3,FALSE))</f>
        <v/>
      </c>
      <c r="G163" s="16" t="str">
        <f>IF(ISERROR(VLOOKUP($D163,[1]SITES!$A:$E,4,FALSE)),"",VLOOKUP($D163,[1]SITES!$A:$E,4,FALSE))</f>
        <v/>
      </c>
      <c r="H163" s="26" t="str">
        <f t="shared" si="22"/>
        <v>DATE</v>
      </c>
      <c r="I163" s="12" t="str">
        <f t="shared" si="22"/>
        <v>VIS</v>
      </c>
      <c r="J163" s="12" t="str">
        <f t="shared" si="22"/>
        <v>DIRECTION</v>
      </c>
      <c r="K163" s="24" t="str">
        <f t="shared" si="22"/>
        <v>TIME</v>
      </c>
      <c r="L163" s="12" t="str">
        <f t="shared" si="22"/>
        <v>DEPTH</v>
      </c>
      <c r="M163" s="12" t="str">
        <f t="shared" si="22"/>
        <v>BLOCK</v>
      </c>
      <c r="O163" s="22"/>
      <c r="Q163" s="14"/>
      <c r="R163" s="25">
        <f t="shared" si="17"/>
        <v>0</v>
      </c>
      <c r="S163" s="12">
        <v>0</v>
      </c>
    </row>
    <row r="164" spans="1:19">
      <c r="A164" s="14">
        <f>MAX($A$1:$A163)+1</f>
        <v>162</v>
      </c>
      <c r="B164" s="12" t="str">
        <f t="shared" si="23"/>
        <v>DIVER NAME</v>
      </c>
      <c r="C164" s="12" t="str">
        <f t="shared" si="23"/>
        <v>BUDDY NAME</v>
      </c>
      <c r="D164" s="12">
        <f t="shared" si="23"/>
        <v>0</v>
      </c>
      <c r="E164" s="14" t="str">
        <f>IF(ISERROR(VLOOKUP($D164,[1]SITES!$A:$E,2,FALSE)),"",VLOOKUP($D164,[1]SITES!$A:$E,2,FALSE))</f>
        <v/>
      </c>
      <c r="F164" s="15" t="str">
        <f>IF(ISERROR(VLOOKUP($D164,[1]SITES!$A:$E,3,FALSE)),"",VLOOKUP($D164,[1]SITES!$A:$E,3,FALSE))</f>
        <v/>
      </c>
      <c r="G164" s="16" t="str">
        <f>IF(ISERROR(VLOOKUP($D164,[1]SITES!$A:$E,4,FALSE)),"",VLOOKUP($D164,[1]SITES!$A:$E,4,FALSE))</f>
        <v/>
      </c>
      <c r="H164" s="26" t="str">
        <f t="shared" ref="H164:M179" si="24">IF(ISERROR(H163),IF(ISERROR(H162),IF(ISERROR(H161),"BLANK",H161),H162),H163)</f>
        <v>DATE</v>
      </c>
      <c r="I164" s="12" t="str">
        <f t="shared" si="24"/>
        <v>VIS</v>
      </c>
      <c r="J164" s="12" t="str">
        <f t="shared" si="24"/>
        <v>DIRECTION</v>
      </c>
      <c r="K164" s="24" t="str">
        <f t="shared" si="24"/>
        <v>TIME</v>
      </c>
      <c r="L164" s="12" t="str">
        <f t="shared" si="24"/>
        <v>DEPTH</v>
      </c>
      <c r="M164" s="12" t="str">
        <f t="shared" si="24"/>
        <v>BLOCK</v>
      </c>
      <c r="O164" s="22"/>
      <c r="Q164" s="14"/>
      <c r="R164" s="25">
        <f t="shared" si="17"/>
        <v>0</v>
      </c>
      <c r="S164" s="12">
        <v>0</v>
      </c>
    </row>
    <row r="165" spans="1:19">
      <c r="A165" s="14">
        <f>MAX($A$1:$A164)+1</f>
        <v>163</v>
      </c>
      <c r="B165" s="12" t="str">
        <f t="shared" ref="B165:D180" si="25">IF(ISERROR(B164),IF(ISERROR(B163),IF(ISERROR(B162),"BLANK",B162),B163),B164)</f>
        <v>DIVER NAME</v>
      </c>
      <c r="C165" s="12" t="str">
        <f t="shared" si="25"/>
        <v>BUDDY NAME</v>
      </c>
      <c r="D165" s="12">
        <f t="shared" si="25"/>
        <v>0</v>
      </c>
      <c r="E165" s="14" t="str">
        <f>IF(ISERROR(VLOOKUP($D165,[1]SITES!$A:$E,2,FALSE)),"",VLOOKUP($D165,[1]SITES!$A:$E,2,FALSE))</f>
        <v/>
      </c>
      <c r="F165" s="15" t="str">
        <f>IF(ISERROR(VLOOKUP($D165,[1]SITES!$A:$E,3,FALSE)),"",VLOOKUP($D165,[1]SITES!$A:$E,3,FALSE))</f>
        <v/>
      </c>
      <c r="G165" s="16" t="str">
        <f>IF(ISERROR(VLOOKUP($D165,[1]SITES!$A:$E,4,FALSE)),"",VLOOKUP($D165,[1]SITES!$A:$E,4,FALSE))</f>
        <v/>
      </c>
      <c r="H165" s="26" t="str">
        <f t="shared" si="24"/>
        <v>DATE</v>
      </c>
      <c r="I165" s="12" t="str">
        <f t="shared" si="24"/>
        <v>VIS</v>
      </c>
      <c r="J165" s="12" t="str">
        <f t="shared" si="24"/>
        <v>DIRECTION</v>
      </c>
      <c r="K165" s="24" t="str">
        <f t="shared" si="24"/>
        <v>TIME</v>
      </c>
      <c r="L165" s="12" t="str">
        <f t="shared" si="24"/>
        <v>DEPTH</v>
      </c>
      <c r="M165" s="12" t="str">
        <f t="shared" si="24"/>
        <v>BLOCK</v>
      </c>
      <c r="O165" s="22"/>
      <c r="Q165" s="14"/>
      <c r="R165" s="25">
        <f t="shared" ref="R165:R228" si="26">SUM(S165:AU165)</f>
        <v>0</v>
      </c>
      <c r="S165" s="12">
        <v>0</v>
      </c>
    </row>
    <row r="166" spans="1:19">
      <c r="A166" s="14">
        <f>MAX($A$1:$A165)+1</f>
        <v>164</v>
      </c>
      <c r="B166" s="12" t="str">
        <f t="shared" si="25"/>
        <v>DIVER NAME</v>
      </c>
      <c r="C166" s="12" t="str">
        <f t="shared" si="25"/>
        <v>BUDDY NAME</v>
      </c>
      <c r="D166" s="12">
        <f t="shared" si="25"/>
        <v>0</v>
      </c>
      <c r="E166" s="14" t="str">
        <f>IF(ISERROR(VLOOKUP($D166,[1]SITES!$A:$E,2,FALSE)),"",VLOOKUP($D166,[1]SITES!$A:$E,2,FALSE))</f>
        <v/>
      </c>
      <c r="F166" s="15" t="str">
        <f>IF(ISERROR(VLOOKUP($D166,[1]SITES!$A:$E,3,FALSE)),"",VLOOKUP($D166,[1]SITES!$A:$E,3,FALSE))</f>
        <v/>
      </c>
      <c r="G166" s="16" t="str">
        <f>IF(ISERROR(VLOOKUP($D166,[1]SITES!$A:$E,4,FALSE)),"",VLOOKUP($D166,[1]SITES!$A:$E,4,FALSE))</f>
        <v/>
      </c>
      <c r="H166" s="26" t="str">
        <f t="shared" si="24"/>
        <v>DATE</v>
      </c>
      <c r="I166" s="12" t="str">
        <f t="shared" si="24"/>
        <v>VIS</v>
      </c>
      <c r="J166" s="12" t="str">
        <f t="shared" si="24"/>
        <v>DIRECTION</v>
      </c>
      <c r="K166" s="24" t="str">
        <f t="shared" si="24"/>
        <v>TIME</v>
      </c>
      <c r="L166" s="12" t="str">
        <f t="shared" si="24"/>
        <v>DEPTH</v>
      </c>
      <c r="M166" s="12" t="str">
        <f t="shared" si="24"/>
        <v>BLOCK</v>
      </c>
      <c r="O166" s="22"/>
      <c r="Q166" s="14"/>
      <c r="R166" s="25">
        <f t="shared" si="26"/>
        <v>0</v>
      </c>
      <c r="S166" s="12">
        <v>0</v>
      </c>
    </row>
    <row r="167" spans="1:19">
      <c r="A167" s="14">
        <f>MAX($A$1:$A166)+1</f>
        <v>165</v>
      </c>
      <c r="B167" s="12" t="str">
        <f t="shared" si="25"/>
        <v>DIVER NAME</v>
      </c>
      <c r="C167" s="12" t="str">
        <f t="shared" si="25"/>
        <v>BUDDY NAME</v>
      </c>
      <c r="D167" s="12">
        <f t="shared" si="25"/>
        <v>0</v>
      </c>
      <c r="E167" s="14" t="str">
        <f>IF(ISERROR(VLOOKUP($D167,[1]SITES!$A:$E,2,FALSE)),"",VLOOKUP($D167,[1]SITES!$A:$E,2,FALSE))</f>
        <v/>
      </c>
      <c r="F167" s="15" t="str">
        <f>IF(ISERROR(VLOOKUP($D167,[1]SITES!$A:$E,3,FALSE)),"",VLOOKUP($D167,[1]SITES!$A:$E,3,FALSE))</f>
        <v/>
      </c>
      <c r="G167" s="16" t="str">
        <f>IF(ISERROR(VLOOKUP($D167,[1]SITES!$A:$E,4,FALSE)),"",VLOOKUP($D167,[1]SITES!$A:$E,4,FALSE))</f>
        <v/>
      </c>
      <c r="H167" s="26" t="str">
        <f t="shared" si="24"/>
        <v>DATE</v>
      </c>
      <c r="I167" s="12" t="str">
        <f t="shared" si="24"/>
        <v>VIS</v>
      </c>
      <c r="J167" s="12" t="str">
        <f t="shared" si="24"/>
        <v>DIRECTION</v>
      </c>
      <c r="K167" s="24" t="str">
        <f t="shared" si="24"/>
        <v>TIME</v>
      </c>
      <c r="L167" s="12" t="str">
        <f t="shared" si="24"/>
        <v>DEPTH</v>
      </c>
      <c r="M167" s="12" t="str">
        <f t="shared" si="24"/>
        <v>BLOCK</v>
      </c>
      <c r="O167" s="22"/>
      <c r="Q167" s="14"/>
      <c r="R167" s="25">
        <f t="shared" si="26"/>
        <v>0</v>
      </c>
      <c r="S167" s="12">
        <v>0</v>
      </c>
    </row>
    <row r="168" spans="1:19">
      <c r="A168" s="14">
        <f>MAX($A$1:$A167)+1</f>
        <v>166</v>
      </c>
      <c r="B168" s="12" t="str">
        <f t="shared" si="25"/>
        <v>DIVER NAME</v>
      </c>
      <c r="C168" s="12" t="str">
        <f t="shared" si="25"/>
        <v>BUDDY NAME</v>
      </c>
      <c r="D168" s="12">
        <f t="shared" si="25"/>
        <v>0</v>
      </c>
      <c r="E168" s="14" t="str">
        <f>IF(ISERROR(VLOOKUP($D168,[1]SITES!$A:$E,2,FALSE)),"",VLOOKUP($D168,[1]SITES!$A:$E,2,FALSE))</f>
        <v/>
      </c>
      <c r="F168" s="15" t="str">
        <f>IF(ISERROR(VLOOKUP($D168,[1]SITES!$A:$E,3,FALSE)),"",VLOOKUP($D168,[1]SITES!$A:$E,3,FALSE))</f>
        <v/>
      </c>
      <c r="G168" s="16" t="str">
        <f>IF(ISERROR(VLOOKUP($D168,[1]SITES!$A:$E,4,FALSE)),"",VLOOKUP($D168,[1]SITES!$A:$E,4,FALSE))</f>
        <v/>
      </c>
      <c r="H168" s="26" t="str">
        <f t="shared" si="24"/>
        <v>DATE</v>
      </c>
      <c r="I168" s="12" t="str">
        <f t="shared" si="24"/>
        <v>VIS</v>
      </c>
      <c r="J168" s="12" t="str">
        <f t="shared" si="24"/>
        <v>DIRECTION</v>
      </c>
      <c r="K168" s="24" t="str">
        <f t="shared" si="24"/>
        <v>TIME</v>
      </c>
      <c r="L168" s="12" t="str">
        <f t="shared" si="24"/>
        <v>DEPTH</v>
      </c>
      <c r="M168" s="12" t="str">
        <f t="shared" si="24"/>
        <v>BLOCK</v>
      </c>
      <c r="O168" s="22"/>
      <c r="Q168" s="14"/>
      <c r="R168" s="25">
        <f t="shared" si="26"/>
        <v>0</v>
      </c>
      <c r="S168" s="12">
        <v>0</v>
      </c>
    </row>
    <row r="169" spans="1:19">
      <c r="A169" s="14">
        <f>MAX($A$1:$A168)+1</f>
        <v>167</v>
      </c>
      <c r="B169" s="12" t="str">
        <f t="shared" si="25"/>
        <v>DIVER NAME</v>
      </c>
      <c r="C169" s="12" t="str">
        <f t="shared" si="25"/>
        <v>BUDDY NAME</v>
      </c>
      <c r="D169" s="12">
        <f t="shared" si="25"/>
        <v>0</v>
      </c>
      <c r="E169" s="14" t="str">
        <f>IF(ISERROR(VLOOKUP($D169,[1]SITES!$A:$E,2,FALSE)),"",VLOOKUP($D169,[1]SITES!$A:$E,2,FALSE))</f>
        <v/>
      </c>
      <c r="F169" s="15" t="str">
        <f>IF(ISERROR(VLOOKUP($D169,[1]SITES!$A:$E,3,FALSE)),"",VLOOKUP($D169,[1]SITES!$A:$E,3,FALSE))</f>
        <v/>
      </c>
      <c r="G169" s="16" t="str">
        <f>IF(ISERROR(VLOOKUP($D169,[1]SITES!$A:$E,4,FALSE)),"",VLOOKUP($D169,[1]SITES!$A:$E,4,FALSE))</f>
        <v/>
      </c>
      <c r="H169" s="26" t="str">
        <f t="shared" si="24"/>
        <v>DATE</v>
      </c>
      <c r="I169" s="12" t="str">
        <f t="shared" si="24"/>
        <v>VIS</v>
      </c>
      <c r="J169" s="12" t="str">
        <f t="shared" si="24"/>
        <v>DIRECTION</v>
      </c>
      <c r="K169" s="24" t="str">
        <f t="shared" si="24"/>
        <v>TIME</v>
      </c>
      <c r="L169" s="12" t="str">
        <f t="shared" si="24"/>
        <v>DEPTH</v>
      </c>
      <c r="M169" s="12" t="str">
        <f t="shared" si="24"/>
        <v>BLOCK</v>
      </c>
      <c r="O169" s="22"/>
      <c r="Q169" s="14"/>
      <c r="R169" s="25">
        <f t="shared" si="26"/>
        <v>0</v>
      </c>
      <c r="S169" s="12">
        <v>0</v>
      </c>
    </row>
    <row r="170" spans="1:19">
      <c r="A170" s="14">
        <f>MAX($A$1:$A169)+1</f>
        <v>168</v>
      </c>
      <c r="B170" s="12" t="str">
        <f t="shared" si="25"/>
        <v>DIVER NAME</v>
      </c>
      <c r="C170" s="12" t="str">
        <f t="shared" si="25"/>
        <v>BUDDY NAME</v>
      </c>
      <c r="D170" s="12">
        <f t="shared" si="25"/>
        <v>0</v>
      </c>
      <c r="E170" s="14" t="str">
        <f>IF(ISERROR(VLOOKUP($D170,[1]SITES!$A:$E,2,FALSE)),"",VLOOKUP($D170,[1]SITES!$A:$E,2,FALSE))</f>
        <v/>
      </c>
      <c r="F170" s="15" t="str">
        <f>IF(ISERROR(VLOOKUP($D170,[1]SITES!$A:$E,3,FALSE)),"",VLOOKUP($D170,[1]SITES!$A:$E,3,FALSE))</f>
        <v/>
      </c>
      <c r="G170" s="16" t="str">
        <f>IF(ISERROR(VLOOKUP($D170,[1]SITES!$A:$E,4,FALSE)),"",VLOOKUP($D170,[1]SITES!$A:$E,4,FALSE))</f>
        <v/>
      </c>
      <c r="H170" s="26" t="str">
        <f t="shared" si="24"/>
        <v>DATE</v>
      </c>
      <c r="I170" s="12" t="str">
        <f t="shared" si="24"/>
        <v>VIS</v>
      </c>
      <c r="J170" s="12" t="str">
        <f t="shared" si="24"/>
        <v>DIRECTION</v>
      </c>
      <c r="K170" s="24" t="str">
        <f t="shared" si="24"/>
        <v>TIME</v>
      </c>
      <c r="L170" s="12" t="str">
        <f t="shared" si="24"/>
        <v>DEPTH</v>
      </c>
      <c r="M170" s="12" t="str">
        <f t="shared" si="24"/>
        <v>BLOCK</v>
      </c>
      <c r="O170" s="22"/>
      <c r="Q170" s="14"/>
      <c r="R170" s="25">
        <f t="shared" si="26"/>
        <v>0</v>
      </c>
      <c r="S170" s="12">
        <v>0</v>
      </c>
    </row>
    <row r="171" spans="1:19">
      <c r="A171" s="14">
        <f>MAX($A$1:$A170)+1</f>
        <v>169</v>
      </c>
      <c r="B171" s="12" t="str">
        <f t="shared" si="25"/>
        <v>DIVER NAME</v>
      </c>
      <c r="C171" s="12" t="str">
        <f t="shared" si="25"/>
        <v>BUDDY NAME</v>
      </c>
      <c r="D171" s="12">
        <f t="shared" si="25"/>
        <v>0</v>
      </c>
      <c r="E171" s="14" t="str">
        <f>IF(ISERROR(VLOOKUP($D171,[1]SITES!$A:$E,2,FALSE)),"",VLOOKUP($D171,[1]SITES!$A:$E,2,FALSE))</f>
        <v/>
      </c>
      <c r="F171" s="15" t="str">
        <f>IF(ISERROR(VLOOKUP($D171,[1]SITES!$A:$E,3,FALSE)),"",VLOOKUP($D171,[1]SITES!$A:$E,3,FALSE))</f>
        <v/>
      </c>
      <c r="G171" s="16" t="str">
        <f>IF(ISERROR(VLOOKUP($D171,[1]SITES!$A:$E,4,FALSE)),"",VLOOKUP($D171,[1]SITES!$A:$E,4,FALSE))</f>
        <v/>
      </c>
      <c r="H171" s="26" t="str">
        <f t="shared" si="24"/>
        <v>DATE</v>
      </c>
      <c r="I171" s="12" t="str">
        <f t="shared" si="24"/>
        <v>VIS</v>
      </c>
      <c r="J171" s="12" t="str">
        <f t="shared" si="24"/>
        <v>DIRECTION</v>
      </c>
      <c r="K171" s="24" t="str">
        <f t="shared" si="24"/>
        <v>TIME</v>
      </c>
      <c r="L171" s="12" t="str">
        <f t="shared" si="24"/>
        <v>DEPTH</v>
      </c>
      <c r="M171" s="12" t="str">
        <f t="shared" si="24"/>
        <v>BLOCK</v>
      </c>
      <c r="O171" s="22"/>
      <c r="Q171" s="14"/>
      <c r="R171" s="25">
        <f t="shared" si="26"/>
        <v>0</v>
      </c>
      <c r="S171" s="12">
        <v>0</v>
      </c>
    </row>
    <row r="172" spans="1:19">
      <c r="A172" s="14">
        <f>MAX($A$1:$A171)+1</f>
        <v>170</v>
      </c>
      <c r="B172" s="12" t="str">
        <f t="shared" si="25"/>
        <v>DIVER NAME</v>
      </c>
      <c r="C172" s="12" t="str">
        <f t="shared" si="25"/>
        <v>BUDDY NAME</v>
      </c>
      <c r="D172" s="12">
        <f t="shared" si="25"/>
        <v>0</v>
      </c>
      <c r="E172" s="14" t="str">
        <f>IF(ISERROR(VLOOKUP($D172,[1]SITES!$A:$E,2,FALSE)),"",VLOOKUP($D172,[1]SITES!$A:$E,2,FALSE))</f>
        <v/>
      </c>
      <c r="F172" s="15" t="str">
        <f>IF(ISERROR(VLOOKUP($D172,[1]SITES!$A:$E,3,FALSE)),"",VLOOKUP($D172,[1]SITES!$A:$E,3,FALSE))</f>
        <v/>
      </c>
      <c r="G172" s="16" t="str">
        <f>IF(ISERROR(VLOOKUP($D172,[1]SITES!$A:$E,4,FALSE)),"",VLOOKUP($D172,[1]SITES!$A:$E,4,FALSE))</f>
        <v/>
      </c>
      <c r="H172" s="26" t="str">
        <f t="shared" si="24"/>
        <v>DATE</v>
      </c>
      <c r="I172" s="12" t="str">
        <f t="shared" si="24"/>
        <v>VIS</v>
      </c>
      <c r="J172" s="12" t="str">
        <f t="shared" si="24"/>
        <v>DIRECTION</v>
      </c>
      <c r="K172" s="24" t="str">
        <f t="shared" si="24"/>
        <v>TIME</v>
      </c>
      <c r="L172" s="12" t="str">
        <f t="shared" si="24"/>
        <v>DEPTH</v>
      </c>
      <c r="M172" s="12" t="str">
        <f t="shared" si="24"/>
        <v>BLOCK</v>
      </c>
      <c r="O172" s="22"/>
      <c r="Q172" s="14"/>
      <c r="R172" s="25">
        <f t="shared" si="26"/>
        <v>0</v>
      </c>
      <c r="S172" s="12">
        <v>0</v>
      </c>
    </row>
    <row r="173" spans="1:19">
      <c r="A173" s="14">
        <f>MAX($A$1:$A172)+1</f>
        <v>171</v>
      </c>
      <c r="B173" s="12" t="str">
        <f t="shared" si="25"/>
        <v>DIVER NAME</v>
      </c>
      <c r="C173" s="12" t="str">
        <f t="shared" si="25"/>
        <v>BUDDY NAME</v>
      </c>
      <c r="D173" s="12">
        <f t="shared" si="25"/>
        <v>0</v>
      </c>
      <c r="E173" s="14" t="str">
        <f>IF(ISERROR(VLOOKUP($D173,[1]SITES!$A:$E,2,FALSE)),"",VLOOKUP($D173,[1]SITES!$A:$E,2,FALSE))</f>
        <v/>
      </c>
      <c r="F173" s="15" t="str">
        <f>IF(ISERROR(VLOOKUP($D173,[1]SITES!$A:$E,3,FALSE)),"",VLOOKUP($D173,[1]SITES!$A:$E,3,FALSE))</f>
        <v/>
      </c>
      <c r="G173" s="16" t="str">
        <f>IF(ISERROR(VLOOKUP($D173,[1]SITES!$A:$E,4,FALSE)),"",VLOOKUP($D173,[1]SITES!$A:$E,4,FALSE))</f>
        <v/>
      </c>
      <c r="H173" s="26" t="str">
        <f t="shared" si="24"/>
        <v>DATE</v>
      </c>
      <c r="I173" s="12" t="str">
        <f t="shared" si="24"/>
        <v>VIS</v>
      </c>
      <c r="J173" s="12" t="str">
        <f t="shared" si="24"/>
        <v>DIRECTION</v>
      </c>
      <c r="K173" s="24" t="str">
        <f t="shared" si="24"/>
        <v>TIME</v>
      </c>
      <c r="L173" s="12" t="str">
        <f t="shared" si="24"/>
        <v>DEPTH</v>
      </c>
      <c r="M173" s="12" t="str">
        <f t="shared" si="24"/>
        <v>BLOCK</v>
      </c>
      <c r="O173" s="22"/>
      <c r="Q173" s="14"/>
      <c r="R173" s="25">
        <f t="shared" si="26"/>
        <v>0</v>
      </c>
      <c r="S173" s="12">
        <v>0</v>
      </c>
    </row>
    <row r="174" spans="1:19">
      <c r="A174" s="14">
        <f>MAX($A$1:$A173)+1</f>
        <v>172</v>
      </c>
      <c r="B174" s="12" t="str">
        <f t="shared" si="25"/>
        <v>DIVER NAME</v>
      </c>
      <c r="C174" s="12" t="str">
        <f t="shared" si="25"/>
        <v>BUDDY NAME</v>
      </c>
      <c r="D174" s="12">
        <f t="shared" si="25"/>
        <v>0</v>
      </c>
      <c r="E174" s="14" t="str">
        <f>IF(ISERROR(VLOOKUP($D174,[1]SITES!$A:$E,2,FALSE)),"",VLOOKUP($D174,[1]SITES!$A:$E,2,FALSE))</f>
        <v/>
      </c>
      <c r="F174" s="15" t="str">
        <f>IF(ISERROR(VLOOKUP($D174,[1]SITES!$A:$E,3,FALSE)),"",VLOOKUP($D174,[1]SITES!$A:$E,3,FALSE))</f>
        <v/>
      </c>
      <c r="G174" s="16" t="str">
        <f>IF(ISERROR(VLOOKUP($D174,[1]SITES!$A:$E,4,FALSE)),"",VLOOKUP($D174,[1]SITES!$A:$E,4,FALSE))</f>
        <v/>
      </c>
      <c r="H174" s="26" t="str">
        <f t="shared" si="24"/>
        <v>DATE</v>
      </c>
      <c r="I174" s="12" t="str">
        <f t="shared" si="24"/>
        <v>VIS</v>
      </c>
      <c r="J174" s="12" t="str">
        <f t="shared" si="24"/>
        <v>DIRECTION</v>
      </c>
      <c r="K174" s="24" t="str">
        <f t="shared" si="24"/>
        <v>TIME</v>
      </c>
      <c r="L174" s="12" t="str">
        <f t="shared" si="24"/>
        <v>DEPTH</v>
      </c>
      <c r="M174" s="12" t="str">
        <f t="shared" si="24"/>
        <v>BLOCK</v>
      </c>
      <c r="O174" s="22"/>
      <c r="Q174" s="14"/>
      <c r="R174" s="25">
        <f t="shared" si="26"/>
        <v>0</v>
      </c>
      <c r="S174" s="12">
        <v>0</v>
      </c>
    </row>
    <row r="175" spans="1:19">
      <c r="A175" s="14">
        <f>MAX($A$1:$A174)+1</f>
        <v>173</v>
      </c>
      <c r="B175" s="12" t="str">
        <f t="shared" si="25"/>
        <v>DIVER NAME</v>
      </c>
      <c r="C175" s="12" t="str">
        <f t="shared" si="25"/>
        <v>BUDDY NAME</v>
      </c>
      <c r="D175" s="12">
        <f t="shared" si="25"/>
        <v>0</v>
      </c>
      <c r="E175" s="14" t="str">
        <f>IF(ISERROR(VLOOKUP($D175,[1]SITES!$A:$E,2,FALSE)),"",VLOOKUP($D175,[1]SITES!$A:$E,2,FALSE))</f>
        <v/>
      </c>
      <c r="F175" s="15" t="str">
        <f>IF(ISERROR(VLOOKUP($D175,[1]SITES!$A:$E,3,FALSE)),"",VLOOKUP($D175,[1]SITES!$A:$E,3,FALSE))</f>
        <v/>
      </c>
      <c r="G175" s="16" t="str">
        <f>IF(ISERROR(VLOOKUP($D175,[1]SITES!$A:$E,4,FALSE)),"",VLOOKUP($D175,[1]SITES!$A:$E,4,FALSE))</f>
        <v/>
      </c>
      <c r="H175" s="26" t="str">
        <f t="shared" si="24"/>
        <v>DATE</v>
      </c>
      <c r="I175" s="12" t="str">
        <f t="shared" si="24"/>
        <v>VIS</v>
      </c>
      <c r="J175" s="12" t="str">
        <f t="shared" si="24"/>
        <v>DIRECTION</v>
      </c>
      <c r="K175" s="24" t="str">
        <f t="shared" si="24"/>
        <v>TIME</v>
      </c>
      <c r="L175" s="12" t="str">
        <f t="shared" si="24"/>
        <v>DEPTH</v>
      </c>
      <c r="M175" s="12" t="str">
        <f t="shared" si="24"/>
        <v>BLOCK</v>
      </c>
      <c r="O175" s="22"/>
      <c r="Q175" s="14"/>
      <c r="R175" s="25">
        <f t="shared" si="26"/>
        <v>0</v>
      </c>
      <c r="S175" s="12">
        <v>0</v>
      </c>
    </row>
    <row r="176" spans="1:19">
      <c r="A176" s="14">
        <f>MAX($A$1:$A175)+1</f>
        <v>174</v>
      </c>
      <c r="B176" s="12" t="str">
        <f t="shared" si="25"/>
        <v>DIVER NAME</v>
      </c>
      <c r="C176" s="12" t="str">
        <f t="shared" si="25"/>
        <v>BUDDY NAME</v>
      </c>
      <c r="D176" s="12">
        <f t="shared" si="25"/>
        <v>0</v>
      </c>
      <c r="E176" s="14" t="str">
        <f>IF(ISERROR(VLOOKUP($D176,[1]SITES!$A:$E,2,FALSE)),"",VLOOKUP($D176,[1]SITES!$A:$E,2,FALSE))</f>
        <v/>
      </c>
      <c r="F176" s="15" t="str">
        <f>IF(ISERROR(VLOOKUP($D176,[1]SITES!$A:$E,3,FALSE)),"",VLOOKUP($D176,[1]SITES!$A:$E,3,FALSE))</f>
        <v/>
      </c>
      <c r="G176" s="16" t="str">
        <f>IF(ISERROR(VLOOKUP($D176,[1]SITES!$A:$E,4,FALSE)),"",VLOOKUP($D176,[1]SITES!$A:$E,4,FALSE))</f>
        <v/>
      </c>
      <c r="H176" s="26" t="str">
        <f t="shared" si="24"/>
        <v>DATE</v>
      </c>
      <c r="I176" s="12" t="str">
        <f t="shared" si="24"/>
        <v>VIS</v>
      </c>
      <c r="J176" s="12" t="str">
        <f t="shared" si="24"/>
        <v>DIRECTION</v>
      </c>
      <c r="K176" s="24" t="str">
        <f t="shared" si="24"/>
        <v>TIME</v>
      </c>
      <c r="L176" s="12" t="str">
        <f t="shared" si="24"/>
        <v>DEPTH</v>
      </c>
      <c r="M176" s="12" t="str">
        <f t="shared" si="24"/>
        <v>BLOCK</v>
      </c>
      <c r="O176" s="22"/>
      <c r="Q176" s="14"/>
      <c r="R176" s="25">
        <f t="shared" si="26"/>
        <v>0</v>
      </c>
      <c r="S176" s="12">
        <v>0</v>
      </c>
    </row>
    <row r="177" spans="1:19">
      <c r="A177" s="14">
        <f>MAX($A$1:$A176)+1</f>
        <v>175</v>
      </c>
      <c r="B177" s="12" t="str">
        <f t="shared" si="25"/>
        <v>DIVER NAME</v>
      </c>
      <c r="C177" s="12" t="str">
        <f t="shared" si="25"/>
        <v>BUDDY NAME</v>
      </c>
      <c r="D177" s="12">
        <f t="shared" si="25"/>
        <v>0</v>
      </c>
      <c r="E177" s="14" t="str">
        <f>IF(ISERROR(VLOOKUP($D177,[1]SITES!$A:$E,2,FALSE)),"",VLOOKUP($D177,[1]SITES!$A:$E,2,FALSE))</f>
        <v/>
      </c>
      <c r="F177" s="15" t="str">
        <f>IF(ISERROR(VLOOKUP($D177,[1]SITES!$A:$E,3,FALSE)),"",VLOOKUP($D177,[1]SITES!$A:$E,3,FALSE))</f>
        <v/>
      </c>
      <c r="G177" s="16" t="str">
        <f>IF(ISERROR(VLOOKUP($D177,[1]SITES!$A:$E,4,FALSE)),"",VLOOKUP($D177,[1]SITES!$A:$E,4,FALSE))</f>
        <v/>
      </c>
      <c r="H177" s="26" t="str">
        <f t="shared" si="24"/>
        <v>DATE</v>
      </c>
      <c r="I177" s="12" t="str">
        <f t="shared" si="24"/>
        <v>VIS</v>
      </c>
      <c r="J177" s="12" t="str">
        <f t="shared" si="24"/>
        <v>DIRECTION</v>
      </c>
      <c r="K177" s="24" t="str">
        <f t="shared" si="24"/>
        <v>TIME</v>
      </c>
      <c r="L177" s="12" t="str">
        <f t="shared" si="24"/>
        <v>DEPTH</v>
      </c>
      <c r="M177" s="12" t="str">
        <f t="shared" si="24"/>
        <v>BLOCK</v>
      </c>
      <c r="O177" s="22"/>
      <c r="Q177" s="14"/>
      <c r="R177" s="25">
        <f t="shared" si="26"/>
        <v>0</v>
      </c>
      <c r="S177" s="12">
        <v>0</v>
      </c>
    </row>
    <row r="178" spans="1:19">
      <c r="A178" s="14">
        <f>MAX($A$1:$A177)+1</f>
        <v>176</v>
      </c>
      <c r="B178" s="12" t="str">
        <f t="shared" si="25"/>
        <v>DIVER NAME</v>
      </c>
      <c r="C178" s="12" t="str">
        <f t="shared" si="25"/>
        <v>BUDDY NAME</v>
      </c>
      <c r="D178" s="12">
        <f t="shared" si="25"/>
        <v>0</v>
      </c>
      <c r="E178" s="14" t="str">
        <f>IF(ISERROR(VLOOKUP($D178,[1]SITES!$A:$E,2,FALSE)),"",VLOOKUP($D178,[1]SITES!$A:$E,2,FALSE))</f>
        <v/>
      </c>
      <c r="F178" s="15" t="str">
        <f>IF(ISERROR(VLOOKUP($D178,[1]SITES!$A:$E,3,FALSE)),"",VLOOKUP($D178,[1]SITES!$A:$E,3,FALSE))</f>
        <v/>
      </c>
      <c r="G178" s="16" t="str">
        <f>IF(ISERROR(VLOOKUP($D178,[1]SITES!$A:$E,4,FALSE)),"",VLOOKUP($D178,[1]SITES!$A:$E,4,FALSE))</f>
        <v/>
      </c>
      <c r="H178" s="26" t="str">
        <f t="shared" si="24"/>
        <v>DATE</v>
      </c>
      <c r="I178" s="12" t="str">
        <f t="shared" si="24"/>
        <v>VIS</v>
      </c>
      <c r="J178" s="12" t="str">
        <f t="shared" si="24"/>
        <v>DIRECTION</v>
      </c>
      <c r="K178" s="24" t="str">
        <f t="shared" si="24"/>
        <v>TIME</v>
      </c>
      <c r="L178" s="12" t="str">
        <f t="shared" si="24"/>
        <v>DEPTH</v>
      </c>
      <c r="M178" s="12" t="str">
        <f t="shared" si="24"/>
        <v>BLOCK</v>
      </c>
      <c r="O178" s="22"/>
      <c r="Q178" s="14"/>
      <c r="R178" s="25">
        <f t="shared" si="26"/>
        <v>0</v>
      </c>
      <c r="S178" s="12">
        <v>0</v>
      </c>
    </row>
    <row r="179" spans="1:19">
      <c r="A179" s="14">
        <f>MAX($A$1:$A178)+1</f>
        <v>177</v>
      </c>
      <c r="B179" s="12" t="str">
        <f t="shared" si="25"/>
        <v>DIVER NAME</v>
      </c>
      <c r="C179" s="12" t="str">
        <f t="shared" si="25"/>
        <v>BUDDY NAME</v>
      </c>
      <c r="D179" s="12">
        <f t="shared" si="25"/>
        <v>0</v>
      </c>
      <c r="E179" s="14" t="str">
        <f>IF(ISERROR(VLOOKUP($D179,[1]SITES!$A:$E,2,FALSE)),"",VLOOKUP($D179,[1]SITES!$A:$E,2,FALSE))</f>
        <v/>
      </c>
      <c r="F179" s="15" t="str">
        <f>IF(ISERROR(VLOOKUP($D179,[1]SITES!$A:$E,3,FALSE)),"",VLOOKUP($D179,[1]SITES!$A:$E,3,FALSE))</f>
        <v/>
      </c>
      <c r="G179" s="16" t="str">
        <f>IF(ISERROR(VLOOKUP($D179,[1]SITES!$A:$E,4,FALSE)),"",VLOOKUP($D179,[1]SITES!$A:$E,4,FALSE))</f>
        <v/>
      </c>
      <c r="H179" s="26" t="str">
        <f t="shared" si="24"/>
        <v>DATE</v>
      </c>
      <c r="I179" s="12" t="str">
        <f t="shared" si="24"/>
        <v>VIS</v>
      </c>
      <c r="J179" s="12" t="str">
        <f t="shared" si="24"/>
        <v>DIRECTION</v>
      </c>
      <c r="K179" s="24" t="str">
        <f t="shared" si="24"/>
        <v>TIME</v>
      </c>
      <c r="L179" s="12" t="str">
        <f t="shared" si="24"/>
        <v>DEPTH</v>
      </c>
      <c r="M179" s="12" t="str">
        <f t="shared" si="24"/>
        <v>BLOCK</v>
      </c>
      <c r="O179" s="22"/>
      <c r="Q179" s="14"/>
      <c r="R179" s="25">
        <f t="shared" si="26"/>
        <v>0</v>
      </c>
      <c r="S179" s="12">
        <v>0</v>
      </c>
    </row>
    <row r="180" spans="1:19">
      <c r="A180" s="14">
        <f>MAX($A$1:$A179)+1</f>
        <v>178</v>
      </c>
      <c r="B180" s="12" t="str">
        <f t="shared" si="25"/>
        <v>DIVER NAME</v>
      </c>
      <c r="C180" s="12" t="str">
        <f t="shared" si="25"/>
        <v>BUDDY NAME</v>
      </c>
      <c r="D180" s="12">
        <f t="shared" si="25"/>
        <v>0</v>
      </c>
      <c r="E180" s="14" t="str">
        <f>IF(ISERROR(VLOOKUP($D180,[1]SITES!$A:$E,2,FALSE)),"",VLOOKUP($D180,[1]SITES!$A:$E,2,FALSE))</f>
        <v/>
      </c>
      <c r="F180" s="15" t="str">
        <f>IF(ISERROR(VLOOKUP($D180,[1]SITES!$A:$E,3,FALSE)),"",VLOOKUP($D180,[1]SITES!$A:$E,3,FALSE))</f>
        <v/>
      </c>
      <c r="G180" s="16" t="str">
        <f>IF(ISERROR(VLOOKUP($D180,[1]SITES!$A:$E,4,FALSE)),"",VLOOKUP($D180,[1]SITES!$A:$E,4,FALSE))</f>
        <v/>
      </c>
      <c r="H180" s="26" t="str">
        <f t="shared" ref="H180:M195" si="27">IF(ISERROR(H179),IF(ISERROR(H178),IF(ISERROR(H177),"BLANK",H177),H178),H179)</f>
        <v>DATE</v>
      </c>
      <c r="I180" s="12" t="str">
        <f t="shared" si="27"/>
        <v>VIS</v>
      </c>
      <c r="J180" s="12" t="str">
        <f t="shared" si="27"/>
        <v>DIRECTION</v>
      </c>
      <c r="K180" s="24" t="str">
        <f t="shared" si="27"/>
        <v>TIME</v>
      </c>
      <c r="L180" s="12" t="str">
        <f t="shared" si="27"/>
        <v>DEPTH</v>
      </c>
      <c r="M180" s="12" t="str">
        <f t="shared" si="27"/>
        <v>BLOCK</v>
      </c>
      <c r="O180" s="22"/>
      <c r="Q180" s="14"/>
      <c r="R180" s="25">
        <f t="shared" si="26"/>
        <v>0</v>
      </c>
      <c r="S180" s="12">
        <v>0</v>
      </c>
    </row>
    <row r="181" spans="1:19">
      <c r="A181" s="14">
        <f>MAX($A$1:$A180)+1</f>
        <v>179</v>
      </c>
      <c r="B181" s="12" t="str">
        <f t="shared" ref="B181:D196" si="28">IF(ISERROR(B180),IF(ISERROR(B179),IF(ISERROR(B178),"BLANK",B178),B179),B180)</f>
        <v>DIVER NAME</v>
      </c>
      <c r="C181" s="12" t="str">
        <f t="shared" si="28"/>
        <v>BUDDY NAME</v>
      </c>
      <c r="D181" s="12">
        <f t="shared" si="28"/>
        <v>0</v>
      </c>
      <c r="E181" s="14" t="str">
        <f>IF(ISERROR(VLOOKUP($D181,[1]SITES!$A:$E,2,FALSE)),"",VLOOKUP($D181,[1]SITES!$A:$E,2,FALSE))</f>
        <v/>
      </c>
      <c r="F181" s="15" t="str">
        <f>IF(ISERROR(VLOOKUP($D181,[1]SITES!$A:$E,3,FALSE)),"",VLOOKUP($D181,[1]SITES!$A:$E,3,FALSE))</f>
        <v/>
      </c>
      <c r="G181" s="16" t="str">
        <f>IF(ISERROR(VLOOKUP($D181,[1]SITES!$A:$E,4,FALSE)),"",VLOOKUP($D181,[1]SITES!$A:$E,4,FALSE))</f>
        <v/>
      </c>
      <c r="H181" s="26" t="str">
        <f t="shared" si="27"/>
        <v>DATE</v>
      </c>
      <c r="I181" s="12" t="str">
        <f t="shared" si="27"/>
        <v>VIS</v>
      </c>
      <c r="J181" s="12" t="str">
        <f t="shared" si="27"/>
        <v>DIRECTION</v>
      </c>
      <c r="K181" s="24" t="str">
        <f t="shared" si="27"/>
        <v>TIME</v>
      </c>
      <c r="L181" s="12" t="str">
        <f t="shared" si="27"/>
        <v>DEPTH</v>
      </c>
      <c r="M181" s="12" t="str">
        <f t="shared" si="27"/>
        <v>BLOCK</v>
      </c>
      <c r="O181" s="22"/>
      <c r="Q181" s="14"/>
      <c r="R181" s="25">
        <f t="shared" si="26"/>
        <v>0</v>
      </c>
      <c r="S181" s="12">
        <v>0</v>
      </c>
    </row>
    <row r="182" spans="1:19">
      <c r="A182" s="14">
        <f>MAX($A$1:$A181)+1</f>
        <v>180</v>
      </c>
      <c r="B182" s="12" t="str">
        <f t="shared" si="28"/>
        <v>DIVER NAME</v>
      </c>
      <c r="C182" s="12" t="str">
        <f t="shared" si="28"/>
        <v>BUDDY NAME</v>
      </c>
      <c r="D182" s="12">
        <f t="shared" si="28"/>
        <v>0</v>
      </c>
      <c r="E182" s="14" t="str">
        <f>IF(ISERROR(VLOOKUP($D182,[1]SITES!$A:$E,2,FALSE)),"",VLOOKUP($D182,[1]SITES!$A:$E,2,FALSE))</f>
        <v/>
      </c>
      <c r="F182" s="15" t="str">
        <f>IF(ISERROR(VLOOKUP($D182,[1]SITES!$A:$E,3,FALSE)),"",VLOOKUP($D182,[1]SITES!$A:$E,3,FALSE))</f>
        <v/>
      </c>
      <c r="G182" s="16" t="str">
        <f>IF(ISERROR(VLOOKUP($D182,[1]SITES!$A:$E,4,FALSE)),"",VLOOKUP($D182,[1]SITES!$A:$E,4,FALSE))</f>
        <v/>
      </c>
      <c r="H182" s="26" t="str">
        <f t="shared" si="27"/>
        <v>DATE</v>
      </c>
      <c r="I182" s="12" t="str">
        <f t="shared" si="27"/>
        <v>VIS</v>
      </c>
      <c r="J182" s="12" t="str">
        <f t="shared" si="27"/>
        <v>DIRECTION</v>
      </c>
      <c r="K182" s="24" t="str">
        <f t="shared" si="27"/>
        <v>TIME</v>
      </c>
      <c r="L182" s="12" t="str">
        <f t="shared" si="27"/>
        <v>DEPTH</v>
      </c>
      <c r="M182" s="12" t="str">
        <f t="shared" si="27"/>
        <v>BLOCK</v>
      </c>
      <c r="O182" s="22"/>
      <c r="Q182" s="14"/>
      <c r="R182" s="25">
        <f t="shared" si="26"/>
        <v>0</v>
      </c>
      <c r="S182" s="12">
        <v>0</v>
      </c>
    </row>
    <row r="183" spans="1:19">
      <c r="A183" s="14">
        <f>MAX($A$1:$A182)+1</f>
        <v>181</v>
      </c>
      <c r="B183" s="12" t="str">
        <f t="shared" si="28"/>
        <v>DIVER NAME</v>
      </c>
      <c r="C183" s="12" t="str">
        <f t="shared" si="28"/>
        <v>BUDDY NAME</v>
      </c>
      <c r="D183" s="12">
        <f t="shared" si="28"/>
        <v>0</v>
      </c>
      <c r="E183" s="14" t="str">
        <f>IF(ISERROR(VLOOKUP($D183,[1]SITES!$A:$E,2,FALSE)),"",VLOOKUP($D183,[1]SITES!$A:$E,2,FALSE))</f>
        <v/>
      </c>
      <c r="F183" s="15" t="str">
        <f>IF(ISERROR(VLOOKUP($D183,[1]SITES!$A:$E,3,FALSE)),"",VLOOKUP($D183,[1]SITES!$A:$E,3,FALSE))</f>
        <v/>
      </c>
      <c r="G183" s="16" t="str">
        <f>IF(ISERROR(VLOOKUP($D183,[1]SITES!$A:$E,4,FALSE)),"",VLOOKUP($D183,[1]SITES!$A:$E,4,FALSE))</f>
        <v/>
      </c>
      <c r="H183" s="26" t="str">
        <f t="shared" si="27"/>
        <v>DATE</v>
      </c>
      <c r="I183" s="12" t="str">
        <f t="shared" si="27"/>
        <v>VIS</v>
      </c>
      <c r="J183" s="12" t="str">
        <f t="shared" si="27"/>
        <v>DIRECTION</v>
      </c>
      <c r="K183" s="24" t="str">
        <f t="shared" si="27"/>
        <v>TIME</v>
      </c>
      <c r="L183" s="12" t="str">
        <f t="shared" si="27"/>
        <v>DEPTH</v>
      </c>
      <c r="M183" s="12" t="str">
        <f t="shared" si="27"/>
        <v>BLOCK</v>
      </c>
      <c r="O183" s="22"/>
      <c r="Q183" s="14"/>
      <c r="R183" s="25">
        <f t="shared" si="26"/>
        <v>0</v>
      </c>
      <c r="S183" s="12">
        <v>0</v>
      </c>
    </row>
    <row r="184" spans="1:19">
      <c r="A184" s="14">
        <f>MAX($A$1:$A183)+1</f>
        <v>182</v>
      </c>
      <c r="B184" s="12" t="str">
        <f t="shared" si="28"/>
        <v>DIVER NAME</v>
      </c>
      <c r="C184" s="12" t="str">
        <f t="shared" si="28"/>
        <v>BUDDY NAME</v>
      </c>
      <c r="D184" s="12">
        <f t="shared" si="28"/>
        <v>0</v>
      </c>
      <c r="E184" s="14" t="str">
        <f>IF(ISERROR(VLOOKUP($D184,[1]SITES!$A:$E,2,FALSE)),"",VLOOKUP($D184,[1]SITES!$A:$E,2,FALSE))</f>
        <v/>
      </c>
      <c r="F184" s="15" t="str">
        <f>IF(ISERROR(VLOOKUP($D184,[1]SITES!$A:$E,3,FALSE)),"",VLOOKUP($D184,[1]SITES!$A:$E,3,FALSE))</f>
        <v/>
      </c>
      <c r="G184" s="16" t="str">
        <f>IF(ISERROR(VLOOKUP($D184,[1]SITES!$A:$E,4,FALSE)),"",VLOOKUP($D184,[1]SITES!$A:$E,4,FALSE))</f>
        <v/>
      </c>
      <c r="H184" s="26" t="str">
        <f t="shared" si="27"/>
        <v>DATE</v>
      </c>
      <c r="I184" s="12" t="str">
        <f t="shared" si="27"/>
        <v>VIS</v>
      </c>
      <c r="J184" s="12" t="str">
        <f t="shared" si="27"/>
        <v>DIRECTION</v>
      </c>
      <c r="K184" s="24" t="str">
        <f t="shared" si="27"/>
        <v>TIME</v>
      </c>
      <c r="L184" s="12" t="str">
        <f t="shared" si="27"/>
        <v>DEPTH</v>
      </c>
      <c r="M184" s="12" t="str">
        <f t="shared" si="27"/>
        <v>BLOCK</v>
      </c>
      <c r="O184" s="22"/>
      <c r="Q184" s="14"/>
      <c r="R184" s="25">
        <f t="shared" si="26"/>
        <v>0</v>
      </c>
      <c r="S184" s="12">
        <v>0</v>
      </c>
    </row>
    <row r="185" spans="1:19">
      <c r="A185" s="14">
        <f>MAX($A$1:$A184)+1</f>
        <v>183</v>
      </c>
      <c r="B185" s="12" t="str">
        <f t="shared" si="28"/>
        <v>DIVER NAME</v>
      </c>
      <c r="C185" s="12" t="str">
        <f t="shared" si="28"/>
        <v>BUDDY NAME</v>
      </c>
      <c r="D185" s="12">
        <f t="shared" si="28"/>
        <v>0</v>
      </c>
      <c r="E185" s="14" t="str">
        <f>IF(ISERROR(VLOOKUP($D185,[1]SITES!$A:$E,2,FALSE)),"",VLOOKUP($D185,[1]SITES!$A:$E,2,FALSE))</f>
        <v/>
      </c>
      <c r="F185" s="15" t="str">
        <f>IF(ISERROR(VLOOKUP($D185,[1]SITES!$A:$E,3,FALSE)),"",VLOOKUP($D185,[1]SITES!$A:$E,3,FALSE))</f>
        <v/>
      </c>
      <c r="G185" s="16" t="str">
        <f>IF(ISERROR(VLOOKUP($D185,[1]SITES!$A:$E,4,FALSE)),"",VLOOKUP($D185,[1]SITES!$A:$E,4,FALSE))</f>
        <v/>
      </c>
      <c r="H185" s="26" t="str">
        <f t="shared" si="27"/>
        <v>DATE</v>
      </c>
      <c r="I185" s="12" t="str">
        <f t="shared" si="27"/>
        <v>VIS</v>
      </c>
      <c r="J185" s="12" t="str">
        <f t="shared" si="27"/>
        <v>DIRECTION</v>
      </c>
      <c r="K185" s="24" t="str">
        <f t="shared" si="27"/>
        <v>TIME</v>
      </c>
      <c r="L185" s="12" t="str">
        <f t="shared" si="27"/>
        <v>DEPTH</v>
      </c>
      <c r="M185" s="12" t="str">
        <f t="shared" si="27"/>
        <v>BLOCK</v>
      </c>
      <c r="O185" s="22"/>
      <c r="Q185" s="14"/>
      <c r="R185" s="25">
        <f t="shared" si="26"/>
        <v>0</v>
      </c>
      <c r="S185" s="12">
        <v>0</v>
      </c>
    </row>
    <row r="186" spans="1:19">
      <c r="A186" s="14">
        <f>MAX($A$1:$A185)+1</f>
        <v>184</v>
      </c>
      <c r="B186" s="12" t="str">
        <f t="shared" si="28"/>
        <v>DIVER NAME</v>
      </c>
      <c r="C186" s="12" t="str">
        <f t="shared" si="28"/>
        <v>BUDDY NAME</v>
      </c>
      <c r="D186" s="12">
        <f t="shared" si="28"/>
        <v>0</v>
      </c>
      <c r="E186" s="14" t="str">
        <f>IF(ISERROR(VLOOKUP($D186,[1]SITES!$A:$E,2,FALSE)),"",VLOOKUP($D186,[1]SITES!$A:$E,2,FALSE))</f>
        <v/>
      </c>
      <c r="F186" s="15" t="str">
        <f>IF(ISERROR(VLOOKUP($D186,[1]SITES!$A:$E,3,FALSE)),"",VLOOKUP($D186,[1]SITES!$A:$E,3,FALSE))</f>
        <v/>
      </c>
      <c r="G186" s="16" t="str">
        <f>IF(ISERROR(VLOOKUP($D186,[1]SITES!$A:$E,4,FALSE)),"",VLOOKUP($D186,[1]SITES!$A:$E,4,FALSE))</f>
        <v/>
      </c>
      <c r="H186" s="26" t="str">
        <f t="shared" si="27"/>
        <v>DATE</v>
      </c>
      <c r="I186" s="12" t="str">
        <f t="shared" si="27"/>
        <v>VIS</v>
      </c>
      <c r="J186" s="12" t="str">
        <f t="shared" si="27"/>
        <v>DIRECTION</v>
      </c>
      <c r="K186" s="24" t="str">
        <f t="shared" si="27"/>
        <v>TIME</v>
      </c>
      <c r="L186" s="12" t="str">
        <f t="shared" si="27"/>
        <v>DEPTH</v>
      </c>
      <c r="M186" s="12" t="str">
        <f t="shared" si="27"/>
        <v>BLOCK</v>
      </c>
      <c r="O186" s="22"/>
      <c r="Q186" s="14"/>
      <c r="R186" s="25">
        <f t="shared" si="26"/>
        <v>0</v>
      </c>
      <c r="S186" s="12">
        <v>0</v>
      </c>
    </row>
    <row r="187" spans="1:19">
      <c r="A187" s="14">
        <f>MAX($A$1:$A186)+1</f>
        <v>185</v>
      </c>
      <c r="B187" s="12" t="str">
        <f t="shared" si="28"/>
        <v>DIVER NAME</v>
      </c>
      <c r="C187" s="12" t="str">
        <f t="shared" si="28"/>
        <v>BUDDY NAME</v>
      </c>
      <c r="D187" s="12">
        <f t="shared" si="28"/>
        <v>0</v>
      </c>
      <c r="E187" s="14" t="str">
        <f>IF(ISERROR(VLOOKUP($D187,[1]SITES!$A:$E,2,FALSE)),"",VLOOKUP($D187,[1]SITES!$A:$E,2,FALSE))</f>
        <v/>
      </c>
      <c r="F187" s="15" t="str">
        <f>IF(ISERROR(VLOOKUP($D187,[1]SITES!$A:$E,3,FALSE)),"",VLOOKUP($D187,[1]SITES!$A:$E,3,FALSE))</f>
        <v/>
      </c>
      <c r="G187" s="16" t="str">
        <f>IF(ISERROR(VLOOKUP($D187,[1]SITES!$A:$E,4,FALSE)),"",VLOOKUP($D187,[1]SITES!$A:$E,4,FALSE))</f>
        <v/>
      </c>
      <c r="H187" s="26" t="str">
        <f t="shared" si="27"/>
        <v>DATE</v>
      </c>
      <c r="I187" s="12" t="str">
        <f t="shared" si="27"/>
        <v>VIS</v>
      </c>
      <c r="J187" s="12" t="str">
        <f t="shared" si="27"/>
        <v>DIRECTION</v>
      </c>
      <c r="K187" s="24" t="str">
        <f t="shared" si="27"/>
        <v>TIME</v>
      </c>
      <c r="L187" s="12" t="str">
        <f t="shared" si="27"/>
        <v>DEPTH</v>
      </c>
      <c r="M187" s="12" t="str">
        <f t="shared" si="27"/>
        <v>BLOCK</v>
      </c>
      <c r="O187" s="22"/>
      <c r="Q187" s="14"/>
      <c r="R187" s="25">
        <f t="shared" si="26"/>
        <v>0</v>
      </c>
      <c r="S187" s="12">
        <v>0</v>
      </c>
    </row>
    <row r="188" spans="1:19">
      <c r="A188" s="14">
        <f>MAX($A$1:$A187)+1</f>
        <v>186</v>
      </c>
      <c r="B188" s="12" t="str">
        <f t="shared" si="28"/>
        <v>DIVER NAME</v>
      </c>
      <c r="C188" s="12" t="str">
        <f t="shared" si="28"/>
        <v>BUDDY NAME</v>
      </c>
      <c r="D188" s="12">
        <f t="shared" si="28"/>
        <v>0</v>
      </c>
      <c r="E188" s="14" t="str">
        <f>IF(ISERROR(VLOOKUP($D188,[1]SITES!$A:$E,2,FALSE)),"",VLOOKUP($D188,[1]SITES!$A:$E,2,FALSE))</f>
        <v/>
      </c>
      <c r="F188" s="15" t="str">
        <f>IF(ISERROR(VLOOKUP($D188,[1]SITES!$A:$E,3,FALSE)),"",VLOOKUP($D188,[1]SITES!$A:$E,3,FALSE))</f>
        <v/>
      </c>
      <c r="G188" s="16" t="str">
        <f>IF(ISERROR(VLOOKUP($D188,[1]SITES!$A:$E,4,FALSE)),"",VLOOKUP($D188,[1]SITES!$A:$E,4,FALSE))</f>
        <v/>
      </c>
      <c r="H188" s="26" t="str">
        <f t="shared" si="27"/>
        <v>DATE</v>
      </c>
      <c r="I188" s="12" t="str">
        <f t="shared" si="27"/>
        <v>VIS</v>
      </c>
      <c r="J188" s="12" t="str">
        <f t="shared" si="27"/>
        <v>DIRECTION</v>
      </c>
      <c r="K188" s="24" t="str">
        <f t="shared" si="27"/>
        <v>TIME</v>
      </c>
      <c r="L188" s="12" t="str">
        <f t="shared" si="27"/>
        <v>DEPTH</v>
      </c>
      <c r="M188" s="12" t="str">
        <f t="shared" si="27"/>
        <v>BLOCK</v>
      </c>
      <c r="O188" s="22"/>
      <c r="Q188" s="14"/>
      <c r="R188" s="25">
        <f t="shared" si="26"/>
        <v>0</v>
      </c>
      <c r="S188" s="12">
        <v>0</v>
      </c>
    </row>
    <row r="189" spans="1:19">
      <c r="A189" s="14">
        <f>MAX($A$1:$A188)+1</f>
        <v>187</v>
      </c>
      <c r="B189" s="12" t="str">
        <f t="shared" si="28"/>
        <v>DIVER NAME</v>
      </c>
      <c r="C189" s="12" t="str">
        <f t="shared" si="28"/>
        <v>BUDDY NAME</v>
      </c>
      <c r="D189" s="12">
        <f t="shared" si="28"/>
        <v>0</v>
      </c>
      <c r="E189" s="14" t="str">
        <f>IF(ISERROR(VLOOKUP($D189,[1]SITES!$A:$E,2,FALSE)),"",VLOOKUP($D189,[1]SITES!$A:$E,2,FALSE))</f>
        <v/>
      </c>
      <c r="F189" s="15" t="str">
        <f>IF(ISERROR(VLOOKUP($D189,[1]SITES!$A:$E,3,FALSE)),"",VLOOKUP($D189,[1]SITES!$A:$E,3,FALSE))</f>
        <v/>
      </c>
      <c r="G189" s="16" t="str">
        <f>IF(ISERROR(VLOOKUP($D189,[1]SITES!$A:$E,4,FALSE)),"",VLOOKUP($D189,[1]SITES!$A:$E,4,FALSE))</f>
        <v/>
      </c>
      <c r="H189" s="26" t="str">
        <f t="shared" si="27"/>
        <v>DATE</v>
      </c>
      <c r="I189" s="12" t="str">
        <f t="shared" si="27"/>
        <v>VIS</v>
      </c>
      <c r="J189" s="12" t="str">
        <f t="shared" si="27"/>
        <v>DIRECTION</v>
      </c>
      <c r="K189" s="24" t="str">
        <f t="shared" si="27"/>
        <v>TIME</v>
      </c>
      <c r="L189" s="12" t="str">
        <f t="shared" si="27"/>
        <v>DEPTH</v>
      </c>
      <c r="M189" s="12" t="str">
        <f t="shared" si="27"/>
        <v>BLOCK</v>
      </c>
      <c r="O189" s="22"/>
      <c r="Q189" s="14"/>
      <c r="R189" s="25">
        <f t="shared" si="26"/>
        <v>0</v>
      </c>
      <c r="S189" s="12">
        <v>0</v>
      </c>
    </row>
    <row r="190" spans="1:19">
      <c r="A190" s="14">
        <f>MAX($A$1:$A189)+1</f>
        <v>188</v>
      </c>
      <c r="B190" s="12" t="str">
        <f t="shared" si="28"/>
        <v>DIVER NAME</v>
      </c>
      <c r="C190" s="12" t="str">
        <f t="shared" si="28"/>
        <v>BUDDY NAME</v>
      </c>
      <c r="D190" s="12">
        <f t="shared" si="28"/>
        <v>0</v>
      </c>
      <c r="E190" s="14" t="str">
        <f>IF(ISERROR(VLOOKUP($D190,[1]SITES!$A:$E,2,FALSE)),"",VLOOKUP($D190,[1]SITES!$A:$E,2,FALSE))</f>
        <v/>
      </c>
      <c r="F190" s="15" t="str">
        <f>IF(ISERROR(VLOOKUP($D190,[1]SITES!$A:$E,3,FALSE)),"",VLOOKUP($D190,[1]SITES!$A:$E,3,FALSE))</f>
        <v/>
      </c>
      <c r="G190" s="16" t="str">
        <f>IF(ISERROR(VLOOKUP($D190,[1]SITES!$A:$E,4,FALSE)),"",VLOOKUP($D190,[1]SITES!$A:$E,4,FALSE))</f>
        <v/>
      </c>
      <c r="H190" s="26" t="str">
        <f t="shared" si="27"/>
        <v>DATE</v>
      </c>
      <c r="I190" s="12" t="str">
        <f t="shared" si="27"/>
        <v>VIS</v>
      </c>
      <c r="J190" s="12" t="str">
        <f t="shared" si="27"/>
        <v>DIRECTION</v>
      </c>
      <c r="K190" s="24" t="str">
        <f t="shared" si="27"/>
        <v>TIME</v>
      </c>
      <c r="L190" s="12" t="str">
        <f t="shared" si="27"/>
        <v>DEPTH</v>
      </c>
      <c r="M190" s="12" t="str">
        <f t="shared" si="27"/>
        <v>BLOCK</v>
      </c>
      <c r="O190" s="22"/>
      <c r="Q190" s="14"/>
      <c r="R190" s="25">
        <f t="shared" si="26"/>
        <v>0</v>
      </c>
      <c r="S190" s="12">
        <v>0</v>
      </c>
    </row>
    <row r="191" spans="1:19">
      <c r="A191" s="14">
        <f>MAX($A$1:$A190)+1</f>
        <v>189</v>
      </c>
      <c r="B191" s="12" t="str">
        <f t="shared" si="28"/>
        <v>DIVER NAME</v>
      </c>
      <c r="C191" s="12" t="str">
        <f t="shared" si="28"/>
        <v>BUDDY NAME</v>
      </c>
      <c r="D191" s="12">
        <f t="shared" si="28"/>
        <v>0</v>
      </c>
      <c r="E191" s="14" t="str">
        <f>IF(ISERROR(VLOOKUP($D191,[1]SITES!$A:$E,2,FALSE)),"",VLOOKUP($D191,[1]SITES!$A:$E,2,FALSE))</f>
        <v/>
      </c>
      <c r="F191" s="15" t="str">
        <f>IF(ISERROR(VLOOKUP($D191,[1]SITES!$A:$E,3,FALSE)),"",VLOOKUP($D191,[1]SITES!$A:$E,3,FALSE))</f>
        <v/>
      </c>
      <c r="G191" s="16" t="str">
        <f>IF(ISERROR(VLOOKUP($D191,[1]SITES!$A:$E,4,FALSE)),"",VLOOKUP($D191,[1]SITES!$A:$E,4,FALSE))</f>
        <v/>
      </c>
      <c r="H191" s="26" t="str">
        <f t="shared" si="27"/>
        <v>DATE</v>
      </c>
      <c r="I191" s="12" t="str">
        <f t="shared" si="27"/>
        <v>VIS</v>
      </c>
      <c r="J191" s="12" t="str">
        <f t="shared" si="27"/>
        <v>DIRECTION</v>
      </c>
      <c r="K191" s="24" t="str">
        <f t="shared" si="27"/>
        <v>TIME</v>
      </c>
      <c r="L191" s="12" t="str">
        <f t="shared" si="27"/>
        <v>DEPTH</v>
      </c>
      <c r="M191" s="12" t="str">
        <f t="shared" si="27"/>
        <v>BLOCK</v>
      </c>
      <c r="O191" s="22"/>
      <c r="Q191" s="14"/>
      <c r="R191" s="25">
        <f t="shared" si="26"/>
        <v>0</v>
      </c>
      <c r="S191" s="12">
        <v>0</v>
      </c>
    </row>
    <row r="192" spans="1:19">
      <c r="A192" s="14">
        <f>MAX($A$1:$A191)+1</f>
        <v>190</v>
      </c>
      <c r="B192" s="12" t="str">
        <f t="shared" si="28"/>
        <v>DIVER NAME</v>
      </c>
      <c r="C192" s="12" t="str">
        <f t="shared" si="28"/>
        <v>BUDDY NAME</v>
      </c>
      <c r="D192" s="12">
        <f t="shared" si="28"/>
        <v>0</v>
      </c>
      <c r="E192" s="14" t="str">
        <f>IF(ISERROR(VLOOKUP($D192,[1]SITES!$A:$E,2,FALSE)),"",VLOOKUP($D192,[1]SITES!$A:$E,2,FALSE))</f>
        <v/>
      </c>
      <c r="F192" s="15" t="str">
        <f>IF(ISERROR(VLOOKUP($D192,[1]SITES!$A:$E,3,FALSE)),"",VLOOKUP($D192,[1]SITES!$A:$E,3,FALSE))</f>
        <v/>
      </c>
      <c r="G192" s="16" t="str">
        <f>IF(ISERROR(VLOOKUP($D192,[1]SITES!$A:$E,4,FALSE)),"",VLOOKUP($D192,[1]SITES!$A:$E,4,FALSE))</f>
        <v/>
      </c>
      <c r="H192" s="26" t="str">
        <f t="shared" si="27"/>
        <v>DATE</v>
      </c>
      <c r="I192" s="12" t="str">
        <f t="shared" si="27"/>
        <v>VIS</v>
      </c>
      <c r="J192" s="12" t="str">
        <f t="shared" si="27"/>
        <v>DIRECTION</v>
      </c>
      <c r="K192" s="24" t="str">
        <f t="shared" si="27"/>
        <v>TIME</v>
      </c>
      <c r="L192" s="12" t="str">
        <f t="shared" si="27"/>
        <v>DEPTH</v>
      </c>
      <c r="M192" s="12" t="str">
        <f t="shared" si="27"/>
        <v>BLOCK</v>
      </c>
      <c r="O192" s="22"/>
      <c r="Q192" s="14"/>
      <c r="R192" s="25">
        <f t="shared" si="26"/>
        <v>0</v>
      </c>
      <c r="S192" s="12">
        <v>0</v>
      </c>
    </row>
    <row r="193" spans="1:19">
      <c r="A193" s="14">
        <f>MAX($A$1:$A192)+1</f>
        <v>191</v>
      </c>
      <c r="B193" s="12" t="str">
        <f t="shared" si="28"/>
        <v>DIVER NAME</v>
      </c>
      <c r="C193" s="12" t="str">
        <f t="shared" si="28"/>
        <v>BUDDY NAME</v>
      </c>
      <c r="D193" s="12">
        <f t="shared" si="28"/>
        <v>0</v>
      </c>
      <c r="E193" s="14" t="str">
        <f>IF(ISERROR(VLOOKUP($D193,[1]SITES!$A:$E,2,FALSE)),"",VLOOKUP($D193,[1]SITES!$A:$E,2,FALSE))</f>
        <v/>
      </c>
      <c r="F193" s="15" t="str">
        <f>IF(ISERROR(VLOOKUP($D193,[1]SITES!$A:$E,3,FALSE)),"",VLOOKUP($D193,[1]SITES!$A:$E,3,FALSE))</f>
        <v/>
      </c>
      <c r="G193" s="16" t="str">
        <f>IF(ISERROR(VLOOKUP($D193,[1]SITES!$A:$E,4,FALSE)),"",VLOOKUP($D193,[1]SITES!$A:$E,4,FALSE))</f>
        <v/>
      </c>
      <c r="H193" s="26" t="str">
        <f t="shared" si="27"/>
        <v>DATE</v>
      </c>
      <c r="I193" s="12" t="str">
        <f t="shared" si="27"/>
        <v>VIS</v>
      </c>
      <c r="J193" s="12" t="str">
        <f t="shared" si="27"/>
        <v>DIRECTION</v>
      </c>
      <c r="K193" s="24" t="str">
        <f t="shared" si="27"/>
        <v>TIME</v>
      </c>
      <c r="L193" s="12" t="str">
        <f t="shared" si="27"/>
        <v>DEPTH</v>
      </c>
      <c r="M193" s="12" t="str">
        <f t="shared" si="27"/>
        <v>BLOCK</v>
      </c>
      <c r="O193" s="22"/>
      <c r="Q193" s="14"/>
      <c r="R193" s="25">
        <f t="shared" si="26"/>
        <v>0</v>
      </c>
      <c r="S193" s="12">
        <v>0</v>
      </c>
    </row>
    <row r="194" spans="1:19">
      <c r="A194" s="14">
        <f>MAX($A$1:$A193)+1</f>
        <v>192</v>
      </c>
      <c r="B194" s="12" t="str">
        <f t="shared" si="28"/>
        <v>DIVER NAME</v>
      </c>
      <c r="C194" s="12" t="str">
        <f t="shared" si="28"/>
        <v>BUDDY NAME</v>
      </c>
      <c r="D194" s="12">
        <f t="shared" si="28"/>
        <v>0</v>
      </c>
      <c r="E194" s="14" t="str">
        <f>IF(ISERROR(VLOOKUP($D194,[1]SITES!$A:$E,2,FALSE)),"",VLOOKUP($D194,[1]SITES!$A:$E,2,FALSE))</f>
        <v/>
      </c>
      <c r="F194" s="15" t="str">
        <f>IF(ISERROR(VLOOKUP($D194,[1]SITES!$A:$E,3,FALSE)),"",VLOOKUP($D194,[1]SITES!$A:$E,3,FALSE))</f>
        <v/>
      </c>
      <c r="G194" s="16" t="str">
        <f>IF(ISERROR(VLOOKUP($D194,[1]SITES!$A:$E,4,FALSE)),"",VLOOKUP($D194,[1]SITES!$A:$E,4,FALSE))</f>
        <v/>
      </c>
      <c r="H194" s="26" t="str">
        <f t="shared" si="27"/>
        <v>DATE</v>
      </c>
      <c r="I194" s="12" t="str">
        <f t="shared" si="27"/>
        <v>VIS</v>
      </c>
      <c r="J194" s="12" t="str">
        <f t="shared" si="27"/>
        <v>DIRECTION</v>
      </c>
      <c r="K194" s="24" t="str">
        <f t="shared" si="27"/>
        <v>TIME</v>
      </c>
      <c r="L194" s="12" t="str">
        <f t="shared" si="27"/>
        <v>DEPTH</v>
      </c>
      <c r="M194" s="12" t="str">
        <f t="shared" si="27"/>
        <v>BLOCK</v>
      </c>
      <c r="O194" s="22"/>
      <c r="Q194" s="14"/>
      <c r="R194" s="25">
        <f t="shared" si="26"/>
        <v>0</v>
      </c>
      <c r="S194" s="12">
        <v>0</v>
      </c>
    </row>
    <row r="195" spans="1:19">
      <c r="A195" s="14">
        <f>MAX($A$1:$A194)+1</f>
        <v>193</v>
      </c>
      <c r="B195" s="12" t="str">
        <f t="shared" si="28"/>
        <v>DIVER NAME</v>
      </c>
      <c r="C195" s="12" t="str">
        <f t="shared" si="28"/>
        <v>BUDDY NAME</v>
      </c>
      <c r="D195" s="12">
        <f t="shared" si="28"/>
        <v>0</v>
      </c>
      <c r="E195" s="14" t="str">
        <f>IF(ISERROR(VLOOKUP($D195,[1]SITES!$A:$E,2,FALSE)),"",VLOOKUP($D195,[1]SITES!$A:$E,2,FALSE))</f>
        <v/>
      </c>
      <c r="F195" s="15" t="str">
        <f>IF(ISERROR(VLOOKUP($D195,[1]SITES!$A:$E,3,FALSE)),"",VLOOKUP($D195,[1]SITES!$A:$E,3,FALSE))</f>
        <v/>
      </c>
      <c r="G195" s="16" t="str">
        <f>IF(ISERROR(VLOOKUP($D195,[1]SITES!$A:$E,4,FALSE)),"",VLOOKUP($D195,[1]SITES!$A:$E,4,FALSE))</f>
        <v/>
      </c>
      <c r="H195" s="26" t="str">
        <f t="shared" si="27"/>
        <v>DATE</v>
      </c>
      <c r="I195" s="12" t="str">
        <f t="shared" si="27"/>
        <v>VIS</v>
      </c>
      <c r="J195" s="12" t="str">
        <f t="shared" si="27"/>
        <v>DIRECTION</v>
      </c>
      <c r="K195" s="24" t="str">
        <f t="shared" si="27"/>
        <v>TIME</v>
      </c>
      <c r="L195" s="12" t="str">
        <f t="shared" si="27"/>
        <v>DEPTH</v>
      </c>
      <c r="M195" s="12" t="str">
        <f t="shared" si="27"/>
        <v>BLOCK</v>
      </c>
      <c r="O195" s="22"/>
      <c r="Q195" s="14"/>
      <c r="R195" s="25">
        <f t="shared" si="26"/>
        <v>0</v>
      </c>
      <c r="S195" s="12">
        <v>0</v>
      </c>
    </row>
    <row r="196" spans="1:19">
      <c r="A196" s="14">
        <f>MAX($A$1:$A195)+1</f>
        <v>194</v>
      </c>
      <c r="B196" s="12" t="str">
        <f t="shared" si="28"/>
        <v>DIVER NAME</v>
      </c>
      <c r="C196" s="12" t="str">
        <f t="shared" si="28"/>
        <v>BUDDY NAME</v>
      </c>
      <c r="D196" s="12">
        <f t="shared" si="28"/>
        <v>0</v>
      </c>
      <c r="E196" s="14" t="str">
        <f>IF(ISERROR(VLOOKUP($D196,[1]SITES!$A:$E,2,FALSE)),"",VLOOKUP($D196,[1]SITES!$A:$E,2,FALSE))</f>
        <v/>
      </c>
      <c r="F196" s="15" t="str">
        <f>IF(ISERROR(VLOOKUP($D196,[1]SITES!$A:$E,3,FALSE)),"",VLOOKUP($D196,[1]SITES!$A:$E,3,FALSE))</f>
        <v/>
      </c>
      <c r="G196" s="16" t="str">
        <f>IF(ISERROR(VLOOKUP($D196,[1]SITES!$A:$E,4,FALSE)),"",VLOOKUP($D196,[1]SITES!$A:$E,4,FALSE))</f>
        <v/>
      </c>
      <c r="H196" s="26" t="str">
        <f t="shared" ref="H196:M211" si="29">IF(ISERROR(H195),IF(ISERROR(H194),IF(ISERROR(H193),"BLANK",H193),H194),H195)</f>
        <v>DATE</v>
      </c>
      <c r="I196" s="12" t="str">
        <f t="shared" si="29"/>
        <v>VIS</v>
      </c>
      <c r="J196" s="12" t="str">
        <f t="shared" si="29"/>
        <v>DIRECTION</v>
      </c>
      <c r="K196" s="24" t="str">
        <f t="shared" si="29"/>
        <v>TIME</v>
      </c>
      <c r="L196" s="12" t="str">
        <f>IF(ISERROR(L195),IF(ISERROR(L194),IF(ISERROR(L193),"BLANK",L193),L194),L195)</f>
        <v>DEPTH</v>
      </c>
      <c r="M196" s="12" t="str">
        <f>IF(ISERROR(M195),IF(ISERROR(M194),IF(ISERROR(M193),"BLANK",M193),M194),M195)</f>
        <v>BLOCK</v>
      </c>
      <c r="O196" s="22"/>
      <c r="Q196" s="14"/>
      <c r="R196" s="25">
        <f t="shared" si="26"/>
        <v>0</v>
      </c>
      <c r="S196" s="12">
        <v>0</v>
      </c>
    </row>
    <row r="197" spans="1:19">
      <c r="A197" s="14">
        <f>MAX($A$1:$A196)+1</f>
        <v>195</v>
      </c>
      <c r="B197" s="12" t="str">
        <f t="shared" ref="B197:D212" si="30">IF(ISERROR(B196),IF(ISERROR(B195),IF(ISERROR(B194),"BLANK",B194),B195),B196)</f>
        <v>DIVER NAME</v>
      </c>
      <c r="C197" s="12" t="str">
        <f t="shared" si="30"/>
        <v>BUDDY NAME</v>
      </c>
      <c r="D197" s="12">
        <f t="shared" si="30"/>
        <v>0</v>
      </c>
      <c r="E197" s="14" t="str">
        <f>IF(ISERROR(VLOOKUP($D197,[1]SITES!$A:$E,2,FALSE)),"",VLOOKUP($D197,[1]SITES!$A:$E,2,FALSE))</f>
        <v/>
      </c>
      <c r="F197" s="15" t="str">
        <f>IF(ISERROR(VLOOKUP($D197,[1]SITES!$A:$E,3,FALSE)),"",VLOOKUP($D197,[1]SITES!$A:$E,3,FALSE))</f>
        <v/>
      </c>
      <c r="G197" s="16" t="str">
        <f>IF(ISERROR(VLOOKUP($D197,[1]SITES!$A:$E,4,FALSE)),"",VLOOKUP($D197,[1]SITES!$A:$E,4,FALSE))</f>
        <v/>
      </c>
      <c r="H197" s="26" t="str">
        <f t="shared" si="29"/>
        <v>DATE</v>
      </c>
      <c r="I197" s="12" t="str">
        <f t="shared" si="29"/>
        <v>VIS</v>
      </c>
      <c r="J197" s="12" t="str">
        <f t="shared" si="29"/>
        <v>DIRECTION</v>
      </c>
      <c r="K197" s="24" t="str">
        <f t="shared" si="29"/>
        <v>TIME</v>
      </c>
      <c r="L197" s="12" t="str">
        <f t="shared" si="29"/>
        <v>DEPTH</v>
      </c>
      <c r="M197" s="12" t="str">
        <f t="shared" si="29"/>
        <v>BLOCK</v>
      </c>
      <c r="O197" s="22"/>
      <c r="Q197" s="14"/>
      <c r="R197" s="25">
        <f t="shared" si="26"/>
        <v>0</v>
      </c>
      <c r="S197" s="12">
        <v>0</v>
      </c>
    </row>
    <row r="198" spans="1:19">
      <c r="A198" s="14">
        <f>MAX($A$1:$A197)+1</f>
        <v>196</v>
      </c>
      <c r="B198" s="12" t="str">
        <f t="shared" si="30"/>
        <v>DIVER NAME</v>
      </c>
      <c r="C198" s="12" t="str">
        <f t="shared" si="30"/>
        <v>BUDDY NAME</v>
      </c>
      <c r="D198" s="12">
        <f t="shared" si="30"/>
        <v>0</v>
      </c>
      <c r="E198" s="14" t="str">
        <f>IF(ISERROR(VLOOKUP($D198,[1]SITES!$A:$E,2,FALSE)),"",VLOOKUP($D198,[1]SITES!$A:$E,2,FALSE))</f>
        <v/>
      </c>
      <c r="F198" s="15" t="str">
        <f>IF(ISERROR(VLOOKUP($D198,[1]SITES!$A:$E,3,FALSE)),"",VLOOKUP($D198,[1]SITES!$A:$E,3,FALSE))</f>
        <v/>
      </c>
      <c r="G198" s="16" t="str">
        <f>IF(ISERROR(VLOOKUP($D198,[1]SITES!$A:$E,4,FALSE)),"",VLOOKUP($D198,[1]SITES!$A:$E,4,FALSE))</f>
        <v/>
      </c>
      <c r="H198" s="26" t="str">
        <f t="shared" si="29"/>
        <v>DATE</v>
      </c>
      <c r="I198" s="12" t="str">
        <f t="shared" si="29"/>
        <v>VIS</v>
      </c>
      <c r="J198" s="12" t="str">
        <f t="shared" si="29"/>
        <v>DIRECTION</v>
      </c>
      <c r="K198" s="24" t="str">
        <f t="shared" si="29"/>
        <v>TIME</v>
      </c>
      <c r="L198" s="12" t="str">
        <f t="shared" si="29"/>
        <v>DEPTH</v>
      </c>
      <c r="M198" s="12" t="str">
        <f t="shared" si="29"/>
        <v>BLOCK</v>
      </c>
      <c r="O198" s="22"/>
      <c r="Q198" s="14"/>
      <c r="R198" s="25">
        <f t="shared" si="26"/>
        <v>0</v>
      </c>
      <c r="S198" s="12">
        <v>0</v>
      </c>
    </row>
    <row r="199" spans="1:19">
      <c r="A199" s="14">
        <f>MAX($A$1:$A198)+1</f>
        <v>197</v>
      </c>
      <c r="B199" s="12" t="str">
        <f t="shared" si="30"/>
        <v>DIVER NAME</v>
      </c>
      <c r="C199" s="12" t="str">
        <f t="shared" si="30"/>
        <v>BUDDY NAME</v>
      </c>
      <c r="D199" s="12">
        <f t="shared" si="30"/>
        <v>0</v>
      </c>
      <c r="E199" s="14" t="str">
        <f>IF(ISERROR(VLOOKUP($D199,[1]SITES!$A:$E,2,FALSE)),"",VLOOKUP($D199,[1]SITES!$A:$E,2,FALSE))</f>
        <v/>
      </c>
      <c r="F199" s="15" t="str">
        <f>IF(ISERROR(VLOOKUP($D199,[1]SITES!$A:$E,3,FALSE)),"",VLOOKUP($D199,[1]SITES!$A:$E,3,FALSE))</f>
        <v/>
      </c>
      <c r="G199" s="16" t="str">
        <f>IF(ISERROR(VLOOKUP($D199,[1]SITES!$A:$E,4,FALSE)),"",VLOOKUP($D199,[1]SITES!$A:$E,4,FALSE))</f>
        <v/>
      </c>
      <c r="H199" s="26" t="str">
        <f t="shared" si="29"/>
        <v>DATE</v>
      </c>
      <c r="I199" s="12" t="str">
        <f t="shared" si="29"/>
        <v>VIS</v>
      </c>
      <c r="J199" s="12" t="str">
        <f t="shared" si="29"/>
        <v>DIRECTION</v>
      </c>
      <c r="K199" s="24" t="str">
        <f t="shared" si="29"/>
        <v>TIME</v>
      </c>
      <c r="L199" s="12" t="str">
        <f t="shared" si="29"/>
        <v>DEPTH</v>
      </c>
      <c r="M199" s="12" t="str">
        <f t="shared" si="29"/>
        <v>BLOCK</v>
      </c>
      <c r="O199" s="22"/>
      <c r="Q199" s="14"/>
      <c r="R199" s="25">
        <f t="shared" si="26"/>
        <v>0</v>
      </c>
      <c r="S199" s="12">
        <v>0</v>
      </c>
    </row>
    <row r="200" spans="1:19">
      <c r="A200" s="14">
        <f>MAX($A$1:$A199)+1</f>
        <v>198</v>
      </c>
      <c r="B200" s="12" t="str">
        <f t="shared" si="30"/>
        <v>DIVER NAME</v>
      </c>
      <c r="C200" s="12" t="str">
        <f t="shared" si="30"/>
        <v>BUDDY NAME</v>
      </c>
      <c r="D200" s="12">
        <f t="shared" si="30"/>
        <v>0</v>
      </c>
      <c r="E200" s="14" t="str">
        <f>IF(ISERROR(VLOOKUP($D200,[1]SITES!$A:$E,2,FALSE)),"",VLOOKUP($D200,[1]SITES!$A:$E,2,FALSE))</f>
        <v/>
      </c>
      <c r="F200" s="15" t="str">
        <f>IF(ISERROR(VLOOKUP($D200,[1]SITES!$A:$E,3,FALSE)),"",VLOOKUP($D200,[1]SITES!$A:$E,3,FALSE))</f>
        <v/>
      </c>
      <c r="G200" s="16" t="str">
        <f>IF(ISERROR(VLOOKUP($D200,[1]SITES!$A:$E,4,FALSE)),"",VLOOKUP($D200,[1]SITES!$A:$E,4,FALSE))</f>
        <v/>
      </c>
      <c r="H200" s="26" t="str">
        <f t="shared" si="29"/>
        <v>DATE</v>
      </c>
      <c r="I200" s="12" t="str">
        <f t="shared" si="29"/>
        <v>VIS</v>
      </c>
      <c r="J200" s="12" t="str">
        <f t="shared" si="29"/>
        <v>DIRECTION</v>
      </c>
      <c r="K200" s="24" t="str">
        <f t="shared" si="29"/>
        <v>TIME</v>
      </c>
      <c r="L200" s="12" t="str">
        <f t="shared" si="29"/>
        <v>DEPTH</v>
      </c>
      <c r="M200" s="12" t="str">
        <f t="shared" si="29"/>
        <v>BLOCK</v>
      </c>
      <c r="O200" s="22"/>
      <c r="Q200" s="14"/>
      <c r="R200" s="25">
        <f t="shared" si="26"/>
        <v>0</v>
      </c>
      <c r="S200" s="12">
        <v>0</v>
      </c>
    </row>
    <row r="201" spans="1:19">
      <c r="A201" s="14">
        <f>MAX($A$1:$A200)+1</f>
        <v>199</v>
      </c>
      <c r="B201" s="12" t="str">
        <f t="shared" si="30"/>
        <v>DIVER NAME</v>
      </c>
      <c r="C201" s="12" t="str">
        <f t="shared" si="30"/>
        <v>BUDDY NAME</v>
      </c>
      <c r="D201" s="12">
        <f t="shared" si="30"/>
        <v>0</v>
      </c>
      <c r="E201" s="14" t="str">
        <f>IF(ISERROR(VLOOKUP($D201,[1]SITES!$A:$E,2,FALSE)),"",VLOOKUP($D201,[1]SITES!$A:$E,2,FALSE))</f>
        <v/>
      </c>
      <c r="F201" s="15" t="str">
        <f>IF(ISERROR(VLOOKUP($D201,[1]SITES!$A:$E,3,FALSE)),"",VLOOKUP($D201,[1]SITES!$A:$E,3,FALSE))</f>
        <v/>
      </c>
      <c r="G201" s="16" t="str">
        <f>IF(ISERROR(VLOOKUP($D201,[1]SITES!$A:$E,4,FALSE)),"",VLOOKUP($D201,[1]SITES!$A:$E,4,FALSE))</f>
        <v/>
      </c>
      <c r="H201" s="26" t="str">
        <f t="shared" si="29"/>
        <v>DATE</v>
      </c>
      <c r="I201" s="12" t="str">
        <f t="shared" si="29"/>
        <v>VIS</v>
      </c>
      <c r="J201" s="12" t="str">
        <f t="shared" si="29"/>
        <v>DIRECTION</v>
      </c>
      <c r="K201" s="24" t="str">
        <f t="shared" si="29"/>
        <v>TIME</v>
      </c>
      <c r="L201" s="12" t="str">
        <f t="shared" si="29"/>
        <v>DEPTH</v>
      </c>
      <c r="M201" s="12" t="str">
        <f t="shared" si="29"/>
        <v>BLOCK</v>
      </c>
      <c r="O201" s="22"/>
      <c r="Q201" s="14"/>
      <c r="R201" s="25">
        <f t="shared" si="26"/>
        <v>0</v>
      </c>
      <c r="S201" s="12">
        <v>0</v>
      </c>
    </row>
    <row r="202" spans="1:19">
      <c r="A202" s="14">
        <f>MAX($A$1:$A201)+1</f>
        <v>200</v>
      </c>
      <c r="B202" s="12" t="str">
        <f t="shared" si="30"/>
        <v>DIVER NAME</v>
      </c>
      <c r="C202" s="12" t="str">
        <f t="shared" si="30"/>
        <v>BUDDY NAME</v>
      </c>
      <c r="D202" s="12">
        <f t="shared" si="30"/>
        <v>0</v>
      </c>
      <c r="E202" s="14" t="str">
        <f>IF(ISERROR(VLOOKUP($D202,[1]SITES!$A:$E,2,FALSE)),"",VLOOKUP($D202,[1]SITES!$A:$E,2,FALSE))</f>
        <v/>
      </c>
      <c r="F202" s="15" t="str">
        <f>IF(ISERROR(VLOOKUP($D202,[1]SITES!$A:$E,3,FALSE)),"",VLOOKUP($D202,[1]SITES!$A:$E,3,FALSE))</f>
        <v/>
      </c>
      <c r="G202" s="16" t="str">
        <f>IF(ISERROR(VLOOKUP($D202,[1]SITES!$A:$E,4,FALSE)),"",VLOOKUP($D202,[1]SITES!$A:$E,4,FALSE))</f>
        <v/>
      </c>
      <c r="H202" s="26" t="str">
        <f t="shared" si="29"/>
        <v>DATE</v>
      </c>
      <c r="I202" s="12" t="str">
        <f t="shared" si="29"/>
        <v>VIS</v>
      </c>
      <c r="J202" s="12" t="str">
        <f t="shared" si="29"/>
        <v>DIRECTION</v>
      </c>
      <c r="K202" s="24" t="str">
        <f t="shared" si="29"/>
        <v>TIME</v>
      </c>
      <c r="L202" s="12" t="str">
        <f t="shared" si="29"/>
        <v>DEPTH</v>
      </c>
      <c r="M202" s="12" t="str">
        <f t="shared" si="29"/>
        <v>BLOCK</v>
      </c>
      <c r="O202" s="22"/>
      <c r="Q202" s="14"/>
      <c r="R202" s="25">
        <f t="shared" si="26"/>
        <v>0</v>
      </c>
      <c r="S202" s="12">
        <v>0</v>
      </c>
    </row>
    <row r="203" spans="1:19">
      <c r="A203" s="14">
        <f>MAX($A$1:$A202)+1</f>
        <v>201</v>
      </c>
      <c r="B203" s="12" t="str">
        <f t="shared" si="30"/>
        <v>DIVER NAME</v>
      </c>
      <c r="C203" s="12" t="str">
        <f t="shared" si="30"/>
        <v>BUDDY NAME</v>
      </c>
      <c r="D203" s="12">
        <f t="shared" si="30"/>
        <v>0</v>
      </c>
      <c r="E203" s="14" t="str">
        <f>IF(ISERROR(VLOOKUP($D203,[1]SITES!$A:$E,2,FALSE)),"",VLOOKUP($D203,[1]SITES!$A:$E,2,FALSE))</f>
        <v/>
      </c>
      <c r="F203" s="15" t="str">
        <f>IF(ISERROR(VLOOKUP($D203,[1]SITES!$A:$E,3,FALSE)),"",VLOOKUP($D203,[1]SITES!$A:$E,3,FALSE))</f>
        <v/>
      </c>
      <c r="G203" s="16" t="str">
        <f>IF(ISERROR(VLOOKUP($D203,[1]SITES!$A:$E,4,FALSE)),"",VLOOKUP($D203,[1]SITES!$A:$E,4,FALSE))</f>
        <v/>
      </c>
      <c r="H203" s="26" t="str">
        <f t="shared" si="29"/>
        <v>DATE</v>
      </c>
      <c r="I203" s="12" t="str">
        <f t="shared" si="29"/>
        <v>VIS</v>
      </c>
      <c r="J203" s="12" t="str">
        <f t="shared" si="29"/>
        <v>DIRECTION</v>
      </c>
      <c r="K203" s="24" t="str">
        <f t="shared" si="29"/>
        <v>TIME</v>
      </c>
      <c r="L203" s="12" t="str">
        <f t="shared" si="29"/>
        <v>DEPTH</v>
      </c>
      <c r="M203" s="12" t="str">
        <f t="shared" si="29"/>
        <v>BLOCK</v>
      </c>
      <c r="O203" s="22"/>
      <c r="Q203" s="14"/>
      <c r="R203" s="25">
        <f t="shared" si="26"/>
        <v>0</v>
      </c>
      <c r="S203" s="12">
        <v>0</v>
      </c>
    </row>
    <row r="204" spans="1:19">
      <c r="A204" s="14">
        <f>MAX($A$1:$A203)+1</f>
        <v>202</v>
      </c>
      <c r="B204" s="12" t="str">
        <f t="shared" si="30"/>
        <v>DIVER NAME</v>
      </c>
      <c r="C204" s="12" t="str">
        <f t="shared" si="30"/>
        <v>BUDDY NAME</v>
      </c>
      <c r="D204" s="12">
        <f t="shared" si="30"/>
        <v>0</v>
      </c>
      <c r="E204" s="14" t="str">
        <f>IF(ISERROR(VLOOKUP($D204,[1]SITES!$A:$E,2,FALSE)),"",VLOOKUP($D204,[1]SITES!$A:$E,2,FALSE))</f>
        <v/>
      </c>
      <c r="F204" s="15" t="str">
        <f>IF(ISERROR(VLOOKUP($D204,[1]SITES!$A:$E,3,FALSE)),"",VLOOKUP($D204,[1]SITES!$A:$E,3,FALSE))</f>
        <v/>
      </c>
      <c r="G204" s="16" t="str">
        <f>IF(ISERROR(VLOOKUP($D204,[1]SITES!$A:$E,4,FALSE)),"",VLOOKUP($D204,[1]SITES!$A:$E,4,FALSE))</f>
        <v/>
      </c>
      <c r="H204" s="26" t="str">
        <f t="shared" si="29"/>
        <v>DATE</v>
      </c>
      <c r="I204" s="12" t="str">
        <f t="shared" si="29"/>
        <v>VIS</v>
      </c>
      <c r="J204" s="12" t="str">
        <f t="shared" si="29"/>
        <v>DIRECTION</v>
      </c>
      <c r="K204" s="24" t="str">
        <f t="shared" si="29"/>
        <v>TIME</v>
      </c>
      <c r="L204" s="12" t="str">
        <f t="shared" si="29"/>
        <v>DEPTH</v>
      </c>
      <c r="M204" s="12" t="str">
        <f t="shared" si="29"/>
        <v>BLOCK</v>
      </c>
      <c r="O204" s="22"/>
      <c r="Q204" s="14"/>
      <c r="R204" s="25">
        <f t="shared" si="26"/>
        <v>0</v>
      </c>
      <c r="S204" s="12">
        <v>0</v>
      </c>
    </row>
    <row r="205" spans="1:19">
      <c r="A205" s="14">
        <f>MAX($A$1:$A204)+1</f>
        <v>203</v>
      </c>
      <c r="B205" s="12" t="str">
        <f t="shared" si="30"/>
        <v>DIVER NAME</v>
      </c>
      <c r="C205" s="12" t="str">
        <f t="shared" si="30"/>
        <v>BUDDY NAME</v>
      </c>
      <c r="D205" s="12">
        <f t="shared" si="30"/>
        <v>0</v>
      </c>
      <c r="E205" s="14" t="str">
        <f>IF(ISERROR(VLOOKUP($D205,[1]SITES!$A:$E,2,FALSE)),"",VLOOKUP($D205,[1]SITES!$A:$E,2,FALSE))</f>
        <v/>
      </c>
      <c r="F205" s="15" t="str">
        <f>IF(ISERROR(VLOOKUP($D205,[1]SITES!$A:$E,3,FALSE)),"",VLOOKUP($D205,[1]SITES!$A:$E,3,FALSE))</f>
        <v/>
      </c>
      <c r="G205" s="16" t="str">
        <f>IF(ISERROR(VLOOKUP($D205,[1]SITES!$A:$E,4,FALSE)),"",VLOOKUP($D205,[1]SITES!$A:$E,4,FALSE))</f>
        <v/>
      </c>
      <c r="H205" s="26" t="str">
        <f t="shared" si="29"/>
        <v>DATE</v>
      </c>
      <c r="I205" s="12" t="str">
        <f t="shared" si="29"/>
        <v>VIS</v>
      </c>
      <c r="J205" s="12" t="str">
        <f t="shared" si="29"/>
        <v>DIRECTION</v>
      </c>
      <c r="K205" s="24" t="str">
        <f t="shared" si="29"/>
        <v>TIME</v>
      </c>
      <c r="L205" s="12" t="str">
        <f t="shared" si="29"/>
        <v>DEPTH</v>
      </c>
      <c r="M205" s="12" t="str">
        <f t="shared" si="29"/>
        <v>BLOCK</v>
      </c>
      <c r="O205" s="22"/>
      <c r="Q205" s="14"/>
      <c r="R205" s="25">
        <f t="shared" si="26"/>
        <v>0</v>
      </c>
      <c r="S205" s="12">
        <v>0</v>
      </c>
    </row>
    <row r="206" spans="1:19">
      <c r="A206" s="14">
        <f>MAX($A$1:$A205)+1</f>
        <v>204</v>
      </c>
      <c r="B206" s="12" t="str">
        <f t="shared" si="30"/>
        <v>DIVER NAME</v>
      </c>
      <c r="C206" s="12" t="str">
        <f t="shared" si="30"/>
        <v>BUDDY NAME</v>
      </c>
      <c r="D206" s="12">
        <f t="shared" si="30"/>
        <v>0</v>
      </c>
      <c r="E206" s="14" t="str">
        <f>IF(ISERROR(VLOOKUP($D206,[1]SITES!$A:$E,2,FALSE)),"",VLOOKUP($D206,[1]SITES!$A:$E,2,FALSE))</f>
        <v/>
      </c>
      <c r="F206" s="15" t="str">
        <f>IF(ISERROR(VLOOKUP($D206,[1]SITES!$A:$E,3,FALSE)),"",VLOOKUP($D206,[1]SITES!$A:$E,3,FALSE))</f>
        <v/>
      </c>
      <c r="G206" s="16" t="str">
        <f>IF(ISERROR(VLOOKUP($D206,[1]SITES!$A:$E,4,FALSE)),"",VLOOKUP($D206,[1]SITES!$A:$E,4,FALSE))</f>
        <v/>
      </c>
      <c r="H206" s="26" t="str">
        <f t="shared" si="29"/>
        <v>DATE</v>
      </c>
      <c r="I206" s="12" t="str">
        <f t="shared" si="29"/>
        <v>VIS</v>
      </c>
      <c r="J206" s="12" t="str">
        <f t="shared" si="29"/>
        <v>DIRECTION</v>
      </c>
      <c r="K206" s="24" t="str">
        <f t="shared" si="29"/>
        <v>TIME</v>
      </c>
      <c r="L206" s="12" t="str">
        <f t="shared" si="29"/>
        <v>DEPTH</v>
      </c>
      <c r="M206" s="12" t="str">
        <f t="shared" si="29"/>
        <v>BLOCK</v>
      </c>
      <c r="O206" s="22"/>
      <c r="Q206" s="14"/>
      <c r="R206" s="25">
        <f t="shared" si="26"/>
        <v>0</v>
      </c>
      <c r="S206" s="12">
        <v>0</v>
      </c>
    </row>
    <row r="207" spans="1:19">
      <c r="A207" s="14">
        <f>MAX($A$1:$A206)+1</f>
        <v>205</v>
      </c>
      <c r="B207" s="12" t="str">
        <f t="shared" si="30"/>
        <v>DIVER NAME</v>
      </c>
      <c r="C207" s="12" t="str">
        <f t="shared" si="30"/>
        <v>BUDDY NAME</v>
      </c>
      <c r="D207" s="12">
        <f t="shared" si="30"/>
        <v>0</v>
      </c>
      <c r="E207" s="14" t="str">
        <f>IF(ISERROR(VLOOKUP($D207,[1]SITES!$A:$E,2,FALSE)),"",VLOOKUP($D207,[1]SITES!$A:$E,2,FALSE))</f>
        <v/>
      </c>
      <c r="F207" s="15" t="str">
        <f>IF(ISERROR(VLOOKUP($D207,[1]SITES!$A:$E,3,FALSE)),"",VLOOKUP($D207,[1]SITES!$A:$E,3,FALSE))</f>
        <v/>
      </c>
      <c r="G207" s="16" t="str">
        <f>IF(ISERROR(VLOOKUP($D207,[1]SITES!$A:$E,4,FALSE)),"",VLOOKUP($D207,[1]SITES!$A:$E,4,FALSE))</f>
        <v/>
      </c>
      <c r="H207" s="26" t="str">
        <f t="shared" si="29"/>
        <v>DATE</v>
      </c>
      <c r="I207" s="12" t="str">
        <f t="shared" si="29"/>
        <v>VIS</v>
      </c>
      <c r="J207" s="12" t="str">
        <f t="shared" si="29"/>
        <v>DIRECTION</v>
      </c>
      <c r="K207" s="24" t="str">
        <f t="shared" si="29"/>
        <v>TIME</v>
      </c>
      <c r="L207" s="12" t="str">
        <f t="shared" si="29"/>
        <v>DEPTH</v>
      </c>
      <c r="M207" s="12" t="str">
        <f t="shared" si="29"/>
        <v>BLOCK</v>
      </c>
      <c r="O207" s="22"/>
      <c r="Q207" s="14"/>
      <c r="R207" s="25">
        <f t="shared" si="26"/>
        <v>0</v>
      </c>
      <c r="S207" s="12">
        <v>0</v>
      </c>
    </row>
    <row r="208" spans="1:19">
      <c r="A208" s="14">
        <f>MAX($A$1:$A207)+1</f>
        <v>206</v>
      </c>
      <c r="B208" s="12" t="str">
        <f t="shared" si="30"/>
        <v>DIVER NAME</v>
      </c>
      <c r="C208" s="12" t="str">
        <f t="shared" si="30"/>
        <v>BUDDY NAME</v>
      </c>
      <c r="D208" s="12">
        <f t="shared" si="30"/>
        <v>0</v>
      </c>
      <c r="E208" s="14" t="str">
        <f>IF(ISERROR(VLOOKUP($D208,[1]SITES!$A:$E,2,FALSE)),"",VLOOKUP($D208,[1]SITES!$A:$E,2,FALSE))</f>
        <v/>
      </c>
      <c r="F208" s="15" t="str">
        <f>IF(ISERROR(VLOOKUP($D208,[1]SITES!$A:$E,3,FALSE)),"",VLOOKUP($D208,[1]SITES!$A:$E,3,FALSE))</f>
        <v/>
      </c>
      <c r="G208" s="16" t="str">
        <f>IF(ISERROR(VLOOKUP($D208,[1]SITES!$A:$E,4,FALSE)),"",VLOOKUP($D208,[1]SITES!$A:$E,4,FALSE))</f>
        <v/>
      </c>
      <c r="H208" s="26" t="str">
        <f t="shared" si="29"/>
        <v>DATE</v>
      </c>
      <c r="I208" s="12" t="str">
        <f t="shared" si="29"/>
        <v>VIS</v>
      </c>
      <c r="J208" s="12" t="str">
        <f t="shared" si="29"/>
        <v>DIRECTION</v>
      </c>
      <c r="K208" s="24" t="str">
        <f t="shared" si="29"/>
        <v>TIME</v>
      </c>
      <c r="L208" s="12" t="str">
        <f t="shared" si="29"/>
        <v>DEPTH</v>
      </c>
      <c r="M208" s="12" t="str">
        <f t="shared" si="29"/>
        <v>BLOCK</v>
      </c>
      <c r="O208" s="22"/>
      <c r="Q208" s="14"/>
      <c r="R208" s="25">
        <f t="shared" si="26"/>
        <v>0</v>
      </c>
      <c r="S208" s="12">
        <v>0</v>
      </c>
    </row>
    <row r="209" spans="1:19">
      <c r="A209" s="14">
        <f>MAX($A$1:$A208)+1</f>
        <v>207</v>
      </c>
      <c r="B209" s="12" t="str">
        <f t="shared" si="30"/>
        <v>DIVER NAME</v>
      </c>
      <c r="C209" s="12" t="str">
        <f t="shared" si="30"/>
        <v>BUDDY NAME</v>
      </c>
      <c r="D209" s="12">
        <f t="shared" si="30"/>
        <v>0</v>
      </c>
      <c r="E209" s="14" t="str">
        <f>IF(ISERROR(VLOOKUP($D209,[1]SITES!$A:$E,2,FALSE)),"",VLOOKUP($D209,[1]SITES!$A:$E,2,FALSE))</f>
        <v/>
      </c>
      <c r="F209" s="15" t="str">
        <f>IF(ISERROR(VLOOKUP($D209,[1]SITES!$A:$E,3,FALSE)),"",VLOOKUP($D209,[1]SITES!$A:$E,3,FALSE))</f>
        <v/>
      </c>
      <c r="G209" s="16" t="str">
        <f>IF(ISERROR(VLOOKUP($D209,[1]SITES!$A:$E,4,FALSE)),"",VLOOKUP($D209,[1]SITES!$A:$E,4,FALSE))</f>
        <v/>
      </c>
      <c r="H209" s="26" t="str">
        <f t="shared" si="29"/>
        <v>DATE</v>
      </c>
      <c r="I209" s="12" t="str">
        <f t="shared" si="29"/>
        <v>VIS</v>
      </c>
      <c r="J209" s="12" t="str">
        <f t="shared" si="29"/>
        <v>DIRECTION</v>
      </c>
      <c r="K209" s="24" t="str">
        <f t="shared" si="29"/>
        <v>TIME</v>
      </c>
      <c r="L209" s="12" t="str">
        <f t="shared" si="29"/>
        <v>DEPTH</v>
      </c>
      <c r="M209" s="12" t="str">
        <f t="shared" si="29"/>
        <v>BLOCK</v>
      </c>
      <c r="O209" s="22"/>
      <c r="Q209" s="14"/>
      <c r="R209" s="25">
        <f t="shared" si="26"/>
        <v>0</v>
      </c>
      <c r="S209" s="12">
        <v>0</v>
      </c>
    </row>
    <row r="210" spans="1:19">
      <c r="A210" s="14">
        <f>MAX($A$1:$A209)+1</f>
        <v>208</v>
      </c>
      <c r="B210" s="12" t="str">
        <f t="shared" si="30"/>
        <v>DIVER NAME</v>
      </c>
      <c r="C210" s="12" t="str">
        <f t="shared" si="30"/>
        <v>BUDDY NAME</v>
      </c>
      <c r="D210" s="12">
        <f t="shared" si="30"/>
        <v>0</v>
      </c>
      <c r="E210" s="14" t="str">
        <f>IF(ISERROR(VLOOKUP($D210,[1]SITES!$A:$E,2,FALSE)),"",VLOOKUP($D210,[1]SITES!$A:$E,2,FALSE))</f>
        <v/>
      </c>
      <c r="F210" s="15" t="str">
        <f>IF(ISERROR(VLOOKUP($D210,[1]SITES!$A:$E,3,FALSE)),"",VLOOKUP($D210,[1]SITES!$A:$E,3,FALSE))</f>
        <v/>
      </c>
      <c r="G210" s="16" t="str">
        <f>IF(ISERROR(VLOOKUP($D210,[1]SITES!$A:$E,4,FALSE)),"",VLOOKUP($D210,[1]SITES!$A:$E,4,FALSE))</f>
        <v/>
      </c>
      <c r="H210" s="26" t="str">
        <f t="shared" si="29"/>
        <v>DATE</v>
      </c>
      <c r="I210" s="12" t="str">
        <f t="shared" si="29"/>
        <v>VIS</v>
      </c>
      <c r="J210" s="12" t="str">
        <f t="shared" si="29"/>
        <v>DIRECTION</v>
      </c>
      <c r="K210" s="24" t="str">
        <f t="shared" si="29"/>
        <v>TIME</v>
      </c>
      <c r="L210" s="12" t="str">
        <f t="shared" si="29"/>
        <v>DEPTH</v>
      </c>
      <c r="M210" s="12" t="str">
        <f t="shared" si="29"/>
        <v>BLOCK</v>
      </c>
      <c r="O210" s="22"/>
      <c r="Q210" s="14"/>
      <c r="R210" s="25">
        <f t="shared" si="26"/>
        <v>0</v>
      </c>
      <c r="S210" s="12">
        <v>0</v>
      </c>
    </row>
    <row r="211" spans="1:19">
      <c r="A211" s="14">
        <f>MAX($A$1:$A210)+1</f>
        <v>209</v>
      </c>
      <c r="B211" s="12" t="str">
        <f t="shared" si="30"/>
        <v>DIVER NAME</v>
      </c>
      <c r="C211" s="12" t="str">
        <f t="shared" si="30"/>
        <v>BUDDY NAME</v>
      </c>
      <c r="D211" s="12">
        <f t="shared" si="30"/>
        <v>0</v>
      </c>
      <c r="E211" s="14" t="str">
        <f>IF(ISERROR(VLOOKUP($D211,[1]SITES!$A:$E,2,FALSE)),"",VLOOKUP($D211,[1]SITES!$A:$E,2,FALSE))</f>
        <v/>
      </c>
      <c r="F211" s="15" t="str">
        <f>IF(ISERROR(VLOOKUP($D211,[1]SITES!$A:$E,3,FALSE)),"",VLOOKUP($D211,[1]SITES!$A:$E,3,FALSE))</f>
        <v/>
      </c>
      <c r="G211" s="16" t="str">
        <f>IF(ISERROR(VLOOKUP($D211,[1]SITES!$A:$E,4,FALSE)),"",VLOOKUP($D211,[1]SITES!$A:$E,4,FALSE))</f>
        <v/>
      </c>
      <c r="H211" s="26" t="str">
        <f t="shared" si="29"/>
        <v>DATE</v>
      </c>
      <c r="I211" s="12" t="str">
        <f t="shared" si="29"/>
        <v>VIS</v>
      </c>
      <c r="J211" s="12" t="str">
        <f t="shared" si="29"/>
        <v>DIRECTION</v>
      </c>
      <c r="K211" s="24" t="str">
        <f t="shared" si="29"/>
        <v>TIME</v>
      </c>
      <c r="L211" s="12" t="str">
        <f t="shared" si="29"/>
        <v>DEPTH</v>
      </c>
      <c r="M211" s="12" t="str">
        <f t="shared" si="29"/>
        <v>BLOCK</v>
      </c>
      <c r="O211" s="22"/>
      <c r="Q211" s="14"/>
      <c r="R211" s="25">
        <f t="shared" si="26"/>
        <v>0</v>
      </c>
      <c r="S211" s="12">
        <v>0</v>
      </c>
    </row>
    <row r="212" spans="1:19">
      <c r="A212" s="14">
        <f>MAX($A$1:$A211)+1</f>
        <v>210</v>
      </c>
      <c r="B212" s="12" t="str">
        <f t="shared" si="30"/>
        <v>DIVER NAME</v>
      </c>
      <c r="C212" s="12" t="str">
        <f t="shared" si="30"/>
        <v>BUDDY NAME</v>
      </c>
      <c r="D212" s="12">
        <f t="shared" si="30"/>
        <v>0</v>
      </c>
      <c r="E212" s="14" t="str">
        <f>IF(ISERROR(VLOOKUP($D212,[1]SITES!$A:$E,2,FALSE)),"",VLOOKUP($D212,[1]SITES!$A:$E,2,FALSE))</f>
        <v/>
      </c>
      <c r="F212" s="15" t="str">
        <f>IF(ISERROR(VLOOKUP($D212,[1]SITES!$A:$E,3,FALSE)),"",VLOOKUP($D212,[1]SITES!$A:$E,3,FALSE))</f>
        <v/>
      </c>
      <c r="G212" s="16" t="str">
        <f>IF(ISERROR(VLOOKUP($D212,[1]SITES!$A:$E,4,FALSE)),"",VLOOKUP($D212,[1]SITES!$A:$E,4,FALSE))</f>
        <v/>
      </c>
      <c r="H212" s="26" t="str">
        <f t="shared" ref="H212:M227" si="31">IF(ISERROR(H211),IF(ISERROR(H210),IF(ISERROR(H209),"BLANK",H209),H210),H211)</f>
        <v>DATE</v>
      </c>
      <c r="I212" s="12" t="str">
        <f t="shared" si="31"/>
        <v>VIS</v>
      </c>
      <c r="J212" s="12" t="str">
        <f t="shared" si="31"/>
        <v>DIRECTION</v>
      </c>
      <c r="K212" s="24" t="str">
        <f t="shared" si="31"/>
        <v>TIME</v>
      </c>
      <c r="L212" s="12" t="str">
        <f t="shared" si="31"/>
        <v>DEPTH</v>
      </c>
      <c r="M212" s="12" t="str">
        <f t="shared" si="31"/>
        <v>BLOCK</v>
      </c>
      <c r="O212" s="22"/>
      <c r="Q212" s="14"/>
      <c r="R212" s="25">
        <f t="shared" si="26"/>
        <v>0</v>
      </c>
      <c r="S212" s="12">
        <v>0</v>
      </c>
    </row>
    <row r="213" spans="1:19">
      <c r="A213" s="14">
        <f>MAX($A$1:$A212)+1</f>
        <v>211</v>
      </c>
      <c r="B213" s="12" t="str">
        <f t="shared" ref="B213:D228" si="32">IF(ISERROR(B212),IF(ISERROR(B211),IF(ISERROR(B210),"BLANK",B210),B211),B212)</f>
        <v>DIVER NAME</v>
      </c>
      <c r="C213" s="12" t="str">
        <f t="shared" si="32"/>
        <v>BUDDY NAME</v>
      </c>
      <c r="D213" s="12">
        <f t="shared" si="32"/>
        <v>0</v>
      </c>
      <c r="E213" s="14" t="str">
        <f>IF(ISERROR(VLOOKUP($D213,[1]SITES!$A:$E,2,FALSE)),"",VLOOKUP($D213,[1]SITES!$A:$E,2,FALSE))</f>
        <v/>
      </c>
      <c r="F213" s="15" t="str">
        <f>IF(ISERROR(VLOOKUP($D213,[1]SITES!$A:$E,3,FALSE)),"",VLOOKUP($D213,[1]SITES!$A:$E,3,FALSE))</f>
        <v/>
      </c>
      <c r="G213" s="16" t="str">
        <f>IF(ISERROR(VLOOKUP($D213,[1]SITES!$A:$E,4,FALSE)),"",VLOOKUP($D213,[1]SITES!$A:$E,4,FALSE))</f>
        <v/>
      </c>
      <c r="H213" s="26" t="str">
        <f t="shared" si="31"/>
        <v>DATE</v>
      </c>
      <c r="I213" s="12" t="str">
        <f t="shared" si="31"/>
        <v>VIS</v>
      </c>
      <c r="J213" s="12" t="str">
        <f t="shared" si="31"/>
        <v>DIRECTION</v>
      </c>
      <c r="K213" s="24" t="str">
        <f t="shared" si="31"/>
        <v>TIME</v>
      </c>
      <c r="L213" s="12" t="str">
        <f t="shared" si="31"/>
        <v>DEPTH</v>
      </c>
      <c r="M213" s="12" t="str">
        <f t="shared" si="31"/>
        <v>BLOCK</v>
      </c>
      <c r="O213" s="22"/>
      <c r="Q213" s="14"/>
      <c r="R213" s="25">
        <f t="shared" si="26"/>
        <v>0</v>
      </c>
      <c r="S213" s="12">
        <v>0</v>
      </c>
    </row>
    <row r="214" spans="1:19">
      <c r="A214" s="14">
        <f>MAX($A$1:$A213)+1</f>
        <v>212</v>
      </c>
      <c r="B214" s="12" t="str">
        <f t="shared" si="32"/>
        <v>DIVER NAME</v>
      </c>
      <c r="C214" s="12" t="str">
        <f t="shared" si="32"/>
        <v>BUDDY NAME</v>
      </c>
      <c r="D214" s="12">
        <f t="shared" si="32"/>
        <v>0</v>
      </c>
      <c r="E214" s="14" t="str">
        <f>IF(ISERROR(VLOOKUP($D214,[1]SITES!$A:$E,2,FALSE)),"",VLOOKUP($D214,[1]SITES!$A:$E,2,FALSE))</f>
        <v/>
      </c>
      <c r="F214" s="15" t="str">
        <f>IF(ISERROR(VLOOKUP($D214,[1]SITES!$A:$E,3,FALSE)),"",VLOOKUP($D214,[1]SITES!$A:$E,3,FALSE))</f>
        <v/>
      </c>
      <c r="G214" s="16" t="str">
        <f>IF(ISERROR(VLOOKUP($D214,[1]SITES!$A:$E,4,FALSE)),"",VLOOKUP($D214,[1]SITES!$A:$E,4,FALSE))</f>
        <v/>
      </c>
      <c r="H214" s="26" t="str">
        <f t="shared" si="31"/>
        <v>DATE</v>
      </c>
      <c r="I214" s="12" t="str">
        <f t="shared" si="31"/>
        <v>VIS</v>
      </c>
      <c r="J214" s="12" t="str">
        <f t="shared" si="31"/>
        <v>DIRECTION</v>
      </c>
      <c r="K214" s="24" t="str">
        <f t="shared" si="31"/>
        <v>TIME</v>
      </c>
      <c r="L214" s="12" t="str">
        <f t="shared" si="31"/>
        <v>DEPTH</v>
      </c>
      <c r="M214" s="12" t="str">
        <f t="shared" si="31"/>
        <v>BLOCK</v>
      </c>
      <c r="O214" s="22"/>
      <c r="Q214" s="14"/>
      <c r="R214" s="25">
        <f t="shared" si="26"/>
        <v>0</v>
      </c>
      <c r="S214" s="12">
        <v>0</v>
      </c>
    </row>
    <row r="215" spans="1:19">
      <c r="A215" s="14">
        <f>MAX($A$1:$A214)+1</f>
        <v>213</v>
      </c>
      <c r="B215" s="12" t="str">
        <f t="shared" si="32"/>
        <v>DIVER NAME</v>
      </c>
      <c r="C215" s="12" t="str">
        <f t="shared" si="32"/>
        <v>BUDDY NAME</v>
      </c>
      <c r="D215" s="12">
        <f t="shared" si="32"/>
        <v>0</v>
      </c>
      <c r="E215" s="14" t="str">
        <f>IF(ISERROR(VLOOKUP($D215,[1]SITES!$A:$E,2,FALSE)),"",VLOOKUP($D215,[1]SITES!$A:$E,2,FALSE))</f>
        <v/>
      </c>
      <c r="F215" s="15" t="str">
        <f>IF(ISERROR(VLOOKUP($D215,[1]SITES!$A:$E,3,FALSE)),"",VLOOKUP($D215,[1]SITES!$A:$E,3,FALSE))</f>
        <v/>
      </c>
      <c r="G215" s="16" t="str">
        <f>IF(ISERROR(VLOOKUP($D215,[1]SITES!$A:$E,4,FALSE)),"",VLOOKUP($D215,[1]SITES!$A:$E,4,FALSE))</f>
        <v/>
      </c>
      <c r="H215" s="26" t="str">
        <f t="shared" si="31"/>
        <v>DATE</v>
      </c>
      <c r="I215" s="12" t="str">
        <f t="shared" si="31"/>
        <v>VIS</v>
      </c>
      <c r="J215" s="12" t="str">
        <f t="shared" si="31"/>
        <v>DIRECTION</v>
      </c>
      <c r="K215" s="24" t="str">
        <f t="shared" si="31"/>
        <v>TIME</v>
      </c>
      <c r="L215" s="12" t="str">
        <f t="shared" si="31"/>
        <v>DEPTH</v>
      </c>
      <c r="M215" s="12" t="str">
        <f t="shared" si="31"/>
        <v>BLOCK</v>
      </c>
      <c r="O215" s="22"/>
      <c r="Q215" s="14"/>
      <c r="R215" s="25">
        <f t="shared" si="26"/>
        <v>0</v>
      </c>
      <c r="S215" s="12">
        <v>0</v>
      </c>
    </row>
    <row r="216" spans="1:19">
      <c r="A216" s="14">
        <f>MAX($A$1:$A215)+1</f>
        <v>214</v>
      </c>
      <c r="B216" s="12" t="str">
        <f t="shared" si="32"/>
        <v>DIVER NAME</v>
      </c>
      <c r="C216" s="12" t="str">
        <f t="shared" si="32"/>
        <v>BUDDY NAME</v>
      </c>
      <c r="D216" s="12">
        <f t="shared" si="32"/>
        <v>0</v>
      </c>
      <c r="E216" s="14" t="str">
        <f>IF(ISERROR(VLOOKUP($D216,[1]SITES!$A:$E,2,FALSE)),"",VLOOKUP($D216,[1]SITES!$A:$E,2,FALSE))</f>
        <v/>
      </c>
      <c r="F216" s="15" t="str">
        <f>IF(ISERROR(VLOOKUP($D216,[1]SITES!$A:$E,3,FALSE)),"",VLOOKUP($D216,[1]SITES!$A:$E,3,FALSE))</f>
        <v/>
      </c>
      <c r="G216" s="16" t="str">
        <f>IF(ISERROR(VLOOKUP($D216,[1]SITES!$A:$E,4,FALSE)),"",VLOOKUP($D216,[1]SITES!$A:$E,4,FALSE))</f>
        <v/>
      </c>
      <c r="H216" s="26" t="str">
        <f t="shared" si="31"/>
        <v>DATE</v>
      </c>
      <c r="I216" s="12" t="str">
        <f t="shared" si="31"/>
        <v>VIS</v>
      </c>
      <c r="J216" s="12" t="str">
        <f t="shared" si="31"/>
        <v>DIRECTION</v>
      </c>
      <c r="K216" s="24" t="str">
        <f t="shared" si="31"/>
        <v>TIME</v>
      </c>
      <c r="L216" s="12" t="str">
        <f t="shared" si="31"/>
        <v>DEPTH</v>
      </c>
      <c r="M216" s="12" t="str">
        <f t="shared" si="31"/>
        <v>BLOCK</v>
      </c>
      <c r="O216" s="22"/>
      <c r="Q216" s="14"/>
      <c r="R216" s="25">
        <f t="shared" si="26"/>
        <v>0</v>
      </c>
      <c r="S216" s="12">
        <v>0</v>
      </c>
    </row>
    <row r="217" spans="1:19">
      <c r="A217" s="14">
        <f>MAX($A$1:$A216)+1</f>
        <v>215</v>
      </c>
      <c r="B217" s="12" t="str">
        <f t="shared" si="32"/>
        <v>DIVER NAME</v>
      </c>
      <c r="C217" s="12" t="str">
        <f t="shared" si="32"/>
        <v>BUDDY NAME</v>
      </c>
      <c r="D217" s="12">
        <f t="shared" si="32"/>
        <v>0</v>
      </c>
      <c r="E217" s="14" t="str">
        <f>IF(ISERROR(VLOOKUP($D217,[1]SITES!$A:$E,2,FALSE)),"",VLOOKUP($D217,[1]SITES!$A:$E,2,FALSE))</f>
        <v/>
      </c>
      <c r="F217" s="15" t="str">
        <f>IF(ISERROR(VLOOKUP($D217,[1]SITES!$A:$E,3,FALSE)),"",VLOOKUP($D217,[1]SITES!$A:$E,3,FALSE))</f>
        <v/>
      </c>
      <c r="G217" s="16" t="str">
        <f>IF(ISERROR(VLOOKUP($D217,[1]SITES!$A:$E,4,FALSE)),"",VLOOKUP($D217,[1]SITES!$A:$E,4,FALSE))</f>
        <v/>
      </c>
      <c r="H217" s="26" t="str">
        <f t="shared" si="31"/>
        <v>DATE</v>
      </c>
      <c r="I217" s="12" t="str">
        <f t="shared" si="31"/>
        <v>VIS</v>
      </c>
      <c r="J217" s="12" t="str">
        <f t="shared" si="31"/>
        <v>DIRECTION</v>
      </c>
      <c r="K217" s="24" t="str">
        <f t="shared" si="31"/>
        <v>TIME</v>
      </c>
      <c r="L217" s="12" t="str">
        <f t="shared" si="31"/>
        <v>DEPTH</v>
      </c>
      <c r="M217" s="12" t="str">
        <f t="shared" si="31"/>
        <v>BLOCK</v>
      </c>
      <c r="O217" s="22"/>
      <c r="Q217" s="14"/>
      <c r="R217" s="25">
        <f t="shared" si="26"/>
        <v>0</v>
      </c>
      <c r="S217" s="12">
        <v>0</v>
      </c>
    </row>
    <row r="218" spans="1:19">
      <c r="A218" s="14">
        <f>MAX($A$1:$A217)+1</f>
        <v>216</v>
      </c>
      <c r="B218" s="12" t="str">
        <f t="shared" si="32"/>
        <v>DIVER NAME</v>
      </c>
      <c r="C218" s="12" t="str">
        <f t="shared" si="32"/>
        <v>BUDDY NAME</v>
      </c>
      <c r="D218" s="12">
        <f t="shared" si="32"/>
        <v>0</v>
      </c>
      <c r="E218" s="14" t="str">
        <f>IF(ISERROR(VLOOKUP($D218,[1]SITES!$A:$E,2,FALSE)),"",VLOOKUP($D218,[1]SITES!$A:$E,2,FALSE))</f>
        <v/>
      </c>
      <c r="F218" s="15" t="str">
        <f>IF(ISERROR(VLOOKUP($D218,[1]SITES!$A:$E,3,FALSE)),"",VLOOKUP($D218,[1]SITES!$A:$E,3,FALSE))</f>
        <v/>
      </c>
      <c r="G218" s="16" t="str">
        <f>IF(ISERROR(VLOOKUP($D218,[1]SITES!$A:$E,4,FALSE)),"",VLOOKUP($D218,[1]SITES!$A:$E,4,FALSE))</f>
        <v/>
      </c>
      <c r="H218" s="26" t="str">
        <f t="shared" si="31"/>
        <v>DATE</v>
      </c>
      <c r="I218" s="12" t="str">
        <f t="shared" si="31"/>
        <v>VIS</v>
      </c>
      <c r="J218" s="12" t="str">
        <f t="shared" si="31"/>
        <v>DIRECTION</v>
      </c>
      <c r="K218" s="24" t="str">
        <f t="shared" si="31"/>
        <v>TIME</v>
      </c>
      <c r="L218" s="12" t="str">
        <f t="shared" si="31"/>
        <v>DEPTH</v>
      </c>
      <c r="M218" s="12" t="str">
        <f t="shared" si="31"/>
        <v>BLOCK</v>
      </c>
      <c r="O218" s="22"/>
      <c r="Q218" s="14"/>
      <c r="R218" s="25">
        <f t="shared" si="26"/>
        <v>0</v>
      </c>
      <c r="S218" s="12">
        <v>0</v>
      </c>
    </row>
    <row r="219" spans="1:19">
      <c r="A219" s="14">
        <f>MAX($A$1:$A218)+1</f>
        <v>217</v>
      </c>
      <c r="B219" s="12" t="str">
        <f t="shared" si="32"/>
        <v>DIVER NAME</v>
      </c>
      <c r="C219" s="12" t="str">
        <f t="shared" si="32"/>
        <v>BUDDY NAME</v>
      </c>
      <c r="D219" s="12">
        <f t="shared" si="32"/>
        <v>0</v>
      </c>
      <c r="E219" s="14" t="str">
        <f>IF(ISERROR(VLOOKUP($D219,[1]SITES!$A:$E,2,FALSE)),"",VLOOKUP($D219,[1]SITES!$A:$E,2,FALSE))</f>
        <v/>
      </c>
      <c r="F219" s="15" t="str">
        <f>IF(ISERROR(VLOOKUP($D219,[1]SITES!$A:$E,3,FALSE)),"",VLOOKUP($D219,[1]SITES!$A:$E,3,FALSE))</f>
        <v/>
      </c>
      <c r="G219" s="16" t="str">
        <f>IF(ISERROR(VLOOKUP($D219,[1]SITES!$A:$E,4,FALSE)),"",VLOOKUP($D219,[1]SITES!$A:$E,4,FALSE))</f>
        <v/>
      </c>
      <c r="H219" s="26" t="str">
        <f t="shared" si="31"/>
        <v>DATE</v>
      </c>
      <c r="I219" s="12" t="str">
        <f t="shared" si="31"/>
        <v>VIS</v>
      </c>
      <c r="J219" s="12" t="str">
        <f t="shared" si="31"/>
        <v>DIRECTION</v>
      </c>
      <c r="K219" s="24" t="str">
        <f t="shared" si="31"/>
        <v>TIME</v>
      </c>
      <c r="L219" s="12" t="str">
        <f t="shared" si="31"/>
        <v>DEPTH</v>
      </c>
      <c r="M219" s="12" t="str">
        <f t="shared" si="31"/>
        <v>BLOCK</v>
      </c>
      <c r="O219" s="22"/>
      <c r="Q219" s="14"/>
      <c r="R219" s="25">
        <f t="shared" si="26"/>
        <v>0</v>
      </c>
      <c r="S219" s="12">
        <v>0</v>
      </c>
    </row>
    <row r="220" spans="1:19">
      <c r="A220" s="14">
        <f>MAX($A$1:$A219)+1</f>
        <v>218</v>
      </c>
      <c r="B220" s="12" t="str">
        <f t="shared" si="32"/>
        <v>DIVER NAME</v>
      </c>
      <c r="C220" s="12" t="str">
        <f t="shared" si="32"/>
        <v>BUDDY NAME</v>
      </c>
      <c r="D220" s="12">
        <f t="shared" si="32"/>
        <v>0</v>
      </c>
      <c r="E220" s="14" t="str">
        <f>IF(ISERROR(VLOOKUP($D220,[1]SITES!$A:$E,2,FALSE)),"",VLOOKUP($D220,[1]SITES!$A:$E,2,FALSE))</f>
        <v/>
      </c>
      <c r="F220" s="15" t="str">
        <f>IF(ISERROR(VLOOKUP($D220,[1]SITES!$A:$E,3,FALSE)),"",VLOOKUP($D220,[1]SITES!$A:$E,3,FALSE))</f>
        <v/>
      </c>
      <c r="G220" s="16" t="str">
        <f>IF(ISERROR(VLOOKUP($D220,[1]SITES!$A:$E,4,FALSE)),"",VLOOKUP($D220,[1]SITES!$A:$E,4,FALSE))</f>
        <v/>
      </c>
      <c r="H220" s="26" t="str">
        <f t="shared" si="31"/>
        <v>DATE</v>
      </c>
      <c r="I220" s="12" t="str">
        <f t="shared" si="31"/>
        <v>VIS</v>
      </c>
      <c r="J220" s="12" t="str">
        <f t="shared" si="31"/>
        <v>DIRECTION</v>
      </c>
      <c r="K220" s="24" t="str">
        <f t="shared" si="31"/>
        <v>TIME</v>
      </c>
      <c r="L220" s="12" t="str">
        <f t="shared" si="31"/>
        <v>DEPTH</v>
      </c>
      <c r="M220" s="12" t="str">
        <f t="shared" si="31"/>
        <v>BLOCK</v>
      </c>
      <c r="O220" s="22"/>
      <c r="Q220" s="14"/>
      <c r="R220" s="25">
        <f t="shared" si="26"/>
        <v>0</v>
      </c>
      <c r="S220" s="12">
        <v>0</v>
      </c>
    </row>
    <row r="221" spans="1:19">
      <c r="A221" s="14">
        <f>MAX($A$1:$A220)+1</f>
        <v>219</v>
      </c>
      <c r="B221" s="12" t="str">
        <f t="shared" si="32"/>
        <v>DIVER NAME</v>
      </c>
      <c r="C221" s="12" t="str">
        <f t="shared" si="32"/>
        <v>BUDDY NAME</v>
      </c>
      <c r="D221" s="12">
        <f t="shared" si="32"/>
        <v>0</v>
      </c>
      <c r="E221" s="14" t="str">
        <f>IF(ISERROR(VLOOKUP($D221,[1]SITES!$A:$E,2,FALSE)),"",VLOOKUP($D221,[1]SITES!$A:$E,2,FALSE))</f>
        <v/>
      </c>
      <c r="F221" s="15" t="str">
        <f>IF(ISERROR(VLOOKUP($D221,[1]SITES!$A:$E,3,FALSE)),"",VLOOKUP($D221,[1]SITES!$A:$E,3,FALSE))</f>
        <v/>
      </c>
      <c r="G221" s="16" t="str">
        <f>IF(ISERROR(VLOOKUP($D221,[1]SITES!$A:$E,4,FALSE)),"",VLOOKUP($D221,[1]SITES!$A:$E,4,FALSE))</f>
        <v/>
      </c>
      <c r="H221" s="26" t="str">
        <f t="shared" si="31"/>
        <v>DATE</v>
      </c>
      <c r="I221" s="12" t="str">
        <f t="shared" si="31"/>
        <v>VIS</v>
      </c>
      <c r="J221" s="12" t="str">
        <f t="shared" si="31"/>
        <v>DIRECTION</v>
      </c>
      <c r="K221" s="24" t="str">
        <f t="shared" si="31"/>
        <v>TIME</v>
      </c>
      <c r="L221" s="12" t="str">
        <f t="shared" si="31"/>
        <v>DEPTH</v>
      </c>
      <c r="M221" s="12" t="str">
        <f t="shared" si="31"/>
        <v>BLOCK</v>
      </c>
      <c r="O221" s="22"/>
      <c r="Q221" s="14"/>
      <c r="R221" s="25">
        <f t="shared" si="26"/>
        <v>0</v>
      </c>
      <c r="S221" s="12">
        <v>0</v>
      </c>
    </row>
    <row r="222" spans="1:19">
      <c r="A222" s="14">
        <f>MAX($A$1:$A221)+1</f>
        <v>220</v>
      </c>
      <c r="B222" s="12" t="str">
        <f t="shared" si="32"/>
        <v>DIVER NAME</v>
      </c>
      <c r="C222" s="12" t="str">
        <f t="shared" si="32"/>
        <v>BUDDY NAME</v>
      </c>
      <c r="D222" s="12">
        <f t="shared" si="32"/>
        <v>0</v>
      </c>
      <c r="E222" s="14" t="str">
        <f>IF(ISERROR(VLOOKUP($D222,[1]SITES!$A:$E,2,FALSE)),"",VLOOKUP($D222,[1]SITES!$A:$E,2,FALSE))</f>
        <v/>
      </c>
      <c r="F222" s="15" t="str">
        <f>IF(ISERROR(VLOOKUP($D222,[1]SITES!$A:$E,3,FALSE)),"",VLOOKUP($D222,[1]SITES!$A:$E,3,FALSE))</f>
        <v/>
      </c>
      <c r="G222" s="16" t="str">
        <f>IF(ISERROR(VLOOKUP($D222,[1]SITES!$A:$E,4,FALSE)),"",VLOOKUP($D222,[1]SITES!$A:$E,4,FALSE))</f>
        <v/>
      </c>
      <c r="H222" s="26" t="str">
        <f t="shared" si="31"/>
        <v>DATE</v>
      </c>
      <c r="I222" s="12" t="str">
        <f t="shared" si="31"/>
        <v>VIS</v>
      </c>
      <c r="J222" s="12" t="str">
        <f t="shared" si="31"/>
        <v>DIRECTION</v>
      </c>
      <c r="K222" s="24" t="str">
        <f t="shared" si="31"/>
        <v>TIME</v>
      </c>
      <c r="L222" s="12" t="str">
        <f t="shared" si="31"/>
        <v>DEPTH</v>
      </c>
      <c r="M222" s="12" t="str">
        <f t="shared" si="31"/>
        <v>BLOCK</v>
      </c>
      <c r="O222" s="22"/>
      <c r="Q222" s="14"/>
      <c r="R222" s="25">
        <f t="shared" si="26"/>
        <v>0</v>
      </c>
      <c r="S222" s="12">
        <v>0</v>
      </c>
    </row>
    <row r="223" spans="1:19">
      <c r="A223" s="14">
        <f>MAX($A$1:$A222)+1</f>
        <v>221</v>
      </c>
      <c r="B223" s="12" t="str">
        <f t="shared" si="32"/>
        <v>DIVER NAME</v>
      </c>
      <c r="C223" s="12" t="str">
        <f t="shared" si="32"/>
        <v>BUDDY NAME</v>
      </c>
      <c r="D223" s="12">
        <f t="shared" si="32"/>
        <v>0</v>
      </c>
      <c r="E223" s="14" t="str">
        <f>IF(ISERROR(VLOOKUP($D223,[1]SITES!$A:$E,2,FALSE)),"",VLOOKUP($D223,[1]SITES!$A:$E,2,FALSE))</f>
        <v/>
      </c>
      <c r="F223" s="15" t="str">
        <f>IF(ISERROR(VLOOKUP($D223,[1]SITES!$A:$E,3,FALSE)),"",VLOOKUP($D223,[1]SITES!$A:$E,3,FALSE))</f>
        <v/>
      </c>
      <c r="G223" s="16" t="str">
        <f>IF(ISERROR(VLOOKUP($D223,[1]SITES!$A:$E,4,FALSE)),"",VLOOKUP($D223,[1]SITES!$A:$E,4,FALSE))</f>
        <v/>
      </c>
      <c r="H223" s="26" t="str">
        <f t="shared" si="31"/>
        <v>DATE</v>
      </c>
      <c r="I223" s="12" t="str">
        <f t="shared" si="31"/>
        <v>VIS</v>
      </c>
      <c r="J223" s="12" t="str">
        <f t="shared" si="31"/>
        <v>DIRECTION</v>
      </c>
      <c r="K223" s="24" t="str">
        <f t="shared" si="31"/>
        <v>TIME</v>
      </c>
      <c r="L223" s="12" t="str">
        <f t="shared" si="31"/>
        <v>DEPTH</v>
      </c>
      <c r="M223" s="12" t="str">
        <f t="shared" si="31"/>
        <v>BLOCK</v>
      </c>
      <c r="O223" s="22"/>
      <c r="Q223" s="14"/>
      <c r="R223" s="25">
        <f t="shared" si="26"/>
        <v>0</v>
      </c>
      <c r="S223" s="12">
        <v>0</v>
      </c>
    </row>
    <row r="224" spans="1:19">
      <c r="A224" s="14">
        <f>MAX($A$1:$A223)+1</f>
        <v>222</v>
      </c>
      <c r="B224" s="12" t="str">
        <f t="shared" si="32"/>
        <v>DIVER NAME</v>
      </c>
      <c r="C224" s="12" t="str">
        <f t="shared" si="32"/>
        <v>BUDDY NAME</v>
      </c>
      <c r="D224" s="12">
        <f t="shared" si="32"/>
        <v>0</v>
      </c>
      <c r="E224" s="14" t="str">
        <f>IF(ISERROR(VLOOKUP($D224,[1]SITES!$A:$E,2,FALSE)),"",VLOOKUP($D224,[1]SITES!$A:$E,2,FALSE))</f>
        <v/>
      </c>
      <c r="F224" s="15" t="str">
        <f>IF(ISERROR(VLOOKUP($D224,[1]SITES!$A:$E,3,FALSE)),"",VLOOKUP($D224,[1]SITES!$A:$E,3,FALSE))</f>
        <v/>
      </c>
      <c r="G224" s="16" t="str">
        <f>IF(ISERROR(VLOOKUP($D224,[1]SITES!$A:$E,4,FALSE)),"",VLOOKUP($D224,[1]SITES!$A:$E,4,FALSE))</f>
        <v/>
      </c>
      <c r="H224" s="26" t="str">
        <f t="shared" si="31"/>
        <v>DATE</v>
      </c>
      <c r="I224" s="12" t="str">
        <f t="shared" si="31"/>
        <v>VIS</v>
      </c>
      <c r="J224" s="12" t="str">
        <f t="shared" si="31"/>
        <v>DIRECTION</v>
      </c>
      <c r="K224" s="24" t="str">
        <f t="shared" si="31"/>
        <v>TIME</v>
      </c>
      <c r="L224" s="12" t="str">
        <f t="shared" si="31"/>
        <v>DEPTH</v>
      </c>
      <c r="M224" s="12" t="str">
        <f t="shared" si="31"/>
        <v>BLOCK</v>
      </c>
      <c r="O224" s="22"/>
      <c r="Q224" s="14"/>
      <c r="R224" s="25">
        <f t="shared" si="26"/>
        <v>0</v>
      </c>
      <c r="S224" s="12">
        <v>0</v>
      </c>
    </row>
    <row r="225" spans="1:19">
      <c r="A225" s="14">
        <f>MAX($A$1:$A224)+1</f>
        <v>223</v>
      </c>
      <c r="B225" s="12" t="str">
        <f t="shared" si="32"/>
        <v>DIVER NAME</v>
      </c>
      <c r="C225" s="12" t="str">
        <f t="shared" si="32"/>
        <v>BUDDY NAME</v>
      </c>
      <c r="D225" s="12">
        <f t="shared" si="32"/>
        <v>0</v>
      </c>
      <c r="E225" s="14" t="str">
        <f>IF(ISERROR(VLOOKUP($D225,[1]SITES!$A:$E,2,FALSE)),"",VLOOKUP($D225,[1]SITES!$A:$E,2,FALSE))</f>
        <v/>
      </c>
      <c r="F225" s="15" t="str">
        <f>IF(ISERROR(VLOOKUP($D225,[1]SITES!$A:$E,3,FALSE)),"",VLOOKUP($D225,[1]SITES!$A:$E,3,FALSE))</f>
        <v/>
      </c>
      <c r="G225" s="16" t="str">
        <f>IF(ISERROR(VLOOKUP($D225,[1]SITES!$A:$E,4,FALSE)),"",VLOOKUP($D225,[1]SITES!$A:$E,4,FALSE))</f>
        <v/>
      </c>
      <c r="H225" s="26" t="str">
        <f t="shared" si="31"/>
        <v>DATE</v>
      </c>
      <c r="I225" s="12" t="str">
        <f t="shared" si="31"/>
        <v>VIS</v>
      </c>
      <c r="J225" s="12" t="str">
        <f t="shared" si="31"/>
        <v>DIRECTION</v>
      </c>
      <c r="K225" s="24" t="str">
        <f t="shared" si="31"/>
        <v>TIME</v>
      </c>
      <c r="L225" s="12" t="str">
        <f t="shared" si="31"/>
        <v>DEPTH</v>
      </c>
      <c r="M225" s="12" t="str">
        <f t="shared" si="31"/>
        <v>BLOCK</v>
      </c>
      <c r="O225" s="22"/>
      <c r="Q225" s="14"/>
      <c r="R225" s="25">
        <f t="shared" si="26"/>
        <v>0</v>
      </c>
      <c r="S225" s="12">
        <v>0</v>
      </c>
    </row>
    <row r="226" spans="1:19">
      <c r="A226" s="14">
        <f>MAX($A$1:$A225)+1</f>
        <v>224</v>
      </c>
      <c r="B226" s="12" t="str">
        <f t="shared" si="32"/>
        <v>DIVER NAME</v>
      </c>
      <c r="C226" s="12" t="str">
        <f t="shared" si="32"/>
        <v>BUDDY NAME</v>
      </c>
      <c r="D226" s="12">
        <f t="shared" si="32"/>
        <v>0</v>
      </c>
      <c r="E226" s="14" t="str">
        <f>IF(ISERROR(VLOOKUP($D226,[1]SITES!$A:$E,2,FALSE)),"",VLOOKUP($D226,[1]SITES!$A:$E,2,FALSE))</f>
        <v/>
      </c>
      <c r="F226" s="15" t="str">
        <f>IF(ISERROR(VLOOKUP($D226,[1]SITES!$A:$E,3,FALSE)),"",VLOOKUP($D226,[1]SITES!$A:$E,3,FALSE))</f>
        <v/>
      </c>
      <c r="G226" s="16" t="str">
        <f>IF(ISERROR(VLOOKUP($D226,[1]SITES!$A:$E,4,FALSE)),"",VLOOKUP($D226,[1]SITES!$A:$E,4,FALSE))</f>
        <v/>
      </c>
      <c r="H226" s="26" t="str">
        <f t="shared" si="31"/>
        <v>DATE</v>
      </c>
      <c r="I226" s="12" t="str">
        <f t="shared" si="31"/>
        <v>VIS</v>
      </c>
      <c r="J226" s="12" t="str">
        <f t="shared" si="31"/>
        <v>DIRECTION</v>
      </c>
      <c r="K226" s="24" t="str">
        <f t="shared" si="31"/>
        <v>TIME</v>
      </c>
      <c r="L226" s="12" t="str">
        <f t="shared" si="31"/>
        <v>DEPTH</v>
      </c>
      <c r="M226" s="12" t="str">
        <f t="shared" si="31"/>
        <v>BLOCK</v>
      </c>
      <c r="O226" s="22"/>
      <c r="Q226" s="14"/>
      <c r="R226" s="25">
        <f t="shared" si="26"/>
        <v>0</v>
      </c>
      <c r="S226" s="12">
        <v>0</v>
      </c>
    </row>
    <row r="227" spans="1:19">
      <c r="A227" s="14">
        <f>MAX($A$1:$A226)+1</f>
        <v>225</v>
      </c>
      <c r="B227" s="12" t="str">
        <f t="shared" si="32"/>
        <v>DIVER NAME</v>
      </c>
      <c r="C227" s="12" t="str">
        <f t="shared" si="32"/>
        <v>BUDDY NAME</v>
      </c>
      <c r="D227" s="12">
        <f t="shared" si="32"/>
        <v>0</v>
      </c>
      <c r="E227" s="14" t="str">
        <f>IF(ISERROR(VLOOKUP($D227,[1]SITES!$A:$E,2,FALSE)),"",VLOOKUP($D227,[1]SITES!$A:$E,2,FALSE))</f>
        <v/>
      </c>
      <c r="F227" s="15" t="str">
        <f>IF(ISERROR(VLOOKUP($D227,[1]SITES!$A:$E,3,FALSE)),"",VLOOKUP($D227,[1]SITES!$A:$E,3,FALSE))</f>
        <v/>
      </c>
      <c r="G227" s="16" t="str">
        <f>IF(ISERROR(VLOOKUP($D227,[1]SITES!$A:$E,4,FALSE)),"",VLOOKUP($D227,[1]SITES!$A:$E,4,FALSE))</f>
        <v/>
      </c>
      <c r="H227" s="26" t="str">
        <f t="shared" si="31"/>
        <v>DATE</v>
      </c>
      <c r="I227" s="12" t="str">
        <f t="shared" si="31"/>
        <v>VIS</v>
      </c>
      <c r="J227" s="12" t="str">
        <f t="shared" si="31"/>
        <v>DIRECTION</v>
      </c>
      <c r="K227" s="24" t="str">
        <f t="shared" si="31"/>
        <v>TIME</v>
      </c>
      <c r="L227" s="12" t="str">
        <f t="shared" si="31"/>
        <v>DEPTH</v>
      </c>
      <c r="M227" s="12" t="str">
        <f t="shared" si="31"/>
        <v>BLOCK</v>
      </c>
      <c r="O227" s="22"/>
      <c r="Q227" s="14"/>
      <c r="R227" s="25">
        <f t="shared" si="26"/>
        <v>0</v>
      </c>
      <c r="S227" s="12">
        <v>0</v>
      </c>
    </row>
    <row r="228" spans="1:19">
      <c r="A228" s="14">
        <f>MAX($A$1:$A227)+1</f>
        <v>226</v>
      </c>
      <c r="B228" s="12" t="str">
        <f t="shared" si="32"/>
        <v>DIVER NAME</v>
      </c>
      <c r="C228" s="12" t="str">
        <f t="shared" si="32"/>
        <v>BUDDY NAME</v>
      </c>
      <c r="D228" s="12">
        <f t="shared" si="32"/>
        <v>0</v>
      </c>
      <c r="E228" s="14" t="str">
        <f>IF(ISERROR(VLOOKUP($D228,[1]SITES!$A:$E,2,FALSE)),"",VLOOKUP($D228,[1]SITES!$A:$E,2,FALSE))</f>
        <v/>
      </c>
      <c r="F228" s="15" t="str">
        <f>IF(ISERROR(VLOOKUP($D228,[1]SITES!$A:$E,3,FALSE)),"",VLOOKUP($D228,[1]SITES!$A:$E,3,FALSE))</f>
        <v/>
      </c>
      <c r="G228" s="16" t="str">
        <f>IF(ISERROR(VLOOKUP($D228,[1]SITES!$A:$E,4,FALSE)),"",VLOOKUP($D228,[1]SITES!$A:$E,4,FALSE))</f>
        <v/>
      </c>
      <c r="H228" s="26" t="str">
        <f t="shared" ref="H228:M243" si="33">IF(ISERROR(H227),IF(ISERROR(H226),IF(ISERROR(H225),"BLANK",H225),H226),H227)</f>
        <v>DATE</v>
      </c>
      <c r="I228" s="12" t="str">
        <f t="shared" si="33"/>
        <v>VIS</v>
      </c>
      <c r="J228" s="12" t="str">
        <f t="shared" si="33"/>
        <v>DIRECTION</v>
      </c>
      <c r="K228" s="24" t="str">
        <f t="shared" si="33"/>
        <v>TIME</v>
      </c>
      <c r="L228" s="12" t="str">
        <f t="shared" si="33"/>
        <v>DEPTH</v>
      </c>
      <c r="M228" s="12" t="str">
        <f t="shared" si="33"/>
        <v>BLOCK</v>
      </c>
      <c r="O228" s="22"/>
      <c r="Q228" s="14"/>
      <c r="R228" s="25">
        <f t="shared" si="26"/>
        <v>0</v>
      </c>
      <c r="S228" s="12">
        <v>0</v>
      </c>
    </row>
    <row r="229" spans="1:19">
      <c r="A229" s="14">
        <f>MAX($A$1:$A228)+1</f>
        <v>227</v>
      </c>
      <c r="B229" s="12" t="str">
        <f t="shared" ref="B229:D244" si="34">IF(ISERROR(B228),IF(ISERROR(B227),IF(ISERROR(B226),"BLANK",B226),B227),B228)</f>
        <v>DIVER NAME</v>
      </c>
      <c r="C229" s="12" t="str">
        <f t="shared" si="34"/>
        <v>BUDDY NAME</v>
      </c>
      <c r="D229" s="12">
        <f t="shared" si="34"/>
        <v>0</v>
      </c>
      <c r="E229" s="14" t="str">
        <f>IF(ISERROR(VLOOKUP($D229,[1]SITES!$A:$E,2,FALSE)),"",VLOOKUP($D229,[1]SITES!$A:$E,2,FALSE))</f>
        <v/>
      </c>
      <c r="F229" s="15" t="str">
        <f>IF(ISERROR(VLOOKUP($D229,[1]SITES!$A:$E,3,FALSE)),"",VLOOKUP($D229,[1]SITES!$A:$E,3,FALSE))</f>
        <v/>
      </c>
      <c r="G229" s="16" t="str">
        <f>IF(ISERROR(VLOOKUP($D229,[1]SITES!$A:$E,4,FALSE)),"",VLOOKUP($D229,[1]SITES!$A:$E,4,FALSE))</f>
        <v/>
      </c>
      <c r="H229" s="26" t="str">
        <f t="shared" si="33"/>
        <v>DATE</v>
      </c>
      <c r="I229" s="12" t="str">
        <f t="shared" si="33"/>
        <v>VIS</v>
      </c>
      <c r="J229" s="12" t="str">
        <f t="shared" si="33"/>
        <v>DIRECTION</v>
      </c>
      <c r="K229" s="24" t="str">
        <f t="shared" si="33"/>
        <v>TIME</v>
      </c>
      <c r="L229" s="12" t="str">
        <f t="shared" si="33"/>
        <v>DEPTH</v>
      </c>
      <c r="M229" s="12" t="str">
        <f t="shared" si="33"/>
        <v>BLOCK</v>
      </c>
      <c r="O229" s="22"/>
      <c r="Q229" s="14"/>
      <c r="R229" s="25">
        <f t="shared" ref="R229:R292" si="35">SUM(S229:AU229)</f>
        <v>0</v>
      </c>
      <c r="S229" s="12">
        <v>0</v>
      </c>
    </row>
    <row r="230" spans="1:19">
      <c r="A230" s="14">
        <f>MAX($A$1:$A229)+1</f>
        <v>228</v>
      </c>
      <c r="B230" s="12" t="str">
        <f t="shared" si="34"/>
        <v>DIVER NAME</v>
      </c>
      <c r="C230" s="12" t="str">
        <f t="shared" si="34"/>
        <v>BUDDY NAME</v>
      </c>
      <c r="D230" s="12">
        <f t="shared" si="34"/>
        <v>0</v>
      </c>
      <c r="E230" s="14" t="str">
        <f>IF(ISERROR(VLOOKUP($D230,[1]SITES!$A:$E,2,FALSE)),"",VLOOKUP($D230,[1]SITES!$A:$E,2,FALSE))</f>
        <v/>
      </c>
      <c r="F230" s="15" t="str">
        <f>IF(ISERROR(VLOOKUP($D230,[1]SITES!$A:$E,3,FALSE)),"",VLOOKUP($D230,[1]SITES!$A:$E,3,FALSE))</f>
        <v/>
      </c>
      <c r="G230" s="16" t="str">
        <f>IF(ISERROR(VLOOKUP($D230,[1]SITES!$A:$E,4,FALSE)),"",VLOOKUP($D230,[1]SITES!$A:$E,4,FALSE))</f>
        <v/>
      </c>
      <c r="H230" s="26" t="str">
        <f t="shared" si="33"/>
        <v>DATE</v>
      </c>
      <c r="I230" s="12" t="str">
        <f t="shared" si="33"/>
        <v>VIS</v>
      </c>
      <c r="J230" s="12" t="str">
        <f t="shared" si="33"/>
        <v>DIRECTION</v>
      </c>
      <c r="K230" s="24" t="str">
        <f t="shared" si="33"/>
        <v>TIME</v>
      </c>
      <c r="L230" s="12" t="str">
        <f t="shared" si="33"/>
        <v>DEPTH</v>
      </c>
      <c r="M230" s="12" t="str">
        <f t="shared" si="33"/>
        <v>BLOCK</v>
      </c>
      <c r="O230" s="22"/>
      <c r="Q230" s="14"/>
      <c r="R230" s="25">
        <f t="shared" si="35"/>
        <v>0</v>
      </c>
      <c r="S230" s="12">
        <v>0</v>
      </c>
    </row>
    <row r="231" spans="1:19">
      <c r="A231" s="14">
        <f>MAX($A$1:$A230)+1</f>
        <v>229</v>
      </c>
      <c r="B231" s="12" t="str">
        <f t="shared" si="34"/>
        <v>DIVER NAME</v>
      </c>
      <c r="C231" s="12" t="str">
        <f t="shared" si="34"/>
        <v>BUDDY NAME</v>
      </c>
      <c r="D231" s="12">
        <f t="shared" si="34"/>
        <v>0</v>
      </c>
      <c r="E231" s="14" t="str">
        <f>IF(ISERROR(VLOOKUP($D231,[1]SITES!$A:$E,2,FALSE)),"",VLOOKUP($D231,[1]SITES!$A:$E,2,FALSE))</f>
        <v/>
      </c>
      <c r="F231" s="15" t="str">
        <f>IF(ISERROR(VLOOKUP($D231,[1]SITES!$A:$E,3,FALSE)),"",VLOOKUP($D231,[1]SITES!$A:$E,3,FALSE))</f>
        <v/>
      </c>
      <c r="G231" s="16" t="str">
        <f>IF(ISERROR(VLOOKUP($D231,[1]SITES!$A:$E,4,FALSE)),"",VLOOKUP($D231,[1]SITES!$A:$E,4,FALSE))</f>
        <v/>
      </c>
      <c r="H231" s="26" t="str">
        <f t="shared" si="33"/>
        <v>DATE</v>
      </c>
      <c r="I231" s="12" t="str">
        <f t="shared" si="33"/>
        <v>VIS</v>
      </c>
      <c r="J231" s="12" t="str">
        <f t="shared" si="33"/>
        <v>DIRECTION</v>
      </c>
      <c r="K231" s="24" t="str">
        <f t="shared" si="33"/>
        <v>TIME</v>
      </c>
      <c r="L231" s="12" t="str">
        <f t="shared" si="33"/>
        <v>DEPTH</v>
      </c>
      <c r="M231" s="12" t="str">
        <f t="shared" si="33"/>
        <v>BLOCK</v>
      </c>
      <c r="O231" s="22"/>
      <c r="Q231" s="14"/>
      <c r="R231" s="25">
        <f t="shared" si="35"/>
        <v>0</v>
      </c>
      <c r="S231" s="12">
        <v>0</v>
      </c>
    </row>
    <row r="232" spans="1:19">
      <c r="A232" s="14">
        <f>MAX($A$1:$A231)+1</f>
        <v>230</v>
      </c>
      <c r="B232" s="12" t="str">
        <f t="shared" si="34"/>
        <v>DIVER NAME</v>
      </c>
      <c r="C232" s="12" t="str">
        <f t="shared" si="34"/>
        <v>BUDDY NAME</v>
      </c>
      <c r="D232" s="12">
        <f t="shared" si="34"/>
        <v>0</v>
      </c>
      <c r="E232" s="14" t="str">
        <f>IF(ISERROR(VLOOKUP($D232,[1]SITES!$A:$E,2,FALSE)),"",VLOOKUP($D232,[1]SITES!$A:$E,2,FALSE))</f>
        <v/>
      </c>
      <c r="F232" s="15" t="str">
        <f>IF(ISERROR(VLOOKUP($D232,[1]SITES!$A:$E,3,FALSE)),"",VLOOKUP($D232,[1]SITES!$A:$E,3,FALSE))</f>
        <v/>
      </c>
      <c r="G232" s="16" t="str">
        <f>IF(ISERROR(VLOOKUP($D232,[1]SITES!$A:$E,4,FALSE)),"",VLOOKUP($D232,[1]SITES!$A:$E,4,FALSE))</f>
        <v/>
      </c>
      <c r="H232" s="26" t="str">
        <f t="shared" si="33"/>
        <v>DATE</v>
      </c>
      <c r="I232" s="12" t="str">
        <f t="shared" si="33"/>
        <v>VIS</v>
      </c>
      <c r="J232" s="12" t="str">
        <f t="shared" si="33"/>
        <v>DIRECTION</v>
      </c>
      <c r="K232" s="24" t="str">
        <f t="shared" si="33"/>
        <v>TIME</v>
      </c>
      <c r="L232" s="12" t="str">
        <f t="shared" si="33"/>
        <v>DEPTH</v>
      </c>
      <c r="M232" s="12" t="str">
        <f t="shared" si="33"/>
        <v>BLOCK</v>
      </c>
      <c r="O232" s="22"/>
      <c r="Q232" s="14"/>
      <c r="R232" s="25">
        <f t="shared" si="35"/>
        <v>0</v>
      </c>
      <c r="S232" s="12">
        <v>0</v>
      </c>
    </row>
    <row r="233" spans="1:19">
      <c r="A233" s="14">
        <f>MAX($A$1:$A232)+1</f>
        <v>231</v>
      </c>
      <c r="B233" s="12" t="str">
        <f t="shared" si="34"/>
        <v>DIVER NAME</v>
      </c>
      <c r="C233" s="12" t="str">
        <f t="shared" si="34"/>
        <v>BUDDY NAME</v>
      </c>
      <c r="D233" s="12">
        <f t="shared" si="34"/>
        <v>0</v>
      </c>
      <c r="E233" s="14" t="str">
        <f>IF(ISERROR(VLOOKUP($D233,[1]SITES!$A:$E,2,FALSE)),"",VLOOKUP($D233,[1]SITES!$A:$E,2,FALSE))</f>
        <v/>
      </c>
      <c r="F233" s="15" t="str">
        <f>IF(ISERROR(VLOOKUP($D233,[1]SITES!$A:$E,3,FALSE)),"",VLOOKUP($D233,[1]SITES!$A:$E,3,FALSE))</f>
        <v/>
      </c>
      <c r="G233" s="16" t="str">
        <f>IF(ISERROR(VLOOKUP($D233,[1]SITES!$A:$E,4,FALSE)),"",VLOOKUP($D233,[1]SITES!$A:$E,4,FALSE))</f>
        <v/>
      </c>
      <c r="H233" s="26" t="str">
        <f t="shared" si="33"/>
        <v>DATE</v>
      </c>
      <c r="I233" s="12" t="str">
        <f t="shared" si="33"/>
        <v>VIS</v>
      </c>
      <c r="J233" s="12" t="str">
        <f t="shared" si="33"/>
        <v>DIRECTION</v>
      </c>
      <c r="K233" s="24" t="str">
        <f t="shared" si="33"/>
        <v>TIME</v>
      </c>
      <c r="L233" s="12" t="str">
        <f t="shared" si="33"/>
        <v>DEPTH</v>
      </c>
      <c r="M233" s="12" t="str">
        <f t="shared" si="33"/>
        <v>BLOCK</v>
      </c>
      <c r="O233" s="22"/>
      <c r="Q233" s="14"/>
      <c r="R233" s="25">
        <f t="shared" si="35"/>
        <v>0</v>
      </c>
      <c r="S233" s="12">
        <v>0</v>
      </c>
    </row>
    <row r="234" spans="1:19">
      <c r="A234" s="14">
        <f>MAX($A$1:$A233)+1</f>
        <v>232</v>
      </c>
      <c r="B234" s="12" t="str">
        <f t="shared" si="34"/>
        <v>DIVER NAME</v>
      </c>
      <c r="C234" s="12" t="str">
        <f t="shared" si="34"/>
        <v>BUDDY NAME</v>
      </c>
      <c r="D234" s="12">
        <f t="shared" si="34"/>
        <v>0</v>
      </c>
      <c r="E234" s="14" t="str">
        <f>IF(ISERROR(VLOOKUP($D234,[1]SITES!$A:$E,2,FALSE)),"",VLOOKUP($D234,[1]SITES!$A:$E,2,FALSE))</f>
        <v/>
      </c>
      <c r="F234" s="15" t="str">
        <f>IF(ISERROR(VLOOKUP($D234,[1]SITES!$A:$E,3,FALSE)),"",VLOOKUP($D234,[1]SITES!$A:$E,3,FALSE))</f>
        <v/>
      </c>
      <c r="G234" s="16" t="str">
        <f>IF(ISERROR(VLOOKUP($D234,[1]SITES!$A:$E,4,FALSE)),"",VLOOKUP($D234,[1]SITES!$A:$E,4,FALSE))</f>
        <v/>
      </c>
      <c r="H234" s="26" t="str">
        <f t="shared" si="33"/>
        <v>DATE</v>
      </c>
      <c r="I234" s="12" t="str">
        <f t="shared" si="33"/>
        <v>VIS</v>
      </c>
      <c r="J234" s="12" t="str">
        <f t="shared" si="33"/>
        <v>DIRECTION</v>
      </c>
      <c r="K234" s="24" t="str">
        <f t="shared" si="33"/>
        <v>TIME</v>
      </c>
      <c r="L234" s="12" t="str">
        <f t="shared" si="33"/>
        <v>DEPTH</v>
      </c>
      <c r="M234" s="12" t="str">
        <f t="shared" si="33"/>
        <v>BLOCK</v>
      </c>
      <c r="O234" s="22"/>
      <c r="Q234" s="14"/>
      <c r="R234" s="25">
        <f t="shared" si="35"/>
        <v>0</v>
      </c>
      <c r="S234" s="12">
        <v>0</v>
      </c>
    </row>
    <row r="235" spans="1:19">
      <c r="A235" s="14">
        <f>MAX($A$1:$A234)+1</f>
        <v>233</v>
      </c>
      <c r="B235" s="12" t="str">
        <f t="shared" si="34"/>
        <v>DIVER NAME</v>
      </c>
      <c r="C235" s="12" t="str">
        <f t="shared" si="34"/>
        <v>BUDDY NAME</v>
      </c>
      <c r="D235" s="12">
        <f t="shared" si="34"/>
        <v>0</v>
      </c>
      <c r="E235" s="14" t="str">
        <f>IF(ISERROR(VLOOKUP($D235,[1]SITES!$A:$E,2,FALSE)),"",VLOOKUP($D235,[1]SITES!$A:$E,2,FALSE))</f>
        <v/>
      </c>
      <c r="F235" s="15" t="str">
        <f>IF(ISERROR(VLOOKUP($D235,[1]SITES!$A:$E,3,FALSE)),"",VLOOKUP($D235,[1]SITES!$A:$E,3,FALSE))</f>
        <v/>
      </c>
      <c r="G235" s="16" t="str">
        <f>IF(ISERROR(VLOOKUP($D235,[1]SITES!$A:$E,4,FALSE)),"",VLOOKUP($D235,[1]SITES!$A:$E,4,FALSE))</f>
        <v/>
      </c>
      <c r="H235" s="26" t="str">
        <f t="shared" si="33"/>
        <v>DATE</v>
      </c>
      <c r="I235" s="12" t="str">
        <f t="shared" si="33"/>
        <v>VIS</v>
      </c>
      <c r="J235" s="12" t="str">
        <f t="shared" si="33"/>
        <v>DIRECTION</v>
      </c>
      <c r="K235" s="24" t="str">
        <f t="shared" si="33"/>
        <v>TIME</v>
      </c>
      <c r="L235" s="12" t="str">
        <f t="shared" si="33"/>
        <v>DEPTH</v>
      </c>
      <c r="M235" s="12" t="str">
        <f t="shared" si="33"/>
        <v>BLOCK</v>
      </c>
      <c r="O235" s="22"/>
      <c r="Q235" s="14"/>
      <c r="R235" s="25">
        <f t="shared" si="35"/>
        <v>0</v>
      </c>
      <c r="S235" s="12">
        <v>0</v>
      </c>
    </row>
    <row r="236" spans="1:19">
      <c r="A236" s="14">
        <f>MAX($A$1:$A235)+1</f>
        <v>234</v>
      </c>
      <c r="B236" s="12" t="str">
        <f t="shared" si="34"/>
        <v>DIVER NAME</v>
      </c>
      <c r="C236" s="12" t="str">
        <f t="shared" si="34"/>
        <v>BUDDY NAME</v>
      </c>
      <c r="D236" s="12">
        <f t="shared" si="34"/>
        <v>0</v>
      </c>
      <c r="E236" s="14" t="str">
        <f>IF(ISERROR(VLOOKUP($D236,[1]SITES!$A:$E,2,FALSE)),"",VLOOKUP($D236,[1]SITES!$A:$E,2,FALSE))</f>
        <v/>
      </c>
      <c r="F236" s="15" t="str">
        <f>IF(ISERROR(VLOOKUP($D236,[1]SITES!$A:$E,3,FALSE)),"",VLOOKUP($D236,[1]SITES!$A:$E,3,FALSE))</f>
        <v/>
      </c>
      <c r="G236" s="16" t="str">
        <f>IF(ISERROR(VLOOKUP($D236,[1]SITES!$A:$E,4,FALSE)),"",VLOOKUP($D236,[1]SITES!$A:$E,4,FALSE))</f>
        <v/>
      </c>
      <c r="H236" s="26" t="str">
        <f t="shared" si="33"/>
        <v>DATE</v>
      </c>
      <c r="I236" s="12" t="str">
        <f t="shared" si="33"/>
        <v>VIS</v>
      </c>
      <c r="J236" s="12" t="str">
        <f t="shared" si="33"/>
        <v>DIRECTION</v>
      </c>
      <c r="K236" s="24" t="str">
        <f t="shared" si="33"/>
        <v>TIME</v>
      </c>
      <c r="L236" s="12" t="str">
        <f t="shared" si="33"/>
        <v>DEPTH</v>
      </c>
      <c r="M236" s="12" t="str">
        <f t="shared" si="33"/>
        <v>BLOCK</v>
      </c>
      <c r="O236" s="22"/>
      <c r="Q236" s="14"/>
      <c r="R236" s="25">
        <f t="shared" si="35"/>
        <v>0</v>
      </c>
      <c r="S236" s="12">
        <v>0</v>
      </c>
    </row>
    <row r="237" spans="1:19">
      <c r="A237" s="14">
        <f>MAX($A$1:$A236)+1</f>
        <v>235</v>
      </c>
      <c r="B237" s="12" t="str">
        <f t="shared" si="34"/>
        <v>DIVER NAME</v>
      </c>
      <c r="C237" s="12" t="str">
        <f t="shared" si="34"/>
        <v>BUDDY NAME</v>
      </c>
      <c r="D237" s="12">
        <f t="shared" si="34"/>
        <v>0</v>
      </c>
      <c r="E237" s="14" t="str">
        <f>IF(ISERROR(VLOOKUP($D237,[1]SITES!$A:$E,2,FALSE)),"",VLOOKUP($D237,[1]SITES!$A:$E,2,FALSE))</f>
        <v/>
      </c>
      <c r="F237" s="15" t="str">
        <f>IF(ISERROR(VLOOKUP($D237,[1]SITES!$A:$E,3,FALSE)),"",VLOOKUP($D237,[1]SITES!$A:$E,3,FALSE))</f>
        <v/>
      </c>
      <c r="G237" s="16" t="str">
        <f>IF(ISERROR(VLOOKUP($D237,[1]SITES!$A:$E,4,FALSE)),"",VLOOKUP($D237,[1]SITES!$A:$E,4,FALSE))</f>
        <v/>
      </c>
      <c r="H237" s="26" t="str">
        <f t="shared" si="33"/>
        <v>DATE</v>
      </c>
      <c r="I237" s="12" t="str">
        <f t="shared" si="33"/>
        <v>VIS</v>
      </c>
      <c r="J237" s="12" t="str">
        <f t="shared" si="33"/>
        <v>DIRECTION</v>
      </c>
      <c r="K237" s="24" t="str">
        <f t="shared" si="33"/>
        <v>TIME</v>
      </c>
      <c r="L237" s="12" t="str">
        <f t="shared" si="33"/>
        <v>DEPTH</v>
      </c>
      <c r="M237" s="12" t="str">
        <f t="shared" si="33"/>
        <v>BLOCK</v>
      </c>
      <c r="O237" s="22"/>
      <c r="Q237" s="14"/>
      <c r="R237" s="25">
        <f t="shared" si="35"/>
        <v>0</v>
      </c>
      <c r="S237" s="12">
        <v>0</v>
      </c>
    </row>
    <row r="238" spans="1:19">
      <c r="A238" s="14">
        <f>MAX($A$1:$A237)+1</f>
        <v>236</v>
      </c>
      <c r="B238" s="12" t="str">
        <f t="shared" si="34"/>
        <v>DIVER NAME</v>
      </c>
      <c r="C238" s="12" t="str">
        <f t="shared" si="34"/>
        <v>BUDDY NAME</v>
      </c>
      <c r="D238" s="12">
        <f t="shared" si="34"/>
        <v>0</v>
      </c>
      <c r="E238" s="14" t="str">
        <f>IF(ISERROR(VLOOKUP($D238,[1]SITES!$A:$E,2,FALSE)),"",VLOOKUP($D238,[1]SITES!$A:$E,2,FALSE))</f>
        <v/>
      </c>
      <c r="F238" s="15" t="str">
        <f>IF(ISERROR(VLOOKUP($D238,[1]SITES!$A:$E,3,FALSE)),"",VLOOKUP($D238,[1]SITES!$A:$E,3,FALSE))</f>
        <v/>
      </c>
      <c r="G238" s="16" t="str">
        <f>IF(ISERROR(VLOOKUP($D238,[1]SITES!$A:$E,4,FALSE)),"",VLOOKUP($D238,[1]SITES!$A:$E,4,FALSE))</f>
        <v/>
      </c>
      <c r="H238" s="26" t="str">
        <f t="shared" si="33"/>
        <v>DATE</v>
      </c>
      <c r="I238" s="12" t="str">
        <f t="shared" si="33"/>
        <v>VIS</v>
      </c>
      <c r="J238" s="12" t="str">
        <f t="shared" si="33"/>
        <v>DIRECTION</v>
      </c>
      <c r="K238" s="24" t="str">
        <f t="shared" si="33"/>
        <v>TIME</v>
      </c>
      <c r="L238" s="12" t="str">
        <f t="shared" si="33"/>
        <v>DEPTH</v>
      </c>
      <c r="M238" s="12" t="str">
        <f t="shared" si="33"/>
        <v>BLOCK</v>
      </c>
      <c r="O238" s="22"/>
      <c r="Q238" s="14"/>
      <c r="R238" s="25">
        <f t="shared" si="35"/>
        <v>0</v>
      </c>
      <c r="S238" s="12">
        <v>0</v>
      </c>
    </row>
    <row r="239" spans="1:19">
      <c r="A239" s="14">
        <f>MAX($A$1:$A238)+1</f>
        <v>237</v>
      </c>
      <c r="B239" s="12" t="str">
        <f t="shared" si="34"/>
        <v>DIVER NAME</v>
      </c>
      <c r="C239" s="12" t="str">
        <f t="shared" si="34"/>
        <v>BUDDY NAME</v>
      </c>
      <c r="D239" s="12">
        <f t="shared" si="34"/>
        <v>0</v>
      </c>
      <c r="E239" s="14" t="str">
        <f>IF(ISERROR(VLOOKUP($D239,[1]SITES!$A:$E,2,FALSE)),"",VLOOKUP($D239,[1]SITES!$A:$E,2,FALSE))</f>
        <v/>
      </c>
      <c r="F239" s="15" t="str">
        <f>IF(ISERROR(VLOOKUP($D239,[1]SITES!$A:$E,3,FALSE)),"",VLOOKUP($D239,[1]SITES!$A:$E,3,FALSE))</f>
        <v/>
      </c>
      <c r="G239" s="16" t="str">
        <f>IF(ISERROR(VLOOKUP($D239,[1]SITES!$A:$E,4,FALSE)),"",VLOOKUP($D239,[1]SITES!$A:$E,4,FALSE))</f>
        <v/>
      </c>
      <c r="H239" s="26" t="str">
        <f t="shared" si="33"/>
        <v>DATE</v>
      </c>
      <c r="I239" s="12" t="str">
        <f t="shared" si="33"/>
        <v>VIS</v>
      </c>
      <c r="J239" s="12" t="str">
        <f t="shared" si="33"/>
        <v>DIRECTION</v>
      </c>
      <c r="K239" s="24" t="str">
        <f t="shared" si="33"/>
        <v>TIME</v>
      </c>
      <c r="L239" s="12" t="str">
        <f t="shared" si="33"/>
        <v>DEPTH</v>
      </c>
      <c r="M239" s="12" t="str">
        <f t="shared" si="33"/>
        <v>BLOCK</v>
      </c>
      <c r="O239" s="22"/>
      <c r="Q239" s="14"/>
      <c r="R239" s="25">
        <f t="shared" si="35"/>
        <v>0</v>
      </c>
      <c r="S239" s="12">
        <v>0</v>
      </c>
    </row>
    <row r="240" spans="1:19">
      <c r="A240" s="14">
        <f>MAX($A$1:$A239)+1</f>
        <v>238</v>
      </c>
      <c r="B240" s="12" t="str">
        <f t="shared" si="34"/>
        <v>DIVER NAME</v>
      </c>
      <c r="C240" s="12" t="str">
        <f t="shared" si="34"/>
        <v>BUDDY NAME</v>
      </c>
      <c r="D240" s="12">
        <f t="shared" si="34"/>
        <v>0</v>
      </c>
      <c r="E240" s="14" t="str">
        <f>IF(ISERROR(VLOOKUP($D240,[1]SITES!$A:$E,2,FALSE)),"",VLOOKUP($D240,[1]SITES!$A:$E,2,FALSE))</f>
        <v/>
      </c>
      <c r="F240" s="15" t="str">
        <f>IF(ISERROR(VLOOKUP($D240,[1]SITES!$A:$E,3,FALSE)),"",VLOOKUP($D240,[1]SITES!$A:$E,3,FALSE))</f>
        <v/>
      </c>
      <c r="G240" s="16" t="str">
        <f>IF(ISERROR(VLOOKUP($D240,[1]SITES!$A:$E,4,FALSE)),"",VLOOKUP($D240,[1]SITES!$A:$E,4,FALSE))</f>
        <v/>
      </c>
      <c r="H240" s="26" t="str">
        <f t="shared" si="33"/>
        <v>DATE</v>
      </c>
      <c r="I240" s="12" t="str">
        <f t="shared" si="33"/>
        <v>VIS</v>
      </c>
      <c r="J240" s="12" t="str">
        <f t="shared" si="33"/>
        <v>DIRECTION</v>
      </c>
      <c r="K240" s="24" t="str">
        <f t="shared" si="33"/>
        <v>TIME</v>
      </c>
      <c r="L240" s="12" t="str">
        <f t="shared" si="33"/>
        <v>DEPTH</v>
      </c>
      <c r="M240" s="12" t="str">
        <f t="shared" si="33"/>
        <v>BLOCK</v>
      </c>
      <c r="O240" s="22"/>
      <c r="Q240" s="14"/>
      <c r="R240" s="25">
        <f t="shared" si="35"/>
        <v>0</v>
      </c>
      <c r="S240" s="12">
        <v>0</v>
      </c>
    </row>
    <row r="241" spans="1:19">
      <c r="A241" s="14">
        <f>MAX($A$1:$A240)+1</f>
        <v>239</v>
      </c>
      <c r="B241" s="12" t="str">
        <f t="shared" si="34"/>
        <v>DIVER NAME</v>
      </c>
      <c r="C241" s="12" t="str">
        <f t="shared" si="34"/>
        <v>BUDDY NAME</v>
      </c>
      <c r="D241" s="12">
        <f t="shared" si="34"/>
        <v>0</v>
      </c>
      <c r="E241" s="14" t="str">
        <f>IF(ISERROR(VLOOKUP($D241,[1]SITES!$A:$E,2,FALSE)),"",VLOOKUP($D241,[1]SITES!$A:$E,2,FALSE))</f>
        <v/>
      </c>
      <c r="F241" s="15" t="str">
        <f>IF(ISERROR(VLOOKUP($D241,[1]SITES!$A:$E,3,FALSE)),"",VLOOKUP($D241,[1]SITES!$A:$E,3,FALSE))</f>
        <v/>
      </c>
      <c r="G241" s="16" t="str">
        <f>IF(ISERROR(VLOOKUP($D241,[1]SITES!$A:$E,4,FALSE)),"",VLOOKUP($D241,[1]SITES!$A:$E,4,FALSE))</f>
        <v/>
      </c>
      <c r="H241" s="26" t="str">
        <f t="shared" si="33"/>
        <v>DATE</v>
      </c>
      <c r="I241" s="12" t="str">
        <f t="shared" si="33"/>
        <v>VIS</v>
      </c>
      <c r="J241" s="12" t="str">
        <f t="shared" si="33"/>
        <v>DIRECTION</v>
      </c>
      <c r="K241" s="24" t="str">
        <f t="shared" si="33"/>
        <v>TIME</v>
      </c>
      <c r="L241" s="12" t="str">
        <f t="shared" si="33"/>
        <v>DEPTH</v>
      </c>
      <c r="M241" s="12" t="str">
        <f t="shared" si="33"/>
        <v>BLOCK</v>
      </c>
      <c r="O241" s="22"/>
      <c r="Q241" s="14"/>
      <c r="R241" s="25">
        <f t="shared" si="35"/>
        <v>0</v>
      </c>
      <c r="S241" s="12">
        <v>0</v>
      </c>
    </row>
    <row r="242" spans="1:19">
      <c r="A242" s="14">
        <f>MAX($A$1:$A241)+1</f>
        <v>240</v>
      </c>
      <c r="B242" s="12" t="str">
        <f t="shared" si="34"/>
        <v>DIVER NAME</v>
      </c>
      <c r="C242" s="12" t="str">
        <f t="shared" si="34"/>
        <v>BUDDY NAME</v>
      </c>
      <c r="D242" s="12">
        <f t="shared" si="34"/>
        <v>0</v>
      </c>
      <c r="E242" s="14" t="str">
        <f>IF(ISERROR(VLOOKUP($D242,[1]SITES!$A:$E,2,FALSE)),"",VLOOKUP($D242,[1]SITES!$A:$E,2,FALSE))</f>
        <v/>
      </c>
      <c r="F242" s="15" t="str">
        <f>IF(ISERROR(VLOOKUP($D242,[1]SITES!$A:$E,3,FALSE)),"",VLOOKUP($D242,[1]SITES!$A:$E,3,FALSE))</f>
        <v/>
      </c>
      <c r="G242" s="16" t="str">
        <f>IF(ISERROR(VLOOKUP($D242,[1]SITES!$A:$E,4,FALSE)),"",VLOOKUP($D242,[1]SITES!$A:$E,4,FALSE))</f>
        <v/>
      </c>
      <c r="H242" s="26" t="str">
        <f t="shared" si="33"/>
        <v>DATE</v>
      </c>
      <c r="I242" s="12" t="str">
        <f t="shared" si="33"/>
        <v>VIS</v>
      </c>
      <c r="J242" s="12" t="str">
        <f t="shared" si="33"/>
        <v>DIRECTION</v>
      </c>
      <c r="K242" s="24" t="str">
        <f t="shared" si="33"/>
        <v>TIME</v>
      </c>
      <c r="L242" s="12" t="str">
        <f t="shared" si="33"/>
        <v>DEPTH</v>
      </c>
      <c r="M242" s="12" t="str">
        <f t="shared" si="33"/>
        <v>BLOCK</v>
      </c>
      <c r="O242" s="22"/>
      <c r="Q242" s="14"/>
      <c r="R242" s="25">
        <f t="shared" si="35"/>
        <v>0</v>
      </c>
      <c r="S242" s="12">
        <v>0</v>
      </c>
    </row>
    <row r="243" spans="1:19">
      <c r="A243" s="14">
        <f>MAX($A$1:$A242)+1</f>
        <v>241</v>
      </c>
      <c r="B243" s="12" t="str">
        <f t="shared" si="34"/>
        <v>DIVER NAME</v>
      </c>
      <c r="C243" s="12" t="str">
        <f t="shared" si="34"/>
        <v>BUDDY NAME</v>
      </c>
      <c r="D243" s="12">
        <f t="shared" si="34"/>
        <v>0</v>
      </c>
      <c r="E243" s="14" t="str">
        <f>IF(ISERROR(VLOOKUP($D243,[1]SITES!$A:$E,2,FALSE)),"",VLOOKUP($D243,[1]SITES!$A:$E,2,FALSE))</f>
        <v/>
      </c>
      <c r="F243" s="15" t="str">
        <f>IF(ISERROR(VLOOKUP($D243,[1]SITES!$A:$E,3,FALSE)),"",VLOOKUP($D243,[1]SITES!$A:$E,3,FALSE))</f>
        <v/>
      </c>
      <c r="G243" s="16" t="str">
        <f>IF(ISERROR(VLOOKUP($D243,[1]SITES!$A:$E,4,FALSE)),"",VLOOKUP($D243,[1]SITES!$A:$E,4,FALSE))</f>
        <v/>
      </c>
      <c r="H243" s="26" t="str">
        <f t="shared" si="33"/>
        <v>DATE</v>
      </c>
      <c r="I243" s="12" t="str">
        <f t="shared" si="33"/>
        <v>VIS</v>
      </c>
      <c r="J243" s="12" t="str">
        <f t="shared" si="33"/>
        <v>DIRECTION</v>
      </c>
      <c r="K243" s="24" t="str">
        <f t="shared" si="33"/>
        <v>TIME</v>
      </c>
      <c r="L243" s="12" t="str">
        <f t="shared" si="33"/>
        <v>DEPTH</v>
      </c>
      <c r="M243" s="12" t="str">
        <f t="shared" si="33"/>
        <v>BLOCK</v>
      </c>
      <c r="O243" s="22"/>
      <c r="Q243" s="14"/>
      <c r="R243" s="25">
        <f t="shared" si="35"/>
        <v>0</v>
      </c>
      <c r="S243" s="12">
        <v>0</v>
      </c>
    </row>
    <row r="244" spans="1:19">
      <c r="A244" s="14">
        <f>MAX($A$1:$A243)+1</f>
        <v>242</v>
      </c>
      <c r="B244" s="12" t="str">
        <f t="shared" si="34"/>
        <v>DIVER NAME</v>
      </c>
      <c r="C244" s="12" t="str">
        <f t="shared" si="34"/>
        <v>BUDDY NAME</v>
      </c>
      <c r="D244" s="12">
        <f t="shared" si="34"/>
        <v>0</v>
      </c>
      <c r="E244" s="14" t="str">
        <f>IF(ISERROR(VLOOKUP($D244,[1]SITES!$A:$E,2,FALSE)),"",VLOOKUP($D244,[1]SITES!$A:$E,2,FALSE))</f>
        <v/>
      </c>
      <c r="F244" s="15" t="str">
        <f>IF(ISERROR(VLOOKUP($D244,[1]SITES!$A:$E,3,FALSE)),"",VLOOKUP($D244,[1]SITES!$A:$E,3,FALSE))</f>
        <v/>
      </c>
      <c r="G244" s="16" t="str">
        <f>IF(ISERROR(VLOOKUP($D244,[1]SITES!$A:$E,4,FALSE)),"",VLOOKUP($D244,[1]SITES!$A:$E,4,FALSE))</f>
        <v/>
      </c>
      <c r="H244" s="26" t="str">
        <f t="shared" ref="H244:M259" si="36">IF(ISERROR(H243),IF(ISERROR(H242),IF(ISERROR(H241),"BLANK",H241),H242),H243)</f>
        <v>DATE</v>
      </c>
      <c r="I244" s="12" t="str">
        <f t="shared" si="36"/>
        <v>VIS</v>
      </c>
      <c r="J244" s="12" t="str">
        <f t="shared" si="36"/>
        <v>DIRECTION</v>
      </c>
      <c r="K244" s="24" t="str">
        <f t="shared" si="36"/>
        <v>TIME</v>
      </c>
      <c r="L244" s="12" t="str">
        <f t="shared" si="36"/>
        <v>DEPTH</v>
      </c>
      <c r="M244" s="12" t="str">
        <f t="shared" si="36"/>
        <v>BLOCK</v>
      </c>
      <c r="O244" s="22"/>
      <c r="Q244" s="14"/>
      <c r="R244" s="25">
        <f t="shared" si="35"/>
        <v>0</v>
      </c>
      <c r="S244" s="12">
        <v>0</v>
      </c>
    </row>
    <row r="245" spans="1:19">
      <c r="A245" s="14">
        <f>MAX($A$1:$A244)+1</f>
        <v>243</v>
      </c>
      <c r="B245" s="12" t="str">
        <f t="shared" ref="B245:D260" si="37">IF(ISERROR(B244),IF(ISERROR(B243),IF(ISERROR(B242),"BLANK",B242),B243),B244)</f>
        <v>DIVER NAME</v>
      </c>
      <c r="C245" s="12" t="str">
        <f t="shared" si="37"/>
        <v>BUDDY NAME</v>
      </c>
      <c r="D245" s="12">
        <f t="shared" si="37"/>
        <v>0</v>
      </c>
      <c r="E245" s="14" t="str">
        <f>IF(ISERROR(VLOOKUP($D245,[1]SITES!$A:$E,2,FALSE)),"",VLOOKUP($D245,[1]SITES!$A:$E,2,FALSE))</f>
        <v/>
      </c>
      <c r="F245" s="15" t="str">
        <f>IF(ISERROR(VLOOKUP($D245,[1]SITES!$A:$E,3,FALSE)),"",VLOOKUP($D245,[1]SITES!$A:$E,3,FALSE))</f>
        <v/>
      </c>
      <c r="G245" s="16" t="str">
        <f>IF(ISERROR(VLOOKUP($D245,[1]SITES!$A:$E,4,FALSE)),"",VLOOKUP($D245,[1]SITES!$A:$E,4,FALSE))</f>
        <v/>
      </c>
      <c r="H245" s="26" t="str">
        <f t="shared" si="36"/>
        <v>DATE</v>
      </c>
      <c r="I245" s="12" t="str">
        <f t="shared" si="36"/>
        <v>VIS</v>
      </c>
      <c r="J245" s="12" t="str">
        <f t="shared" si="36"/>
        <v>DIRECTION</v>
      </c>
      <c r="K245" s="24" t="str">
        <f t="shared" si="36"/>
        <v>TIME</v>
      </c>
      <c r="L245" s="12" t="str">
        <f t="shared" si="36"/>
        <v>DEPTH</v>
      </c>
      <c r="M245" s="12" t="str">
        <f t="shared" si="36"/>
        <v>BLOCK</v>
      </c>
      <c r="O245" s="22"/>
      <c r="Q245" s="14"/>
      <c r="R245" s="25">
        <f t="shared" si="35"/>
        <v>0</v>
      </c>
      <c r="S245" s="12">
        <v>0</v>
      </c>
    </row>
    <row r="246" spans="1:19">
      <c r="A246" s="14">
        <f>MAX($A$1:$A245)+1</f>
        <v>244</v>
      </c>
      <c r="B246" s="12" t="str">
        <f t="shared" si="37"/>
        <v>DIVER NAME</v>
      </c>
      <c r="C246" s="12" t="str">
        <f t="shared" si="37"/>
        <v>BUDDY NAME</v>
      </c>
      <c r="D246" s="12">
        <f t="shared" si="37"/>
        <v>0</v>
      </c>
      <c r="E246" s="14" t="str">
        <f>IF(ISERROR(VLOOKUP($D246,[1]SITES!$A:$E,2,FALSE)),"",VLOOKUP($D246,[1]SITES!$A:$E,2,FALSE))</f>
        <v/>
      </c>
      <c r="F246" s="15" t="str">
        <f>IF(ISERROR(VLOOKUP($D246,[1]SITES!$A:$E,3,FALSE)),"",VLOOKUP($D246,[1]SITES!$A:$E,3,FALSE))</f>
        <v/>
      </c>
      <c r="G246" s="16" t="str">
        <f>IF(ISERROR(VLOOKUP($D246,[1]SITES!$A:$E,4,FALSE)),"",VLOOKUP($D246,[1]SITES!$A:$E,4,FALSE))</f>
        <v/>
      </c>
      <c r="H246" s="26" t="str">
        <f t="shared" si="36"/>
        <v>DATE</v>
      </c>
      <c r="I246" s="12" t="str">
        <f t="shared" si="36"/>
        <v>VIS</v>
      </c>
      <c r="J246" s="12" t="str">
        <f t="shared" si="36"/>
        <v>DIRECTION</v>
      </c>
      <c r="K246" s="24" t="str">
        <f t="shared" si="36"/>
        <v>TIME</v>
      </c>
      <c r="L246" s="12" t="str">
        <f t="shared" si="36"/>
        <v>DEPTH</v>
      </c>
      <c r="M246" s="12" t="str">
        <f t="shared" si="36"/>
        <v>BLOCK</v>
      </c>
      <c r="O246" s="22"/>
      <c r="Q246" s="14"/>
      <c r="R246" s="25">
        <f t="shared" si="35"/>
        <v>0</v>
      </c>
      <c r="S246" s="12">
        <v>0</v>
      </c>
    </row>
    <row r="247" spans="1:19">
      <c r="A247" s="14">
        <f>MAX($A$1:$A246)+1</f>
        <v>245</v>
      </c>
      <c r="B247" s="12" t="str">
        <f t="shared" si="37"/>
        <v>DIVER NAME</v>
      </c>
      <c r="C247" s="12" t="str">
        <f t="shared" si="37"/>
        <v>BUDDY NAME</v>
      </c>
      <c r="D247" s="12">
        <f t="shared" si="37"/>
        <v>0</v>
      </c>
      <c r="E247" s="14" t="str">
        <f>IF(ISERROR(VLOOKUP($D247,[1]SITES!$A:$E,2,FALSE)),"",VLOOKUP($D247,[1]SITES!$A:$E,2,FALSE))</f>
        <v/>
      </c>
      <c r="F247" s="15" t="str">
        <f>IF(ISERROR(VLOOKUP($D247,[1]SITES!$A:$E,3,FALSE)),"",VLOOKUP($D247,[1]SITES!$A:$E,3,FALSE))</f>
        <v/>
      </c>
      <c r="G247" s="16" t="str">
        <f>IF(ISERROR(VLOOKUP($D247,[1]SITES!$A:$E,4,FALSE)),"",VLOOKUP($D247,[1]SITES!$A:$E,4,FALSE))</f>
        <v/>
      </c>
      <c r="H247" s="26" t="str">
        <f t="shared" si="36"/>
        <v>DATE</v>
      </c>
      <c r="I247" s="12" t="str">
        <f t="shared" si="36"/>
        <v>VIS</v>
      </c>
      <c r="J247" s="12" t="str">
        <f t="shared" si="36"/>
        <v>DIRECTION</v>
      </c>
      <c r="K247" s="24" t="str">
        <f t="shared" si="36"/>
        <v>TIME</v>
      </c>
      <c r="L247" s="12" t="str">
        <f t="shared" si="36"/>
        <v>DEPTH</v>
      </c>
      <c r="M247" s="12" t="str">
        <f t="shared" si="36"/>
        <v>BLOCK</v>
      </c>
      <c r="O247" s="22"/>
      <c r="Q247" s="14"/>
      <c r="R247" s="25">
        <f t="shared" si="35"/>
        <v>0</v>
      </c>
      <c r="S247" s="12">
        <v>0</v>
      </c>
    </row>
    <row r="248" spans="1:19">
      <c r="A248" s="14">
        <f>MAX($A$1:$A247)+1</f>
        <v>246</v>
      </c>
      <c r="B248" s="12" t="str">
        <f t="shared" si="37"/>
        <v>DIVER NAME</v>
      </c>
      <c r="C248" s="12" t="str">
        <f t="shared" si="37"/>
        <v>BUDDY NAME</v>
      </c>
      <c r="D248" s="12">
        <f t="shared" si="37"/>
        <v>0</v>
      </c>
      <c r="E248" s="14" t="str">
        <f>IF(ISERROR(VLOOKUP($D248,[1]SITES!$A:$E,2,FALSE)),"",VLOOKUP($D248,[1]SITES!$A:$E,2,FALSE))</f>
        <v/>
      </c>
      <c r="F248" s="15" t="str">
        <f>IF(ISERROR(VLOOKUP($D248,[1]SITES!$A:$E,3,FALSE)),"",VLOOKUP($D248,[1]SITES!$A:$E,3,FALSE))</f>
        <v/>
      </c>
      <c r="G248" s="16" t="str">
        <f>IF(ISERROR(VLOOKUP($D248,[1]SITES!$A:$E,4,FALSE)),"",VLOOKUP($D248,[1]SITES!$A:$E,4,FALSE))</f>
        <v/>
      </c>
      <c r="H248" s="26" t="str">
        <f t="shared" si="36"/>
        <v>DATE</v>
      </c>
      <c r="I248" s="12" t="str">
        <f t="shared" si="36"/>
        <v>VIS</v>
      </c>
      <c r="J248" s="12" t="str">
        <f t="shared" si="36"/>
        <v>DIRECTION</v>
      </c>
      <c r="K248" s="24" t="str">
        <f t="shared" si="36"/>
        <v>TIME</v>
      </c>
      <c r="L248" s="12" t="str">
        <f t="shared" si="36"/>
        <v>DEPTH</v>
      </c>
      <c r="M248" s="12" t="str">
        <f t="shared" si="36"/>
        <v>BLOCK</v>
      </c>
      <c r="O248" s="22"/>
      <c r="Q248" s="14"/>
      <c r="R248" s="25">
        <f t="shared" si="35"/>
        <v>0</v>
      </c>
      <c r="S248" s="12">
        <v>0</v>
      </c>
    </row>
    <row r="249" spans="1:19">
      <c r="A249" s="14">
        <f>MAX($A$1:$A248)+1</f>
        <v>247</v>
      </c>
      <c r="B249" s="12" t="str">
        <f t="shared" si="37"/>
        <v>DIVER NAME</v>
      </c>
      <c r="C249" s="12" t="str">
        <f t="shared" si="37"/>
        <v>BUDDY NAME</v>
      </c>
      <c r="D249" s="12">
        <f t="shared" si="37"/>
        <v>0</v>
      </c>
      <c r="E249" s="14" t="str">
        <f>IF(ISERROR(VLOOKUP($D249,[1]SITES!$A:$E,2,FALSE)),"",VLOOKUP($D249,[1]SITES!$A:$E,2,FALSE))</f>
        <v/>
      </c>
      <c r="F249" s="15" t="str">
        <f>IF(ISERROR(VLOOKUP($D249,[1]SITES!$A:$E,3,FALSE)),"",VLOOKUP($D249,[1]SITES!$A:$E,3,FALSE))</f>
        <v/>
      </c>
      <c r="G249" s="16" t="str">
        <f>IF(ISERROR(VLOOKUP($D249,[1]SITES!$A:$E,4,FALSE)),"",VLOOKUP($D249,[1]SITES!$A:$E,4,FALSE))</f>
        <v/>
      </c>
      <c r="H249" s="26" t="str">
        <f t="shared" si="36"/>
        <v>DATE</v>
      </c>
      <c r="I249" s="12" t="str">
        <f t="shared" si="36"/>
        <v>VIS</v>
      </c>
      <c r="J249" s="12" t="str">
        <f t="shared" si="36"/>
        <v>DIRECTION</v>
      </c>
      <c r="K249" s="24" t="str">
        <f t="shared" si="36"/>
        <v>TIME</v>
      </c>
      <c r="L249" s="12" t="str">
        <f t="shared" si="36"/>
        <v>DEPTH</v>
      </c>
      <c r="M249" s="12" t="str">
        <f t="shared" si="36"/>
        <v>BLOCK</v>
      </c>
      <c r="O249" s="22"/>
      <c r="Q249" s="14"/>
      <c r="R249" s="25">
        <f t="shared" si="35"/>
        <v>0</v>
      </c>
      <c r="S249" s="12">
        <v>0</v>
      </c>
    </row>
    <row r="250" spans="1:19">
      <c r="A250" s="14">
        <f>MAX($A$1:$A249)+1</f>
        <v>248</v>
      </c>
      <c r="B250" s="12" t="str">
        <f t="shared" si="37"/>
        <v>DIVER NAME</v>
      </c>
      <c r="C250" s="12" t="str">
        <f t="shared" si="37"/>
        <v>BUDDY NAME</v>
      </c>
      <c r="D250" s="12">
        <f t="shared" si="37"/>
        <v>0</v>
      </c>
      <c r="E250" s="14" t="str">
        <f>IF(ISERROR(VLOOKUP($D250,[1]SITES!$A:$E,2,FALSE)),"",VLOOKUP($D250,[1]SITES!$A:$E,2,FALSE))</f>
        <v/>
      </c>
      <c r="F250" s="15" t="str">
        <f>IF(ISERROR(VLOOKUP($D250,[1]SITES!$A:$E,3,FALSE)),"",VLOOKUP($D250,[1]SITES!$A:$E,3,FALSE))</f>
        <v/>
      </c>
      <c r="G250" s="16" t="str">
        <f>IF(ISERROR(VLOOKUP($D250,[1]SITES!$A:$E,4,FALSE)),"",VLOOKUP($D250,[1]SITES!$A:$E,4,FALSE))</f>
        <v/>
      </c>
      <c r="H250" s="26" t="str">
        <f t="shared" si="36"/>
        <v>DATE</v>
      </c>
      <c r="I250" s="12" t="str">
        <f t="shared" si="36"/>
        <v>VIS</v>
      </c>
      <c r="J250" s="12" t="str">
        <f t="shared" si="36"/>
        <v>DIRECTION</v>
      </c>
      <c r="K250" s="24" t="str">
        <f t="shared" si="36"/>
        <v>TIME</v>
      </c>
      <c r="L250" s="12" t="str">
        <f t="shared" si="36"/>
        <v>DEPTH</v>
      </c>
      <c r="M250" s="12" t="str">
        <f t="shared" si="36"/>
        <v>BLOCK</v>
      </c>
      <c r="O250" s="22"/>
      <c r="Q250" s="14"/>
      <c r="R250" s="25">
        <f t="shared" si="35"/>
        <v>0</v>
      </c>
      <c r="S250" s="12">
        <v>0</v>
      </c>
    </row>
    <row r="251" spans="1:19">
      <c r="A251" s="14">
        <f>MAX($A$1:$A250)+1</f>
        <v>249</v>
      </c>
      <c r="B251" s="12" t="str">
        <f t="shared" si="37"/>
        <v>DIVER NAME</v>
      </c>
      <c r="C251" s="12" t="str">
        <f t="shared" si="37"/>
        <v>BUDDY NAME</v>
      </c>
      <c r="D251" s="12">
        <f t="shared" si="37"/>
        <v>0</v>
      </c>
      <c r="E251" s="14" t="str">
        <f>IF(ISERROR(VLOOKUP($D251,[1]SITES!$A:$E,2,FALSE)),"",VLOOKUP($D251,[1]SITES!$A:$E,2,FALSE))</f>
        <v/>
      </c>
      <c r="F251" s="15" t="str">
        <f>IF(ISERROR(VLOOKUP($D251,[1]SITES!$A:$E,3,FALSE)),"",VLOOKUP($D251,[1]SITES!$A:$E,3,FALSE))</f>
        <v/>
      </c>
      <c r="G251" s="16" t="str">
        <f>IF(ISERROR(VLOOKUP($D251,[1]SITES!$A:$E,4,FALSE)),"",VLOOKUP($D251,[1]SITES!$A:$E,4,FALSE))</f>
        <v/>
      </c>
      <c r="H251" s="26" t="str">
        <f t="shared" si="36"/>
        <v>DATE</v>
      </c>
      <c r="I251" s="12" t="str">
        <f t="shared" si="36"/>
        <v>VIS</v>
      </c>
      <c r="J251" s="12" t="str">
        <f t="shared" si="36"/>
        <v>DIRECTION</v>
      </c>
      <c r="K251" s="24" t="str">
        <f t="shared" si="36"/>
        <v>TIME</v>
      </c>
      <c r="L251" s="12" t="str">
        <f t="shared" si="36"/>
        <v>DEPTH</v>
      </c>
      <c r="M251" s="12" t="str">
        <f t="shared" si="36"/>
        <v>BLOCK</v>
      </c>
      <c r="O251" s="22"/>
      <c r="Q251" s="14"/>
      <c r="R251" s="25">
        <f t="shared" si="35"/>
        <v>0</v>
      </c>
      <c r="S251" s="12">
        <v>0</v>
      </c>
    </row>
    <row r="252" spans="1:19">
      <c r="A252" s="14">
        <f>MAX($A$1:$A251)+1</f>
        <v>250</v>
      </c>
      <c r="B252" s="12" t="str">
        <f t="shared" si="37"/>
        <v>DIVER NAME</v>
      </c>
      <c r="C252" s="12" t="str">
        <f t="shared" si="37"/>
        <v>BUDDY NAME</v>
      </c>
      <c r="D252" s="12">
        <f t="shared" si="37"/>
        <v>0</v>
      </c>
      <c r="E252" s="14" t="str">
        <f>IF(ISERROR(VLOOKUP($D252,[1]SITES!$A:$E,2,FALSE)),"",VLOOKUP($D252,[1]SITES!$A:$E,2,FALSE))</f>
        <v/>
      </c>
      <c r="F252" s="15" t="str">
        <f>IF(ISERROR(VLOOKUP($D252,[1]SITES!$A:$E,3,FALSE)),"",VLOOKUP($D252,[1]SITES!$A:$E,3,FALSE))</f>
        <v/>
      </c>
      <c r="G252" s="16" t="str">
        <f>IF(ISERROR(VLOOKUP($D252,[1]SITES!$A:$E,4,FALSE)),"",VLOOKUP($D252,[1]SITES!$A:$E,4,FALSE))</f>
        <v/>
      </c>
      <c r="H252" s="26" t="str">
        <f t="shared" si="36"/>
        <v>DATE</v>
      </c>
      <c r="I252" s="12" t="str">
        <f t="shared" si="36"/>
        <v>VIS</v>
      </c>
      <c r="J252" s="12" t="str">
        <f t="shared" si="36"/>
        <v>DIRECTION</v>
      </c>
      <c r="K252" s="24" t="str">
        <f t="shared" si="36"/>
        <v>TIME</v>
      </c>
      <c r="L252" s="12" t="str">
        <f t="shared" si="36"/>
        <v>DEPTH</v>
      </c>
      <c r="M252" s="12" t="str">
        <f t="shared" si="36"/>
        <v>BLOCK</v>
      </c>
      <c r="O252" s="22"/>
      <c r="Q252" s="14"/>
      <c r="R252" s="25">
        <f t="shared" si="35"/>
        <v>0</v>
      </c>
      <c r="S252" s="12">
        <v>0</v>
      </c>
    </row>
    <row r="253" spans="1:19">
      <c r="A253" s="14">
        <f>MAX($A$1:$A252)+1</f>
        <v>251</v>
      </c>
      <c r="B253" s="12" t="str">
        <f t="shared" si="37"/>
        <v>DIVER NAME</v>
      </c>
      <c r="C253" s="12" t="str">
        <f t="shared" si="37"/>
        <v>BUDDY NAME</v>
      </c>
      <c r="D253" s="12">
        <f t="shared" si="37"/>
        <v>0</v>
      </c>
      <c r="E253" s="14" t="str">
        <f>IF(ISERROR(VLOOKUP($D253,[1]SITES!$A:$E,2,FALSE)),"",VLOOKUP($D253,[1]SITES!$A:$E,2,FALSE))</f>
        <v/>
      </c>
      <c r="F253" s="15" t="str">
        <f>IF(ISERROR(VLOOKUP($D253,[1]SITES!$A:$E,3,FALSE)),"",VLOOKUP($D253,[1]SITES!$A:$E,3,FALSE))</f>
        <v/>
      </c>
      <c r="G253" s="16" t="str">
        <f>IF(ISERROR(VLOOKUP($D253,[1]SITES!$A:$E,4,FALSE)),"",VLOOKUP($D253,[1]SITES!$A:$E,4,FALSE))</f>
        <v/>
      </c>
      <c r="H253" s="26" t="str">
        <f t="shared" si="36"/>
        <v>DATE</v>
      </c>
      <c r="I253" s="12" t="str">
        <f t="shared" si="36"/>
        <v>VIS</v>
      </c>
      <c r="J253" s="12" t="str">
        <f t="shared" si="36"/>
        <v>DIRECTION</v>
      </c>
      <c r="K253" s="24" t="str">
        <f t="shared" si="36"/>
        <v>TIME</v>
      </c>
      <c r="L253" s="12" t="str">
        <f t="shared" si="36"/>
        <v>DEPTH</v>
      </c>
      <c r="M253" s="12" t="str">
        <f t="shared" si="36"/>
        <v>BLOCK</v>
      </c>
      <c r="O253" s="22"/>
      <c r="Q253" s="14"/>
      <c r="R253" s="25">
        <f t="shared" si="35"/>
        <v>0</v>
      </c>
      <c r="S253" s="12">
        <v>0</v>
      </c>
    </row>
    <row r="254" spans="1:19">
      <c r="A254" s="14">
        <f>MAX($A$1:$A253)+1</f>
        <v>252</v>
      </c>
      <c r="B254" s="12" t="str">
        <f t="shared" si="37"/>
        <v>DIVER NAME</v>
      </c>
      <c r="C254" s="12" t="str">
        <f t="shared" si="37"/>
        <v>BUDDY NAME</v>
      </c>
      <c r="D254" s="12">
        <f t="shared" si="37"/>
        <v>0</v>
      </c>
      <c r="E254" s="14" t="str">
        <f>IF(ISERROR(VLOOKUP($D254,[1]SITES!$A:$E,2,FALSE)),"",VLOOKUP($D254,[1]SITES!$A:$E,2,FALSE))</f>
        <v/>
      </c>
      <c r="F254" s="15" t="str">
        <f>IF(ISERROR(VLOOKUP($D254,[1]SITES!$A:$E,3,FALSE)),"",VLOOKUP($D254,[1]SITES!$A:$E,3,FALSE))</f>
        <v/>
      </c>
      <c r="G254" s="16" t="str">
        <f>IF(ISERROR(VLOOKUP($D254,[1]SITES!$A:$E,4,FALSE)),"",VLOOKUP($D254,[1]SITES!$A:$E,4,FALSE))</f>
        <v/>
      </c>
      <c r="H254" s="26" t="str">
        <f t="shared" si="36"/>
        <v>DATE</v>
      </c>
      <c r="I254" s="12" t="str">
        <f t="shared" si="36"/>
        <v>VIS</v>
      </c>
      <c r="J254" s="12" t="str">
        <f t="shared" si="36"/>
        <v>DIRECTION</v>
      </c>
      <c r="K254" s="24" t="str">
        <f t="shared" si="36"/>
        <v>TIME</v>
      </c>
      <c r="L254" s="12" t="str">
        <f t="shared" si="36"/>
        <v>DEPTH</v>
      </c>
      <c r="M254" s="12" t="str">
        <f t="shared" si="36"/>
        <v>BLOCK</v>
      </c>
      <c r="O254" s="22"/>
      <c r="Q254" s="14"/>
      <c r="R254" s="25">
        <f t="shared" si="35"/>
        <v>0</v>
      </c>
      <c r="S254" s="12">
        <v>0</v>
      </c>
    </row>
    <row r="255" spans="1:19">
      <c r="A255" s="14">
        <f>MAX($A$1:$A254)+1</f>
        <v>253</v>
      </c>
      <c r="B255" s="12" t="str">
        <f t="shared" si="37"/>
        <v>DIVER NAME</v>
      </c>
      <c r="C255" s="12" t="str">
        <f t="shared" si="37"/>
        <v>BUDDY NAME</v>
      </c>
      <c r="D255" s="12">
        <f t="shared" si="37"/>
        <v>0</v>
      </c>
      <c r="E255" s="14" t="str">
        <f>IF(ISERROR(VLOOKUP($D255,[1]SITES!$A:$E,2,FALSE)),"",VLOOKUP($D255,[1]SITES!$A:$E,2,FALSE))</f>
        <v/>
      </c>
      <c r="F255" s="15" t="str">
        <f>IF(ISERROR(VLOOKUP($D255,[1]SITES!$A:$E,3,FALSE)),"",VLOOKUP($D255,[1]SITES!$A:$E,3,FALSE))</f>
        <v/>
      </c>
      <c r="G255" s="16" t="str">
        <f>IF(ISERROR(VLOOKUP($D255,[1]SITES!$A:$E,4,FALSE)),"",VLOOKUP($D255,[1]SITES!$A:$E,4,FALSE))</f>
        <v/>
      </c>
      <c r="H255" s="26" t="str">
        <f t="shared" si="36"/>
        <v>DATE</v>
      </c>
      <c r="I255" s="12" t="str">
        <f t="shared" si="36"/>
        <v>VIS</v>
      </c>
      <c r="J255" s="12" t="str">
        <f t="shared" si="36"/>
        <v>DIRECTION</v>
      </c>
      <c r="K255" s="24" t="str">
        <f t="shared" si="36"/>
        <v>TIME</v>
      </c>
      <c r="L255" s="12" t="str">
        <f t="shared" si="36"/>
        <v>DEPTH</v>
      </c>
      <c r="M255" s="12" t="str">
        <f t="shared" si="36"/>
        <v>BLOCK</v>
      </c>
      <c r="O255" s="22"/>
      <c r="Q255" s="14"/>
      <c r="R255" s="25">
        <f t="shared" si="35"/>
        <v>0</v>
      </c>
      <c r="S255" s="12">
        <v>0</v>
      </c>
    </row>
    <row r="256" spans="1:19">
      <c r="A256" s="14">
        <f>MAX($A$1:$A255)+1</f>
        <v>254</v>
      </c>
      <c r="B256" s="12" t="str">
        <f t="shared" si="37"/>
        <v>DIVER NAME</v>
      </c>
      <c r="C256" s="12" t="str">
        <f t="shared" si="37"/>
        <v>BUDDY NAME</v>
      </c>
      <c r="D256" s="12">
        <f t="shared" si="37"/>
        <v>0</v>
      </c>
      <c r="E256" s="14" t="str">
        <f>IF(ISERROR(VLOOKUP($D256,[1]SITES!$A:$E,2,FALSE)),"",VLOOKUP($D256,[1]SITES!$A:$E,2,FALSE))</f>
        <v/>
      </c>
      <c r="F256" s="15" t="str">
        <f>IF(ISERROR(VLOOKUP($D256,[1]SITES!$A:$E,3,FALSE)),"",VLOOKUP($D256,[1]SITES!$A:$E,3,FALSE))</f>
        <v/>
      </c>
      <c r="G256" s="16" t="str">
        <f>IF(ISERROR(VLOOKUP($D256,[1]SITES!$A:$E,4,FALSE)),"",VLOOKUP($D256,[1]SITES!$A:$E,4,FALSE))</f>
        <v/>
      </c>
      <c r="H256" s="26" t="str">
        <f t="shared" si="36"/>
        <v>DATE</v>
      </c>
      <c r="I256" s="12" t="str">
        <f t="shared" si="36"/>
        <v>VIS</v>
      </c>
      <c r="J256" s="12" t="str">
        <f t="shared" si="36"/>
        <v>DIRECTION</v>
      </c>
      <c r="K256" s="24" t="str">
        <f t="shared" si="36"/>
        <v>TIME</v>
      </c>
      <c r="L256" s="12" t="str">
        <f t="shared" si="36"/>
        <v>DEPTH</v>
      </c>
      <c r="M256" s="12" t="str">
        <f t="shared" si="36"/>
        <v>BLOCK</v>
      </c>
      <c r="O256" s="22"/>
      <c r="Q256" s="14"/>
      <c r="R256" s="25">
        <f t="shared" si="35"/>
        <v>0</v>
      </c>
      <c r="S256" s="12">
        <v>0</v>
      </c>
    </row>
    <row r="257" spans="1:19">
      <c r="A257" s="14">
        <f>MAX($A$1:$A256)+1</f>
        <v>255</v>
      </c>
      <c r="B257" s="12" t="str">
        <f t="shared" si="37"/>
        <v>DIVER NAME</v>
      </c>
      <c r="C257" s="12" t="str">
        <f t="shared" si="37"/>
        <v>BUDDY NAME</v>
      </c>
      <c r="D257" s="12">
        <f t="shared" si="37"/>
        <v>0</v>
      </c>
      <c r="E257" s="14" t="str">
        <f>IF(ISERROR(VLOOKUP($D257,[1]SITES!$A:$E,2,FALSE)),"",VLOOKUP($D257,[1]SITES!$A:$E,2,FALSE))</f>
        <v/>
      </c>
      <c r="F257" s="15" t="str">
        <f>IF(ISERROR(VLOOKUP($D257,[1]SITES!$A:$E,3,FALSE)),"",VLOOKUP($D257,[1]SITES!$A:$E,3,FALSE))</f>
        <v/>
      </c>
      <c r="G257" s="16" t="str">
        <f>IF(ISERROR(VLOOKUP($D257,[1]SITES!$A:$E,4,FALSE)),"",VLOOKUP($D257,[1]SITES!$A:$E,4,FALSE))</f>
        <v/>
      </c>
      <c r="H257" s="26" t="str">
        <f t="shared" si="36"/>
        <v>DATE</v>
      </c>
      <c r="I257" s="12" t="str">
        <f t="shared" si="36"/>
        <v>VIS</v>
      </c>
      <c r="J257" s="12" t="str">
        <f t="shared" si="36"/>
        <v>DIRECTION</v>
      </c>
      <c r="K257" s="24" t="str">
        <f t="shared" si="36"/>
        <v>TIME</v>
      </c>
      <c r="L257" s="12" t="str">
        <f t="shared" si="36"/>
        <v>DEPTH</v>
      </c>
      <c r="M257" s="12" t="str">
        <f t="shared" si="36"/>
        <v>BLOCK</v>
      </c>
      <c r="O257" s="22"/>
      <c r="Q257" s="14"/>
      <c r="R257" s="25">
        <f t="shared" si="35"/>
        <v>0</v>
      </c>
      <c r="S257" s="12">
        <v>0</v>
      </c>
    </row>
    <row r="258" spans="1:19">
      <c r="A258" s="14">
        <f>MAX($A$1:$A257)+1</f>
        <v>256</v>
      </c>
      <c r="B258" s="12" t="str">
        <f t="shared" si="37"/>
        <v>DIVER NAME</v>
      </c>
      <c r="C258" s="12" t="str">
        <f t="shared" si="37"/>
        <v>BUDDY NAME</v>
      </c>
      <c r="D258" s="12">
        <f t="shared" si="37"/>
        <v>0</v>
      </c>
      <c r="E258" s="14" t="str">
        <f>IF(ISERROR(VLOOKUP($D258,[1]SITES!$A:$E,2,FALSE)),"",VLOOKUP($D258,[1]SITES!$A:$E,2,FALSE))</f>
        <v/>
      </c>
      <c r="F258" s="15" t="str">
        <f>IF(ISERROR(VLOOKUP($D258,[1]SITES!$A:$E,3,FALSE)),"",VLOOKUP($D258,[1]SITES!$A:$E,3,FALSE))</f>
        <v/>
      </c>
      <c r="G258" s="16" t="str">
        <f>IF(ISERROR(VLOOKUP($D258,[1]SITES!$A:$E,4,FALSE)),"",VLOOKUP($D258,[1]SITES!$A:$E,4,FALSE))</f>
        <v/>
      </c>
      <c r="H258" s="26" t="str">
        <f t="shared" si="36"/>
        <v>DATE</v>
      </c>
      <c r="I258" s="12" t="str">
        <f t="shared" si="36"/>
        <v>VIS</v>
      </c>
      <c r="J258" s="12" t="str">
        <f t="shared" si="36"/>
        <v>DIRECTION</v>
      </c>
      <c r="K258" s="24" t="str">
        <f t="shared" si="36"/>
        <v>TIME</v>
      </c>
      <c r="L258" s="12" t="str">
        <f t="shared" si="36"/>
        <v>DEPTH</v>
      </c>
      <c r="M258" s="12" t="str">
        <f t="shared" si="36"/>
        <v>BLOCK</v>
      </c>
      <c r="O258" s="22"/>
      <c r="Q258" s="14"/>
      <c r="R258" s="25">
        <f t="shared" si="35"/>
        <v>0</v>
      </c>
      <c r="S258" s="12">
        <v>0</v>
      </c>
    </row>
    <row r="259" spans="1:19">
      <c r="A259" s="14">
        <f>MAX($A$1:$A258)+1</f>
        <v>257</v>
      </c>
      <c r="B259" s="12" t="str">
        <f t="shared" si="37"/>
        <v>DIVER NAME</v>
      </c>
      <c r="C259" s="12" t="str">
        <f t="shared" si="37"/>
        <v>BUDDY NAME</v>
      </c>
      <c r="D259" s="12">
        <f t="shared" si="37"/>
        <v>0</v>
      </c>
      <c r="E259" s="14" t="str">
        <f>IF(ISERROR(VLOOKUP($D259,[1]SITES!$A:$E,2,FALSE)),"",VLOOKUP($D259,[1]SITES!$A:$E,2,FALSE))</f>
        <v/>
      </c>
      <c r="F259" s="15" t="str">
        <f>IF(ISERROR(VLOOKUP($D259,[1]SITES!$A:$E,3,FALSE)),"",VLOOKUP($D259,[1]SITES!$A:$E,3,FALSE))</f>
        <v/>
      </c>
      <c r="G259" s="16" t="str">
        <f>IF(ISERROR(VLOOKUP($D259,[1]SITES!$A:$E,4,FALSE)),"",VLOOKUP($D259,[1]SITES!$A:$E,4,FALSE))</f>
        <v/>
      </c>
      <c r="H259" s="26" t="str">
        <f t="shared" si="36"/>
        <v>DATE</v>
      </c>
      <c r="I259" s="12" t="str">
        <f t="shared" si="36"/>
        <v>VIS</v>
      </c>
      <c r="J259" s="12" t="str">
        <f t="shared" si="36"/>
        <v>DIRECTION</v>
      </c>
      <c r="K259" s="24" t="str">
        <f t="shared" si="36"/>
        <v>TIME</v>
      </c>
      <c r="L259" s="12" t="str">
        <f t="shared" si="36"/>
        <v>DEPTH</v>
      </c>
      <c r="M259" s="12" t="str">
        <f t="shared" si="36"/>
        <v>BLOCK</v>
      </c>
      <c r="O259" s="22"/>
      <c r="Q259" s="14"/>
      <c r="R259" s="25">
        <f t="shared" si="35"/>
        <v>0</v>
      </c>
      <c r="S259" s="12">
        <v>0</v>
      </c>
    </row>
    <row r="260" spans="1:19">
      <c r="A260" s="14">
        <f>MAX($A$1:$A259)+1</f>
        <v>258</v>
      </c>
      <c r="B260" s="12" t="str">
        <f t="shared" si="37"/>
        <v>DIVER NAME</v>
      </c>
      <c r="C260" s="12" t="str">
        <f t="shared" si="37"/>
        <v>BUDDY NAME</v>
      </c>
      <c r="D260" s="12">
        <f t="shared" si="37"/>
        <v>0</v>
      </c>
      <c r="E260" s="14" t="str">
        <f>IF(ISERROR(VLOOKUP($D260,[1]SITES!$A:$E,2,FALSE)),"",VLOOKUP($D260,[1]SITES!$A:$E,2,FALSE))</f>
        <v/>
      </c>
      <c r="F260" s="15" t="str">
        <f>IF(ISERROR(VLOOKUP($D260,[1]SITES!$A:$E,3,FALSE)),"",VLOOKUP($D260,[1]SITES!$A:$E,3,FALSE))</f>
        <v/>
      </c>
      <c r="G260" s="16" t="str">
        <f>IF(ISERROR(VLOOKUP($D260,[1]SITES!$A:$E,4,FALSE)),"",VLOOKUP($D260,[1]SITES!$A:$E,4,FALSE))</f>
        <v/>
      </c>
      <c r="H260" s="26" t="str">
        <f t="shared" ref="H260:M275" si="38">IF(ISERROR(H259),IF(ISERROR(H258),IF(ISERROR(H257),"BLANK",H257),H258),H259)</f>
        <v>DATE</v>
      </c>
      <c r="I260" s="12" t="str">
        <f t="shared" si="38"/>
        <v>VIS</v>
      </c>
      <c r="J260" s="12" t="str">
        <f t="shared" si="38"/>
        <v>DIRECTION</v>
      </c>
      <c r="K260" s="24" t="str">
        <f t="shared" si="38"/>
        <v>TIME</v>
      </c>
      <c r="L260" s="12" t="str">
        <f t="shared" si="38"/>
        <v>DEPTH</v>
      </c>
      <c r="M260" s="12" t="str">
        <f t="shared" si="38"/>
        <v>BLOCK</v>
      </c>
      <c r="O260" s="22"/>
      <c r="Q260" s="14"/>
      <c r="R260" s="25">
        <f t="shared" si="35"/>
        <v>0</v>
      </c>
      <c r="S260" s="12">
        <v>0</v>
      </c>
    </row>
    <row r="261" spans="1:19">
      <c r="A261" s="14">
        <f>MAX($A$1:$A260)+1</f>
        <v>259</v>
      </c>
      <c r="B261" s="12" t="str">
        <f t="shared" ref="B261:D276" si="39">IF(ISERROR(B260),IF(ISERROR(B259),IF(ISERROR(B258),"BLANK",B258),B259),B260)</f>
        <v>DIVER NAME</v>
      </c>
      <c r="C261" s="12" t="str">
        <f t="shared" si="39"/>
        <v>BUDDY NAME</v>
      </c>
      <c r="D261" s="12">
        <f t="shared" si="39"/>
        <v>0</v>
      </c>
      <c r="E261" s="14" t="str">
        <f>IF(ISERROR(VLOOKUP($D261,[1]SITES!$A:$E,2,FALSE)),"",VLOOKUP($D261,[1]SITES!$A:$E,2,FALSE))</f>
        <v/>
      </c>
      <c r="F261" s="15" t="str">
        <f>IF(ISERROR(VLOOKUP($D261,[1]SITES!$A:$E,3,FALSE)),"",VLOOKUP($D261,[1]SITES!$A:$E,3,FALSE))</f>
        <v/>
      </c>
      <c r="G261" s="16" t="str">
        <f>IF(ISERROR(VLOOKUP($D261,[1]SITES!$A:$E,4,FALSE)),"",VLOOKUP($D261,[1]SITES!$A:$E,4,FALSE))</f>
        <v/>
      </c>
      <c r="H261" s="26" t="str">
        <f t="shared" si="38"/>
        <v>DATE</v>
      </c>
      <c r="I261" s="12" t="str">
        <f t="shared" si="38"/>
        <v>VIS</v>
      </c>
      <c r="J261" s="12" t="str">
        <f t="shared" si="38"/>
        <v>DIRECTION</v>
      </c>
      <c r="K261" s="24" t="str">
        <f t="shared" si="38"/>
        <v>TIME</v>
      </c>
      <c r="L261" s="12" t="str">
        <f t="shared" si="38"/>
        <v>DEPTH</v>
      </c>
      <c r="M261" s="12" t="str">
        <f t="shared" si="38"/>
        <v>BLOCK</v>
      </c>
      <c r="O261" s="22"/>
      <c r="Q261" s="14"/>
      <c r="R261" s="25">
        <f t="shared" si="35"/>
        <v>0</v>
      </c>
      <c r="S261" s="12">
        <v>0</v>
      </c>
    </row>
    <row r="262" spans="1:19">
      <c r="A262" s="14">
        <f>MAX($A$1:$A261)+1</f>
        <v>260</v>
      </c>
      <c r="B262" s="12" t="str">
        <f t="shared" si="39"/>
        <v>DIVER NAME</v>
      </c>
      <c r="C262" s="12" t="str">
        <f t="shared" si="39"/>
        <v>BUDDY NAME</v>
      </c>
      <c r="D262" s="12">
        <f t="shared" si="39"/>
        <v>0</v>
      </c>
      <c r="E262" s="14" t="str">
        <f>IF(ISERROR(VLOOKUP($D262,[1]SITES!$A:$E,2,FALSE)),"",VLOOKUP($D262,[1]SITES!$A:$E,2,FALSE))</f>
        <v/>
      </c>
      <c r="F262" s="15" t="str">
        <f>IF(ISERROR(VLOOKUP($D262,[1]SITES!$A:$E,3,FALSE)),"",VLOOKUP($D262,[1]SITES!$A:$E,3,FALSE))</f>
        <v/>
      </c>
      <c r="G262" s="16" t="str">
        <f>IF(ISERROR(VLOOKUP($D262,[1]SITES!$A:$E,4,FALSE)),"",VLOOKUP($D262,[1]SITES!$A:$E,4,FALSE))</f>
        <v/>
      </c>
      <c r="H262" s="26" t="str">
        <f t="shared" si="38"/>
        <v>DATE</v>
      </c>
      <c r="I262" s="12" t="str">
        <f t="shared" si="38"/>
        <v>VIS</v>
      </c>
      <c r="J262" s="12" t="str">
        <f t="shared" si="38"/>
        <v>DIRECTION</v>
      </c>
      <c r="K262" s="24" t="str">
        <f t="shared" si="38"/>
        <v>TIME</v>
      </c>
      <c r="L262" s="12" t="str">
        <f t="shared" si="38"/>
        <v>DEPTH</v>
      </c>
      <c r="M262" s="12" t="str">
        <f t="shared" si="38"/>
        <v>BLOCK</v>
      </c>
      <c r="O262" s="22"/>
      <c r="Q262" s="14"/>
      <c r="R262" s="25">
        <f t="shared" si="35"/>
        <v>0</v>
      </c>
      <c r="S262" s="12">
        <v>0</v>
      </c>
    </row>
    <row r="263" spans="1:19">
      <c r="A263" s="14">
        <f>MAX($A$1:$A262)+1</f>
        <v>261</v>
      </c>
      <c r="B263" s="12" t="str">
        <f t="shared" si="39"/>
        <v>DIVER NAME</v>
      </c>
      <c r="C263" s="12" t="str">
        <f t="shared" si="39"/>
        <v>BUDDY NAME</v>
      </c>
      <c r="D263" s="12">
        <f t="shared" si="39"/>
        <v>0</v>
      </c>
      <c r="E263" s="14" t="str">
        <f>IF(ISERROR(VLOOKUP($D263,[1]SITES!$A:$E,2,FALSE)),"",VLOOKUP($D263,[1]SITES!$A:$E,2,FALSE))</f>
        <v/>
      </c>
      <c r="F263" s="15" t="str">
        <f>IF(ISERROR(VLOOKUP($D263,[1]SITES!$A:$E,3,FALSE)),"",VLOOKUP($D263,[1]SITES!$A:$E,3,FALSE))</f>
        <v/>
      </c>
      <c r="G263" s="16" t="str">
        <f>IF(ISERROR(VLOOKUP($D263,[1]SITES!$A:$E,4,FALSE)),"",VLOOKUP($D263,[1]SITES!$A:$E,4,FALSE))</f>
        <v/>
      </c>
      <c r="H263" s="26" t="str">
        <f t="shared" si="38"/>
        <v>DATE</v>
      </c>
      <c r="I263" s="12" t="str">
        <f t="shared" si="38"/>
        <v>VIS</v>
      </c>
      <c r="J263" s="12" t="str">
        <f t="shared" si="38"/>
        <v>DIRECTION</v>
      </c>
      <c r="K263" s="24" t="str">
        <f t="shared" si="38"/>
        <v>TIME</v>
      </c>
      <c r="L263" s="12" t="str">
        <f t="shared" si="38"/>
        <v>DEPTH</v>
      </c>
      <c r="M263" s="12" t="str">
        <f t="shared" si="38"/>
        <v>BLOCK</v>
      </c>
      <c r="O263" s="22"/>
      <c r="Q263" s="14"/>
      <c r="R263" s="25">
        <f t="shared" si="35"/>
        <v>0</v>
      </c>
      <c r="S263" s="12">
        <v>0</v>
      </c>
    </row>
    <row r="264" spans="1:19">
      <c r="A264" s="14">
        <f>MAX($A$1:$A263)+1</f>
        <v>262</v>
      </c>
      <c r="B264" s="12" t="str">
        <f t="shared" si="39"/>
        <v>DIVER NAME</v>
      </c>
      <c r="C264" s="12" t="str">
        <f t="shared" si="39"/>
        <v>BUDDY NAME</v>
      </c>
      <c r="D264" s="12">
        <f t="shared" si="39"/>
        <v>0</v>
      </c>
      <c r="E264" s="14" t="str">
        <f>IF(ISERROR(VLOOKUP($D264,[1]SITES!$A:$E,2,FALSE)),"",VLOOKUP($D264,[1]SITES!$A:$E,2,FALSE))</f>
        <v/>
      </c>
      <c r="F264" s="15" t="str">
        <f>IF(ISERROR(VLOOKUP($D264,[1]SITES!$A:$E,3,FALSE)),"",VLOOKUP($D264,[1]SITES!$A:$E,3,FALSE))</f>
        <v/>
      </c>
      <c r="G264" s="16" t="str">
        <f>IF(ISERROR(VLOOKUP($D264,[1]SITES!$A:$E,4,FALSE)),"",VLOOKUP($D264,[1]SITES!$A:$E,4,FALSE))</f>
        <v/>
      </c>
      <c r="H264" s="26" t="str">
        <f t="shared" si="38"/>
        <v>DATE</v>
      </c>
      <c r="I264" s="12" t="str">
        <f t="shared" si="38"/>
        <v>VIS</v>
      </c>
      <c r="J264" s="12" t="str">
        <f t="shared" si="38"/>
        <v>DIRECTION</v>
      </c>
      <c r="K264" s="24" t="str">
        <f t="shared" si="38"/>
        <v>TIME</v>
      </c>
      <c r="L264" s="12" t="str">
        <f t="shared" si="38"/>
        <v>DEPTH</v>
      </c>
      <c r="M264" s="12" t="str">
        <f t="shared" si="38"/>
        <v>BLOCK</v>
      </c>
      <c r="O264" s="22"/>
      <c r="Q264" s="14"/>
      <c r="R264" s="25">
        <f t="shared" si="35"/>
        <v>0</v>
      </c>
      <c r="S264" s="12">
        <v>0</v>
      </c>
    </row>
    <row r="265" spans="1:19">
      <c r="A265" s="14">
        <f>MAX($A$1:$A264)+1</f>
        <v>263</v>
      </c>
      <c r="B265" s="12" t="str">
        <f t="shared" si="39"/>
        <v>DIVER NAME</v>
      </c>
      <c r="C265" s="12" t="str">
        <f t="shared" si="39"/>
        <v>BUDDY NAME</v>
      </c>
      <c r="D265" s="12">
        <f t="shared" si="39"/>
        <v>0</v>
      </c>
      <c r="E265" s="14" t="str">
        <f>IF(ISERROR(VLOOKUP($D265,[1]SITES!$A:$E,2,FALSE)),"",VLOOKUP($D265,[1]SITES!$A:$E,2,FALSE))</f>
        <v/>
      </c>
      <c r="F265" s="15" t="str">
        <f>IF(ISERROR(VLOOKUP($D265,[1]SITES!$A:$E,3,FALSE)),"",VLOOKUP($D265,[1]SITES!$A:$E,3,FALSE))</f>
        <v/>
      </c>
      <c r="G265" s="16" t="str">
        <f>IF(ISERROR(VLOOKUP($D265,[1]SITES!$A:$E,4,FALSE)),"",VLOOKUP($D265,[1]SITES!$A:$E,4,FALSE))</f>
        <v/>
      </c>
      <c r="H265" s="26" t="str">
        <f t="shared" si="38"/>
        <v>DATE</v>
      </c>
      <c r="I265" s="12" t="str">
        <f t="shared" si="38"/>
        <v>VIS</v>
      </c>
      <c r="J265" s="12" t="str">
        <f t="shared" si="38"/>
        <v>DIRECTION</v>
      </c>
      <c r="K265" s="24" t="str">
        <f t="shared" si="38"/>
        <v>TIME</v>
      </c>
      <c r="L265" s="12" t="str">
        <f t="shared" si="38"/>
        <v>DEPTH</v>
      </c>
      <c r="M265" s="12" t="str">
        <f t="shared" si="38"/>
        <v>BLOCK</v>
      </c>
      <c r="O265" s="22"/>
      <c r="Q265" s="14"/>
      <c r="R265" s="25">
        <f t="shared" si="35"/>
        <v>0</v>
      </c>
      <c r="S265" s="12">
        <v>0</v>
      </c>
    </row>
    <row r="266" spans="1:19">
      <c r="A266" s="14">
        <f>MAX($A$1:$A265)+1</f>
        <v>264</v>
      </c>
      <c r="B266" s="12" t="str">
        <f t="shared" si="39"/>
        <v>DIVER NAME</v>
      </c>
      <c r="C266" s="12" t="str">
        <f t="shared" si="39"/>
        <v>BUDDY NAME</v>
      </c>
      <c r="D266" s="12">
        <f t="shared" si="39"/>
        <v>0</v>
      </c>
      <c r="E266" s="14" t="str">
        <f>IF(ISERROR(VLOOKUP($D266,[1]SITES!$A:$E,2,FALSE)),"",VLOOKUP($D266,[1]SITES!$A:$E,2,FALSE))</f>
        <v/>
      </c>
      <c r="F266" s="15" t="str">
        <f>IF(ISERROR(VLOOKUP($D266,[1]SITES!$A:$E,3,FALSE)),"",VLOOKUP($D266,[1]SITES!$A:$E,3,FALSE))</f>
        <v/>
      </c>
      <c r="G266" s="16" t="str">
        <f>IF(ISERROR(VLOOKUP($D266,[1]SITES!$A:$E,4,FALSE)),"",VLOOKUP($D266,[1]SITES!$A:$E,4,FALSE))</f>
        <v/>
      </c>
      <c r="H266" s="26" t="str">
        <f t="shared" si="38"/>
        <v>DATE</v>
      </c>
      <c r="I266" s="12" t="str">
        <f t="shared" si="38"/>
        <v>VIS</v>
      </c>
      <c r="J266" s="12" t="str">
        <f t="shared" si="38"/>
        <v>DIRECTION</v>
      </c>
      <c r="K266" s="24" t="str">
        <f t="shared" si="38"/>
        <v>TIME</v>
      </c>
      <c r="L266" s="12" t="str">
        <f t="shared" si="38"/>
        <v>DEPTH</v>
      </c>
      <c r="M266" s="12" t="str">
        <f t="shared" si="38"/>
        <v>BLOCK</v>
      </c>
      <c r="O266" s="22"/>
      <c r="Q266" s="14"/>
      <c r="R266" s="25">
        <f t="shared" si="35"/>
        <v>0</v>
      </c>
      <c r="S266" s="12">
        <v>0</v>
      </c>
    </row>
    <row r="267" spans="1:19">
      <c r="A267" s="14">
        <f>MAX($A$1:$A266)+1</f>
        <v>265</v>
      </c>
      <c r="B267" s="12" t="str">
        <f t="shared" si="39"/>
        <v>DIVER NAME</v>
      </c>
      <c r="C267" s="12" t="str">
        <f t="shared" si="39"/>
        <v>BUDDY NAME</v>
      </c>
      <c r="D267" s="12">
        <f t="shared" si="39"/>
        <v>0</v>
      </c>
      <c r="E267" s="14" t="str">
        <f>IF(ISERROR(VLOOKUP($D267,[1]SITES!$A:$E,2,FALSE)),"",VLOOKUP($D267,[1]SITES!$A:$E,2,FALSE))</f>
        <v/>
      </c>
      <c r="F267" s="15" t="str">
        <f>IF(ISERROR(VLOOKUP($D267,[1]SITES!$A:$E,3,FALSE)),"",VLOOKUP($D267,[1]SITES!$A:$E,3,FALSE))</f>
        <v/>
      </c>
      <c r="G267" s="16" t="str">
        <f>IF(ISERROR(VLOOKUP($D267,[1]SITES!$A:$E,4,FALSE)),"",VLOOKUP($D267,[1]SITES!$A:$E,4,FALSE))</f>
        <v/>
      </c>
      <c r="H267" s="26" t="str">
        <f t="shared" si="38"/>
        <v>DATE</v>
      </c>
      <c r="I267" s="12" t="str">
        <f t="shared" si="38"/>
        <v>VIS</v>
      </c>
      <c r="J267" s="12" t="str">
        <f t="shared" si="38"/>
        <v>DIRECTION</v>
      </c>
      <c r="K267" s="24" t="str">
        <f t="shared" si="38"/>
        <v>TIME</v>
      </c>
      <c r="L267" s="12" t="str">
        <f t="shared" si="38"/>
        <v>DEPTH</v>
      </c>
      <c r="M267" s="12" t="str">
        <f t="shared" si="38"/>
        <v>BLOCK</v>
      </c>
      <c r="O267" s="22"/>
      <c r="Q267" s="14"/>
      <c r="R267" s="25">
        <f t="shared" si="35"/>
        <v>0</v>
      </c>
      <c r="S267" s="12">
        <v>0</v>
      </c>
    </row>
    <row r="268" spans="1:19">
      <c r="A268" s="14">
        <f>MAX($A$1:$A267)+1</f>
        <v>266</v>
      </c>
      <c r="B268" s="12" t="str">
        <f t="shared" si="39"/>
        <v>DIVER NAME</v>
      </c>
      <c r="C268" s="12" t="str">
        <f t="shared" si="39"/>
        <v>BUDDY NAME</v>
      </c>
      <c r="D268" s="12">
        <f t="shared" si="39"/>
        <v>0</v>
      </c>
      <c r="E268" s="14" t="str">
        <f>IF(ISERROR(VLOOKUP($D268,[1]SITES!$A:$E,2,FALSE)),"",VLOOKUP($D268,[1]SITES!$A:$E,2,FALSE))</f>
        <v/>
      </c>
      <c r="F268" s="15" t="str">
        <f>IF(ISERROR(VLOOKUP($D268,[1]SITES!$A:$E,3,FALSE)),"",VLOOKUP($D268,[1]SITES!$A:$E,3,FALSE))</f>
        <v/>
      </c>
      <c r="G268" s="16" t="str">
        <f>IF(ISERROR(VLOOKUP($D268,[1]SITES!$A:$E,4,FALSE)),"",VLOOKUP($D268,[1]SITES!$A:$E,4,FALSE))</f>
        <v/>
      </c>
      <c r="H268" s="26" t="str">
        <f t="shared" si="38"/>
        <v>DATE</v>
      </c>
      <c r="I268" s="12" t="str">
        <f t="shared" si="38"/>
        <v>VIS</v>
      </c>
      <c r="J268" s="12" t="str">
        <f t="shared" si="38"/>
        <v>DIRECTION</v>
      </c>
      <c r="K268" s="24" t="str">
        <f t="shared" si="38"/>
        <v>TIME</v>
      </c>
      <c r="L268" s="12" t="str">
        <f t="shared" si="38"/>
        <v>DEPTH</v>
      </c>
      <c r="M268" s="12" t="str">
        <f t="shared" si="38"/>
        <v>BLOCK</v>
      </c>
      <c r="O268" s="22"/>
      <c r="Q268" s="14"/>
      <c r="R268" s="25">
        <f t="shared" si="35"/>
        <v>0</v>
      </c>
      <c r="S268" s="12">
        <v>0</v>
      </c>
    </row>
    <row r="269" spans="1:19">
      <c r="A269" s="14">
        <f>MAX($A$1:$A268)+1</f>
        <v>267</v>
      </c>
      <c r="B269" s="12" t="str">
        <f t="shared" si="39"/>
        <v>DIVER NAME</v>
      </c>
      <c r="C269" s="12" t="str">
        <f t="shared" si="39"/>
        <v>BUDDY NAME</v>
      </c>
      <c r="D269" s="12">
        <f t="shared" si="39"/>
        <v>0</v>
      </c>
      <c r="E269" s="14" t="str">
        <f>IF(ISERROR(VLOOKUP($D269,[1]SITES!$A:$E,2,FALSE)),"",VLOOKUP($D269,[1]SITES!$A:$E,2,FALSE))</f>
        <v/>
      </c>
      <c r="F269" s="15" t="str">
        <f>IF(ISERROR(VLOOKUP($D269,[1]SITES!$A:$E,3,FALSE)),"",VLOOKUP($D269,[1]SITES!$A:$E,3,FALSE))</f>
        <v/>
      </c>
      <c r="G269" s="16" t="str">
        <f>IF(ISERROR(VLOOKUP($D269,[1]SITES!$A:$E,4,FALSE)),"",VLOOKUP($D269,[1]SITES!$A:$E,4,FALSE))</f>
        <v/>
      </c>
      <c r="H269" s="26" t="str">
        <f t="shared" si="38"/>
        <v>DATE</v>
      </c>
      <c r="I269" s="12" t="str">
        <f t="shared" si="38"/>
        <v>VIS</v>
      </c>
      <c r="J269" s="12" t="str">
        <f t="shared" si="38"/>
        <v>DIRECTION</v>
      </c>
      <c r="K269" s="24" t="str">
        <f t="shared" si="38"/>
        <v>TIME</v>
      </c>
      <c r="L269" s="12" t="str">
        <f t="shared" si="38"/>
        <v>DEPTH</v>
      </c>
      <c r="M269" s="12" t="str">
        <f t="shared" si="38"/>
        <v>BLOCK</v>
      </c>
      <c r="O269" s="22"/>
      <c r="Q269" s="14"/>
      <c r="R269" s="25">
        <f t="shared" si="35"/>
        <v>0</v>
      </c>
      <c r="S269" s="12">
        <v>0</v>
      </c>
    </row>
    <row r="270" spans="1:19">
      <c r="A270" s="14">
        <f>MAX($A$1:$A269)+1</f>
        <v>268</v>
      </c>
      <c r="B270" s="12" t="str">
        <f t="shared" si="39"/>
        <v>DIVER NAME</v>
      </c>
      <c r="C270" s="12" t="str">
        <f t="shared" si="39"/>
        <v>BUDDY NAME</v>
      </c>
      <c r="D270" s="12">
        <f t="shared" si="39"/>
        <v>0</v>
      </c>
      <c r="E270" s="14" t="str">
        <f>IF(ISERROR(VLOOKUP($D270,[1]SITES!$A:$E,2,FALSE)),"",VLOOKUP($D270,[1]SITES!$A:$E,2,FALSE))</f>
        <v/>
      </c>
      <c r="F270" s="15" t="str">
        <f>IF(ISERROR(VLOOKUP($D270,[1]SITES!$A:$E,3,FALSE)),"",VLOOKUP($D270,[1]SITES!$A:$E,3,FALSE))</f>
        <v/>
      </c>
      <c r="G270" s="16" t="str">
        <f>IF(ISERROR(VLOOKUP($D270,[1]SITES!$A:$E,4,FALSE)),"",VLOOKUP($D270,[1]SITES!$A:$E,4,FALSE))</f>
        <v/>
      </c>
      <c r="H270" s="26" t="str">
        <f t="shared" si="38"/>
        <v>DATE</v>
      </c>
      <c r="I270" s="12" t="str">
        <f t="shared" si="38"/>
        <v>VIS</v>
      </c>
      <c r="J270" s="12" t="str">
        <f t="shared" si="38"/>
        <v>DIRECTION</v>
      </c>
      <c r="K270" s="24" t="str">
        <f t="shared" si="38"/>
        <v>TIME</v>
      </c>
      <c r="L270" s="12" t="str">
        <f t="shared" si="38"/>
        <v>DEPTH</v>
      </c>
      <c r="M270" s="12" t="str">
        <f t="shared" si="38"/>
        <v>BLOCK</v>
      </c>
      <c r="O270" s="22"/>
      <c r="Q270" s="14"/>
      <c r="R270" s="25">
        <f t="shared" si="35"/>
        <v>0</v>
      </c>
      <c r="S270" s="12">
        <v>0</v>
      </c>
    </row>
    <row r="271" spans="1:19">
      <c r="A271" s="14">
        <f>MAX($A$1:$A270)+1</f>
        <v>269</v>
      </c>
      <c r="B271" s="12" t="str">
        <f t="shared" si="39"/>
        <v>DIVER NAME</v>
      </c>
      <c r="C271" s="12" t="str">
        <f t="shared" si="39"/>
        <v>BUDDY NAME</v>
      </c>
      <c r="D271" s="12">
        <f t="shared" si="39"/>
        <v>0</v>
      </c>
      <c r="E271" s="14" t="str">
        <f>IF(ISERROR(VLOOKUP($D271,[1]SITES!$A:$E,2,FALSE)),"",VLOOKUP($D271,[1]SITES!$A:$E,2,FALSE))</f>
        <v/>
      </c>
      <c r="F271" s="15" t="str">
        <f>IF(ISERROR(VLOOKUP($D271,[1]SITES!$A:$E,3,FALSE)),"",VLOOKUP($D271,[1]SITES!$A:$E,3,FALSE))</f>
        <v/>
      </c>
      <c r="G271" s="16" t="str">
        <f>IF(ISERROR(VLOOKUP($D271,[1]SITES!$A:$E,4,FALSE)),"",VLOOKUP($D271,[1]SITES!$A:$E,4,FALSE))</f>
        <v/>
      </c>
      <c r="H271" s="26" t="str">
        <f t="shared" si="38"/>
        <v>DATE</v>
      </c>
      <c r="I271" s="12" t="str">
        <f t="shared" si="38"/>
        <v>VIS</v>
      </c>
      <c r="J271" s="12" t="str">
        <f t="shared" si="38"/>
        <v>DIRECTION</v>
      </c>
      <c r="K271" s="24" t="str">
        <f t="shared" si="38"/>
        <v>TIME</v>
      </c>
      <c r="L271" s="12" t="str">
        <f t="shared" si="38"/>
        <v>DEPTH</v>
      </c>
      <c r="M271" s="12" t="str">
        <f t="shared" si="38"/>
        <v>BLOCK</v>
      </c>
      <c r="O271" s="22"/>
      <c r="Q271" s="14"/>
      <c r="R271" s="25">
        <f t="shared" si="35"/>
        <v>0</v>
      </c>
      <c r="S271" s="12">
        <v>0</v>
      </c>
    </row>
    <row r="272" spans="1:19">
      <c r="A272" s="14">
        <f>MAX($A$1:$A271)+1</f>
        <v>270</v>
      </c>
      <c r="B272" s="12" t="str">
        <f t="shared" si="39"/>
        <v>DIVER NAME</v>
      </c>
      <c r="C272" s="12" t="str">
        <f t="shared" si="39"/>
        <v>BUDDY NAME</v>
      </c>
      <c r="D272" s="12">
        <f t="shared" si="39"/>
        <v>0</v>
      </c>
      <c r="E272" s="14" t="str">
        <f>IF(ISERROR(VLOOKUP($D272,[1]SITES!$A:$E,2,FALSE)),"",VLOOKUP($D272,[1]SITES!$A:$E,2,FALSE))</f>
        <v/>
      </c>
      <c r="F272" s="15" t="str">
        <f>IF(ISERROR(VLOOKUP($D272,[1]SITES!$A:$E,3,FALSE)),"",VLOOKUP($D272,[1]SITES!$A:$E,3,FALSE))</f>
        <v/>
      </c>
      <c r="G272" s="16" t="str">
        <f>IF(ISERROR(VLOOKUP($D272,[1]SITES!$A:$E,4,FALSE)),"",VLOOKUP($D272,[1]SITES!$A:$E,4,FALSE))</f>
        <v/>
      </c>
      <c r="H272" s="26" t="str">
        <f t="shared" si="38"/>
        <v>DATE</v>
      </c>
      <c r="I272" s="12" t="str">
        <f t="shared" si="38"/>
        <v>VIS</v>
      </c>
      <c r="J272" s="12" t="str">
        <f t="shared" si="38"/>
        <v>DIRECTION</v>
      </c>
      <c r="K272" s="24" t="str">
        <f t="shared" si="38"/>
        <v>TIME</v>
      </c>
      <c r="L272" s="12" t="str">
        <f t="shared" si="38"/>
        <v>DEPTH</v>
      </c>
      <c r="M272" s="12" t="str">
        <f t="shared" si="38"/>
        <v>BLOCK</v>
      </c>
      <c r="O272" s="22"/>
      <c r="Q272" s="14"/>
      <c r="R272" s="25">
        <f t="shared" si="35"/>
        <v>0</v>
      </c>
      <c r="S272" s="12">
        <v>0</v>
      </c>
    </row>
    <row r="273" spans="1:19">
      <c r="A273" s="14">
        <f>MAX($A$1:$A272)+1</f>
        <v>271</v>
      </c>
      <c r="B273" s="12" t="str">
        <f t="shared" si="39"/>
        <v>DIVER NAME</v>
      </c>
      <c r="C273" s="12" t="str">
        <f t="shared" si="39"/>
        <v>BUDDY NAME</v>
      </c>
      <c r="D273" s="12">
        <f t="shared" si="39"/>
        <v>0</v>
      </c>
      <c r="E273" s="14" t="str">
        <f>IF(ISERROR(VLOOKUP($D273,[1]SITES!$A:$E,2,FALSE)),"",VLOOKUP($D273,[1]SITES!$A:$E,2,FALSE))</f>
        <v/>
      </c>
      <c r="F273" s="15" t="str">
        <f>IF(ISERROR(VLOOKUP($D273,[1]SITES!$A:$E,3,FALSE)),"",VLOOKUP($D273,[1]SITES!$A:$E,3,FALSE))</f>
        <v/>
      </c>
      <c r="G273" s="16" t="str">
        <f>IF(ISERROR(VLOOKUP($D273,[1]SITES!$A:$E,4,FALSE)),"",VLOOKUP($D273,[1]SITES!$A:$E,4,FALSE))</f>
        <v/>
      </c>
      <c r="H273" s="26" t="str">
        <f t="shared" si="38"/>
        <v>DATE</v>
      </c>
      <c r="I273" s="12" t="str">
        <f t="shared" si="38"/>
        <v>VIS</v>
      </c>
      <c r="J273" s="12" t="str">
        <f t="shared" si="38"/>
        <v>DIRECTION</v>
      </c>
      <c r="K273" s="24" t="str">
        <f t="shared" si="38"/>
        <v>TIME</v>
      </c>
      <c r="L273" s="12" t="str">
        <f t="shared" si="38"/>
        <v>DEPTH</v>
      </c>
      <c r="M273" s="12" t="str">
        <f t="shared" si="38"/>
        <v>BLOCK</v>
      </c>
      <c r="O273" s="22"/>
      <c r="Q273" s="14"/>
      <c r="R273" s="25">
        <f t="shared" si="35"/>
        <v>0</v>
      </c>
      <c r="S273" s="12">
        <v>0</v>
      </c>
    </row>
    <row r="274" spans="1:19">
      <c r="A274" s="14">
        <f>MAX($A$1:$A273)+1</f>
        <v>272</v>
      </c>
      <c r="B274" s="12" t="str">
        <f t="shared" si="39"/>
        <v>DIVER NAME</v>
      </c>
      <c r="C274" s="12" t="str">
        <f t="shared" si="39"/>
        <v>BUDDY NAME</v>
      </c>
      <c r="D274" s="12">
        <f t="shared" si="39"/>
        <v>0</v>
      </c>
      <c r="E274" s="14" t="str">
        <f>IF(ISERROR(VLOOKUP($D274,[1]SITES!$A:$E,2,FALSE)),"",VLOOKUP($D274,[1]SITES!$A:$E,2,FALSE))</f>
        <v/>
      </c>
      <c r="F274" s="15" t="str">
        <f>IF(ISERROR(VLOOKUP($D274,[1]SITES!$A:$E,3,FALSE)),"",VLOOKUP($D274,[1]SITES!$A:$E,3,FALSE))</f>
        <v/>
      </c>
      <c r="G274" s="16" t="str">
        <f>IF(ISERROR(VLOOKUP($D274,[1]SITES!$A:$E,4,FALSE)),"",VLOOKUP($D274,[1]SITES!$A:$E,4,FALSE))</f>
        <v/>
      </c>
      <c r="H274" s="26" t="str">
        <f t="shared" si="38"/>
        <v>DATE</v>
      </c>
      <c r="I274" s="12" t="str">
        <f t="shared" si="38"/>
        <v>VIS</v>
      </c>
      <c r="J274" s="12" t="str">
        <f t="shared" si="38"/>
        <v>DIRECTION</v>
      </c>
      <c r="K274" s="24" t="str">
        <f t="shared" si="38"/>
        <v>TIME</v>
      </c>
      <c r="L274" s="12" t="str">
        <f t="shared" si="38"/>
        <v>DEPTH</v>
      </c>
      <c r="M274" s="12" t="str">
        <f t="shared" si="38"/>
        <v>BLOCK</v>
      </c>
      <c r="O274" s="22"/>
      <c r="Q274" s="14"/>
      <c r="R274" s="25">
        <f t="shared" si="35"/>
        <v>0</v>
      </c>
      <c r="S274" s="12">
        <v>0</v>
      </c>
    </row>
    <row r="275" spans="1:19">
      <c r="A275" s="14">
        <f>MAX($A$1:$A274)+1</f>
        <v>273</v>
      </c>
      <c r="B275" s="12" t="str">
        <f t="shared" si="39"/>
        <v>DIVER NAME</v>
      </c>
      <c r="C275" s="12" t="str">
        <f t="shared" si="39"/>
        <v>BUDDY NAME</v>
      </c>
      <c r="D275" s="12">
        <f t="shared" si="39"/>
        <v>0</v>
      </c>
      <c r="E275" s="14" t="str">
        <f>IF(ISERROR(VLOOKUP($D275,[1]SITES!$A:$E,2,FALSE)),"",VLOOKUP($D275,[1]SITES!$A:$E,2,FALSE))</f>
        <v/>
      </c>
      <c r="F275" s="15" t="str">
        <f>IF(ISERROR(VLOOKUP($D275,[1]SITES!$A:$E,3,FALSE)),"",VLOOKUP($D275,[1]SITES!$A:$E,3,FALSE))</f>
        <v/>
      </c>
      <c r="G275" s="16" t="str">
        <f>IF(ISERROR(VLOOKUP($D275,[1]SITES!$A:$E,4,FALSE)),"",VLOOKUP($D275,[1]SITES!$A:$E,4,FALSE))</f>
        <v/>
      </c>
      <c r="H275" s="26" t="str">
        <f t="shared" si="38"/>
        <v>DATE</v>
      </c>
      <c r="I275" s="12" t="str">
        <f t="shared" si="38"/>
        <v>VIS</v>
      </c>
      <c r="J275" s="12" t="str">
        <f t="shared" si="38"/>
        <v>DIRECTION</v>
      </c>
      <c r="K275" s="24" t="str">
        <f t="shared" si="38"/>
        <v>TIME</v>
      </c>
      <c r="L275" s="12" t="str">
        <f t="shared" si="38"/>
        <v>DEPTH</v>
      </c>
      <c r="M275" s="12" t="str">
        <f t="shared" si="38"/>
        <v>BLOCK</v>
      </c>
      <c r="O275" s="22"/>
      <c r="Q275" s="14"/>
      <c r="R275" s="25">
        <f t="shared" si="35"/>
        <v>0</v>
      </c>
      <c r="S275" s="12">
        <v>0</v>
      </c>
    </row>
    <row r="276" spans="1:19">
      <c r="A276" s="14">
        <f>MAX($A$1:$A275)+1</f>
        <v>274</v>
      </c>
      <c r="B276" s="12" t="str">
        <f t="shared" si="39"/>
        <v>DIVER NAME</v>
      </c>
      <c r="C276" s="12" t="str">
        <f t="shared" si="39"/>
        <v>BUDDY NAME</v>
      </c>
      <c r="D276" s="12">
        <f t="shared" si="39"/>
        <v>0</v>
      </c>
      <c r="E276" s="14" t="str">
        <f>IF(ISERROR(VLOOKUP($D276,[1]SITES!$A:$E,2,FALSE)),"",VLOOKUP($D276,[1]SITES!$A:$E,2,FALSE))</f>
        <v/>
      </c>
      <c r="F276" s="15" t="str">
        <f>IF(ISERROR(VLOOKUP($D276,[1]SITES!$A:$E,3,FALSE)),"",VLOOKUP($D276,[1]SITES!$A:$E,3,FALSE))</f>
        <v/>
      </c>
      <c r="G276" s="16" t="str">
        <f>IF(ISERROR(VLOOKUP($D276,[1]SITES!$A:$E,4,FALSE)),"",VLOOKUP($D276,[1]SITES!$A:$E,4,FALSE))</f>
        <v/>
      </c>
      <c r="H276" s="26" t="str">
        <f t="shared" ref="H276:M291" si="40">IF(ISERROR(H275),IF(ISERROR(H274),IF(ISERROR(H273),"BLANK",H273),H274),H275)</f>
        <v>DATE</v>
      </c>
      <c r="I276" s="12" t="str">
        <f t="shared" si="40"/>
        <v>VIS</v>
      </c>
      <c r="J276" s="12" t="str">
        <f t="shared" si="40"/>
        <v>DIRECTION</v>
      </c>
      <c r="K276" s="24" t="str">
        <f t="shared" si="40"/>
        <v>TIME</v>
      </c>
      <c r="L276" s="12" t="str">
        <f t="shared" si="40"/>
        <v>DEPTH</v>
      </c>
      <c r="M276" s="12" t="str">
        <f t="shared" si="40"/>
        <v>BLOCK</v>
      </c>
      <c r="O276" s="22"/>
      <c r="Q276" s="14"/>
      <c r="R276" s="25">
        <f t="shared" si="35"/>
        <v>0</v>
      </c>
      <c r="S276" s="12">
        <v>0</v>
      </c>
    </row>
    <row r="277" spans="1:19">
      <c r="A277" s="14">
        <f>MAX($A$1:$A276)+1</f>
        <v>275</v>
      </c>
      <c r="B277" s="12" t="str">
        <f t="shared" ref="B277:D292" si="41">IF(ISERROR(B276),IF(ISERROR(B275),IF(ISERROR(B274),"BLANK",B274),B275),B276)</f>
        <v>DIVER NAME</v>
      </c>
      <c r="C277" s="12" t="str">
        <f t="shared" si="41"/>
        <v>BUDDY NAME</v>
      </c>
      <c r="D277" s="12">
        <f t="shared" si="41"/>
        <v>0</v>
      </c>
      <c r="E277" s="14" t="str">
        <f>IF(ISERROR(VLOOKUP($D277,[1]SITES!$A:$E,2,FALSE)),"",VLOOKUP($D277,[1]SITES!$A:$E,2,FALSE))</f>
        <v/>
      </c>
      <c r="F277" s="15" t="str">
        <f>IF(ISERROR(VLOOKUP($D277,[1]SITES!$A:$E,3,FALSE)),"",VLOOKUP($D277,[1]SITES!$A:$E,3,FALSE))</f>
        <v/>
      </c>
      <c r="G277" s="16" t="str">
        <f>IF(ISERROR(VLOOKUP($D277,[1]SITES!$A:$E,4,FALSE)),"",VLOOKUP($D277,[1]SITES!$A:$E,4,FALSE))</f>
        <v/>
      </c>
      <c r="H277" s="26" t="str">
        <f t="shared" si="40"/>
        <v>DATE</v>
      </c>
      <c r="I277" s="12" t="str">
        <f t="shared" si="40"/>
        <v>VIS</v>
      </c>
      <c r="J277" s="12" t="str">
        <f t="shared" si="40"/>
        <v>DIRECTION</v>
      </c>
      <c r="K277" s="24" t="str">
        <f t="shared" si="40"/>
        <v>TIME</v>
      </c>
      <c r="L277" s="12" t="str">
        <f t="shared" si="40"/>
        <v>DEPTH</v>
      </c>
      <c r="M277" s="12" t="str">
        <f t="shared" si="40"/>
        <v>BLOCK</v>
      </c>
      <c r="O277" s="22"/>
      <c r="Q277" s="14"/>
      <c r="R277" s="25">
        <f t="shared" si="35"/>
        <v>0</v>
      </c>
      <c r="S277" s="12">
        <v>0</v>
      </c>
    </row>
    <row r="278" spans="1:19">
      <c r="A278" s="14">
        <f>MAX($A$1:$A277)+1</f>
        <v>276</v>
      </c>
      <c r="B278" s="12" t="str">
        <f t="shared" si="41"/>
        <v>DIVER NAME</v>
      </c>
      <c r="C278" s="12" t="str">
        <f t="shared" si="41"/>
        <v>BUDDY NAME</v>
      </c>
      <c r="D278" s="12">
        <f t="shared" si="41"/>
        <v>0</v>
      </c>
      <c r="E278" s="14" t="str">
        <f>IF(ISERROR(VLOOKUP($D278,[1]SITES!$A:$E,2,FALSE)),"",VLOOKUP($D278,[1]SITES!$A:$E,2,FALSE))</f>
        <v/>
      </c>
      <c r="F278" s="15" t="str">
        <f>IF(ISERROR(VLOOKUP($D278,[1]SITES!$A:$E,3,FALSE)),"",VLOOKUP($D278,[1]SITES!$A:$E,3,FALSE))</f>
        <v/>
      </c>
      <c r="G278" s="16" t="str">
        <f>IF(ISERROR(VLOOKUP($D278,[1]SITES!$A:$E,4,FALSE)),"",VLOOKUP($D278,[1]SITES!$A:$E,4,FALSE))</f>
        <v/>
      </c>
      <c r="H278" s="26" t="str">
        <f t="shared" si="40"/>
        <v>DATE</v>
      </c>
      <c r="I278" s="12" t="str">
        <f t="shared" si="40"/>
        <v>VIS</v>
      </c>
      <c r="J278" s="12" t="str">
        <f t="shared" si="40"/>
        <v>DIRECTION</v>
      </c>
      <c r="K278" s="24" t="str">
        <f t="shared" si="40"/>
        <v>TIME</v>
      </c>
      <c r="L278" s="12" t="str">
        <f t="shared" si="40"/>
        <v>DEPTH</v>
      </c>
      <c r="M278" s="12" t="str">
        <f t="shared" si="40"/>
        <v>BLOCK</v>
      </c>
      <c r="O278" s="22"/>
      <c r="Q278" s="14"/>
      <c r="R278" s="25">
        <f t="shared" si="35"/>
        <v>0</v>
      </c>
      <c r="S278" s="12">
        <v>0</v>
      </c>
    </row>
    <row r="279" spans="1:19">
      <c r="A279" s="14">
        <f>MAX($A$1:$A278)+1</f>
        <v>277</v>
      </c>
      <c r="B279" s="12" t="str">
        <f t="shared" si="41"/>
        <v>DIVER NAME</v>
      </c>
      <c r="C279" s="12" t="str">
        <f t="shared" si="41"/>
        <v>BUDDY NAME</v>
      </c>
      <c r="D279" s="12">
        <f t="shared" si="41"/>
        <v>0</v>
      </c>
      <c r="E279" s="14" t="str">
        <f>IF(ISERROR(VLOOKUP($D279,[1]SITES!$A:$E,2,FALSE)),"",VLOOKUP($D279,[1]SITES!$A:$E,2,FALSE))</f>
        <v/>
      </c>
      <c r="F279" s="15" t="str">
        <f>IF(ISERROR(VLOOKUP($D279,[1]SITES!$A:$E,3,FALSE)),"",VLOOKUP($D279,[1]SITES!$A:$E,3,FALSE))</f>
        <v/>
      </c>
      <c r="G279" s="16" t="str">
        <f>IF(ISERROR(VLOOKUP($D279,[1]SITES!$A:$E,4,FALSE)),"",VLOOKUP($D279,[1]SITES!$A:$E,4,FALSE))</f>
        <v/>
      </c>
      <c r="H279" s="26" t="str">
        <f t="shared" si="40"/>
        <v>DATE</v>
      </c>
      <c r="I279" s="12" t="str">
        <f t="shared" si="40"/>
        <v>VIS</v>
      </c>
      <c r="J279" s="12" t="str">
        <f t="shared" si="40"/>
        <v>DIRECTION</v>
      </c>
      <c r="K279" s="24" t="str">
        <f t="shared" si="40"/>
        <v>TIME</v>
      </c>
      <c r="L279" s="12" t="str">
        <f t="shared" si="40"/>
        <v>DEPTH</v>
      </c>
      <c r="M279" s="12" t="str">
        <f t="shared" si="40"/>
        <v>BLOCK</v>
      </c>
      <c r="O279" s="22"/>
      <c r="Q279" s="14"/>
      <c r="R279" s="25">
        <f t="shared" si="35"/>
        <v>0</v>
      </c>
      <c r="S279" s="12">
        <v>0</v>
      </c>
    </row>
    <row r="280" spans="1:19">
      <c r="A280" s="14">
        <f>MAX($A$1:$A279)+1</f>
        <v>278</v>
      </c>
      <c r="B280" s="12" t="str">
        <f t="shared" si="41"/>
        <v>DIVER NAME</v>
      </c>
      <c r="C280" s="12" t="str">
        <f t="shared" si="41"/>
        <v>BUDDY NAME</v>
      </c>
      <c r="D280" s="12">
        <f t="shared" si="41"/>
        <v>0</v>
      </c>
      <c r="E280" s="14" t="str">
        <f>IF(ISERROR(VLOOKUP($D280,[1]SITES!$A:$E,2,FALSE)),"",VLOOKUP($D280,[1]SITES!$A:$E,2,FALSE))</f>
        <v/>
      </c>
      <c r="F280" s="15" t="str">
        <f>IF(ISERROR(VLOOKUP($D280,[1]SITES!$A:$E,3,FALSE)),"",VLOOKUP($D280,[1]SITES!$A:$E,3,FALSE))</f>
        <v/>
      </c>
      <c r="G280" s="16" t="str">
        <f>IF(ISERROR(VLOOKUP($D280,[1]SITES!$A:$E,4,FALSE)),"",VLOOKUP($D280,[1]SITES!$A:$E,4,FALSE))</f>
        <v/>
      </c>
      <c r="H280" s="26" t="str">
        <f t="shared" si="40"/>
        <v>DATE</v>
      </c>
      <c r="I280" s="12" t="str">
        <f t="shared" si="40"/>
        <v>VIS</v>
      </c>
      <c r="J280" s="12" t="str">
        <f t="shared" si="40"/>
        <v>DIRECTION</v>
      </c>
      <c r="K280" s="24" t="str">
        <f t="shared" si="40"/>
        <v>TIME</v>
      </c>
      <c r="L280" s="12" t="str">
        <f t="shared" si="40"/>
        <v>DEPTH</v>
      </c>
      <c r="M280" s="12" t="str">
        <f t="shared" si="40"/>
        <v>BLOCK</v>
      </c>
      <c r="O280" s="22"/>
      <c r="Q280" s="14"/>
      <c r="R280" s="25">
        <f t="shared" si="35"/>
        <v>0</v>
      </c>
      <c r="S280" s="12">
        <v>0</v>
      </c>
    </row>
    <row r="281" spans="1:19">
      <c r="A281" s="14">
        <f>MAX($A$1:$A280)+1</f>
        <v>279</v>
      </c>
      <c r="B281" s="12" t="str">
        <f t="shared" si="41"/>
        <v>DIVER NAME</v>
      </c>
      <c r="C281" s="12" t="str">
        <f t="shared" si="41"/>
        <v>BUDDY NAME</v>
      </c>
      <c r="D281" s="12">
        <f t="shared" si="41"/>
        <v>0</v>
      </c>
      <c r="E281" s="14" t="str">
        <f>IF(ISERROR(VLOOKUP($D281,[1]SITES!$A:$E,2,FALSE)),"",VLOOKUP($D281,[1]SITES!$A:$E,2,FALSE))</f>
        <v/>
      </c>
      <c r="F281" s="15" t="str">
        <f>IF(ISERROR(VLOOKUP($D281,[1]SITES!$A:$E,3,FALSE)),"",VLOOKUP($D281,[1]SITES!$A:$E,3,FALSE))</f>
        <v/>
      </c>
      <c r="G281" s="16" t="str">
        <f>IF(ISERROR(VLOOKUP($D281,[1]SITES!$A:$E,4,FALSE)),"",VLOOKUP($D281,[1]SITES!$A:$E,4,FALSE))</f>
        <v/>
      </c>
      <c r="H281" s="26" t="str">
        <f t="shared" si="40"/>
        <v>DATE</v>
      </c>
      <c r="I281" s="12" t="str">
        <f t="shared" si="40"/>
        <v>VIS</v>
      </c>
      <c r="J281" s="12" t="str">
        <f t="shared" si="40"/>
        <v>DIRECTION</v>
      </c>
      <c r="K281" s="24" t="str">
        <f t="shared" si="40"/>
        <v>TIME</v>
      </c>
      <c r="L281" s="12" t="str">
        <f t="shared" si="40"/>
        <v>DEPTH</v>
      </c>
      <c r="M281" s="12" t="str">
        <f t="shared" si="40"/>
        <v>BLOCK</v>
      </c>
      <c r="O281" s="22"/>
      <c r="Q281" s="14"/>
      <c r="R281" s="25">
        <f t="shared" si="35"/>
        <v>0</v>
      </c>
      <c r="S281" s="12">
        <v>0</v>
      </c>
    </row>
    <row r="282" spans="1:19">
      <c r="A282" s="14">
        <f>MAX($A$1:$A281)+1</f>
        <v>280</v>
      </c>
      <c r="B282" s="12" t="str">
        <f t="shared" si="41"/>
        <v>DIVER NAME</v>
      </c>
      <c r="C282" s="12" t="str">
        <f t="shared" si="41"/>
        <v>BUDDY NAME</v>
      </c>
      <c r="D282" s="12">
        <f t="shared" si="41"/>
        <v>0</v>
      </c>
      <c r="E282" s="14" t="str">
        <f>IF(ISERROR(VLOOKUP($D282,[1]SITES!$A:$E,2,FALSE)),"",VLOOKUP($D282,[1]SITES!$A:$E,2,FALSE))</f>
        <v/>
      </c>
      <c r="F282" s="15" t="str">
        <f>IF(ISERROR(VLOOKUP($D282,[1]SITES!$A:$E,3,FALSE)),"",VLOOKUP($D282,[1]SITES!$A:$E,3,FALSE))</f>
        <v/>
      </c>
      <c r="G282" s="16" t="str">
        <f>IF(ISERROR(VLOOKUP($D282,[1]SITES!$A:$E,4,FALSE)),"",VLOOKUP($D282,[1]SITES!$A:$E,4,FALSE))</f>
        <v/>
      </c>
      <c r="H282" s="26" t="str">
        <f t="shared" si="40"/>
        <v>DATE</v>
      </c>
      <c r="I282" s="12" t="str">
        <f t="shared" si="40"/>
        <v>VIS</v>
      </c>
      <c r="J282" s="12" t="str">
        <f t="shared" si="40"/>
        <v>DIRECTION</v>
      </c>
      <c r="K282" s="24" t="str">
        <f t="shared" si="40"/>
        <v>TIME</v>
      </c>
      <c r="L282" s="12" t="str">
        <f t="shared" si="40"/>
        <v>DEPTH</v>
      </c>
      <c r="M282" s="12" t="str">
        <f t="shared" si="40"/>
        <v>BLOCK</v>
      </c>
      <c r="O282" s="22"/>
      <c r="Q282" s="14"/>
      <c r="R282" s="25">
        <f t="shared" si="35"/>
        <v>0</v>
      </c>
      <c r="S282" s="12">
        <v>0</v>
      </c>
    </row>
    <row r="283" spans="1:19">
      <c r="A283" s="14">
        <f>MAX($A$1:$A282)+1</f>
        <v>281</v>
      </c>
      <c r="B283" s="12" t="str">
        <f t="shared" si="41"/>
        <v>DIVER NAME</v>
      </c>
      <c r="C283" s="12" t="str">
        <f t="shared" si="41"/>
        <v>BUDDY NAME</v>
      </c>
      <c r="D283" s="12">
        <f t="shared" si="41"/>
        <v>0</v>
      </c>
      <c r="E283" s="14" t="str">
        <f>IF(ISERROR(VLOOKUP($D283,[1]SITES!$A:$E,2,FALSE)),"",VLOOKUP($D283,[1]SITES!$A:$E,2,FALSE))</f>
        <v/>
      </c>
      <c r="F283" s="15" t="str">
        <f>IF(ISERROR(VLOOKUP($D283,[1]SITES!$A:$E,3,FALSE)),"",VLOOKUP($D283,[1]SITES!$A:$E,3,FALSE))</f>
        <v/>
      </c>
      <c r="G283" s="16" t="str">
        <f>IF(ISERROR(VLOOKUP($D283,[1]SITES!$A:$E,4,FALSE)),"",VLOOKUP($D283,[1]SITES!$A:$E,4,FALSE))</f>
        <v/>
      </c>
      <c r="H283" s="26" t="str">
        <f t="shared" si="40"/>
        <v>DATE</v>
      </c>
      <c r="I283" s="12" t="str">
        <f t="shared" si="40"/>
        <v>VIS</v>
      </c>
      <c r="J283" s="12" t="str">
        <f t="shared" si="40"/>
        <v>DIRECTION</v>
      </c>
      <c r="K283" s="24" t="str">
        <f t="shared" si="40"/>
        <v>TIME</v>
      </c>
      <c r="L283" s="12" t="str">
        <f t="shared" si="40"/>
        <v>DEPTH</v>
      </c>
      <c r="M283" s="12" t="str">
        <f t="shared" si="40"/>
        <v>BLOCK</v>
      </c>
      <c r="O283" s="22"/>
      <c r="Q283" s="14"/>
      <c r="R283" s="25">
        <f t="shared" si="35"/>
        <v>0</v>
      </c>
      <c r="S283" s="12">
        <v>0</v>
      </c>
    </row>
    <row r="284" spans="1:19">
      <c r="A284" s="14">
        <f>MAX($A$1:$A283)+1</f>
        <v>282</v>
      </c>
      <c r="B284" s="12" t="str">
        <f t="shared" si="41"/>
        <v>DIVER NAME</v>
      </c>
      <c r="C284" s="12" t="str">
        <f t="shared" si="41"/>
        <v>BUDDY NAME</v>
      </c>
      <c r="D284" s="12">
        <f t="shared" si="41"/>
        <v>0</v>
      </c>
      <c r="E284" s="14" t="str">
        <f>IF(ISERROR(VLOOKUP($D284,[1]SITES!$A:$E,2,FALSE)),"",VLOOKUP($D284,[1]SITES!$A:$E,2,FALSE))</f>
        <v/>
      </c>
      <c r="F284" s="15" t="str">
        <f>IF(ISERROR(VLOOKUP($D284,[1]SITES!$A:$E,3,FALSE)),"",VLOOKUP($D284,[1]SITES!$A:$E,3,FALSE))</f>
        <v/>
      </c>
      <c r="G284" s="16" t="str">
        <f>IF(ISERROR(VLOOKUP($D284,[1]SITES!$A:$E,4,FALSE)),"",VLOOKUP($D284,[1]SITES!$A:$E,4,FALSE))</f>
        <v/>
      </c>
      <c r="H284" s="26" t="str">
        <f t="shared" si="40"/>
        <v>DATE</v>
      </c>
      <c r="I284" s="12" t="str">
        <f t="shared" si="40"/>
        <v>VIS</v>
      </c>
      <c r="J284" s="12" t="str">
        <f t="shared" si="40"/>
        <v>DIRECTION</v>
      </c>
      <c r="K284" s="24" t="str">
        <f t="shared" si="40"/>
        <v>TIME</v>
      </c>
      <c r="L284" s="12" t="str">
        <f t="shared" si="40"/>
        <v>DEPTH</v>
      </c>
      <c r="M284" s="12" t="str">
        <f t="shared" si="40"/>
        <v>BLOCK</v>
      </c>
      <c r="O284" s="22"/>
      <c r="Q284" s="14"/>
      <c r="R284" s="25">
        <f t="shared" si="35"/>
        <v>0</v>
      </c>
      <c r="S284" s="12">
        <v>0</v>
      </c>
    </row>
    <row r="285" spans="1:19">
      <c r="A285" s="14">
        <f>MAX($A$1:$A284)+1</f>
        <v>283</v>
      </c>
      <c r="B285" s="12" t="str">
        <f t="shared" si="41"/>
        <v>DIVER NAME</v>
      </c>
      <c r="C285" s="12" t="str">
        <f t="shared" si="41"/>
        <v>BUDDY NAME</v>
      </c>
      <c r="D285" s="12">
        <f t="shared" si="41"/>
        <v>0</v>
      </c>
      <c r="E285" s="14" t="str">
        <f>IF(ISERROR(VLOOKUP($D285,[1]SITES!$A:$E,2,FALSE)),"",VLOOKUP($D285,[1]SITES!$A:$E,2,FALSE))</f>
        <v/>
      </c>
      <c r="F285" s="15" t="str">
        <f>IF(ISERROR(VLOOKUP($D285,[1]SITES!$A:$E,3,FALSE)),"",VLOOKUP($D285,[1]SITES!$A:$E,3,FALSE))</f>
        <v/>
      </c>
      <c r="G285" s="16" t="str">
        <f>IF(ISERROR(VLOOKUP($D285,[1]SITES!$A:$E,4,FALSE)),"",VLOOKUP($D285,[1]SITES!$A:$E,4,FALSE))</f>
        <v/>
      </c>
      <c r="H285" s="26" t="str">
        <f t="shared" si="40"/>
        <v>DATE</v>
      </c>
      <c r="I285" s="12" t="str">
        <f t="shared" si="40"/>
        <v>VIS</v>
      </c>
      <c r="J285" s="12" t="str">
        <f t="shared" si="40"/>
        <v>DIRECTION</v>
      </c>
      <c r="K285" s="24" t="str">
        <f t="shared" si="40"/>
        <v>TIME</v>
      </c>
      <c r="L285" s="12" t="str">
        <f t="shared" si="40"/>
        <v>DEPTH</v>
      </c>
      <c r="M285" s="12" t="str">
        <f t="shared" si="40"/>
        <v>BLOCK</v>
      </c>
      <c r="O285" s="22"/>
      <c r="Q285" s="14"/>
      <c r="R285" s="25">
        <f t="shared" si="35"/>
        <v>0</v>
      </c>
      <c r="S285" s="12">
        <v>0</v>
      </c>
    </row>
    <row r="286" spans="1:19">
      <c r="A286" s="14">
        <f>MAX($A$1:$A285)+1</f>
        <v>284</v>
      </c>
      <c r="B286" s="12" t="str">
        <f t="shared" si="41"/>
        <v>DIVER NAME</v>
      </c>
      <c r="C286" s="12" t="str">
        <f t="shared" si="41"/>
        <v>BUDDY NAME</v>
      </c>
      <c r="D286" s="12">
        <f t="shared" si="41"/>
        <v>0</v>
      </c>
      <c r="E286" s="14" t="str">
        <f>IF(ISERROR(VLOOKUP($D286,[1]SITES!$A:$E,2,FALSE)),"",VLOOKUP($D286,[1]SITES!$A:$E,2,FALSE))</f>
        <v/>
      </c>
      <c r="F286" s="15" t="str">
        <f>IF(ISERROR(VLOOKUP($D286,[1]SITES!$A:$E,3,FALSE)),"",VLOOKUP($D286,[1]SITES!$A:$E,3,FALSE))</f>
        <v/>
      </c>
      <c r="G286" s="16" t="str">
        <f>IF(ISERROR(VLOOKUP($D286,[1]SITES!$A:$E,4,FALSE)),"",VLOOKUP($D286,[1]SITES!$A:$E,4,FALSE))</f>
        <v/>
      </c>
      <c r="H286" s="26" t="str">
        <f t="shared" si="40"/>
        <v>DATE</v>
      </c>
      <c r="I286" s="12" t="str">
        <f t="shared" si="40"/>
        <v>VIS</v>
      </c>
      <c r="J286" s="12" t="str">
        <f t="shared" si="40"/>
        <v>DIRECTION</v>
      </c>
      <c r="K286" s="24" t="str">
        <f t="shared" si="40"/>
        <v>TIME</v>
      </c>
      <c r="L286" s="12" t="str">
        <f t="shared" si="40"/>
        <v>DEPTH</v>
      </c>
      <c r="M286" s="12" t="str">
        <f t="shared" si="40"/>
        <v>BLOCK</v>
      </c>
      <c r="O286" s="22"/>
      <c r="Q286" s="14"/>
      <c r="R286" s="25">
        <f t="shared" si="35"/>
        <v>0</v>
      </c>
      <c r="S286" s="12">
        <v>0</v>
      </c>
    </row>
    <row r="287" spans="1:19">
      <c r="A287" s="14">
        <f>MAX($A$1:$A286)+1</f>
        <v>285</v>
      </c>
      <c r="B287" s="12" t="str">
        <f t="shared" si="41"/>
        <v>DIVER NAME</v>
      </c>
      <c r="C287" s="12" t="str">
        <f t="shared" si="41"/>
        <v>BUDDY NAME</v>
      </c>
      <c r="D287" s="12">
        <f t="shared" si="41"/>
        <v>0</v>
      </c>
      <c r="E287" s="14" t="str">
        <f>IF(ISERROR(VLOOKUP($D287,[1]SITES!$A:$E,2,FALSE)),"",VLOOKUP($D287,[1]SITES!$A:$E,2,FALSE))</f>
        <v/>
      </c>
      <c r="F287" s="15" t="str">
        <f>IF(ISERROR(VLOOKUP($D287,[1]SITES!$A:$E,3,FALSE)),"",VLOOKUP($D287,[1]SITES!$A:$E,3,FALSE))</f>
        <v/>
      </c>
      <c r="G287" s="16" t="str">
        <f>IF(ISERROR(VLOOKUP($D287,[1]SITES!$A:$E,4,FALSE)),"",VLOOKUP($D287,[1]SITES!$A:$E,4,FALSE))</f>
        <v/>
      </c>
      <c r="H287" s="26" t="str">
        <f t="shared" si="40"/>
        <v>DATE</v>
      </c>
      <c r="I287" s="12" t="str">
        <f t="shared" si="40"/>
        <v>VIS</v>
      </c>
      <c r="J287" s="12" t="str">
        <f t="shared" si="40"/>
        <v>DIRECTION</v>
      </c>
      <c r="K287" s="24" t="str">
        <f t="shared" si="40"/>
        <v>TIME</v>
      </c>
      <c r="L287" s="12" t="str">
        <f t="shared" si="40"/>
        <v>DEPTH</v>
      </c>
      <c r="M287" s="12" t="str">
        <f t="shared" si="40"/>
        <v>BLOCK</v>
      </c>
      <c r="O287" s="22"/>
      <c r="Q287" s="14"/>
      <c r="R287" s="25">
        <f t="shared" si="35"/>
        <v>0</v>
      </c>
      <c r="S287" s="12">
        <v>0</v>
      </c>
    </row>
    <row r="288" spans="1:19">
      <c r="A288" s="14">
        <f>MAX($A$1:$A287)+1</f>
        <v>286</v>
      </c>
      <c r="B288" s="12" t="str">
        <f t="shared" si="41"/>
        <v>DIVER NAME</v>
      </c>
      <c r="C288" s="12" t="str">
        <f t="shared" si="41"/>
        <v>BUDDY NAME</v>
      </c>
      <c r="D288" s="12">
        <f t="shared" si="41"/>
        <v>0</v>
      </c>
      <c r="E288" s="14" t="str">
        <f>IF(ISERROR(VLOOKUP($D288,[1]SITES!$A:$E,2,FALSE)),"",VLOOKUP($D288,[1]SITES!$A:$E,2,FALSE))</f>
        <v/>
      </c>
      <c r="F288" s="15" t="str">
        <f>IF(ISERROR(VLOOKUP($D288,[1]SITES!$A:$E,3,FALSE)),"",VLOOKUP($D288,[1]SITES!$A:$E,3,FALSE))</f>
        <v/>
      </c>
      <c r="G288" s="16" t="str">
        <f>IF(ISERROR(VLOOKUP($D288,[1]SITES!$A:$E,4,FALSE)),"",VLOOKUP($D288,[1]SITES!$A:$E,4,FALSE))</f>
        <v/>
      </c>
      <c r="H288" s="26" t="str">
        <f t="shared" si="40"/>
        <v>DATE</v>
      </c>
      <c r="I288" s="12" t="str">
        <f t="shared" si="40"/>
        <v>VIS</v>
      </c>
      <c r="J288" s="12" t="str">
        <f t="shared" si="40"/>
        <v>DIRECTION</v>
      </c>
      <c r="K288" s="24" t="str">
        <f t="shared" si="40"/>
        <v>TIME</v>
      </c>
      <c r="L288" s="12" t="str">
        <f t="shared" si="40"/>
        <v>DEPTH</v>
      </c>
      <c r="M288" s="12" t="str">
        <f t="shared" si="40"/>
        <v>BLOCK</v>
      </c>
      <c r="O288" s="22"/>
      <c r="Q288" s="14"/>
      <c r="R288" s="25">
        <f t="shared" si="35"/>
        <v>0</v>
      </c>
      <c r="S288" s="12">
        <v>0</v>
      </c>
    </row>
    <row r="289" spans="1:19">
      <c r="A289" s="14">
        <f>MAX($A$1:$A288)+1</f>
        <v>287</v>
      </c>
      <c r="B289" s="12" t="str">
        <f t="shared" si="41"/>
        <v>DIVER NAME</v>
      </c>
      <c r="C289" s="12" t="str">
        <f t="shared" si="41"/>
        <v>BUDDY NAME</v>
      </c>
      <c r="D289" s="12">
        <f t="shared" si="41"/>
        <v>0</v>
      </c>
      <c r="E289" s="14" t="str">
        <f>IF(ISERROR(VLOOKUP($D289,[1]SITES!$A:$E,2,FALSE)),"",VLOOKUP($D289,[1]SITES!$A:$E,2,FALSE))</f>
        <v/>
      </c>
      <c r="F289" s="15" t="str">
        <f>IF(ISERROR(VLOOKUP($D289,[1]SITES!$A:$E,3,FALSE)),"",VLOOKUP($D289,[1]SITES!$A:$E,3,FALSE))</f>
        <v/>
      </c>
      <c r="G289" s="16" t="str">
        <f>IF(ISERROR(VLOOKUP($D289,[1]SITES!$A:$E,4,FALSE)),"",VLOOKUP($D289,[1]SITES!$A:$E,4,FALSE))</f>
        <v/>
      </c>
      <c r="H289" s="26" t="str">
        <f t="shared" si="40"/>
        <v>DATE</v>
      </c>
      <c r="I289" s="12" t="str">
        <f t="shared" si="40"/>
        <v>VIS</v>
      </c>
      <c r="J289" s="12" t="str">
        <f t="shared" si="40"/>
        <v>DIRECTION</v>
      </c>
      <c r="K289" s="24" t="str">
        <f t="shared" si="40"/>
        <v>TIME</v>
      </c>
      <c r="L289" s="12" t="str">
        <f t="shared" si="40"/>
        <v>DEPTH</v>
      </c>
      <c r="M289" s="12" t="str">
        <f t="shared" si="40"/>
        <v>BLOCK</v>
      </c>
      <c r="O289" s="22"/>
      <c r="Q289" s="14"/>
      <c r="R289" s="25">
        <f t="shared" si="35"/>
        <v>0</v>
      </c>
      <c r="S289" s="12">
        <v>0</v>
      </c>
    </row>
    <row r="290" spans="1:19">
      <c r="A290" s="14">
        <f>MAX($A$1:$A289)+1</f>
        <v>288</v>
      </c>
      <c r="B290" s="12" t="str">
        <f t="shared" si="41"/>
        <v>DIVER NAME</v>
      </c>
      <c r="C290" s="12" t="str">
        <f t="shared" si="41"/>
        <v>BUDDY NAME</v>
      </c>
      <c r="D290" s="12">
        <f t="shared" si="41"/>
        <v>0</v>
      </c>
      <c r="E290" s="14" t="str">
        <f>IF(ISERROR(VLOOKUP($D290,[1]SITES!$A:$E,2,FALSE)),"",VLOOKUP($D290,[1]SITES!$A:$E,2,FALSE))</f>
        <v/>
      </c>
      <c r="F290" s="15" t="str">
        <f>IF(ISERROR(VLOOKUP($D290,[1]SITES!$A:$E,3,FALSE)),"",VLOOKUP($D290,[1]SITES!$A:$E,3,FALSE))</f>
        <v/>
      </c>
      <c r="G290" s="16" t="str">
        <f>IF(ISERROR(VLOOKUP($D290,[1]SITES!$A:$E,4,FALSE)),"",VLOOKUP($D290,[1]SITES!$A:$E,4,FALSE))</f>
        <v/>
      </c>
      <c r="H290" s="26" t="str">
        <f t="shared" si="40"/>
        <v>DATE</v>
      </c>
      <c r="I290" s="12" t="str">
        <f t="shared" si="40"/>
        <v>VIS</v>
      </c>
      <c r="J290" s="12" t="str">
        <f t="shared" si="40"/>
        <v>DIRECTION</v>
      </c>
      <c r="K290" s="24" t="str">
        <f t="shared" si="40"/>
        <v>TIME</v>
      </c>
      <c r="L290" s="12" t="str">
        <f t="shared" si="40"/>
        <v>DEPTH</v>
      </c>
      <c r="M290" s="12" t="str">
        <f t="shared" si="40"/>
        <v>BLOCK</v>
      </c>
      <c r="O290" s="22"/>
      <c r="Q290" s="14"/>
      <c r="R290" s="25">
        <f t="shared" si="35"/>
        <v>0</v>
      </c>
      <c r="S290" s="12">
        <v>0</v>
      </c>
    </row>
    <row r="291" spans="1:19">
      <c r="A291" s="14">
        <f>MAX($A$1:$A290)+1</f>
        <v>289</v>
      </c>
      <c r="B291" s="12" t="str">
        <f t="shared" si="41"/>
        <v>DIVER NAME</v>
      </c>
      <c r="C291" s="12" t="str">
        <f t="shared" si="41"/>
        <v>BUDDY NAME</v>
      </c>
      <c r="D291" s="12">
        <f t="shared" si="41"/>
        <v>0</v>
      </c>
      <c r="E291" s="14" t="str">
        <f>IF(ISERROR(VLOOKUP($D291,[1]SITES!$A:$E,2,FALSE)),"",VLOOKUP($D291,[1]SITES!$A:$E,2,FALSE))</f>
        <v/>
      </c>
      <c r="F291" s="15" t="str">
        <f>IF(ISERROR(VLOOKUP($D291,[1]SITES!$A:$E,3,FALSE)),"",VLOOKUP($D291,[1]SITES!$A:$E,3,FALSE))</f>
        <v/>
      </c>
      <c r="G291" s="16" t="str">
        <f>IF(ISERROR(VLOOKUP($D291,[1]SITES!$A:$E,4,FALSE)),"",VLOOKUP($D291,[1]SITES!$A:$E,4,FALSE))</f>
        <v/>
      </c>
      <c r="H291" s="26" t="str">
        <f t="shared" si="40"/>
        <v>DATE</v>
      </c>
      <c r="I291" s="12" t="str">
        <f t="shared" si="40"/>
        <v>VIS</v>
      </c>
      <c r="J291" s="12" t="str">
        <f t="shared" si="40"/>
        <v>DIRECTION</v>
      </c>
      <c r="K291" s="24" t="str">
        <f t="shared" si="40"/>
        <v>TIME</v>
      </c>
      <c r="L291" s="12" t="str">
        <f t="shared" si="40"/>
        <v>DEPTH</v>
      </c>
      <c r="M291" s="12" t="str">
        <f t="shared" si="40"/>
        <v>BLOCK</v>
      </c>
      <c r="O291" s="22"/>
      <c r="Q291" s="14"/>
      <c r="R291" s="25">
        <f t="shared" si="35"/>
        <v>0</v>
      </c>
      <c r="S291" s="12">
        <v>0</v>
      </c>
    </row>
    <row r="292" spans="1:19">
      <c r="A292" s="14">
        <f>MAX($A$1:$A291)+1</f>
        <v>290</v>
      </c>
      <c r="B292" s="12" t="str">
        <f t="shared" si="41"/>
        <v>DIVER NAME</v>
      </c>
      <c r="C292" s="12" t="str">
        <f t="shared" si="41"/>
        <v>BUDDY NAME</v>
      </c>
      <c r="D292" s="12">
        <f t="shared" si="41"/>
        <v>0</v>
      </c>
      <c r="E292" s="14" t="str">
        <f>IF(ISERROR(VLOOKUP($D292,[1]SITES!$A:$E,2,FALSE)),"",VLOOKUP($D292,[1]SITES!$A:$E,2,FALSE))</f>
        <v/>
      </c>
      <c r="F292" s="15" t="str">
        <f>IF(ISERROR(VLOOKUP($D292,[1]SITES!$A:$E,3,FALSE)),"",VLOOKUP($D292,[1]SITES!$A:$E,3,FALSE))</f>
        <v/>
      </c>
      <c r="G292" s="16" t="str">
        <f>IF(ISERROR(VLOOKUP($D292,[1]SITES!$A:$E,4,FALSE)),"",VLOOKUP($D292,[1]SITES!$A:$E,4,FALSE))</f>
        <v/>
      </c>
      <c r="H292" s="26" t="str">
        <f t="shared" ref="H292:M307" si="42">IF(ISERROR(H291),IF(ISERROR(H290),IF(ISERROR(H289),"BLANK",H289),H290),H291)</f>
        <v>DATE</v>
      </c>
      <c r="I292" s="12" t="str">
        <f t="shared" si="42"/>
        <v>VIS</v>
      </c>
      <c r="J292" s="12" t="str">
        <f t="shared" si="42"/>
        <v>DIRECTION</v>
      </c>
      <c r="K292" s="24" t="str">
        <f t="shared" si="42"/>
        <v>TIME</v>
      </c>
      <c r="L292" s="12" t="str">
        <f t="shared" si="42"/>
        <v>DEPTH</v>
      </c>
      <c r="M292" s="12" t="str">
        <f t="shared" si="42"/>
        <v>BLOCK</v>
      </c>
      <c r="O292" s="22"/>
      <c r="Q292" s="14"/>
      <c r="R292" s="25">
        <f t="shared" si="35"/>
        <v>0</v>
      </c>
      <c r="S292" s="12">
        <v>0</v>
      </c>
    </row>
    <row r="293" spans="1:19">
      <c r="A293" s="14">
        <f>MAX($A$1:$A292)+1</f>
        <v>291</v>
      </c>
      <c r="B293" s="12" t="str">
        <f t="shared" ref="B293:D308" si="43">IF(ISERROR(B292),IF(ISERROR(B291),IF(ISERROR(B290),"BLANK",B290),B291),B292)</f>
        <v>DIVER NAME</v>
      </c>
      <c r="C293" s="12" t="str">
        <f t="shared" si="43"/>
        <v>BUDDY NAME</v>
      </c>
      <c r="D293" s="12">
        <f t="shared" si="43"/>
        <v>0</v>
      </c>
      <c r="E293" s="14" t="str">
        <f>IF(ISERROR(VLOOKUP($D293,[1]SITES!$A:$E,2,FALSE)),"",VLOOKUP($D293,[1]SITES!$A:$E,2,FALSE))</f>
        <v/>
      </c>
      <c r="F293" s="15" t="str">
        <f>IF(ISERROR(VLOOKUP($D293,[1]SITES!$A:$E,3,FALSE)),"",VLOOKUP($D293,[1]SITES!$A:$E,3,FALSE))</f>
        <v/>
      </c>
      <c r="G293" s="16" t="str">
        <f>IF(ISERROR(VLOOKUP($D293,[1]SITES!$A:$E,4,FALSE)),"",VLOOKUP($D293,[1]SITES!$A:$E,4,FALSE))</f>
        <v/>
      </c>
      <c r="H293" s="26" t="str">
        <f t="shared" si="42"/>
        <v>DATE</v>
      </c>
      <c r="I293" s="12" t="str">
        <f t="shared" si="42"/>
        <v>VIS</v>
      </c>
      <c r="J293" s="12" t="str">
        <f t="shared" si="42"/>
        <v>DIRECTION</v>
      </c>
      <c r="K293" s="24" t="str">
        <f t="shared" si="42"/>
        <v>TIME</v>
      </c>
      <c r="L293" s="12" t="str">
        <f t="shared" si="42"/>
        <v>DEPTH</v>
      </c>
      <c r="M293" s="12" t="str">
        <f t="shared" si="42"/>
        <v>BLOCK</v>
      </c>
      <c r="O293" s="22"/>
      <c r="Q293" s="14"/>
      <c r="R293" s="25">
        <f t="shared" ref="R293:R356" si="44">SUM(S293:AU293)</f>
        <v>0</v>
      </c>
      <c r="S293" s="12">
        <v>0</v>
      </c>
    </row>
    <row r="294" spans="1:19">
      <c r="A294" s="14">
        <f>MAX($A$1:$A293)+1</f>
        <v>292</v>
      </c>
      <c r="B294" s="12" t="str">
        <f t="shared" si="43"/>
        <v>DIVER NAME</v>
      </c>
      <c r="C294" s="12" t="str">
        <f t="shared" si="43"/>
        <v>BUDDY NAME</v>
      </c>
      <c r="D294" s="12">
        <f t="shared" si="43"/>
        <v>0</v>
      </c>
      <c r="E294" s="14" t="str">
        <f>IF(ISERROR(VLOOKUP($D294,[1]SITES!$A:$E,2,FALSE)),"",VLOOKUP($D294,[1]SITES!$A:$E,2,FALSE))</f>
        <v/>
      </c>
      <c r="F294" s="15" t="str">
        <f>IF(ISERROR(VLOOKUP($D294,[1]SITES!$A:$E,3,FALSE)),"",VLOOKUP($D294,[1]SITES!$A:$E,3,FALSE))</f>
        <v/>
      </c>
      <c r="G294" s="16" t="str">
        <f>IF(ISERROR(VLOOKUP($D294,[1]SITES!$A:$E,4,FALSE)),"",VLOOKUP($D294,[1]SITES!$A:$E,4,FALSE))</f>
        <v/>
      </c>
      <c r="H294" s="26" t="str">
        <f t="shared" si="42"/>
        <v>DATE</v>
      </c>
      <c r="I294" s="12" t="str">
        <f t="shared" si="42"/>
        <v>VIS</v>
      </c>
      <c r="J294" s="12" t="str">
        <f t="shared" si="42"/>
        <v>DIRECTION</v>
      </c>
      <c r="K294" s="24" t="str">
        <f t="shared" si="42"/>
        <v>TIME</v>
      </c>
      <c r="L294" s="12" t="str">
        <f t="shared" si="42"/>
        <v>DEPTH</v>
      </c>
      <c r="M294" s="12" t="str">
        <f t="shared" si="42"/>
        <v>BLOCK</v>
      </c>
      <c r="O294" s="22"/>
      <c r="Q294" s="14"/>
      <c r="R294" s="25">
        <f t="shared" si="44"/>
        <v>0</v>
      </c>
      <c r="S294" s="12">
        <v>0</v>
      </c>
    </row>
    <row r="295" spans="1:19">
      <c r="A295" s="14">
        <f>MAX($A$1:$A294)+1</f>
        <v>293</v>
      </c>
      <c r="B295" s="12" t="str">
        <f t="shared" si="43"/>
        <v>DIVER NAME</v>
      </c>
      <c r="C295" s="12" t="str">
        <f t="shared" si="43"/>
        <v>BUDDY NAME</v>
      </c>
      <c r="D295" s="12">
        <f t="shared" si="43"/>
        <v>0</v>
      </c>
      <c r="E295" s="14" t="str">
        <f>IF(ISERROR(VLOOKUP($D295,[1]SITES!$A:$E,2,FALSE)),"",VLOOKUP($D295,[1]SITES!$A:$E,2,FALSE))</f>
        <v/>
      </c>
      <c r="F295" s="15" t="str">
        <f>IF(ISERROR(VLOOKUP($D295,[1]SITES!$A:$E,3,FALSE)),"",VLOOKUP($D295,[1]SITES!$A:$E,3,FALSE))</f>
        <v/>
      </c>
      <c r="G295" s="16" t="str">
        <f>IF(ISERROR(VLOOKUP($D295,[1]SITES!$A:$E,4,FALSE)),"",VLOOKUP($D295,[1]SITES!$A:$E,4,FALSE))</f>
        <v/>
      </c>
      <c r="H295" s="26" t="str">
        <f t="shared" si="42"/>
        <v>DATE</v>
      </c>
      <c r="I295" s="12" t="str">
        <f t="shared" si="42"/>
        <v>VIS</v>
      </c>
      <c r="J295" s="12" t="str">
        <f t="shared" si="42"/>
        <v>DIRECTION</v>
      </c>
      <c r="K295" s="24" t="str">
        <f t="shared" si="42"/>
        <v>TIME</v>
      </c>
      <c r="L295" s="12" t="str">
        <f t="shared" si="42"/>
        <v>DEPTH</v>
      </c>
      <c r="M295" s="12" t="str">
        <f t="shared" si="42"/>
        <v>BLOCK</v>
      </c>
      <c r="O295" s="22"/>
      <c r="Q295" s="14"/>
      <c r="R295" s="25">
        <f t="shared" si="44"/>
        <v>0</v>
      </c>
      <c r="S295" s="12">
        <v>0</v>
      </c>
    </row>
    <row r="296" spans="1:19">
      <c r="A296" s="14">
        <f>MAX($A$1:$A295)+1</f>
        <v>294</v>
      </c>
      <c r="B296" s="12" t="str">
        <f t="shared" si="43"/>
        <v>DIVER NAME</v>
      </c>
      <c r="C296" s="12" t="str">
        <f t="shared" si="43"/>
        <v>BUDDY NAME</v>
      </c>
      <c r="D296" s="12">
        <f t="shared" si="43"/>
        <v>0</v>
      </c>
      <c r="E296" s="14" t="str">
        <f>IF(ISERROR(VLOOKUP($D296,[1]SITES!$A:$E,2,FALSE)),"",VLOOKUP($D296,[1]SITES!$A:$E,2,FALSE))</f>
        <v/>
      </c>
      <c r="F296" s="15" t="str">
        <f>IF(ISERROR(VLOOKUP($D296,[1]SITES!$A:$E,3,FALSE)),"",VLOOKUP($D296,[1]SITES!$A:$E,3,FALSE))</f>
        <v/>
      </c>
      <c r="G296" s="16" t="str">
        <f>IF(ISERROR(VLOOKUP($D296,[1]SITES!$A:$E,4,FALSE)),"",VLOOKUP($D296,[1]SITES!$A:$E,4,FALSE))</f>
        <v/>
      </c>
      <c r="H296" s="26" t="str">
        <f t="shared" si="42"/>
        <v>DATE</v>
      </c>
      <c r="I296" s="12" t="str">
        <f t="shared" si="42"/>
        <v>VIS</v>
      </c>
      <c r="J296" s="12" t="str">
        <f t="shared" si="42"/>
        <v>DIRECTION</v>
      </c>
      <c r="K296" s="24" t="str">
        <f t="shared" si="42"/>
        <v>TIME</v>
      </c>
      <c r="L296" s="12" t="str">
        <f t="shared" si="42"/>
        <v>DEPTH</v>
      </c>
      <c r="M296" s="12" t="str">
        <f t="shared" si="42"/>
        <v>BLOCK</v>
      </c>
      <c r="O296" s="22"/>
      <c r="Q296" s="14"/>
      <c r="R296" s="25">
        <f t="shared" si="44"/>
        <v>0</v>
      </c>
      <c r="S296" s="12">
        <v>0</v>
      </c>
    </row>
    <row r="297" spans="1:19">
      <c r="A297" s="14">
        <f>MAX($A$1:$A296)+1</f>
        <v>295</v>
      </c>
      <c r="B297" s="12" t="str">
        <f t="shared" si="43"/>
        <v>DIVER NAME</v>
      </c>
      <c r="C297" s="12" t="str">
        <f t="shared" si="43"/>
        <v>BUDDY NAME</v>
      </c>
      <c r="D297" s="12">
        <f t="shared" si="43"/>
        <v>0</v>
      </c>
      <c r="E297" s="14" t="str">
        <f>IF(ISERROR(VLOOKUP($D297,[1]SITES!$A:$E,2,FALSE)),"",VLOOKUP($D297,[1]SITES!$A:$E,2,FALSE))</f>
        <v/>
      </c>
      <c r="F297" s="15" t="str">
        <f>IF(ISERROR(VLOOKUP($D297,[1]SITES!$A:$E,3,FALSE)),"",VLOOKUP($D297,[1]SITES!$A:$E,3,FALSE))</f>
        <v/>
      </c>
      <c r="G297" s="16" t="str">
        <f>IF(ISERROR(VLOOKUP($D297,[1]SITES!$A:$E,4,FALSE)),"",VLOOKUP($D297,[1]SITES!$A:$E,4,FALSE))</f>
        <v/>
      </c>
      <c r="H297" s="26" t="str">
        <f t="shared" si="42"/>
        <v>DATE</v>
      </c>
      <c r="I297" s="12" t="str">
        <f t="shared" si="42"/>
        <v>VIS</v>
      </c>
      <c r="J297" s="12" t="str">
        <f t="shared" si="42"/>
        <v>DIRECTION</v>
      </c>
      <c r="K297" s="24" t="str">
        <f t="shared" si="42"/>
        <v>TIME</v>
      </c>
      <c r="L297" s="12" t="str">
        <f t="shared" si="42"/>
        <v>DEPTH</v>
      </c>
      <c r="M297" s="12" t="str">
        <f t="shared" si="42"/>
        <v>BLOCK</v>
      </c>
      <c r="O297" s="22"/>
      <c r="Q297" s="14"/>
      <c r="R297" s="25">
        <f t="shared" si="44"/>
        <v>0</v>
      </c>
      <c r="S297" s="12">
        <v>0</v>
      </c>
    </row>
    <row r="298" spans="1:19">
      <c r="A298" s="14">
        <f>MAX($A$1:$A297)+1</f>
        <v>296</v>
      </c>
      <c r="B298" s="12" t="str">
        <f t="shared" si="43"/>
        <v>DIVER NAME</v>
      </c>
      <c r="C298" s="12" t="str">
        <f t="shared" si="43"/>
        <v>BUDDY NAME</v>
      </c>
      <c r="D298" s="12">
        <f t="shared" si="43"/>
        <v>0</v>
      </c>
      <c r="E298" s="14" t="str">
        <f>IF(ISERROR(VLOOKUP($D298,[1]SITES!$A:$E,2,FALSE)),"",VLOOKUP($D298,[1]SITES!$A:$E,2,FALSE))</f>
        <v/>
      </c>
      <c r="F298" s="15" t="str">
        <f>IF(ISERROR(VLOOKUP($D298,[1]SITES!$A:$E,3,FALSE)),"",VLOOKUP($D298,[1]SITES!$A:$E,3,FALSE))</f>
        <v/>
      </c>
      <c r="G298" s="16" t="str">
        <f>IF(ISERROR(VLOOKUP($D298,[1]SITES!$A:$E,4,FALSE)),"",VLOOKUP($D298,[1]SITES!$A:$E,4,FALSE))</f>
        <v/>
      </c>
      <c r="H298" s="26" t="str">
        <f t="shared" si="42"/>
        <v>DATE</v>
      </c>
      <c r="I298" s="12" t="str">
        <f t="shared" si="42"/>
        <v>VIS</v>
      </c>
      <c r="J298" s="12" t="str">
        <f t="shared" si="42"/>
        <v>DIRECTION</v>
      </c>
      <c r="K298" s="24" t="str">
        <f t="shared" si="42"/>
        <v>TIME</v>
      </c>
      <c r="L298" s="12" t="str">
        <f t="shared" si="42"/>
        <v>DEPTH</v>
      </c>
      <c r="M298" s="12" t="str">
        <f t="shared" si="42"/>
        <v>BLOCK</v>
      </c>
      <c r="O298" s="22"/>
      <c r="Q298" s="14"/>
      <c r="R298" s="25">
        <f t="shared" si="44"/>
        <v>0</v>
      </c>
      <c r="S298" s="12">
        <v>0</v>
      </c>
    </row>
    <row r="299" spans="1:19">
      <c r="A299" s="14">
        <f>MAX($A$1:$A298)+1</f>
        <v>297</v>
      </c>
      <c r="B299" s="12" t="str">
        <f t="shared" si="43"/>
        <v>DIVER NAME</v>
      </c>
      <c r="C299" s="12" t="str">
        <f t="shared" si="43"/>
        <v>BUDDY NAME</v>
      </c>
      <c r="D299" s="12">
        <f t="shared" si="43"/>
        <v>0</v>
      </c>
      <c r="E299" s="14" t="str">
        <f>IF(ISERROR(VLOOKUP($D299,[1]SITES!$A:$E,2,FALSE)),"",VLOOKUP($D299,[1]SITES!$A:$E,2,FALSE))</f>
        <v/>
      </c>
      <c r="F299" s="15" t="str">
        <f>IF(ISERROR(VLOOKUP($D299,[1]SITES!$A:$E,3,FALSE)),"",VLOOKUP($D299,[1]SITES!$A:$E,3,FALSE))</f>
        <v/>
      </c>
      <c r="G299" s="16" t="str">
        <f>IF(ISERROR(VLOOKUP($D299,[1]SITES!$A:$E,4,FALSE)),"",VLOOKUP($D299,[1]SITES!$A:$E,4,FALSE))</f>
        <v/>
      </c>
      <c r="H299" s="26" t="str">
        <f t="shared" si="42"/>
        <v>DATE</v>
      </c>
      <c r="I299" s="12" t="str">
        <f t="shared" si="42"/>
        <v>VIS</v>
      </c>
      <c r="J299" s="12" t="str">
        <f t="shared" si="42"/>
        <v>DIRECTION</v>
      </c>
      <c r="K299" s="24" t="str">
        <f t="shared" si="42"/>
        <v>TIME</v>
      </c>
      <c r="L299" s="12" t="str">
        <f t="shared" si="42"/>
        <v>DEPTH</v>
      </c>
      <c r="M299" s="12" t="str">
        <f t="shared" si="42"/>
        <v>BLOCK</v>
      </c>
      <c r="O299" s="22"/>
      <c r="Q299" s="14"/>
      <c r="R299" s="25">
        <f t="shared" si="44"/>
        <v>0</v>
      </c>
      <c r="S299" s="12">
        <v>0</v>
      </c>
    </row>
    <row r="300" spans="1:19">
      <c r="A300" s="14">
        <f>MAX($A$1:$A299)+1</f>
        <v>298</v>
      </c>
      <c r="B300" s="12" t="str">
        <f t="shared" si="43"/>
        <v>DIVER NAME</v>
      </c>
      <c r="C300" s="12" t="str">
        <f t="shared" si="43"/>
        <v>BUDDY NAME</v>
      </c>
      <c r="D300" s="12">
        <f t="shared" si="43"/>
        <v>0</v>
      </c>
      <c r="E300" s="14" t="str">
        <f>IF(ISERROR(VLOOKUP($D300,[1]SITES!$A:$E,2,FALSE)),"",VLOOKUP($D300,[1]SITES!$A:$E,2,FALSE))</f>
        <v/>
      </c>
      <c r="F300" s="15" t="str">
        <f>IF(ISERROR(VLOOKUP($D300,[1]SITES!$A:$E,3,FALSE)),"",VLOOKUP($D300,[1]SITES!$A:$E,3,FALSE))</f>
        <v/>
      </c>
      <c r="G300" s="16" t="str">
        <f>IF(ISERROR(VLOOKUP($D300,[1]SITES!$A:$E,4,FALSE)),"",VLOOKUP($D300,[1]SITES!$A:$E,4,FALSE))</f>
        <v/>
      </c>
      <c r="H300" s="26" t="str">
        <f t="shared" si="42"/>
        <v>DATE</v>
      </c>
      <c r="I300" s="12" t="str">
        <f t="shared" si="42"/>
        <v>VIS</v>
      </c>
      <c r="J300" s="12" t="str">
        <f t="shared" si="42"/>
        <v>DIRECTION</v>
      </c>
      <c r="K300" s="24" t="str">
        <f t="shared" si="42"/>
        <v>TIME</v>
      </c>
      <c r="L300" s="12" t="str">
        <f t="shared" si="42"/>
        <v>DEPTH</v>
      </c>
      <c r="M300" s="12" t="str">
        <f t="shared" si="42"/>
        <v>BLOCK</v>
      </c>
      <c r="O300" s="22"/>
      <c r="Q300" s="14"/>
      <c r="R300" s="25">
        <f t="shared" si="44"/>
        <v>0</v>
      </c>
      <c r="S300" s="12">
        <v>0</v>
      </c>
    </row>
    <row r="301" spans="1:19">
      <c r="A301" s="14">
        <f>MAX($A$1:$A300)+1</f>
        <v>299</v>
      </c>
      <c r="B301" s="12" t="str">
        <f t="shared" si="43"/>
        <v>DIVER NAME</v>
      </c>
      <c r="C301" s="12" t="str">
        <f t="shared" si="43"/>
        <v>BUDDY NAME</v>
      </c>
      <c r="D301" s="12">
        <f t="shared" si="43"/>
        <v>0</v>
      </c>
      <c r="E301" s="14" t="str">
        <f>IF(ISERROR(VLOOKUP($D301,[1]SITES!$A:$E,2,FALSE)),"",VLOOKUP($D301,[1]SITES!$A:$E,2,FALSE))</f>
        <v/>
      </c>
      <c r="F301" s="15" t="str">
        <f>IF(ISERROR(VLOOKUP($D301,[1]SITES!$A:$E,3,FALSE)),"",VLOOKUP($D301,[1]SITES!$A:$E,3,FALSE))</f>
        <v/>
      </c>
      <c r="G301" s="16" t="str">
        <f>IF(ISERROR(VLOOKUP($D301,[1]SITES!$A:$E,4,FALSE)),"",VLOOKUP($D301,[1]SITES!$A:$E,4,FALSE))</f>
        <v/>
      </c>
      <c r="H301" s="26" t="str">
        <f t="shared" si="42"/>
        <v>DATE</v>
      </c>
      <c r="I301" s="12" t="str">
        <f t="shared" si="42"/>
        <v>VIS</v>
      </c>
      <c r="J301" s="12" t="str">
        <f t="shared" si="42"/>
        <v>DIRECTION</v>
      </c>
      <c r="K301" s="24" t="str">
        <f t="shared" si="42"/>
        <v>TIME</v>
      </c>
      <c r="L301" s="12" t="str">
        <f t="shared" si="42"/>
        <v>DEPTH</v>
      </c>
      <c r="M301" s="12" t="str">
        <f t="shared" si="42"/>
        <v>BLOCK</v>
      </c>
      <c r="O301" s="22"/>
      <c r="Q301" s="14"/>
      <c r="R301" s="25">
        <f t="shared" si="44"/>
        <v>0</v>
      </c>
      <c r="S301" s="12">
        <v>0</v>
      </c>
    </row>
    <row r="302" spans="1:19">
      <c r="A302" s="14">
        <f>MAX($A$1:$A301)+1</f>
        <v>300</v>
      </c>
      <c r="B302" s="12" t="str">
        <f t="shared" si="43"/>
        <v>DIVER NAME</v>
      </c>
      <c r="C302" s="12" t="str">
        <f t="shared" si="43"/>
        <v>BUDDY NAME</v>
      </c>
      <c r="D302" s="12">
        <f t="shared" si="43"/>
        <v>0</v>
      </c>
      <c r="E302" s="14" t="str">
        <f>IF(ISERROR(VLOOKUP($D302,[1]SITES!$A:$E,2,FALSE)),"",VLOOKUP($D302,[1]SITES!$A:$E,2,FALSE))</f>
        <v/>
      </c>
      <c r="F302" s="15" t="str">
        <f>IF(ISERROR(VLOOKUP($D302,[1]SITES!$A:$E,3,FALSE)),"",VLOOKUP($D302,[1]SITES!$A:$E,3,FALSE))</f>
        <v/>
      </c>
      <c r="G302" s="16" t="str">
        <f>IF(ISERROR(VLOOKUP($D302,[1]SITES!$A:$E,4,FALSE)),"",VLOOKUP($D302,[1]SITES!$A:$E,4,FALSE))</f>
        <v/>
      </c>
      <c r="H302" s="26" t="str">
        <f t="shared" si="42"/>
        <v>DATE</v>
      </c>
      <c r="I302" s="12" t="str">
        <f t="shared" si="42"/>
        <v>VIS</v>
      </c>
      <c r="J302" s="12" t="str">
        <f t="shared" si="42"/>
        <v>DIRECTION</v>
      </c>
      <c r="K302" s="24" t="str">
        <f t="shared" si="42"/>
        <v>TIME</v>
      </c>
      <c r="L302" s="12" t="str">
        <f t="shared" si="42"/>
        <v>DEPTH</v>
      </c>
      <c r="M302" s="12" t="str">
        <f t="shared" si="42"/>
        <v>BLOCK</v>
      </c>
      <c r="O302" s="22"/>
      <c r="Q302" s="14"/>
      <c r="R302" s="25">
        <f t="shared" si="44"/>
        <v>0</v>
      </c>
      <c r="S302" s="12">
        <v>0</v>
      </c>
    </row>
    <row r="303" spans="1:19">
      <c r="A303" s="14">
        <f>MAX($A$1:$A302)+1</f>
        <v>301</v>
      </c>
      <c r="B303" s="12" t="str">
        <f t="shared" si="43"/>
        <v>DIVER NAME</v>
      </c>
      <c r="C303" s="12" t="str">
        <f t="shared" si="43"/>
        <v>BUDDY NAME</v>
      </c>
      <c r="D303" s="12">
        <f t="shared" si="43"/>
        <v>0</v>
      </c>
      <c r="E303" s="14" t="str">
        <f>IF(ISERROR(VLOOKUP($D303,[1]SITES!$A:$E,2,FALSE)),"",VLOOKUP($D303,[1]SITES!$A:$E,2,FALSE))</f>
        <v/>
      </c>
      <c r="F303" s="15" t="str">
        <f>IF(ISERROR(VLOOKUP($D303,[1]SITES!$A:$E,3,FALSE)),"",VLOOKUP($D303,[1]SITES!$A:$E,3,FALSE))</f>
        <v/>
      </c>
      <c r="G303" s="16" t="str">
        <f>IF(ISERROR(VLOOKUP($D303,[1]SITES!$A:$E,4,FALSE)),"",VLOOKUP($D303,[1]SITES!$A:$E,4,FALSE))</f>
        <v/>
      </c>
      <c r="H303" s="26" t="str">
        <f t="shared" si="42"/>
        <v>DATE</v>
      </c>
      <c r="I303" s="12" t="str">
        <f t="shared" si="42"/>
        <v>VIS</v>
      </c>
      <c r="J303" s="12" t="str">
        <f t="shared" si="42"/>
        <v>DIRECTION</v>
      </c>
      <c r="K303" s="24" t="str">
        <f t="shared" si="42"/>
        <v>TIME</v>
      </c>
      <c r="L303" s="12" t="str">
        <f t="shared" si="42"/>
        <v>DEPTH</v>
      </c>
      <c r="M303" s="12" t="str">
        <f t="shared" si="42"/>
        <v>BLOCK</v>
      </c>
      <c r="O303" s="22"/>
      <c r="Q303" s="14"/>
      <c r="R303" s="25">
        <f t="shared" si="44"/>
        <v>0</v>
      </c>
      <c r="S303" s="12">
        <v>0</v>
      </c>
    </row>
    <row r="304" spans="1:19">
      <c r="A304" s="14">
        <f>MAX($A$1:$A303)+1</f>
        <v>302</v>
      </c>
      <c r="B304" s="12" t="str">
        <f t="shared" si="43"/>
        <v>DIVER NAME</v>
      </c>
      <c r="C304" s="12" t="str">
        <f t="shared" si="43"/>
        <v>BUDDY NAME</v>
      </c>
      <c r="D304" s="12">
        <f t="shared" si="43"/>
        <v>0</v>
      </c>
      <c r="E304" s="14" t="str">
        <f>IF(ISERROR(VLOOKUP($D304,[1]SITES!$A:$E,2,FALSE)),"",VLOOKUP($D304,[1]SITES!$A:$E,2,FALSE))</f>
        <v/>
      </c>
      <c r="F304" s="15" t="str">
        <f>IF(ISERROR(VLOOKUP($D304,[1]SITES!$A:$E,3,FALSE)),"",VLOOKUP($D304,[1]SITES!$A:$E,3,FALSE))</f>
        <v/>
      </c>
      <c r="G304" s="16" t="str">
        <f>IF(ISERROR(VLOOKUP($D304,[1]SITES!$A:$E,4,FALSE)),"",VLOOKUP($D304,[1]SITES!$A:$E,4,FALSE))</f>
        <v/>
      </c>
      <c r="H304" s="26" t="str">
        <f t="shared" si="42"/>
        <v>DATE</v>
      </c>
      <c r="I304" s="12" t="str">
        <f t="shared" si="42"/>
        <v>VIS</v>
      </c>
      <c r="J304" s="12" t="str">
        <f t="shared" si="42"/>
        <v>DIRECTION</v>
      </c>
      <c r="K304" s="24" t="str">
        <f t="shared" si="42"/>
        <v>TIME</v>
      </c>
      <c r="L304" s="12" t="str">
        <f t="shared" si="42"/>
        <v>DEPTH</v>
      </c>
      <c r="M304" s="12" t="str">
        <f t="shared" si="42"/>
        <v>BLOCK</v>
      </c>
      <c r="O304" s="22"/>
      <c r="Q304" s="14"/>
      <c r="R304" s="25">
        <f t="shared" si="44"/>
        <v>0</v>
      </c>
      <c r="S304" s="12">
        <v>0</v>
      </c>
    </row>
    <row r="305" spans="1:19">
      <c r="A305" s="14">
        <f>MAX($A$1:$A304)+1</f>
        <v>303</v>
      </c>
      <c r="B305" s="12" t="str">
        <f t="shared" si="43"/>
        <v>DIVER NAME</v>
      </c>
      <c r="C305" s="12" t="str">
        <f t="shared" si="43"/>
        <v>BUDDY NAME</v>
      </c>
      <c r="D305" s="12">
        <f t="shared" si="43"/>
        <v>0</v>
      </c>
      <c r="E305" s="14" t="str">
        <f>IF(ISERROR(VLOOKUP($D305,[1]SITES!$A:$E,2,FALSE)),"",VLOOKUP($D305,[1]SITES!$A:$E,2,FALSE))</f>
        <v/>
      </c>
      <c r="F305" s="15" t="str">
        <f>IF(ISERROR(VLOOKUP($D305,[1]SITES!$A:$E,3,FALSE)),"",VLOOKUP($D305,[1]SITES!$A:$E,3,FALSE))</f>
        <v/>
      </c>
      <c r="G305" s="16" t="str">
        <f>IF(ISERROR(VLOOKUP($D305,[1]SITES!$A:$E,4,FALSE)),"",VLOOKUP($D305,[1]SITES!$A:$E,4,FALSE))</f>
        <v/>
      </c>
      <c r="H305" s="26" t="str">
        <f t="shared" si="42"/>
        <v>DATE</v>
      </c>
      <c r="I305" s="12" t="str">
        <f t="shared" si="42"/>
        <v>VIS</v>
      </c>
      <c r="J305" s="12" t="str">
        <f t="shared" si="42"/>
        <v>DIRECTION</v>
      </c>
      <c r="K305" s="24" t="str">
        <f t="shared" si="42"/>
        <v>TIME</v>
      </c>
      <c r="L305" s="12" t="str">
        <f t="shared" si="42"/>
        <v>DEPTH</v>
      </c>
      <c r="M305" s="12" t="str">
        <f t="shared" si="42"/>
        <v>BLOCK</v>
      </c>
      <c r="O305" s="22"/>
      <c r="Q305" s="14"/>
      <c r="R305" s="25">
        <f t="shared" si="44"/>
        <v>0</v>
      </c>
      <c r="S305" s="12">
        <v>0</v>
      </c>
    </row>
    <row r="306" spans="1:19">
      <c r="A306" s="14">
        <f>MAX($A$1:$A305)+1</f>
        <v>304</v>
      </c>
      <c r="B306" s="12" t="str">
        <f t="shared" si="43"/>
        <v>DIVER NAME</v>
      </c>
      <c r="C306" s="12" t="str">
        <f t="shared" si="43"/>
        <v>BUDDY NAME</v>
      </c>
      <c r="D306" s="12">
        <f t="shared" si="43"/>
        <v>0</v>
      </c>
      <c r="E306" s="14" t="str">
        <f>IF(ISERROR(VLOOKUP($D306,[1]SITES!$A:$E,2,FALSE)),"",VLOOKUP($D306,[1]SITES!$A:$E,2,FALSE))</f>
        <v/>
      </c>
      <c r="F306" s="15" t="str">
        <f>IF(ISERROR(VLOOKUP($D306,[1]SITES!$A:$E,3,FALSE)),"",VLOOKUP($D306,[1]SITES!$A:$E,3,FALSE))</f>
        <v/>
      </c>
      <c r="G306" s="16" t="str">
        <f>IF(ISERROR(VLOOKUP($D306,[1]SITES!$A:$E,4,FALSE)),"",VLOOKUP($D306,[1]SITES!$A:$E,4,FALSE))</f>
        <v/>
      </c>
      <c r="H306" s="26" t="str">
        <f t="shared" si="42"/>
        <v>DATE</v>
      </c>
      <c r="I306" s="12" t="str">
        <f t="shared" si="42"/>
        <v>VIS</v>
      </c>
      <c r="J306" s="12" t="str">
        <f t="shared" si="42"/>
        <v>DIRECTION</v>
      </c>
      <c r="K306" s="24" t="str">
        <f t="shared" si="42"/>
        <v>TIME</v>
      </c>
      <c r="L306" s="12" t="str">
        <f t="shared" si="42"/>
        <v>DEPTH</v>
      </c>
      <c r="M306" s="12" t="str">
        <f t="shared" si="42"/>
        <v>BLOCK</v>
      </c>
      <c r="O306" s="22"/>
      <c r="Q306" s="14"/>
      <c r="R306" s="25">
        <f t="shared" si="44"/>
        <v>0</v>
      </c>
      <c r="S306" s="12">
        <v>0</v>
      </c>
    </row>
    <row r="307" spans="1:19">
      <c r="A307" s="14">
        <f>MAX($A$1:$A306)+1</f>
        <v>305</v>
      </c>
      <c r="B307" s="12" t="str">
        <f t="shared" si="43"/>
        <v>DIVER NAME</v>
      </c>
      <c r="C307" s="12" t="str">
        <f t="shared" si="43"/>
        <v>BUDDY NAME</v>
      </c>
      <c r="D307" s="12">
        <f t="shared" si="43"/>
        <v>0</v>
      </c>
      <c r="E307" s="14" t="str">
        <f>IF(ISERROR(VLOOKUP($D307,[1]SITES!$A:$E,2,FALSE)),"",VLOOKUP($D307,[1]SITES!$A:$E,2,FALSE))</f>
        <v/>
      </c>
      <c r="F307" s="15" t="str">
        <f>IF(ISERROR(VLOOKUP($D307,[1]SITES!$A:$E,3,FALSE)),"",VLOOKUP($D307,[1]SITES!$A:$E,3,FALSE))</f>
        <v/>
      </c>
      <c r="G307" s="16" t="str">
        <f>IF(ISERROR(VLOOKUP($D307,[1]SITES!$A:$E,4,FALSE)),"",VLOOKUP($D307,[1]SITES!$A:$E,4,FALSE))</f>
        <v/>
      </c>
      <c r="H307" s="26" t="str">
        <f t="shared" si="42"/>
        <v>DATE</v>
      </c>
      <c r="I307" s="12" t="str">
        <f t="shared" si="42"/>
        <v>VIS</v>
      </c>
      <c r="J307" s="12" t="str">
        <f t="shared" si="42"/>
        <v>DIRECTION</v>
      </c>
      <c r="K307" s="24" t="str">
        <f t="shared" si="42"/>
        <v>TIME</v>
      </c>
      <c r="L307" s="12" t="str">
        <f t="shared" si="42"/>
        <v>DEPTH</v>
      </c>
      <c r="M307" s="12" t="str">
        <f t="shared" si="42"/>
        <v>BLOCK</v>
      </c>
      <c r="O307" s="22"/>
      <c r="Q307" s="14"/>
      <c r="R307" s="25">
        <f t="shared" si="44"/>
        <v>0</v>
      </c>
      <c r="S307" s="12">
        <v>0</v>
      </c>
    </row>
    <row r="308" spans="1:19">
      <c r="A308" s="14">
        <f>MAX($A$1:$A307)+1</f>
        <v>306</v>
      </c>
      <c r="B308" s="12" t="str">
        <f t="shared" si="43"/>
        <v>DIVER NAME</v>
      </c>
      <c r="C308" s="12" t="str">
        <f t="shared" si="43"/>
        <v>BUDDY NAME</v>
      </c>
      <c r="D308" s="12">
        <f t="shared" si="43"/>
        <v>0</v>
      </c>
      <c r="E308" s="14" t="str">
        <f>IF(ISERROR(VLOOKUP($D308,[1]SITES!$A:$E,2,FALSE)),"",VLOOKUP($D308,[1]SITES!$A:$E,2,FALSE))</f>
        <v/>
      </c>
      <c r="F308" s="15" t="str">
        <f>IF(ISERROR(VLOOKUP($D308,[1]SITES!$A:$E,3,FALSE)),"",VLOOKUP($D308,[1]SITES!$A:$E,3,FALSE))</f>
        <v/>
      </c>
      <c r="G308" s="16" t="str">
        <f>IF(ISERROR(VLOOKUP($D308,[1]SITES!$A:$E,4,FALSE)),"",VLOOKUP($D308,[1]SITES!$A:$E,4,FALSE))</f>
        <v/>
      </c>
      <c r="H308" s="26" t="str">
        <f t="shared" ref="H308:M323" si="45">IF(ISERROR(H307),IF(ISERROR(H306),IF(ISERROR(H305),"BLANK",H305),H306),H307)</f>
        <v>DATE</v>
      </c>
      <c r="I308" s="12" t="str">
        <f t="shared" si="45"/>
        <v>VIS</v>
      </c>
      <c r="J308" s="12" t="str">
        <f t="shared" si="45"/>
        <v>DIRECTION</v>
      </c>
      <c r="K308" s="24" t="str">
        <f t="shared" si="45"/>
        <v>TIME</v>
      </c>
      <c r="L308" s="12" t="str">
        <f t="shared" si="45"/>
        <v>DEPTH</v>
      </c>
      <c r="M308" s="12" t="str">
        <f t="shared" si="45"/>
        <v>BLOCK</v>
      </c>
      <c r="O308" s="22"/>
      <c r="Q308" s="14"/>
      <c r="R308" s="25">
        <f t="shared" si="44"/>
        <v>0</v>
      </c>
      <c r="S308" s="12">
        <v>0</v>
      </c>
    </row>
    <row r="309" spans="1:19">
      <c r="A309" s="14">
        <f>MAX($A$1:$A308)+1</f>
        <v>307</v>
      </c>
      <c r="B309" s="12" t="str">
        <f t="shared" ref="B309:D324" si="46">IF(ISERROR(B308),IF(ISERROR(B307),IF(ISERROR(B306),"BLANK",B306),B307),B308)</f>
        <v>DIVER NAME</v>
      </c>
      <c r="C309" s="12" t="str">
        <f t="shared" si="46"/>
        <v>BUDDY NAME</v>
      </c>
      <c r="D309" s="12">
        <f t="shared" si="46"/>
        <v>0</v>
      </c>
      <c r="E309" s="14" t="str">
        <f>IF(ISERROR(VLOOKUP($D309,[1]SITES!$A:$E,2,FALSE)),"",VLOOKUP($D309,[1]SITES!$A:$E,2,FALSE))</f>
        <v/>
      </c>
      <c r="F309" s="15" t="str">
        <f>IF(ISERROR(VLOOKUP($D309,[1]SITES!$A:$E,3,FALSE)),"",VLOOKUP($D309,[1]SITES!$A:$E,3,FALSE))</f>
        <v/>
      </c>
      <c r="G309" s="16" t="str">
        <f>IF(ISERROR(VLOOKUP($D309,[1]SITES!$A:$E,4,FALSE)),"",VLOOKUP($D309,[1]SITES!$A:$E,4,FALSE))</f>
        <v/>
      </c>
      <c r="H309" s="26" t="str">
        <f t="shared" si="45"/>
        <v>DATE</v>
      </c>
      <c r="I309" s="12" t="str">
        <f t="shared" si="45"/>
        <v>VIS</v>
      </c>
      <c r="J309" s="12" t="str">
        <f t="shared" si="45"/>
        <v>DIRECTION</v>
      </c>
      <c r="K309" s="24" t="str">
        <f t="shared" si="45"/>
        <v>TIME</v>
      </c>
      <c r="L309" s="12" t="str">
        <f t="shared" si="45"/>
        <v>DEPTH</v>
      </c>
      <c r="M309" s="12" t="str">
        <f t="shared" si="45"/>
        <v>BLOCK</v>
      </c>
      <c r="O309" s="22"/>
      <c r="Q309" s="14"/>
      <c r="R309" s="25">
        <f t="shared" si="44"/>
        <v>0</v>
      </c>
      <c r="S309" s="12">
        <v>0</v>
      </c>
    </row>
    <row r="310" spans="1:19">
      <c r="A310" s="14">
        <f>MAX($A$1:$A309)+1</f>
        <v>308</v>
      </c>
      <c r="B310" s="12" t="str">
        <f t="shared" si="46"/>
        <v>DIVER NAME</v>
      </c>
      <c r="C310" s="12" t="str">
        <f t="shared" si="46"/>
        <v>BUDDY NAME</v>
      </c>
      <c r="D310" s="12">
        <f t="shared" si="46"/>
        <v>0</v>
      </c>
      <c r="E310" s="14" t="str">
        <f>IF(ISERROR(VLOOKUP($D310,[1]SITES!$A:$E,2,FALSE)),"",VLOOKUP($D310,[1]SITES!$A:$E,2,FALSE))</f>
        <v/>
      </c>
      <c r="F310" s="15" t="str">
        <f>IF(ISERROR(VLOOKUP($D310,[1]SITES!$A:$E,3,FALSE)),"",VLOOKUP($D310,[1]SITES!$A:$E,3,FALSE))</f>
        <v/>
      </c>
      <c r="G310" s="16" t="str">
        <f>IF(ISERROR(VLOOKUP($D310,[1]SITES!$A:$E,4,FALSE)),"",VLOOKUP($D310,[1]SITES!$A:$E,4,FALSE))</f>
        <v/>
      </c>
      <c r="H310" s="26" t="str">
        <f t="shared" si="45"/>
        <v>DATE</v>
      </c>
      <c r="I310" s="12" t="str">
        <f t="shared" si="45"/>
        <v>VIS</v>
      </c>
      <c r="J310" s="12" t="str">
        <f t="shared" si="45"/>
        <v>DIRECTION</v>
      </c>
      <c r="K310" s="24" t="str">
        <f t="shared" si="45"/>
        <v>TIME</v>
      </c>
      <c r="L310" s="12" t="str">
        <f t="shared" si="45"/>
        <v>DEPTH</v>
      </c>
      <c r="M310" s="12" t="str">
        <f t="shared" si="45"/>
        <v>BLOCK</v>
      </c>
      <c r="O310" s="22"/>
      <c r="Q310" s="14"/>
      <c r="R310" s="25">
        <f t="shared" si="44"/>
        <v>0</v>
      </c>
      <c r="S310" s="12">
        <v>0</v>
      </c>
    </row>
    <row r="311" spans="1:19">
      <c r="A311" s="14">
        <f>MAX($A$1:$A310)+1</f>
        <v>309</v>
      </c>
      <c r="B311" s="12" t="str">
        <f t="shared" si="46"/>
        <v>DIVER NAME</v>
      </c>
      <c r="C311" s="12" t="str">
        <f t="shared" si="46"/>
        <v>BUDDY NAME</v>
      </c>
      <c r="D311" s="12">
        <f t="shared" si="46"/>
        <v>0</v>
      </c>
      <c r="E311" s="14" t="str">
        <f>IF(ISERROR(VLOOKUP($D311,[1]SITES!$A:$E,2,FALSE)),"",VLOOKUP($D311,[1]SITES!$A:$E,2,FALSE))</f>
        <v/>
      </c>
      <c r="F311" s="15" t="str">
        <f>IF(ISERROR(VLOOKUP($D311,[1]SITES!$A:$E,3,FALSE)),"",VLOOKUP($D311,[1]SITES!$A:$E,3,FALSE))</f>
        <v/>
      </c>
      <c r="G311" s="16" t="str">
        <f>IF(ISERROR(VLOOKUP($D311,[1]SITES!$A:$E,4,FALSE)),"",VLOOKUP($D311,[1]SITES!$A:$E,4,FALSE))</f>
        <v/>
      </c>
      <c r="H311" s="26" t="str">
        <f t="shared" si="45"/>
        <v>DATE</v>
      </c>
      <c r="I311" s="12" t="str">
        <f t="shared" si="45"/>
        <v>VIS</v>
      </c>
      <c r="J311" s="12" t="str">
        <f t="shared" si="45"/>
        <v>DIRECTION</v>
      </c>
      <c r="K311" s="24" t="str">
        <f t="shared" si="45"/>
        <v>TIME</v>
      </c>
      <c r="L311" s="12" t="str">
        <f t="shared" si="45"/>
        <v>DEPTH</v>
      </c>
      <c r="M311" s="12" t="str">
        <f t="shared" si="45"/>
        <v>BLOCK</v>
      </c>
      <c r="O311" s="22"/>
      <c r="Q311" s="14"/>
      <c r="R311" s="25">
        <f t="shared" si="44"/>
        <v>0</v>
      </c>
      <c r="S311" s="12">
        <v>0</v>
      </c>
    </row>
    <row r="312" spans="1:19">
      <c r="A312" s="14">
        <f>MAX($A$1:$A311)+1</f>
        <v>310</v>
      </c>
      <c r="B312" s="12" t="str">
        <f t="shared" si="46"/>
        <v>DIVER NAME</v>
      </c>
      <c r="C312" s="12" t="str">
        <f t="shared" si="46"/>
        <v>BUDDY NAME</v>
      </c>
      <c r="D312" s="12">
        <f t="shared" si="46"/>
        <v>0</v>
      </c>
      <c r="E312" s="14" t="str">
        <f>IF(ISERROR(VLOOKUP($D312,[1]SITES!$A:$E,2,FALSE)),"",VLOOKUP($D312,[1]SITES!$A:$E,2,FALSE))</f>
        <v/>
      </c>
      <c r="F312" s="15" t="str">
        <f>IF(ISERROR(VLOOKUP($D312,[1]SITES!$A:$E,3,FALSE)),"",VLOOKUP($D312,[1]SITES!$A:$E,3,FALSE))</f>
        <v/>
      </c>
      <c r="G312" s="16" t="str">
        <f>IF(ISERROR(VLOOKUP($D312,[1]SITES!$A:$E,4,FALSE)),"",VLOOKUP($D312,[1]SITES!$A:$E,4,FALSE))</f>
        <v/>
      </c>
      <c r="H312" s="26" t="str">
        <f t="shared" si="45"/>
        <v>DATE</v>
      </c>
      <c r="I312" s="12" t="str">
        <f t="shared" si="45"/>
        <v>VIS</v>
      </c>
      <c r="J312" s="12" t="str">
        <f t="shared" si="45"/>
        <v>DIRECTION</v>
      </c>
      <c r="K312" s="24" t="str">
        <f t="shared" si="45"/>
        <v>TIME</v>
      </c>
      <c r="L312" s="12" t="str">
        <f t="shared" si="45"/>
        <v>DEPTH</v>
      </c>
      <c r="M312" s="12" t="str">
        <f t="shared" si="45"/>
        <v>BLOCK</v>
      </c>
      <c r="O312" s="22"/>
      <c r="Q312" s="14"/>
      <c r="R312" s="25">
        <f t="shared" si="44"/>
        <v>0</v>
      </c>
      <c r="S312" s="12">
        <v>0</v>
      </c>
    </row>
    <row r="313" spans="1:19">
      <c r="A313" s="14">
        <f>MAX($A$1:$A312)+1</f>
        <v>311</v>
      </c>
      <c r="B313" s="12" t="str">
        <f t="shared" si="46"/>
        <v>DIVER NAME</v>
      </c>
      <c r="C313" s="12" t="str">
        <f t="shared" si="46"/>
        <v>BUDDY NAME</v>
      </c>
      <c r="D313" s="12">
        <f t="shared" si="46"/>
        <v>0</v>
      </c>
      <c r="E313" s="14" t="str">
        <f>IF(ISERROR(VLOOKUP($D313,[1]SITES!$A:$E,2,FALSE)),"",VLOOKUP($D313,[1]SITES!$A:$E,2,FALSE))</f>
        <v/>
      </c>
      <c r="F313" s="15" t="str">
        <f>IF(ISERROR(VLOOKUP($D313,[1]SITES!$A:$E,3,FALSE)),"",VLOOKUP($D313,[1]SITES!$A:$E,3,FALSE))</f>
        <v/>
      </c>
      <c r="G313" s="16" t="str">
        <f>IF(ISERROR(VLOOKUP($D313,[1]SITES!$A:$E,4,FALSE)),"",VLOOKUP($D313,[1]SITES!$A:$E,4,FALSE))</f>
        <v/>
      </c>
      <c r="H313" s="26" t="str">
        <f t="shared" si="45"/>
        <v>DATE</v>
      </c>
      <c r="I313" s="12" t="str">
        <f t="shared" si="45"/>
        <v>VIS</v>
      </c>
      <c r="J313" s="12" t="str">
        <f t="shared" si="45"/>
        <v>DIRECTION</v>
      </c>
      <c r="K313" s="24" t="str">
        <f t="shared" si="45"/>
        <v>TIME</v>
      </c>
      <c r="L313" s="12" t="str">
        <f t="shared" si="45"/>
        <v>DEPTH</v>
      </c>
      <c r="M313" s="12" t="str">
        <f t="shared" si="45"/>
        <v>BLOCK</v>
      </c>
      <c r="O313" s="22"/>
      <c r="Q313" s="14"/>
      <c r="R313" s="25">
        <f t="shared" si="44"/>
        <v>0</v>
      </c>
      <c r="S313" s="12">
        <v>0</v>
      </c>
    </row>
    <row r="314" spans="1:19">
      <c r="A314" s="14">
        <f>MAX($A$1:$A313)+1</f>
        <v>312</v>
      </c>
      <c r="B314" s="12" t="str">
        <f t="shared" si="46"/>
        <v>DIVER NAME</v>
      </c>
      <c r="C314" s="12" t="str">
        <f t="shared" si="46"/>
        <v>BUDDY NAME</v>
      </c>
      <c r="D314" s="12">
        <f t="shared" si="46"/>
        <v>0</v>
      </c>
      <c r="E314" s="14" t="str">
        <f>IF(ISERROR(VLOOKUP($D314,[1]SITES!$A:$E,2,FALSE)),"",VLOOKUP($D314,[1]SITES!$A:$E,2,FALSE))</f>
        <v/>
      </c>
      <c r="F314" s="15" t="str">
        <f>IF(ISERROR(VLOOKUP($D314,[1]SITES!$A:$E,3,FALSE)),"",VLOOKUP($D314,[1]SITES!$A:$E,3,FALSE))</f>
        <v/>
      </c>
      <c r="G314" s="16" t="str">
        <f>IF(ISERROR(VLOOKUP($D314,[1]SITES!$A:$E,4,FALSE)),"",VLOOKUP($D314,[1]SITES!$A:$E,4,FALSE))</f>
        <v/>
      </c>
      <c r="H314" s="26" t="str">
        <f t="shared" si="45"/>
        <v>DATE</v>
      </c>
      <c r="I314" s="12" t="str">
        <f t="shared" si="45"/>
        <v>VIS</v>
      </c>
      <c r="J314" s="12" t="str">
        <f t="shared" si="45"/>
        <v>DIRECTION</v>
      </c>
      <c r="K314" s="24" t="str">
        <f t="shared" si="45"/>
        <v>TIME</v>
      </c>
      <c r="L314" s="12" t="str">
        <f t="shared" si="45"/>
        <v>DEPTH</v>
      </c>
      <c r="M314" s="12" t="str">
        <f t="shared" si="45"/>
        <v>BLOCK</v>
      </c>
      <c r="O314" s="22"/>
      <c r="Q314" s="14"/>
      <c r="R314" s="25">
        <f t="shared" si="44"/>
        <v>0</v>
      </c>
      <c r="S314" s="12">
        <v>0</v>
      </c>
    </row>
    <row r="315" spans="1:19">
      <c r="A315" s="14">
        <f>MAX($A$1:$A314)+1</f>
        <v>313</v>
      </c>
      <c r="B315" s="12" t="str">
        <f t="shared" si="46"/>
        <v>DIVER NAME</v>
      </c>
      <c r="C315" s="12" t="str">
        <f t="shared" si="46"/>
        <v>BUDDY NAME</v>
      </c>
      <c r="D315" s="12">
        <f t="shared" si="46"/>
        <v>0</v>
      </c>
      <c r="E315" s="14" t="str">
        <f>IF(ISERROR(VLOOKUP($D315,[1]SITES!$A:$E,2,FALSE)),"",VLOOKUP($D315,[1]SITES!$A:$E,2,FALSE))</f>
        <v/>
      </c>
      <c r="F315" s="15" t="str">
        <f>IF(ISERROR(VLOOKUP($D315,[1]SITES!$A:$E,3,FALSE)),"",VLOOKUP($D315,[1]SITES!$A:$E,3,FALSE))</f>
        <v/>
      </c>
      <c r="G315" s="16" t="str">
        <f>IF(ISERROR(VLOOKUP($D315,[1]SITES!$A:$E,4,FALSE)),"",VLOOKUP($D315,[1]SITES!$A:$E,4,FALSE))</f>
        <v/>
      </c>
      <c r="H315" s="26" t="str">
        <f t="shared" si="45"/>
        <v>DATE</v>
      </c>
      <c r="I315" s="12" t="str">
        <f t="shared" si="45"/>
        <v>VIS</v>
      </c>
      <c r="J315" s="12" t="str">
        <f t="shared" si="45"/>
        <v>DIRECTION</v>
      </c>
      <c r="K315" s="24" t="str">
        <f t="shared" si="45"/>
        <v>TIME</v>
      </c>
      <c r="L315" s="12" t="str">
        <f t="shared" si="45"/>
        <v>DEPTH</v>
      </c>
      <c r="M315" s="12" t="str">
        <f t="shared" si="45"/>
        <v>BLOCK</v>
      </c>
      <c r="O315" s="22"/>
      <c r="Q315" s="14"/>
      <c r="R315" s="25">
        <f t="shared" si="44"/>
        <v>0</v>
      </c>
      <c r="S315" s="12">
        <v>0</v>
      </c>
    </row>
    <row r="316" spans="1:19">
      <c r="A316" s="14">
        <f>MAX($A$1:$A315)+1</f>
        <v>314</v>
      </c>
      <c r="B316" s="12" t="str">
        <f t="shared" si="46"/>
        <v>DIVER NAME</v>
      </c>
      <c r="C316" s="12" t="str">
        <f t="shared" si="46"/>
        <v>BUDDY NAME</v>
      </c>
      <c r="D316" s="12">
        <f t="shared" si="46"/>
        <v>0</v>
      </c>
      <c r="E316" s="14" t="str">
        <f>IF(ISERROR(VLOOKUP($D316,[1]SITES!$A:$E,2,FALSE)),"",VLOOKUP($D316,[1]SITES!$A:$E,2,FALSE))</f>
        <v/>
      </c>
      <c r="F316" s="15" t="str">
        <f>IF(ISERROR(VLOOKUP($D316,[1]SITES!$A:$E,3,FALSE)),"",VLOOKUP($D316,[1]SITES!$A:$E,3,FALSE))</f>
        <v/>
      </c>
      <c r="G316" s="16" t="str">
        <f>IF(ISERROR(VLOOKUP($D316,[1]SITES!$A:$E,4,FALSE)),"",VLOOKUP($D316,[1]SITES!$A:$E,4,FALSE))</f>
        <v/>
      </c>
      <c r="H316" s="26" t="str">
        <f t="shared" si="45"/>
        <v>DATE</v>
      </c>
      <c r="I316" s="12" t="str">
        <f t="shared" si="45"/>
        <v>VIS</v>
      </c>
      <c r="J316" s="12" t="str">
        <f t="shared" si="45"/>
        <v>DIRECTION</v>
      </c>
      <c r="K316" s="24" t="str">
        <f t="shared" si="45"/>
        <v>TIME</v>
      </c>
      <c r="L316" s="12" t="str">
        <f t="shared" si="45"/>
        <v>DEPTH</v>
      </c>
      <c r="M316" s="12" t="str">
        <f t="shared" si="45"/>
        <v>BLOCK</v>
      </c>
      <c r="O316" s="22"/>
      <c r="Q316" s="14"/>
      <c r="R316" s="25">
        <f t="shared" si="44"/>
        <v>0</v>
      </c>
      <c r="S316" s="12">
        <v>0</v>
      </c>
    </row>
    <row r="317" spans="1:19">
      <c r="A317" s="14">
        <f>MAX($A$1:$A316)+1</f>
        <v>315</v>
      </c>
      <c r="B317" s="12" t="str">
        <f t="shared" si="46"/>
        <v>DIVER NAME</v>
      </c>
      <c r="C317" s="12" t="str">
        <f t="shared" si="46"/>
        <v>BUDDY NAME</v>
      </c>
      <c r="D317" s="12">
        <f t="shared" si="46"/>
        <v>0</v>
      </c>
      <c r="E317" s="14" t="str">
        <f>IF(ISERROR(VLOOKUP($D317,[1]SITES!$A:$E,2,FALSE)),"",VLOOKUP($D317,[1]SITES!$A:$E,2,FALSE))</f>
        <v/>
      </c>
      <c r="F317" s="15" t="str">
        <f>IF(ISERROR(VLOOKUP($D317,[1]SITES!$A:$E,3,FALSE)),"",VLOOKUP($D317,[1]SITES!$A:$E,3,FALSE))</f>
        <v/>
      </c>
      <c r="G317" s="16" t="str">
        <f>IF(ISERROR(VLOOKUP($D317,[1]SITES!$A:$E,4,FALSE)),"",VLOOKUP($D317,[1]SITES!$A:$E,4,FALSE))</f>
        <v/>
      </c>
      <c r="H317" s="26" t="str">
        <f t="shared" si="45"/>
        <v>DATE</v>
      </c>
      <c r="I317" s="12" t="str">
        <f t="shared" si="45"/>
        <v>VIS</v>
      </c>
      <c r="J317" s="12" t="str">
        <f t="shared" si="45"/>
        <v>DIRECTION</v>
      </c>
      <c r="K317" s="24" t="str">
        <f t="shared" si="45"/>
        <v>TIME</v>
      </c>
      <c r="L317" s="12" t="str">
        <f t="shared" si="45"/>
        <v>DEPTH</v>
      </c>
      <c r="M317" s="12" t="str">
        <f t="shared" si="45"/>
        <v>BLOCK</v>
      </c>
      <c r="O317" s="22"/>
      <c r="Q317" s="14"/>
      <c r="R317" s="25">
        <f t="shared" si="44"/>
        <v>0</v>
      </c>
      <c r="S317" s="12">
        <v>0</v>
      </c>
    </row>
    <row r="318" spans="1:19">
      <c r="A318" s="14">
        <f>MAX($A$1:$A317)+1</f>
        <v>316</v>
      </c>
      <c r="B318" s="12" t="str">
        <f t="shared" si="46"/>
        <v>DIVER NAME</v>
      </c>
      <c r="C318" s="12" t="str">
        <f t="shared" si="46"/>
        <v>BUDDY NAME</v>
      </c>
      <c r="D318" s="12">
        <f t="shared" si="46"/>
        <v>0</v>
      </c>
      <c r="E318" s="14" t="str">
        <f>IF(ISERROR(VLOOKUP($D318,[1]SITES!$A:$E,2,FALSE)),"",VLOOKUP($D318,[1]SITES!$A:$E,2,FALSE))</f>
        <v/>
      </c>
      <c r="F318" s="15" t="str">
        <f>IF(ISERROR(VLOOKUP($D318,[1]SITES!$A:$E,3,FALSE)),"",VLOOKUP($D318,[1]SITES!$A:$E,3,FALSE))</f>
        <v/>
      </c>
      <c r="G318" s="16" t="str">
        <f>IF(ISERROR(VLOOKUP($D318,[1]SITES!$A:$E,4,FALSE)),"",VLOOKUP($D318,[1]SITES!$A:$E,4,FALSE))</f>
        <v/>
      </c>
      <c r="H318" s="26" t="str">
        <f t="shared" si="45"/>
        <v>DATE</v>
      </c>
      <c r="I318" s="12" t="str">
        <f t="shared" si="45"/>
        <v>VIS</v>
      </c>
      <c r="J318" s="12" t="str">
        <f t="shared" si="45"/>
        <v>DIRECTION</v>
      </c>
      <c r="K318" s="24" t="str">
        <f t="shared" si="45"/>
        <v>TIME</v>
      </c>
      <c r="L318" s="12" t="str">
        <f t="shared" si="45"/>
        <v>DEPTH</v>
      </c>
      <c r="M318" s="12" t="str">
        <f t="shared" si="45"/>
        <v>BLOCK</v>
      </c>
      <c r="O318" s="22"/>
      <c r="Q318" s="14"/>
      <c r="R318" s="25">
        <f t="shared" si="44"/>
        <v>0</v>
      </c>
      <c r="S318" s="12">
        <v>0</v>
      </c>
    </row>
    <row r="319" spans="1:19">
      <c r="A319" s="14">
        <f>MAX($A$1:$A318)+1</f>
        <v>317</v>
      </c>
      <c r="B319" s="12" t="str">
        <f t="shared" si="46"/>
        <v>DIVER NAME</v>
      </c>
      <c r="C319" s="12" t="str">
        <f t="shared" si="46"/>
        <v>BUDDY NAME</v>
      </c>
      <c r="D319" s="12">
        <f t="shared" si="46"/>
        <v>0</v>
      </c>
      <c r="E319" s="14" t="str">
        <f>IF(ISERROR(VLOOKUP($D319,[1]SITES!$A:$E,2,FALSE)),"",VLOOKUP($D319,[1]SITES!$A:$E,2,FALSE))</f>
        <v/>
      </c>
      <c r="F319" s="15" t="str">
        <f>IF(ISERROR(VLOOKUP($D319,[1]SITES!$A:$E,3,FALSE)),"",VLOOKUP($D319,[1]SITES!$A:$E,3,FALSE))</f>
        <v/>
      </c>
      <c r="G319" s="16" t="str">
        <f>IF(ISERROR(VLOOKUP($D319,[1]SITES!$A:$E,4,FALSE)),"",VLOOKUP($D319,[1]SITES!$A:$E,4,FALSE))</f>
        <v/>
      </c>
      <c r="H319" s="26" t="str">
        <f t="shared" si="45"/>
        <v>DATE</v>
      </c>
      <c r="I319" s="12" t="str">
        <f t="shared" si="45"/>
        <v>VIS</v>
      </c>
      <c r="J319" s="12" t="str">
        <f t="shared" si="45"/>
        <v>DIRECTION</v>
      </c>
      <c r="K319" s="24" t="str">
        <f t="shared" si="45"/>
        <v>TIME</v>
      </c>
      <c r="L319" s="12" t="str">
        <f t="shared" si="45"/>
        <v>DEPTH</v>
      </c>
      <c r="M319" s="12" t="str">
        <f t="shared" si="45"/>
        <v>BLOCK</v>
      </c>
      <c r="O319" s="22"/>
      <c r="Q319" s="14"/>
      <c r="R319" s="25">
        <f t="shared" si="44"/>
        <v>0</v>
      </c>
      <c r="S319" s="12">
        <v>0</v>
      </c>
    </row>
    <row r="320" spans="1:19">
      <c r="A320" s="14">
        <f>MAX($A$1:$A319)+1</f>
        <v>318</v>
      </c>
      <c r="B320" s="12" t="str">
        <f t="shared" si="46"/>
        <v>DIVER NAME</v>
      </c>
      <c r="C320" s="12" t="str">
        <f t="shared" si="46"/>
        <v>BUDDY NAME</v>
      </c>
      <c r="D320" s="12">
        <f t="shared" si="46"/>
        <v>0</v>
      </c>
      <c r="E320" s="14" t="str">
        <f>IF(ISERROR(VLOOKUP($D320,[1]SITES!$A:$E,2,FALSE)),"",VLOOKUP($D320,[1]SITES!$A:$E,2,FALSE))</f>
        <v/>
      </c>
      <c r="F320" s="15" t="str">
        <f>IF(ISERROR(VLOOKUP($D320,[1]SITES!$A:$E,3,FALSE)),"",VLOOKUP($D320,[1]SITES!$A:$E,3,FALSE))</f>
        <v/>
      </c>
      <c r="G320" s="16" t="str">
        <f>IF(ISERROR(VLOOKUP($D320,[1]SITES!$A:$E,4,FALSE)),"",VLOOKUP($D320,[1]SITES!$A:$E,4,FALSE))</f>
        <v/>
      </c>
      <c r="H320" s="26" t="str">
        <f t="shared" si="45"/>
        <v>DATE</v>
      </c>
      <c r="I320" s="12" t="str">
        <f t="shared" si="45"/>
        <v>VIS</v>
      </c>
      <c r="J320" s="12" t="str">
        <f t="shared" si="45"/>
        <v>DIRECTION</v>
      </c>
      <c r="K320" s="24" t="str">
        <f t="shared" si="45"/>
        <v>TIME</v>
      </c>
      <c r="L320" s="12" t="str">
        <f t="shared" si="45"/>
        <v>DEPTH</v>
      </c>
      <c r="M320" s="12" t="str">
        <f t="shared" si="45"/>
        <v>BLOCK</v>
      </c>
      <c r="O320" s="22"/>
      <c r="Q320" s="14"/>
      <c r="R320" s="25">
        <f t="shared" si="44"/>
        <v>0</v>
      </c>
      <c r="S320" s="12">
        <v>0</v>
      </c>
    </row>
    <row r="321" spans="1:19">
      <c r="A321" s="14">
        <f>MAX($A$1:$A320)+1</f>
        <v>319</v>
      </c>
      <c r="B321" s="12" t="str">
        <f t="shared" si="46"/>
        <v>DIVER NAME</v>
      </c>
      <c r="C321" s="12" t="str">
        <f t="shared" si="46"/>
        <v>BUDDY NAME</v>
      </c>
      <c r="D321" s="12">
        <f t="shared" si="46"/>
        <v>0</v>
      </c>
      <c r="E321" s="14" t="str">
        <f>IF(ISERROR(VLOOKUP($D321,[1]SITES!$A:$E,2,FALSE)),"",VLOOKUP($D321,[1]SITES!$A:$E,2,FALSE))</f>
        <v/>
      </c>
      <c r="F321" s="15" t="str">
        <f>IF(ISERROR(VLOOKUP($D321,[1]SITES!$A:$E,3,FALSE)),"",VLOOKUP($D321,[1]SITES!$A:$E,3,FALSE))</f>
        <v/>
      </c>
      <c r="G321" s="16" t="str">
        <f>IF(ISERROR(VLOOKUP($D321,[1]SITES!$A:$E,4,FALSE)),"",VLOOKUP($D321,[1]SITES!$A:$E,4,FALSE))</f>
        <v/>
      </c>
      <c r="H321" s="26" t="str">
        <f t="shared" si="45"/>
        <v>DATE</v>
      </c>
      <c r="I321" s="12" t="str">
        <f t="shared" si="45"/>
        <v>VIS</v>
      </c>
      <c r="J321" s="12" t="str">
        <f t="shared" si="45"/>
        <v>DIRECTION</v>
      </c>
      <c r="K321" s="24" t="str">
        <f t="shared" si="45"/>
        <v>TIME</v>
      </c>
      <c r="L321" s="12" t="str">
        <f t="shared" si="45"/>
        <v>DEPTH</v>
      </c>
      <c r="M321" s="12" t="str">
        <f t="shared" si="45"/>
        <v>BLOCK</v>
      </c>
      <c r="O321" s="22"/>
      <c r="Q321" s="14"/>
      <c r="R321" s="25">
        <f t="shared" si="44"/>
        <v>0</v>
      </c>
      <c r="S321" s="12">
        <v>0</v>
      </c>
    </row>
    <row r="322" spans="1:19">
      <c r="A322" s="14">
        <f>MAX($A$1:$A321)+1</f>
        <v>320</v>
      </c>
      <c r="B322" s="12" t="str">
        <f t="shared" si="46"/>
        <v>DIVER NAME</v>
      </c>
      <c r="C322" s="12" t="str">
        <f t="shared" si="46"/>
        <v>BUDDY NAME</v>
      </c>
      <c r="D322" s="12">
        <f t="shared" si="46"/>
        <v>0</v>
      </c>
      <c r="E322" s="14" t="str">
        <f>IF(ISERROR(VLOOKUP($D322,[1]SITES!$A:$E,2,FALSE)),"",VLOOKUP($D322,[1]SITES!$A:$E,2,FALSE))</f>
        <v/>
      </c>
      <c r="F322" s="15" t="str">
        <f>IF(ISERROR(VLOOKUP($D322,[1]SITES!$A:$E,3,FALSE)),"",VLOOKUP($D322,[1]SITES!$A:$E,3,FALSE))</f>
        <v/>
      </c>
      <c r="G322" s="16" t="str">
        <f>IF(ISERROR(VLOOKUP($D322,[1]SITES!$A:$E,4,FALSE)),"",VLOOKUP($D322,[1]SITES!$A:$E,4,FALSE))</f>
        <v/>
      </c>
      <c r="H322" s="26" t="str">
        <f t="shared" si="45"/>
        <v>DATE</v>
      </c>
      <c r="I322" s="12" t="str">
        <f t="shared" si="45"/>
        <v>VIS</v>
      </c>
      <c r="J322" s="12" t="str">
        <f t="shared" si="45"/>
        <v>DIRECTION</v>
      </c>
      <c r="K322" s="24" t="str">
        <f t="shared" si="45"/>
        <v>TIME</v>
      </c>
      <c r="L322" s="12" t="str">
        <f t="shared" si="45"/>
        <v>DEPTH</v>
      </c>
      <c r="M322" s="12" t="str">
        <f t="shared" si="45"/>
        <v>BLOCK</v>
      </c>
      <c r="O322" s="22"/>
      <c r="Q322" s="14"/>
      <c r="R322" s="25">
        <f t="shared" si="44"/>
        <v>0</v>
      </c>
      <c r="S322" s="12">
        <v>0</v>
      </c>
    </row>
    <row r="323" spans="1:19">
      <c r="A323" s="14">
        <f>MAX($A$1:$A322)+1</f>
        <v>321</v>
      </c>
      <c r="B323" s="12" t="str">
        <f t="shared" si="46"/>
        <v>DIVER NAME</v>
      </c>
      <c r="C323" s="12" t="str">
        <f t="shared" si="46"/>
        <v>BUDDY NAME</v>
      </c>
      <c r="D323" s="12">
        <f t="shared" si="46"/>
        <v>0</v>
      </c>
      <c r="E323" s="14" t="str">
        <f>IF(ISERROR(VLOOKUP($D323,[1]SITES!$A:$E,2,FALSE)),"",VLOOKUP($D323,[1]SITES!$A:$E,2,FALSE))</f>
        <v/>
      </c>
      <c r="F323" s="15" t="str">
        <f>IF(ISERROR(VLOOKUP($D323,[1]SITES!$A:$E,3,FALSE)),"",VLOOKUP($D323,[1]SITES!$A:$E,3,FALSE))</f>
        <v/>
      </c>
      <c r="G323" s="16" t="str">
        <f>IF(ISERROR(VLOOKUP($D323,[1]SITES!$A:$E,4,FALSE)),"",VLOOKUP($D323,[1]SITES!$A:$E,4,FALSE))</f>
        <v/>
      </c>
      <c r="H323" s="26" t="str">
        <f t="shared" si="45"/>
        <v>DATE</v>
      </c>
      <c r="I323" s="12" t="str">
        <f t="shared" si="45"/>
        <v>VIS</v>
      </c>
      <c r="J323" s="12" t="str">
        <f t="shared" si="45"/>
        <v>DIRECTION</v>
      </c>
      <c r="K323" s="24" t="str">
        <f t="shared" si="45"/>
        <v>TIME</v>
      </c>
      <c r="L323" s="12" t="str">
        <f t="shared" si="45"/>
        <v>DEPTH</v>
      </c>
      <c r="M323" s="12" t="str">
        <f t="shared" si="45"/>
        <v>BLOCK</v>
      </c>
      <c r="O323" s="22"/>
      <c r="Q323" s="14"/>
      <c r="R323" s="25">
        <f t="shared" si="44"/>
        <v>0</v>
      </c>
      <c r="S323" s="12">
        <v>0</v>
      </c>
    </row>
    <row r="324" spans="1:19">
      <c r="A324" s="14">
        <f>MAX($A$1:$A323)+1</f>
        <v>322</v>
      </c>
      <c r="B324" s="12" t="str">
        <f t="shared" si="46"/>
        <v>DIVER NAME</v>
      </c>
      <c r="C324" s="12" t="str">
        <f t="shared" si="46"/>
        <v>BUDDY NAME</v>
      </c>
      <c r="D324" s="12">
        <f t="shared" si="46"/>
        <v>0</v>
      </c>
      <c r="E324" s="14" t="str">
        <f>IF(ISERROR(VLOOKUP($D324,[1]SITES!$A:$E,2,FALSE)),"",VLOOKUP($D324,[1]SITES!$A:$E,2,FALSE))</f>
        <v/>
      </c>
      <c r="F324" s="15" t="str">
        <f>IF(ISERROR(VLOOKUP($D324,[1]SITES!$A:$E,3,FALSE)),"",VLOOKUP($D324,[1]SITES!$A:$E,3,FALSE))</f>
        <v/>
      </c>
      <c r="G324" s="16" t="str">
        <f>IF(ISERROR(VLOOKUP($D324,[1]SITES!$A:$E,4,FALSE)),"",VLOOKUP($D324,[1]SITES!$A:$E,4,FALSE))</f>
        <v/>
      </c>
      <c r="H324" s="26" t="str">
        <f t="shared" ref="H324:M339" si="47">IF(ISERROR(H323),IF(ISERROR(H322),IF(ISERROR(H321),"BLANK",H321),H322),H323)</f>
        <v>DATE</v>
      </c>
      <c r="I324" s="12" t="str">
        <f t="shared" si="47"/>
        <v>VIS</v>
      </c>
      <c r="J324" s="12" t="str">
        <f t="shared" si="47"/>
        <v>DIRECTION</v>
      </c>
      <c r="K324" s="24" t="str">
        <f t="shared" si="47"/>
        <v>TIME</v>
      </c>
      <c r="L324" s="12" t="str">
        <f>IF(ISERROR(L323),IF(ISERROR(L322),IF(ISERROR(L321),"BLANK",L321),L322),L323)</f>
        <v>DEPTH</v>
      </c>
      <c r="M324" s="12" t="str">
        <f>IF(ISERROR(M323),IF(ISERROR(M322),IF(ISERROR(M321),"BLANK",M321),M322),M323)</f>
        <v>BLOCK</v>
      </c>
      <c r="O324" s="22"/>
      <c r="Q324" s="14"/>
      <c r="R324" s="25">
        <f t="shared" si="44"/>
        <v>0</v>
      </c>
      <c r="S324" s="12">
        <v>0</v>
      </c>
    </row>
    <row r="325" spans="1:19">
      <c r="A325" s="14">
        <f>MAX($A$1:$A324)+1</f>
        <v>323</v>
      </c>
      <c r="B325" s="12" t="str">
        <f t="shared" ref="B325:D340" si="48">IF(ISERROR(B324),IF(ISERROR(B323),IF(ISERROR(B322),"BLANK",B322),B323),B324)</f>
        <v>DIVER NAME</v>
      </c>
      <c r="C325" s="12" t="str">
        <f t="shared" si="48"/>
        <v>BUDDY NAME</v>
      </c>
      <c r="D325" s="12">
        <f t="shared" si="48"/>
        <v>0</v>
      </c>
      <c r="E325" s="14" t="str">
        <f>IF(ISERROR(VLOOKUP($D325,[1]SITES!$A:$E,2,FALSE)),"",VLOOKUP($D325,[1]SITES!$A:$E,2,FALSE))</f>
        <v/>
      </c>
      <c r="F325" s="15" t="str">
        <f>IF(ISERROR(VLOOKUP($D325,[1]SITES!$A:$E,3,FALSE)),"",VLOOKUP($D325,[1]SITES!$A:$E,3,FALSE))</f>
        <v/>
      </c>
      <c r="G325" s="16" t="str">
        <f>IF(ISERROR(VLOOKUP($D325,[1]SITES!$A:$E,4,FALSE)),"",VLOOKUP($D325,[1]SITES!$A:$E,4,FALSE))</f>
        <v/>
      </c>
      <c r="H325" s="26" t="str">
        <f t="shared" si="47"/>
        <v>DATE</v>
      </c>
      <c r="I325" s="12" t="str">
        <f t="shared" si="47"/>
        <v>VIS</v>
      </c>
      <c r="J325" s="12" t="str">
        <f t="shared" si="47"/>
        <v>DIRECTION</v>
      </c>
      <c r="K325" s="24" t="str">
        <f t="shared" si="47"/>
        <v>TIME</v>
      </c>
      <c r="L325" s="12" t="str">
        <f t="shared" si="47"/>
        <v>DEPTH</v>
      </c>
      <c r="M325" s="12" t="str">
        <f t="shared" si="47"/>
        <v>BLOCK</v>
      </c>
      <c r="O325" s="22"/>
      <c r="Q325" s="14"/>
      <c r="R325" s="25">
        <f t="shared" si="44"/>
        <v>0</v>
      </c>
      <c r="S325" s="12">
        <v>0</v>
      </c>
    </row>
    <row r="326" spans="1:19">
      <c r="A326" s="14">
        <f>MAX($A$1:$A325)+1</f>
        <v>324</v>
      </c>
      <c r="B326" s="12" t="str">
        <f t="shared" si="48"/>
        <v>DIVER NAME</v>
      </c>
      <c r="C326" s="12" t="str">
        <f t="shared" si="48"/>
        <v>BUDDY NAME</v>
      </c>
      <c r="D326" s="12">
        <f t="shared" si="48"/>
        <v>0</v>
      </c>
      <c r="E326" s="14" t="str">
        <f>IF(ISERROR(VLOOKUP($D326,[1]SITES!$A:$E,2,FALSE)),"",VLOOKUP($D326,[1]SITES!$A:$E,2,FALSE))</f>
        <v/>
      </c>
      <c r="F326" s="15" t="str">
        <f>IF(ISERROR(VLOOKUP($D326,[1]SITES!$A:$E,3,FALSE)),"",VLOOKUP($D326,[1]SITES!$A:$E,3,FALSE))</f>
        <v/>
      </c>
      <c r="G326" s="16" t="str">
        <f>IF(ISERROR(VLOOKUP($D326,[1]SITES!$A:$E,4,FALSE)),"",VLOOKUP($D326,[1]SITES!$A:$E,4,FALSE))</f>
        <v/>
      </c>
      <c r="H326" s="26" t="str">
        <f t="shared" si="47"/>
        <v>DATE</v>
      </c>
      <c r="I326" s="12" t="str">
        <f t="shared" si="47"/>
        <v>VIS</v>
      </c>
      <c r="J326" s="12" t="str">
        <f t="shared" si="47"/>
        <v>DIRECTION</v>
      </c>
      <c r="K326" s="24" t="str">
        <f t="shared" si="47"/>
        <v>TIME</v>
      </c>
      <c r="L326" s="12" t="str">
        <f t="shared" si="47"/>
        <v>DEPTH</v>
      </c>
      <c r="M326" s="12" t="str">
        <f t="shared" si="47"/>
        <v>BLOCK</v>
      </c>
      <c r="O326" s="22"/>
      <c r="Q326" s="14"/>
      <c r="R326" s="25">
        <f t="shared" si="44"/>
        <v>0</v>
      </c>
      <c r="S326" s="12">
        <v>0</v>
      </c>
    </row>
    <row r="327" spans="1:19">
      <c r="A327" s="14">
        <f>MAX($A$1:$A326)+1</f>
        <v>325</v>
      </c>
      <c r="B327" s="12" t="str">
        <f t="shared" si="48"/>
        <v>DIVER NAME</v>
      </c>
      <c r="C327" s="12" t="str">
        <f t="shared" si="48"/>
        <v>BUDDY NAME</v>
      </c>
      <c r="D327" s="12">
        <f t="shared" si="48"/>
        <v>0</v>
      </c>
      <c r="E327" s="14" t="str">
        <f>IF(ISERROR(VLOOKUP($D327,[1]SITES!$A:$E,2,FALSE)),"",VLOOKUP($D327,[1]SITES!$A:$E,2,FALSE))</f>
        <v/>
      </c>
      <c r="F327" s="15" t="str">
        <f>IF(ISERROR(VLOOKUP($D327,[1]SITES!$A:$E,3,FALSE)),"",VLOOKUP($D327,[1]SITES!$A:$E,3,FALSE))</f>
        <v/>
      </c>
      <c r="G327" s="16" t="str">
        <f>IF(ISERROR(VLOOKUP($D327,[1]SITES!$A:$E,4,FALSE)),"",VLOOKUP($D327,[1]SITES!$A:$E,4,FALSE))</f>
        <v/>
      </c>
      <c r="H327" s="26" t="str">
        <f t="shared" si="47"/>
        <v>DATE</v>
      </c>
      <c r="I327" s="12" t="str">
        <f t="shared" si="47"/>
        <v>VIS</v>
      </c>
      <c r="J327" s="12" t="str">
        <f t="shared" si="47"/>
        <v>DIRECTION</v>
      </c>
      <c r="K327" s="24" t="str">
        <f t="shared" si="47"/>
        <v>TIME</v>
      </c>
      <c r="L327" s="12" t="str">
        <f t="shared" si="47"/>
        <v>DEPTH</v>
      </c>
      <c r="M327" s="12" t="str">
        <f t="shared" si="47"/>
        <v>BLOCK</v>
      </c>
      <c r="O327" s="22"/>
      <c r="Q327" s="14"/>
      <c r="R327" s="25">
        <f t="shared" si="44"/>
        <v>0</v>
      </c>
      <c r="S327" s="12">
        <v>0</v>
      </c>
    </row>
    <row r="328" spans="1:19">
      <c r="A328" s="14">
        <f>MAX($A$1:$A327)+1</f>
        <v>326</v>
      </c>
      <c r="B328" s="12" t="str">
        <f t="shared" si="48"/>
        <v>DIVER NAME</v>
      </c>
      <c r="C328" s="12" t="str">
        <f t="shared" si="48"/>
        <v>BUDDY NAME</v>
      </c>
      <c r="D328" s="12">
        <f t="shared" si="48"/>
        <v>0</v>
      </c>
      <c r="E328" s="14" t="str">
        <f>IF(ISERROR(VLOOKUP($D328,[1]SITES!$A:$E,2,FALSE)),"",VLOOKUP($D328,[1]SITES!$A:$E,2,FALSE))</f>
        <v/>
      </c>
      <c r="F328" s="15" t="str">
        <f>IF(ISERROR(VLOOKUP($D328,[1]SITES!$A:$E,3,FALSE)),"",VLOOKUP($D328,[1]SITES!$A:$E,3,FALSE))</f>
        <v/>
      </c>
      <c r="G328" s="16" t="str">
        <f>IF(ISERROR(VLOOKUP($D328,[1]SITES!$A:$E,4,FALSE)),"",VLOOKUP($D328,[1]SITES!$A:$E,4,FALSE))</f>
        <v/>
      </c>
      <c r="H328" s="26" t="str">
        <f t="shared" si="47"/>
        <v>DATE</v>
      </c>
      <c r="I328" s="12" t="str">
        <f t="shared" si="47"/>
        <v>VIS</v>
      </c>
      <c r="J328" s="12" t="str">
        <f t="shared" si="47"/>
        <v>DIRECTION</v>
      </c>
      <c r="K328" s="24" t="str">
        <f t="shared" si="47"/>
        <v>TIME</v>
      </c>
      <c r="L328" s="12" t="str">
        <f t="shared" si="47"/>
        <v>DEPTH</v>
      </c>
      <c r="M328" s="12" t="str">
        <f t="shared" si="47"/>
        <v>BLOCK</v>
      </c>
      <c r="O328" s="22"/>
      <c r="Q328" s="14"/>
      <c r="R328" s="25">
        <f t="shared" si="44"/>
        <v>0</v>
      </c>
      <c r="S328" s="12">
        <v>0</v>
      </c>
    </row>
    <row r="329" spans="1:19">
      <c r="A329" s="14">
        <f>MAX($A$1:$A328)+1</f>
        <v>327</v>
      </c>
      <c r="B329" s="12" t="str">
        <f t="shared" si="48"/>
        <v>DIVER NAME</v>
      </c>
      <c r="C329" s="12" t="str">
        <f t="shared" si="48"/>
        <v>BUDDY NAME</v>
      </c>
      <c r="D329" s="12">
        <f t="shared" si="48"/>
        <v>0</v>
      </c>
      <c r="E329" s="14" t="str">
        <f>IF(ISERROR(VLOOKUP($D329,[1]SITES!$A:$E,2,FALSE)),"",VLOOKUP($D329,[1]SITES!$A:$E,2,FALSE))</f>
        <v/>
      </c>
      <c r="F329" s="15" t="str">
        <f>IF(ISERROR(VLOOKUP($D329,[1]SITES!$A:$E,3,FALSE)),"",VLOOKUP($D329,[1]SITES!$A:$E,3,FALSE))</f>
        <v/>
      </c>
      <c r="G329" s="16" t="str">
        <f>IF(ISERROR(VLOOKUP($D329,[1]SITES!$A:$E,4,FALSE)),"",VLOOKUP($D329,[1]SITES!$A:$E,4,FALSE))</f>
        <v/>
      </c>
      <c r="H329" s="26" t="str">
        <f t="shared" si="47"/>
        <v>DATE</v>
      </c>
      <c r="I329" s="12" t="str">
        <f t="shared" si="47"/>
        <v>VIS</v>
      </c>
      <c r="J329" s="12" t="str">
        <f t="shared" si="47"/>
        <v>DIRECTION</v>
      </c>
      <c r="K329" s="24" t="str">
        <f t="shared" si="47"/>
        <v>TIME</v>
      </c>
      <c r="L329" s="12" t="str">
        <f t="shared" si="47"/>
        <v>DEPTH</v>
      </c>
      <c r="M329" s="12" t="str">
        <f t="shared" si="47"/>
        <v>BLOCK</v>
      </c>
      <c r="O329" s="22"/>
      <c r="Q329" s="14"/>
      <c r="R329" s="25">
        <f t="shared" si="44"/>
        <v>0</v>
      </c>
      <c r="S329" s="12">
        <v>0</v>
      </c>
    </row>
    <row r="330" spans="1:19">
      <c r="A330" s="14">
        <f>MAX($A$1:$A329)+1</f>
        <v>328</v>
      </c>
      <c r="B330" s="12" t="str">
        <f t="shared" si="48"/>
        <v>DIVER NAME</v>
      </c>
      <c r="C330" s="12" t="str">
        <f t="shared" si="48"/>
        <v>BUDDY NAME</v>
      </c>
      <c r="D330" s="12">
        <f t="shared" si="48"/>
        <v>0</v>
      </c>
      <c r="E330" s="14" t="str">
        <f>IF(ISERROR(VLOOKUP($D330,[1]SITES!$A:$E,2,FALSE)),"",VLOOKUP($D330,[1]SITES!$A:$E,2,FALSE))</f>
        <v/>
      </c>
      <c r="F330" s="15" t="str">
        <f>IF(ISERROR(VLOOKUP($D330,[1]SITES!$A:$E,3,FALSE)),"",VLOOKUP($D330,[1]SITES!$A:$E,3,FALSE))</f>
        <v/>
      </c>
      <c r="G330" s="16" t="str">
        <f>IF(ISERROR(VLOOKUP($D330,[1]SITES!$A:$E,4,FALSE)),"",VLOOKUP($D330,[1]SITES!$A:$E,4,FALSE))</f>
        <v/>
      </c>
      <c r="H330" s="26" t="str">
        <f t="shared" si="47"/>
        <v>DATE</v>
      </c>
      <c r="I330" s="12" t="str">
        <f t="shared" si="47"/>
        <v>VIS</v>
      </c>
      <c r="J330" s="12" t="str">
        <f t="shared" si="47"/>
        <v>DIRECTION</v>
      </c>
      <c r="K330" s="24" t="str">
        <f t="shared" si="47"/>
        <v>TIME</v>
      </c>
      <c r="L330" s="12" t="str">
        <f t="shared" si="47"/>
        <v>DEPTH</v>
      </c>
      <c r="M330" s="12" t="str">
        <f t="shared" si="47"/>
        <v>BLOCK</v>
      </c>
      <c r="O330" s="22"/>
      <c r="Q330" s="14"/>
      <c r="R330" s="25">
        <f t="shared" si="44"/>
        <v>0</v>
      </c>
      <c r="S330" s="12">
        <v>0</v>
      </c>
    </row>
    <row r="331" spans="1:19">
      <c r="A331" s="14">
        <f>MAX($A$1:$A330)+1</f>
        <v>329</v>
      </c>
      <c r="B331" s="12" t="str">
        <f t="shared" si="48"/>
        <v>DIVER NAME</v>
      </c>
      <c r="C331" s="12" t="str">
        <f t="shared" si="48"/>
        <v>BUDDY NAME</v>
      </c>
      <c r="D331" s="12">
        <f t="shared" si="48"/>
        <v>0</v>
      </c>
      <c r="E331" s="14" t="str">
        <f>IF(ISERROR(VLOOKUP($D331,[1]SITES!$A:$E,2,FALSE)),"",VLOOKUP($D331,[1]SITES!$A:$E,2,FALSE))</f>
        <v/>
      </c>
      <c r="F331" s="15" t="str">
        <f>IF(ISERROR(VLOOKUP($D331,[1]SITES!$A:$E,3,FALSE)),"",VLOOKUP($D331,[1]SITES!$A:$E,3,FALSE))</f>
        <v/>
      </c>
      <c r="G331" s="16" t="str">
        <f>IF(ISERROR(VLOOKUP($D331,[1]SITES!$A:$E,4,FALSE)),"",VLOOKUP($D331,[1]SITES!$A:$E,4,FALSE))</f>
        <v/>
      </c>
      <c r="H331" s="26" t="str">
        <f t="shared" si="47"/>
        <v>DATE</v>
      </c>
      <c r="I331" s="12" t="str">
        <f t="shared" si="47"/>
        <v>VIS</v>
      </c>
      <c r="J331" s="12" t="str">
        <f t="shared" si="47"/>
        <v>DIRECTION</v>
      </c>
      <c r="K331" s="24" t="str">
        <f t="shared" si="47"/>
        <v>TIME</v>
      </c>
      <c r="L331" s="12" t="str">
        <f t="shared" si="47"/>
        <v>DEPTH</v>
      </c>
      <c r="M331" s="12" t="str">
        <f t="shared" si="47"/>
        <v>BLOCK</v>
      </c>
      <c r="O331" s="22"/>
      <c r="Q331" s="14"/>
      <c r="R331" s="25">
        <f t="shared" si="44"/>
        <v>0</v>
      </c>
      <c r="S331" s="12">
        <v>0</v>
      </c>
    </row>
    <row r="332" spans="1:19">
      <c r="A332" s="14">
        <f>MAX($A$1:$A331)+1</f>
        <v>330</v>
      </c>
      <c r="B332" s="12" t="str">
        <f t="shared" si="48"/>
        <v>DIVER NAME</v>
      </c>
      <c r="C332" s="12" t="str">
        <f t="shared" si="48"/>
        <v>BUDDY NAME</v>
      </c>
      <c r="D332" s="12">
        <f t="shared" si="48"/>
        <v>0</v>
      </c>
      <c r="E332" s="14" t="str">
        <f>IF(ISERROR(VLOOKUP($D332,[1]SITES!$A:$E,2,FALSE)),"",VLOOKUP($D332,[1]SITES!$A:$E,2,FALSE))</f>
        <v/>
      </c>
      <c r="F332" s="15" t="str">
        <f>IF(ISERROR(VLOOKUP($D332,[1]SITES!$A:$E,3,FALSE)),"",VLOOKUP($D332,[1]SITES!$A:$E,3,FALSE))</f>
        <v/>
      </c>
      <c r="G332" s="16" t="str">
        <f>IF(ISERROR(VLOOKUP($D332,[1]SITES!$A:$E,4,FALSE)),"",VLOOKUP($D332,[1]SITES!$A:$E,4,FALSE))</f>
        <v/>
      </c>
      <c r="H332" s="26" t="str">
        <f t="shared" si="47"/>
        <v>DATE</v>
      </c>
      <c r="I332" s="12" t="str">
        <f t="shared" si="47"/>
        <v>VIS</v>
      </c>
      <c r="J332" s="12" t="str">
        <f t="shared" si="47"/>
        <v>DIRECTION</v>
      </c>
      <c r="K332" s="24" t="str">
        <f t="shared" si="47"/>
        <v>TIME</v>
      </c>
      <c r="L332" s="12" t="str">
        <f t="shared" si="47"/>
        <v>DEPTH</v>
      </c>
      <c r="M332" s="12" t="str">
        <f t="shared" si="47"/>
        <v>BLOCK</v>
      </c>
      <c r="O332" s="22"/>
      <c r="Q332" s="14"/>
      <c r="R332" s="25">
        <f t="shared" si="44"/>
        <v>0</v>
      </c>
      <c r="S332" s="12">
        <v>0</v>
      </c>
    </row>
    <row r="333" spans="1:19">
      <c r="A333" s="14">
        <f>MAX($A$1:$A332)+1</f>
        <v>331</v>
      </c>
      <c r="B333" s="12" t="str">
        <f t="shared" si="48"/>
        <v>DIVER NAME</v>
      </c>
      <c r="C333" s="12" t="str">
        <f t="shared" si="48"/>
        <v>BUDDY NAME</v>
      </c>
      <c r="D333" s="12">
        <f t="shared" si="48"/>
        <v>0</v>
      </c>
      <c r="E333" s="14" t="str">
        <f>IF(ISERROR(VLOOKUP($D333,[1]SITES!$A:$E,2,FALSE)),"",VLOOKUP($D333,[1]SITES!$A:$E,2,FALSE))</f>
        <v/>
      </c>
      <c r="F333" s="15" t="str">
        <f>IF(ISERROR(VLOOKUP($D333,[1]SITES!$A:$E,3,FALSE)),"",VLOOKUP($D333,[1]SITES!$A:$E,3,FALSE))</f>
        <v/>
      </c>
      <c r="G333" s="16" t="str">
        <f>IF(ISERROR(VLOOKUP($D333,[1]SITES!$A:$E,4,FALSE)),"",VLOOKUP($D333,[1]SITES!$A:$E,4,FALSE))</f>
        <v/>
      </c>
      <c r="H333" s="26" t="str">
        <f t="shared" si="47"/>
        <v>DATE</v>
      </c>
      <c r="I333" s="12" t="str">
        <f t="shared" si="47"/>
        <v>VIS</v>
      </c>
      <c r="J333" s="12" t="str">
        <f t="shared" si="47"/>
        <v>DIRECTION</v>
      </c>
      <c r="K333" s="24" t="str">
        <f t="shared" si="47"/>
        <v>TIME</v>
      </c>
      <c r="L333" s="12" t="str">
        <f t="shared" si="47"/>
        <v>DEPTH</v>
      </c>
      <c r="M333" s="12" t="str">
        <f t="shared" si="47"/>
        <v>BLOCK</v>
      </c>
      <c r="O333" s="22"/>
      <c r="Q333" s="14"/>
      <c r="R333" s="25">
        <f t="shared" si="44"/>
        <v>0</v>
      </c>
      <c r="S333" s="12">
        <v>0</v>
      </c>
    </row>
    <row r="334" spans="1:19">
      <c r="A334" s="14">
        <f>MAX($A$1:$A333)+1</f>
        <v>332</v>
      </c>
      <c r="B334" s="12" t="str">
        <f t="shared" si="48"/>
        <v>DIVER NAME</v>
      </c>
      <c r="C334" s="12" t="str">
        <f t="shared" si="48"/>
        <v>BUDDY NAME</v>
      </c>
      <c r="D334" s="12">
        <f t="shared" si="48"/>
        <v>0</v>
      </c>
      <c r="E334" s="14" t="str">
        <f>IF(ISERROR(VLOOKUP($D334,[1]SITES!$A:$E,2,FALSE)),"",VLOOKUP($D334,[1]SITES!$A:$E,2,FALSE))</f>
        <v/>
      </c>
      <c r="F334" s="15" t="str">
        <f>IF(ISERROR(VLOOKUP($D334,[1]SITES!$A:$E,3,FALSE)),"",VLOOKUP($D334,[1]SITES!$A:$E,3,FALSE))</f>
        <v/>
      </c>
      <c r="G334" s="16" t="str">
        <f>IF(ISERROR(VLOOKUP($D334,[1]SITES!$A:$E,4,FALSE)),"",VLOOKUP($D334,[1]SITES!$A:$E,4,FALSE))</f>
        <v/>
      </c>
      <c r="H334" s="26" t="str">
        <f t="shared" si="47"/>
        <v>DATE</v>
      </c>
      <c r="I334" s="12" t="str">
        <f t="shared" si="47"/>
        <v>VIS</v>
      </c>
      <c r="J334" s="12" t="str">
        <f t="shared" si="47"/>
        <v>DIRECTION</v>
      </c>
      <c r="K334" s="24" t="str">
        <f t="shared" si="47"/>
        <v>TIME</v>
      </c>
      <c r="L334" s="12" t="str">
        <f t="shared" si="47"/>
        <v>DEPTH</v>
      </c>
      <c r="M334" s="12" t="str">
        <f t="shared" si="47"/>
        <v>BLOCK</v>
      </c>
      <c r="O334" s="22"/>
      <c r="Q334" s="14"/>
      <c r="R334" s="25">
        <f t="shared" si="44"/>
        <v>0</v>
      </c>
      <c r="S334" s="12">
        <v>0</v>
      </c>
    </row>
    <row r="335" spans="1:19">
      <c r="A335" s="14">
        <f>MAX($A$1:$A334)+1</f>
        <v>333</v>
      </c>
      <c r="B335" s="12" t="str">
        <f t="shared" si="48"/>
        <v>DIVER NAME</v>
      </c>
      <c r="C335" s="12" t="str">
        <f t="shared" si="48"/>
        <v>BUDDY NAME</v>
      </c>
      <c r="D335" s="12">
        <f t="shared" si="48"/>
        <v>0</v>
      </c>
      <c r="E335" s="14" t="str">
        <f>IF(ISERROR(VLOOKUP($D335,[1]SITES!$A:$E,2,FALSE)),"",VLOOKUP($D335,[1]SITES!$A:$E,2,FALSE))</f>
        <v/>
      </c>
      <c r="F335" s="15" t="str">
        <f>IF(ISERROR(VLOOKUP($D335,[1]SITES!$A:$E,3,FALSE)),"",VLOOKUP($D335,[1]SITES!$A:$E,3,FALSE))</f>
        <v/>
      </c>
      <c r="G335" s="16" t="str">
        <f>IF(ISERROR(VLOOKUP($D335,[1]SITES!$A:$E,4,FALSE)),"",VLOOKUP($D335,[1]SITES!$A:$E,4,FALSE))</f>
        <v/>
      </c>
      <c r="H335" s="26" t="str">
        <f t="shared" si="47"/>
        <v>DATE</v>
      </c>
      <c r="I335" s="12" t="str">
        <f t="shared" si="47"/>
        <v>VIS</v>
      </c>
      <c r="J335" s="12" t="str">
        <f t="shared" si="47"/>
        <v>DIRECTION</v>
      </c>
      <c r="K335" s="24" t="str">
        <f t="shared" si="47"/>
        <v>TIME</v>
      </c>
      <c r="L335" s="12" t="str">
        <f t="shared" si="47"/>
        <v>DEPTH</v>
      </c>
      <c r="M335" s="12" t="str">
        <f t="shared" si="47"/>
        <v>BLOCK</v>
      </c>
      <c r="O335" s="22"/>
      <c r="Q335" s="14"/>
      <c r="R335" s="25">
        <f t="shared" si="44"/>
        <v>0</v>
      </c>
      <c r="S335" s="12">
        <v>0</v>
      </c>
    </row>
    <row r="336" spans="1:19">
      <c r="A336" s="14">
        <f>MAX($A$1:$A335)+1</f>
        <v>334</v>
      </c>
      <c r="B336" s="12" t="str">
        <f t="shared" si="48"/>
        <v>DIVER NAME</v>
      </c>
      <c r="C336" s="12" t="str">
        <f t="shared" si="48"/>
        <v>BUDDY NAME</v>
      </c>
      <c r="D336" s="12">
        <f t="shared" si="48"/>
        <v>0</v>
      </c>
      <c r="E336" s="14" t="str">
        <f>IF(ISERROR(VLOOKUP($D336,[1]SITES!$A:$E,2,FALSE)),"",VLOOKUP($D336,[1]SITES!$A:$E,2,FALSE))</f>
        <v/>
      </c>
      <c r="F336" s="15" t="str">
        <f>IF(ISERROR(VLOOKUP($D336,[1]SITES!$A:$E,3,FALSE)),"",VLOOKUP($D336,[1]SITES!$A:$E,3,FALSE))</f>
        <v/>
      </c>
      <c r="G336" s="16" t="str">
        <f>IF(ISERROR(VLOOKUP($D336,[1]SITES!$A:$E,4,FALSE)),"",VLOOKUP($D336,[1]SITES!$A:$E,4,FALSE))</f>
        <v/>
      </c>
      <c r="H336" s="26" t="str">
        <f t="shared" si="47"/>
        <v>DATE</v>
      </c>
      <c r="I336" s="12" t="str">
        <f t="shared" si="47"/>
        <v>VIS</v>
      </c>
      <c r="J336" s="12" t="str">
        <f t="shared" si="47"/>
        <v>DIRECTION</v>
      </c>
      <c r="K336" s="24" t="str">
        <f t="shared" si="47"/>
        <v>TIME</v>
      </c>
      <c r="L336" s="12" t="str">
        <f t="shared" si="47"/>
        <v>DEPTH</v>
      </c>
      <c r="M336" s="12" t="str">
        <f t="shared" si="47"/>
        <v>BLOCK</v>
      </c>
      <c r="O336" s="22"/>
      <c r="Q336" s="14"/>
      <c r="R336" s="25">
        <f t="shared" si="44"/>
        <v>0</v>
      </c>
      <c r="S336" s="12">
        <v>0</v>
      </c>
    </row>
    <row r="337" spans="1:19">
      <c r="A337" s="14">
        <f>MAX($A$1:$A336)+1</f>
        <v>335</v>
      </c>
      <c r="B337" s="12" t="str">
        <f t="shared" si="48"/>
        <v>DIVER NAME</v>
      </c>
      <c r="C337" s="12" t="str">
        <f t="shared" si="48"/>
        <v>BUDDY NAME</v>
      </c>
      <c r="D337" s="12">
        <f t="shared" si="48"/>
        <v>0</v>
      </c>
      <c r="E337" s="14" t="str">
        <f>IF(ISERROR(VLOOKUP($D337,[1]SITES!$A:$E,2,FALSE)),"",VLOOKUP($D337,[1]SITES!$A:$E,2,FALSE))</f>
        <v/>
      </c>
      <c r="F337" s="15" t="str">
        <f>IF(ISERROR(VLOOKUP($D337,[1]SITES!$A:$E,3,FALSE)),"",VLOOKUP($D337,[1]SITES!$A:$E,3,FALSE))</f>
        <v/>
      </c>
      <c r="G337" s="16" t="str">
        <f>IF(ISERROR(VLOOKUP($D337,[1]SITES!$A:$E,4,FALSE)),"",VLOOKUP($D337,[1]SITES!$A:$E,4,FALSE))</f>
        <v/>
      </c>
      <c r="H337" s="26" t="str">
        <f t="shared" si="47"/>
        <v>DATE</v>
      </c>
      <c r="I337" s="12" t="str">
        <f t="shared" si="47"/>
        <v>VIS</v>
      </c>
      <c r="J337" s="12" t="str">
        <f t="shared" si="47"/>
        <v>DIRECTION</v>
      </c>
      <c r="K337" s="24" t="str">
        <f t="shared" si="47"/>
        <v>TIME</v>
      </c>
      <c r="L337" s="12" t="str">
        <f t="shared" si="47"/>
        <v>DEPTH</v>
      </c>
      <c r="M337" s="12" t="str">
        <f t="shared" si="47"/>
        <v>BLOCK</v>
      </c>
      <c r="O337" s="22"/>
      <c r="Q337" s="14"/>
      <c r="R337" s="25">
        <f t="shared" si="44"/>
        <v>0</v>
      </c>
      <c r="S337" s="12">
        <v>0</v>
      </c>
    </row>
    <row r="338" spans="1:19">
      <c r="A338" s="14">
        <f>MAX($A$1:$A337)+1</f>
        <v>336</v>
      </c>
      <c r="B338" s="12" t="str">
        <f t="shared" si="48"/>
        <v>DIVER NAME</v>
      </c>
      <c r="C338" s="12" t="str">
        <f t="shared" si="48"/>
        <v>BUDDY NAME</v>
      </c>
      <c r="D338" s="12">
        <f t="shared" si="48"/>
        <v>0</v>
      </c>
      <c r="E338" s="14" t="str">
        <f>IF(ISERROR(VLOOKUP($D338,[1]SITES!$A:$E,2,FALSE)),"",VLOOKUP($D338,[1]SITES!$A:$E,2,FALSE))</f>
        <v/>
      </c>
      <c r="F338" s="15" t="str">
        <f>IF(ISERROR(VLOOKUP($D338,[1]SITES!$A:$E,3,FALSE)),"",VLOOKUP($D338,[1]SITES!$A:$E,3,FALSE))</f>
        <v/>
      </c>
      <c r="G338" s="16" t="str">
        <f>IF(ISERROR(VLOOKUP($D338,[1]SITES!$A:$E,4,FALSE)),"",VLOOKUP($D338,[1]SITES!$A:$E,4,FALSE))</f>
        <v/>
      </c>
      <c r="H338" s="26" t="str">
        <f t="shared" si="47"/>
        <v>DATE</v>
      </c>
      <c r="I338" s="12" t="str">
        <f t="shared" si="47"/>
        <v>VIS</v>
      </c>
      <c r="J338" s="12" t="str">
        <f t="shared" si="47"/>
        <v>DIRECTION</v>
      </c>
      <c r="K338" s="24" t="str">
        <f t="shared" si="47"/>
        <v>TIME</v>
      </c>
      <c r="L338" s="12" t="str">
        <f t="shared" si="47"/>
        <v>DEPTH</v>
      </c>
      <c r="M338" s="12" t="str">
        <f t="shared" si="47"/>
        <v>BLOCK</v>
      </c>
      <c r="O338" s="22"/>
      <c r="Q338" s="14"/>
      <c r="R338" s="25">
        <f t="shared" si="44"/>
        <v>0</v>
      </c>
      <c r="S338" s="12">
        <v>0</v>
      </c>
    </row>
    <row r="339" spans="1:19">
      <c r="A339" s="14">
        <f>MAX($A$1:$A338)+1</f>
        <v>337</v>
      </c>
      <c r="B339" s="12" t="str">
        <f t="shared" si="48"/>
        <v>DIVER NAME</v>
      </c>
      <c r="C339" s="12" t="str">
        <f t="shared" si="48"/>
        <v>BUDDY NAME</v>
      </c>
      <c r="D339" s="12">
        <f t="shared" si="48"/>
        <v>0</v>
      </c>
      <c r="E339" s="14" t="str">
        <f>IF(ISERROR(VLOOKUP($D339,[1]SITES!$A:$E,2,FALSE)),"",VLOOKUP($D339,[1]SITES!$A:$E,2,FALSE))</f>
        <v/>
      </c>
      <c r="F339" s="15" t="str">
        <f>IF(ISERROR(VLOOKUP($D339,[1]SITES!$A:$E,3,FALSE)),"",VLOOKUP($D339,[1]SITES!$A:$E,3,FALSE))</f>
        <v/>
      </c>
      <c r="G339" s="16" t="str">
        <f>IF(ISERROR(VLOOKUP($D339,[1]SITES!$A:$E,4,FALSE)),"",VLOOKUP($D339,[1]SITES!$A:$E,4,FALSE))</f>
        <v/>
      </c>
      <c r="H339" s="26" t="str">
        <f t="shared" si="47"/>
        <v>DATE</v>
      </c>
      <c r="I339" s="12" t="str">
        <f t="shared" si="47"/>
        <v>VIS</v>
      </c>
      <c r="J339" s="12" t="str">
        <f t="shared" si="47"/>
        <v>DIRECTION</v>
      </c>
      <c r="K339" s="24" t="str">
        <f t="shared" si="47"/>
        <v>TIME</v>
      </c>
      <c r="L339" s="12" t="str">
        <f t="shared" si="47"/>
        <v>DEPTH</v>
      </c>
      <c r="M339" s="12" t="str">
        <f t="shared" si="47"/>
        <v>BLOCK</v>
      </c>
      <c r="O339" s="22"/>
      <c r="Q339" s="14"/>
      <c r="R339" s="25">
        <f t="shared" si="44"/>
        <v>0</v>
      </c>
      <c r="S339" s="12">
        <v>0</v>
      </c>
    </row>
    <row r="340" spans="1:19">
      <c r="A340" s="14">
        <f>MAX($A$1:$A339)+1</f>
        <v>338</v>
      </c>
      <c r="B340" s="12" t="str">
        <f t="shared" si="48"/>
        <v>DIVER NAME</v>
      </c>
      <c r="C340" s="12" t="str">
        <f t="shared" si="48"/>
        <v>BUDDY NAME</v>
      </c>
      <c r="D340" s="12">
        <f t="shared" si="48"/>
        <v>0</v>
      </c>
      <c r="E340" s="14" t="str">
        <f>IF(ISERROR(VLOOKUP($D340,[1]SITES!$A:$E,2,FALSE)),"",VLOOKUP($D340,[1]SITES!$A:$E,2,FALSE))</f>
        <v/>
      </c>
      <c r="F340" s="15" t="str">
        <f>IF(ISERROR(VLOOKUP($D340,[1]SITES!$A:$E,3,FALSE)),"",VLOOKUP($D340,[1]SITES!$A:$E,3,FALSE))</f>
        <v/>
      </c>
      <c r="G340" s="16" t="str">
        <f>IF(ISERROR(VLOOKUP($D340,[1]SITES!$A:$E,4,FALSE)),"",VLOOKUP($D340,[1]SITES!$A:$E,4,FALSE))</f>
        <v/>
      </c>
      <c r="H340" s="26" t="str">
        <f t="shared" ref="H340:M355" si="49">IF(ISERROR(H339),IF(ISERROR(H338),IF(ISERROR(H337),"BLANK",H337),H338),H339)</f>
        <v>DATE</v>
      </c>
      <c r="I340" s="12" t="str">
        <f t="shared" si="49"/>
        <v>VIS</v>
      </c>
      <c r="J340" s="12" t="str">
        <f t="shared" si="49"/>
        <v>DIRECTION</v>
      </c>
      <c r="K340" s="24" t="str">
        <f t="shared" si="49"/>
        <v>TIME</v>
      </c>
      <c r="L340" s="12" t="str">
        <f t="shared" si="49"/>
        <v>DEPTH</v>
      </c>
      <c r="M340" s="12" t="str">
        <f t="shared" si="49"/>
        <v>BLOCK</v>
      </c>
      <c r="O340" s="22"/>
      <c r="Q340" s="14"/>
      <c r="R340" s="25">
        <f t="shared" si="44"/>
        <v>0</v>
      </c>
      <c r="S340" s="12">
        <v>0</v>
      </c>
    </row>
    <row r="341" spans="1:19">
      <c r="A341" s="14">
        <f>MAX($A$1:$A340)+1</f>
        <v>339</v>
      </c>
      <c r="B341" s="12" t="str">
        <f t="shared" ref="B341:D356" si="50">IF(ISERROR(B340),IF(ISERROR(B339),IF(ISERROR(B338),"BLANK",B338),B339),B340)</f>
        <v>DIVER NAME</v>
      </c>
      <c r="C341" s="12" t="str">
        <f t="shared" si="50"/>
        <v>BUDDY NAME</v>
      </c>
      <c r="D341" s="12">
        <f t="shared" si="50"/>
        <v>0</v>
      </c>
      <c r="E341" s="14" t="str">
        <f>IF(ISERROR(VLOOKUP($D341,[1]SITES!$A:$E,2,FALSE)),"",VLOOKUP($D341,[1]SITES!$A:$E,2,FALSE))</f>
        <v/>
      </c>
      <c r="F341" s="15" t="str">
        <f>IF(ISERROR(VLOOKUP($D341,[1]SITES!$A:$E,3,FALSE)),"",VLOOKUP($D341,[1]SITES!$A:$E,3,FALSE))</f>
        <v/>
      </c>
      <c r="G341" s="16" t="str">
        <f>IF(ISERROR(VLOOKUP($D341,[1]SITES!$A:$E,4,FALSE)),"",VLOOKUP($D341,[1]SITES!$A:$E,4,FALSE))</f>
        <v/>
      </c>
      <c r="H341" s="26" t="str">
        <f t="shared" si="49"/>
        <v>DATE</v>
      </c>
      <c r="I341" s="12" t="str">
        <f t="shared" si="49"/>
        <v>VIS</v>
      </c>
      <c r="J341" s="12" t="str">
        <f t="shared" si="49"/>
        <v>DIRECTION</v>
      </c>
      <c r="K341" s="24" t="str">
        <f t="shared" si="49"/>
        <v>TIME</v>
      </c>
      <c r="L341" s="12" t="str">
        <f t="shared" si="49"/>
        <v>DEPTH</v>
      </c>
      <c r="M341" s="12" t="str">
        <f t="shared" si="49"/>
        <v>BLOCK</v>
      </c>
      <c r="O341" s="22"/>
      <c r="Q341" s="14"/>
      <c r="R341" s="25">
        <f t="shared" si="44"/>
        <v>0</v>
      </c>
      <c r="S341" s="12">
        <v>0</v>
      </c>
    </row>
    <row r="342" spans="1:19">
      <c r="A342" s="14">
        <f>MAX($A$1:$A341)+1</f>
        <v>340</v>
      </c>
      <c r="B342" s="12" t="str">
        <f t="shared" si="50"/>
        <v>DIVER NAME</v>
      </c>
      <c r="C342" s="12" t="str">
        <f t="shared" si="50"/>
        <v>BUDDY NAME</v>
      </c>
      <c r="D342" s="12">
        <f t="shared" si="50"/>
        <v>0</v>
      </c>
      <c r="E342" s="14" t="str">
        <f>IF(ISERROR(VLOOKUP($D342,[1]SITES!$A:$E,2,FALSE)),"",VLOOKUP($D342,[1]SITES!$A:$E,2,FALSE))</f>
        <v/>
      </c>
      <c r="F342" s="15" t="str">
        <f>IF(ISERROR(VLOOKUP($D342,[1]SITES!$A:$E,3,FALSE)),"",VLOOKUP($D342,[1]SITES!$A:$E,3,FALSE))</f>
        <v/>
      </c>
      <c r="G342" s="16" t="str">
        <f>IF(ISERROR(VLOOKUP($D342,[1]SITES!$A:$E,4,FALSE)),"",VLOOKUP($D342,[1]SITES!$A:$E,4,FALSE))</f>
        <v/>
      </c>
      <c r="H342" s="26" t="str">
        <f t="shared" si="49"/>
        <v>DATE</v>
      </c>
      <c r="I342" s="12" t="str">
        <f t="shared" si="49"/>
        <v>VIS</v>
      </c>
      <c r="J342" s="12" t="str">
        <f t="shared" si="49"/>
        <v>DIRECTION</v>
      </c>
      <c r="K342" s="24" t="str">
        <f t="shared" si="49"/>
        <v>TIME</v>
      </c>
      <c r="L342" s="12" t="str">
        <f t="shared" si="49"/>
        <v>DEPTH</v>
      </c>
      <c r="M342" s="12" t="str">
        <f t="shared" si="49"/>
        <v>BLOCK</v>
      </c>
      <c r="O342" s="22"/>
      <c r="Q342" s="14"/>
      <c r="R342" s="25">
        <f t="shared" si="44"/>
        <v>0</v>
      </c>
      <c r="S342" s="12">
        <v>0</v>
      </c>
    </row>
    <row r="343" spans="1:19">
      <c r="A343" s="14">
        <f>MAX($A$1:$A342)+1</f>
        <v>341</v>
      </c>
      <c r="B343" s="12" t="str">
        <f t="shared" si="50"/>
        <v>DIVER NAME</v>
      </c>
      <c r="C343" s="12" t="str">
        <f t="shared" si="50"/>
        <v>BUDDY NAME</v>
      </c>
      <c r="D343" s="12">
        <f t="shared" si="50"/>
        <v>0</v>
      </c>
      <c r="E343" s="14" t="str">
        <f>IF(ISERROR(VLOOKUP($D343,[1]SITES!$A:$E,2,FALSE)),"",VLOOKUP($D343,[1]SITES!$A:$E,2,FALSE))</f>
        <v/>
      </c>
      <c r="F343" s="15" t="str">
        <f>IF(ISERROR(VLOOKUP($D343,[1]SITES!$A:$E,3,FALSE)),"",VLOOKUP($D343,[1]SITES!$A:$E,3,FALSE))</f>
        <v/>
      </c>
      <c r="G343" s="16" t="str">
        <f>IF(ISERROR(VLOOKUP($D343,[1]SITES!$A:$E,4,FALSE)),"",VLOOKUP($D343,[1]SITES!$A:$E,4,FALSE))</f>
        <v/>
      </c>
      <c r="H343" s="26" t="str">
        <f t="shared" si="49"/>
        <v>DATE</v>
      </c>
      <c r="I343" s="12" t="str">
        <f t="shared" si="49"/>
        <v>VIS</v>
      </c>
      <c r="J343" s="12" t="str">
        <f t="shared" si="49"/>
        <v>DIRECTION</v>
      </c>
      <c r="K343" s="24" t="str">
        <f t="shared" si="49"/>
        <v>TIME</v>
      </c>
      <c r="L343" s="12" t="str">
        <f t="shared" si="49"/>
        <v>DEPTH</v>
      </c>
      <c r="M343" s="12" t="str">
        <f t="shared" si="49"/>
        <v>BLOCK</v>
      </c>
      <c r="O343" s="22"/>
      <c r="Q343" s="14"/>
      <c r="R343" s="25">
        <f t="shared" si="44"/>
        <v>0</v>
      </c>
      <c r="S343" s="12">
        <v>0</v>
      </c>
    </row>
    <row r="344" spans="1:19">
      <c r="A344" s="14">
        <f>MAX($A$1:$A343)+1</f>
        <v>342</v>
      </c>
      <c r="B344" s="12" t="str">
        <f t="shared" si="50"/>
        <v>DIVER NAME</v>
      </c>
      <c r="C344" s="12" t="str">
        <f t="shared" si="50"/>
        <v>BUDDY NAME</v>
      </c>
      <c r="D344" s="12">
        <f t="shared" si="50"/>
        <v>0</v>
      </c>
      <c r="E344" s="14" t="str">
        <f>IF(ISERROR(VLOOKUP($D344,[1]SITES!$A:$E,2,FALSE)),"",VLOOKUP($D344,[1]SITES!$A:$E,2,FALSE))</f>
        <v/>
      </c>
      <c r="F344" s="15" t="str">
        <f>IF(ISERROR(VLOOKUP($D344,[1]SITES!$A:$E,3,FALSE)),"",VLOOKUP($D344,[1]SITES!$A:$E,3,FALSE))</f>
        <v/>
      </c>
      <c r="G344" s="16" t="str">
        <f>IF(ISERROR(VLOOKUP($D344,[1]SITES!$A:$E,4,FALSE)),"",VLOOKUP($D344,[1]SITES!$A:$E,4,FALSE))</f>
        <v/>
      </c>
      <c r="H344" s="26" t="str">
        <f t="shared" si="49"/>
        <v>DATE</v>
      </c>
      <c r="I344" s="12" t="str">
        <f t="shared" si="49"/>
        <v>VIS</v>
      </c>
      <c r="J344" s="12" t="str">
        <f t="shared" si="49"/>
        <v>DIRECTION</v>
      </c>
      <c r="K344" s="24" t="str">
        <f t="shared" si="49"/>
        <v>TIME</v>
      </c>
      <c r="L344" s="12" t="str">
        <f t="shared" si="49"/>
        <v>DEPTH</v>
      </c>
      <c r="M344" s="12" t="str">
        <f t="shared" si="49"/>
        <v>BLOCK</v>
      </c>
      <c r="O344" s="22"/>
      <c r="Q344" s="14"/>
      <c r="R344" s="25">
        <f t="shared" si="44"/>
        <v>0</v>
      </c>
      <c r="S344" s="12">
        <v>0</v>
      </c>
    </row>
    <row r="345" spans="1:19">
      <c r="A345" s="14">
        <f>MAX($A$1:$A344)+1</f>
        <v>343</v>
      </c>
      <c r="B345" s="12" t="str">
        <f t="shared" si="50"/>
        <v>DIVER NAME</v>
      </c>
      <c r="C345" s="12" t="str">
        <f t="shared" si="50"/>
        <v>BUDDY NAME</v>
      </c>
      <c r="D345" s="12">
        <f t="shared" si="50"/>
        <v>0</v>
      </c>
      <c r="E345" s="14" t="str">
        <f>IF(ISERROR(VLOOKUP($D345,[1]SITES!$A:$E,2,FALSE)),"",VLOOKUP($D345,[1]SITES!$A:$E,2,FALSE))</f>
        <v/>
      </c>
      <c r="F345" s="15" t="str">
        <f>IF(ISERROR(VLOOKUP($D345,[1]SITES!$A:$E,3,FALSE)),"",VLOOKUP($D345,[1]SITES!$A:$E,3,FALSE))</f>
        <v/>
      </c>
      <c r="G345" s="16" t="str">
        <f>IF(ISERROR(VLOOKUP($D345,[1]SITES!$A:$E,4,FALSE)),"",VLOOKUP($D345,[1]SITES!$A:$E,4,FALSE))</f>
        <v/>
      </c>
      <c r="H345" s="26" t="str">
        <f t="shared" si="49"/>
        <v>DATE</v>
      </c>
      <c r="I345" s="12" t="str">
        <f t="shared" si="49"/>
        <v>VIS</v>
      </c>
      <c r="J345" s="12" t="str">
        <f t="shared" si="49"/>
        <v>DIRECTION</v>
      </c>
      <c r="K345" s="24" t="str">
        <f t="shared" si="49"/>
        <v>TIME</v>
      </c>
      <c r="L345" s="12" t="str">
        <f t="shared" si="49"/>
        <v>DEPTH</v>
      </c>
      <c r="M345" s="12" t="str">
        <f t="shared" si="49"/>
        <v>BLOCK</v>
      </c>
      <c r="O345" s="22"/>
      <c r="Q345" s="14"/>
      <c r="R345" s="25">
        <f t="shared" si="44"/>
        <v>0</v>
      </c>
      <c r="S345" s="12">
        <v>0</v>
      </c>
    </row>
    <row r="346" spans="1:19">
      <c r="A346" s="14">
        <f>MAX($A$1:$A345)+1</f>
        <v>344</v>
      </c>
      <c r="B346" s="12" t="str">
        <f t="shared" si="50"/>
        <v>DIVER NAME</v>
      </c>
      <c r="C346" s="12" t="str">
        <f t="shared" si="50"/>
        <v>BUDDY NAME</v>
      </c>
      <c r="D346" s="12">
        <f t="shared" si="50"/>
        <v>0</v>
      </c>
      <c r="E346" s="14" t="str">
        <f>IF(ISERROR(VLOOKUP($D346,[1]SITES!$A:$E,2,FALSE)),"",VLOOKUP($D346,[1]SITES!$A:$E,2,FALSE))</f>
        <v/>
      </c>
      <c r="F346" s="15" t="str">
        <f>IF(ISERROR(VLOOKUP($D346,[1]SITES!$A:$E,3,FALSE)),"",VLOOKUP($D346,[1]SITES!$A:$E,3,FALSE))</f>
        <v/>
      </c>
      <c r="G346" s="16" t="str">
        <f>IF(ISERROR(VLOOKUP($D346,[1]SITES!$A:$E,4,FALSE)),"",VLOOKUP($D346,[1]SITES!$A:$E,4,FALSE))</f>
        <v/>
      </c>
      <c r="H346" s="26" t="str">
        <f t="shared" si="49"/>
        <v>DATE</v>
      </c>
      <c r="I346" s="12" t="str">
        <f t="shared" si="49"/>
        <v>VIS</v>
      </c>
      <c r="J346" s="12" t="str">
        <f t="shared" si="49"/>
        <v>DIRECTION</v>
      </c>
      <c r="K346" s="24" t="str">
        <f t="shared" si="49"/>
        <v>TIME</v>
      </c>
      <c r="L346" s="12" t="str">
        <f t="shared" si="49"/>
        <v>DEPTH</v>
      </c>
      <c r="M346" s="12" t="str">
        <f t="shared" si="49"/>
        <v>BLOCK</v>
      </c>
      <c r="O346" s="22"/>
      <c r="Q346" s="14"/>
      <c r="R346" s="25">
        <f t="shared" si="44"/>
        <v>0</v>
      </c>
      <c r="S346" s="12">
        <v>0</v>
      </c>
    </row>
    <row r="347" spans="1:19">
      <c r="A347" s="14">
        <f>MAX($A$1:$A346)+1</f>
        <v>345</v>
      </c>
      <c r="B347" s="12" t="str">
        <f t="shared" si="50"/>
        <v>DIVER NAME</v>
      </c>
      <c r="C347" s="12" t="str">
        <f t="shared" si="50"/>
        <v>BUDDY NAME</v>
      </c>
      <c r="D347" s="12">
        <f t="shared" si="50"/>
        <v>0</v>
      </c>
      <c r="E347" s="14" t="str">
        <f>IF(ISERROR(VLOOKUP($D347,[1]SITES!$A:$E,2,FALSE)),"",VLOOKUP($D347,[1]SITES!$A:$E,2,FALSE))</f>
        <v/>
      </c>
      <c r="F347" s="15" t="str">
        <f>IF(ISERROR(VLOOKUP($D347,[1]SITES!$A:$E,3,FALSE)),"",VLOOKUP($D347,[1]SITES!$A:$E,3,FALSE))</f>
        <v/>
      </c>
      <c r="G347" s="16" t="str">
        <f>IF(ISERROR(VLOOKUP($D347,[1]SITES!$A:$E,4,FALSE)),"",VLOOKUP($D347,[1]SITES!$A:$E,4,FALSE))</f>
        <v/>
      </c>
      <c r="H347" s="26" t="str">
        <f t="shared" si="49"/>
        <v>DATE</v>
      </c>
      <c r="I347" s="12" t="str">
        <f t="shared" si="49"/>
        <v>VIS</v>
      </c>
      <c r="J347" s="12" t="str">
        <f t="shared" si="49"/>
        <v>DIRECTION</v>
      </c>
      <c r="K347" s="24" t="str">
        <f t="shared" si="49"/>
        <v>TIME</v>
      </c>
      <c r="L347" s="12" t="str">
        <f t="shared" si="49"/>
        <v>DEPTH</v>
      </c>
      <c r="M347" s="12" t="str">
        <f t="shared" si="49"/>
        <v>BLOCK</v>
      </c>
      <c r="O347" s="22"/>
      <c r="Q347" s="14"/>
      <c r="R347" s="25">
        <f t="shared" si="44"/>
        <v>0</v>
      </c>
      <c r="S347" s="12">
        <v>0</v>
      </c>
    </row>
    <row r="348" spans="1:19">
      <c r="A348" s="14">
        <f>MAX($A$1:$A347)+1</f>
        <v>346</v>
      </c>
      <c r="B348" s="12" t="str">
        <f t="shared" si="50"/>
        <v>DIVER NAME</v>
      </c>
      <c r="C348" s="12" t="str">
        <f t="shared" si="50"/>
        <v>BUDDY NAME</v>
      </c>
      <c r="D348" s="12">
        <f t="shared" si="50"/>
        <v>0</v>
      </c>
      <c r="E348" s="14" t="str">
        <f>IF(ISERROR(VLOOKUP($D348,[1]SITES!$A:$E,2,FALSE)),"",VLOOKUP($D348,[1]SITES!$A:$E,2,FALSE))</f>
        <v/>
      </c>
      <c r="F348" s="15" t="str">
        <f>IF(ISERROR(VLOOKUP($D348,[1]SITES!$A:$E,3,FALSE)),"",VLOOKUP($D348,[1]SITES!$A:$E,3,FALSE))</f>
        <v/>
      </c>
      <c r="G348" s="16" t="str">
        <f>IF(ISERROR(VLOOKUP($D348,[1]SITES!$A:$E,4,FALSE)),"",VLOOKUP($D348,[1]SITES!$A:$E,4,FALSE))</f>
        <v/>
      </c>
      <c r="H348" s="26" t="str">
        <f t="shared" si="49"/>
        <v>DATE</v>
      </c>
      <c r="I348" s="12" t="str">
        <f t="shared" si="49"/>
        <v>VIS</v>
      </c>
      <c r="J348" s="12" t="str">
        <f t="shared" si="49"/>
        <v>DIRECTION</v>
      </c>
      <c r="K348" s="24" t="str">
        <f t="shared" si="49"/>
        <v>TIME</v>
      </c>
      <c r="L348" s="12" t="str">
        <f t="shared" si="49"/>
        <v>DEPTH</v>
      </c>
      <c r="M348" s="12" t="str">
        <f t="shared" si="49"/>
        <v>BLOCK</v>
      </c>
      <c r="O348" s="22"/>
      <c r="Q348" s="14"/>
      <c r="R348" s="25">
        <f t="shared" si="44"/>
        <v>0</v>
      </c>
      <c r="S348" s="12">
        <v>0</v>
      </c>
    </row>
    <row r="349" spans="1:19">
      <c r="A349" s="14">
        <f>MAX($A$1:$A348)+1</f>
        <v>347</v>
      </c>
      <c r="B349" s="12" t="str">
        <f t="shared" si="50"/>
        <v>DIVER NAME</v>
      </c>
      <c r="C349" s="12" t="str">
        <f t="shared" si="50"/>
        <v>BUDDY NAME</v>
      </c>
      <c r="D349" s="12">
        <f t="shared" si="50"/>
        <v>0</v>
      </c>
      <c r="E349" s="14" t="str">
        <f>IF(ISERROR(VLOOKUP($D349,[1]SITES!$A:$E,2,FALSE)),"",VLOOKUP($D349,[1]SITES!$A:$E,2,FALSE))</f>
        <v/>
      </c>
      <c r="F349" s="15" t="str">
        <f>IF(ISERROR(VLOOKUP($D349,[1]SITES!$A:$E,3,FALSE)),"",VLOOKUP($D349,[1]SITES!$A:$E,3,FALSE))</f>
        <v/>
      </c>
      <c r="G349" s="16" t="str">
        <f>IF(ISERROR(VLOOKUP($D349,[1]SITES!$A:$E,4,FALSE)),"",VLOOKUP($D349,[1]SITES!$A:$E,4,FALSE))</f>
        <v/>
      </c>
      <c r="H349" s="26" t="str">
        <f t="shared" si="49"/>
        <v>DATE</v>
      </c>
      <c r="I349" s="12" t="str">
        <f t="shared" si="49"/>
        <v>VIS</v>
      </c>
      <c r="J349" s="12" t="str">
        <f t="shared" si="49"/>
        <v>DIRECTION</v>
      </c>
      <c r="K349" s="24" t="str">
        <f t="shared" si="49"/>
        <v>TIME</v>
      </c>
      <c r="L349" s="12" t="str">
        <f t="shared" si="49"/>
        <v>DEPTH</v>
      </c>
      <c r="M349" s="12" t="str">
        <f t="shared" si="49"/>
        <v>BLOCK</v>
      </c>
      <c r="O349" s="22"/>
      <c r="Q349" s="14"/>
      <c r="R349" s="25">
        <f t="shared" si="44"/>
        <v>0</v>
      </c>
      <c r="S349" s="12">
        <v>0</v>
      </c>
    </row>
    <row r="350" spans="1:19">
      <c r="A350" s="14">
        <f>MAX($A$1:$A349)+1</f>
        <v>348</v>
      </c>
      <c r="B350" s="12" t="str">
        <f t="shared" si="50"/>
        <v>DIVER NAME</v>
      </c>
      <c r="C350" s="12" t="str">
        <f t="shared" si="50"/>
        <v>BUDDY NAME</v>
      </c>
      <c r="D350" s="12">
        <f t="shared" si="50"/>
        <v>0</v>
      </c>
      <c r="E350" s="14" t="str">
        <f>IF(ISERROR(VLOOKUP($D350,[1]SITES!$A:$E,2,FALSE)),"",VLOOKUP($D350,[1]SITES!$A:$E,2,FALSE))</f>
        <v/>
      </c>
      <c r="F350" s="15" t="str">
        <f>IF(ISERROR(VLOOKUP($D350,[1]SITES!$A:$E,3,FALSE)),"",VLOOKUP($D350,[1]SITES!$A:$E,3,FALSE))</f>
        <v/>
      </c>
      <c r="G350" s="16" t="str">
        <f>IF(ISERROR(VLOOKUP($D350,[1]SITES!$A:$E,4,FALSE)),"",VLOOKUP($D350,[1]SITES!$A:$E,4,FALSE))</f>
        <v/>
      </c>
      <c r="H350" s="26" t="str">
        <f t="shared" si="49"/>
        <v>DATE</v>
      </c>
      <c r="I350" s="12" t="str">
        <f t="shared" si="49"/>
        <v>VIS</v>
      </c>
      <c r="J350" s="12" t="str">
        <f t="shared" si="49"/>
        <v>DIRECTION</v>
      </c>
      <c r="K350" s="24" t="str">
        <f t="shared" si="49"/>
        <v>TIME</v>
      </c>
      <c r="L350" s="12" t="str">
        <f t="shared" si="49"/>
        <v>DEPTH</v>
      </c>
      <c r="M350" s="12" t="str">
        <f t="shared" si="49"/>
        <v>BLOCK</v>
      </c>
      <c r="O350" s="22"/>
      <c r="Q350" s="14"/>
      <c r="R350" s="25">
        <f t="shared" si="44"/>
        <v>0</v>
      </c>
      <c r="S350" s="12">
        <v>0</v>
      </c>
    </row>
    <row r="351" spans="1:19">
      <c r="A351" s="14">
        <f>MAX($A$1:$A350)+1</f>
        <v>349</v>
      </c>
      <c r="B351" s="12" t="str">
        <f t="shared" si="50"/>
        <v>DIVER NAME</v>
      </c>
      <c r="C351" s="12" t="str">
        <f t="shared" si="50"/>
        <v>BUDDY NAME</v>
      </c>
      <c r="D351" s="12">
        <f t="shared" si="50"/>
        <v>0</v>
      </c>
      <c r="E351" s="14" t="str">
        <f>IF(ISERROR(VLOOKUP($D351,[1]SITES!$A:$E,2,FALSE)),"",VLOOKUP($D351,[1]SITES!$A:$E,2,FALSE))</f>
        <v/>
      </c>
      <c r="F351" s="15" t="str">
        <f>IF(ISERROR(VLOOKUP($D351,[1]SITES!$A:$E,3,FALSE)),"",VLOOKUP($D351,[1]SITES!$A:$E,3,FALSE))</f>
        <v/>
      </c>
      <c r="G351" s="16" t="str">
        <f>IF(ISERROR(VLOOKUP($D351,[1]SITES!$A:$E,4,FALSE)),"",VLOOKUP($D351,[1]SITES!$A:$E,4,FALSE))</f>
        <v/>
      </c>
      <c r="H351" s="26" t="str">
        <f t="shared" si="49"/>
        <v>DATE</v>
      </c>
      <c r="I351" s="12" t="str">
        <f t="shared" si="49"/>
        <v>VIS</v>
      </c>
      <c r="J351" s="12" t="str">
        <f t="shared" si="49"/>
        <v>DIRECTION</v>
      </c>
      <c r="K351" s="24" t="str">
        <f t="shared" si="49"/>
        <v>TIME</v>
      </c>
      <c r="L351" s="12" t="str">
        <f t="shared" si="49"/>
        <v>DEPTH</v>
      </c>
      <c r="M351" s="12" t="str">
        <f t="shared" si="49"/>
        <v>BLOCK</v>
      </c>
      <c r="O351" s="22"/>
      <c r="Q351" s="14"/>
      <c r="R351" s="25">
        <f t="shared" si="44"/>
        <v>0</v>
      </c>
      <c r="S351" s="12">
        <v>0</v>
      </c>
    </row>
    <row r="352" spans="1:19">
      <c r="A352" s="14">
        <f>MAX($A$1:$A351)+1</f>
        <v>350</v>
      </c>
      <c r="B352" s="12" t="str">
        <f t="shared" si="50"/>
        <v>DIVER NAME</v>
      </c>
      <c r="C352" s="12" t="str">
        <f t="shared" si="50"/>
        <v>BUDDY NAME</v>
      </c>
      <c r="D352" s="12">
        <f t="shared" si="50"/>
        <v>0</v>
      </c>
      <c r="E352" s="14" t="str">
        <f>IF(ISERROR(VLOOKUP($D352,[1]SITES!$A:$E,2,FALSE)),"",VLOOKUP($D352,[1]SITES!$A:$E,2,FALSE))</f>
        <v/>
      </c>
      <c r="F352" s="15" t="str">
        <f>IF(ISERROR(VLOOKUP($D352,[1]SITES!$A:$E,3,FALSE)),"",VLOOKUP($D352,[1]SITES!$A:$E,3,FALSE))</f>
        <v/>
      </c>
      <c r="G352" s="16" t="str">
        <f>IF(ISERROR(VLOOKUP($D352,[1]SITES!$A:$E,4,FALSE)),"",VLOOKUP($D352,[1]SITES!$A:$E,4,FALSE))</f>
        <v/>
      </c>
      <c r="H352" s="26" t="str">
        <f t="shared" si="49"/>
        <v>DATE</v>
      </c>
      <c r="I352" s="12" t="str">
        <f t="shared" si="49"/>
        <v>VIS</v>
      </c>
      <c r="J352" s="12" t="str">
        <f t="shared" si="49"/>
        <v>DIRECTION</v>
      </c>
      <c r="K352" s="24" t="str">
        <f t="shared" si="49"/>
        <v>TIME</v>
      </c>
      <c r="L352" s="12" t="str">
        <f t="shared" si="49"/>
        <v>DEPTH</v>
      </c>
      <c r="M352" s="12" t="str">
        <f t="shared" si="49"/>
        <v>BLOCK</v>
      </c>
      <c r="O352" s="22"/>
      <c r="Q352" s="14"/>
      <c r="R352" s="25">
        <f t="shared" si="44"/>
        <v>0</v>
      </c>
      <c r="S352" s="12">
        <v>0</v>
      </c>
    </row>
    <row r="353" spans="1:19">
      <c r="A353" s="14">
        <f>MAX($A$1:$A352)+1</f>
        <v>351</v>
      </c>
      <c r="B353" s="12" t="str">
        <f t="shared" si="50"/>
        <v>DIVER NAME</v>
      </c>
      <c r="C353" s="12" t="str">
        <f t="shared" si="50"/>
        <v>BUDDY NAME</v>
      </c>
      <c r="D353" s="12">
        <f t="shared" si="50"/>
        <v>0</v>
      </c>
      <c r="E353" s="14" t="str">
        <f>IF(ISERROR(VLOOKUP($D353,[1]SITES!$A:$E,2,FALSE)),"",VLOOKUP($D353,[1]SITES!$A:$E,2,FALSE))</f>
        <v/>
      </c>
      <c r="F353" s="15" t="str">
        <f>IF(ISERROR(VLOOKUP($D353,[1]SITES!$A:$E,3,FALSE)),"",VLOOKUP($D353,[1]SITES!$A:$E,3,FALSE))</f>
        <v/>
      </c>
      <c r="G353" s="16" t="str">
        <f>IF(ISERROR(VLOOKUP($D353,[1]SITES!$A:$E,4,FALSE)),"",VLOOKUP($D353,[1]SITES!$A:$E,4,FALSE))</f>
        <v/>
      </c>
      <c r="H353" s="26" t="str">
        <f t="shared" si="49"/>
        <v>DATE</v>
      </c>
      <c r="I353" s="12" t="str">
        <f t="shared" si="49"/>
        <v>VIS</v>
      </c>
      <c r="J353" s="12" t="str">
        <f t="shared" si="49"/>
        <v>DIRECTION</v>
      </c>
      <c r="K353" s="24" t="str">
        <f t="shared" si="49"/>
        <v>TIME</v>
      </c>
      <c r="L353" s="12" t="str">
        <f t="shared" si="49"/>
        <v>DEPTH</v>
      </c>
      <c r="M353" s="12" t="str">
        <f t="shared" si="49"/>
        <v>BLOCK</v>
      </c>
      <c r="O353" s="22"/>
      <c r="Q353" s="14"/>
      <c r="R353" s="25">
        <f t="shared" si="44"/>
        <v>0</v>
      </c>
      <c r="S353" s="12">
        <v>0</v>
      </c>
    </row>
    <row r="354" spans="1:19">
      <c r="A354" s="14">
        <f>MAX($A$1:$A353)+1</f>
        <v>352</v>
      </c>
      <c r="B354" s="12" t="str">
        <f t="shared" si="50"/>
        <v>DIVER NAME</v>
      </c>
      <c r="C354" s="12" t="str">
        <f t="shared" si="50"/>
        <v>BUDDY NAME</v>
      </c>
      <c r="D354" s="12">
        <f t="shared" si="50"/>
        <v>0</v>
      </c>
      <c r="E354" s="14" t="str">
        <f>IF(ISERROR(VLOOKUP($D354,[1]SITES!$A:$E,2,FALSE)),"",VLOOKUP($D354,[1]SITES!$A:$E,2,FALSE))</f>
        <v/>
      </c>
      <c r="F354" s="15" t="str">
        <f>IF(ISERROR(VLOOKUP($D354,[1]SITES!$A:$E,3,FALSE)),"",VLOOKUP($D354,[1]SITES!$A:$E,3,FALSE))</f>
        <v/>
      </c>
      <c r="G354" s="16" t="str">
        <f>IF(ISERROR(VLOOKUP($D354,[1]SITES!$A:$E,4,FALSE)),"",VLOOKUP($D354,[1]SITES!$A:$E,4,FALSE))</f>
        <v/>
      </c>
      <c r="H354" s="26" t="str">
        <f t="shared" si="49"/>
        <v>DATE</v>
      </c>
      <c r="I354" s="12" t="str">
        <f t="shared" si="49"/>
        <v>VIS</v>
      </c>
      <c r="J354" s="12" t="str">
        <f t="shared" si="49"/>
        <v>DIRECTION</v>
      </c>
      <c r="K354" s="24" t="str">
        <f t="shared" si="49"/>
        <v>TIME</v>
      </c>
      <c r="L354" s="12" t="str">
        <f t="shared" si="49"/>
        <v>DEPTH</v>
      </c>
      <c r="M354" s="12" t="str">
        <f t="shared" si="49"/>
        <v>BLOCK</v>
      </c>
      <c r="O354" s="22"/>
      <c r="Q354" s="14"/>
      <c r="R354" s="25">
        <f t="shared" si="44"/>
        <v>0</v>
      </c>
      <c r="S354" s="12">
        <v>0</v>
      </c>
    </row>
    <row r="355" spans="1:19">
      <c r="A355" s="14">
        <f>MAX($A$1:$A354)+1</f>
        <v>353</v>
      </c>
      <c r="B355" s="12" t="str">
        <f t="shared" si="50"/>
        <v>DIVER NAME</v>
      </c>
      <c r="C355" s="12" t="str">
        <f t="shared" si="50"/>
        <v>BUDDY NAME</v>
      </c>
      <c r="D355" s="12">
        <f t="shared" si="50"/>
        <v>0</v>
      </c>
      <c r="E355" s="14" t="str">
        <f>IF(ISERROR(VLOOKUP($D355,[1]SITES!$A:$E,2,FALSE)),"",VLOOKUP($D355,[1]SITES!$A:$E,2,FALSE))</f>
        <v/>
      </c>
      <c r="F355" s="15" t="str">
        <f>IF(ISERROR(VLOOKUP($D355,[1]SITES!$A:$E,3,FALSE)),"",VLOOKUP($D355,[1]SITES!$A:$E,3,FALSE))</f>
        <v/>
      </c>
      <c r="G355" s="16" t="str">
        <f>IF(ISERROR(VLOOKUP($D355,[1]SITES!$A:$E,4,FALSE)),"",VLOOKUP($D355,[1]SITES!$A:$E,4,FALSE))</f>
        <v/>
      </c>
      <c r="H355" s="26" t="str">
        <f t="shared" si="49"/>
        <v>DATE</v>
      </c>
      <c r="I355" s="12" t="str">
        <f t="shared" si="49"/>
        <v>VIS</v>
      </c>
      <c r="J355" s="12" t="str">
        <f t="shared" si="49"/>
        <v>DIRECTION</v>
      </c>
      <c r="K355" s="24" t="str">
        <f t="shared" si="49"/>
        <v>TIME</v>
      </c>
      <c r="L355" s="12" t="str">
        <f t="shared" si="49"/>
        <v>DEPTH</v>
      </c>
      <c r="M355" s="12" t="str">
        <f t="shared" si="49"/>
        <v>BLOCK</v>
      </c>
      <c r="O355" s="22"/>
      <c r="Q355" s="14"/>
      <c r="R355" s="25">
        <f t="shared" si="44"/>
        <v>0</v>
      </c>
      <c r="S355" s="12">
        <v>0</v>
      </c>
    </row>
    <row r="356" spans="1:19">
      <c r="A356" s="14">
        <f>MAX($A$1:$A355)+1</f>
        <v>354</v>
      </c>
      <c r="B356" s="12" t="str">
        <f t="shared" si="50"/>
        <v>DIVER NAME</v>
      </c>
      <c r="C356" s="12" t="str">
        <f t="shared" si="50"/>
        <v>BUDDY NAME</v>
      </c>
      <c r="D356" s="12">
        <f t="shared" si="50"/>
        <v>0</v>
      </c>
      <c r="E356" s="14" t="str">
        <f>IF(ISERROR(VLOOKUP($D356,[1]SITES!$A:$E,2,FALSE)),"",VLOOKUP($D356,[1]SITES!$A:$E,2,FALSE))</f>
        <v/>
      </c>
      <c r="F356" s="15" t="str">
        <f>IF(ISERROR(VLOOKUP($D356,[1]SITES!$A:$E,3,FALSE)),"",VLOOKUP($D356,[1]SITES!$A:$E,3,FALSE))</f>
        <v/>
      </c>
      <c r="G356" s="16" t="str">
        <f>IF(ISERROR(VLOOKUP($D356,[1]SITES!$A:$E,4,FALSE)),"",VLOOKUP($D356,[1]SITES!$A:$E,4,FALSE))</f>
        <v/>
      </c>
      <c r="H356" s="26" t="str">
        <f t="shared" ref="H356:M371" si="51">IF(ISERROR(H355),IF(ISERROR(H354),IF(ISERROR(H353),"BLANK",H353),H354),H355)</f>
        <v>DATE</v>
      </c>
      <c r="I356" s="12" t="str">
        <f t="shared" si="51"/>
        <v>VIS</v>
      </c>
      <c r="J356" s="12" t="str">
        <f t="shared" si="51"/>
        <v>DIRECTION</v>
      </c>
      <c r="K356" s="24" t="str">
        <f t="shared" si="51"/>
        <v>TIME</v>
      </c>
      <c r="L356" s="12" t="str">
        <f t="shared" si="51"/>
        <v>DEPTH</v>
      </c>
      <c r="M356" s="12" t="str">
        <f t="shared" si="51"/>
        <v>BLOCK</v>
      </c>
      <c r="O356" s="22"/>
      <c r="Q356" s="14"/>
      <c r="R356" s="25">
        <f t="shared" si="44"/>
        <v>0</v>
      </c>
      <c r="S356" s="12">
        <v>0</v>
      </c>
    </row>
    <row r="357" spans="1:19">
      <c r="A357" s="14">
        <f>MAX($A$1:$A356)+1</f>
        <v>355</v>
      </c>
      <c r="B357" s="12" t="str">
        <f t="shared" ref="B357:D372" si="52">IF(ISERROR(B356),IF(ISERROR(B355),IF(ISERROR(B354),"BLANK",B354),B355),B356)</f>
        <v>DIVER NAME</v>
      </c>
      <c r="C357" s="12" t="str">
        <f t="shared" si="52"/>
        <v>BUDDY NAME</v>
      </c>
      <c r="D357" s="12">
        <f t="shared" si="52"/>
        <v>0</v>
      </c>
      <c r="E357" s="14" t="str">
        <f>IF(ISERROR(VLOOKUP($D357,[1]SITES!$A:$E,2,FALSE)),"",VLOOKUP($D357,[1]SITES!$A:$E,2,FALSE))</f>
        <v/>
      </c>
      <c r="F357" s="15" t="str">
        <f>IF(ISERROR(VLOOKUP($D357,[1]SITES!$A:$E,3,FALSE)),"",VLOOKUP($D357,[1]SITES!$A:$E,3,FALSE))</f>
        <v/>
      </c>
      <c r="G357" s="16" t="str">
        <f>IF(ISERROR(VLOOKUP($D357,[1]SITES!$A:$E,4,FALSE)),"",VLOOKUP($D357,[1]SITES!$A:$E,4,FALSE))</f>
        <v/>
      </c>
      <c r="H357" s="26" t="str">
        <f t="shared" si="51"/>
        <v>DATE</v>
      </c>
      <c r="I357" s="12" t="str">
        <f t="shared" si="51"/>
        <v>VIS</v>
      </c>
      <c r="J357" s="12" t="str">
        <f t="shared" si="51"/>
        <v>DIRECTION</v>
      </c>
      <c r="K357" s="24" t="str">
        <f t="shared" si="51"/>
        <v>TIME</v>
      </c>
      <c r="L357" s="12" t="str">
        <f t="shared" si="51"/>
        <v>DEPTH</v>
      </c>
      <c r="M357" s="12" t="str">
        <f t="shared" si="51"/>
        <v>BLOCK</v>
      </c>
      <c r="O357" s="22"/>
      <c r="Q357" s="14"/>
      <c r="R357" s="25">
        <f t="shared" ref="R357:R420" si="53">SUM(S357:AU357)</f>
        <v>0</v>
      </c>
      <c r="S357" s="12">
        <v>0</v>
      </c>
    </row>
    <row r="358" spans="1:19">
      <c r="A358" s="14">
        <f>MAX($A$1:$A357)+1</f>
        <v>356</v>
      </c>
      <c r="B358" s="12" t="str">
        <f t="shared" si="52"/>
        <v>DIVER NAME</v>
      </c>
      <c r="C358" s="12" t="str">
        <f t="shared" si="52"/>
        <v>BUDDY NAME</v>
      </c>
      <c r="D358" s="12">
        <f t="shared" si="52"/>
        <v>0</v>
      </c>
      <c r="E358" s="14" t="str">
        <f>IF(ISERROR(VLOOKUP($D358,[1]SITES!$A:$E,2,FALSE)),"",VLOOKUP($D358,[1]SITES!$A:$E,2,FALSE))</f>
        <v/>
      </c>
      <c r="F358" s="15" t="str">
        <f>IF(ISERROR(VLOOKUP($D358,[1]SITES!$A:$E,3,FALSE)),"",VLOOKUP($D358,[1]SITES!$A:$E,3,FALSE))</f>
        <v/>
      </c>
      <c r="G358" s="16" t="str">
        <f>IF(ISERROR(VLOOKUP($D358,[1]SITES!$A:$E,4,FALSE)),"",VLOOKUP($D358,[1]SITES!$A:$E,4,FALSE))</f>
        <v/>
      </c>
      <c r="H358" s="26" t="str">
        <f t="shared" si="51"/>
        <v>DATE</v>
      </c>
      <c r="I358" s="12" t="str">
        <f t="shared" si="51"/>
        <v>VIS</v>
      </c>
      <c r="J358" s="12" t="str">
        <f t="shared" si="51"/>
        <v>DIRECTION</v>
      </c>
      <c r="K358" s="24" t="str">
        <f t="shared" si="51"/>
        <v>TIME</v>
      </c>
      <c r="L358" s="12" t="str">
        <f t="shared" si="51"/>
        <v>DEPTH</v>
      </c>
      <c r="M358" s="12" t="str">
        <f t="shared" si="51"/>
        <v>BLOCK</v>
      </c>
      <c r="O358" s="22"/>
      <c r="Q358" s="14"/>
      <c r="R358" s="25">
        <f t="shared" si="53"/>
        <v>0</v>
      </c>
      <c r="S358" s="12">
        <v>0</v>
      </c>
    </row>
    <row r="359" spans="1:19">
      <c r="A359" s="14">
        <f>MAX($A$1:$A358)+1</f>
        <v>357</v>
      </c>
      <c r="B359" s="12" t="str">
        <f t="shared" si="52"/>
        <v>DIVER NAME</v>
      </c>
      <c r="C359" s="12" t="str">
        <f t="shared" si="52"/>
        <v>BUDDY NAME</v>
      </c>
      <c r="D359" s="12">
        <f t="shared" si="52"/>
        <v>0</v>
      </c>
      <c r="E359" s="14" t="str">
        <f>IF(ISERROR(VLOOKUP($D359,[1]SITES!$A:$E,2,FALSE)),"",VLOOKUP($D359,[1]SITES!$A:$E,2,FALSE))</f>
        <v/>
      </c>
      <c r="F359" s="15" t="str">
        <f>IF(ISERROR(VLOOKUP($D359,[1]SITES!$A:$E,3,FALSE)),"",VLOOKUP($D359,[1]SITES!$A:$E,3,FALSE))</f>
        <v/>
      </c>
      <c r="G359" s="16" t="str">
        <f>IF(ISERROR(VLOOKUP($D359,[1]SITES!$A:$E,4,FALSE)),"",VLOOKUP($D359,[1]SITES!$A:$E,4,FALSE))</f>
        <v/>
      </c>
      <c r="H359" s="26" t="str">
        <f t="shared" si="51"/>
        <v>DATE</v>
      </c>
      <c r="I359" s="12" t="str">
        <f t="shared" si="51"/>
        <v>VIS</v>
      </c>
      <c r="J359" s="12" t="str">
        <f t="shared" si="51"/>
        <v>DIRECTION</v>
      </c>
      <c r="K359" s="24" t="str">
        <f t="shared" si="51"/>
        <v>TIME</v>
      </c>
      <c r="L359" s="12" t="str">
        <f t="shared" si="51"/>
        <v>DEPTH</v>
      </c>
      <c r="M359" s="12" t="str">
        <f t="shared" si="51"/>
        <v>BLOCK</v>
      </c>
      <c r="O359" s="22"/>
      <c r="Q359" s="14"/>
      <c r="R359" s="25">
        <f t="shared" si="53"/>
        <v>0</v>
      </c>
      <c r="S359" s="12">
        <v>0</v>
      </c>
    </row>
    <row r="360" spans="1:19">
      <c r="A360" s="14">
        <f>MAX($A$1:$A359)+1</f>
        <v>358</v>
      </c>
      <c r="B360" s="12" t="str">
        <f t="shared" si="52"/>
        <v>DIVER NAME</v>
      </c>
      <c r="C360" s="12" t="str">
        <f t="shared" si="52"/>
        <v>BUDDY NAME</v>
      </c>
      <c r="D360" s="12">
        <f t="shared" si="52"/>
        <v>0</v>
      </c>
      <c r="E360" s="14" t="str">
        <f>IF(ISERROR(VLOOKUP($D360,[1]SITES!$A:$E,2,FALSE)),"",VLOOKUP($D360,[1]SITES!$A:$E,2,FALSE))</f>
        <v/>
      </c>
      <c r="F360" s="15" t="str">
        <f>IF(ISERROR(VLOOKUP($D360,[1]SITES!$A:$E,3,FALSE)),"",VLOOKUP($D360,[1]SITES!$A:$E,3,FALSE))</f>
        <v/>
      </c>
      <c r="G360" s="16" t="str">
        <f>IF(ISERROR(VLOOKUP($D360,[1]SITES!$A:$E,4,FALSE)),"",VLOOKUP($D360,[1]SITES!$A:$E,4,FALSE))</f>
        <v/>
      </c>
      <c r="H360" s="26" t="str">
        <f t="shared" si="51"/>
        <v>DATE</v>
      </c>
      <c r="I360" s="12" t="str">
        <f t="shared" si="51"/>
        <v>VIS</v>
      </c>
      <c r="J360" s="12" t="str">
        <f t="shared" si="51"/>
        <v>DIRECTION</v>
      </c>
      <c r="K360" s="24" t="str">
        <f t="shared" si="51"/>
        <v>TIME</v>
      </c>
      <c r="L360" s="12" t="str">
        <f t="shared" si="51"/>
        <v>DEPTH</v>
      </c>
      <c r="M360" s="12" t="str">
        <f t="shared" si="51"/>
        <v>BLOCK</v>
      </c>
      <c r="O360" s="22"/>
      <c r="Q360" s="14"/>
      <c r="R360" s="25">
        <f t="shared" si="53"/>
        <v>0</v>
      </c>
      <c r="S360" s="12">
        <v>0</v>
      </c>
    </row>
    <row r="361" spans="1:19">
      <c r="A361" s="14">
        <f>MAX($A$1:$A360)+1</f>
        <v>359</v>
      </c>
      <c r="B361" s="12" t="str">
        <f t="shared" si="52"/>
        <v>DIVER NAME</v>
      </c>
      <c r="C361" s="12" t="str">
        <f t="shared" si="52"/>
        <v>BUDDY NAME</v>
      </c>
      <c r="D361" s="12">
        <f t="shared" si="52"/>
        <v>0</v>
      </c>
      <c r="E361" s="14" t="str">
        <f>IF(ISERROR(VLOOKUP($D361,[1]SITES!$A:$E,2,FALSE)),"",VLOOKUP($D361,[1]SITES!$A:$E,2,FALSE))</f>
        <v/>
      </c>
      <c r="F361" s="15" t="str">
        <f>IF(ISERROR(VLOOKUP($D361,[1]SITES!$A:$E,3,FALSE)),"",VLOOKUP($D361,[1]SITES!$A:$E,3,FALSE))</f>
        <v/>
      </c>
      <c r="G361" s="16" t="str">
        <f>IF(ISERROR(VLOOKUP($D361,[1]SITES!$A:$E,4,FALSE)),"",VLOOKUP($D361,[1]SITES!$A:$E,4,FALSE))</f>
        <v/>
      </c>
      <c r="H361" s="26" t="str">
        <f t="shared" si="51"/>
        <v>DATE</v>
      </c>
      <c r="I361" s="12" t="str">
        <f t="shared" si="51"/>
        <v>VIS</v>
      </c>
      <c r="J361" s="12" t="str">
        <f t="shared" si="51"/>
        <v>DIRECTION</v>
      </c>
      <c r="K361" s="24" t="str">
        <f t="shared" si="51"/>
        <v>TIME</v>
      </c>
      <c r="L361" s="12" t="str">
        <f t="shared" si="51"/>
        <v>DEPTH</v>
      </c>
      <c r="M361" s="12" t="str">
        <f t="shared" si="51"/>
        <v>BLOCK</v>
      </c>
      <c r="O361" s="22"/>
      <c r="Q361" s="14"/>
      <c r="R361" s="25">
        <f t="shared" si="53"/>
        <v>0</v>
      </c>
      <c r="S361" s="12">
        <v>0</v>
      </c>
    </row>
    <row r="362" spans="1:19">
      <c r="A362" s="14">
        <f>MAX($A$1:$A361)+1</f>
        <v>360</v>
      </c>
      <c r="B362" s="12" t="str">
        <f t="shared" si="52"/>
        <v>DIVER NAME</v>
      </c>
      <c r="C362" s="12" t="str">
        <f t="shared" si="52"/>
        <v>BUDDY NAME</v>
      </c>
      <c r="D362" s="12">
        <f t="shared" si="52"/>
        <v>0</v>
      </c>
      <c r="E362" s="14" t="str">
        <f>IF(ISERROR(VLOOKUP($D362,[1]SITES!$A:$E,2,FALSE)),"",VLOOKUP($D362,[1]SITES!$A:$E,2,FALSE))</f>
        <v/>
      </c>
      <c r="F362" s="15" t="str">
        <f>IF(ISERROR(VLOOKUP($D362,[1]SITES!$A:$E,3,FALSE)),"",VLOOKUP($D362,[1]SITES!$A:$E,3,FALSE))</f>
        <v/>
      </c>
      <c r="G362" s="16" t="str">
        <f>IF(ISERROR(VLOOKUP($D362,[1]SITES!$A:$E,4,FALSE)),"",VLOOKUP($D362,[1]SITES!$A:$E,4,FALSE))</f>
        <v/>
      </c>
      <c r="H362" s="26" t="str">
        <f t="shared" si="51"/>
        <v>DATE</v>
      </c>
      <c r="I362" s="12" t="str">
        <f t="shared" si="51"/>
        <v>VIS</v>
      </c>
      <c r="J362" s="12" t="str">
        <f t="shared" si="51"/>
        <v>DIRECTION</v>
      </c>
      <c r="K362" s="24" t="str">
        <f t="shared" si="51"/>
        <v>TIME</v>
      </c>
      <c r="L362" s="12" t="str">
        <f t="shared" si="51"/>
        <v>DEPTH</v>
      </c>
      <c r="M362" s="12" t="str">
        <f t="shared" si="51"/>
        <v>BLOCK</v>
      </c>
      <c r="O362" s="22"/>
      <c r="Q362" s="14"/>
      <c r="R362" s="25">
        <f t="shared" si="53"/>
        <v>0</v>
      </c>
      <c r="S362" s="12">
        <v>0</v>
      </c>
    </row>
    <row r="363" spans="1:19">
      <c r="A363" s="14">
        <f>MAX($A$1:$A362)+1</f>
        <v>361</v>
      </c>
      <c r="B363" s="12" t="str">
        <f t="shared" si="52"/>
        <v>DIVER NAME</v>
      </c>
      <c r="C363" s="12" t="str">
        <f t="shared" si="52"/>
        <v>BUDDY NAME</v>
      </c>
      <c r="D363" s="12">
        <f t="shared" si="52"/>
        <v>0</v>
      </c>
      <c r="E363" s="14" t="str">
        <f>IF(ISERROR(VLOOKUP($D363,[1]SITES!$A:$E,2,FALSE)),"",VLOOKUP($D363,[1]SITES!$A:$E,2,FALSE))</f>
        <v/>
      </c>
      <c r="F363" s="15" t="str">
        <f>IF(ISERROR(VLOOKUP($D363,[1]SITES!$A:$E,3,FALSE)),"",VLOOKUP($D363,[1]SITES!$A:$E,3,FALSE))</f>
        <v/>
      </c>
      <c r="G363" s="16" t="str">
        <f>IF(ISERROR(VLOOKUP($D363,[1]SITES!$A:$E,4,FALSE)),"",VLOOKUP($D363,[1]SITES!$A:$E,4,FALSE))</f>
        <v/>
      </c>
      <c r="H363" s="26" t="str">
        <f t="shared" si="51"/>
        <v>DATE</v>
      </c>
      <c r="I363" s="12" t="str">
        <f t="shared" si="51"/>
        <v>VIS</v>
      </c>
      <c r="J363" s="12" t="str">
        <f t="shared" si="51"/>
        <v>DIRECTION</v>
      </c>
      <c r="K363" s="24" t="str">
        <f t="shared" si="51"/>
        <v>TIME</v>
      </c>
      <c r="L363" s="12" t="str">
        <f t="shared" si="51"/>
        <v>DEPTH</v>
      </c>
      <c r="M363" s="12" t="str">
        <f t="shared" si="51"/>
        <v>BLOCK</v>
      </c>
      <c r="O363" s="22"/>
      <c r="Q363" s="14"/>
      <c r="R363" s="25">
        <f t="shared" si="53"/>
        <v>0</v>
      </c>
      <c r="S363" s="12">
        <v>0</v>
      </c>
    </row>
    <row r="364" spans="1:19">
      <c r="A364" s="14">
        <f>MAX($A$1:$A363)+1</f>
        <v>362</v>
      </c>
      <c r="B364" s="12" t="str">
        <f t="shared" si="52"/>
        <v>DIVER NAME</v>
      </c>
      <c r="C364" s="12" t="str">
        <f t="shared" si="52"/>
        <v>BUDDY NAME</v>
      </c>
      <c r="D364" s="12">
        <f t="shared" si="52"/>
        <v>0</v>
      </c>
      <c r="E364" s="14" t="str">
        <f>IF(ISERROR(VLOOKUP($D364,[1]SITES!$A:$E,2,FALSE)),"",VLOOKUP($D364,[1]SITES!$A:$E,2,FALSE))</f>
        <v/>
      </c>
      <c r="F364" s="15" t="str">
        <f>IF(ISERROR(VLOOKUP($D364,[1]SITES!$A:$E,3,FALSE)),"",VLOOKUP($D364,[1]SITES!$A:$E,3,FALSE))</f>
        <v/>
      </c>
      <c r="G364" s="16" t="str">
        <f>IF(ISERROR(VLOOKUP($D364,[1]SITES!$A:$E,4,FALSE)),"",VLOOKUP($D364,[1]SITES!$A:$E,4,FALSE))</f>
        <v/>
      </c>
      <c r="H364" s="26" t="str">
        <f t="shared" si="51"/>
        <v>DATE</v>
      </c>
      <c r="I364" s="12" t="str">
        <f t="shared" si="51"/>
        <v>VIS</v>
      </c>
      <c r="J364" s="12" t="str">
        <f t="shared" si="51"/>
        <v>DIRECTION</v>
      </c>
      <c r="K364" s="24" t="str">
        <f t="shared" si="51"/>
        <v>TIME</v>
      </c>
      <c r="L364" s="12" t="str">
        <f t="shared" si="51"/>
        <v>DEPTH</v>
      </c>
      <c r="M364" s="12" t="str">
        <f t="shared" si="51"/>
        <v>BLOCK</v>
      </c>
      <c r="O364" s="22"/>
      <c r="Q364" s="14"/>
      <c r="R364" s="25">
        <f t="shared" si="53"/>
        <v>0</v>
      </c>
      <c r="S364" s="12">
        <v>0</v>
      </c>
    </row>
    <row r="365" spans="1:19">
      <c r="A365" s="14">
        <f>MAX($A$1:$A364)+1</f>
        <v>363</v>
      </c>
      <c r="B365" s="12" t="str">
        <f t="shared" si="52"/>
        <v>DIVER NAME</v>
      </c>
      <c r="C365" s="12" t="str">
        <f t="shared" si="52"/>
        <v>BUDDY NAME</v>
      </c>
      <c r="D365" s="12">
        <f t="shared" si="52"/>
        <v>0</v>
      </c>
      <c r="E365" s="14" t="str">
        <f>IF(ISERROR(VLOOKUP($D365,[1]SITES!$A:$E,2,FALSE)),"",VLOOKUP($D365,[1]SITES!$A:$E,2,FALSE))</f>
        <v/>
      </c>
      <c r="F365" s="15" t="str">
        <f>IF(ISERROR(VLOOKUP($D365,[1]SITES!$A:$E,3,FALSE)),"",VLOOKUP($D365,[1]SITES!$A:$E,3,FALSE))</f>
        <v/>
      </c>
      <c r="G365" s="16" t="str">
        <f>IF(ISERROR(VLOOKUP($D365,[1]SITES!$A:$E,4,FALSE)),"",VLOOKUP($D365,[1]SITES!$A:$E,4,FALSE))</f>
        <v/>
      </c>
      <c r="H365" s="26" t="str">
        <f t="shared" si="51"/>
        <v>DATE</v>
      </c>
      <c r="I365" s="12" t="str">
        <f t="shared" si="51"/>
        <v>VIS</v>
      </c>
      <c r="J365" s="12" t="str">
        <f t="shared" si="51"/>
        <v>DIRECTION</v>
      </c>
      <c r="K365" s="24" t="str">
        <f t="shared" si="51"/>
        <v>TIME</v>
      </c>
      <c r="L365" s="12" t="str">
        <f t="shared" si="51"/>
        <v>DEPTH</v>
      </c>
      <c r="M365" s="12" t="str">
        <f t="shared" si="51"/>
        <v>BLOCK</v>
      </c>
      <c r="O365" s="22"/>
      <c r="Q365" s="14"/>
      <c r="R365" s="25">
        <f t="shared" si="53"/>
        <v>0</v>
      </c>
      <c r="S365" s="12">
        <v>0</v>
      </c>
    </row>
    <row r="366" spans="1:19">
      <c r="A366" s="14">
        <f>MAX($A$1:$A365)+1</f>
        <v>364</v>
      </c>
      <c r="B366" s="12" t="str">
        <f t="shared" si="52"/>
        <v>DIVER NAME</v>
      </c>
      <c r="C366" s="12" t="str">
        <f t="shared" si="52"/>
        <v>BUDDY NAME</v>
      </c>
      <c r="D366" s="12">
        <f t="shared" si="52"/>
        <v>0</v>
      </c>
      <c r="E366" s="14" t="str">
        <f>IF(ISERROR(VLOOKUP($D366,[1]SITES!$A:$E,2,FALSE)),"",VLOOKUP($D366,[1]SITES!$A:$E,2,FALSE))</f>
        <v/>
      </c>
      <c r="F366" s="15" t="str">
        <f>IF(ISERROR(VLOOKUP($D366,[1]SITES!$A:$E,3,FALSE)),"",VLOOKUP($D366,[1]SITES!$A:$E,3,FALSE))</f>
        <v/>
      </c>
      <c r="G366" s="16" t="str">
        <f>IF(ISERROR(VLOOKUP($D366,[1]SITES!$A:$E,4,FALSE)),"",VLOOKUP($D366,[1]SITES!$A:$E,4,FALSE))</f>
        <v/>
      </c>
      <c r="H366" s="26" t="str">
        <f t="shared" si="51"/>
        <v>DATE</v>
      </c>
      <c r="I366" s="12" t="str">
        <f t="shared" si="51"/>
        <v>VIS</v>
      </c>
      <c r="J366" s="12" t="str">
        <f t="shared" si="51"/>
        <v>DIRECTION</v>
      </c>
      <c r="K366" s="24" t="str">
        <f t="shared" si="51"/>
        <v>TIME</v>
      </c>
      <c r="L366" s="12" t="str">
        <f t="shared" si="51"/>
        <v>DEPTH</v>
      </c>
      <c r="M366" s="12" t="str">
        <f t="shared" si="51"/>
        <v>BLOCK</v>
      </c>
      <c r="O366" s="22"/>
      <c r="Q366" s="14"/>
      <c r="R366" s="25">
        <f t="shared" si="53"/>
        <v>0</v>
      </c>
      <c r="S366" s="12">
        <v>0</v>
      </c>
    </row>
    <row r="367" spans="1:19">
      <c r="A367" s="14">
        <f>MAX($A$1:$A366)+1</f>
        <v>365</v>
      </c>
      <c r="B367" s="12" t="str">
        <f t="shared" si="52"/>
        <v>DIVER NAME</v>
      </c>
      <c r="C367" s="12" t="str">
        <f t="shared" si="52"/>
        <v>BUDDY NAME</v>
      </c>
      <c r="D367" s="12">
        <f t="shared" si="52"/>
        <v>0</v>
      </c>
      <c r="E367" s="14" t="str">
        <f>IF(ISERROR(VLOOKUP($D367,[1]SITES!$A:$E,2,FALSE)),"",VLOOKUP($D367,[1]SITES!$A:$E,2,FALSE))</f>
        <v/>
      </c>
      <c r="F367" s="15" t="str">
        <f>IF(ISERROR(VLOOKUP($D367,[1]SITES!$A:$E,3,FALSE)),"",VLOOKUP($D367,[1]SITES!$A:$E,3,FALSE))</f>
        <v/>
      </c>
      <c r="G367" s="16" t="str">
        <f>IF(ISERROR(VLOOKUP($D367,[1]SITES!$A:$E,4,FALSE)),"",VLOOKUP($D367,[1]SITES!$A:$E,4,FALSE))</f>
        <v/>
      </c>
      <c r="H367" s="26" t="str">
        <f t="shared" si="51"/>
        <v>DATE</v>
      </c>
      <c r="I367" s="12" t="str">
        <f t="shared" si="51"/>
        <v>VIS</v>
      </c>
      <c r="J367" s="12" t="str">
        <f t="shared" si="51"/>
        <v>DIRECTION</v>
      </c>
      <c r="K367" s="24" t="str">
        <f t="shared" si="51"/>
        <v>TIME</v>
      </c>
      <c r="L367" s="12" t="str">
        <f t="shared" si="51"/>
        <v>DEPTH</v>
      </c>
      <c r="M367" s="12" t="str">
        <f t="shared" si="51"/>
        <v>BLOCK</v>
      </c>
      <c r="O367" s="22"/>
      <c r="Q367" s="14"/>
      <c r="R367" s="25">
        <f t="shared" si="53"/>
        <v>0</v>
      </c>
      <c r="S367" s="12">
        <v>0</v>
      </c>
    </row>
    <row r="368" spans="1:19">
      <c r="A368" s="14">
        <f>MAX($A$1:$A367)+1</f>
        <v>366</v>
      </c>
      <c r="B368" s="12" t="str">
        <f t="shared" si="52"/>
        <v>DIVER NAME</v>
      </c>
      <c r="C368" s="12" t="str">
        <f t="shared" si="52"/>
        <v>BUDDY NAME</v>
      </c>
      <c r="D368" s="12">
        <f t="shared" si="52"/>
        <v>0</v>
      </c>
      <c r="E368" s="14" t="str">
        <f>IF(ISERROR(VLOOKUP($D368,[1]SITES!$A:$E,2,FALSE)),"",VLOOKUP($D368,[1]SITES!$A:$E,2,FALSE))</f>
        <v/>
      </c>
      <c r="F368" s="15" t="str">
        <f>IF(ISERROR(VLOOKUP($D368,[1]SITES!$A:$E,3,FALSE)),"",VLOOKUP($D368,[1]SITES!$A:$E,3,FALSE))</f>
        <v/>
      </c>
      <c r="G368" s="16" t="str">
        <f>IF(ISERROR(VLOOKUP($D368,[1]SITES!$A:$E,4,FALSE)),"",VLOOKUP($D368,[1]SITES!$A:$E,4,FALSE))</f>
        <v/>
      </c>
      <c r="H368" s="26" t="str">
        <f t="shared" si="51"/>
        <v>DATE</v>
      </c>
      <c r="I368" s="12" t="str">
        <f t="shared" si="51"/>
        <v>VIS</v>
      </c>
      <c r="J368" s="12" t="str">
        <f t="shared" si="51"/>
        <v>DIRECTION</v>
      </c>
      <c r="K368" s="24" t="str">
        <f t="shared" si="51"/>
        <v>TIME</v>
      </c>
      <c r="L368" s="12" t="str">
        <f t="shared" si="51"/>
        <v>DEPTH</v>
      </c>
      <c r="M368" s="12" t="str">
        <f t="shared" si="51"/>
        <v>BLOCK</v>
      </c>
      <c r="O368" s="22"/>
      <c r="Q368" s="14"/>
      <c r="R368" s="25">
        <f t="shared" si="53"/>
        <v>0</v>
      </c>
      <c r="S368" s="12">
        <v>0</v>
      </c>
    </row>
    <row r="369" spans="1:19">
      <c r="A369" s="14">
        <f>MAX($A$1:$A368)+1</f>
        <v>367</v>
      </c>
      <c r="B369" s="12" t="str">
        <f t="shared" si="52"/>
        <v>DIVER NAME</v>
      </c>
      <c r="C369" s="12" t="str">
        <f t="shared" si="52"/>
        <v>BUDDY NAME</v>
      </c>
      <c r="D369" s="12">
        <f t="shared" si="52"/>
        <v>0</v>
      </c>
      <c r="E369" s="14" t="str">
        <f>IF(ISERROR(VLOOKUP($D369,[1]SITES!$A:$E,2,FALSE)),"",VLOOKUP($D369,[1]SITES!$A:$E,2,FALSE))</f>
        <v/>
      </c>
      <c r="F369" s="15" t="str">
        <f>IF(ISERROR(VLOOKUP($D369,[1]SITES!$A:$E,3,FALSE)),"",VLOOKUP($D369,[1]SITES!$A:$E,3,FALSE))</f>
        <v/>
      </c>
      <c r="G369" s="16" t="str">
        <f>IF(ISERROR(VLOOKUP($D369,[1]SITES!$A:$E,4,FALSE)),"",VLOOKUP($D369,[1]SITES!$A:$E,4,FALSE))</f>
        <v/>
      </c>
      <c r="H369" s="26" t="str">
        <f t="shared" si="51"/>
        <v>DATE</v>
      </c>
      <c r="I369" s="12" t="str">
        <f t="shared" si="51"/>
        <v>VIS</v>
      </c>
      <c r="J369" s="12" t="str">
        <f t="shared" si="51"/>
        <v>DIRECTION</v>
      </c>
      <c r="K369" s="24" t="str">
        <f t="shared" si="51"/>
        <v>TIME</v>
      </c>
      <c r="L369" s="12" t="str">
        <f t="shared" si="51"/>
        <v>DEPTH</v>
      </c>
      <c r="M369" s="12" t="str">
        <f t="shared" si="51"/>
        <v>BLOCK</v>
      </c>
      <c r="O369" s="22"/>
      <c r="Q369" s="14"/>
      <c r="R369" s="25">
        <f t="shared" si="53"/>
        <v>0</v>
      </c>
      <c r="S369" s="12">
        <v>0</v>
      </c>
    </row>
    <row r="370" spans="1:19">
      <c r="A370" s="14">
        <f>MAX($A$1:$A369)+1</f>
        <v>368</v>
      </c>
      <c r="B370" s="12" t="str">
        <f t="shared" si="52"/>
        <v>DIVER NAME</v>
      </c>
      <c r="C370" s="12" t="str">
        <f t="shared" si="52"/>
        <v>BUDDY NAME</v>
      </c>
      <c r="D370" s="12">
        <f t="shared" si="52"/>
        <v>0</v>
      </c>
      <c r="E370" s="14" t="str">
        <f>IF(ISERROR(VLOOKUP($D370,[1]SITES!$A:$E,2,FALSE)),"",VLOOKUP($D370,[1]SITES!$A:$E,2,FALSE))</f>
        <v/>
      </c>
      <c r="F370" s="15" t="str">
        <f>IF(ISERROR(VLOOKUP($D370,[1]SITES!$A:$E,3,FALSE)),"",VLOOKUP($D370,[1]SITES!$A:$E,3,FALSE))</f>
        <v/>
      </c>
      <c r="G370" s="16" t="str">
        <f>IF(ISERROR(VLOOKUP($D370,[1]SITES!$A:$E,4,FALSE)),"",VLOOKUP($D370,[1]SITES!$A:$E,4,FALSE))</f>
        <v/>
      </c>
      <c r="H370" s="26" t="str">
        <f t="shared" si="51"/>
        <v>DATE</v>
      </c>
      <c r="I370" s="12" t="str">
        <f t="shared" si="51"/>
        <v>VIS</v>
      </c>
      <c r="J370" s="12" t="str">
        <f t="shared" si="51"/>
        <v>DIRECTION</v>
      </c>
      <c r="K370" s="24" t="str">
        <f t="shared" si="51"/>
        <v>TIME</v>
      </c>
      <c r="L370" s="12" t="str">
        <f t="shared" si="51"/>
        <v>DEPTH</v>
      </c>
      <c r="M370" s="12" t="str">
        <f t="shared" si="51"/>
        <v>BLOCK</v>
      </c>
      <c r="O370" s="22"/>
      <c r="Q370" s="14"/>
      <c r="R370" s="25">
        <f t="shared" si="53"/>
        <v>0</v>
      </c>
      <c r="S370" s="12">
        <v>0</v>
      </c>
    </row>
    <row r="371" spans="1:19">
      <c r="A371" s="14">
        <f>MAX($A$1:$A370)+1</f>
        <v>369</v>
      </c>
      <c r="B371" s="12" t="str">
        <f t="shared" si="52"/>
        <v>DIVER NAME</v>
      </c>
      <c r="C371" s="12" t="str">
        <f t="shared" si="52"/>
        <v>BUDDY NAME</v>
      </c>
      <c r="D371" s="12">
        <f t="shared" si="52"/>
        <v>0</v>
      </c>
      <c r="E371" s="14" t="str">
        <f>IF(ISERROR(VLOOKUP($D371,[1]SITES!$A:$E,2,FALSE)),"",VLOOKUP($D371,[1]SITES!$A:$E,2,FALSE))</f>
        <v/>
      </c>
      <c r="F371" s="15" t="str">
        <f>IF(ISERROR(VLOOKUP($D371,[1]SITES!$A:$E,3,FALSE)),"",VLOOKUP($D371,[1]SITES!$A:$E,3,FALSE))</f>
        <v/>
      </c>
      <c r="G371" s="16" t="str">
        <f>IF(ISERROR(VLOOKUP($D371,[1]SITES!$A:$E,4,FALSE)),"",VLOOKUP($D371,[1]SITES!$A:$E,4,FALSE))</f>
        <v/>
      </c>
      <c r="H371" s="26" t="str">
        <f t="shared" si="51"/>
        <v>DATE</v>
      </c>
      <c r="I371" s="12" t="str">
        <f t="shared" si="51"/>
        <v>VIS</v>
      </c>
      <c r="J371" s="12" t="str">
        <f t="shared" si="51"/>
        <v>DIRECTION</v>
      </c>
      <c r="K371" s="24" t="str">
        <f t="shared" si="51"/>
        <v>TIME</v>
      </c>
      <c r="L371" s="12" t="str">
        <f t="shared" si="51"/>
        <v>DEPTH</v>
      </c>
      <c r="M371" s="12" t="str">
        <f t="shared" si="51"/>
        <v>BLOCK</v>
      </c>
      <c r="O371" s="22"/>
      <c r="Q371" s="14"/>
      <c r="R371" s="25">
        <f t="shared" si="53"/>
        <v>0</v>
      </c>
      <c r="S371" s="12">
        <v>0</v>
      </c>
    </row>
    <row r="372" spans="1:19">
      <c r="A372" s="14">
        <f>MAX($A$1:$A371)+1</f>
        <v>370</v>
      </c>
      <c r="B372" s="12" t="str">
        <f t="shared" si="52"/>
        <v>DIVER NAME</v>
      </c>
      <c r="C372" s="12" t="str">
        <f t="shared" si="52"/>
        <v>BUDDY NAME</v>
      </c>
      <c r="D372" s="12">
        <f t="shared" si="52"/>
        <v>0</v>
      </c>
      <c r="E372" s="14" t="str">
        <f>IF(ISERROR(VLOOKUP($D372,[1]SITES!$A:$E,2,FALSE)),"",VLOOKUP($D372,[1]SITES!$A:$E,2,FALSE))</f>
        <v/>
      </c>
      <c r="F372" s="15" t="str">
        <f>IF(ISERROR(VLOOKUP($D372,[1]SITES!$A:$E,3,FALSE)),"",VLOOKUP($D372,[1]SITES!$A:$E,3,FALSE))</f>
        <v/>
      </c>
      <c r="G372" s="16" t="str">
        <f>IF(ISERROR(VLOOKUP($D372,[1]SITES!$A:$E,4,FALSE)),"",VLOOKUP($D372,[1]SITES!$A:$E,4,FALSE))</f>
        <v/>
      </c>
      <c r="H372" s="26" t="str">
        <f t="shared" ref="H372:M387" si="54">IF(ISERROR(H371),IF(ISERROR(H370),IF(ISERROR(H369),"BLANK",H369),H370),H371)</f>
        <v>DATE</v>
      </c>
      <c r="I372" s="12" t="str">
        <f t="shared" si="54"/>
        <v>VIS</v>
      </c>
      <c r="J372" s="12" t="str">
        <f t="shared" si="54"/>
        <v>DIRECTION</v>
      </c>
      <c r="K372" s="24" t="str">
        <f t="shared" si="54"/>
        <v>TIME</v>
      </c>
      <c r="L372" s="12" t="str">
        <f t="shared" si="54"/>
        <v>DEPTH</v>
      </c>
      <c r="M372" s="12" t="str">
        <f t="shared" si="54"/>
        <v>BLOCK</v>
      </c>
      <c r="O372" s="22"/>
      <c r="Q372" s="14"/>
      <c r="R372" s="25">
        <f t="shared" si="53"/>
        <v>0</v>
      </c>
      <c r="S372" s="12">
        <v>0</v>
      </c>
    </row>
    <row r="373" spans="1:19">
      <c r="A373" s="14">
        <f>MAX($A$1:$A372)+1</f>
        <v>371</v>
      </c>
      <c r="B373" s="12" t="str">
        <f t="shared" ref="B373:D388" si="55">IF(ISERROR(B372),IF(ISERROR(B371),IF(ISERROR(B370),"BLANK",B370),B371),B372)</f>
        <v>DIVER NAME</v>
      </c>
      <c r="C373" s="12" t="str">
        <f t="shared" si="55"/>
        <v>BUDDY NAME</v>
      </c>
      <c r="D373" s="12">
        <f t="shared" si="55"/>
        <v>0</v>
      </c>
      <c r="E373" s="14" t="str">
        <f>IF(ISERROR(VLOOKUP($D373,[1]SITES!$A:$E,2,FALSE)),"",VLOOKUP($D373,[1]SITES!$A:$E,2,FALSE))</f>
        <v/>
      </c>
      <c r="F373" s="15" t="str">
        <f>IF(ISERROR(VLOOKUP($D373,[1]SITES!$A:$E,3,FALSE)),"",VLOOKUP($D373,[1]SITES!$A:$E,3,FALSE))</f>
        <v/>
      </c>
      <c r="G373" s="16" t="str">
        <f>IF(ISERROR(VLOOKUP($D373,[1]SITES!$A:$E,4,FALSE)),"",VLOOKUP($D373,[1]SITES!$A:$E,4,FALSE))</f>
        <v/>
      </c>
      <c r="H373" s="26" t="str">
        <f t="shared" si="54"/>
        <v>DATE</v>
      </c>
      <c r="I373" s="12" t="str">
        <f t="shared" si="54"/>
        <v>VIS</v>
      </c>
      <c r="J373" s="12" t="str">
        <f t="shared" si="54"/>
        <v>DIRECTION</v>
      </c>
      <c r="K373" s="24" t="str">
        <f t="shared" si="54"/>
        <v>TIME</v>
      </c>
      <c r="L373" s="12" t="str">
        <f t="shared" si="54"/>
        <v>DEPTH</v>
      </c>
      <c r="M373" s="12" t="str">
        <f t="shared" si="54"/>
        <v>BLOCK</v>
      </c>
      <c r="O373" s="22"/>
      <c r="Q373" s="14"/>
      <c r="R373" s="25">
        <f t="shared" si="53"/>
        <v>0</v>
      </c>
      <c r="S373" s="12">
        <v>0</v>
      </c>
    </row>
    <row r="374" spans="1:19">
      <c r="A374" s="14">
        <f>MAX($A$1:$A373)+1</f>
        <v>372</v>
      </c>
      <c r="B374" s="12" t="str">
        <f t="shared" si="55"/>
        <v>DIVER NAME</v>
      </c>
      <c r="C374" s="12" t="str">
        <f t="shared" si="55"/>
        <v>BUDDY NAME</v>
      </c>
      <c r="D374" s="12">
        <f t="shared" si="55"/>
        <v>0</v>
      </c>
      <c r="E374" s="14" t="str">
        <f>IF(ISERROR(VLOOKUP($D374,[1]SITES!$A:$E,2,FALSE)),"",VLOOKUP($D374,[1]SITES!$A:$E,2,FALSE))</f>
        <v/>
      </c>
      <c r="F374" s="15" t="str">
        <f>IF(ISERROR(VLOOKUP($D374,[1]SITES!$A:$E,3,FALSE)),"",VLOOKUP($D374,[1]SITES!$A:$E,3,FALSE))</f>
        <v/>
      </c>
      <c r="G374" s="16" t="str">
        <f>IF(ISERROR(VLOOKUP($D374,[1]SITES!$A:$E,4,FALSE)),"",VLOOKUP($D374,[1]SITES!$A:$E,4,FALSE))</f>
        <v/>
      </c>
      <c r="H374" s="26" t="str">
        <f t="shared" si="54"/>
        <v>DATE</v>
      </c>
      <c r="I374" s="12" t="str">
        <f t="shared" si="54"/>
        <v>VIS</v>
      </c>
      <c r="J374" s="12" t="str">
        <f t="shared" si="54"/>
        <v>DIRECTION</v>
      </c>
      <c r="K374" s="24" t="str">
        <f t="shared" si="54"/>
        <v>TIME</v>
      </c>
      <c r="L374" s="12" t="str">
        <f t="shared" si="54"/>
        <v>DEPTH</v>
      </c>
      <c r="M374" s="12" t="str">
        <f t="shared" si="54"/>
        <v>BLOCK</v>
      </c>
      <c r="O374" s="22"/>
      <c r="Q374" s="14"/>
      <c r="R374" s="25">
        <f t="shared" si="53"/>
        <v>0</v>
      </c>
      <c r="S374" s="12">
        <v>0</v>
      </c>
    </row>
    <row r="375" spans="1:19">
      <c r="A375" s="14">
        <f>MAX($A$1:$A374)+1</f>
        <v>373</v>
      </c>
      <c r="B375" s="12" t="str">
        <f t="shared" si="55"/>
        <v>DIVER NAME</v>
      </c>
      <c r="C375" s="12" t="str">
        <f t="shared" si="55"/>
        <v>BUDDY NAME</v>
      </c>
      <c r="D375" s="12">
        <f t="shared" si="55"/>
        <v>0</v>
      </c>
      <c r="E375" s="14" t="str">
        <f>IF(ISERROR(VLOOKUP($D375,[1]SITES!$A:$E,2,FALSE)),"",VLOOKUP($D375,[1]SITES!$A:$E,2,FALSE))</f>
        <v/>
      </c>
      <c r="F375" s="15" t="str">
        <f>IF(ISERROR(VLOOKUP($D375,[1]SITES!$A:$E,3,FALSE)),"",VLOOKUP($D375,[1]SITES!$A:$E,3,FALSE))</f>
        <v/>
      </c>
      <c r="G375" s="16" t="str">
        <f>IF(ISERROR(VLOOKUP($D375,[1]SITES!$A:$E,4,FALSE)),"",VLOOKUP($D375,[1]SITES!$A:$E,4,FALSE))</f>
        <v/>
      </c>
      <c r="H375" s="26" t="str">
        <f t="shared" si="54"/>
        <v>DATE</v>
      </c>
      <c r="I375" s="12" t="str">
        <f t="shared" si="54"/>
        <v>VIS</v>
      </c>
      <c r="J375" s="12" t="str">
        <f t="shared" si="54"/>
        <v>DIRECTION</v>
      </c>
      <c r="K375" s="24" t="str">
        <f t="shared" si="54"/>
        <v>TIME</v>
      </c>
      <c r="L375" s="12" t="str">
        <f t="shared" si="54"/>
        <v>DEPTH</v>
      </c>
      <c r="M375" s="12" t="str">
        <f t="shared" si="54"/>
        <v>BLOCK</v>
      </c>
      <c r="O375" s="22"/>
      <c r="Q375" s="14"/>
      <c r="R375" s="25">
        <f t="shared" si="53"/>
        <v>0</v>
      </c>
      <c r="S375" s="12">
        <v>0</v>
      </c>
    </row>
    <row r="376" spans="1:19">
      <c r="A376" s="14">
        <f>MAX($A$1:$A375)+1</f>
        <v>374</v>
      </c>
      <c r="B376" s="12" t="str">
        <f t="shared" si="55"/>
        <v>DIVER NAME</v>
      </c>
      <c r="C376" s="12" t="str">
        <f t="shared" si="55"/>
        <v>BUDDY NAME</v>
      </c>
      <c r="D376" s="12">
        <f t="shared" si="55"/>
        <v>0</v>
      </c>
      <c r="E376" s="14" t="str">
        <f>IF(ISERROR(VLOOKUP($D376,[1]SITES!$A:$E,2,FALSE)),"",VLOOKUP($D376,[1]SITES!$A:$E,2,FALSE))</f>
        <v/>
      </c>
      <c r="F376" s="15" t="str">
        <f>IF(ISERROR(VLOOKUP($D376,[1]SITES!$A:$E,3,FALSE)),"",VLOOKUP($D376,[1]SITES!$A:$E,3,FALSE))</f>
        <v/>
      </c>
      <c r="G376" s="16" t="str">
        <f>IF(ISERROR(VLOOKUP($D376,[1]SITES!$A:$E,4,FALSE)),"",VLOOKUP($D376,[1]SITES!$A:$E,4,FALSE))</f>
        <v/>
      </c>
      <c r="H376" s="26" t="str">
        <f t="shared" si="54"/>
        <v>DATE</v>
      </c>
      <c r="I376" s="12" t="str">
        <f t="shared" si="54"/>
        <v>VIS</v>
      </c>
      <c r="J376" s="12" t="str">
        <f t="shared" si="54"/>
        <v>DIRECTION</v>
      </c>
      <c r="K376" s="24" t="str">
        <f t="shared" si="54"/>
        <v>TIME</v>
      </c>
      <c r="L376" s="12" t="str">
        <f t="shared" si="54"/>
        <v>DEPTH</v>
      </c>
      <c r="M376" s="12" t="str">
        <f t="shared" si="54"/>
        <v>BLOCK</v>
      </c>
      <c r="O376" s="22"/>
      <c r="Q376" s="14"/>
      <c r="R376" s="25">
        <f t="shared" si="53"/>
        <v>0</v>
      </c>
      <c r="S376" s="12">
        <v>0</v>
      </c>
    </row>
    <row r="377" spans="1:19">
      <c r="A377" s="14">
        <f>MAX($A$1:$A376)+1</f>
        <v>375</v>
      </c>
      <c r="B377" s="12" t="str">
        <f t="shared" si="55"/>
        <v>DIVER NAME</v>
      </c>
      <c r="C377" s="12" t="str">
        <f t="shared" si="55"/>
        <v>BUDDY NAME</v>
      </c>
      <c r="D377" s="12">
        <f t="shared" si="55"/>
        <v>0</v>
      </c>
      <c r="E377" s="14" t="str">
        <f>IF(ISERROR(VLOOKUP($D377,[1]SITES!$A:$E,2,FALSE)),"",VLOOKUP($D377,[1]SITES!$A:$E,2,FALSE))</f>
        <v/>
      </c>
      <c r="F377" s="15" t="str">
        <f>IF(ISERROR(VLOOKUP($D377,[1]SITES!$A:$E,3,FALSE)),"",VLOOKUP($D377,[1]SITES!$A:$E,3,FALSE))</f>
        <v/>
      </c>
      <c r="G377" s="16" t="str">
        <f>IF(ISERROR(VLOOKUP($D377,[1]SITES!$A:$E,4,FALSE)),"",VLOOKUP($D377,[1]SITES!$A:$E,4,FALSE))</f>
        <v/>
      </c>
      <c r="H377" s="26" t="str">
        <f t="shared" si="54"/>
        <v>DATE</v>
      </c>
      <c r="I377" s="12" t="str">
        <f t="shared" si="54"/>
        <v>VIS</v>
      </c>
      <c r="J377" s="12" t="str">
        <f t="shared" si="54"/>
        <v>DIRECTION</v>
      </c>
      <c r="K377" s="24" t="str">
        <f t="shared" si="54"/>
        <v>TIME</v>
      </c>
      <c r="L377" s="12" t="str">
        <f t="shared" si="54"/>
        <v>DEPTH</v>
      </c>
      <c r="M377" s="12" t="str">
        <f t="shared" si="54"/>
        <v>BLOCK</v>
      </c>
      <c r="O377" s="22"/>
      <c r="Q377" s="14"/>
      <c r="R377" s="25">
        <f t="shared" si="53"/>
        <v>0</v>
      </c>
      <c r="S377" s="12">
        <v>0</v>
      </c>
    </row>
    <row r="378" spans="1:19">
      <c r="A378" s="14">
        <f>MAX($A$1:$A377)+1</f>
        <v>376</v>
      </c>
      <c r="B378" s="12" t="str">
        <f t="shared" si="55"/>
        <v>DIVER NAME</v>
      </c>
      <c r="C378" s="12" t="str">
        <f t="shared" si="55"/>
        <v>BUDDY NAME</v>
      </c>
      <c r="D378" s="12">
        <f t="shared" si="55"/>
        <v>0</v>
      </c>
      <c r="E378" s="14" t="str">
        <f>IF(ISERROR(VLOOKUP($D378,[1]SITES!$A:$E,2,FALSE)),"",VLOOKUP($D378,[1]SITES!$A:$E,2,FALSE))</f>
        <v/>
      </c>
      <c r="F378" s="15" t="str">
        <f>IF(ISERROR(VLOOKUP($D378,[1]SITES!$A:$E,3,FALSE)),"",VLOOKUP($D378,[1]SITES!$A:$E,3,FALSE))</f>
        <v/>
      </c>
      <c r="G378" s="16" t="str">
        <f>IF(ISERROR(VLOOKUP($D378,[1]SITES!$A:$E,4,FALSE)),"",VLOOKUP($D378,[1]SITES!$A:$E,4,FALSE))</f>
        <v/>
      </c>
      <c r="H378" s="26" t="str">
        <f t="shared" si="54"/>
        <v>DATE</v>
      </c>
      <c r="I378" s="12" t="str">
        <f t="shared" si="54"/>
        <v>VIS</v>
      </c>
      <c r="J378" s="12" t="str">
        <f t="shared" si="54"/>
        <v>DIRECTION</v>
      </c>
      <c r="K378" s="24" t="str">
        <f t="shared" si="54"/>
        <v>TIME</v>
      </c>
      <c r="L378" s="12" t="str">
        <f t="shared" si="54"/>
        <v>DEPTH</v>
      </c>
      <c r="M378" s="12" t="str">
        <f t="shared" si="54"/>
        <v>BLOCK</v>
      </c>
      <c r="O378" s="22"/>
      <c r="Q378" s="14"/>
      <c r="R378" s="25">
        <f t="shared" si="53"/>
        <v>0</v>
      </c>
      <c r="S378" s="12">
        <v>0</v>
      </c>
    </row>
    <row r="379" spans="1:19">
      <c r="A379" s="14">
        <f>MAX($A$1:$A378)+1</f>
        <v>377</v>
      </c>
      <c r="B379" s="12" t="str">
        <f t="shared" si="55"/>
        <v>DIVER NAME</v>
      </c>
      <c r="C379" s="12" t="str">
        <f t="shared" si="55"/>
        <v>BUDDY NAME</v>
      </c>
      <c r="D379" s="12">
        <f t="shared" si="55"/>
        <v>0</v>
      </c>
      <c r="E379" s="14" t="str">
        <f>IF(ISERROR(VLOOKUP($D379,[1]SITES!$A:$E,2,FALSE)),"",VLOOKUP($D379,[1]SITES!$A:$E,2,FALSE))</f>
        <v/>
      </c>
      <c r="F379" s="15" t="str">
        <f>IF(ISERROR(VLOOKUP($D379,[1]SITES!$A:$E,3,FALSE)),"",VLOOKUP($D379,[1]SITES!$A:$E,3,FALSE))</f>
        <v/>
      </c>
      <c r="G379" s="16" t="str">
        <f>IF(ISERROR(VLOOKUP($D379,[1]SITES!$A:$E,4,FALSE)),"",VLOOKUP($D379,[1]SITES!$A:$E,4,FALSE))</f>
        <v/>
      </c>
      <c r="H379" s="26" t="str">
        <f t="shared" si="54"/>
        <v>DATE</v>
      </c>
      <c r="I379" s="12" t="str">
        <f t="shared" si="54"/>
        <v>VIS</v>
      </c>
      <c r="J379" s="12" t="str">
        <f t="shared" si="54"/>
        <v>DIRECTION</v>
      </c>
      <c r="K379" s="24" t="str">
        <f t="shared" si="54"/>
        <v>TIME</v>
      </c>
      <c r="L379" s="12" t="str">
        <f t="shared" si="54"/>
        <v>DEPTH</v>
      </c>
      <c r="M379" s="12" t="str">
        <f t="shared" si="54"/>
        <v>BLOCK</v>
      </c>
      <c r="O379" s="22"/>
      <c r="Q379" s="14"/>
      <c r="R379" s="25">
        <f t="shared" si="53"/>
        <v>0</v>
      </c>
      <c r="S379" s="12">
        <v>0</v>
      </c>
    </row>
    <row r="380" spans="1:19">
      <c r="A380" s="14">
        <f>MAX($A$1:$A379)+1</f>
        <v>378</v>
      </c>
      <c r="B380" s="12" t="str">
        <f t="shared" si="55"/>
        <v>DIVER NAME</v>
      </c>
      <c r="C380" s="12" t="str">
        <f t="shared" si="55"/>
        <v>BUDDY NAME</v>
      </c>
      <c r="D380" s="12">
        <f t="shared" si="55"/>
        <v>0</v>
      </c>
      <c r="E380" s="14" t="str">
        <f>IF(ISERROR(VLOOKUP($D380,[1]SITES!$A:$E,2,FALSE)),"",VLOOKUP($D380,[1]SITES!$A:$E,2,FALSE))</f>
        <v/>
      </c>
      <c r="F380" s="15" t="str">
        <f>IF(ISERROR(VLOOKUP($D380,[1]SITES!$A:$E,3,FALSE)),"",VLOOKUP($D380,[1]SITES!$A:$E,3,FALSE))</f>
        <v/>
      </c>
      <c r="G380" s="16" t="str">
        <f>IF(ISERROR(VLOOKUP($D380,[1]SITES!$A:$E,4,FALSE)),"",VLOOKUP($D380,[1]SITES!$A:$E,4,FALSE))</f>
        <v/>
      </c>
      <c r="H380" s="26" t="str">
        <f t="shared" si="54"/>
        <v>DATE</v>
      </c>
      <c r="I380" s="12" t="str">
        <f t="shared" si="54"/>
        <v>VIS</v>
      </c>
      <c r="J380" s="12" t="str">
        <f t="shared" si="54"/>
        <v>DIRECTION</v>
      </c>
      <c r="K380" s="24" t="str">
        <f t="shared" si="54"/>
        <v>TIME</v>
      </c>
      <c r="L380" s="12" t="str">
        <f t="shared" si="54"/>
        <v>DEPTH</v>
      </c>
      <c r="M380" s="12" t="str">
        <f t="shared" si="54"/>
        <v>BLOCK</v>
      </c>
      <c r="O380" s="22"/>
      <c r="Q380" s="14"/>
      <c r="R380" s="25">
        <f t="shared" si="53"/>
        <v>0</v>
      </c>
      <c r="S380" s="12">
        <v>0</v>
      </c>
    </row>
    <row r="381" spans="1:19">
      <c r="A381" s="14">
        <f>MAX($A$1:$A380)+1</f>
        <v>379</v>
      </c>
      <c r="B381" s="12" t="str">
        <f t="shared" si="55"/>
        <v>DIVER NAME</v>
      </c>
      <c r="C381" s="12" t="str">
        <f t="shared" si="55"/>
        <v>BUDDY NAME</v>
      </c>
      <c r="D381" s="12">
        <f t="shared" si="55"/>
        <v>0</v>
      </c>
      <c r="E381" s="14" t="str">
        <f>IF(ISERROR(VLOOKUP($D381,[1]SITES!$A:$E,2,FALSE)),"",VLOOKUP($D381,[1]SITES!$A:$E,2,FALSE))</f>
        <v/>
      </c>
      <c r="F381" s="15" t="str">
        <f>IF(ISERROR(VLOOKUP($D381,[1]SITES!$A:$E,3,FALSE)),"",VLOOKUP($D381,[1]SITES!$A:$E,3,FALSE))</f>
        <v/>
      </c>
      <c r="G381" s="16" t="str">
        <f>IF(ISERROR(VLOOKUP($D381,[1]SITES!$A:$E,4,FALSE)),"",VLOOKUP($D381,[1]SITES!$A:$E,4,FALSE))</f>
        <v/>
      </c>
      <c r="H381" s="26" t="str">
        <f t="shared" si="54"/>
        <v>DATE</v>
      </c>
      <c r="I381" s="12" t="str">
        <f t="shared" si="54"/>
        <v>VIS</v>
      </c>
      <c r="J381" s="12" t="str">
        <f t="shared" si="54"/>
        <v>DIRECTION</v>
      </c>
      <c r="K381" s="24" t="str">
        <f t="shared" si="54"/>
        <v>TIME</v>
      </c>
      <c r="L381" s="12" t="str">
        <f t="shared" si="54"/>
        <v>DEPTH</v>
      </c>
      <c r="M381" s="12" t="str">
        <f t="shared" si="54"/>
        <v>BLOCK</v>
      </c>
      <c r="O381" s="22"/>
      <c r="Q381" s="14"/>
      <c r="R381" s="25">
        <f t="shared" si="53"/>
        <v>0</v>
      </c>
      <c r="S381" s="12">
        <v>0</v>
      </c>
    </row>
    <row r="382" spans="1:19">
      <c r="A382" s="14">
        <f>MAX($A$1:$A381)+1</f>
        <v>380</v>
      </c>
      <c r="B382" s="12" t="str">
        <f t="shared" si="55"/>
        <v>DIVER NAME</v>
      </c>
      <c r="C382" s="12" t="str">
        <f t="shared" si="55"/>
        <v>BUDDY NAME</v>
      </c>
      <c r="D382" s="12">
        <f t="shared" si="55"/>
        <v>0</v>
      </c>
      <c r="E382" s="14" t="str">
        <f>IF(ISERROR(VLOOKUP($D382,[1]SITES!$A:$E,2,FALSE)),"",VLOOKUP($D382,[1]SITES!$A:$E,2,FALSE))</f>
        <v/>
      </c>
      <c r="F382" s="15" t="str">
        <f>IF(ISERROR(VLOOKUP($D382,[1]SITES!$A:$E,3,FALSE)),"",VLOOKUP($D382,[1]SITES!$A:$E,3,FALSE))</f>
        <v/>
      </c>
      <c r="G382" s="16" t="str">
        <f>IF(ISERROR(VLOOKUP($D382,[1]SITES!$A:$E,4,FALSE)),"",VLOOKUP($D382,[1]SITES!$A:$E,4,FALSE))</f>
        <v/>
      </c>
      <c r="H382" s="26" t="str">
        <f t="shared" si="54"/>
        <v>DATE</v>
      </c>
      <c r="I382" s="12" t="str">
        <f t="shared" si="54"/>
        <v>VIS</v>
      </c>
      <c r="J382" s="12" t="str">
        <f t="shared" si="54"/>
        <v>DIRECTION</v>
      </c>
      <c r="K382" s="24" t="str">
        <f t="shared" si="54"/>
        <v>TIME</v>
      </c>
      <c r="L382" s="12" t="str">
        <f t="shared" si="54"/>
        <v>DEPTH</v>
      </c>
      <c r="M382" s="12" t="str">
        <f t="shared" si="54"/>
        <v>BLOCK</v>
      </c>
      <c r="O382" s="22"/>
      <c r="Q382" s="14"/>
      <c r="R382" s="25">
        <f t="shared" si="53"/>
        <v>0</v>
      </c>
      <c r="S382" s="12">
        <v>0</v>
      </c>
    </row>
    <row r="383" spans="1:19">
      <c r="A383" s="14">
        <f>MAX($A$1:$A382)+1</f>
        <v>381</v>
      </c>
      <c r="B383" s="12" t="str">
        <f t="shared" si="55"/>
        <v>DIVER NAME</v>
      </c>
      <c r="C383" s="12" t="str">
        <f t="shared" si="55"/>
        <v>BUDDY NAME</v>
      </c>
      <c r="D383" s="12">
        <f t="shared" si="55"/>
        <v>0</v>
      </c>
      <c r="E383" s="14" t="str">
        <f>IF(ISERROR(VLOOKUP($D383,[1]SITES!$A:$E,2,FALSE)),"",VLOOKUP($D383,[1]SITES!$A:$E,2,FALSE))</f>
        <v/>
      </c>
      <c r="F383" s="15" t="str">
        <f>IF(ISERROR(VLOOKUP($D383,[1]SITES!$A:$E,3,FALSE)),"",VLOOKUP($D383,[1]SITES!$A:$E,3,FALSE))</f>
        <v/>
      </c>
      <c r="G383" s="16" t="str">
        <f>IF(ISERROR(VLOOKUP($D383,[1]SITES!$A:$E,4,FALSE)),"",VLOOKUP($D383,[1]SITES!$A:$E,4,FALSE))</f>
        <v/>
      </c>
      <c r="H383" s="26" t="str">
        <f t="shared" si="54"/>
        <v>DATE</v>
      </c>
      <c r="I383" s="12" t="str">
        <f t="shared" si="54"/>
        <v>VIS</v>
      </c>
      <c r="J383" s="12" t="str">
        <f t="shared" si="54"/>
        <v>DIRECTION</v>
      </c>
      <c r="K383" s="24" t="str">
        <f t="shared" si="54"/>
        <v>TIME</v>
      </c>
      <c r="L383" s="12" t="str">
        <f t="shared" si="54"/>
        <v>DEPTH</v>
      </c>
      <c r="M383" s="12" t="str">
        <f t="shared" si="54"/>
        <v>BLOCK</v>
      </c>
      <c r="O383" s="22"/>
      <c r="Q383" s="14"/>
      <c r="R383" s="25">
        <f t="shared" si="53"/>
        <v>0</v>
      </c>
      <c r="S383" s="12">
        <v>0</v>
      </c>
    </row>
    <row r="384" spans="1:19">
      <c r="A384" s="14">
        <f>MAX($A$1:$A383)+1</f>
        <v>382</v>
      </c>
      <c r="B384" s="12" t="str">
        <f t="shared" si="55"/>
        <v>DIVER NAME</v>
      </c>
      <c r="C384" s="12" t="str">
        <f t="shared" si="55"/>
        <v>BUDDY NAME</v>
      </c>
      <c r="D384" s="12">
        <f t="shared" si="55"/>
        <v>0</v>
      </c>
      <c r="E384" s="14" t="str">
        <f>IF(ISERROR(VLOOKUP($D384,[1]SITES!$A:$E,2,FALSE)),"",VLOOKUP($D384,[1]SITES!$A:$E,2,FALSE))</f>
        <v/>
      </c>
      <c r="F384" s="15" t="str">
        <f>IF(ISERROR(VLOOKUP($D384,[1]SITES!$A:$E,3,FALSE)),"",VLOOKUP($D384,[1]SITES!$A:$E,3,FALSE))</f>
        <v/>
      </c>
      <c r="G384" s="16" t="str">
        <f>IF(ISERROR(VLOOKUP($D384,[1]SITES!$A:$E,4,FALSE)),"",VLOOKUP($D384,[1]SITES!$A:$E,4,FALSE))</f>
        <v/>
      </c>
      <c r="H384" s="26" t="str">
        <f t="shared" si="54"/>
        <v>DATE</v>
      </c>
      <c r="I384" s="12" t="str">
        <f t="shared" si="54"/>
        <v>VIS</v>
      </c>
      <c r="J384" s="12" t="str">
        <f t="shared" si="54"/>
        <v>DIRECTION</v>
      </c>
      <c r="K384" s="24" t="str">
        <f t="shared" si="54"/>
        <v>TIME</v>
      </c>
      <c r="L384" s="12" t="str">
        <f t="shared" si="54"/>
        <v>DEPTH</v>
      </c>
      <c r="M384" s="12" t="str">
        <f t="shared" si="54"/>
        <v>BLOCK</v>
      </c>
      <c r="O384" s="22"/>
      <c r="Q384" s="14"/>
      <c r="R384" s="25">
        <f t="shared" si="53"/>
        <v>0</v>
      </c>
      <c r="S384" s="12">
        <v>0</v>
      </c>
    </row>
    <row r="385" spans="1:19">
      <c r="A385" s="14">
        <f>MAX($A$1:$A384)+1</f>
        <v>383</v>
      </c>
      <c r="B385" s="12" t="str">
        <f t="shared" si="55"/>
        <v>DIVER NAME</v>
      </c>
      <c r="C385" s="12" t="str">
        <f t="shared" si="55"/>
        <v>BUDDY NAME</v>
      </c>
      <c r="D385" s="12">
        <f t="shared" si="55"/>
        <v>0</v>
      </c>
      <c r="E385" s="14" t="str">
        <f>IF(ISERROR(VLOOKUP($D385,[1]SITES!$A:$E,2,FALSE)),"",VLOOKUP($D385,[1]SITES!$A:$E,2,FALSE))</f>
        <v/>
      </c>
      <c r="F385" s="15" t="str">
        <f>IF(ISERROR(VLOOKUP($D385,[1]SITES!$A:$E,3,FALSE)),"",VLOOKUP($D385,[1]SITES!$A:$E,3,FALSE))</f>
        <v/>
      </c>
      <c r="G385" s="16" t="str">
        <f>IF(ISERROR(VLOOKUP($D385,[1]SITES!$A:$E,4,FALSE)),"",VLOOKUP($D385,[1]SITES!$A:$E,4,FALSE))</f>
        <v/>
      </c>
      <c r="H385" s="26" t="str">
        <f t="shared" si="54"/>
        <v>DATE</v>
      </c>
      <c r="I385" s="12" t="str">
        <f t="shared" si="54"/>
        <v>VIS</v>
      </c>
      <c r="J385" s="12" t="str">
        <f t="shared" si="54"/>
        <v>DIRECTION</v>
      </c>
      <c r="K385" s="24" t="str">
        <f t="shared" si="54"/>
        <v>TIME</v>
      </c>
      <c r="L385" s="12" t="str">
        <f t="shared" si="54"/>
        <v>DEPTH</v>
      </c>
      <c r="M385" s="12" t="str">
        <f t="shared" si="54"/>
        <v>BLOCK</v>
      </c>
      <c r="O385" s="22"/>
      <c r="Q385" s="14"/>
      <c r="R385" s="25">
        <f t="shared" si="53"/>
        <v>0</v>
      </c>
      <c r="S385" s="12">
        <v>0</v>
      </c>
    </row>
    <row r="386" spans="1:19">
      <c r="A386" s="14">
        <f>MAX($A$1:$A385)+1</f>
        <v>384</v>
      </c>
      <c r="B386" s="12" t="str">
        <f t="shared" si="55"/>
        <v>DIVER NAME</v>
      </c>
      <c r="C386" s="12" t="str">
        <f t="shared" si="55"/>
        <v>BUDDY NAME</v>
      </c>
      <c r="D386" s="12">
        <f t="shared" si="55"/>
        <v>0</v>
      </c>
      <c r="E386" s="14" t="str">
        <f>IF(ISERROR(VLOOKUP($D386,[1]SITES!$A:$E,2,FALSE)),"",VLOOKUP($D386,[1]SITES!$A:$E,2,FALSE))</f>
        <v/>
      </c>
      <c r="F386" s="15" t="str">
        <f>IF(ISERROR(VLOOKUP($D386,[1]SITES!$A:$E,3,FALSE)),"",VLOOKUP($D386,[1]SITES!$A:$E,3,FALSE))</f>
        <v/>
      </c>
      <c r="G386" s="16" t="str">
        <f>IF(ISERROR(VLOOKUP($D386,[1]SITES!$A:$E,4,FALSE)),"",VLOOKUP($D386,[1]SITES!$A:$E,4,FALSE))</f>
        <v/>
      </c>
      <c r="H386" s="26" t="str">
        <f t="shared" si="54"/>
        <v>DATE</v>
      </c>
      <c r="I386" s="12" t="str">
        <f t="shared" si="54"/>
        <v>VIS</v>
      </c>
      <c r="J386" s="12" t="str">
        <f t="shared" si="54"/>
        <v>DIRECTION</v>
      </c>
      <c r="K386" s="24" t="str">
        <f t="shared" si="54"/>
        <v>TIME</v>
      </c>
      <c r="L386" s="12" t="str">
        <f t="shared" si="54"/>
        <v>DEPTH</v>
      </c>
      <c r="M386" s="12" t="str">
        <f t="shared" si="54"/>
        <v>BLOCK</v>
      </c>
      <c r="O386" s="22"/>
      <c r="Q386" s="14"/>
      <c r="R386" s="25">
        <f t="shared" si="53"/>
        <v>0</v>
      </c>
      <c r="S386" s="12">
        <v>0</v>
      </c>
    </row>
    <row r="387" spans="1:19">
      <c r="A387" s="14">
        <f>MAX($A$1:$A386)+1</f>
        <v>385</v>
      </c>
      <c r="B387" s="12" t="str">
        <f t="shared" si="55"/>
        <v>DIVER NAME</v>
      </c>
      <c r="C387" s="12" t="str">
        <f t="shared" si="55"/>
        <v>BUDDY NAME</v>
      </c>
      <c r="D387" s="12">
        <f t="shared" si="55"/>
        <v>0</v>
      </c>
      <c r="E387" s="14" t="str">
        <f>IF(ISERROR(VLOOKUP($D387,[1]SITES!$A:$E,2,FALSE)),"",VLOOKUP($D387,[1]SITES!$A:$E,2,FALSE))</f>
        <v/>
      </c>
      <c r="F387" s="15" t="str">
        <f>IF(ISERROR(VLOOKUP($D387,[1]SITES!$A:$E,3,FALSE)),"",VLOOKUP($D387,[1]SITES!$A:$E,3,FALSE))</f>
        <v/>
      </c>
      <c r="G387" s="16" t="str">
        <f>IF(ISERROR(VLOOKUP($D387,[1]SITES!$A:$E,4,FALSE)),"",VLOOKUP($D387,[1]SITES!$A:$E,4,FALSE))</f>
        <v/>
      </c>
      <c r="H387" s="26" t="str">
        <f t="shared" si="54"/>
        <v>DATE</v>
      </c>
      <c r="I387" s="12" t="str">
        <f t="shared" si="54"/>
        <v>VIS</v>
      </c>
      <c r="J387" s="12" t="str">
        <f t="shared" si="54"/>
        <v>DIRECTION</v>
      </c>
      <c r="K387" s="24" t="str">
        <f t="shared" si="54"/>
        <v>TIME</v>
      </c>
      <c r="L387" s="12" t="str">
        <f t="shared" si="54"/>
        <v>DEPTH</v>
      </c>
      <c r="M387" s="12" t="str">
        <f t="shared" si="54"/>
        <v>BLOCK</v>
      </c>
      <c r="O387" s="22"/>
      <c r="Q387" s="14"/>
      <c r="R387" s="25">
        <f t="shared" si="53"/>
        <v>0</v>
      </c>
      <c r="S387" s="12">
        <v>0</v>
      </c>
    </row>
    <row r="388" spans="1:19">
      <c r="A388" s="14">
        <f>MAX($A$1:$A387)+1</f>
        <v>386</v>
      </c>
      <c r="B388" s="12" t="str">
        <f t="shared" si="55"/>
        <v>DIVER NAME</v>
      </c>
      <c r="C388" s="12" t="str">
        <f t="shared" si="55"/>
        <v>BUDDY NAME</v>
      </c>
      <c r="D388" s="12">
        <f t="shared" si="55"/>
        <v>0</v>
      </c>
      <c r="E388" s="14" t="str">
        <f>IF(ISERROR(VLOOKUP($D388,[1]SITES!$A:$E,2,FALSE)),"",VLOOKUP($D388,[1]SITES!$A:$E,2,FALSE))</f>
        <v/>
      </c>
      <c r="F388" s="15" t="str">
        <f>IF(ISERROR(VLOOKUP($D388,[1]SITES!$A:$E,3,FALSE)),"",VLOOKUP($D388,[1]SITES!$A:$E,3,FALSE))</f>
        <v/>
      </c>
      <c r="G388" s="16" t="str">
        <f>IF(ISERROR(VLOOKUP($D388,[1]SITES!$A:$E,4,FALSE)),"",VLOOKUP($D388,[1]SITES!$A:$E,4,FALSE))</f>
        <v/>
      </c>
      <c r="H388" s="26" t="str">
        <f t="shared" ref="H388:M403" si="56">IF(ISERROR(H387),IF(ISERROR(H386),IF(ISERROR(H385),"BLANK",H385),H386),H387)</f>
        <v>DATE</v>
      </c>
      <c r="I388" s="12" t="str">
        <f t="shared" si="56"/>
        <v>VIS</v>
      </c>
      <c r="J388" s="12" t="str">
        <f t="shared" si="56"/>
        <v>DIRECTION</v>
      </c>
      <c r="K388" s="24" t="str">
        <f t="shared" si="56"/>
        <v>TIME</v>
      </c>
      <c r="L388" s="12" t="str">
        <f t="shared" si="56"/>
        <v>DEPTH</v>
      </c>
      <c r="M388" s="12" t="str">
        <f t="shared" si="56"/>
        <v>BLOCK</v>
      </c>
      <c r="O388" s="22"/>
      <c r="Q388" s="14"/>
      <c r="R388" s="25">
        <f t="shared" si="53"/>
        <v>0</v>
      </c>
      <c r="S388" s="12">
        <v>0</v>
      </c>
    </row>
    <row r="389" spans="1:19">
      <c r="A389" s="14">
        <f>MAX($A$1:$A388)+1</f>
        <v>387</v>
      </c>
      <c r="B389" s="12" t="str">
        <f t="shared" ref="B389:D404" si="57">IF(ISERROR(B388),IF(ISERROR(B387),IF(ISERROR(B386),"BLANK",B386),B387),B388)</f>
        <v>DIVER NAME</v>
      </c>
      <c r="C389" s="12" t="str">
        <f t="shared" si="57"/>
        <v>BUDDY NAME</v>
      </c>
      <c r="D389" s="12">
        <f t="shared" si="57"/>
        <v>0</v>
      </c>
      <c r="E389" s="14" t="str">
        <f>IF(ISERROR(VLOOKUP($D389,[1]SITES!$A:$E,2,FALSE)),"",VLOOKUP($D389,[1]SITES!$A:$E,2,FALSE))</f>
        <v/>
      </c>
      <c r="F389" s="15" t="str">
        <f>IF(ISERROR(VLOOKUP($D389,[1]SITES!$A:$E,3,FALSE)),"",VLOOKUP($D389,[1]SITES!$A:$E,3,FALSE))</f>
        <v/>
      </c>
      <c r="G389" s="16" t="str">
        <f>IF(ISERROR(VLOOKUP($D389,[1]SITES!$A:$E,4,FALSE)),"",VLOOKUP($D389,[1]SITES!$A:$E,4,FALSE))</f>
        <v/>
      </c>
      <c r="H389" s="26" t="str">
        <f t="shared" si="56"/>
        <v>DATE</v>
      </c>
      <c r="I389" s="12" t="str">
        <f t="shared" si="56"/>
        <v>VIS</v>
      </c>
      <c r="J389" s="12" t="str">
        <f t="shared" si="56"/>
        <v>DIRECTION</v>
      </c>
      <c r="K389" s="24" t="str">
        <f t="shared" si="56"/>
        <v>TIME</v>
      </c>
      <c r="L389" s="12" t="str">
        <f t="shared" si="56"/>
        <v>DEPTH</v>
      </c>
      <c r="M389" s="12" t="str">
        <f t="shared" si="56"/>
        <v>BLOCK</v>
      </c>
      <c r="O389" s="22"/>
      <c r="Q389" s="14"/>
      <c r="R389" s="25">
        <f t="shared" si="53"/>
        <v>0</v>
      </c>
      <c r="S389" s="12">
        <v>0</v>
      </c>
    </row>
    <row r="390" spans="1:19">
      <c r="A390" s="14">
        <f>MAX($A$1:$A389)+1</f>
        <v>388</v>
      </c>
      <c r="B390" s="12" t="str">
        <f t="shared" si="57"/>
        <v>DIVER NAME</v>
      </c>
      <c r="C390" s="12" t="str">
        <f t="shared" si="57"/>
        <v>BUDDY NAME</v>
      </c>
      <c r="D390" s="12">
        <f t="shared" si="57"/>
        <v>0</v>
      </c>
      <c r="E390" s="14" t="str">
        <f>IF(ISERROR(VLOOKUP($D390,[1]SITES!$A:$E,2,FALSE)),"",VLOOKUP($D390,[1]SITES!$A:$E,2,FALSE))</f>
        <v/>
      </c>
      <c r="F390" s="15" t="str">
        <f>IF(ISERROR(VLOOKUP($D390,[1]SITES!$A:$E,3,FALSE)),"",VLOOKUP($D390,[1]SITES!$A:$E,3,FALSE))</f>
        <v/>
      </c>
      <c r="G390" s="16" t="str">
        <f>IF(ISERROR(VLOOKUP($D390,[1]SITES!$A:$E,4,FALSE)),"",VLOOKUP($D390,[1]SITES!$A:$E,4,FALSE))</f>
        <v/>
      </c>
      <c r="H390" s="26" t="str">
        <f t="shared" si="56"/>
        <v>DATE</v>
      </c>
      <c r="I390" s="12" t="str">
        <f t="shared" si="56"/>
        <v>VIS</v>
      </c>
      <c r="J390" s="12" t="str">
        <f t="shared" si="56"/>
        <v>DIRECTION</v>
      </c>
      <c r="K390" s="24" t="str">
        <f t="shared" si="56"/>
        <v>TIME</v>
      </c>
      <c r="L390" s="12" t="str">
        <f t="shared" si="56"/>
        <v>DEPTH</v>
      </c>
      <c r="M390" s="12" t="str">
        <f t="shared" si="56"/>
        <v>BLOCK</v>
      </c>
      <c r="O390" s="22"/>
      <c r="Q390" s="14"/>
      <c r="R390" s="25">
        <f t="shared" si="53"/>
        <v>0</v>
      </c>
      <c r="S390" s="12">
        <v>0</v>
      </c>
    </row>
    <row r="391" spans="1:19">
      <c r="A391" s="14">
        <f>MAX($A$1:$A390)+1</f>
        <v>389</v>
      </c>
      <c r="B391" s="12" t="str">
        <f t="shared" si="57"/>
        <v>DIVER NAME</v>
      </c>
      <c r="C391" s="12" t="str">
        <f t="shared" si="57"/>
        <v>BUDDY NAME</v>
      </c>
      <c r="D391" s="12">
        <f t="shared" si="57"/>
        <v>0</v>
      </c>
      <c r="E391" s="14" t="str">
        <f>IF(ISERROR(VLOOKUP($D391,[1]SITES!$A:$E,2,FALSE)),"",VLOOKUP($D391,[1]SITES!$A:$E,2,FALSE))</f>
        <v/>
      </c>
      <c r="F391" s="15" t="str">
        <f>IF(ISERROR(VLOOKUP($D391,[1]SITES!$A:$E,3,FALSE)),"",VLOOKUP($D391,[1]SITES!$A:$E,3,FALSE))</f>
        <v/>
      </c>
      <c r="G391" s="16" t="str">
        <f>IF(ISERROR(VLOOKUP($D391,[1]SITES!$A:$E,4,FALSE)),"",VLOOKUP($D391,[1]SITES!$A:$E,4,FALSE))</f>
        <v/>
      </c>
      <c r="H391" s="26" t="str">
        <f t="shared" si="56"/>
        <v>DATE</v>
      </c>
      <c r="I391" s="12" t="str">
        <f t="shared" si="56"/>
        <v>VIS</v>
      </c>
      <c r="J391" s="12" t="str">
        <f t="shared" si="56"/>
        <v>DIRECTION</v>
      </c>
      <c r="K391" s="24" t="str">
        <f t="shared" si="56"/>
        <v>TIME</v>
      </c>
      <c r="L391" s="12" t="str">
        <f t="shared" si="56"/>
        <v>DEPTH</v>
      </c>
      <c r="M391" s="12" t="str">
        <f t="shared" si="56"/>
        <v>BLOCK</v>
      </c>
      <c r="O391" s="22"/>
      <c r="Q391" s="14"/>
      <c r="R391" s="25">
        <f t="shared" si="53"/>
        <v>0</v>
      </c>
      <c r="S391" s="12">
        <v>0</v>
      </c>
    </row>
    <row r="392" spans="1:19">
      <c r="A392" s="14">
        <f>MAX($A$1:$A391)+1</f>
        <v>390</v>
      </c>
      <c r="B392" s="12" t="str">
        <f t="shared" si="57"/>
        <v>DIVER NAME</v>
      </c>
      <c r="C392" s="12" t="str">
        <f t="shared" si="57"/>
        <v>BUDDY NAME</v>
      </c>
      <c r="D392" s="12">
        <f t="shared" si="57"/>
        <v>0</v>
      </c>
      <c r="E392" s="14" t="str">
        <f>IF(ISERROR(VLOOKUP($D392,[1]SITES!$A:$E,2,FALSE)),"",VLOOKUP($D392,[1]SITES!$A:$E,2,FALSE))</f>
        <v/>
      </c>
      <c r="F392" s="15" t="str">
        <f>IF(ISERROR(VLOOKUP($D392,[1]SITES!$A:$E,3,FALSE)),"",VLOOKUP($D392,[1]SITES!$A:$E,3,FALSE))</f>
        <v/>
      </c>
      <c r="G392" s="16" t="str">
        <f>IF(ISERROR(VLOOKUP($D392,[1]SITES!$A:$E,4,FALSE)),"",VLOOKUP($D392,[1]SITES!$A:$E,4,FALSE))</f>
        <v/>
      </c>
      <c r="H392" s="26" t="str">
        <f t="shared" si="56"/>
        <v>DATE</v>
      </c>
      <c r="I392" s="12" t="str">
        <f t="shared" si="56"/>
        <v>VIS</v>
      </c>
      <c r="J392" s="12" t="str">
        <f t="shared" si="56"/>
        <v>DIRECTION</v>
      </c>
      <c r="K392" s="24" t="str">
        <f t="shared" si="56"/>
        <v>TIME</v>
      </c>
      <c r="L392" s="12" t="str">
        <f t="shared" si="56"/>
        <v>DEPTH</v>
      </c>
      <c r="M392" s="12" t="str">
        <f t="shared" si="56"/>
        <v>BLOCK</v>
      </c>
      <c r="O392" s="22"/>
      <c r="Q392" s="14"/>
      <c r="R392" s="25">
        <f t="shared" si="53"/>
        <v>0</v>
      </c>
      <c r="S392" s="12">
        <v>0</v>
      </c>
    </row>
    <row r="393" spans="1:19">
      <c r="A393" s="14">
        <f>MAX($A$1:$A392)+1</f>
        <v>391</v>
      </c>
      <c r="B393" s="12" t="str">
        <f t="shared" si="57"/>
        <v>DIVER NAME</v>
      </c>
      <c r="C393" s="12" t="str">
        <f t="shared" si="57"/>
        <v>BUDDY NAME</v>
      </c>
      <c r="D393" s="12">
        <f t="shared" si="57"/>
        <v>0</v>
      </c>
      <c r="E393" s="14" t="str">
        <f>IF(ISERROR(VLOOKUP($D393,[1]SITES!$A:$E,2,FALSE)),"",VLOOKUP($D393,[1]SITES!$A:$E,2,FALSE))</f>
        <v/>
      </c>
      <c r="F393" s="15" t="str">
        <f>IF(ISERROR(VLOOKUP($D393,[1]SITES!$A:$E,3,FALSE)),"",VLOOKUP($D393,[1]SITES!$A:$E,3,FALSE))</f>
        <v/>
      </c>
      <c r="G393" s="16" t="str">
        <f>IF(ISERROR(VLOOKUP($D393,[1]SITES!$A:$E,4,FALSE)),"",VLOOKUP($D393,[1]SITES!$A:$E,4,FALSE))</f>
        <v/>
      </c>
      <c r="H393" s="26" t="str">
        <f t="shared" si="56"/>
        <v>DATE</v>
      </c>
      <c r="I393" s="12" t="str">
        <f t="shared" si="56"/>
        <v>VIS</v>
      </c>
      <c r="J393" s="12" t="str">
        <f t="shared" si="56"/>
        <v>DIRECTION</v>
      </c>
      <c r="K393" s="24" t="str">
        <f t="shared" si="56"/>
        <v>TIME</v>
      </c>
      <c r="L393" s="12" t="str">
        <f t="shared" si="56"/>
        <v>DEPTH</v>
      </c>
      <c r="M393" s="12" t="str">
        <f t="shared" si="56"/>
        <v>BLOCK</v>
      </c>
      <c r="O393" s="22"/>
      <c r="Q393" s="14"/>
      <c r="R393" s="25">
        <f t="shared" si="53"/>
        <v>0</v>
      </c>
      <c r="S393" s="12">
        <v>0</v>
      </c>
    </row>
    <row r="394" spans="1:19">
      <c r="A394" s="14">
        <f>MAX($A$1:$A393)+1</f>
        <v>392</v>
      </c>
      <c r="B394" s="12" t="str">
        <f t="shared" si="57"/>
        <v>DIVER NAME</v>
      </c>
      <c r="C394" s="12" t="str">
        <f t="shared" si="57"/>
        <v>BUDDY NAME</v>
      </c>
      <c r="D394" s="12">
        <f t="shared" si="57"/>
        <v>0</v>
      </c>
      <c r="E394" s="14" t="str">
        <f>IF(ISERROR(VLOOKUP($D394,[1]SITES!$A:$E,2,FALSE)),"",VLOOKUP($D394,[1]SITES!$A:$E,2,FALSE))</f>
        <v/>
      </c>
      <c r="F394" s="15" t="str">
        <f>IF(ISERROR(VLOOKUP($D394,[1]SITES!$A:$E,3,FALSE)),"",VLOOKUP($D394,[1]SITES!$A:$E,3,FALSE))</f>
        <v/>
      </c>
      <c r="G394" s="16" t="str">
        <f>IF(ISERROR(VLOOKUP($D394,[1]SITES!$A:$E,4,FALSE)),"",VLOOKUP($D394,[1]SITES!$A:$E,4,FALSE))</f>
        <v/>
      </c>
      <c r="H394" s="26" t="str">
        <f t="shared" si="56"/>
        <v>DATE</v>
      </c>
      <c r="I394" s="12" t="str">
        <f t="shared" si="56"/>
        <v>VIS</v>
      </c>
      <c r="J394" s="12" t="str">
        <f t="shared" si="56"/>
        <v>DIRECTION</v>
      </c>
      <c r="K394" s="24" t="str">
        <f t="shared" si="56"/>
        <v>TIME</v>
      </c>
      <c r="L394" s="12" t="str">
        <f t="shared" si="56"/>
        <v>DEPTH</v>
      </c>
      <c r="M394" s="12" t="str">
        <f t="shared" si="56"/>
        <v>BLOCK</v>
      </c>
      <c r="O394" s="22"/>
      <c r="Q394" s="14"/>
      <c r="R394" s="25">
        <f t="shared" si="53"/>
        <v>0</v>
      </c>
      <c r="S394" s="12">
        <v>0</v>
      </c>
    </row>
    <row r="395" spans="1:19">
      <c r="A395" s="14">
        <f>MAX($A$1:$A394)+1</f>
        <v>393</v>
      </c>
      <c r="B395" s="12" t="str">
        <f t="shared" si="57"/>
        <v>DIVER NAME</v>
      </c>
      <c r="C395" s="12" t="str">
        <f t="shared" si="57"/>
        <v>BUDDY NAME</v>
      </c>
      <c r="D395" s="12">
        <f t="shared" si="57"/>
        <v>0</v>
      </c>
      <c r="E395" s="14" t="str">
        <f>IF(ISERROR(VLOOKUP($D395,[1]SITES!$A:$E,2,FALSE)),"",VLOOKUP($D395,[1]SITES!$A:$E,2,FALSE))</f>
        <v/>
      </c>
      <c r="F395" s="15" t="str">
        <f>IF(ISERROR(VLOOKUP($D395,[1]SITES!$A:$E,3,FALSE)),"",VLOOKUP($D395,[1]SITES!$A:$E,3,FALSE))</f>
        <v/>
      </c>
      <c r="G395" s="16" t="str">
        <f>IF(ISERROR(VLOOKUP($D395,[1]SITES!$A:$E,4,FALSE)),"",VLOOKUP($D395,[1]SITES!$A:$E,4,FALSE))</f>
        <v/>
      </c>
      <c r="H395" s="26" t="str">
        <f t="shared" si="56"/>
        <v>DATE</v>
      </c>
      <c r="I395" s="12" t="str">
        <f t="shared" si="56"/>
        <v>VIS</v>
      </c>
      <c r="J395" s="12" t="str">
        <f t="shared" si="56"/>
        <v>DIRECTION</v>
      </c>
      <c r="K395" s="24" t="str">
        <f t="shared" si="56"/>
        <v>TIME</v>
      </c>
      <c r="L395" s="12" t="str">
        <f t="shared" si="56"/>
        <v>DEPTH</v>
      </c>
      <c r="M395" s="12" t="str">
        <f t="shared" si="56"/>
        <v>BLOCK</v>
      </c>
      <c r="O395" s="22"/>
      <c r="Q395" s="14"/>
      <c r="R395" s="25">
        <f t="shared" si="53"/>
        <v>0</v>
      </c>
      <c r="S395" s="12">
        <v>0</v>
      </c>
    </row>
    <row r="396" spans="1:19">
      <c r="A396" s="14">
        <f>MAX($A$1:$A395)+1</f>
        <v>394</v>
      </c>
      <c r="B396" s="12" t="str">
        <f t="shared" si="57"/>
        <v>DIVER NAME</v>
      </c>
      <c r="C396" s="12" t="str">
        <f t="shared" si="57"/>
        <v>BUDDY NAME</v>
      </c>
      <c r="D396" s="12">
        <f t="shared" si="57"/>
        <v>0</v>
      </c>
      <c r="E396" s="14" t="str">
        <f>IF(ISERROR(VLOOKUP($D396,[1]SITES!$A:$E,2,FALSE)),"",VLOOKUP($D396,[1]SITES!$A:$E,2,FALSE))</f>
        <v/>
      </c>
      <c r="F396" s="15" t="str">
        <f>IF(ISERROR(VLOOKUP($D396,[1]SITES!$A:$E,3,FALSE)),"",VLOOKUP($D396,[1]SITES!$A:$E,3,FALSE))</f>
        <v/>
      </c>
      <c r="G396" s="16" t="str">
        <f>IF(ISERROR(VLOOKUP($D396,[1]SITES!$A:$E,4,FALSE)),"",VLOOKUP($D396,[1]SITES!$A:$E,4,FALSE))</f>
        <v/>
      </c>
      <c r="H396" s="26" t="str">
        <f t="shared" si="56"/>
        <v>DATE</v>
      </c>
      <c r="I396" s="12" t="str">
        <f t="shared" si="56"/>
        <v>VIS</v>
      </c>
      <c r="J396" s="12" t="str">
        <f t="shared" si="56"/>
        <v>DIRECTION</v>
      </c>
      <c r="K396" s="24" t="str">
        <f t="shared" si="56"/>
        <v>TIME</v>
      </c>
      <c r="L396" s="12" t="str">
        <f t="shared" si="56"/>
        <v>DEPTH</v>
      </c>
      <c r="M396" s="12" t="str">
        <f t="shared" si="56"/>
        <v>BLOCK</v>
      </c>
      <c r="O396" s="22"/>
      <c r="Q396" s="14"/>
      <c r="R396" s="25">
        <f t="shared" si="53"/>
        <v>0</v>
      </c>
      <c r="S396" s="12">
        <v>0</v>
      </c>
    </row>
    <row r="397" spans="1:19">
      <c r="A397" s="14">
        <f>MAX($A$1:$A396)+1</f>
        <v>395</v>
      </c>
      <c r="B397" s="12" t="str">
        <f t="shared" si="57"/>
        <v>DIVER NAME</v>
      </c>
      <c r="C397" s="12" t="str">
        <f t="shared" si="57"/>
        <v>BUDDY NAME</v>
      </c>
      <c r="D397" s="12">
        <f t="shared" si="57"/>
        <v>0</v>
      </c>
      <c r="E397" s="14" t="str">
        <f>IF(ISERROR(VLOOKUP($D397,[1]SITES!$A:$E,2,FALSE)),"",VLOOKUP($D397,[1]SITES!$A:$E,2,FALSE))</f>
        <v/>
      </c>
      <c r="F397" s="15" t="str">
        <f>IF(ISERROR(VLOOKUP($D397,[1]SITES!$A:$E,3,FALSE)),"",VLOOKUP($D397,[1]SITES!$A:$E,3,FALSE))</f>
        <v/>
      </c>
      <c r="G397" s="16" t="str">
        <f>IF(ISERROR(VLOOKUP($D397,[1]SITES!$A:$E,4,FALSE)),"",VLOOKUP($D397,[1]SITES!$A:$E,4,FALSE))</f>
        <v/>
      </c>
      <c r="H397" s="26" t="str">
        <f t="shared" si="56"/>
        <v>DATE</v>
      </c>
      <c r="I397" s="12" t="str">
        <f t="shared" si="56"/>
        <v>VIS</v>
      </c>
      <c r="J397" s="12" t="str">
        <f t="shared" si="56"/>
        <v>DIRECTION</v>
      </c>
      <c r="K397" s="24" t="str">
        <f t="shared" si="56"/>
        <v>TIME</v>
      </c>
      <c r="L397" s="12" t="str">
        <f t="shared" si="56"/>
        <v>DEPTH</v>
      </c>
      <c r="M397" s="12" t="str">
        <f t="shared" si="56"/>
        <v>BLOCK</v>
      </c>
      <c r="O397" s="22"/>
      <c r="Q397" s="14"/>
      <c r="R397" s="25">
        <f t="shared" si="53"/>
        <v>0</v>
      </c>
      <c r="S397" s="12">
        <v>0</v>
      </c>
    </row>
    <row r="398" spans="1:19">
      <c r="A398" s="14">
        <f>MAX($A$1:$A397)+1</f>
        <v>396</v>
      </c>
      <c r="B398" s="12" t="str">
        <f t="shared" si="57"/>
        <v>DIVER NAME</v>
      </c>
      <c r="C398" s="12" t="str">
        <f t="shared" si="57"/>
        <v>BUDDY NAME</v>
      </c>
      <c r="D398" s="12">
        <f t="shared" si="57"/>
        <v>0</v>
      </c>
      <c r="E398" s="14" t="str">
        <f>IF(ISERROR(VLOOKUP($D398,[1]SITES!$A:$E,2,FALSE)),"",VLOOKUP($D398,[1]SITES!$A:$E,2,FALSE))</f>
        <v/>
      </c>
      <c r="F398" s="15" t="str">
        <f>IF(ISERROR(VLOOKUP($D398,[1]SITES!$A:$E,3,FALSE)),"",VLOOKUP($D398,[1]SITES!$A:$E,3,FALSE))</f>
        <v/>
      </c>
      <c r="G398" s="16" t="str">
        <f>IF(ISERROR(VLOOKUP($D398,[1]SITES!$A:$E,4,FALSE)),"",VLOOKUP($D398,[1]SITES!$A:$E,4,FALSE))</f>
        <v/>
      </c>
      <c r="H398" s="26" t="str">
        <f t="shared" si="56"/>
        <v>DATE</v>
      </c>
      <c r="I398" s="12" t="str">
        <f t="shared" si="56"/>
        <v>VIS</v>
      </c>
      <c r="J398" s="12" t="str">
        <f t="shared" si="56"/>
        <v>DIRECTION</v>
      </c>
      <c r="K398" s="24" t="str">
        <f t="shared" si="56"/>
        <v>TIME</v>
      </c>
      <c r="L398" s="12" t="str">
        <f t="shared" si="56"/>
        <v>DEPTH</v>
      </c>
      <c r="M398" s="12" t="str">
        <f t="shared" si="56"/>
        <v>BLOCK</v>
      </c>
      <c r="O398" s="22"/>
      <c r="Q398" s="14"/>
      <c r="R398" s="25">
        <f t="shared" si="53"/>
        <v>0</v>
      </c>
      <c r="S398" s="12">
        <v>0</v>
      </c>
    </row>
    <row r="399" spans="1:19">
      <c r="A399" s="14">
        <f>MAX($A$1:$A398)+1</f>
        <v>397</v>
      </c>
      <c r="B399" s="12" t="str">
        <f t="shared" si="57"/>
        <v>DIVER NAME</v>
      </c>
      <c r="C399" s="12" t="str">
        <f t="shared" si="57"/>
        <v>BUDDY NAME</v>
      </c>
      <c r="D399" s="12">
        <f t="shared" si="57"/>
        <v>0</v>
      </c>
      <c r="E399" s="14" t="str">
        <f>IF(ISERROR(VLOOKUP($D399,[1]SITES!$A:$E,2,FALSE)),"",VLOOKUP($D399,[1]SITES!$A:$E,2,FALSE))</f>
        <v/>
      </c>
      <c r="F399" s="15" t="str">
        <f>IF(ISERROR(VLOOKUP($D399,[1]SITES!$A:$E,3,FALSE)),"",VLOOKUP($D399,[1]SITES!$A:$E,3,FALSE))</f>
        <v/>
      </c>
      <c r="G399" s="16" t="str">
        <f>IF(ISERROR(VLOOKUP($D399,[1]SITES!$A:$E,4,FALSE)),"",VLOOKUP($D399,[1]SITES!$A:$E,4,FALSE))</f>
        <v/>
      </c>
      <c r="H399" s="26" t="str">
        <f t="shared" si="56"/>
        <v>DATE</v>
      </c>
      <c r="I399" s="12" t="str">
        <f t="shared" si="56"/>
        <v>VIS</v>
      </c>
      <c r="J399" s="12" t="str">
        <f t="shared" si="56"/>
        <v>DIRECTION</v>
      </c>
      <c r="K399" s="24" t="str">
        <f t="shared" si="56"/>
        <v>TIME</v>
      </c>
      <c r="L399" s="12" t="str">
        <f t="shared" si="56"/>
        <v>DEPTH</v>
      </c>
      <c r="M399" s="12" t="str">
        <f t="shared" si="56"/>
        <v>BLOCK</v>
      </c>
      <c r="O399" s="22"/>
      <c r="Q399" s="14"/>
      <c r="R399" s="25">
        <f t="shared" si="53"/>
        <v>0</v>
      </c>
      <c r="S399" s="12">
        <v>0</v>
      </c>
    </row>
    <row r="400" spans="1:19">
      <c r="A400" s="14">
        <f>MAX($A$1:$A399)+1</f>
        <v>398</v>
      </c>
      <c r="B400" s="12" t="str">
        <f t="shared" si="57"/>
        <v>DIVER NAME</v>
      </c>
      <c r="C400" s="12" t="str">
        <f t="shared" si="57"/>
        <v>BUDDY NAME</v>
      </c>
      <c r="D400" s="12">
        <f t="shared" si="57"/>
        <v>0</v>
      </c>
      <c r="E400" s="14" t="str">
        <f>IF(ISERROR(VLOOKUP($D400,[1]SITES!$A:$E,2,FALSE)),"",VLOOKUP($D400,[1]SITES!$A:$E,2,FALSE))</f>
        <v/>
      </c>
      <c r="F400" s="15" t="str">
        <f>IF(ISERROR(VLOOKUP($D400,[1]SITES!$A:$E,3,FALSE)),"",VLOOKUP($D400,[1]SITES!$A:$E,3,FALSE))</f>
        <v/>
      </c>
      <c r="G400" s="16" t="str">
        <f>IF(ISERROR(VLOOKUP($D400,[1]SITES!$A:$E,4,FALSE)),"",VLOOKUP($D400,[1]SITES!$A:$E,4,FALSE))</f>
        <v/>
      </c>
      <c r="H400" s="26" t="str">
        <f t="shared" si="56"/>
        <v>DATE</v>
      </c>
      <c r="I400" s="12" t="str">
        <f t="shared" si="56"/>
        <v>VIS</v>
      </c>
      <c r="J400" s="12" t="str">
        <f t="shared" si="56"/>
        <v>DIRECTION</v>
      </c>
      <c r="K400" s="24" t="str">
        <f t="shared" si="56"/>
        <v>TIME</v>
      </c>
      <c r="L400" s="12" t="str">
        <f t="shared" si="56"/>
        <v>DEPTH</v>
      </c>
      <c r="M400" s="12" t="str">
        <f t="shared" si="56"/>
        <v>BLOCK</v>
      </c>
      <c r="O400" s="22"/>
      <c r="Q400" s="14"/>
      <c r="R400" s="25">
        <f t="shared" si="53"/>
        <v>0</v>
      </c>
      <c r="S400" s="12">
        <v>0</v>
      </c>
    </row>
    <row r="401" spans="1:19">
      <c r="A401" s="14">
        <f>MAX($A$1:$A400)+1</f>
        <v>399</v>
      </c>
      <c r="B401" s="12" t="str">
        <f t="shared" si="57"/>
        <v>DIVER NAME</v>
      </c>
      <c r="C401" s="12" t="str">
        <f t="shared" si="57"/>
        <v>BUDDY NAME</v>
      </c>
      <c r="D401" s="12">
        <f t="shared" si="57"/>
        <v>0</v>
      </c>
      <c r="E401" s="14" t="str">
        <f>IF(ISERROR(VLOOKUP($D401,[1]SITES!$A:$E,2,FALSE)),"",VLOOKUP($D401,[1]SITES!$A:$E,2,FALSE))</f>
        <v/>
      </c>
      <c r="F401" s="15" t="str">
        <f>IF(ISERROR(VLOOKUP($D401,[1]SITES!$A:$E,3,FALSE)),"",VLOOKUP($D401,[1]SITES!$A:$E,3,FALSE))</f>
        <v/>
      </c>
      <c r="G401" s="16" t="str">
        <f>IF(ISERROR(VLOOKUP($D401,[1]SITES!$A:$E,4,FALSE)),"",VLOOKUP($D401,[1]SITES!$A:$E,4,FALSE))</f>
        <v/>
      </c>
      <c r="H401" s="26" t="str">
        <f t="shared" si="56"/>
        <v>DATE</v>
      </c>
      <c r="I401" s="12" t="str">
        <f t="shared" si="56"/>
        <v>VIS</v>
      </c>
      <c r="J401" s="12" t="str">
        <f t="shared" si="56"/>
        <v>DIRECTION</v>
      </c>
      <c r="K401" s="24" t="str">
        <f t="shared" si="56"/>
        <v>TIME</v>
      </c>
      <c r="L401" s="12" t="str">
        <f t="shared" si="56"/>
        <v>DEPTH</v>
      </c>
      <c r="M401" s="12" t="str">
        <f t="shared" si="56"/>
        <v>BLOCK</v>
      </c>
      <c r="O401" s="22"/>
      <c r="Q401" s="14"/>
      <c r="R401" s="25">
        <f t="shared" si="53"/>
        <v>0</v>
      </c>
      <c r="S401" s="12">
        <v>0</v>
      </c>
    </row>
    <row r="402" spans="1:19">
      <c r="A402" s="14">
        <f>MAX($A$1:$A401)+1</f>
        <v>400</v>
      </c>
      <c r="B402" s="12" t="str">
        <f t="shared" si="57"/>
        <v>DIVER NAME</v>
      </c>
      <c r="C402" s="12" t="str">
        <f t="shared" si="57"/>
        <v>BUDDY NAME</v>
      </c>
      <c r="D402" s="12">
        <f t="shared" si="57"/>
        <v>0</v>
      </c>
      <c r="E402" s="14" t="str">
        <f>IF(ISERROR(VLOOKUP($D402,[1]SITES!$A:$E,2,FALSE)),"",VLOOKUP($D402,[1]SITES!$A:$E,2,FALSE))</f>
        <v/>
      </c>
      <c r="F402" s="15" t="str">
        <f>IF(ISERROR(VLOOKUP($D402,[1]SITES!$A:$E,3,FALSE)),"",VLOOKUP($D402,[1]SITES!$A:$E,3,FALSE))</f>
        <v/>
      </c>
      <c r="G402" s="16" t="str">
        <f>IF(ISERROR(VLOOKUP($D402,[1]SITES!$A:$E,4,FALSE)),"",VLOOKUP($D402,[1]SITES!$A:$E,4,FALSE))</f>
        <v/>
      </c>
      <c r="H402" s="26" t="str">
        <f t="shared" si="56"/>
        <v>DATE</v>
      </c>
      <c r="I402" s="12" t="str">
        <f t="shared" si="56"/>
        <v>VIS</v>
      </c>
      <c r="J402" s="12" t="str">
        <f t="shared" si="56"/>
        <v>DIRECTION</v>
      </c>
      <c r="K402" s="24" t="str">
        <f t="shared" si="56"/>
        <v>TIME</v>
      </c>
      <c r="L402" s="12" t="str">
        <f t="shared" si="56"/>
        <v>DEPTH</v>
      </c>
      <c r="M402" s="12" t="str">
        <f t="shared" si="56"/>
        <v>BLOCK</v>
      </c>
      <c r="O402" s="22"/>
      <c r="Q402" s="14"/>
      <c r="R402" s="25">
        <f t="shared" si="53"/>
        <v>0</v>
      </c>
      <c r="S402" s="12">
        <v>0</v>
      </c>
    </row>
    <row r="403" spans="1:19">
      <c r="A403" s="14">
        <f>MAX($A$1:$A402)+1</f>
        <v>401</v>
      </c>
      <c r="B403" s="12" t="str">
        <f t="shared" si="57"/>
        <v>DIVER NAME</v>
      </c>
      <c r="C403" s="12" t="str">
        <f t="shared" si="57"/>
        <v>BUDDY NAME</v>
      </c>
      <c r="D403" s="12">
        <f t="shared" si="57"/>
        <v>0</v>
      </c>
      <c r="E403" s="14" t="str">
        <f>IF(ISERROR(VLOOKUP($D403,[1]SITES!$A:$E,2,FALSE)),"",VLOOKUP($D403,[1]SITES!$A:$E,2,FALSE))</f>
        <v/>
      </c>
      <c r="F403" s="15" t="str">
        <f>IF(ISERROR(VLOOKUP($D403,[1]SITES!$A:$E,3,FALSE)),"",VLOOKUP($D403,[1]SITES!$A:$E,3,FALSE))</f>
        <v/>
      </c>
      <c r="G403" s="16" t="str">
        <f>IF(ISERROR(VLOOKUP($D403,[1]SITES!$A:$E,4,FALSE)),"",VLOOKUP($D403,[1]SITES!$A:$E,4,FALSE))</f>
        <v/>
      </c>
      <c r="H403" s="26" t="str">
        <f t="shared" si="56"/>
        <v>DATE</v>
      </c>
      <c r="I403" s="12" t="str">
        <f t="shared" si="56"/>
        <v>VIS</v>
      </c>
      <c r="J403" s="12" t="str">
        <f t="shared" si="56"/>
        <v>DIRECTION</v>
      </c>
      <c r="K403" s="24" t="str">
        <f t="shared" si="56"/>
        <v>TIME</v>
      </c>
      <c r="L403" s="12" t="str">
        <f t="shared" si="56"/>
        <v>DEPTH</v>
      </c>
      <c r="M403" s="12" t="str">
        <f t="shared" si="56"/>
        <v>BLOCK</v>
      </c>
      <c r="O403" s="22"/>
      <c r="Q403" s="14"/>
      <c r="R403" s="25">
        <f t="shared" si="53"/>
        <v>0</v>
      </c>
      <c r="S403" s="12">
        <v>0</v>
      </c>
    </row>
    <row r="404" spans="1:19">
      <c r="A404" s="14">
        <f>MAX($A$1:$A403)+1</f>
        <v>402</v>
      </c>
      <c r="B404" s="12" t="str">
        <f t="shared" si="57"/>
        <v>DIVER NAME</v>
      </c>
      <c r="C404" s="12" t="str">
        <f t="shared" si="57"/>
        <v>BUDDY NAME</v>
      </c>
      <c r="D404" s="12">
        <f t="shared" si="57"/>
        <v>0</v>
      </c>
      <c r="E404" s="14" t="str">
        <f>IF(ISERROR(VLOOKUP($D404,[1]SITES!$A:$E,2,FALSE)),"",VLOOKUP($D404,[1]SITES!$A:$E,2,FALSE))</f>
        <v/>
      </c>
      <c r="F404" s="15" t="str">
        <f>IF(ISERROR(VLOOKUP($D404,[1]SITES!$A:$E,3,FALSE)),"",VLOOKUP($D404,[1]SITES!$A:$E,3,FALSE))</f>
        <v/>
      </c>
      <c r="G404" s="16" t="str">
        <f>IF(ISERROR(VLOOKUP($D404,[1]SITES!$A:$E,4,FALSE)),"",VLOOKUP($D404,[1]SITES!$A:$E,4,FALSE))</f>
        <v/>
      </c>
      <c r="H404" s="26" t="str">
        <f t="shared" ref="H404:M419" si="58">IF(ISERROR(H403),IF(ISERROR(H402),IF(ISERROR(H401),"BLANK",H401),H402),H403)</f>
        <v>DATE</v>
      </c>
      <c r="I404" s="12" t="str">
        <f t="shared" si="58"/>
        <v>VIS</v>
      </c>
      <c r="J404" s="12" t="str">
        <f t="shared" si="58"/>
        <v>DIRECTION</v>
      </c>
      <c r="K404" s="24" t="str">
        <f t="shared" si="58"/>
        <v>TIME</v>
      </c>
      <c r="L404" s="12" t="str">
        <f t="shared" si="58"/>
        <v>DEPTH</v>
      </c>
      <c r="M404" s="12" t="str">
        <f t="shared" si="58"/>
        <v>BLOCK</v>
      </c>
      <c r="O404" s="22"/>
      <c r="Q404" s="14"/>
      <c r="R404" s="25">
        <f t="shared" si="53"/>
        <v>0</v>
      </c>
      <c r="S404" s="12">
        <v>0</v>
      </c>
    </row>
    <row r="405" spans="1:19">
      <c r="A405" s="14">
        <f>MAX($A$1:$A404)+1</f>
        <v>403</v>
      </c>
      <c r="B405" s="12" t="str">
        <f t="shared" ref="B405:D420" si="59">IF(ISERROR(B404),IF(ISERROR(B403),IF(ISERROR(B402),"BLANK",B402),B403),B404)</f>
        <v>DIVER NAME</v>
      </c>
      <c r="C405" s="12" t="str">
        <f t="shared" si="59"/>
        <v>BUDDY NAME</v>
      </c>
      <c r="D405" s="12">
        <f t="shared" si="59"/>
        <v>0</v>
      </c>
      <c r="E405" s="14" t="str">
        <f>IF(ISERROR(VLOOKUP($D405,[1]SITES!$A:$E,2,FALSE)),"",VLOOKUP($D405,[1]SITES!$A:$E,2,FALSE))</f>
        <v/>
      </c>
      <c r="F405" s="15" t="str">
        <f>IF(ISERROR(VLOOKUP($D405,[1]SITES!$A:$E,3,FALSE)),"",VLOOKUP($D405,[1]SITES!$A:$E,3,FALSE))</f>
        <v/>
      </c>
      <c r="G405" s="16" t="str">
        <f>IF(ISERROR(VLOOKUP($D405,[1]SITES!$A:$E,4,FALSE)),"",VLOOKUP($D405,[1]SITES!$A:$E,4,FALSE))</f>
        <v/>
      </c>
      <c r="H405" s="26" t="str">
        <f t="shared" si="58"/>
        <v>DATE</v>
      </c>
      <c r="I405" s="12" t="str">
        <f t="shared" si="58"/>
        <v>VIS</v>
      </c>
      <c r="J405" s="12" t="str">
        <f t="shared" si="58"/>
        <v>DIRECTION</v>
      </c>
      <c r="K405" s="24" t="str">
        <f t="shared" si="58"/>
        <v>TIME</v>
      </c>
      <c r="L405" s="12" t="str">
        <f t="shared" si="58"/>
        <v>DEPTH</v>
      </c>
      <c r="M405" s="12" t="str">
        <f t="shared" si="58"/>
        <v>BLOCK</v>
      </c>
      <c r="O405" s="22"/>
      <c r="Q405" s="14"/>
      <c r="R405" s="25">
        <f t="shared" si="53"/>
        <v>0</v>
      </c>
      <c r="S405" s="12">
        <v>0</v>
      </c>
    </row>
    <row r="406" spans="1:19">
      <c r="A406" s="14">
        <f>MAX($A$1:$A405)+1</f>
        <v>404</v>
      </c>
      <c r="B406" s="12" t="str">
        <f t="shared" si="59"/>
        <v>DIVER NAME</v>
      </c>
      <c r="C406" s="12" t="str">
        <f t="shared" si="59"/>
        <v>BUDDY NAME</v>
      </c>
      <c r="D406" s="12">
        <f t="shared" si="59"/>
        <v>0</v>
      </c>
      <c r="E406" s="14" t="str">
        <f>IF(ISERROR(VLOOKUP($D406,[1]SITES!$A:$E,2,FALSE)),"",VLOOKUP($D406,[1]SITES!$A:$E,2,FALSE))</f>
        <v/>
      </c>
      <c r="F406" s="15" t="str">
        <f>IF(ISERROR(VLOOKUP($D406,[1]SITES!$A:$E,3,FALSE)),"",VLOOKUP($D406,[1]SITES!$A:$E,3,FALSE))</f>
        <v/>
      </c>
      <c r="G406" s="16" t="str">
        <f>IF(ISERROR(VLOOKUP($D406,[1]SITES!$A:$E,4,FALSE)),"",VLOOKUP($D406,[1]SITES!$A:$E,4,FALSE))</f>
        <v/>
      </c>
      <c r="H406" s="26" t="str">
        <f t="shared" si="58"/>
        <v>DATE</v>
      </c>
      <c r="I406" s="12" t="str">
        <f t="shared" si="58"/>
        <v>VIS</v>
      </c>
      <c r="J406" s="12" t="str">
        <f t="shared" si="58"/>
        <v>DIRECTION</v>
      </c>
      <c r="K406" s="24" t="str">
        <f t="shared" si="58"/>
        <v>TIME</v>
      </c>
      <c r="L406" s="12" t="str">
        <f t="shared" si="58"/>
        <v>DEPTH</v>
      </c>
      <c r="M406" s="12" t="str">
        <f t="shared" si="58"/>
        <v>BLOCK</v>
      </c>
      <c r="O406" s="22"/>
      <c r="Q406" s="14"/>
      <c r="R406" s="25">
        <f t="shared" si="53"/>
        <v>0</v>
      </c>
      <c r="S406" s="12">
        <v>0</v>
      </c>
    </row>
    <row r="407" spans="1:19">
      <c r="A407" s="14">
        <f>MAX($A$1:$A406)+1</f>
        <v>405</v>
      </c>
      <c r="B407" s="12" t="str">
        <f t="shared" si="59"/>
        <v>DIVER NAME</v>
      </c>
      <c r="C407" s="12" t="str">
        <f t="shared" si="59"/>
        <v>BUDDY NAME</v>
      </c>
      <c r="D407" s="12">
        <f t="shared" si="59"/>
        <v>0</v>
      </c>
      <c r="E407" s="14" t="str">
        <f>IF(ISERROR(VLOOKUP($D407,[1]SITES!$A:$E,2,FALSE)),"",VLOOKUP($D407,[1]SITES!$A:$E,2,FALSE))</f>
        <v/>
      </c>
      <c r="F407" s="15" t="str">
        <f>IF(ISERROR(VLOOKUP($D407,[1]SITES!$A:$E,3,FALSE)),"",VLOOKUP($D407,[1]SITES!$A:$E,3,FALSE))</f>
        <v/>
      </c>
      <c r="G407" s="16" t="str">
        <f>IF(ISERROR(VLOOKUP($D407,[1]SITES!$A:$E,4,FALSE)),"",VLOOKUP($D407,[1]SITES!$A:$E,4,FALSE))</f>
        <v/>
      </c>
      <c r="H407" s="26" t="str">
        <f t="shared" si="58"/>
        <v>DATE</v>
      </c>
      <c r="I407" s="12" t="str">
        <f t="shared" si="58"/>
        <v>VIS</v>
      </c>
      <c r="J407" s="12" t="str">
        <f t="shared" si="58"/>
        <v>DIRECTION</v>
      </c>
      <c r="K407" s="24" t="str">
        <f t="shared" si="58"/>
        <v>TIME</v>
      </c>
      <c r="L407" s="12" t="str">
        <f t="shared" si="58"/>
        <v>DEPTH</v>
      </c>
      <c r="M407" s="12" t="str">
        <f t="shared" si="58"/>
        <v>BLOCK</v>
      </c>
      <c r="O407" s="22"/>
      <c r="Q407" s="14"/>
      <c r="R407" s="25">
        <f t="shared" si="53"/>
        <v>0</v>
      </c>
      <c r="S407" s="12">
        <v>0</v>
      </c>
    </row>
    <row r="408" spans="1:19">
      <c r="A408" s="14">
        <f>MAX($A$1:$A407)+1</f>
        <v>406</v>
      </c>
      <c r="B408" s="12" t="str">
        <f t="shared" si="59"/>
        <v>DIVER NAME</v>
      </c>
      <c r="C408" s="12" t="str">
        <f t="shared" si="59"/>
        <v>BUDDY NAME</v>
      </c>
      <c r="D408" s="12">
        <f t="shared" si="59"/>
        <v>0</v>
      </c>
      <c r="E408" s="14" t="str">
        <f>IF(ISERROR(VLOOKUP($D408,[1]SITES!$A:$E,2,FALSE)),"",VLOOKUP($D408,[1]SITES!$A:$E,2,FALSE))</f>
        <v/>
      </c>
      <c r="F408" s="15" t="str">
        <f>IF(ISERROR(VLOOKUP($D408,[1]SITES!$A:$E,3,FALSE)),"",VLOOKUP($D408,[1]SITES!$A:$E,3,FALSE))</f>
        <v/>
      </c>
      <c r="G408" s="16" t="str">
        <f>IF(ISERROR(VLOOKUP($D408,[1]SITES!$A:$E,4,FALSE)),"",VLOOKUP($D408,[1]SITES!$A:$E,4,FALSE))</f>
        <v/>
      </c>
      <c r="H408" s="26" t="str">
        <f t="shared" si="58"/>
        <v>DATE</v>
      </c>
      <c r="I408" s="12" t="str">
        <f t="shared" si="58"/>
        <v>VIS</v>
      </c>
      <c r="J408" s="12" t="str">
        <f t="shared" si="58"/>
        <v>DIRECTION</v>
      </c>
      <c r="K408" s="24" t="str">
        <f t="shared" si="58"/>
        <v>TIME</v>
      </c>
      <c r="L408" s="12" t="str">
        <f t="shared" si="58"/>
        <v>DEPTH</v>
      </c>
      <c r="M408" s="12" t="str">
        <f t="shared" si="58"/>
        <v>BLOCK</v>
      </c>
      <c r="O408" s="22"/>
      <c r="Q408" s="14"/>
      <c r="R408" s="25">
        <f t="shared" si="53"/>
        <v>0</v>
      </c>
      <c r="S408" s="12">
        <v>0</v>
      </c>
    </row>
    <row r="409" spans="1:19">
      <c r="A409" s="14">
        <f>MAX($A$1:$A408)+1</f>
        <v>407</v>
      </c>
      <c r="B409" s="12" t="str">
        <f t="shared" si="59"/>
        <v>DIVER NAME</v>
      </c>
      <c r="C409" s="12" t="str">
        <f t="shared" si="59"/>
        <v>BUDDY NAME</v>
      </c>
      <c r="D409" s="12">
        <f t="shared" si="59"/>
        <v>0</v>
      </c>
      <c r="E409" s="14" t="str">
        <f>IF(ISERROR(VLOOKUP($D409,[1]SITES!$A:$E,2,FALSE)),"",VLOOKUP($D409,[1]SITES!$A:$E,2,FALSE))</f>
        <v/>
      </c>
      <c r="F409" s="15" t="str">
        <f>IF(ISERROR(VLOOKUP($D409,[1]SITES!$A:$E,3,FALSE)),"",VLOOKUP($D409,[1]SITES!$A:$E,3,FALSE))</f>
        <v/>
      </c>
      <c r="G409" s="16" t="str">
        <f>IF(ISERROR(VLOOKUP($D409,[1]SITES!$A:$E,4,FALSE)),"",VLOOKUP($D409,[1]SITES!$A:$E,4,FALSE))</f>
        <v/>
      </c>
      <c r="H409" s="26" t="str">
        <f t="shared" si="58"/>
        <v>DATE</v>
      </c>
      <c r="I409" s="12" t="str">
        <f t="shared" si="58"/>
        <v>VIS</v>
      </c>
      <c r="J409" s="12" t="str">
        <f t="shared" si="58"/>
        <v>DIRECTION</v>
      </c>
      <c r="K409" s="24" t="str">
        <f t="shared" si="58"/>
        <v>TIME</v>
      </c>
      <c r="L409" s="12" t="str">
        <f t="shared" si="58"/>
        <v>DEPTH</v>
      </c>
      <c r="M409" s="12" t="str">
        <f t="shared" si="58"/>
        <v>BLOCK</v>
      </c>
      <c r="O409" s="22"/>
      <c r="Q409" s="14"/>
      <c r="R409" s="25">
        <f t="shared" si="53"/>
        <v>0</v>
      </c>
      <c r="S409" s="12">
        <v>0</v>
      </c>
    </row>
    <row r="410" spans="1:19">
      <c r="A410" s="14">
        <f>MAX($A$1:$A409)+1</f>
        <v>408</v>
      </c>
      <c r="B410" s="12" t="str">
        <f t="shared" si="59"/>
        <v>DIVER NAME</v>
      </c>
      <c r="C410" s="12" t="str">
        <f t="shared" si="59"/>
        <v>BUDDY NAME</v>
      </c>
      <c r="D410" s="12">
        <f t="shared" si="59"/>
        <v>0</v>
      </c>
      <c r="E410" s="14" t="str">
        <f>IF(ISERROR(VLOOKUP($D410,[1]SITES!$A:$E,2,FALSE)),"",VLOOKUP($D410,[1]SITES!$A:$E,2,FALSE))</f>
        <v/>
      </c>
      <c r="F410" s="15" t="str">
        <f>IF(ISERROR(VLOOKUP($D410,[1]SITES!$A:$E,3,FALSE)),"",VLOOKUP($D410,[1]SITES!$A:$E,3,FALSE))</f>
        <v/>
      </c>
      <c r="G410" s="16" t="str">
        <f>IF(ISERROR(VLOOKUP($D410,[1]SITES!$A:$E,4,FALSE)),"",VLOOKUP($D410,[1]SITES!$A:$E,4,FALSE))</f>
        <v/>
      </c>
      <c r="H410" s="26" t="str">
        <f t="shared" si="58"/>
        <v>DATE</v>
      </c>
      <c r="I410" s="12" t="str">
        <f t="shared" si="58"/>
        <v>VIS</v>
      </c>
      <c r="J410" s="12" t="str">
        <f t="shared" si="58"/>
        <v>DIRECTION</v>
      </c>
      <c r="K410" s="24" t="str">
        <f t="shared" si="58"/>
        <v>TIME</v>
      </c>
      <c r="L410" s="12" t="str">
        <f t="shared" si="58"/>
        <v>DEPTH</v>
      </c>
      <c r="M410" s="12" t="str">
        <f t="shared" si="58"/>
        <v>BLOCK</v>
      </c>
      <c r="O410" s="22"/>
      <c r="Q410" s="14"/>
      <c r="R410" s="25">
        <f t="shared" si="53"/>
        <v>0</v>
      </c>
      <c r="S410" s="12">
        <v>0</v>
      </c>
    </row>
    <row r="411" spans="1:19">
      <c r="A411" s="14">
        <f>MAX($A$1:$A410)+1</f>
        <v>409</v>
      </c>
      <c r="B411" s="12" t="str">
        <f t="shared" si="59"/>
        <v>DIVER NAME</v>
      </c>
      <c r="C411" s="12" t="str">
        <f t="shared" si="59"/>
        <v>BUDDY NAME</v>
      </c>
      <c r="D411" s="12">
        <f t="shared" si="59"/>
        <v>0</v>
      </c>
      <c r="E411" s="14" t="str">
        <f>IF(ISERROR(VLOOKUP($D411,[1]SITES!$A:$E,2,FALSE)),"",VLOOKUP($D411,[1]SITES!$A:$E,2,FALSE))</f>
        <v/>
      </c>
      <c r="F411" s="15" t="str">
        <f>IF(ISERROR(VLOOKUP($D411,[1]SITES!$A:$E,3,FALSE)),"",VLOOKUP($D411,[1]SITES!$A:$E,3,FALSE))</f>
        <v/>
      </c>
      <c r="G411" s="16" t="str">
        <f>IF(ISERROR(VLOOKUP($D411,[1]SITES!$A:$E,4,FALSE)),"",VLOOKUP($D411,[1]SITES!$A:$E,4,FALSE))</f>
        <v/>
      </c>
      <c r="H411" s="26" t="str">
        <f t="shared" si="58"/>
        <v>DATE</v>
      </c>
      <c r="I411" s="12" t="str">
        <f t="shared" si="58"/>
        <v>VIS</v>
      </c>
      <c r="J411" s="12" t="str">
        <f t="shared" si="58"/>
        <v>DIRECTION</v>
      </c>
      <c r="K411" s="24" t="str">
        <f t="shared" si="58"/>
        <v>TIME</v>
      </c>
      <c r="L411" s="12" t="str">
        <f t="shared" si="58"/>
        <v>DEPTH</v>
      </c>
      <c r="M411" s="12" t="str">
        <f t="shared" si="58"/>
        <v>BLOCK</v>
      </c>
      <c r="O411" s="22"/>
      <c r="Q411" s="14"/>
      <c r="R411" s="25">
        <f t="shared" si="53"/>
        <v>0</v>
      </c>
      <c r="S411" s="12">
        <v>0</v>
      </c>
    </row>
    <row r="412" spans="1:19">
      <c r="A412" s="14">
        <f>MAX($A$1:$A411)+1</f>
        <v>410</v>
      </c>
      <c r="B412" s="12" t="str">
        <f t="shared" si="59"/>
        <v>DIVER NAME</v>
      </c>
      <c r="C412" s="12" t="str">
        <f t="shared" si="59"/>
        <v>BUDDY NAME</v>
      </c>
      <c r="D412" s="12">
        <f t="shared" si="59"/>
        <v>0</v>
      </c>
      <c r="E412" s="14" t="str">
        <f>IF(ISERROR(VLOOKUP($D412,[1]SITES!$A:$E,2,FALSE)),"",VLOOKUP($D412,[1]SITES!$A:$E,2,FALSE))</f>
        <v/>
      </c>
      <c r="F412" s="15" t="str">
        <f>IF(ISERROR(VLOOKUP($D412,[1]SITES!$A:$E,3,FALSE)),"",VLOOKUP($D412,[1]SITES!$A:$E,3,FALSE))</f>
        <v/>
      </c>
      <c r="G412" s="16" t="str">
        <f>IF(ISERROR(VLOOKUP($D412,[1]SITES!$A:$E,4,FALSE)),"",VLOOKUP($D412,[1]SITES!$A:$E,4,FALSE))</f>
        <v/>
      </c>
      <c r="H412" s="26" t="str">
        <f t="shared" si="58"/>
        <v>DATE</v>
      </c>
      <c r="I412" s="12" t="str">
        <f t="shared" si="58"/>
        <v>VIS</v>
      </c>
      <c r="J412" s="12" t="str">
        <f t="shared" si="58"/>
        <v>DIRECTION</v>
      </c>
      <c r="K412" s="24" t="str">
        <f t="shared" si="58"/>
        <v>TIME</v>
      </c>
      <c r="L412" s="12" t="str">
        <f t="shared" si="58"/>
        <v>DEPTH</v>
      </c>
      <c r="M412" s="12" t="str">
        <f t="shared" si="58"/>
        <v>BLOCK</v>
      </c>
      <c r="O412" s="22"/>
      <c r="Q412" s="14"/>
      <c r="R412" s="25">
        <f t="shared" si="53"/>
        <v>0</v>
      </c>
      <c r="S412" s="12">
        <v>0</v>
      </c>
    </row>
    <row r="413" spans="1:19">
      <c r="A413" s="14">
        <f>MAX($A$1:$A412)+1</f>
        <v>411</v>
      </c>
      <c r="B413" s="12" t="str">
        <f t="shared" si="59"/>
        <v>DIVER NAME</v>
      </c>
      <c r="C413" s="12" t="str">
        <f t="shared" si="59"/>
        <v>BUDDY NAME</v>
      </c>
      <c r="D413" s="12">
        <f t="shared" si="59"/>
        <v>0</v>
      </c>
      <c r="E413" s="14" t="str">
        <f>IF(ISERROR(VLOOKUP($D413,[1]SITES!$A:$E,2,FALSE)),"",VLOOKUP($D413,[1]SITES!$A:$E,2,FALSE))</f>
        <v/>
      </c>
      <c r="F413" s="15" t="str">
        <f>IF(ISERROR(VLOOKUP($D413,[1]SITES!$A:$E,3,FALSE)),"",VLOOKUP($D413,[1]SITES!$A:$E,3,FALSE))</f>
        <v/>
      </c>
      <c r="G413" s="16" t="str">
        <f>IF(ISERROR(VLOOKUP($D413,[1]SITES!$A:$E,4,FALSE)),"",VLOOKUP($D413,[1]SITES!$A:$E,4,FALSE))</f>
        <v/>
      </c>
      <c r="H413" s="26" t="str">
        <f t="shared" si="58"/>
        <v>DATE</v>
      </c>
      <c r="I413" s="12" t="str">
        <f t="shared" si="58"/>
        <v>VIS</v>
      </c>
      <c r="J413" s="12" t="str">
        <f t="shared" si="58"/>
        <v>DIRECTION</v>
      </c>
      <c r="K413" s="24" t="str">
        <f t="shared" si="58"/>
        <v>TIME</v>
      </c>
      <c r="L413" s="12" t="str">
        <f t="shared" si="58"/>
        <v>DEPTH</v>
      </c>
      <c r="M413" s="12" t="str">
        <f t="shared" si="58"/>
        <v>BLOCK</v>
      </c>
      <c r="O413" s="22"/>
      <c r="Q413" s="14"/>
      <c r="R413" s="25">
        <f t="shared" si="53"/>
        <v>0</v>
      </c>
      <c r="S413" s="12">
        <v>0</v>
      </c>
    </row>
    <row r="414" spans="1:19">
      <c r="A414" s="14">
        <f>MAX($A$1:$A413)+1</f>
        <v>412</v>
      </c>
      <c r="B414" s="12" t="str">
        <f t="shared" si="59"/>
        <v>DIVER NAME</v>
      </c>
      <c r="C414" s="12" t="str">
        <f t="shared" si="59"/>
        <v>BUDDY NAME</v>
      </c>
      <c r="D414" s="12">
        <f t="shared" si="59"/>
        <v>0</v>
      </c>
      <c r="E414" s="14" t="str">
        <f>IF(ISERROR(VLOOKUP($D414,[1]SITES!$A:$E,2,FALSE)),"",VLOOKUP($D414,[1]SITES!$A:$E,2,FALSE))</f>
        <v/>
      </c>
      <c r="F414" s="15" t="str">
        <f>IF(ISERROR(VLOOKUP($D414,[1]SITES!$A:$E,3,FALSE)),"",VLOOKUP($D414,[1]SITES!$A:$E,3,FALSE))</f>
        <v/>
      </c>
      <c r="G414" s="16" t="str">
        <f>IF(ISERROR(VLOOKUP($D414,[1]SITES!$A:$E,4,FALSE)),"",VLOOKUP($D414,[1]SITES!$A:$E,4,FALSE))</f>
        <v/>
      </c>
      <c r="H414" s="26" t="str">
        <f t="shared" si="58"/>
        <v>DATE</v>
      </c>
      <c r="I414" s="12" t="str">
        <f t="shared" si="58"/>
        <v>VIS</v>
      </c>
      <c r="J414" s="12" t="str">
        <f t="shared" si="58"/>
        <v>DIRECTION</v>
      </c>
      <c r="K414" s="24" t="str">
        <f t="shared" si="58"/>
        <v>TIME</v>
      </c>
      <c r="L414" s="12" t="str">
        <f t="shared" si="58"/>
        <v>DEPTH</v>
      </c>
      <c r="M414" s="12" t="str">
        <f t="shared" si="58"/>
        <v>BLOCK</v>
      </c>
      <c r="O414" s="22"/>
      <c r="Q414" s="14"/>
      <c r="R414" s="25">
        <f t="shared" si="53"/>
        <v>0</v>
      </c>
      <c r="S414" s="12">
        <v>0</v>
      </c>
    </row>
    <row r="415" spans="1:19">
      <c r="A415" s="14">
        <f>MAX($A$1:$A414)+1</f>
        <v>413</v>
      </c>
      <c r="B415" s="12" t="str">
        <f t="shared" si="59"/>
        <v>DIVER NAME</v>
      </c>
      <c r="C415" s="12" t="str">
        <f t="shared" si="59"/>
        <v>BUDDY NAME</v>
      </c>
      <c r="D415" s="12">
        <f t="shared" si="59"/>
        <v>0</v>
      </c>
      <c r="E415" s="14" t="str">
        <f>IF(ISERROR(VLOOKUP($D415,[1]SITES!$A:$E,2,FALSE)),"",VLOOKUP($D415,[1]SITES!$A:$E,2,FALSE))</f>
        <v/>
      </c>
      <c r="F415" s="15" t="str">
        <f>IF(ISERROR(VLOOKUP($D415,[1]SITES!$A:$E,3,FALSE)),"",VLOOKUP($D415,[1]SITES!$A:$E,3,FALSE))</f>
        <v/>
      </c>
      <c r="G415" s="16" t="str">
        <f>IF(ISERROR(VLOOKUP($D415,[1]SITES!$A:$E,4,FALSE)),"",VLOOKUP($D415,[1]SITES!$A:$E,4,FALSE))</f>
        <v/>
      </c>
      <c r="H415" s="26" t="str">
        <f t="shared" si="58"/>
        <v>DATE</v>
      </c>
      <c r="I415" s="12" t="str">
        <f t="shared" si="58"/>
        <v>VIS</v>
      </c>
      <c r="J415" s="12" t="str">
        <f t="shared" si="58"/>
        <v>DIRECTION</v>
      </c>
      <c r="K415" s="24" t="str">
        <f t="shared" si="58"/>
        <v>TIME</v>
      </c>
      <c r="L415" s="12" t="str">
        <f t="shared" si="58"/>
        <v>DEPTH</v>
      </c>
      <c r="M415" s="12" t="str">
        <f t="shared" si="58"/>
        <v>BLOCK</v>
      </c>
      <c r="O415" s="22"/>
      <c r="Q415" s="14"/>
      <c r="R415" s="25">
        <f t="shared" si="53"/>
        <v>0</v>
      </c>
      <c r="S415" s="12">
        <v>0</v>
      </c>
    </row>
    <row r="416" spans="1:19">
      <c r="A416" s="14">
        <f>MAX($A$1:$A415)+1</f>
        <v>414</v>
      </c>
      <c r="B416" s="12" t="str">
        <f t="shared" si="59"/>
        <v>DIVER NAME</v>
      </c>
      <c r="C416" s="12" t="str">
        <f t="shared" si="59"/>
        <v>BUDDY NAME</v>
      </c>
      <c r="D416" s="12">
        <f t="shared" si="59"/>
        <v>0</v>
      </c>
      <c r="E416" s="14" t="str">
        <f>IF(ISERROR(VLOOKUP($D416,[1]SITES!$A:$E,2,FALSE)),"",VLOOKUP($D416,[1]SITES!$A:$E,2,FALSE))</f>
        <v/>
      </c>
      <c r="F416" s="15" t="str">
        <f>IF(ISERROR(VLOOKUP($D416,[1]SITES!$A:$E,3,FALSE)),"",VLOOKUP($D416,[1]SITES!$A:$E,3,FALSE))</f>
        <v/>
      </c>
      <c r="G416" s="16" t="str">
        <f>IF(ISERROR(VLOOKUP($D416,[1]SITES!$A:$E,4,FALSE)),"",VLOOKUP($D416,[1]SITES!$A:$E,4,FALSE))</f>
        <v/>
      </c>
      <c r="H416" s="26" t="str">
        <f t="shared" si="58"/>
        <v>DATE</v>
      </c>
      <c r="I416" s="12" t="str">
        <f t="shared" si="58"/>
        <v>VIS</v>
      </c>
      <c r="J416" s="12" t="str">
        <f t="shared" si="58"/>
        <v>DIRECTION</v>
      </c>
      <c r="K416" s="24" t="str">
        <f t="shared" si="58"/>
        <v>TIME</v>
      </c>
      <c r="L416" s="12" t="str">
        <f t="shared" si="58"/>
        <v>DEPTH</v>
      </c>
      <c r="M416" s="12" t="str">
        <f t="shared" si="58"/>
        <v>BLOCK</v>
      </c>
      <c r="O416" s="22"/>
      <c r="Q416" s="14"/>
      <c r="R416" s="25">
        <f t="shared" si="53"/>
        <v>0</v>
      </c>
      <c r="S416" s="12">
        <v>0</v>
      </c>
    </row>
    <row r="417" spans="1:19">
      <c r="A417" s="14">
        <f>MAX($A$1:$A416)+1</f>
        <v>415</v>
      </c>
      <c r="B417" s="12" t="str">
        <f t="shared" si="59"/>
        <v>DIVER NAME</v>
      </c>
      <c r="C417" s="12" t="str">
        <f t="shared" si="59"/>
        <v>BUDDY NAME</v>
      </c>
      <c r="D417" s="12">
        <f t="shared" si="59"/>
        <v>0</v>
      </c>
      <c r="E417" s="14" t="str">
        <f>IF(ISERROR(VLOOKUP($D417,[1]SITES!$A:$E,2,FALSE)),"",VLOOKUP($D417,[1]SITES!$A:$E,2,FALSE))</f>
        <v/>
      </c>
      <c r="F417" s="15" t="str">
        <f>IF(ISERROR(VLOOKUP($D417,[1]SITES!$A:$E,3,FALSE)),"",VLOOKUP($D417,[1]SITES!$A:$E,3,FALSE))</f>
        <v/>
      </c>
      <c r="G417" s="16" t="str">
        <f>IF(ISERROR(VLOOKUP($D417,[1]SITES!$A:$E,4,FALSE)),"",VLOOKUP($D417,[1]SITES!$A:$E,4,FALSE))</f>
        <v/>
      </c>
      <c r="H417" s="26" t="str">
        <f t="shared" si="58"/>
        <v>DATE</v>
      </c>
      <c r="I417" s="12" t="str">
        <f t="shared" si="58"/>
        <v>VIS</v>
      </c>
      <c r="J417" s="12" t="str">
        <f t="shared" si="58"/>
        <v>DIRECTION</v>
      </c>
      <c r="K417" s="24" t="str">
        <f t="shared" si="58"/>
        <v>TIME</v>
      </c>
      <c r="L417" s="12" t="str">
        <f t="shared" si="58"/>
        <v>DEPTH</v>
      </c>
      <c r="M417" s="12" t="str">
        <f t="shared" si="58"/>
        <v>BLOCK</v>
      </c>
      <c r="O417" s="22"/>
      <c r="Q417" s="14"/>
      <c r="R417" s="25">
        <f t="shared" si="53"/>
        <v>0</v>
      </c>
      <c r="S417" s="12">
        <v>0</v>
      </c>
    </row>
    <row r="418" spans="1:19">
      <c r="A418" s="14">
        <f>MAX($A$1:$A417)+1</f>
        <v>416</v>
      </c>
      <c r="B418" s="12" t="str">
        <f t="shared" si="59"/>
        <v>DIVER NAME</v>
      </c>
      <c r="C418" s="12" t="str">
        <f t="shared" si="59"/>
        <v>BUDDY NAME</v>
      </c>
      <c r="D418" s="12">
        <f t="shared" si="59"/>
        <v>0</v>
      </c>
      <c r="E418" s="14" t="str">
        <f>IF(ISERROR(VLOOKUP($D418,[1]SITES!$A:$E,2,FALSE)),"",VLOOKUP($D418,[1]SITES!$A:$E,2,FALSE))</f>
        <v/>
      </c>
      <c r="F418" s="15" t="str">
        <f>IF(ISERROR(VLOOKUP($D418,[1]SITES!$A:$E,3,FALSE)),"",VLOOKUP($D418,[1]SITES!$A:$E,3,FALSE))</f>
        <v/>
      </c>
      <c r="G418" s="16" t="str">
        <f>IF(ISERROR(VLOOKUP($D418,[1]SITES!$A:$E,4,FALSE)),"",VLOOKUP($D418,[1]SITES!$A:$E,4,FALSE))</f>
        <v/>
      </c>
      <c r="H418" s="26" t="str">
        <f t="shared" si="58"/>
        <v>DATE</v>
      </c>
      <c r="I418" s="12" t="str">
        <f t="shared" si="58"/>
        <v>VIS</v>
      </c>
      <c r="J418" s="12" t="str">
        <f t="shared" si="58"/>
        <v>DIRECTION</v>
      </c>
      <c r="K418" s="24" t="str">
        <f t="shared" si="58"/>
        <v>TIME</v>
      </c>
      <c r="L418" s="12" t="str">
        <f t="shared" si="58"/>
        <v>DEPTH</v>
      </c>
      <c r="M418" s="12" t="str">
        <f t="shared" si="58"/>
        <v>BLOCK</v>
      </c>
      <c r="O418" s="22"/>
      <c r="Q418" s="14"/>
      <c r="R418" s="25">
        <f t="shared" si="53"/>
        <v>0</v>
      </c>
      <c r="S418" s="12">
        <v>0</v>
      </c>
    </row>
    <row r="419" spans="1:19">
      <c r="A419" s="14">
        <f>MAX($A$1:$A418)+1</f>
        <v>417</v>
      </c>
      <c r="B419" s="12" t="str">
        <f t="shared" si="59"/>
        <v>DIVER NAME</v>
      </c>
      <c r="C419" s="12" t="str">
        <f t="shared" si="59"/>
        <v>BUDDY NAME</v>
      </c>
      <c r="D419" s="12">
        <f t="shared" si="59"/>
        <v>0</v>
      </c>
      <c r="E419" s="14" t="str">
        <f>IF(ISERROR(VLOOKUP($D419,[1]SITES!$A:$E,2,FALSE)),"",VLOOKUP($D419,[1]SITES!$A:$E,2,FALSE))</f>
        <v/>
      </c>
      <c r="F419" s="15" t="str">
        <f>IF(ISERROR(VLOOKUP($D419,[1]SITES!$A:$E,3,FALSE)),"",VLOOKUP($D419,[1]SITES!$A:$E,3,FALSE))</f>
        <v/>
      </c>
      <c r="G419" s="16" t="str">
        <f>IF(ISERROR(VLOOKUP($D419,[1]SITES!$A:$E,4,FALSE)),"",VLOOKUP($D419,[1]SITES!$A:$E,4,FALSE))</f>
        <v/>
      </c>
      <c r="H419" s="26" t="str">
        <f t="shared" si="58"/>
        <v>DATE</v>
      </c>
      <c r="I419" s="12" t="str">
        <f t="shared" si="58"/>
        <v>VIS</v>
      </c>
      <c r="J419" s="12" t="str">
        <f t="shared" si="58"/>
        <v>DIRECTION</v>
      </c>
      <c r="K419" s="24" t="str">
        <f t="shared" si="58"/>
        <v>TIME</v>
      </c>
      <c r="L419" s="12" t="str">
        <f t="shared" si="58"/>
        <v>DEPTH</v>
      </c>
      <c r="M419" s="12" t="str">
        <f t="shared" si="58"/>
        <v>BLOCK</v>
      </c>
      <c r="O419" s="22"/>
      <c r="Q419" s="14"/>
      <c r="R419" s="25">
        <f t="shared" si="53"/>
        <v>0</v>
      </c>
      <c r="S419" s="12">
        <v>0</v>
      </c>
    </row>
    <row r="420" spans="1:19">
      <c r="A420" s="14">
        <f>MAX($A$1:$A419)+1</f>
        <v>418</v>
      </c>
      <c r="B420" s="12" t="str">
        <f t="shared" si="59"/>
        <v>DIVER NAME</v>
      </c>
      <c r="C420" s="12" t="str">
        <f t="shared" si="59"/>
        <v>BUDDY NAME</v>
      </c>
      <c r="D420" s="12">
        <f t="shared" si="59"/>
        <v>0</v>
      </c>
      <c r="E420" s="14" t="str">
        <f>IF(ISERROR(VLOOKUP($D420,[1]SITES!$A:$E,2,FALSE)),"",VLOOKUP($D420,[1]SITES!$A:$E,2,FALSE))</f>
        <v/>
      </c>
      <c r="F420" s="15" t="str">
        <f>IF(ISERROR(VLOOKUP($D420,[1]SITES!$A:$E,3,FALSE)),"",VLOOKUP($D420,[1]SITES!$A:$E,3,FALSE))</f>
        <v/>
      </c>
      <c r="G420" s="16" t="str">
        <f>IF(ISERROR(VLOOKUP($D420,[1]SITES!$A:$E,4,FALSE)),"",VLOOKUP($D420,[1]SITES!$A:$E,4,FALSE))</f>
        <v/>
      </c>
      <c r="H420" s="26" t="str">
        <f t="shared" ref="H420:M435" si="60">IF(ISERROR(H419),IF(ISERROR(H418),IF(ISERROR(H417),"BLANK",H417),H418),H419)</f>
        <v>DATE</v>
      </c>
      <c r="I420" s="12" t="str">
        <f t="shared" si="60"/>
        <v>VIS</v>
      </c>
      <c r="J420" s="12" t="str">
        <f t="shared" si="60"/>
        <v>DIRECTION</v>
      </c>
      <c r="K420" s="24" t="str">
        <f t="shared" si="60"/>
        <v>TIME</v>
      </c>
      <c r="L420" s="12" t="str">
        <f t="shared" si="60"/>
        <v>DEPTH</v>
      </c>
      <c r="M420" s="12" t="str">
        <f t="shared" si="60"/>
        <v>BLOCK</v>
      </c>
      <c r="O420" s="22"/>
      <c r="Q420" s="14"/>
      <c r="R420" s="25">
        <f t="shared" si="53"/>
        <v>0</v>
      </c>
      <c r="S420" s="12">
        <v>0</v>
      </c>
    </row>
    <row r="421" spans="1:19">
      <c r="A421" s="14">
        <f>MAX($A$1:$A420)+1</f>
        <v>419</v>
      </c>
      <c r="B421" s="12" t="str">
        <f t="shared" ref="B421:D436" si="61">IF(ISERROR(B420),IF(ISERROR(B419),IF(ISERROR(B418),"BLANK",B418),B419),B420)</f>
        <v>DIVER NAME</v>
      </c>
      <c r="C421" s="12" t="str">
        <f t="shared" si="61"/>
        <v>BUDDY NAME</v>
      </c>
      <c r="D421" s="12">
        <f t="shared" si="61"/>
        <v>0</v>
      </c>
      <c r="E421" s="14" t="str">
        <f>IF(ISERROR(VLOOKUP($D421,[1]SITES!$A:$E,2,FALSE)),"",VLOOKUP($D421,[1]SITES!$A:$E,2,FALSE))</f>
        <v/>
      </c>
      <c r="F421" s="15" t="str">
        <f>IF(ISERROR(VLOOKUP($D421,[1]SITES!$A:$E,3,FALSE)),"",VLOOKUP($D421,[1]SITES!$A:$E,3,FALSE))</f>
        <v/>
      </c>
      <c r="G421" s="16" t="str">
        <f>IF(ISERROR(VLOOKUP($D421,[1]SITES!$A:$E,4,FALSE)),"",VLOOKUP($D421,[1]SITES!$A:$E,4,FALSE))</f>
        <v/>
      </c>
      <c r="H421" s="26" t="str">
        <f t="shared" si="60"/>
        <v>DATE</v>
      </c>
      <c r="I421" s="12" t="str">
        <f t="shared" si="60"/>
        <v>VIS</v>
      </c>
      <c r="J421" s="12" t="str">
        <f t="shared" si="60"/>
        <v>DIRECTION</v>
      </c>
      <c r="K421" s="24" t="str">
        <f t="shared" si="60"/>
        <v>TIME</v>
      </c>
      <c r="L421" s="12" t="str">
        <f t="shared" si="60"/>
        <v>DEPTH</v>
      </c>
      <c r="M421" s="12" t="str">
        <f t="shared" si="60"/>
        <v>BLOCK</v>
      </c>
      <c r="O421" s="22"/>
      <c r="Q421" s="14"/>
      <c r="R421" s="25">
        <f t="shared" ref="R421:R468" si="62">SUM(S421:AU421)</f>
        <v>0</v>
      </c>
      <c r="S421" s="12">
        <v>0</v>
      </c>
    </row>
    <row r="422" spans="1:19">
      <c r="A422" s="14">
        <f>MAX($A$1:$A421)+1</f>
        <v>420</v>
      </c>
      <c r="B422" s="12" t="str">
        <f t="shared" si="61"/>
        <v>DIVER NAME</v>
      </c>
      <c r="C422" s="12" t="str">
        <f t="shared" si="61"/>
        <v>BUDDY NAME</v>
      </c>
      <c r="D422" s="12">
        <f t="shared" si="61"/>
        <v>0</v>
      </c>
      <c r="E422" s="14" t="str">
        <f>IF(ISERROR(VLOOKUP($D422,[1]SITES!$A:$E,2,FALSE)),"",VLOOKUP($D422,[1]SITES!$A:$E,2,FALSE))</f>
        <v/>
      </c>
      <c r="F422" s="15" t="str">
        <f>IF(ISERROR(VLOOKUP($D422,[1]SITES!$A:$E,3,FALSE)),"",VLOOKUP($D422,[1]SITES!$A:$E,3,FALSE))</f>
        <v/>
      </c>
      <c r="G422" s="16" t="str">
        <f>IF(ISERROR(VLOOKUP($D422,[1]SITES!$A:$E,4,FALSE)),"",VLOOKUP($D422,[1]SITES!$A:$E,4,FALSE))</f>
        <v/>
      </c>
      <c r="H422" s="26" t="str">
        <f t="shared" si="60"/>
        <v>DATE</v>
      </c>
      <c r="I422" s="12" t="str">
        <f t="shared" si="60"/>
        <v>VIS</v>
      </c>
      <c r="J422" s="12" t="str">
        <f t="shared" si="60"/>
        <v>DIRECTION</v>
      </c>
      <c r="K422" s="24" t="str">
        <f t="shared" si="60"/>
        <v>TIME</v>
      </c>
      <c r="L422" s="12" t="str">
        <f t="shared" si="60"/>
        <v>DEPTH</v>
      </c>
      <c r="M422" s="12" t="str">
        <f t="shared" si="60"/>
        <v>BLOCK</v>
      </c>
      <c r="O422" s="22"/>
      <c r="Q422" s="14"/>
      <c r="R422" s="25">
        <f t="shared" si="62"/>
        <v>0</v>
      </c>
      <c r="S422" s="12">
        <v>0</v>
      </c>
    </row>
    <row r="423" spans="1:19">
      <c r="A423" s="14">
        <f>MAX($A$1:$A422)+1</f>
        <v>421</v>
      </c>
      <c r="B423" s="12" t="str">
        <f t="shared" si="61"/>
        <v>DIVER NAME</v>
      </c>
      <c r="C423" s="12" t="str">
        <f t="shared" si="61"/>
        <v>BUDDY NAME</v>
      </c>
      <c r="D423" s="12">
        <f t="shared" si="61"/>
        <v>0</v>
      </c>
      <c r="E423" s="14" t="str">
        <f>IF(ISERROR(VLOOKUP($D423,[1]SITES!$A:$E,2,FALSE)),"",VLOOKUP($D423,[1]SITES!$A:$E,2,FALSE))</f>
        <v/>
      </c>
      <c r="F423" s="15" t="str">
        <f>IF(ISERROR(VLOOKUP($D423,[1]SITES!$A:$E,3,FALSE)),"",VLOOKUP($D423,[1]SITES!$A:$E,3,FALSE))</f>
        <v/>
      </c>
      <c r="G423" s="16" t="str">
        <f>IF(ISERROR(VLOOKUP($D423,[1]SITES!$A:$E,4,FALSE)),"",VLOOKUP($D423,[1]SITES!$A:$E,4,FALSE))</f>
        <v/>
      </c>
      <c r="H423" s="26" t="str">
        <f t="shared" si="60"/>
        <v>DATE</v>
      </c>
      <c r="I423" s="12" t="str">
        <f t="shared" si="60"/>
        <v>VIS</v>
      </c>
      <c r="J423" s="12" t="str">
        <f t="shared" si="60"/>
        <v>DIRECTION</v>
      </c>
      <c r="K423" s="24" t="str">
        <f t="shared" si="60"/>
        <v>TIME</v>
      </c>
      <c r="L423" s="12" t="str">
        <f t="shared" si="60"/>
        <v>DEPTH</v>
      </c>
      <c r="M423" s="12" t="str">
        <f t="shared" si="60"/>
        <v>BLOCK</v>
      </c>
      <c r="O423" s="22"/>
      <c r="Q423" s="14"/>
      <c r="R423" s="25">
        <f t="shared" si="62"/>
        <v>0</v>
      </c>
      <c r="S423" s="12">
        <v>0</v>
      </c>
    </row>
    <row r="424" spans="1:19">
      <c r="A424" s="14">
        <f>MAX($A$1:$A423)+1</f>
        <v>422</v>
      </c>
      <c r="B424" s="12" t="str">
        <f t="shared" si="61"/>
        <v>DIVER NAME</v>
      </c>
      <c r="C424" s="12" t="str">
        <f t="shared" si="61"/>
        <v>BUDDY NAME</v>
      </c>
      <c r="D424" s="12">
        <f t="shared" si="61"/>
        <v>0</v>
      </c>
      <c r="E424" s="14" t="str">
        <f>IF(ISERROR(VLOOKUP($D424,[1]SITES!$A:$E,2,FALSE)),"",VLOOKUP($D424,[1]SITES!$A:$E,2,FALSE))</f>
        <v/>
      </c>
      <c r="F424" s="15" t="str">
        <f>IF(ISERROR(VLOOKUP($D424,[1]SITES!$A:$E,3,FALSE)),"",VLOOKUP($D424,[1]SITES!$A:$E,3,FALSE))</f>
        <v/>
      </c>
      <c r="G424" s="16" t="str">
        <f>IF(ISERROR(VLOOKUP($D424,[1]SITES!$A:$E,4,FALSE)),"",VLOOKUP($D424,[1]SITES!$A:$E,4,FALSE))</f>
        <v/>
      </c>
      <c r="H424" s="26" t="str">
        <f t="shared" si="60"/>
        <v>DATE</v>
      </c>
      <c r="I424" s="12" t="str">
        <f t="shared" si="60"/>
        <v>VIS</v>
      </c>
      <c r="J424" s="12" t="str">
        <f t="shared" si="60"/>
        <v>DIRECTION</v>
      </c>
      <c r="K424" s="24" t="str">
        <f t="shared" si="60"/>
        <v>TIME</v>
      </c>
      <c r="L424" s="12" t="str">
        <f t="shared" si="60"/>
        <v>DEPTH</v>
      </c>
      <c r="M424" s="12" t="str">
        <f t="shared" si="60"/>
        <v>BLOCK</v>
      </c>
      <c r="O424" s="22"/>
      <c r="Q424" s="14"/>
      <c r="R424" s="25">
        <f t="shared" si="62"/>
        <v>0</v>
      </c>
      <c r="S424" s="12">
        <v>0</v>
      </c>
    </row>
    <row r="425" spans="1:19">
      <c r="A425" s="14">
        <f>MAX($A$1:$A424)+1</f>
        <v>423</v>
      </c>
      <c r="B425" s="12" t="str">
        <f t="shared" si="61"/>
        <v>DIVER NAME</v>
      </c>
      <c r="C425" s="12" t="str">
        <f t="shared" si="61"/>
        <v>BUDDY NAME</v>
      </c>
      <c r="D425" s="12">
        <f t="shared" si="61"/>
        <v>0</v>
      </c>
      <c r="E425" s="14" t="str">
        <f>IF(ISERROR(VLOOKUP($D425,[1]SITES!$A:$E,2,FALSE)),"",VLOOKUP($D425,[1]SITES!$A:$E,2,FALSE))</f>
        <v/>
      </c>
      <c r="F425" s="15" t="str">
        <f>IF(ISERROR(VLOOKUP($D425,[1]SITES!$A:$E,3,FALSE)),"",VLOOKUP($D425,[1]SITES!$A:$E,3,FALSE))</f>
        <v/>
      </c>
      <c r="G425" s="16" t="str">
        <f>IF(ISERROR(VLOOKUP($D425,[1]SITES!$A:$E,4,FALSE)),"",VLOOKUP($D425,[1]SITES!$A:$E,4,FALSE))</f>
        <v/>
      </c>
      <c r="H425" s="26" t="str">
        <f t="shared" si="60"/>
        <v>DATE</v>
      </c>
      <c r="I425" s="12" t="str">
        <f t="shared" si="60"/>
        <v>VIS</v>
      </c>
      <c r="J425" s="12" t="str">
        <f t="shared" si="60"/>
        <v>DIRECTION</v>
      </c>
      <c r="K425" s="24" t="str">
        <f t="shared" si="60"/>
        <v>TIME</v>
      </c>
      <c r="L425" s="12" t="str">
        <f t="shared" si="60"/>
        <v>DEPTH</v>
      </c>
      <c r="M425" s="12" t="str">
        <f t="shared" si="60"/>
        <v>BLOCK</v>
      </c>
      <c r="O425" s="22"/>
      <c r="Q425" s="14"/>
      <c r="R425" s="25">
        <f t="shared" si="62"/>
        <v>0</v>
      </c>
      <c r="S425" s="12">
        <v>0</v>
      </c>
    </row>
    <row r="426" spans="1:19">
      <c r="A426" s="14">
        <f>MAX($A$1:$A425)+1</f>
        <v>424</v>
      </c>
      <c r="B426" s="12" t="str">
        <f t="shared" si="61"/>
        <v>DIVER NAME</v>
      </c>
      <c r="C426" s="12" t="str">
        <f t="shared" si="61"/>
        <v>BUDDY NAME</v>
      </c>
      <c r="D426" s="12">
        <f t="shared" si="61"/>
        <v>0</v>
      </c>
      <c r="E426" s="14" t="str">
        <f>IF(ISERROR(VLOOKUP($D426,[1]SITES!$A:$E,2,FALSE)),"",VLOOKUP($D426,[1]SITES!$A:$E,2,FALSE))</f>
        <v/>
      </c>
      <c r="F426" s="15" t="str">
        <f>IF(ISERROR(VLOOKUP($D426,[1]SITES!$A:$E,3,FALSE)),"",VLOOKUP($D426,[1]SITES!$A:$E,3,FALSE))</f>
        <v/>
      </c>
      <c r="G426" s="16" t="str">
        <f>IF(ISERROR(VLOOKUP($D426,[1]SITES!$A:$E,4,FALSE)),"",VLOOKUP($D426,[1]SITES!$A:$E,4,FALSE))</f>
        <v/>
      </c>
      <c r="H426" s="26" t="str">
        <f t="shared" si="60"/>
        <v>DATE</v>
      </c>
      <c r="I426" s="12" t="str">
        <f t="shared" si="60"/>
        <v>VIS</v>
      </c>
      <c r="J426" s="12" t="str">
        <f t="shared" si="60"/>
        <v>DIRECTION</v>
      </c>
      <c r="K426" s="24" t="str">
        <f t="shared" si="60"/>
        <v>TIME</v>
      </c>
      <c r="L426" s="12" t="str">
        <f t="shared" si="60"/>
        <v>DEPTH</v>
      </c>
      <c r="M426" s="12" t="str">
        <f t="shared" si="60"/>
        <v>BLOCK</v>
      </c>
      <c r="O426" s="22"/>
      <c r="Q426" s="14"/>
      <c r="R426" s="25">
        <f t="shared" si="62"/>
        <v>0</v>
      </c>
      <c r="S426" s="12">
        <v>0</v>
      </c>
    </row>
    <row r="427" spans="1:19">
      <c r="A427" s="14">
        <f>MAX($A$1:$A426)+1</f>
        <v>425</v>
      </c>
      <c r="B427" s="12" t="str">
        <f t="shared" si="61"/>
        <v>DIVER NAME</v>
      </c>
      <c r="C427" s="12" t="str">
        <f t="shared" si="61"/>
        <v>BUDDY NAME</v>
      </c>
      <c r="D427" s="12">
        <f t="shared" si="61"/>
        <v>0</v>
      </c>
      <c r="E427" s="14" t="str">
        <f>IF(ISERROR(VLOOKUP($D427,[1]SITES!$A:$E,2,FALSE)),"",VLOOKUP($D427,[1]SITES!$A:$E,2,FALSE))</f>
        <v/>
      </c>
      <c r="F427" s="15" t="str">
        <f>IF(ISERROR(VLOOKUP($D427,[1]SITES!$A:$E,3,FALSE)),"",VLOOKUP($D427,[1]SITES!$A:$E,3,FALSE))</f>
        <v/>
      </c>
      <c r="G427" s="16" t="str">
        <f>IF(ISERROR(VLOOKUP($D427,[1]SITES!$A:$E,4,FALSE)),"",VLOOKUP($D427,[1]SITES!$A:$E,4,FALSE))</f>
        <v/>
      </c>
      <c r="H427" s="26" t="str">
        <f t="shared" si="60"/>
        <v>DATE</v>
      </c>
      <c r="I427" s="12" t="str">
        <f t="shared" si="60"/>
        <v>VIS</v>
      </c>
      <c r="J427" s="12" t="str">
        <f t="shared" si="60"/>
        <v>DIRECTION</v>
      </c>
      <c r="K427" s="24" t="str">
        <f t="shared" si="60"/>
        <v>TIME</v>
      </c>
      <c r="L427" s="12" t="str">
        <f t="shared" si="60"/>
        <v>DEPTH</v>
      </c>
      <c r="M427" s="12" t="str">
        <f t="shared" si="60"/>
        <v>BLOCK</v>
      </c>
      <c r="O427" s="22"/>
      <c r="Q427" s="14"/>
      <c r="R427" s="25">
        <f t="shared" si="62"/>
        <v>0</v>
      </c>
      <c r="S427" s="12">
        <v>0</v>
      </c>
    </row>
    <row r="428" spans="1:19">
      <c r="A428" s="14">
        <f>MAX($A$1:$A427)+1</f>
        <v>426</v>
      </c>
      <c r="B428" s="12" t="str">
        <f t="shared" si="61"/>
        <v>DIVER NAME</v>
      </c>
      <c r="C428" s="12" t="str">
        <f t="shared" si="61"/>
        <v>BUDDY NAME</v>
      </c>
      <c r="D428" s="12">
        <f t="shared" si="61"/>
        <v>0</v>
      </c>
      <c r="E428" s="14" t="str">
        <f>IF(ISERROR(VLOOKUP($D428,[1]SITES!$A:$E,2,FALSE)),"",VLOOKUP($D428,[1]SITES!$A:$E,2,FALSE))</f>
        <v/>
      </c>
      <c r="F428" s="15" t="str">
        <f>IF(ISERROR(VLOOKUP($D428,[1]SITES!$A:$E,3,FALSE)),"",VLOOKUP($D428,[1]SITES!$A:$E,3,FALSE))</f>
        <v/>
      </c>
      <c r="G428" s="16" t="str">
        <f>IF(ISERROR(VLOOKUP($D428,[1]SITES!$A:$E,4,FALSE)),"",VLOOKUP($D428,[1]SITES!$A:$E,4,FALSE))</f>
        <v/>
      </c>
      <c r="H428" s="26" t="str">
        <f t="shared" si="60"/>
        <v>DATE</v>
      </c>
      <c r="I428" s="12" t="str">
        <f t="shared" si="60"/>
        <v>VIS</v>
      </c>
      <c r="J428" s="12" t="str">
        <f t="shared" si="60"/>
        <v>DIRECTION</v>
      </c>
      <c r="K428" s="24" t="str">
        <f t="shared" si="60"/>
        <v>TIME</v>
      </c>
      <c r="L428" s="12" t="str">
        <f t="shared" si="60"/>
        <v>DEPTH</v>
      </c>
      <c r="M428" s="12" t="str">
        <f t="shared" si="60"/>
        <v>BLOCK</v>
      </c>
      <c r="O428" s="22"/>
      <c r="Q428" s="14"/>
      <c r="R428" s="25">
        <f t="shared" si="62"/>
        <v>0</v>
      </c>
      <c r="S428" s="12">
        <v>0</v>
      </c>
    </row>
    <row r="429" spans="1:19">
      <c r="A429" s="14">
        <f>MAX($A$1:$A428)+1</f>
        <v>427</v>
      </c>
      <c r="B429" s="12" t="str">
        <f t="shared" si="61"/>
        <v>DIVER NAME</v>
      </c>
      <c r="C429" s="12" t="str">
        <f t="shared" si="61"/>
        <v>BUDDY NAME</v>
      </c>
      <c r="D429" s="12">
        <f t="shared" si="61"/>
        <v>0</v>
      </c>
      <c r="E429" s="14" t="str">
        <f>IF(ISERROR(VLOOKUP($D429,[1]SITES!$A:$E,2,FALSE)),"",VLOOKUP($D429,[1]SITES!$A:$E,2,FALSE))</f>
        <v/>
      </c>
      <c r="F429" s="15" t="str">
        <f>IF(ISERROR(VLOOKUP($D429,[1]SITES!$A:$E,3,FALSE)),"",VLOOKUP($D429,[1]SITES!$A:$E,3,FALSE))</f>
        <v/>
      </c>
      <c r="G429" s="16" t="str">
        <f>IF(ISERROR(VLOOKUP($D429,[1]SITES!$A:$E,4,FALSE)),"",VLOOKUP($D429,[1]SITES!$A:$E,4,FALSE))</f>
        <v/>
      </c>
      <c r="H429" s="26" t="str">
        <f t="shared" si="60"/>
        <v>DATE</v>
      </c>
      <c r="I429" s="12" t="str">
        <f t="shared" si="60"/>
        <v>VIS</v>
      </c>
      <c r="J429" s="12" t="str">
        <f t="shared" si="60"/>
        <v>DIRECTION</v>
      </c>
      <c r="K429" s="24" t="str">
        <f t="shared" si="60"/>
        <v>TIME</v>
      </c>
      <c r="L429" s="12" t="str">
        <f t="shared" si="60"/>
        <v>DEPTH</v>
      </c>
      <c r="M429" s="12" t="str">
        <f t="shared" si="60"/>
        <v>BLOCK</v>
      </c>
      <c r="O429" s="22"/>
      <c r="Q429" s="14"/>
      <c r="R429" s="25">
        <f t="shared" si="62"/>
        <v>0</v>
      </c>
      <c r="S429" s="12">
        <v>0</v>
      </c>
    </row>
    <row r="430" spans="1:19">
      <c r="A430" s="14">
        <f>MAX($A$1:$A429)+1</f>
        <v>428</v>
      </c>
      <c r="B430" s="12" t="str">
        <f t="shared" si="61"/>
        <v>DIVER NAME</v>
      </c>
      <c r="C430" s="12" t="str">
        <f t="shared" si="61"/>
        <v>BUDDY NAME</v>
      </c>
      <c r="D430" s="12">
        <f t="shared" si="61"/>
        <v>0</v>
      </c>
      <c r="E430" s="14" t="str">
        <f>IF(ISERROR(VLOOKUP($D430,[1]SITES!$A:$E,2,FALSE)),"",VLOOKUP($D430,[1]SITES!$A:$E,2,FALSE))</f>
        <v/>
      </c>
      <c r="F430" s="15" t="str">
        <f>IF(ISERROR(VLOOKUP($D430,[1]SITES!$A:$E,3,FALSE)),"",VLOOKUP($D430,[1]SITES!$A:$E,3,FALSE))</f>
        <v/>
      </c>
      <c r="G430" s="16" t="str">
        <f>IF(ISERROR(VLOOKUP($D430,[1]SITES!$A:$E,4,FALSE)),"",VLOOKUP($D430,[1]SITES!$A:$E,4,FALSE))</f>
        <v/>
      </c>
      <c r="H430" s="26" t="str">
        <f t="shared" si="60"/>
        <v>DATE</v>
      </c>
      <c r="I430" s="12" t="str">
        <f t="shared" si="60"/>
        <v>VIS</v>
      </c>
      <c r="J430" s="12" t="str">
        <f t="shared" si="60"/>
        <v>DIRECTION</v>
      </c>
      <c r="K430" s="24" t="str">
        <f t="shared" si="60"/>
        <v>TIME</v>
      </c>
      <c r="L430" s="12" t="str">
        <f t="shared" si="60"/>
        <v>DEPTH</v>
      </c>
      <c r="M430" s="12" t="str">
        <f t="shared" si="60"/>
        <v>BLOCK</v>
      </c>
      <c r="O430" s="22"/>
      <c r="Q430" s="14"/>
      <c r="R430" s="25">
        <f t="shared" si="62"/>
        <v>0</v>
      </c>
      <c r="S430" s="12">
        <v>0</v>
      </c>
    </row>
    <row r="431" spans="1:19">
      <c r="A431" s="14">
        <f>MAX($A$1:$A430)+1</f>
        <v>429</v>
      </c>
      <c r="B431" s="12" t="str">
        <f t="shared" si="61"/>
        <v>DIVER NAME</v>
      </c>
      <c r="C431" s="12" t="str">
        <f t="shared" si="61"/>
        <v>BUDDY NAME</v>
      </c>
      <c r="D431" s="12">
        <f t="shared" si="61"/>
        <v>0</v>
      </c>
      <c r="E431" s="14" t="str">
        <f>IF(ISERROR(VLOOKUP($D431,[1]SITES!$A:$E,2,FALSE)),"",VLOOKUP($D431,[1]SITES!$A:$E,2,FALSE))</f>
        <v/>
      </c>
      <c r="F431" s="15" t="str">
        <f>IF(ISERROR(VLOOKUP($D431,[1]SITES!$A:$E,3,FALSE)),"",VLOOKUP($D431,[1]SITES!$A:$E,3,FALSE))</f>
        <v/>
      </c>
      <c r="G431" s="16" t="str">
        <f>IF(ISERROR(VLOOKUP($D431,[1]SITES!$A:$E,4,FALSE)),"",VLOOKUP($D431,[1]SITES!$A:$E,4,FALSE))</f>
        <v/>
      </c>
      <c r="H431" s="26" t="str">
        <f t="shared" si="60"/>
        <v>DATE</v>
      </c>
      <c r="I431" s="12" t="str">
        <f t="shared" si="60"/>
        <v>VIS</v>
      </c>
      <c r="J431" s="12" t="str">
        <f t="shared" si="60"/>
        <v>DIRECTION</v>
      </c>
      <c r="K431" s="24" t="str">
        <f t="shared" si="60"/>
        <v>TIME</v>
      </c>
      <c r="L431" s="12" t="str">
        <f t="shared" si="60"/>
        <v>DEPTH</v>
      </c>
      <c r="M431" s="12" t="str">
        <f t="shared" si="60"/>
        <v>BLOCK</v>
      </c>
      <c r="O431" s="22"/>
      <c r="Q431" s="14"/>
      <c r="R431" s="25">
        <f t="shared" si="62"/>
        <v>0</v>
      </c>
      <c r="S431" s="12">
        <v>0</v>
      </c>
    </row>
    <row r="432" spans="1:19">
      <c r="A432" s="14">
        <f>MAX($A$1:$A431)+1</f>
        <v>430</v>
      </c>
      <c r="B432" s="12" t="str">
        <f t="shared" si="61"/>
        <v>DIVER NAME</v>
      </c>
      <c r="C432" s="12" t="str">
        <f t="shared" si="61"/>
        <v>BUDDY NAME</v>
      </c>
      <c r="D432" s="12">
        <f t="shared" si="61"/>
        <v>0</v>
      </c>
      <c r="E432" s="14" t="str">
        <f>IF(ISERROR(VLOOKUP($D432,[1]SITES!$A:$E,2,FALSE)),"",VLOOKUP($D432,[1]SITES!$A:$E,2,FALSE))</f>
        <v/>
      </c>
      <c r="F432" s="15" t="str">
        <f>IF(ISERROR(VLOOKUP($D432,[1]SITES!$A:$E,3,FALSE)),"",VLOOKUP($D432,[1]SITES!$A:$E,3,FALSE))</f>
        <v/>
      </c>
      <c r="G432" s="16" t="str">
        <f>IF(ISERROR(VLOOKUP($D432,[1]SITES!$A:$E,4,FALSE)),"",VLOOKUP($D432,[1]SITES!$A:$E,4,FALSE))</f>
        <v/>
      </c>
      <c r="H432" s="26" t="str">
        <f t="shared" si="60"/>
        <v>DATE</v>
      </c>
      <c r="I432" s="12" t="str">
        <f t="shared" si="60"/>
        <v>VIS</v>
      </c>
      <c r="J432" s="12" t="str">
        <f t="shared" si="60"/>
        <v>DIRECTION</v>
      </c>
      <c r="K432" s="24" t="str">
        <f t="shared" si="60"/>
        <v>TIME</v>
      </c>
      <c r="L432" s="12" t="str">
        <f t="shared" si="60"/>
        <v>DEPTH</v>
      </c>
      <c r="M432" s="12" t="str">
        <f t="shared" si="60"/>
        <v>BLOCK</v>
      </c>
      <c r="O432" s="22"/>
      <c r="Q432" s="14"/>
      <c r="R432" s="25">
        <f t="shared" si="62"/>
        <v>0</v>
      </c>
      <c r="S432" s="12">
        <v>0</v>
      </c>
    </row>
    <row r="433" spans="1:19">
      <c r="A433" s="14">
        <f>MAX($A$1:$A432)+1</f>
        <v>431</v>
      </c>
      <c r="B433" s="12" t="str">
        <f t="shared" si="61"/>
        <v>DIVER NAME</v>
      </c>
      <c r="C433" s="12" t="str">
        <f t="shared" si="61"/>
        <v>BUDDY NAME</v>
      </c>
      <c r="D433" s="12">
        <f t="shared" si="61"/>
        <v>0</v>
      </c>
      <c r="E433" s="14" t="str">
        <f>IF(ISERROR(VLOOKUP($D433,[1]SITES!$A:$E,2,FALSE)),"",VLOOKUP($D433,[1]SITES!$A:$E,2,FALSE))</f>
        <v/>
      </c>
      <c r="F433" s="15" t="str">
        <f>IF(ISERROR(VLOOKUP($D433,[1]SITES!$A:$E,3,FALSE)),"",VLOOKUP($D433,[1]SITES!$A:$E,3,FALSE))</f>
        <v/>
      </c>
      <c r="G433" s="16" t="str">
        <f>IF(ISERROR(VLOOKUP($D433,[1]SITES!$A:$E,4,FALSE)),"",VLOOKUP($D433,[1]SITES!$A:$E,4,FALSE))</f>
        <v/>
      </c>
      <c r="H433" s="26" t="str">
        <f t="shared" si="60"/>
        <v>DATE</v>
      </c>
      <c r="I433" s="12" t="str">
        <f t="shared" si="60"/>
        <v>VIS</v>
      </c>
      <c r="J433" s="12" t="str">
        <f t="shared" si="60"/>
        <v>DIRECTION</v>
      </c>
      <c r="K433" s="24" t="str">
        <f t="shared" si="60"/>
        <v>TIME</v>
      </c>
      <c r="L433" s="12" t="str">
        <f t="shared" si="60"/>
        <v>DEPTH</v>
      </c>
      <c r="M433" s="12" t="str">
        <f t="shared" si="60"/>
        <v>BLOCK</v>
      </c>
      <c r="O433" s="22"/>
      <c r="Q433" s="14"/>
      <c r="R433" s="25">
        <f t="shared" si="62"/>
        <v>0</v>
      </c>
      <c r="S433" s="12">
        <v>0</v>
      </c>
    </row>
    <row r="434" spans="1:19">
      <c r="A434" s="14">
        <f>MAX($A$1:$A433)+1</f>
        <v>432</v>
      </c>
      <c r="B434" s="12" t="str">
        <f t="shared" si="61"/>
        <v>DIVER NAME</v>
      </c>
      <c r="C434" s="12" t="str">
        <f t="shared" si="61"/>
        <v>BUDDY NAME</v>
      </c>
      <c r="D434" s="12">
        <f t="shared" si="61"/>
        <v>0</v>
      </c>
      <c r="E434" s="14" t="str">
        <f>IF(ISERROR(VLOOKUP($D434,[1]SITES!$A:$E,2,FALSE)),"",VLOOKUP($D434,[1]SITES!$A:$E,2,FALSE))</f>
        <v/>
      </c>
      <c r="F434" s="15" t="str">
        <f>IF(ISERROR(VLOOKUP($D434,[1]SITES!$A:$E,3,FALSE)),"",VLOOKUP($D434,[1]SITES!$A:$E,3,FALSE))</f>
        <v/>
      </c>
      <c r="G434" s="16" t="str">
        <f>IF(ISERROR(VLOOKUP($D434,[1]SITES!$A:$E,4,FALSE)),"",VLOOKUP($D434,[1]SITES!$A:$E,4,FALSE))</f>
        <v/>
      </c>
      <c r="H434" s="26" t="str">
        <f t="shared" si="60"/>
        <v>DATE</v>
      </c>
      <c r="I434" s="12" t="str">
        <f t="shared" si="60"/>
        <v>VIS</v>
      </c>
      <c r="J434" s="12" t="str">
        <f t="shared" si="60"/>
        <v>DIRECTION</v>
      </c>
      <c r="K434" s="24" t="str">
        <f t="shared" si="60"/>
        <v>TIME</v>
      </c>
      <c r="L434" s="12" t="str">
        <f t="shared" si="60"/>
        <v>DEPTH</v>
      </c>
      <c r="M434" s="12" t="str">
        <f t="shared" si="60"/>
        <v>BLOCK</v>
      </c>
      <c r="O434" s="22"/>
      <c r="Q434" s="14"/>
      <c r="R434" s="25">
        <f t="shared" si="62"/>
        <v>0</v>
      </c>
      <c r="S434" s="12">
        <v>0</v>
      </c>
    </row>
    <row r="435" spans="1:19">
      <c r="A435" s="14">
        <f>MAX($A$1:$A434)+1</f>
        <v>433</v>
      </c>
      <c r="B435" s="12" t="str">
        <f t="shared" si="61"/>
        <v>DIVER NAME</v>
      </c>
      <c r="C435" s="12" t="str">
        <f t="shared" si="61"/>
        <v>BUDDY NAME</v>
      </c>
      <c r="D435" s="12">
        <f t="shared" si="61"/>
        <v>0</v>
      </c>
      <c r="E435" s="14" t="str">
        <f>IF(ISERROR(VLOOKUP($D435,[1]SITES!$A:$E,2,FALSE)),"",VLOOKUP($D435,[1]SITES!$A:$E,2,FALSE))</f>
        <v/>
      </c>
      <c r="F435" s="15" t="str">
        <f>IF(ISERROR(VLOOKUP($D435,[1]SITES!$A:$E,3,FALSE)),"",VLOOKUP($D435,[1]SITES!$A:$E,3,FALSE))</f>
        <v/>
      </c>
      <c r="G435" s="16" t="str">
        <f>IF(ISERROR(VLOOKUP($D435,[1]SITES!$A:$E,4,FALSE)),"",VLOOKUP($D435,[1]SITES!$A:$E,4,FALSE))</f>
        <v/>
      </c>
      <c r="H435" s="26" t="str">
        <f t="shared" si="60"/>
        <v>DATE</v>
      </c>
      <c r="I435" s="12" t="str">
        <f t="shared" si="60"/>
        <v>VIS</v>
      </c>
      <c r="J435" s="12" t="str">
        <f t="shared" si="60"/>
        <v>DIRECTION</v>
      </c>
      <c r="K435" s="24" t="str">
        <f t="shared" si="60"/>
        <v>TIME</v>
      </c>
      <c r="L435" s="12" t="str">
        <f t="shared" si="60"/>
        <v>DEPTH</v>
      </c>
      <c r="M435" s="12" t="str">
        <f t="shared" si="60"/>
        <v>BLOCK</v>
      </c>
      <c r="O435" s="22"/>
      <c r="Q435" s="14"/>
      <c r="R435" s="25">
        <f t="shared" si="62"/>
        <v>0</v>
      </c>
      <c r="S435" s="12">
        <v>0</v>
      </c>
    </row>
    <row r="436" spans="1:19">
      <c r="A436" s="14">
        <f>MAX($A$1:$A435)+1</f>
        <v>434</v>
      </c>
      <c r="B436" s="12" t="str">
        <f t="shared" si="61"/>
        <v>DIVER NAME</v>
      </c>
      <c r="C436" s="12" t="str">
        <f t="shared" si="61"/>
        <v>BUDDY NAME</v>
      </c>
      <c r="D436" s="12">
        <f t="shared" si="61"/>
        <v>0</v>
      </c>
      <c r="E436" s="14" t="str">
        <f>IF(ISERROR(VLOOKUP($D436,[1]SITES!$A:$E,2,FALSE)),"",VLOOKUP($D436,[1]SITES!$A:$E,2,FALSE))</f>
        <v/>
      </c>
      <c r="F436" s="15" t="str">
        <f>IF(ISERROR(VLOOKUP($D436,[1]SITES!$A:$E,3,FALSE)),"",VLOOKUP($D436,[1]SITES!$A:$E,3,FALSE))</f>
        <v/>
      </c>
      <c r="G436" s="16" t="str">
        <f>IF(ISERROR(VLOOKUP($D436,[1]SITES!$A:$E,4,FALSE)),"",VLOOKUP($D436,[1]SITES!$A:$E,4,FALSE))</f>
        <v/>
      </c>
      <c r="H436" s="26" t="str">
        <f t="shared" ref="H436:M451" si="63">IF(ISERROR(H435),IF(ISERROR(H434),IF(ISERROR(H433),"BLANK",H433),H434),H435)</f>
        <v>DATE</v>
      </c>
      <c r="I436" s="12" t="str">
        <f t="shared" si="63"/>
        <v>VIS</v>
      </c>
      <c r="J436" s="12" t="str">
        <f t="shared" si="63"/>
        <v>DIRECTION</v>
      </c>
      <c r="K436" s="24" t="str">
        <f t="shared" si="63"/>
        <v>TIME</v>
      </c>
      <c r="L436" s="12" t="str">
        <f t="shared" si="63"/>
        <v>DEPTH</v>
      </c>
      <c r="M436" s="12" t="str">
        <f t="shared" si="63"/>
        <v>BLOCK</v>
      </c>
      <c r="O436" s="22"/>
      <c r="Q436" s="14"/>
      <c r="R436" s="25">
        <f t="shared" si="62"/>
        <v>0</v>
      </c>
      <c r="S436" s="12">
        <v>0</v>
      </c>
    </row>
    <row r="437" spans="1:19">
      <c r="A437" s="14">
        <f>MAX($A$1:$A436)+1</f>
        <v>435</v>
      </c>
      <c r="B437" s="12" t="str">
        <f t="shared" ref="B437:D452" si="64">IF(ISERROR(B436),IF(ISERROR(B435),IF(ISERROR(B434),"BLANK",B434),B435),B436)</f>
        <v>DIVER NAME</v>
      </c>
      <c r="C437" s="12" t="str">
        <f t="shared" si="64"/>
        <v>BUDDY NAME</v>
      </c>
      <c r="D437" s="12">
        <f t="shared" si="64"/>
        <v>0</v>
      </c>
      <c r="E437" s="14" t="str">
        <f>IF(ISERROR(VLOOKUP($D437,[1]SITES!$A:$E,2,FALSE)),"",VLOOKUP($D437,[1]SITES!$A:$E,2,FALSE))</f>
        <v/>
      </c>
      <c r="F437" s="15" t="str">
        <f>IF(ISERROR(VLOOKUP($D437,[1]SITES!$A:$E,3,FALSE)),"",VLOOKUP($D437,[1]SITES!$A:$E,3,FALSE))</f>
        <v/>
      </c>
      <c r="G437" s="16" t="str">
        <f>IF(ISERROR(VLOOKUP($D437,[1]SITES!$A:$E,4,FALSE)),"",VLOOKUP($D437,[1]SITES!$A:$E,4,FALSE))</f>
        <v/>
      </c>
      <c r="H437" s="26" t="str">
        <f t="shared" si="63"/>
        <v>DATE</v>
      </c>
      <c r="I437" s="12" t="str">
        <f t="shared" si="63"/>
        <v>VIS</v>
      </c>
      <c r="J437" s="12" t="str">
        <f t="shared" si="63"/>
        <v>DIRECTION</v>
      </c>
      <c r="K437" s="24" t="str">
        <f t="shared" si="63"/>
        <v>TIME</v>
      </c>
      <c r="L437" s="12" t="str">
        <f t="shared" si="63"/>
        <v>DEPTH</v>
      </c>
      <c r="M437" s="12" t="str">
        <f t="shared" si="63"/>
        <v>BLOCK</v>
      </c>
      <c r="O437" s="22"/>
      <c r="Q437" s="14"/>
      <c r="R437" s="25">
        <f t="shared" si="62"/>
        <v>0</v>
      </c>
      <c r="S437" s="12">
        <v>0</v>
      </c>
    </row>
    <row r="438" spans="1:19">
      <c r="A438" s="14">
        <f>MAX($A$1:$A437)+1</f>
        <v>436</v>
      </c>
      <c r="B438" s="12" t="str">
        <f t="shared" si="64"/>
        <v>DIVER NAME</v>
      </c>
      <c r="C438" s="12" t="str">
        <f t="shared" si="64"/>
        <v>BUDDY NAME</v>
      </c>
      <c r="D438" s="12">
        <f t="shared" si="64"/>
        <v>0</v>
      </c>
      <c r="E438" s="14" t="str">
        <f>IF(ISERROR(VLOOKUP($D438,[1]SITES!$A:$E,2,FALSE)),"",VLOOKUP($D438,[1]SITES!$A:$E,2,FALSE))</f>
        <v/>
      </c>
      <c r="F438" s="15" t="str">
        <f>IF(ISERROR(VLOOKUP($D438,[1]SITES!$A:$E,3,FALSE)),"",VLOOKUP($D438,[1]SITES!$A:$E,3,FALSE))</f>
        <v/>
      </c>
      <c r="G438" s="16" t="str">
        <f>IF(ISERROR(VLOOKUP($D438,[1]SITES!$A:$E,4,FALSE)),"",VLOOKUP($D438,[1]SITES!$A:$E,4,FALSE))</f>
        <v/>
      </c>
      <c r="H438" s="26" t="str">
        <f t="shared" si="63"/>
        <v>DATE</v>
      </c>
      <c r="I438" s="12" t="str">
        <f t="shared" si="63"/>
        <v>VIS</v>
      </c>
      <c r="J438" s="12" t="str">
        <f t="shared" si="63"/>
        <v>DIRECTION</v>
      </c>
      <c r="K438" s="24" t="str">
        <f t="shared" si="63"/>
        <v>TIME</v>
      </c>
      <c r="L438" s="12" t="str">
        <f t="shared" si="63"/>
        <v>DEPTH</v>
      </c>
      <c r="M438" s="12" t="str">
        <f t="shared" si="63"/>
        <v>BLOCK</v>
      </c>
      <c r="O438" s="22"/>
      <c r="Q438" s="14"/>
      <c r="R438" s="25">
        <f t="shared" si="62"/>
        <v>0</v>
      </c>
      <c r="S438" s="12">
        <v>0</v>
      </c>
    </row>
    <row r="439" spans="1:19">
      <c r="A439" s="14">
        <f>MAX($A$1:$A438)+1</f>
        <v>437</v>
      </c>
      <c r="B439" s="12" t="str">
        <f t="shared" si="64"/>
        <v>DIVER NAME</v>
      </c>
      <c r="C439" s="12" t="str">
        <f t="shared" si="64"/>
        <v>BUDDY NAME</v>
      </c>
      <c r="D439" s="12">
        <f t="shared" si="64"/>
        <v>0</v>
      </c>
      <c r="E439" s="14" t="str">
        <f>IF(ISERROR(VLOOKUP($D439,[1]SITES!$A:$E,2,FALSE)),"",VLOOKUP($D439,[1]SITES!$A:$E,2,FALSE))</f>
        <v/>
      </c>
      <c r="F439" s="15" t="str">
        <f>IF(ISERROR(VLOOKUP($D439,[1]SITES!$A:$E,3,FALSE)),"",VLOOKUP($D439,[1]SITES!$A:$E,3,FALSE))</f>
        <v/>
      </c>
      <c r="G439" s="16" t="str">
        <f>IF(ISERROR(VLOOKUP($D439,[1]SITES!$A:$E,4,FALSE)),"",VLOOKUP($D439,[1]SITES!$A:$E,4,FALSE))</f>
        <v/>
      </c>
      <c r="H439" s="26" t="str">
        <f t="shared" si="63"/>
        <v>DATE</v>
      </c>
      <c r="I439" s="12" t="str">
        <f t="shared" si="63"/>
        <v>VIS</v>
      </c>
      <c r="J439" s="12" t="str">
        <f t="shared" si="63"/>
        <v>DIRECTION</v>
      </c>
      <c r="K439" s="24" t="str">
        <f t="shared" si="63"/>
        <v>TIME</v>
      </c>
      <c r="L439" s="12" t="str">
        <f t="shared" si="63"/>
        <v>DEPTH</v>
      </c>
      <c r="M439" s="12" t="str">
        <f t="shared" si="63"/>
        <v>BLOCK</v>
      </c>
      <c r="O439" s="22"/>
      <c r="Q439" s="14"/>
      <c r="R439" s="25">
        <f t="shared" si="62"/>
        <v>0</v>
      </c>
      <c r="S439" s="12">
        <v>0</v>
      </c>
    </row>
    <row r="440" spans="1:19">
      <c r="A440" s="14">
        <f>MAX($A$1:$A439)+1</f>
        <v>438</v>
      </c>
      <c r="B440" s="12" t="str">
        <f t="shared" si="64"/>
        <v>DIVER NAME</v>
      </c>
      <c r="C440" s="12" t="str">
        <f t="shared" si="64"/>
        <v>BUDDY NAME</v>
      </c>
      <c r="D440" s="12">
        <f t="shared" si="64"/>
        <v>0</v>
      </c>
      <c r="E440" s="14" t="str">
        <f>IF(ISERROR(VLOOKUP($D440,[1]SITES!$A:$E,2,FALSE)),"",VLOOKUP($D440,[1]SITES!$A:$E,2,FALSE))</f>
        <v/>
      </c>
      <c r="F440" s="15" t="str">
        <f>IF(ISERROR(VLOOKUP($D440,[1]SITES!$A:$E,3,FALSE)),"",VLOOKUP($D440,[1]SITES!$A:$E,3,FALSE))</f>
        <v/>
      </c>
      <c r="G440" s="16" t="str">
        <f>IF(ISERROR(VLOOKUP($D440,[1]SITES!$A:$E,4,FALSE)),"",VLOOKUP($D440,[1]SITES!$A:$E,4,FALSE))</f>
        <v/>
      </c>
      <c r="H440" s="26" t="str">
        <f t="shared" si="63"/>
        <v>DATE</v>
      </c>
      <c r="I440" s="12" t="str">
        <f t="shared" si="63"/>
        <v>VIS</v>
      </c>
      <c r="J440" s="12" t="str">
        <f t="shared" si="63"/>
        <v>DIRECTION</v>
      </c>
      <c r="K440" s="24" t="str">
        <f t="shared" si="63"/>
        <v>TIME</v>
      </c>
      <c r="L440" s="12" t="str">
        <f t="shared" si="63"/>
        <v>DEPTH</v>
      </c>
      <c r="M440" s="12" t="str">
        <f t="shared" si="63"/>
        <v>BLOCK</v>
      </c>
      <c r="O440" s="22"/>
      <c r="Q440" s="14"/>
      <c r="R440" s="25">
        <f t="shared" si="62"/>
        <v>0</v>
      </c>
      <c r="S440" s="12">
        <v>0</v>
      </c>
    </row>
    <row r="441" spans="1:19">
      <c r="A441" s="14">
        <f>MAX($A$1:$A440)+1</f>
        <v>439</v>
      </c>
      <c r="B441" s="12" t="str">
        <f t="shared" si="64"/>
        <v>DIVER NAME</v>
      </c>
      <c r="C441" s="12" t="str">
        <f t="shared" si="64"/>
        <v>BUDDY NAME</v>
      </c>
      <c r="D441" s="12">
        <f t="shared" si="64"/>
        <v>0</v>
      </c>
      <c r="E441" s="14" t="str">
        <f>IF(ISERROR(VLOOKUP($D441,[1]SITES!$A:$E,2,FALSE)),"",VLOOKUP($D441,[1]SITES!$A:$E,2,FALSE))</f>
        <v/>
      </c>
      <c r="F441" s="15" t="str">
        <f>IF(ISERROR(VLOOKUP($D441,[1]SITES!$A:$E,3,FALSE)),"",VLOOKUP($D441,[1]SITES!$A:$E,3,FALSE))</f>
        <v/>
      </c>
      <c r="G441" s="16" t="str">
        <f>IF(ISERROR(VLOOKUP($D441,[1]SITES!$A:$E,4,FALSE)),"",VLOOKUP($D441,[1]SITES!$A:$E,4,FALSE))</f>
        <v/>
      </c>
      <c r="H441" s="26" t="str">
        <f t="shared" si="63"/>
        <v>DATE</v>
      </c>
      <c r="I441" s="12" t="str">
        <f t="shared" si="63"/>
        <v>VIS</v>
      </c>
      <c r="J441" s="12" t="str">
        <f t="shared" si="63"/>
        <v>DIRECTION</v>
      </c>
      <c r="K441" s="24" t="str">
        <f t="shared" si="63"/>
        <v>TIME</v>
      </c>
      <c r="L441" s="12" t="str">
        <f t="shared" si="63"/>
        <v>DEPTH</v>
      </c>
      <c r="M441" s="12" t="str">
        <f t="shared" si="63"/>
        <v>BLOCK</v>
      </c>
      <c r="O441" s="22"/>
      <c r="Q441" s="14"/>
      <c r="R441" s="25">
        <f t="shared" si="62"/>
        <v>0</v>
      </c>
      <c r="S441" s="12">
        <v>0</v>
      </c>
    </row>
    <row r="442" spans="1:19">
      <c r="A442" s="14">
        <f>MAX($A$1:$A441)+1</f>
        <v>440</v>
      </c>
      <c r="B442" s="12" t="str">
        <f t="shared" si="64"/>
        <v>DIVER NAME</v>
      </c>
      <c r="C442" s="12" t="str">
        <f t="shared" si="64"/>
        <v>BUDDY NAME</v>
      </c>
      <c r="D442" s="12">
        <f t="shared" si="64"/>
        <v>0</v>
      </c>
      <c r="E442" s="14" t="str">
        <f>IF(ISERROR(VLOOKUP($D442,[1]SITES!$A:$E,2,FALSE)),"",VLOOKUP($D442,[1]SITES!$A:$E,2,FALSE))</f>
        <v/>
      </c>
      <c r="F442" s="15" t="str">
        <f>IF(ISERROR(VLOOKUP($D442,[1]SITES!$A:$E,3,FALSE)),"",VLOOKUP($D442,[1]SITES!$A:$E,3,FALSE))</f>
        <v/>
      </c>
      <c r="G442" s="16" t="str">
        <f>IF(ISERROR(VLOOKUP($D442,[1]SITES!$A:$E,4,FALSE)),"",VLOOKUP($D442,[1]SITES!$A:$E,4,FALSE))</f>
        <v/>
      </c>
      <c r="H442" s="26" t="str">
        <f t="shared" si="63"/>
        <v>DATE</v>
      </c>
      <c r="I442" s="12" t="str">
        <f t="shared" si="63"/>
        <v>VIS</v>
      </c>
      <c r="J442" s="12" t="str">
        <f t="shared" si="63"/>
        <v>DIRECTION</v>
      </c>
      <c r="K442" s="24" t="str">
        <f t="shared" si="63"/>
        <v>TIME</v>
      </c>
      <c r="L442" s="12" t="str">
        <f t="shared" si="63"/>
        <v>DEPTH</v>
      </c>
      <c r="M442" s="12" t="str">
        <f t="shared" si="63"/>
        <v>BLOCK</v>
      </c>
      <c r="O442" s="22"/>
      <c r="Q442" s="14"/>
      <c r="R442" s="25">
        <f t="shared" si="62"/>
        <v>0</v>
      </c>
      <c r="S442" s="12">
        <v>0</v>
      </c>
    </row>
    <row r="443" spans="1:19">
      <c r="A443" s="14">
        <f>MAX($A$1:$A442)+1</f>
        <v>441</v>
      </c>
      <c r="B443" s="12" t="str">
        <f t="shared" si="64"/>
        <v>DIVER NAME</v>
      </c>
      <c r="C443" s="12" t="str">
        <f t="shared" si="64"/>
        <v>BUDDY NAME</v>
      </c>
      <c r="D443" s="12">
        <f t="shared" si="64"/>
        <v>0</v>
      </c>
      <c r="E443" s="14" t="str">
        <f>IF(ISERROR(VLOOKUP($D443,[1]SITES!$A:$E,2,FALSE)),"",VLOOKUP($D443,[1]SITES!$A:$E,2,FALSE))</f>
        <v/>
      </c>
      <c r="F443" s="15" t="str">
        <f>IF(ISERROR(VLOOKUP($D443,[1]SITES!$A:$E,3,FALSE)),"",VLOOKUP($D443,[1]SITES!$A:$E,3,FALSE))</f>
        <v/>
      </c>
      <c r="G443" s="16" t="str">
        <f>IF(ISERROR(VLOOKUP($D443,[1]SITES!$A:$E,4,FALSE)),"",VLOOKUP($D443,[1]SITES!$A:$E,4,FALSE))</f>
        <v/>
      </c>
      <c r="H443" s="26" t="str">
        <f t="shared" si="63"/>
        <v>DATE</v>
      </c>
      <c r="I443" s="12" t="str">
        <f t="shared" si="63"/>
        <v>VIS</v>
      </c>
      <c r="J443" s="12" t="str">
        <f t="shared" si="63"/>
        <v>DIRECTION</v>
      </c>
      <c r="K443" s="24" t="str">
        <f t="shared" si="63"/>
        <v>TIME</v>
      </c>
      <c r="L443" s="12" t="str">
        <f t="shared" si="63"/>
        <v>DEPTH</v>
      </c>
      <c r="M443" s="12" t="str">
        <f t="shared" si="63"/>
        <v>BLOCK</v>
      </c>
      <c r="O443" s="22"/>
      <c r="Q443" s="14"/>
      <c r="R443" s="25">
        <f t="shared" si="62"/>
        <v>0</v>
      </c>
      <c r="S443" s="12">
        <v>0</v>
      </c>
    </row>
    <row r="444" spans="1:19">
      <c r="A444" s="14">
        <f>MAX($A$1:$A443)+1</f>
        <v>442</v>
      </c>
      <c r="B444" s="12" t="str">
        <f t="shared" si="64"/>
        <v>DIVER NAME</v>
      </c>
      <c r="C444" s="12" t="str">
        <f t="shared" si="64"/>
        <v>BUDDY NAME</v>
      </c>
      <c r="D444" s="12">
        <f t="shared" si="64"/>
        <v>0</v>
      </c>
      <c r="E444" s="14" t="str">
        <f>IF(ISERROR(VLOOKUP($D444,[1]SITES!$A:$E,2,FALSE)),"",VLOOKUP($D444,[1]SITES!$A:$E,2,FALSE))</f>
        <v/>
      </c>
      <c r="F444" s="15" t="str">
        <f>IF(ISERROR(VLOOKUP($D444,[1]SITES!$A:$E,3,FALSE)),"",VLOOKUP($D444,[1]SITES!$A:$E,3,FALSE))</f>
        <v/>
      </c>
      <c r="G444" s="16" t="str">
        <f>IF(ISERROR(VLOOKUP($D444,[1]SITES!$A:$E,4,FALSE)),"",VLOOKUP($D444,[1]SITES!$A:$E,4,FALSE))</f>
        <v/>
      </c>
      <c r="H444" s="26" t="str">
        <f t="shared" si="63"/>
        <v>DATE</v>
      </c>
      <c r="I444" s="12" t="str">
        <f t="shared" si="63"/>
        <v>VIS</v>
      </c>
      <c r="J444" s="12" t="str">
        <f t="shared" si="63"/>
        <v>DIRECTION</v>
      </c>
      <c r="K444" s="24" t="str">
        <f t="shared" si="63"/>
        <v>TIME</v>
      </c>
      <c r="L444" s="12" t="str">
        <f t="shared" si="63"/>
        <v>DEPTH</v>
      </c>
      <c r="M444" s="12" t="str">
        <f t="shared" si="63"/>
        <v>BLOCK</v>
      </c>
      <c r="O444" s="22"/>
      <c r="Q444" s="14"/>
      <c r="R444" s="25">
        <f t="shared" si="62"/>
        <v>0</v>
      </c>
      <c r="S444" s="12">
        <v>0</v>
      </c>
    </row>
    <row r="445" spans="1:19">
      <c r="A445" s="14">
        <f>MAX($A$1:$A444)+1</f>
        <v>443</v>
      </c>
      <c r="B445" s="12" t="str">
        <f t="shared" si="64"/>
        <v>DIVER NAME</v>
      </c>
      <c r="C445" s="12" t="str">
        <f t="shared" si="64"/>
        <v>BUDDY NAME</v>
      </c>
      <c r="D445" s="12">
        <f t="shared" si="64"/>
        <v>0</v>
      </c>
      <c r="E445" s="14" t="str">
        <f>IF(ISERROR(VLOOKUP($D445,[1]SITES!$A:$E,2,FALSE)),"",VLOOKUP($D445,[1]SITES!$A:$E,2,FALSE))</f>
        <v/>
      </c>
      <c r="F445" s="15" t="str">
        <f>IF(ISERROR(VLOOKUP($D445,[1]SITES!$A:$E,3,FALSE)),"",VLOOKUP($D445,[1]SITES!$A:$E,3,FALSE))</f>
        <v/>
      </c>
      <c r="G445" s="16" t="str">
        <f>IF(ISERROR(VLOOKUP($D445,[1]SITES!$A:$E,4,FALSE)),"",VLOOKUP($D445,[1]SITES!$A:$E,4,FALSE))</f>
        <v/>
      </c>
      <c r="H445" s="26" t="str">
        <f t="shared" si="63"/>
        <v>DATE</v>
      </c>
      <c r="I445" s="12" t="str">
        <f t="shared" si="63"/>
        <v>VIS</v>
      </c>
      <c r="J445" s="12" t="str">
        <f t="shared" si="63"/>
        <v>DIRECTION</v>
      </c>
      <c r="K445" s="24" t="str">
        <f t="shared" si="63"/>
        <v>TIME</v>
      </c>
      <c r="L445" s="12" t="str">
        <f t="shared" si="63"/>
        <v>DEPTH</v>
      </c>
      <c r="M445" s="12" t="str">
        <f t="shared" si="63"/>
        <v>BLOCK</v>
      </c>
      <c r="O445" s="22"/>
      <c r="Q445" s="14"/>
      <c r="R445" s="25">
        <f t="shared" si="62"/>
        <v>0</v>
      </c>
      <c r="S445" s="12">
        <v>0</v>
      </c>
    </row>
    <row r="446" spans="1:19">
      <c r="A446" s="14">
        <f>MAX($A$1:$A445)+1</f>
        <v>444</v>
      </c>
      <c r="B446" s="12" t="str">
        <f t="shared" si="64"/>
        <v>DIVER NAME</v>
      </c>
      <c r="C446" s="12" t="str">
        <f t="shared" si="64"/>
        <v>BUDDY NAME</v>
      </c>
      <c r="D446" s="12">
        <f t="shared" si="64"/>
        <v>0</v>
      </c>
      <c r="E446" s="14" t="str">
        <f>IF(ISERROR(VLOOKUP($D446,[1]SITES!$A:$E,2,FALSE)),"",VLOOKUP($D446,[1]SITES!$A:$E,2,FALSE))</f>
        <v/>
      </c>
      <c r="F446" s="15" t="str">
        <f>IF(ISERROR(VLOOKUP($D446,[1]SITES!$A:$E,3,FALSE)),"",VLOOKUP($D446,[1]SITES!$A:$E,3,FALSE))</f>
        <v/>
      </c>
      <c r="G446" s="16" t="str">
        <f>IF(ISERROR(VLOOKUP($D446,[1]SITES!$A:$E,4,FALSE)),"",VLOOKUP($D446,[1]SITES!$A:$E,4,FALSE))</f>
        <v/>
      </c>
      <c r="H446" s="26" t="str">
        <f t="shared" si="63"/>
        <v>DATE</v>
      </c>
      <c r="I446" s="12" t="str">
        <f t="shared" si="63"/>
        <v>VIS</v>
      </c>
      <c r="J446" s="12" t="str">
        <f t="shared" si="63"/>
        <v>DIRECTION</v>
      </c>
      <c r="K446" s="24" t="str">
        <f t="shared" si="63"/>
        <v>TIME</v>
      </c>
      <c r="L446" s="12" t="str">
        <f t="shared" si="63"/>
        <v>DEPTH</v>
      </c>
      <c r="M446" s="12" t="str">
        <f t="shared" si="63"/>
        <v>BLOCK</v>
      </c>
      <c r="O446" s="22"/>
      <c r="Q446" s="14"/>
      <c r="R446" s="25">
        <f t="shared" si="62"/>
        <v>0</v>
      </c>
      <c r="S446" s="12">
        <v>0</v>
      </c>
    </row>
    <row r="447" spans="1:19">
      <c r="A447" s="14">
        <f>MAX($A$1:$A446)+1</f>
        <v>445</v>
      </c>
      <c r="B447" s="12" t="str">
        <f t="shared" si="64"/>
        <v>DIVER NAME</v>
      </c>
      <c r="C447" s="12" t="str">
        <f t="shared" si="64"/>
        <v>BUDDY NAME</v>
      </c>
      <c r="D447" s="12">
        <f t="shared" si="64"/>
        <v>0</v>
      </c>
      <c r="E447" s="14" t="str">
        <f>IF(ISERROR(VLOOKUP($D447,[1]SITES!$A:$E,2,FALSE)),"",VLOOKUP($D447,[1]SITES!$A:$E,2,FALSE))</f>
        <v/>
      </c>
      <c r="F447" s="15" t="str">
        <f>IF(ISERROR(VLOOKUP($D447,[1]SITES!$A:$E,3,FALSE)),"",VLOOKUP($D447,[1]SITES!$A:$E,3,FALSE))</f>
        <v/>
      </c>
      <c r="G447" s="16" t="str">
        <f>IF(ISERROR(VLOOKUP($D447,[1]SITES!$A:$E,4,FALSE)),"",VLOOKUP($D447,[1]SITES!$A:$E,4,FALSE))</f>
        <v/>
      </c>
      <c r="H447" s="26" t="str">
        <f t="shared" si="63"/>
        <v>DATE</v>
      </c>
      <c r="I447" s="12" t="str">
        <f t="shared" si="63"/>
        <v>VIS</v>
      </c>
      <c r="J447" s="12" t="str">
        <f t="shared" si="63"/>
        <v>DIRECTION</v>
      </c>
      <c r="K447" s="24" t="str">
        <f t="shared" si="63"/>
        <v>TIME</v>
      </c>
      <c r="L447" s="12" t="str">
        <f t="shared" si="63"/>
        <v>DEPTH</v>
      </c>
      <c r="M447" s="12" t="str">
        <f t="shared" si="63"/>
        <v>BLOCK</v>
      </c>
      <c r="O447" s="22"/>
      <c r="Q447" s="14"/>
      <c r="R447" s="25">
        <f t="shared" si="62"/>
        <v>0</v>
      </c>
      <c r="S447" s="12">
        <v>0</v>
      </c>
    </row>
    <row r="448" spans="1:19">
      <c r="A448" s="14">
        <f>MAX($A$1:$A447)+1</f>
        <v>446</v>
      </c>
      <c r="B448" s="12" t="str">
        <f t="shared" si="64"/>
        <v>DIVER NAME</v>
      </c>
      <c r="C448" s="12" t="str">
        <f t="shared" si="64"/>
        <v>BUDDY NAME</v>
      </c>
      <c r="D448" s="12">
        <f t="shared" si="64"/>
        <v>0</v>
      </c>
      <c r="E448" s="14" t="str">
        <f>IF(ISERROR(VLOOKUP($D448,[1]SITES!$A:$E,2,FALSE)),"",VLOOKUP($D448,[1]SITES!$A:$E,2,FALSE))</f>
        <v/>
      </c>
      <c r="F448" s="15" t="str">
        <f>IF(ISERROR(VLOOKUP($D448,[1]SITES!$A:$E,3,FALSE)),"",VLOOKUP($D448,[1]SITES!$A:$E,3,FALSE))</f>
        <v/>
      </c>
      <c r="G448" s="16" t="str">
        <f>IF(ISERROR(VLOOKUP($D448,[1]SITES!$A:$E,4,FALSE)),"",VLOOKUP($D448,[1]SITES!$A:$E,4,FALSE))</f>
        <v/>
      </c>
      <c r="H448" s="26" t="str">
        <f t="shared" si="63"/>
        <v>DATE</v>
      </c>
      <c r="I448" s="12" t="str">
        <f t="shared" si="63"/>
        <v>VIS</v>
      </c>
      <c r="J448" s="12" t="str">
        <f t="shared" si="63"/>
        <v>DIRECTION</v>
      </c>
      <c r="K448" s="24" t="str">
        <f t="shared" si="63"/>
        <v>TIME</v>
      </c>
      <c r="L448" s="12" t="str">
        <f t="shared" si="63"/>
        <v>DEPTH</v>
      </c>
      <c r="M448" s="12" t="str">
        <f t="shared" si="63"/>
        <v>BLOCK</v>
      </c>
      <c r="O448" s="22"/>
      <c r="Q448" s="14"/>
      <c r="R448" s="25">
        <f t="shared" si="62"/>
        <v>0</v>
      </c>
      <c r="S448" s="12">
        <v>0</v>
      </c>
    </row>
    <row r="449" spans="1:19">
      <c r="A449" s="14">
        <f>MAX($A$1:$A448)+1</f>
        <v>447</v>
      </c>
      <c r="B449" s="12" t="str">
        <f t="shared" si="64"/>
        <v>DIVER NAME</v>
      </c>
      <c r="C449" s="12" t="str">
        <f t="shared" si="64"/>
        <v>BUDDY NAME</v>
      </c>
      <c r="D449" s="12">
        <f t="shared" si="64"/>
        <v>0</v>
      </c>
      <c r="E449" s="14" t="str">
        <f>IF(ISERROR(VLOOKUP($D449,[1]SITES!$A:$E,2,FALSE)),"",VLOOKUP($D449,[1]SITES!$A:$E,2,FALSE))</f>
        <v/>
      </c>
      <c r="F449" s="15" t="str">
        <f>IF(ISERROR(VLOOKUP($D449,[1]SITES!$A:$E,3,FALSE)),"",VLOOKUP($D449,[1]SITES!$A:$E,3,FALSE))</f>
        <v/>
      </c>
      <c r="G449" s="16" t="str">
        <f>IF(ISERROR(VLOOKUP($D449,[1]SITES!$A:$E,4,FALSE)),"",VLOOKUP($D449,[1]SITES!$A:$E,4,FALSE))</f>
        <v/>
      </c>
      <c r="H449" s="26" t="str">
        <f t="shared" si="63"/>
        <v>DATE</v>
      </c>
      <c r="I449" s="12" t="str">
        <f t="shared" si="63"/>
        <v>VIS</v>
      </c>
      <c r="J449" s="12" t="str">
        <f t="shared" si="63"/>
        <v>DIRECTION</v>
      </c>
      <c r="K449" s="24" t="str">
        <f t="shared" si="63"/>
        <v>TIME</v>
      </c>
      <c r="L449" s="12" t="str">
        <f t="shared" si="63"/>
        <v>DEPTH</v>
      </c>
      <c r="M449" s="12" t="str">
        <f t="shared" si="63"/>
        <v>BLOCK</v>
      </c>
      <c r="O449" s="22"/>
      <c r="Q449" s="14"/>
      <c r="R449" s="25">
        <f t="shared" si="62"/>
        <v>0</v>
      </c>
      <c r="S449" s="12">
        <v>0</v>
      </c>
    </row>
    <row r="450" spans="1:19">
      <c r="A450" s="14">
        <f>MAX($A$1:$A449)+1</f>
        <v>448</v>
      </c>
      <c r="B450" s="12" t="str">
        <f t="shared" si="64"/>
        <v>DIVER NAME</v>
      </c>
      <c r="C450" s="12" t="str">
        <f t="shared" si="64"/>
        <v>BUDDY NAME</v>
      </c>
      <c r="D450" s="12">
        <f t="shared" si="64"/>
        <v>0</v>
      </c>
      <c r="E450" s="14" t="str">
        <f>IF(ISERROR(VLOOKUP($D450,[1]SITES!$A:$E,2,FALSE)),"",VLOOKUP($D450,[1]SITES!$A:$E,2,FALSE))</f>
        <v/>
      </c>
      <c r="F450" s="15" t="str">
        <f>IF(ISERROR(VLOOKUP($D450,[1]SITES!$A:$E,3,FALSE)),"",VLOOKUP($D450,[1]SITES!$A:$E,3,FALSE))</f>
        <v/>
      </c>
      <c r="G450" s="16" t="str">
        <f>IF(ISERROR(VLOOKUP($D450,[1]SITES!$A:$E,4,FALSE)),"",VLOOKUP($D450,[1]SITES!$A:$E,4,FALSE))</f>
        <v/>
      </c>
      <c r="H450" s="26" t="str">
        <f t="shared" si="63"/>
        <v>DATE</v>
      </c>
      <c r="I450" s="12" t="str">
        <f t="shared" si="63"/>
        <v>VIS</v>
      </c>
      <c r="J450" s="12" t="str">
        <f t="shared" si="63"/>
        <v>DIRECTION</v>
      </c>
      <c r="K450" s="24" t="str">
        <f t="shared" si="63"/>
        <v>TIME</v>
      </c>
      <c r="L450" s="12" t="str">
        <f t="shared" si="63"/>
        <v>DEPTH</v>
      </c>
      <c r="M450" s="12" t="str">
        <f t="shared" si="63"/>
        <v>BLOCK</v>
      </c>
      <c r="O450" s="22"/>
      <c r="Q450" s="14"/>
      <c r="R450" s="25">
        <f t="shared" si="62"/>
        <v>0</v>
      </c>
      <c r="S450" s="12">
        <v>0</v>
      </c>
    </row>
    <row r="451" spans="1:19">
      <c r="A451" s="14">
        <f>MAX($A$1:$A450)+1</f>
        <v>449</v>
      </c>
      <c r="B451" s="12" t="str">
        <f t="shared" si="64"/>
        <v>DIVER NAME</v>
      </c>
      <c r="C451" s="12" t="str">
        <f t="shared" si="64"/>
        <v>BUDDY NAME</v>
      </c>
      <c r="D451" s="12">
        <f t="shared" si="64"/>
        <v>0</v>
      </c>
      <c r="E451" s="14" t="str">
        <f>IF(ISERROR(VLOOKUP($D451,[1]SITES!$A:$E,2,FALSE)),"",VLOOKUP($D451,[1]SITES!$A:$E,2,FALSE))</f>
        <v/>
      </c>
      <c r="F451" s="15" t="str">
        <f>IF(ISERROR(VLOOKUP($D451,[1]SITES!$A:$E,3,FALSE)),"",VLOOKUP($D451,[1]SITES!$A:$E,3,FALSE))</f>
        <v/>
      </c>
      <c r="G451" s="16" t="str">
        <f>IF(ISERROR(VLOOKUP($D451,[1]SITES!$A:$E,4,FALSE)),"",VLOOKUP($D451,[1]SITES!$A:$E,4,FALSE))</f>
        <v/>
      </c>
      <c r="H451" s="26" t="str">
        <f t="shared" si="63"/>
        <v>DATE</v>
      </c>
      <c r="I451" s="12" t="str">
        <f t="shared" si="63"/>
        <v>VIS</v>
      </c>
      <c r="J451" s="12" t="str">
        <f t="shared" si="63"/>
        <v>DIRECTION</v>
      </c>
      <c r="K451" s="24" t="str">
        <f t="shared" si="63"/>
        <v>TIME</v>
      </c>
      <c r="L451" s="12" t="str">
        <f t="shared" si="63"/>
        <v>DEPTH</v>
      </c>
      <c r="M451" s="12" t="str">
        <f t="shared" si="63"/>
        <v>BLOCK</v>
      </c>
      <c r="O451" s="22"/>
      <c r="Q451" s="14"/>
      <c r="R451" s="25">
        <f t="shared" si="62"/>
        <v>0</v>
      </c>
      <c r="S451" s="12">
        <v>0</v>
      </c>
    </row>
    <row r="452" spans="1:19">
      <c r="A452" s="14">
        <f>MAX($A$1:$A451)+1</f>
        <v>450</v>
      </c>
      <c r="B452" s="12" t="str">
        <f t="shared" si="64"/>
        <v>DIVER NAME</v>
      </c>
      <c r="C452" s="12" t="str">
        <f t="shared" si="64"/>
        <v>BUDDY NAME</v>
      </c>
      <c r="D452" s="12">
        <f t="shared" si="64"/>
        <v>0</v>
      </c>
      <c r="E452" s="14" t="str">
        <f>IF(ISERROR(VLOOKUP($D452,[1]SITES!$A:$E,2,FALSE)),"",VLOOKUP($D452,[1]SITES!$A:$E,2,FALSE))</f>
        <v/>
      </c>
      <c r="F452" s="15" t="str">
        <f>IF(ISERROR(VLOOKUP($D452,[1]SITES!$A:$E,3,FALSE)),"",VLOOKUP($D452,[1]SITES!$A:$E,3,FALSE))</f>
        <v/>
      </c>
      <c r="G452" s="16" t="str">
        <f>IF(ISERROR(VLOOKUP($D452,[1]SITES!$A:$E,4,FALSE)),"",VLOOKUP($D452,[1]SITES!$A:$E,4,FALSE))</f>
        <v/>
      </c>
      <c r="H452" s="26" t="str">
        <f t="shared" ref="H452:M467" si="65">IF(ISERROR(H451),IF(ISERROR(H450),IF(ISERROR(H449),"BLANK",H449),H450),H451)</f>
        <v>DATE</v>
      </c>
      <c r="I452" s="12" t="str">
        <f t="shared" si="65"/>
        <v>VIS</v>
      </c>
      <c r="J452" s="12" t="str">
        <f t="shared" si="65"/>
        <v>DIRECTION</v>
      </c>
      <c r="K452" s="24" t="str">
        <f t="shared" si="65"/>
        <v>TIME</v>
      </c>
      <c r="L452" s="12" t="str">
        <f>IF(ISERROR(L451),IF(ISERROR(L450),IF(ISERROR(L449),"BLANK",L449),L450),L451)</f>
        <v>DEPTH</v>
      </c>
      <c r="M452" s="12" t="str">
        <f>IF(ISERROR(M451),IF(ISERROR(M450),IF(ISERROR(M449),"BLANK",M449),M450),M451)</f>
        <v>BLOCK</v>
      </c>
      <c r="O452" s="22"/>
      <c r="Q452" s="14"/>
      <c r="R452" s="25">
        <f t="shared" si="62"/>
        <v>0</v>
      </c>
      <c r="S452" s="12">
        <v>0</v>
      </c>
    </row>
    <row r="453" spans="1:19">
      <c r="A453" s="14">
        <f>MAX($A$1:$A452)+1</f>
        <v>451</v>
      </c>
      <c r="B453" s="12" t="str">
        <f t="shared" ref="B453:D468" si="66">IF(ISERROR(B452),IF(ISERROR(B451),IF(ISERROR(B450),"BLANK",B450),B451),B452)</f>
        <v>DIVER NAME</v>
      </c>
      <c r="C453" s="12" t="str">
        <f t="shared" si="66"/>
        <v>BUDDY NAME</v>
      </c>
      <c r="D453" s="12">
        <f t="shared" si="66"/>
        <v>0</v>
      </c>
      <c r="E453" s="14" t="str">
        <f>IF(ISERROR(VLOOKUP($D453,[1]SITES!$A:$E,2,FALSE)),"",VLOOKUP($D453,[1]SITES!$A:$E,2,FALSE))</f>
        <v/>
      </c>
      <c r="F453" s="15" t="str">
        <f>IF(ISERROR(VLOOKUP($D453,[1]SITES!$A:$E,3,FALSE)),"",VLOOKUP($D453,[1]SITES!$A:$E,3,FALSE))</f>
        <v/>
      </c>
      <c r="G453" s="16" t="str">
        <f>IF(ISERROR(VLOOKUP($D453,[1]SITES!$A:$E,4,FALSE)),"",VLOOKUP($D453,[1]SITES!$A:$E,4,FALSE))</f>
        <v/>
      </c>
      <c r="H453" s="26" t="str">
        <f t="shared" si="65"/>
        <v>DATE</v>
      </c>
      <c r="I453" s="12" t="str">
        <f t="shared" si="65"/>
        <v>VIS</v>
      </c>
      <c r="J453" s="12" t="str">
        <f t="shared" si="65"/>
        <v>DIRECTION</v>
      </c>
      <c r="K453" s="24" t="str">
        <f t="shared" si="65"/>
        <v>TIME</v>
      </c>
      <c r="L453" s="12" t="str">
        <f t="shared" si="65"/>
        <v>DEPTH</v>
      </c>
      <c r="M453" s="12" t="str">
        <f t="shared" si="65"/>
        <v>BLOCK</v>
      </c>
      <c r="O453" s="22"/>
      <c r="Q453" s="14"/>
      <c r="R453" s="25">
        <f t="shared" si="62"/>
        <v>0</v>
      </c>
      <c r="S453" s="12">
        <v>0</v>
      </c>
    </row>
    <row r="454" spans="1:19">
      <c r="A454" s="14">
        <f>MAX($A$1:$A453)+1</f>
        <v>452</v>
      </c>
      <c r="B454" s="12" t="str">
        <f t="shared" si="66"/>
        <v>DIVER NAME</v>
      </c>
      <c r="C454" s="12" t="str">
        <f t="shared" si="66"/>
        <v>BUDDY NAME</v>
      </c>
      <c r="D454" s="12">
        <f t="shared" si="66"/>
        <v>0</v>
      </c>
      <c r="E454" s="14" t="str">
        <f>IF(ISERROR(VLOOKUP($D454,[1]SITES!$A:$E,2,FALSE)),"",VLOOKUP($D454,[1]SITES!$A:$E,2,FALSE))</f>
        <v/>
      </c>
      <c r="F454" s="15" t="str">
        <f>IF(ISERROR(VLOOKUP($D454,[1]SITES!$A:$E,3,FALSE)),"",VLOOKUP($D454,[1]SITES!$A:$E,3,FALSE))</f>
        <v/>
      </c>
      <c r="G454" s="16" t="str">
        <f>IF(ISERROR(VLOOKUP($D454,[1]SITES!$A:$E,4,FALSE)),"",VLOOKUP($D454,[1]SITES!$A:$E,4,FALSE))</f>
        <v/>
      </c>
      <c r="H454" s="26" t="str">
        <f t="shared" si="65"/>
        <v>DATE</v>
      </c>
      <c r="I454" s="12" t="str">
        <f t="shared" si="65"/>
        <v>VIS</v>
      </c>
      <c r="J454" s="12" t="str">
        <f t="shared" si="65"/>
        <v>DIRECTION</v>
      </c>
      <c r="K454" s="24" t="str">
        <f t="shared" si="65"/>
        <v>TIME</v>
      </c>
      <c r="L454" s="12" t="str">
        <f t="shared" si="65"/>
        <v>DEPTH</v>
      </c>
      <c r="M454" s="12" t="str">
        <f t="shared" si="65"/>
        <v>BLOCK</v>
      </c>
      <c r="O454" s="22"/>
      <c r="Q454" s="14"/>
      <c r="R454" s="25">
        <f t="shared" si="62"/>
        <v>0</v>
      </c>
      <c r="S454" s="12">
        <v>0</v>
      </c>
    </row>
    <row r="455" spans="1:19">
      <c r="A455" s="14">
        <f>MAX($A$1:$A454)+1</f>
        <v>453</v>
      </c>
      <c r="B455" s="12" t="str">
        <f t="shared" si="66"/>
        <v>DIVER NAME</v>
      </c>
      <c r="C455" s="12" t="str">
        <f t="shared" si="66"/>
        <v>BUDDY NAME</v>
      </c>
      <c r="D455" s="12">
        <f t="shared" si="66"/>
        <v>0</v>
      </c>
      <c r="E455" s="14" t="str">
        <f>IF(ISERROR(VLOOKUP($D455,[1]SITES!$A:$E,2,FALSE)),"",VLOOKUP($D455,[1]SITES!$A:$E,2,FALSE))</f>
        <v/>
      </c>
      <c r="F455" s="15" t="str">
        <f>IF(ISERROR(VLOOKUP($D455,[1]SITES!$A:$E,3,FALSE)),"",VLOOKUP($D455,[1]SITES!$A:$E,3,FALSE))</f>
        <v/>
      </c>
      <c r="G455" s="16" t="str">
        <f>IF(ISERROR(VLOOKUP($D455,[1]SITES!$A:$E,4,FALSE)),"",VLOOKUP($D455,[1]SITES!$A:$E,4,FALSE))</f>
        <v/>
      </c>
      <c r="H455" s="26" t="str">
        <f t="shared" si="65"/>
        <v>DATE</v>
      </c>
      <c r="I455" s="12" t="str">
        <f t="shared" si="65"/>
        <v>VIS</v>
      </c>
      <c r="J455" s="12" t="str">
        <f t="shared" si="65"/>
        <v>DIRECTION</v>
      </c>
      <c r="K455" s="24" t="str">
        <f t="shared" si="65"/>
        <v>TIME</v>
      </c>
      <c r="L455" s="12" t="str">
        <f t="shared" si="65"/>
        <v>DEPTH</v>
      </c>
      <c r="M455" s="12" t="str">
        <f t="shared" si="65"/>
        <v>BLOCK</v>
      </c>
      <c r="O455" s="22"/>
      <c r="Q455" s="14"/>
      <c r="R455" s="25">
        <f t="shared" si="62"/>
        <v>0</v>
      </c>
      <c r="S455" s="12">
        <v>0</v>
      </c>
    </row>
    <row r="456" spans="1:19">
      <c r="A456" s="14">
        <f>MAX($A$1:$A455)+1</f>
        <v>454</v>
      </c>
      <c r="B456" s="12" t="str">
        <f t="shared" si="66"/>
        <v>DIVER NAME</v>
      </c>
      <c r="C456" s="12" t="str">
        <f t="shared" si="66"/>
        <v>BUDDY NAME</v>
      </c>
      <c r="D456" s="12">
        <f t="shared" si="66"/>
        <v>0</v>
      </c>
      <c r="E456" s="14" t="str">
        <f>IF(ISERROR(VLOOKUP($D456,[1]SITES!$A:$E,2,FALSE)),"",VLOOKUP($D456,[1]SITES!$A:$E,2,FALSE))</f>
        <v/>
      </c>
      <c r="F456" s="15" t="str">
        <f>IF(ISERROR(VLOOKUP($D456,[1]SITES!$A:$E,3,FALSE)),"",VLOOKUP($D456,[1]SITES!$A:$E,3,FALSE))</f>
        <v/>
      </c>
      <c r="G456" s="16" t="str">
        <f>IF(ISERROR(VLOOKUP($D456,[1]SITES!$A:$E,4,FALSE)),"",VLOOKUP($D456,[1]SITES!$A:$E,4,FALSE))</f>
        <v/>
      </c>
      <c r="H456" s="26" t="str">
        <f t="shared" si="65"/>
        <v>DATE</v>
      </c>
      <c r="I456" s="12" t="str">
        <f t="shared" si="65"/>
        <v>VIS</v>
      </c>
      <c r="J456" s="12" t="str">
        <f t="shared" si="65"/>
        <v>DIRECTION</v>
      </c>
      <c r="K456" s="24" t="str">
        <f t="shared" si="65"/>
        <v>TIME</v>
      </c>
      <c r="L456" s="12" t="str">
        <f t="shared" si="65"/>
        <v>DEPTH</v>
      </c>
      <c r="M456" s="12" t="str">
        <f t="shared" si="65"/>
        <v>BLOCK</v>
      </c>
      <c r="O456" s="22"/>
      <c r="Q456" s="14"/>
      <c r="R456" s="25">
        <f t="shared" si="62"/>
        <v>0</v>
      </c>
      <c r="S456" s="12">
        <v>0</v>
      </c>
    </row>
    <row r="457" spans="1:19">
      <c r="A457" s="14">
        <f>MAX($A$1:$A456)+1</f>
        <v>455</v>
      </c>
      <c r="B457" s="12" t="str">
        <f t="shared" si="66"/>
        <v>DIVER NAME</v>
      </c>
      <c r="C457" s="12" t="str">
        <f t="shared" si="66"/>
        <v>BUDDY NAME</v>
      </c>
      <c r="D457" s="12">
        <f t="shared" si="66"/>
        <v>0</v>
      </c>
      <c r="E457" s="14" t="str">
        <f>IF(ISERROR(VLOOKUP($D457,[1]SITES!$A:$E,2,FALSE)),"",VLOOKUP($D457,[1]SITES!$A:$E,2,FALSE))</f>
        <v/>
      </c>
      <c r="F457" s="15" t="str">
        <f>IF(ISERROR(VLOOKUP($D457,[1]SITES!$A:$E,3,FALSE)),"",VLOOKUP($D457,[1]SITES!$A:$E,3,FALSE))</f>
        <v/>
      </c>
      <c r="G457" s="16" t="str">
        <f>IF(ISERROR(VLOOKUP($D457,[1]SITES!$A:$E,4,FALSE)),"",VLOOKUP($D457,[1]SITES!$A:$E,4,FALSE))</f>
        <v/>
      </c>
      <c r="H457" s="26" t="str">
        <f t="shared" si="65"/>
        <v>DATE</v>
      </c>
      <c r="I457" s="12" t="str">
        <f t="shared" si="65"/>
        <v>VIS</v>
      </c>
      <c r="J457" s="12" t="str">
        <f t="shared" si="65"/>
        <v>DIRECTION</v>
      </c>
      <c r="K457" s="24" t="str">
        <f t="shared" si="65"/>
        <v>TIME</v>
      </c>
      <c r="L457" s="12" t="str">
        <f t="shared" si="65"/>
        <v>DEPTH</v>
      </c>
      <c r="M457" s="12" t="str">
        <f t="shared" si="65"/>
        <v>BLOCK</v>
      </c>
      <c r="O457" s="22"/>
      <c r="Q457" s="14"/>
      <c r="R457" s="25">
        <f t="shared" si="62"/>
        <v>0</v>
      </c>
      <c r="S457" s="12">
        <v>0</v>
      </c>
    </row>
    <row r="458" spans="1:19">
      <c r="A458" s="14">
        <f>MAX($A$1:$A457)+1</f>
        <v>456</v>
      </c>
      <c r="B458" s="12" t="str">
        <f t="shared" si="66"/>
        <v>DIVER NAME</v>
      </c>
      <c r="C458" s="12" t="str">
        <f t="shared" si="66"/>
        <v>BUDDY NAME</v>
      </c>
      <c r="D458" s="12">
        <f t="shared" si="66"/>
        <v>0</v>
      </c>
      <c r="E458" s="14" t="str">
        <f>IF(ISERROR(VLOOKUP($D458,[1]SITES!$A:$E,2,FALSE)),"",VLOOKUP($D458,[1]SITES!$A:$E,2,FALSE))</f>
        <v/>
      </c>
      <c r="F458" s="15" t="str">
        <f>IF(ISERROR(VLOOKUP($D458,[1]SITES!$A:$E,3,FALSE)),"",VLOOKUP($D458,[1]SITES!$A:$E,3,FALSE))</f>
        <v/>
      </c>
      <c r="G458" s="16" t="str">
        <f>IF(ISERROR(VLOOKUP($D458,[1]SITES!$A:$E,4,FALSE)),"",VLOOKUP($D458,[1]SITES!$A:$E,4,FALSE))</f>
        <v/>
      </c>
      <c r="H458" s="26" t="str">
        <f t="shared" si="65"/>
        <v>DATE</v>
      </c>
      <c r="I458" s="12" t="str">
        <f t="shared" si="65"/>
        <v>VIS</v>
      </c>
      <c r="J458" s="12" t="str">
        <f t="shared" si="65"/>
        <v>DIRECTION</v>
      </c>
      <c r="K458" s="24" t="str">
        <f t="shared" si="65"/>
        <v>TIME</v>
      </c>
      <c r="L458" s="12" t="str">
        <f t="shared" si="65"/>
        <v>DEPTH</v>
      </c>
      <c r="M458" s="12" t="str">
        <f t="shared" si="65"/>
        <v>BLOCK</v>
      </c>
      <c r="O458" s="22"/>
      <c r="Q458" s="14"/>
      <c r="R458" s="25">
        <f t="shared" si="62"/>
        <v>0</v>
      </c>
      <c r="S458" s="12">
        <v>0</v>
      </c>
    </row>
    <row r="459" spans="1:19">
      <c r="A459" s="14">
        <f>MAX($A$1:$A458)+1</f>
        <v>457</v>
      </c>
      <c r="B459" s="12" t="str">
        <f t="shared" si="66"/>
        <v>DIVER NAME</v>
      </c>
      <c r="C459" s="12" t="str">
        <f t="shared" si="66"/>
        <v>BUDDY NAME</v>
      </c>
      <c r="D459" s="12">
        <f t="shared" si="66"/>
        <v>0</v>
      </c>
      <c r="E459" s="14" t="str">
        <f>IF(ISERROR(VLOOKUP($D459,[1]SITES!$A:$E,2,FALSE)),"",VLOOKUP($D459,[1]SITES!$A:$E,2,FALSE))</f>
        <v/>
      </c>
      <c r="F459" s="15" t="str">
        <f>IF(ISERROR(VLOOKUP($D459,[1]SITES!$A:$E,3,FALSE)),"",VLOOKUP($D459,[1]SITES!$A:$E,3,FALSE))</f>
        <v/>
      </c>
      <c r="G459" s="16" t="str">
        <f>IF(ISERROR(VLOOKUP($D459,[1]SITES!$A:$E,4,FALSE)),"",VLOOKUP($D459,[1]SITES!$A:$E,4,FALSE))</f>
        <v/>
      </c>
      <c r="H459" s="26" t="str">
        <f t="shared" si="65"/>
        <v>DATE</v>
      </c>
      <c r="I459" s="12" t="str">
        <f t="shared" si="65"/>
        <v>VIS</v>
      </c>
      <c r="J459" s="12" t="str">
        <f t="shared" si="65"/>
        <v>DIRECTION</v>
      </c>
      <c r="K459" s="24" t="str">
        <f t="shared" si="65"/>
        <v>TIME</v>
      </c>
      <c r="L459" s="12" t="str">
        <f t="shared" si="65"/>
        <v>DEPTH</v>
      </c>
      <c r="M459" s="12" t="str">
        <f t="shared" si="65"/>
        <v>BLOCK</v>
      </c>
      <c r="O459" s="22"/>
      <c r="Q459" s="14"/>
      <c r="R459" s="25">
        <f t="shared" si="62"/>
        <v>0</v>
      </c>
      <c r="S459" s="12">
        <v>0</v>
      </c>
    </row>
    <row r="460" spans="1:19">
      <c r="A460" s="14">
        <f>MAX($A$1:$A459)+1</f>
        <v>458</v>
      </c>
      <c r="B460" s="12" t="str">
        <f t="shared" si="66"/>
        <v>DIVER NAME</v>
      </c>
      <c r="C460" s="12" t="str">
        <f t="shared" si="66"/>
        <v>BUDDY NAME</v>
      </c>
      <c r="D460" s="12">
        <f t="shared" si="66"/>
        <v>0</v>
      </c>
      <c r="E460" s="14" t="str">
        <f>IF(ISERROR(VLOOKUP($D460,[1]SITES!$A:$E,2,FALSE)),"",VLOOKUP($D460,[1]SITES!$A:$E,2,FALSE))</f>
        <v/>
      </c>
      <c r="F460" s="15" t="str">
        <f>IF(ISERROR(VLOOKUP($D460,[1]SITES!$A:$E,3,FALSE)),"",VLOOKUP($D460,[1]SITES!$A:$E,3,FALSE))</f>
        <v/>
      </c>
      <c r="G460" s="16" t="str">
        <f>IF(ISERROR(VLOOKUP($D460,[1]SITES!$A:$E,4,FALSE)),"",VLOOKUP($D460,[1]SITES!$A:$E,4,FALSE))</f>
        <v/>
      </c>
      <c r="H460" s="26" t="str">
        <f t="shared" si="65"/>
        <v>DATE</v>
      </c>
      <c r="I460" s="12" t="str">
        <f t="shared" si="65"/>
        <v>VIS</v>
      </c>
      <c r="J460" s="12" t="str">
        <f t="shared" si="65"/>
        <v>DIRECTION</v>
      </c>
      <c r="K460" s="24" t="str">
        <f t="shared" si="65"/>
        <v>TIME</v>
      </c>
      <c r="L460" s="12" t="str">
        <f t="shared" si="65"/>
        <v>DEPTH</v>
      </c>
      <c r="M460" s="12" t="str">
        <f t="shared" si="65"/>
        <v>BLOCK</v>
      </c>
      <c r="O460" s="22"/>
      <c r="Q460" s="14"/>
      <c r="R460" s="25">
        <f t="shared" si="62"/>
        <v>0</v>
      </c>
      <c r="S460" s="12">
        <v>0</v>
      </c>
    </row>
    <row r="461" spans="1:19">
      <c r="A461" s="14">
        <f>MAX($A$1:$A460)+1</f>
        <v>459</v>
      </c>
      <c r="B461" s="12" t="str">
        <f t="shared" si="66"/>
        <v>DIVER NAME</v>
      </c>
      <c r="C461" s="12" t="str">
        <f t="shared" si="66"/>
        <v>BUDDY NAME</v>
      </c>
      <c r="D461" s="12">
        <f t="shared" si="66"/>
        <v>0</v>
      </c>
      <c r="E461" s="14" t="str">
        <f>IF(ISERROR(VLOOKUP($D461,[1]SITES!$A:$E,2,FALSE)),"",VLOOKUP($D461,[1]SITES!$A:$E,2,FALSE))</f>
        <v/>
      </c>
      <c r="F461" s="15" t="str">
        <f>IF(ISERROR(VLOOKUP($D461,[1]SITES!$A:$E,3,FALSE)),"",VLOOKUP($D461,[1]SITES!$A:$E,3,FALSE))</f>
        <v/>
      </c>
      <c r="G461" s="16" t="str">
        <f>IF(ISERROR(VLOOKUP($D461,[1]SITES!$A:$E,4,FALSE)),"",VLOOKUP($D461,[1]SITES!$A:$E,4,FALSE))</f>
        <v/>
      </c>
      <c r="H461" s="26" t="str">
        <f t="shared" si="65"/>
        <v>DATE</v>
      </c>
      <c r="I461" s="12" t="str">
        <f t="shared" si="65"/>
        <v>VIS</v>
      </c>
      <c r="J461" s="12" t="str">
        <f t="shared" si="65"/>
        <v>DIRECTION</v>
      </c>
      <c r="K461" s="24" t="str">
        <f t="shared" si="65"/>
        <v>TIME</v>
      </c>
      <c r="L461" s="12" t="str">
        <f t="shared" si="65"/>
        <v>DEPTH</v>
      </c>
      <c r="M461" s="12" t="str">
        <f t="shared" si="65"/>
        <v>BLOCK</v>
      </c>
      <c r="O461" s="22"/>
      <c r="Q461" s="14"/>
      <c r="R461" s="25">
        <f t="shared" si="62"/>
        <v>0</v>
      </c>
      <c r="S461" s="12">
        <v>0</v>
      </c>
    </row>
    <row r="462" spans="1:19">
      <c r="A462" s="14">
        <f>MAX($A$1:$A461)+1</f>
        <v>460</v>
      </c>
      <c r="B462" s="12" t="str">
        <f t="shared" si="66"/>
        <v>DIVER NAME</v>
      </c>
      <c r="C462" s="12" t="str">
        <f t="shared" si="66"/>
        <v>BUDDY NAME</v>
      </c>
      <c r="D462" s="12">
        <f t="shared" si="66"/>
        <v>0</v>
      </c>
      <c r="E462" s="14" t="str">
        <f>IF(ISERROR(VLOOKUP($D462,[1]SITES!$A:$E,2,FALSE)),"",VLOOKUP($D462,[1]SITES!$A:$E,2,FALSE))</f>
        <v/>
      </c>
      <c r="F462" s="15" t="str">
        <f>IF(ISERROR(VLOOKUP($D462,[1]SITES!$A:$E,3,FALSE)),"",VLOOKUP($D462,[1]SITES!$A:$E,3,FALSE))</f>
        <v/>
      </c>
      <c r="G462" s="16" t="str">
        <f>IF(ISERROR(VLOOKUP($D462,[1]SITES!$A:$E,4,FALSE)),"",VLOOKUP($D462,[1]SITES!$A:$E,4,FALSE))</f>
        <v/>
      </c>
      <c r="H462" s="26" t="str">
        <f t="shared" si="65"/>
        <v>DATE</v>
      </c>
      <c r="I462" s="12" t="str">
        <f t="shared" si="65"/>
        <v>VIS</v>
      </c>
      <c r="J462" s="12" t="str">
        <f t="shared" si="65"/>
        <v>DIRECTION</v>
      </c>
      <c r="K462" s="24" t="str">
        <f t="shared" si="65"/>
        <v>TIME</v>
      </c>
      <c r="L462" s="12" t="str">
        <f t="shared" si="65"/>
        <v>DEPTH</v>
      </c>
      <c r="M462" s="12" t="str">
        <f t="shared" si="65"/>
        <v>BLOCK</v>
      </c>
      <c r="O462" s="22"/>
      <c r="Q462" s="14"/>
      <c r="R462" s="25">
        <f t="shared" si="62"/>
        <v>0</v>
      </c>
      <c r="S462" s="12">
        <v>0</v>
      </c>
    </row>
    <row r="463" spans="1:19">
      <c r="A463" s="14">
        <f>MAX($A$1:$A462)+1</f>
        <v>461</v>
      </c>
      <c r="B463" s="12" t="str">
        <f t="shared" si="66"/>
        <v>DIVER NAME</v>
      </c>
      <c r="C463" s="12" t="str">
        <f t="shared" si="66"/>
        <v>BUDDY NAME</v>
      </c>
      <c r="D463" s="12">
        <f t="shared" si="66"/>
        <v>0</v>
      </c>
      <c r="E463" s="14" t="str">
        <f>IF(ISERROR(VLOOKUP($D463,[1]SITES!$A:$E,2,FALSE)),"",VLOOKUP($D463,[1]SITES!$A:$E,2,FALSE))</f>
        <v/>
      </c>
      <c r="F463" s="15" t="str">
        <f>IF(ISERROR(VLOOKUP($D463,[1]SITES!$A:$E,3,FALSE)),"",VLOOKUP($D463,[1]SITES!$A:$E,3,FALSE))</f>
        <v/>
      </c>
      <c r="G463" s="16" t="str">
        <f>IF(ISERROR(VLOOKUP($D463,[1]SITES!$A:$E,4,FALSE)),"",VLOOKUP($D463,[1]SITES!$A:$E,4,FALSE))</f>
        <v/>
      </c>
      <c r="H463" s="26" t="str">
        <f t="shared" si="65"/>
        <v>DATE</v>
      </c>
      <c r="I463" s="12" t="str">
        <f t="shared" si="65"/>
        <v>VIS</v>
      </c>
      <c r="J463" s="12" t="str">
        <f t="shared" si="65"/>
        <v>DIRECTION</v>
      </c>
      <c r="K463" s="24" t="str">
        <f t="shared" si="65"/>
        <v>TIME</v>
      </c>
      <c r="L463" s="12" t="str">
        <f t="shared" si="65"/>
        <v>DEPTH</v>
      </c>
      <c r="M463" s="12" t="str">
        <f t="shared" si="65"/>
        <v>BLOCK</v>
      </c>
      <c r="O463" s="22"/>
      <c r="Q463" s="14"/>
      <c r="R463" s="25">
        <f t="shared" si="62"/>
        <v>0</v>
      </c>
      <c r="S463" s="12">
        <v>0</v>
      </c>
    </row>
    <row r="464" spans="1:19">
      <c r="A464" s="14">
        <f>MAX($A$1:$A463)+1</f>
        <v>462</v>
      </c>
      <c r="B464" s="12" t="str">
        <f t="shared" si="66"/>
        <v>DIVER NAME</v>
      </c>
      <c r="C464" s="12" t="str">
        <f t="shared" si="66"/>
        <v>BUDDY NAME</v>
      </c>
      <c r="D464" s="12">
        <f t="shared" si="66"/>
        <v>0</v>
      </c>
      <c r="E464" s="14" t="str">
        <f>IF(ISERROR(VLOOKUP($D464,[1]SITES!$A:$E,2,FALSE)),"",VLOOKUP($D464,[1]SITES!$A:$E,2,FALSE))</f>
        <v/>
      </c>
      <c r="F464" s="15" t="str">
        <f>IF(ISERROR(VLOOKUP($D464,[1]SITES!$A:$E,3,FALSE)),"",VLOOKUP($D464,[1]SITES!$A:$E,3,FALSE))</f>
        <v/>
      </c>
      <c r="G464" s="16" t="str">
        <f>IF(ISERROR(VLOOKUP($D464,[1]SITES!$A:$E,4,FALSE)),"",VLOOKUP($D464,[1]SITES!$A:$E,4,FALSE))</f>
        <v/>
      </c>
      <c r="H464" s="26" t="str">
        <f t="shared" si="65"/>
        <v>DATE</v>
      </c>
      <c r="I464" s="12" t="str">
        <f t="shared" si="65"/>
        <v>VIS</v>
      </c>
      <c r="J464" s="12" t="str">
        <f t="shared" si="65"/>
        <v>DIRECTION</v>
      </c>
      <c r="K464" s="24" t="str">
        <f t="shared" si="65"/>
        <v>TIME</v>
      </c>
      <c r="L464" s="12" t="str">
        <f t="shared" si="65"/>
        <v>DEPTH</v>
      </c>
      <c r="M464" s="12" t="str">
        <f t="shared" si="65"/>
        <v>BLOCK</v>
      </c>
      <c r="O464" s="22"/>
      <c r="Q464" s="14"/>
      <c r="R464" s="25">
        <f t="shared" si="62"/>
        <v>0</v>
      </c>
      <c r="S464" s="12">
        <v>0</v>
      </c>
    </row>
    <row r="465" spans="1:19">
      <c r="A465" s="14">
        <f>MAX($A$1:$A464)+1</f>
        <v>463</v>
      </c>
      <c r="B465" s="12" t="str">
        <f t="shared" si="66"/>
        <v>DIVER NAME</v>
      </c>
      <c r="C465" s="12" t="str">
        <f t="shared" si="66"/>
        <v>BUDDY NAME</v>
      </c>
      <c r="D465" s="12">
        <f t="shared" si="66"/>
        <v>0</v>
      </c>
      <c r="E465" s="14" t="str">
        <f>IF(ISERROR(VLOOKUP($D465,[1]SITES!$A:$E,2,FALSE)),"",VLOOKUP($D465,[1]SITES!$A:$E,2,FALSE))</f>
        <v/>
      </c>
      <c r="F465" s="15" t="str">
        <f>IF(ISERROR(VLOOKUP($D465,[1]SITES!$A:$E,3,FALSE)),"",VLOOKUP($D465,[1]SITES!$A:$E,3,FALSE))</f>
        <v/>
      </c>
      <c r="G465" s="16" t="str">
        <f>IF(ISERROR(VLOOKUP($D465,[1]SITES!$A:$E,4,FALSE)),"",VLOOKUP($D465,[1]SITES!$A:$E,4,FALSE))</f>
        <v/>
      </c>
      <c r="H465" s="26" t="str">
        <f t="shared" si="65"/>
        <v>DATE</v>
      </c>
      <c r="I465" s="12" t="str">
        <f t="shared" si="65"/>
        <v>VIS</v>
      </c>
      <c r="J465" s="12" t="str">
        <f t="shared" si="65"/>
        <v>DIRECTION</v>
      </c>
      <c r="K465" s="24" t="str">
        <f t="shared" si="65"/>
        <v>TIME</v>
      </c>
      <c r="L465" s="12" t="str">
        <f t="shared" si="65"/>
        <v>DEPTH</v>
      </c>
      <c r="M465" s="12" t="str">
        <f t="shared" si="65"/>
        <v>BLOCK</v>
      </c>
      <c r="O465" s="22"/>
      <c r="Q465" s="14"/>
      <c r="R465" s="25">
        <f t="shared" si="62"/>
        <v>0</v>
      </c>
      <c r="S465" s="12">
        <v>0</v>
      </c>
    </row>
    <row r="466" spans="1:19">
      <c r="A466" s="14">
        <f>MAX($A$1:$A465)+1</f>
        <v>464</v>
      </c>
      <c r="B466" s="12" t="str">
        <f t="shared" si="66"/>
        <v>DIVER NAME</v>
      </c>
      <c r="C466" s="12" t="str">
        <f t="shared" si="66"/>
        <v>BUDDY NAME</v>
      </c>
      <c r="D466" s="12">
        <f t="shared" si="66"/>
        <v>0</v>
      </c>
      <c r="E466" s="14" t="str">
        <f>IF(ISERROR(VLOOKUP($D466,[1]SITES!$A:$E,2,FALSE)),"",VLOOKUP($D466,[1]SITES!$A:$E,2,FALSE))</f>
        <v/>
      </c>
      <c r="F466" s="15" t="str">
        <f>IF(ISERROR(VLOOKUP($D466,[1]SITES!$A:$E,3,FALSE)),"",VLOOKUP($D466,[1]SITES!$A:$E,3,FALSE))</f>
        <v/>
      </c>
      <c r="G466" s="16" t="str">
        <f>IF(ISERROR(VLOOKUP($D466,[1]SITES!$A:$E,4,FALSE)),"",VLOOKUP($D466,[1]SITES!$A:$E,4,FALSE))</f>
        <v/>
      </c>
      <c r="H466" s="26" t="str">
        <f t="shared" si="65"/>
        <v>DATE</v>
      </c>
      <c r="I466" s="12" t="str">
        <f t="shared" si="65"/>
        <v>VIS</v>
      </c>
      <c r="J466" s="12" t="str">
        <f t="shared" si="65"/>
        <v>DIRECTION</v>
      </c>
      <c r="K466" s="24" t="str">
        <f t="shared" si="65"/>
        <v>TIME</v>
      </c>
      <c r="L466" s="12" t="str">
        <f t="shared" si="65"/>
        <v>DEPTH</v>
      </c>
      <c r="M466" s="12" t="str">
        <f t="shared" si="65"/>
        <v>BLOCK</v>
      </c>
      <c r="O466" s="22"/>
      <c r="Q466" s="14"/>
      <c r="R466" s="25">
        <f t="shared" si="62"/>
        <v>0</v>
      </c>
      <c r="S466" s="12">
        <v>0</v>
      </c>
    </row>
    <row r="467" spans="1:19">
      <c r="A467" s="14">
        <f>MAX($A$1:$A466)+1</f>
        <v>465</v>
      </c>
      <c r="B467" s="12" t="str">
        <f t="shared" si="66"/>
        <v>DIVER NAME</v>
      </c>
      <c r="C467" s="12" t="str">
        <f t="shared" si="66"/>
        <v>BUDDY NAME</v>
      </c>
      <c r="D467" s="12">
        <f t="shared" si="66"/>
        <v>0</v>
      </c>
      <c r="E467" s="14" t="str">
        <f>IF(ISERROR(VLOOKUP($D467,[1]SITES!$A:$E,2,FALSE)),"",VLOOKUP($D467,[1]SITES!$A:$E,2,FALSE))</f>
        <v/>
      </c>
      <c r="F467" s="15" t="str">
        <f>IF(ISERROR(VLOOKUP($D467,[1]SITES!$A:$E,3,FALSE)),"",VLOOKUP($D467,[1]SITES!$A:$E,3,FALSE))</f>
        <v/>
      </c>
      <c r="G467" s="16" t="str">
        <f>IF(ISERROR(VLOOKUP($D467,[1]SITES!$A:$E,4,FALSE)),"",VLOOKUP($D467,[1]SITES!$A:$E,4,FALSE))</f>
        <v/>
      </c>
      <c r="H467" s="26" t="str">
        <f t="shared" si="65"/>
        <v>DATE</v>
      </c>
      <c r="I467" s="12" t="str">
        <f t="shared" si="65"/>
        <v>VIS</v>
      </c>
      <c r="J467" s="12" t="str">
        <f t="shared" si="65"/>
        <v>DIRECTION</v>
      </c>
      <c r="K467" s="24" t="str">
        <f t="shared" si="65"/>
        <v>TIME</v>
      </c>
      <c r="L467" s="12" t="str">
        <f t="shared" si="65"/>
        <v>DEPTH</v>
      </c>
      <c r="M467" s="12" t="str">
        <f t="shared" si="65"/>
        <v>BLOCK</v>
      </c>
      <c r="O467" s="22"/>
      <c r="Q467" s="14"/>
      <c r="R467" s="25">
        <f t="shared" si="62"/>
        <v>0</v>
      </c>
      <c r="S467" s="12">
        <v>0</v>
      </c>
    </row>
    <row r="468" spans="1:19">
      <c r="A468" s="14">
        <f>MAX($A$1:$A467)+1</f>
        <v>466</v>
      </c>
      <c r="B468" s="12" t="str">
        <f t="shared" si="66"/>
        <v>DIVER NAME</v>
      </c>
      <c r="C468" s="12" t="str">
        <f t="shared" si="66"/>
        <v>BUDDY NAME</v>
      </c>
      <c r="D468" s="12">
        <f t="shared" si="66"/>
        <v>0</v>
      </c>
      <c r="E468" s="14" t="str">
        <f>IF(ISERROR(VLOOKUP($D468,[1]SITES!$A:$E,2,FALSE)),"",VLOOKUP($D468,[1]SITES!$A:$E,2,FALSE))</f>
        <v/>
      </c>
      <c r="F468" s="15" t="str">
        <f>IF(ISERROR(VLOOKUP($D468,[1]SITES!$A:$E,3,FALSE)),"",VLOOKUP($D468,[1]SITES!$A:$E,3,FALSE))</f>
        <v/>
      </c>
      <c r="G468" s="16" t="str">
        <f>IF(ISERROR(VLOOKUP($D468,[1]SITES!$A:$E,4,FALSE)),"",VLOOKUP($D468,[1]SITES!$A:$E,4,FALSE))</f>
        <v/>
      </c>
      <c r="H468" s="26" t="str">
        <f t="shared" ref="H468:M468" si="67">IF(ISERROR(H467),IF(ISERROR(H466),IF(ISERROR(H465),"BLANK",H465),H466),H467)</f>
        <v>DATE</v>
      </c>
      <c r="I468" s="12" t="str">
        <f t="shared" si="67"/>
        <v>VIS</v>
      </c>
      <c r="J468" s="12" t="str">
        <f t="shared" si="67"/>
        <v>DIRECTION</v>
      </c>
      <c r="K468" s="24" t="str">
        <f t="shared" si="67"/>
        <v>TIME</v>
      </c>
      <c r="L468" s="12" t="str">
        <f t="shared" si="67"/>
        <v>DEPTH</v>
      </c>
      <c r="M468" s="12" t="str">
        <f t="shared" si="67"/>
        <v>BLOCK</v>
      </c>
      <c r="O468" s="22"/>
      <c r="Q468" s="14"/>
      <c r="R468" s="25">
        <f t="shared" si="62"/>
        <v>0</v>
      </c>
      <c r="S468" s="12">
        <v>0</v>
      </c>
    </row>
  </sheetData>
  <dataValidations count="3">
    <dataValidation type="time" allowBlank="1" showInputMessage="1" showErrorMessage="1" sqref="K1:K1048576" xr:uid="{7364B5C5-5A8D-BE4E-BC94-133082431FB7}">
      <formula1>0.208333333333333</formula1>
      <formula2>0.999305555555556</formula2>
    </dataValidation>
    <dataValidation type="decimal" allowBlank="1" showInputMessage="1" showErrorMessage="1" sqref="M469:N65536 M1:N1" xr:uid="{5C7C2EB7-957F-5D4F-9DBF-61E00FD5E567}">
      <formula1>0</formula1>
      <formula2>2</formula2>
    </dataValidation>
    <dataValidation type="decimal" operator="greaterThan" allowBlank="1" showInputMessage="1" showErrorMessage="1" sqref="I1:I1048576 L1:L1048576" xr:uid="{1300CC22-8133-374B-BBAD-BD249F95D717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CBA5-67FC-B14E-B5B2-6BDA643242D2}">
  <sheetPr filterMode="1"/>
  <dimension ref="A1:AW678"/>
  <sheetViews>
    <sheetView tabSelected="1" workbookViewId="0">
      <pane ySplit="1" topLeftCell="A112" activePane="bottomLeft" state="frozen"/>
      <selection pane="bottomLeft" activeCell="L285" sqref="L285"/>
    </sheetView>
  </sheetViews>
  <sheetFormatPr defaultColWidth="10.875" defaultRowHeight="15.95"/>
  <cols>
    <col min="1" max="1" width="6" style="38" customWidth="1"/>
    <col min="2" max="2" width="16.375" style="30" bestFit="1" customWidth="1"/>
    <col min="3" max="3" width="19.875" style="30" customWidth="1"/>
    <col min="4" max="4" width="10.875" style="30"/>
    <col min="5" max="5" width="27" style="30" customWidth="1"/>
    <col min="6" max="6" width="10.875" style="57"/>
    <col min="7" max="7" width="10.875" style="55"/>
    <col min="8" max="12" width="10.875" style="30"/>
    <col min="13" max="13" width="13.375" style="30" bestFit="1" customWidth="1"/>
    <col min="14" max="15" width="10.875" style="30"/>
    <col min="16" max="16" width="13.625" style="30" customWidth="1"/>
    <col min="17" max="17" width="7.5" style="30" customWidth="1"/>
    <col min="18" max="18" width="20.375" style="30" customWidth="1"/>
    <col min="19" max="19" width="21.375" style="30" customWidth="1"/>
    <col min="20" max="16384" width="10.875" style="30"/>
  </cols>
  <sheetData>
    <row r="1" spans="1:49" s="27" customFormat="1" ht="17.100000000000001" thickBot="1">
      <c r="A1" s="39" t="s">
        <v>0</v>
      </c>
      <c r="B1" s="40" t="s">
        <v>1</v>
      </c>
      <c r="C1" s="40" t="s">
        <v>2</v>
      </c>
      <c r="D1" s="40" t="s">
        <v>3</v>
      </c>
      <c r="E1" s="58" t="s">
        <v>4</v>
      </c>
      <c r="F1" s="40" t="s">
        <v>5</v>
      </c>
      <c r="G1" s="58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28</v>
      </c>
      <c r="N1" s="40" t="s">
        <v>29</v>
      </c>
      <c r="O1" s="40" t="s">
        <v>12</v>
      </c>
      <c r="P1" s="40" t="s">
        <v>30</v>
      </c>
      <c r="Q1" s="40" t="s">
        <v>13</v>
      </c>
      <c r="R1" s="33" t="s">
        <v>14</v>
      </c>
      <c r="S1" s="34" t="s">
        <v>15</v>
      </c>
      <c r="T1" s="35" t="s">
        <v>16</v>
      </c>
      <c r="U1" s="40" t="s">
        <v>17</v>
      </c>
      <c r="V1" s="29">
        <f t="shared" ref="V1:AS1" si="0">2.5*V2</f>
        <v>2.5</v>
      </c>
      <c r="W1" s="29">
        <f t="shared" si="0"/>
        <v>5</v>
      </c>
      <c r="X1" s="29">
        <f t="shared" si="0"/>
        <v>7.5</v>
      </c>
      <c r="Y1" s="29">
        <f t="shared" si="0"/>
        <v>10</v>
      </c>
      <c r="Z1" s="29">
        <f>2.5*Z2</f>
        <v>12.5</v>
      </c>
      <c r="AA1" s="29">
        <f t="shared" si="0"/>
        <v>15</v>
      </c>
      <c r="AB1" s="29">
        <f>2.5*AB2</f>
        <v>20</v>
      </c>
      <c r="AC1" s="29">
        <f t="shared" si="0"/>
        <v>25</v>
      </c>
      <c r="AD1" s="29">
        <f t="shared" si="0"/>
        <v>30</v>
      </c>
      <c r="AE1" s="29">
        <f t="shared" si="0"/>
        <v>35</v>
      </c>
      <c r="AF1" s="29">
        <f t="shared" si="0"/>
        <v>40</v>
      </c>
      <c r="AG1" s="29">
        <f t="shared" si="0"/>
        <v>50</v>
      </c>
      <c r="AH1" s="29">
        <f t="shared" si="0"/>
        <v>62.5</v>
      </c>
      <c r="AI1" s="29">
        <f t="shared" si="0"/>
        <v>75</v>
      </c>
      <c r="AJ1" s="29">
        <f t="shared" si="0"/>
        <v>87.5</v>
      </c>
      <c r="AK1" s="29">
        <f t="shared" si="0"/>
        <v>100</v>
      </c>
      <c r="AL1" s="29">
        <f t="shared" si="0"/>
        <v>112.5</v>
      </c>
      <c r="AM1" s="29">
        <f t="shared" si="0"/>
        <v>125</v>
      </c>
      <c r="AN1" s="29">
        <f t="shared" si="0"/>
        <v>137.5</v>
      </c>
      <c r="AO1" s="29">
        <f t="shared" si="0"/>
        <v>150</v>
      </c>
      <c r="AP1" s="29">
        <f t="shared" si="0"/>
        <v>162.5</v>
      </c>
      <c r="AQ1" s="29">
        <f t="shared" si="0"/>
        <v>175</v>
      </c>
      <c r="AR1" s="29">
        <f t="shared" si="0"/>
        <v>187.5</v>
      </c>
      <c r="AS1" s="29">
        <f t="shared" si="0"/>
        <v>200</v>
      </c>
      <c r="AT1" s="29">
        <v>250</v>
      </c>
      <c r="AU1" s="29">
        <v>300</v>
      </c>
      <c r="AV1" s="29">
        <v>350</v>
      </c>
      <c r="AW1" s="29">
        <v>400</v>
      </c>
    </row>
    <row r="2" spans="1:49" hidden="1">
      <c r="B2" s="41"/>
      <c r="C2" s="41"/>
      <c r="D2" s="41"/>
      <c r="E2" s="59"/>
      <c r="F2" s="52"/>
      <c r="G2" s="59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36">
        <f>SUM(T3:T10209)</f>
        <v>1129</v>
      </c>
      <c r="U2" s="41">
        <v>0</v>
      </c>
      <c r="V2" s="32">
        <v>1</v>
      </c>
      <c r="W2" s="32">
        <v>2</v>
      </c>
      <c r="X2" s="32">
        <v>3</v>
      </c>
      <c r="Y2" s="32">
        <v>4</v>
      </c>
      <c r="Z2" s="32">
        <v>5</v>
      </c>
      <c r="AA2" s="32">
        <v>6</v>
      </c>
      <c r="AB2" s="32">
        <v>8</v>
      </c>
      <c r="AC2" s="32">
        <v>10</v>
      </c>
      <c r="AD2" s="32">
        <v>12</v>
      </c>
      <c r="AE2" s="32">
        <v>14</v>
      </c>
      <c r="AF2" s="32">
        <v>16</v>
      </c>
      <c r="AG2" s="32">
        <v>20</v>
      </c>
      <c r="AH2" s="32">
        <v>25</v>
      </c>
      <c r="AI2" s="32">
        <v>30</v>
      </c>
      <c r="AJ2" s="32">
        <v>35</v>
      </c>
      <c r="AK2" s="32">
        <v>40</v>
      </c>
      <c r="AL2" s="32">
        <v>45</v>
      </c>
      <c r="AM2" s="32">
        <v>50</v>
      </c>
      <c r="AN2" s="32">
        <v>55</v>
      </c>
      <c r="AO2" s="32">
        <v>60</v>
      </c>
      <c r="AP2" s="32">
        <v>65</v>
      </c>
      <c r="AQ2" s="32">
        <v>70</v>
      </c>
      <c r="AR2" s="32">
        <v>75</v>
      </c>
      <c r="AS2" s="32">
        <v>80</v>
      </c>
      <c r="AT2" s="32">
        <v>100</v>
      </c>
      <c r="AU2" s="32">
        <v>120</v>
      </c>
      <c r="AV2" s="32">
        <v>140</v>
      </c>
      <c r="AW2" s="32">
        <v>160</v>
      </c>
    </row>
    <row r="3" spans="1:49" hidden="1">
      <c r="A3" s="31">
        <v>1</v>
      </c>
      <c r="B3" s="41" t="s">
        <v>31</v>
      </c>
      <c r="C3" s="41" t="s">
        <v>32</v>
      </c>
      <c r="D3" s="41" t="s">
        <v>33</v>
      </c>
      <c r="E3" s="59" t="s">
        <v>34</v>
      </c>
      <c r="F3" s="54">
        <v>48.8542671203613</v>
      </c>
      <c r="G3" s="46">
        <v>-125.11703491210901</v>
      </c>
      <c r="H3" s="49" t="s">
        <v>35</v>
      </c>
      <c r="I3" s="50">
        <v>3</v>
      </c>
      <c r="J3" s="50">
        <v>90</v>
      </c>
      <c r="K3" s="47">
        <v>0.42638888888888887</v>
      </c>
      <c r="L3" s="50">
        <v>5.5</v>
      </c>
      <c r="M3" s="51">
        <v>8</v>
      </c>
      <c r="N3" s="41" t="s">
        <v>36</v>
      </c>
      <c r="O3" s="41">
        <v>2</v>
      </c>
      <c r="P3" s="41">
        <v>8</v>
      </c>
      <c r="Q3" s="50" t="s">
        <v>37</v>
      </c>
      <c r="R3" s="37" t="s">
        <v>38</v>
      </c>
      <c r="S3" s="48"/>
      <c r="T3" s="44">
        <f>SUM(U3:AW3)</f>
        <v>0</v>
      </c>
      <c r="U3" s="41">
        <v>0</v>
      </c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</row>
    <row r="4" spans="1:49" hidden="1">
      <c r="A4" s="37">
        <f>MAX($A$1:$A3)+1</f>
        <v>2</v>
      </c>
      <c r="B4" s="41" t="s">
        <v>31</v>
      </c>
      <c r="C4" s="41" t="s">
        <v>32</v>
      </c>
      <c r="D4" s="41" t="s">
        <v>33</v>
      </c>
      <c r="E4" s="59" t="s">
        <v>34</v>
      </c>
      <c r="F4" s="54">
        <v>48.8542671203613</v>
      </c>
      <c r="G4" s="46">
        <v>-125.11703491210901</v>
      </c>
      <c r="H4" s="49" t="s">
        <v>35</v>
      </c>
      <c r="I4" s="50">
        <v>3</v>
      </c>
      <c r="J4" s="50">
        <v>90</v>
      </c>
      <c r="K4" s="47">
        <v>0.42638888888888887</v>
      </c>
      <c r="L4" s="50">
        <v>5.5</v>
      </c>
      <c r="M4" s="51">
        <v>8</v>
      </c>
      <c r="N4" s="41" t="s">
        <v>36</v>
      </c>
      <c r="O4" s="41">
        <v>2</v>
      </c>
      <c r="P4" s="41">
        <v>24</v>
      </c>
      <c r="Q4" s="50" t="s">
        <v>37</v>
      </c>
      <c r="R4" s="37" t="s">
        <v>38</v>
      </c>
      <c r="S4" s="43"/>
      <c r="T4" s="44">
        <f t="shared" ref="T4:T111" si="1">SUM(U4:AW4)</f>
        <v>0</v>
      </c>
      <c r="U4" s="41">
        <v>0</v>
      </c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</row>
    <row r="5" spans="1:49" hidden="1">
      <c r="A5" s="37">
        <f>MAX($A$1:$A4)+1</f>
        <v>3</v>
      </c>
      <c r="B5" s="41" t="s">
        <v>31</v>
      </c>
      <c r="C5" s="41" t="s">
        <v>32</v>
      </c>
      <c r="D5" s="41" t="s">
        <v>33</v>
      </c>
      <c r="E5" s="59" t="s">
        <v>34</v>
      </c>
      <c r="F5" s="54">
        <v>48.8542671203613</v>
      </c>
      <c r="G5" s="46">
        <v>-125.11703491210901</v>
      </c>
      <c r="H5" s="49" t="s">
        <v>35</v>
      </c>
      <c r="I5" s="50">
        <v>3</v>
      </c>
      <c r="J5" s="50">
        <v>90</v>
      </c>
      <c r="K5" s="47">
        <v>0.42638888888888887</v>
      </c>
      <c r="L5" s="50">
        <v>5.5</v>
      </c>
      <c r="M5" s="51">
        <v>8</v>
      </c>
      <c r="N5" s="41" t="s">
        <v>36</v>
      </c>
      <c r="O5" s="41">
        <v>2</v>
      </c>
      <c r="P5" s="41">
        <v>40</v>
      </c>
      <c r="Q5" s="50" t="s">
        <v>39</v>
      </c>
      <c r="R5" s="37" t="s">
        <v>40</v>
      </c>
      <c r="S5" s="48" t="s">
        <v>41</v>
      </c>
      <c r="T5" s="44">
        <f t="shared" si="1"/>
        <v>5</v>
      </c>
      <c r="U5" s="41">
        <v>0</v>
      </c>
      <c r="V5" s="41">
        <v>2</v>
      </c>
      <c r="W5" s="41">
        <v>1</v>
      </c>
      <c r="X5" s="41">
        <v>2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</row>
    <row r="6" spans="1:49" hidden="1">
      <c r="A6" s="37">
        <f>MAX($A$1:$A5)+1</f>
        <v>4</v>
      </c>
      <c r="B6" s="41" t="s">
        <v>32</v>
      </c>
      <c r="C6" s="41" t="s">
        <v>31</v>
      </c>
      <c r="D6" s="41" t="s">
        <v>33</v>
      </c>
      <c r="E6" s="59" t="s">
        <v>34</v>
      </c>
      <c r="F6" s="54">
        <v>48.8542671203613</v>
      </c>
      <c r="G6" s="46">
        <v>-125.11703491210901</v>
      </c>
      <c r="H6" s="49" t="s">
        <v>35</v>
      </c>
      <c r="I6" s="50">
        <v>3</v>
      </c>
      <c r="J6" s="50">
        <v>90</v>
      </c>
      <c r="K6" s="47">
        <v>0.42638888888888887</v>
      </c>
      <c r="L6" s="50">
        <v>5.5</v>
      </c>
      <c r="M6" s="51">
        <v>8</v>
      </c>
      <c r="N6" s="41" t="s">
        <v>36</v>
      </c>
      <c r="O6" s="41">
        <v>1</v>
      </c>
      <c r="P6" s="41">
        <v>0</v>
      </c>
      <c r="Q6" s="41" t="s">
        <v>42</v>
      </c>
      <c r="R6" s="37" t="s">
        <v>43</v>
      </c>
      <c r="S6" s="48" t="s">
        <v>44</v>
      </c>
      <c r="T6" s="42">
        <f t="shared" si="1"/>
        <v>1</v>
      </c>
      <c r="U6" s="41"/>
      <c r="V6" s="41"/>
      <c r="W6" s="41"/>
      <c r="X6" s="41">
        <v>1</v>
      </c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</row>
    <row r="7" spans="1:49" hidden="1">
      <c r="A7" s="37">
        <f>MAX($A$1:$A6)+1</f>
        <v>5</v>
      </c>
      <c r="B7" s="41" t="s">
        <v>32</v>
      </c>
      <c r="C7" s="41" t="s">
        <v>31</v>
      </c>
      <c r="D7" s="41" t="s">
        <v>33</v>
      </c>
      <c r="E7" s="59" t="s">
        <v>34</v>
      </c>
      <c r="F7" s="54">
        <v>48.8542671203613</v>
      </c>
      <c r="G7" s="46">
        <v>-125.11703491210901</v>
      </c>
      <c r="H7" s="49" t="s">
        <v>35</v>
      </c>
      <c r="I7" s="50">
        <v>3</v>
      </c>
      <c r="J7" s="50">
        <v>90</v>
      </c>
      <c r="K7" s="47">
        <v>0.42638888888888887</v>
      </c>
      <c r="L7" s="50">
        <v>5.5</v>
      </c>
      <c r="M7" s="51">
        <v>8</v>
      </c>
      <c r="N7" s="41" t="s">
        <v>36</v>
      </c>
      <c r="O7" s="41">
        <v>1</v>
      </c>
      <c r="P7" s="41">
        <v>0</v>
      </c>
      <c r="Q7" s="41" t="s">
        <v>45</v>
      </c>
      <c r="R7" s="37" t="s">
        <v>46</v>
      </c>
      <c r="S7" s="48" t="s">
        <v>47</v>
      </c>
      <c r="T7" s="42">
        <f t="shared" si="1"/>
        <v>4</v>
      </c>
      <c r="U7" s="41"/>
      <c r="V7" s="41"/>
      <c r="W7" s="41"/>
      <c r="X7" s="41"/>
      <c r="Y7" s="41"/>
      <c r="Z7" s="41">
        <v>1</v>
      </c>
      <c r="AA7" s="41">
        <v>3</v>
      </c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</row>
    <row r="8" spans="1:49" hidden="1">
      <c r="A8" s="37">
        <f>MAX($A$1:$A7)+1</f>
        <v>6</v>
      </c>
      <c r="B8" s="41" t="s">
        <v>32</v>
      </c>
      <c r="C8" s="41" t="s">
        <v>31</v>
      </c>
      <c r="D8" s="41" t="s">
        <v>33</v>
      </c>
      <c r="E8" s="59" t="s">
        <v>34</v>
      </c>
      <c r="F8" s="54">
        <v>48.8542671203613</v>
      </c>
      <c r="G8" s="46">
        <v>-125.11703491210901</v>
      </c>
      <c r="H8" s="49" t="s">
        <v>35</v>
      </c>
      <c r="I8" s="50">
        <v>3</v>
      </c>
      <c r="J8" s="50">
        <v>90</v>
      </c>
      <c r="K8" s="47">
        <v>0.42638888888888887</v>
      </c>
      <c r="L8" s="50">
        <v>5.5</v>
      </c>
      <c r="M8" s="51">
        <v>8</v>
      </c>
      <c r="N8" s="41" t="s">
        <v>36</v>
      </c>
      <c r="O8" s="41">
        <v>1</v>
      </c>
      <c r="P8" s="41">
        <v>0</v>
      </c>
      <c r="Q8" s="50" t="s">
        <v>39</v>
      </c>
      <c r="R8" s="37" t="s">
        <v>40</v>
      </c>
      <c r="S8" s="48" t="s">
        <v>41</v>
      </c>
      <c r="T8" s="42">
        <f t="shared" si="1"/>
        <v>2</v>
      </c>
      <c r="U8" s="41">
        <v>0</v>
      </c>
      <c r="V8" s="41"/>
      <c r="W8" s="41"/>
      <c r="X8" s="41"/>
      <c r="Y8" s="41">
        <v>2</v>
      </c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</row>
    <row r="9" spans="1:49" hidden="1">
      <c r="A9" s="37">
        <f>MAX($A$1:$A8)+1</f>
        <v>7</v>
      </c>
      <c r="B9" s="41" t="s">
        <v>32</v>
      </c>
      <c r="C9" s="41" t="s">
        <v>31</v>
      </c>
      <c r="D9" s="41" t="s">
        <v>33</v>
      </c>
      <c r="E9" s="59" t="s">
        <v>34</v>
      </c>
      <c r="F9" s="54">
        <v>48.8542671203613</v>
      </c>
      <c r="G9" s="46">
        <v>-125.11703491210901</v>
      </c>
      <c r="H9" s="49" t="s">
        <v>35</v>
      </c>
      <c r="I9" s="50">
        <v>3</v>
      </c>
      <c r="J9" s="50">
        <v>90</v>
      </c>
      <c r="K9" s="47">
        <v>0.42638888888888887</v>
      </c>
      <c r="L9" s="50">
        <v>5.5</v>
      </c>
      <c r="M9" s="51">
        <v>8</v>
      </c>
      <c r="N9" s="41" t="s">
        <v>36</v>
      </c>
      <c r="O9" s="41">
        <v>1</v>
      </c>
      <c r="P9" s="41">
        <v>16</v>
      </c>
      <c r="Q9" s="50" t="s">
        <v>39</v>
      </c>
      <c r="R9" s="37" t="s">
        <v>40</v>
      </c>
      <c r="S9" s="48" t="s">
        <v>41</v>
      </c>
      <c r="T9" s="42">
        <f t="shared" si="1"/>
        <v>1</v>
      </c>
      <c r="U9" s="41">
        <v>0</v>
      </c>
      <c r="V9" s="41"/>
      <c r="W9" s="41"/>
      <c r="X9" s="41"/>
      <c r="Y9" s="41"/>
      <c r="Z9" s="41"/>
      <c r="AA9" s="41">
        <v>1</v>
      </c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</row>
    <row r="10" spans="1:49" hidden="1">
      <c r="A10" s="37">
        <f>MAX($A$1:$A9)+1</f>
        <v>8</v>
      </c>
      <c r="B10" s="41" t="s">
        <v>32</v>
      </c>
      <c r="C10" s="41" t="s">
        <v>31</v>
      </c>
      <c r="D10" s="41" t="s">
        <v>33</v>
      </c>
      <c r="E10" s="59" t="s">
        <v>34</v>
      </c>
      <c r="F10" s="54">
        <v>48.8542671203613</v>
      </c>
      <c r="G10" s="46">
        <v>-125.11703491210901</v>
      </c>
      <c r="H10" s="49" t="s">
        <v>35</v>
      </c>
      <c r="I10" s="50">
        <v>3</v>
      </c>
      <c r="J10" s="50">
        <v>90</v>
      </c>
      <c r="K10" s="47">
        <v>0.42638888888888887</v>
      </c>
      <c r="L10" s="50">
        <v>5.5</v>
      </c>
      <c r="M10" s="51">
        <v>8</v>
      </c>
      <c r="N10" s="41" t="s">
        <v>36</v>
      </c>
      <c r="O10" s="41">
        <v>1</v>
      </c>
      <c r="P10" s="41">
        <v>16</v>
      </c>
      <c r="Q10" s="41" t="s">
        <v>48</v>
      </c>
      <c r="R10" s="28" t="s">
        <v>49</v>
      </c>
      <c r="S10" s="45" t="s">
        <v>50</v>
      </c>
      <c r="T10" s="42">
        <f t="shared" si="1"/>
        <v>1</v>
      </c>
      <c r="U10" s="41"/>
      <c r="V10" s="41"/>
      <c r="W10" s="41"/>
      <c r="X10" s="41">
        <v>1</v>
      </c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</row>
    <row r="11" spans="1:49" hidden="1">
      <c r="A11" s="37">
        <f>MAX($A$1:$A10)+1</f>
        <v>9</v>
      </c>
      <c r="B11" s="41" t="s">
        <v>32</v>
      </c>
      <c r="C11" s="41" t="s">
        <v>31</v>
      </c>
      <c r="D11" s="41" t="s">
        <v>33</v>
      </c>
      <c r="E11" s="59" t="s">
        <v>34</v>
      </c>
      <c r="F11" s="54">
        <v>48.8542671203613</v>
      </c>
      <c r="G11" s="46">
        <v>-125.11703491210901</v>
      </c>
      <c r="H11" s="49" t="s">
        <v>35</v>
      </c>
      <c r="I11" s="50">
        <v>3</v>
      </c>
      <c r="J11" s="50">
        <v>90</v>
      </c>
      <c r="K11" s="47">
        <v>0.42638888888888887</v>
      </c>
      <c r="L11" s="50">
        <v>5.5</v>
      </c>
      <c r="M11" s="51">
        <v>8</v>
      </c>
      <c r="N11" s="41" t="s">
        <v>36</v>
      </c>
      <c r="O11" s="41">
        <v>1</v>
      </c>
      <c r="P11" s="41">
        <v>32</v>
      </c>
      <c r="Q11" s="50" t="s">
        <v>39</v>
      </c>
      <c r="R11" s="37" t="s">
        <v>40</v>
      </c>
      <c r="S11" s="48" t="s">
        <v>41</v>
      </c>
      <c r="T11" s="42">
        <f t="shared" si="1"/>
        <v>3</v>
      </c>
      <c r="U11" s="41">
        <v>0</v>
      </c>
      <c r="V11" s="41"/>
      <c r="W11" s="41"/>
      <c r="X11" s="41">
        <v>1</v>
      </c>
      <c r="Y11" s="41">
        <v>2</v>
      </c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</row>
    <row r="12" spans="1:49" hidden="1">
      <c r="A12" s="37">
        <f>MAX($A$1:$A11)+1</f>
        <v>10</v>
      </c>
      <c r="B12" s="41" t="s">
        <v>32</v>
      </c>
      <c r="C12" s="41" t="s">
        <v>31</v>
      </c>
      <c r="D12" s="41" t="s">
        <v>33</v>
      </c>
      <c r="E12" s="59" t="s">
        <v>34</v>
      </c>
      <c r="F12" s="54">
        <v>48.8542671203613</v>
      </c>
      <c r="G12" s="46">
        <v>-125.11703491210901</v>
      </c>
      <c r="H12" s="49" t="s">
        <v>35</v>
      </c>
      <c r="I12" s="50">
        <v>3</v>
      </c>
      <c r="J12" s="50">
        <v>90</v>
      </c>
      <c r="K12" s="47">
        <v>0.42638888888888887</v>
      </c>
      <c r="L12" s="50">
        <v>5.5</v>
      </c>
      <c r="M12" s="51">
        <v>8</v>
      </c>
      <c r="N12" s="41" t="s">
        <v>36</v>
      </c>
      <c r="O12" s="41">
        <v>1</v>
      </c>
      <c r="P12" s="41">
        <v>48</v>
      </c>
      <c r="Q12" s="50" t="s">
        <v>39</v>
      </c>
      <c r="R12" s="62" t="s">
        <v>40</v>
      </c>
      <c r="S12" s="63" t="s">
        <v>41</v>
      </c>
      <c r="T12" s="42">
        <f t="shared" si="1"/>
        <v>3</v>
      </c>
      <c r="U12" s="41">
        <v>0</v>
      </c>
      <c r="V12" s="41">
        <v>1</v>
      </c>
      <c r="W12" s="41"/>
      <c r="X12" s="41">
        <v>1</v>
      </c>
      <c r="Y12" s="41">
        <v>1</v>
      </c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</row>
    <row r="13" spans="1:49" hidden="1">
      <c r="A13" s="37">
        <f>MAX($A$1:$A12)+1</f>
        <v>11</v>
      </c>
      <c r="B13" s="41" t="s">
        <v>32</v>
      </c>
      <c r="C13" s="41" t="s">
        <v>31</v>
      </c>
      <c r="D13" s="41" t="s">
        <v>33</v>
      </c>
      <c r="E13" s="59" t="s">
        <v>34</v>
      </c>
      <c r="F13" s="54">
        <v>48.8542671203613</v>
      </c>
      <c r="G13" s="46">
        <v>-125.11703491210901</v>
      </c>
      <c r="H13" s="49" t="s">
        <v>35</v>
      </c>
      <c r="I13" s="50">
        <v>3</v>
      </c>
      <c r="J13" s="50">
        <v>90</v>
      </c>
      <c r="K13" s="47">
        <v>0.42638888888888887</v>
      </c>
      <c r="L13" s="50">
        <v>5.5</v>
      </c>
      <c r="M13" s="51">
        <v>8</v>
      </c>
      <c r="N13" s="41" t="s">
        <v>36</v>
      </c>
      <c r="O13" s="41">
        <v>1</v>
      </c>
      <c r="P13" s="41">
        <v>48</v>
      </c>
      <c r="Q13" s="41" t="s">
        <v>48</v>
      </c>
      <c r="R13" s="28" t="s">
        <v>49</v>
      </c>
      <c r="S13" s="45" t="s">
        <v>50</v>
      </c>
      <c r="T13" s="42">
        <f t="shared" si="1"/>
        <v>1</v>
      </c>
      <c r="U13" s="41"/>
      <c r="V13" s="41"/>
      <c r="W13" s="41"/>
      <c r="X13" s="41">
        <v>1</v>
      </c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</row>
    <row r="14" spans="1:49" hidden="1">
      <c r="A14" s="37">
        <f>MAX($A$1:$A13)+1</f>
        <v>12</v>
      </c>
      <c r="B14" s="41" t="s">
        <v>31</v>
      </c>
      <c r="C14" s="41" t="s">
        <v>32</v>
      </c>
      <c r="D14" s="41" t="s">
        <v>51</v>
      </c>
      <c r="E14" s="59" t="s">
        <v>52</v>
      </c>
      <c r="F14" s="54">
        <v>48.85205078125</v>
      </c>
      <c r="G14" s="46">
        <v>-125.123565673828</v>
      </c>
      <c r="H14" s="49" t="s">
        <v>35</v>
      </c>
      <c r="I14" s="12">
        <v>2</v>
      </c>
      <c r="J14" s="12">
        <v>90</v>
      </c>
      <c r="K14" s="24">
        <v>0.54166666666666663</v>
      </c>
      <c r="L14" s="12">
        <v>6</v>
      </c>
      <c r="M14" s="12">
        <v>8</v>
      </c>
      <c r="N14" s="41" t="s">
        <v>36</v>
      </c>
      <c r="O14" s="41">
        <v>1</v>
      </c>
      <c r="P14" s="41">
        <v>0</v>
      </c>
      <c r="Q14" s="41" t="s">
        <v>39</v>
      </c>
      <c r="R14" s="37" t="s">
        <v>40</v>
      </c>
      <c r="S14" s="48" t="s">
        <v>41</v>
      </c>
      <c r="T14" s="42">
        <f t="shared" si="1"/>
        <v>5</v>
      </c>
      <c r="U14" s="41">
        <v>0</v>
      </c>
      <c r="V14" s="41"/>
      <c r="W14" s="41">
        <v>1</v>
      </c>
      <c r="X14" s="41">
        <v>1</v>
      </c>
      <c r="Y14" s="41">
        <v>3</v>
      </c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</row>
    <row r="15" spans="1:49" hidden="1">
      <c r="A15" s="37">
        <f>MAX($A$1:$A14)+1</f>
        <v>13</v>
      </c>
      <c r="B15" s="41" t="s">
        <v>31</v>
      </c>
      <c r="C15" s="41" t="s">
        <v>32</v>
      </c>
      <c r="D15" s="41" t="s">
        <v>51</v>
      </c>
      <c r="E15" s="59" t="s">
        <v>52</v>
      </c>
      <c r="F15" s="54">
        <v>48.85205078125</v>
      </c>
      <c r="G15" s="46">
        <v>-125.123565673828</v>
      </c>
      <c r="H15" s="49" t="s">
        <v>35</v>
      </c>
      <c r="I15" s="12">
        <v>2</v>
      </c>
      <c r="J15" s="12">
        <v>90</v>
      </c>
      <c r="K15" s="24">
        <v>0.54166666666666663</v>
      </c>
      <c r="L15" s="12">
        <v>6</v>
      </c>
      <c r="M15" s="12">
        <v>8</v>
      </c>
      <c r="N15" s="41" t="s">
        <v>36</v>
      </c>
      <c r="O15" s="41">
        <v>1</v>
      </c>
      <c r="P15" s="41">
        <v>0</v>
      </c>
      <c r="Q15" s="41" t="s">
        <v>48</v>
      </c>
      <c r="R15" s="37" t="s">
        <v>49</v>
      </c>
      <c r="S15" s="48" t="s">
        <v>50</v>
      </c>
      <c r="T15" s="42">
        <f t="shared" si="1"/>
        <v>1</v>
      </c>
      <c r="U15" s="41">
        <v>0</v>
      </c>
      <c r="V15" s="41"/>
      <c r="W15" s="41"/>
      <c r="X15" s="41">
        <v>1</v>
      </c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</row>
    <row r="16" spans="1:49" hidden="1">
      <c r="A16" s="37">
        <f>MAX($A$1:$A15)+1</f>
        <v>14</v>
      </c>
      <c r="B16" s="41" t="s">
        <v>31</v>
      </c>
      <c r="C16" s="41" t="s">
        <v>32</v>
      </c>
      <c r="D16" s="41" t="s">
        <v>51</v>
      </c>
      <c r="E16" s="59" t="s">
        <v>52</v>
      </c>
      <c r="F16" s="54">
        <v>48.85205078125</v>
      </c>
      <c r="G16" s="46">
        <v>-125.123565673828</v>
      </c>
      <c r="H16" s="49" t="s">
        <v>35</v>
      </c>
      <c r="I16" s="12">
        <v>2</v>
      </c>
      <c r="J16" s="12">
        <v>90</v>
      </c>
      <c r="K16" s="24">
        <v>0.54166666666666663</v>
      </c>
      <c r="L16" s="12">
        <v>6</v>
      </c>
      <c r="M16" s="12">
        <v>8</v>
      </c>
      <c r="N16" s="41" t="s">
        <v>36</v>
      </c>
      <c r="O16" s="41">
        <v>1</v>
      </c>
      <c r="P16" s="41">
        <v>16</v>
      </c>
      <c r="Q16" s="41" t="s">
        <v>39</v>
      </c>
      <c r="R16" s="37" t="s">
        <v>40</v>
      </c>
      <c r="S16" s="48" t="s">
        <v>41</v>
      </c>
      <c r="T16" s="42">
        <f t="shared" si="1"/>
        <v>8</v>
      </c>
      <c r="U16" s="41">
        <v>0</v>
      </c>
      <c r="V16" s="41"/>
      <c r="W16" s="41"/>
      <c r="X16" s="41">
        <v>3</v>
      </c>
      <c r="Y16" s="41">
        <v>5</v>
      </c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</row>
    <row r="17" spans="1:49" hidden="1">
      <c r="A17" s="37">
        <f>MAX($A$1:$A16)+1</f>
        <v>15</v>
      </c>
      <c r="B17" s="41" t="s">
        <v>31</v>
      </c>
      <c r="C17" s="41" t="s">
        <v>32</v>
      </c>
      <c r="D17" s="41" t="s">
        <v>51</v>
      </c>
      <c r="E17" s="59" t="s">
        <v>52</v>
      </c>
      <c r="F17" s="54">
        <v>48.85205078125</v>
      </c>
      <c r="G17" s="46">
        <v>-125.123565673828</v>
      </c>
      <c r="H17" s="49" t="s">
        <v>35</v>
      </c>
      <c r="I17" s="12">
        <v>2</v>
      </c>
      <c r="J17" s="12">
        <v>90</v>
      </c>
      <c r="K17" s="24">
        <v>0.54166666666666663</v>
      </c>
      <c r="L17" s="12">
        <v>6</v>
      </c>
      <c r="M17" s="12">
        <v>8</v>
      </c>
      <c r="N17" s="41" t="s">
        <v>36</v>
      </c>
      <c r="O17" s="41">
        <v>1</v>
      </c>
      <c r="P17" s="41">
        <v>16</v>
      </c>
      <c r="Q17" s="41" t="s">
        <v>53</v>
      </c>
      <c r="R17" s="37" t="s">
        <v>54</v>
      </c>
      <c r="S17" s="48" t="s">
        <v>55</v>
      </c>
      <c r="T17" s="42">
        <f t="shared" ref="T17" si="2">SUM(U17:AW17)</f>
        <v>1</v>
      </c>
      <c r="U17" s="41">
        <v>0</v>
      </c>
      <c r="V17" s="41"/>
      <c r="W17" s="41"/>
      <c r="X17" s="41"/>
      <c r="Y17" s="41">
        <v>1</v>
      </c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</row>
    <row r="18" spans="1:49" hidden="1">
      <c r="A18" s="37">
        <f>MAX($A$1:$A17)+1</f>
        <v>16</v>
      </c>
      <c r="B18" s="41" t="s">
        <v>31</v>
      </c>
      <c r="C18" s="41" t="s">
        <v>32</v>
      </c>
      <c r="D18" s="41" t="s">
        <v>51</v>
      </c>
      <c r="E18" s="59" t="s">
        <v>52</v>
      </c>
      <c r="F18" s="54">
        <v>48.85205078125</v>
      </c>
      <c r="G18" s="46">
        <v>-125.123565673828</v>
      </c>
      <c r="H18" s="49" t="s">
        <v>35</v>
      </c>
      <c r="I18" s="12">
        <v>2</v>
      </c>
      <c r="J18" s="12">
        <v>90</v>
      </c>
      <c r="K18" s="24">
        <v>0.54166666666666663</v>
      </c>
      <c r="L18" s="12">
        <v>6</v>
      </c>
      <c r="M18" s="12">
        <v>8</v>
      </c>
      <c r="N18" s="41" t="s">
        <v>36</v>
      </c>
      <c r="O18" s="41">
        <v>1</v>
      </c>
      <c r="P18" s="41">
        <v>32</v>
      </c>
      <c r="Q18" s="41" t="s">
        <v>39</v>
      </c>
      <c r="R18" s="37" t="s">
        <v>40</v>
      </c>
      <c r="S18" s="48" t="s">
        <v>41</v>
      </c>
      <c r="T18" s="42">
        <f t="shared" si="1"/>
        <v>7</v>
      </c>
      <c r="U18" s="41">
        <v>0</v>
      </c>
      <c r="V18" s="41"/>
      <c r="W18" s="41">
        <v>2</v>
      </c>
      <c r="X18" s="41">
        <v>3</v>
      </c>
      <c r="Y18" s="41">
        <v>2</v>
      </c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</row>
    <row r="19" spans="1:49" hidden="1">
      <c r="A19" s="37">
        <f>MAX($A$1:$A18)+1</f>
        <v>17</v>
      </c>
      <c r="B19" s="41" t="s">
        <v>31</v>
      </c>
      <c r="C19" s="41" t="s">
        <v>32</v>
      </c>
      <c r="D19" s="41" t="s">
        <v>51</v>
      </c>
      <c r="E19" s="59" t="s">
        <v>52</v>
      </c>
      <c r="F19" s="54">
        <v>48.85205078125</v>
      </c>
      <c r="G19" s="46">
        <v>-125.123565673828</v>
      </c>
      <c r="H19" s="49" t="s">
        <v>35</v>
      </c>
      <c r="I19" s="12">
        <v>2</v>
      </c>
      <c r="J19" s="12">
        <v>90</v>
      </c>
      <c r="K19" s="24">
        <v>0.54166666666666663</v>
      </c>
      <c r="L19" s="12">
        <v>6</v>
      </c>
      <c r="M19" s="12">
        <v>8</v>
      </c>
      <c r="N19" s="41" t="s">
        <v>36</v>
      </c>
      <c r="O19" s="41">
        <v>1</v>
      </c>
      <c r="P19" s="41">
        <v>32</v>
      </c>
      <c r="Q19" s="41" t="s">
        <v>53</v>
      </c>
      <c r="R19" s="37" t="s">
        <v>54</v>
      </c>
      <c r="S19" s="48" t="s">
        <v>55</v>
      </c>
      <c r="T19" s="42">
        <f t="shared" si="1"/>
        <v>1</v>
      </c>
      <c r="U19" s="41">
        <v>0</v>
      </c>
      <c r="V19" s="41"/>
      <c r="W19" s="41"/>
      <c r="X19" s="41"/>
      <c r="Y19" s="41"/>
      <c r="Z19" s="41"/>
      <c r="AA19" s="41">
        <v>1</v>
      </c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</row>
    <row r="20" spans="1:49" hidden="1">
      <c r="A20" s="37">
        <f>MAX($A$1:$A19)+1</f>
        <v>18</v>
      </c>
      <c r="B20" s="41" t="s">
        <v>31</v>
      </c>
      <c r="C20" s="41" t="s">
        <v>32</v>
      </c>
      <c r="D20" s="41" t="s">
        <v>51</v>
      </c>
      <c r="E20" s="59" t="s">
        <v>52</v>
      </c>
      <c r="F20" s="54">
        <v>48.85205078125</v>
      </c>
      <c r="G20" s="46">
        <v>-125.123565673828</v>
      </c>
      <c r="H20" s="49" t="s">
        <v>35</v>
      </c>
      <c r="I20" s="12">
        <v>2</v>
      </c>
      <c r="J20" s="12">
        <v>90</v>
      </c>
      <c r="K20" s="24">
        <v>0.54166666666666663</v>
      </c>
      <c r="L20" s="12">
        <v>6</v>
      </c>
      <c r="M20" s="12">
        <v>8</v>
      </c>
      <c r="N20" s="41" t="s">
        <v>36</v>
      </c>
      <c r="O20" s="41">
        <v>1</v>
      </c>
      <c r="P20" s="41">
        <v>32</v>
      </c>
      <c r="Q20" s="41" t="s">
        <v>45</v>
      </c>
      <c r="R20" s="37" t="s">
        <v>46</v>
      </c>
      <c r="S20" s="48" t="s">
        <v>47</v>
      </c>
      <c r="T20" s="42">
        <f t="shared" si="1"/>
        <v>1</v>
      </c>
      <c r="U20" s="41">
        <v>0</v>
      </c>
      <c r="V20" s="41"/>
      <c r="W20" s="41"/>
      <c r="X20" s="41"/>
      <c r="Y20" s="41"/>
      <c r="Z20" s="41">
        <v>1</v>
      </c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</row>
    <row r="21" spans="1:49" hidden="1">
      <c r="A21" s="37">
        <f>MAX($A$1:$A20)+1</f>
        <v>19</v>
      </c>
      <c r="B21" s="41" t="s">
        <v>31</v>
      </c>
      <c r="C21" s="41" t="s">
        <v>32</v>
      </c>
      <c r="D21" s="41" t="s">
        <v>51</v>
      </c>
      <c r="E21" s="59" t="s">
        <v>52</v>
      </c>
      <c r="F21" s="54">
        <v>48.85205078125</v>
      </c>
      <c r="G21" s="46">
        <v>-125.123565673828</v>
      </c>
      <c r="H21" s="49" t="s">
        <v>35</v>
      </c>
      <c r="I21" s="12">
        <v>2</v>
      </c>
      <c r="J21" s="12">
        <v>90</v>
      </c>
      <c r="K21" s="24">
        <v>0.54166666666666663</v>
      </c>
      <c r="L21" s="12">
        <v>6</v>
      </c>
      <c r="M21" s="12">
        <v>8</v>
      </c>
      <c r="N21" s="41" t="s">
        <v>36</v>
      </c>
      <c r="O21" s="41">
        <v>1</v>
      </c>
      <c r="P21" s="41">
        <v>48</v>
      </c>
      <c r="Q21" s="41" t="s">
        <v>39</v>
      </c>
      <c r="R21" s="37" t="s">
        <v>40</v>
      </c>
      <c r="S21" s="48" t="s">
        <v>41</v>
      </c>
      <c r="T21" s="42">
        <f t="shared" si="1"/>
        <v>6</v>
      </c>
      <c r="U21" s="41">
        <v>0</v>
      </c>
      <c r="V21" s="41"/>
      <c r="W21" s="41"/>
      <c r="X21" s="41">
        <v>2</v>
      </c>
      <c r="Y21" s="41">
        <v>4</v>
      </c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</row>
    <row r="22" spans="1:49" hidden="1">
      <c r="A22" s="37">
        <f>MAX($A$1:$A21)+1</f>
        <v>20</v>
      </c>
      <c r="B22" s="41" t="s">
        <v>32</v>
      </c>
      <c r="C22" s="41" t="s">
        <v>31</v>
      </c>
      <c r="D22" s="41" t="s">
        <v>51</v>
      </c>
      <c r="E22" s="59" t="s">
        <v>52</v>
      </c>
      <c r="F22" s="54">
        <v>48.85205078125</v>
      </c>
      <c r="G22" s="46">
        <v>-125.123565673828</v>
      </c>
      <c r="H22" s="49" t="s">
        <v>35</v>
      </c>
      <c r="I22" s="12">
        <v>2</v>
      </c>
      <c r="J22" s="12">
        <v>90</v>
      </c>
      <c r="K22" s="24">
        <v>0.54166666666666663</v>
      </c>
      <c r="L22" s="12">
        <v>6</v>
      </c>
      <c r="M22" s="12">
        <v>8</v>
      </c>
      <c r="N22" s="41" t="s">
        <v>36</v>
      </c>
      <c r="O22" s="41">
        <v>2</v>
      </c>
      <c r="P22" s="41">
        <v>8</v>
      </c>
      <c r="Q22" s="41" t="s">
        <v>39</v>
      </c>
      <c r="R22" s="37" t="s">
        <v>40</v>
      </c>
      <c r="S22" s="48" t="s">
        <v>41</v>
      </c>
      <c r="T22" s="42">
        <f t="shared" si="1"/>
        <v>4</v>
      </c>
      <c r="U22" s="41">
        <v>0</v>
      </c>
      <c r="V22" s="41"/>
      <c r="W22" s="41"/>
      <c r="X22" s="41"/>
      <c r="Y22" s="41">
        <v>4</v>
      </c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</row>
    <row r="23" spans="1:49" hidden="1">
      <c r="A23" s="37">
        <f>MAX($A$1:$A22)+1</f>
        <v>21</v>
      </c>
      <c r="B23" s="41" t="s">
        <v>32</v>
      </c>
      <c r="C23" s="41" t="s">
        <v>31</v>
      </c>
      <c r="D23" s="41" t="s">
        <v>51</v>
      </c>
      <c r="E23" s="59" t="s">
        <v>52</v>
      </c>
      <c r="F23" s="54">
        <v>48.85205078125</v>
      </c>
      <c r="G23" s="46">
        <v>-125.123565673828</v>
      </c>
      <c r="H23" s="49" t="s">
        <v>35</v>
      </c>
      <c r="I23" s="12">
        <v>2</v>
      </c>
      <c r="J23" s="12">
        <v>90</v>
      </c>
      <c r="K23" s="24">
        <v>0.54166666666666663</v>
      </c>
      <c r="L23" s="12">
        <v>6</v>
      </c>
      <c r="M23" s="12">
        <v>8</v>
      </c>
      <c r="N23" s="41" t="s">
        <v>36</v>
      </c>
      <c r="O23" s="41">
        <v>2</v>
      </c>
      <c r="P23" s="41">
        <v>24</v>
      </c>
      <c r="Q23" s="61" t="s">
        <v>39</v>
      </c>
      <c r="R23" s="62" t="s">
        <v>40</v>
      </c>
      <c r="S23" s="63" t="s">
        <v>41</v>
      </c>
      <c r="T23" s="42">
        <f t="shared" si="1"/>
        <v>10</v>
      </c>
      <c r="U23" s="41">
        <v>0</v>
      </c>
      <c r="V23" s="41"/>
      <c r="W23" s="41">
        <v>2</v>
      </c>
      <c r="X23" s="41">
        <v>2</v>
      </c>
      <c r="Y23" s="41">
        <v>5</v>
      </c>
      <c r="Z23" s="41">
        <v>1</v>
      </c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</row>
    <row r="24" spans="1:49" hidden="1">
      <c r="A24" s="37">
        <f>MAX($A$1:$A23)+1</f>
        <v>22</v>
      </c>
      <c r="B24" s="41" t="s">
        <v>32</v>
      </c>
      <c r="C24" s="41" t="s">
        <v>31</v>
      </c>
      <c r="D24" s="41" t="s">
        <v>51</v>
      </c>
      <c r="E24" s="59" t="s">
        <v>52</v>
      </c>
      <c r="F24" s="54">
        <v>48.85205078125</v>
      </c>
      <c r="G24" s="46">
        <v>-125.123565673828</v>
      </c>
      <c r="H24" s="49" t="s">
        <v>35</v>
      </c>
      <c r="I24" s="12">
        <v>2</v>
      </c>
      <c r="J24" s="12">
        <v>90</v>
      </c>
      <c r="K24" s="24">
        <v>0.54166666666666663</v>
      </c>
      <c r="L24" s="12">
        <v>6</v>
      </c>
      <c r="M24" s="12">
        <v>8</v>
      </c>
      <c r="N24" s="41" t="s">
        <v>36</v>
      </c>
      <c r="O24" s="41">
        <v>2</v>
      </c>
      <c r="P24" s="41">
        <v>40</v>
      </c>
      <c r="Q24" s="61" t="s">
        <v>39</v>
      </c>
      <c r="R24" s="62" t="s">
        <v>40</v>
      </c>
      <c r="S24" s="63" t="s">
        <v>41</v>
      </c>
      <c r="T24" s="42">
        <f t="shared" si="1"/>
        <v>15</v>
      </c>
      <c r="U24" s="41">
        <v>0</v>
      </c>
      <c r="V24" s="41">
        <v>1</v>
      </c>
      <c r="W24" s="41">
        <v>4</v>
      </c>
      <c r="X24" s="41">
        <v>5</v>
      </c>
      <c r="Y24" s="41">
        <v>4</v>
      </c>
      <c r="Z24" s="41">
        <v>1</v>
      </c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</row>
    <row r="25" spans="1:49" hidden="1">
      <c r="A25" s="37">
        <f>MAX($A$1:$A24)+1</f>
        <v>23</v>
      </c>
      <c r="B25" s="41" t="s">
        <v>31</v>
      </c>
      <c r="C25" s="41" t="s">
        <v>32</v>
      </c>
      <c r="D25" s="41" t="s">
        <v>56</v>
      </c>
      <c r="E25" s="59" t="s">
        <v>57</v>
      </c>
      <c r="F25" s="54">
        <v>48.870517730712798</v>
      </c>
      <c r="G25" s="46">
        <v>-125.160346984863</v>
      </c>
      <c r="H25" s="41" t="s">
        <v>58</v>
      </c>
      <c r="I25" s="41">
        <v>1.5</v>
      </c>
      <c r="J25" s="41">
        <v>270</v>
      </c>
      <c r="K25" s="60">
        <v>0.43263888888888885</v>
      </c>
      <c r="L25" s="41">
        <v>4</v>
      </c>
      <c r="M25" s="41">
        <v>9</v>
      </c>
      <c r="N25" s="41" t="s">
        <v>36</v>
      </c>
      <c r="O25" s="41">
        <v>1</v>
      </c>
      <c r="P25" s="41">
        <v>0</v>
      </c>
      <c r="Q25" s="41" t="s">
        <v>39</v>
      </c>
      <c r="R25" s="37" t="s">
        <v>40</v>
      </c>
      <c r="S25" s="48" t="s">
        <v>41</v>
      </c>
      <c r="T25" s="42">
        <f t="shared" si="1"/>
        <v>1</v>
      </c>
      <c r="U25" s="41">
        <v>0</v>
      </c>
      <c r="V25" s="41"/>
      <c r="W25" s="41"/>
      <c r="X25" s="41"/>
      <c r="Y25" s="41"/>
      <c r="Z25" s="41">
        <v>1</v>
      </c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</row>
    <row r="26" spans="1:49" hidden="1">
      <c r="A26" s="37">
        <f>MAX($A$1:$A25)+1</f>
        <v>24</v>
      </c>
      <c r="B26" s="41" t="s">
        <v>31</v>
      </c>
      <c r="C26" s="41" t="s">
        <v>32</v>
      </c>
      <c r="D26" s="41" t="s">
        <v>56</v>
      </c>
      <c r="E26" s="59" t="s">
        <v>57</v>
      </c>
      <c r="F26" s="54">
        <v>48.870517730712798</v>
      </c>
      <c r="G26" s="46">
        <v>-125.160346984863</v>
      </c>
      <c r="H26" s="41" t="s">
        <v>58</v>
      </c>
      <c r="I26" s="41">
        <v>1.5</v>
      </c>
      <c r="J26" s="41">
        <v>270</v>
      </c>
      <c r="K26" s="60">
        <v>0.43263888888888885</v>
      </c>
      <c r="L26" s="41">
        <v>4</v>
      </c>
      <c r="M26" s="41">
        <v>9</v>
      </c>
      <c r="N26" s="41" t="s">
        <v>36</v>
      </c>
      <c r="O26" s="41">
        <v>1</v>
      </c>
      <c r="P26" s="41">
        <v>16</v>
      </c>
      <c r="Q26" s="41" t="s">
        <v>39</v>
      </c>
      <c r="R26" s="37" t="s">
        <v>40</v>
      </c>
      <c r="S26" s="48" t="s">
        <v>41</v>
      </c>
      <c r="T26" s="42">
        <f t="shared" si="1"/>
        <v>3</v>
      </c>
      <c r="U26" s="41">
        <v>0</v>
      </c>
      <c r="V26" s="41"/>
      <c r="W26" s="41"/>
      <c r="X26" s="41"/>
      <c r="Y26" s="41">
        <v>1</v>
      </c>
      <c r="Z26" s="41">
        <v>2</v>
      </c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</row>
    <row r="27" spans="1:49" hidden="1">
      <c r="A27" s="37">
        <f>MAX($A$1:$A26)+1</f>
        <v>25</v>
      </c>
      <c r="B27" s="41" t="s">
        <v>31</v>
      </c>
      <c r="C27" s="41" t="s">
        <v>32</v>
      </c>
      <c r="D27" s="41" t="s">
        <v>56</v>
      </c>
      <c r="E27" s="59" t="s">
        <v>57</v>
      </c>
      <c r="F27" s="54">
        <v>48.870517730712798</v>
      </c>
      <c r="G27" s="46">
        <v>-125.160346984863</v>
      </c>
      <c r="H27" s="41" t="s">
        <v>58</v>
      </c>
      <c r="I27" s="41">
        <v>1.5</v>
      </c>
      <c r="J27" s="41">
        <v>270</v>
      </c>
      <c r="K27" s="60">
        <v>0.43263888888888885</v>
      </c>
      <c r="L27" s="41">
        <v>4</v>
      </c>
      <c r="M27" s="41">
        <v>9</v>
      </c>
      <c r="N27" s="41" t="s">
        <v>36</v>
      </c>
      <c r="O27" s="41">
        <v>1</v>
      </c>
      <c r="P27" s="41">
        <v>16</v>
      </c>
      <c r="Q27" s="41" t="s">
        <v>59</v>
      </c>
      <c r="R27" s="37" t="s">
        <v>60</v>
      </c>
      <c r="S27" s="48" t="s">
        <v>61</v>
      </c>
      <c r="T27" s="42">
        <f t="shared" si="1"/>
        <v>1</v>
      </c>
      <c r="U27" s="41">
        <v>0</v>
      </c>
      <c r="V27" s="41">
        <v>1</v>
      </c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</row>
    <row r="28" spans="1:49" hidden="1">
      <c r="A28" s="37">
        <f>MAX($A$1:$A27)+1</f>
        <v>26</v>
      </c>
      <c r="B28" s="41" t="s">
        <v>31</v>
      </c>
      <c r="C28" s="41" t="s">
        <v>32</v>
      </c>
      <c r="D28" s="41" t="s">
        <v>56</v>
      </c>
      <c r="E28" s="59" t="s">
        <v>57</v>
      </c>
      <c r="F28" s="54">
        <v>48.870517730712798</v>
      </c>
      <c r="G28" s="46">
        <v>-125.160346984863</v>
      </c>
      <c r="H28" s="41" t="s">
        <v>58</v>
      </c>
      <c r="I28" s="41">
        <v>1.5</v>
      </c>
      <c r="J28" s="41">
        <v>270</v>
      </c>
      <c r="K28" s="60">
        <v>0.43263888888888885</v>
      </c>
      <c r="L28" s="41">
        <v>4</v>
      </c>
      <c r="M28" s="41">
        <v>9</v>
      </c>
      <c r="N28" s="41" t="s">
        <v>36</v>
      </c>
      <c r="O28" s="41">
        <v>1</v>
      </c>
      <c r="P28" s="41">
        <v>32</v>
      </c>
      <c r="Q28" s="41" t="s">
        <v>39</v>
      </c>
      <c r="R28" s="37" t="s">
        <v>40</v>
      </c>
      <c r="S28" s="48" t="s">
        <v>41</v>
      </c>
      <c r="T28" s="42">
        <f t="shared" si="1"/>
        <v>5</v>
      </c>
      <c r="U28" s="41">
        <v>0</v>
      </c>
      <c r="V28" s="41"/>
      <c r="W28" s="41">
        <v>1</v>
      </c>
      <c r="X28" s="41">
        <v>1</v>
      </c>
      <c r="Y28" s="41"/>
      <c r="Z28" s="41">
        <v>3</v>
      </c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</row>
    <row r="29" spans="1:49" hidden="1">
      <c r="A29" s="37">
        <f>MAX($A$1:$A28)+1</f>
        <v>27</v>
      </c>
      <c r="B29" s="41" t="s">
        <v>31</v>
      </c>
      <c r="C29" s="41" t="s">
        <v>32</v>
      </c>
      <c r="D29" s="41" t="s">
        <v>56</v>
      </c>
      <c r="E29" s="59" t="s">
        <v>57</v>
      </c>
      <c r="F29" s="54">
        <v>48.870517730712798</v>
      </c>
      <c r="G29" s="46">
        <v>-125.160346984863</v>
      </c>
      <c r="H29" s="41" t="s">
        <v>58</v>
      </c>
      <c r="I29" s="41">
        <v>1.5</v>
      </c>
      <c r="J29" s="41">
        <v>270</v>
      </c>
      <c r="K29" s="60">
        <v>0.43263888888888885</v>
      </c>
      <c r="L29" s="41">
        <v>4</v>
      </c>
      <c r="M29" s="41">
        <v>9</v>
      </c>
      <c r="N29" s="41" t="s">
        <v>36</v>
      </c>
      <c r="O29" s="41">
        <v>1</v>
      </c>
      <c r="P29" s="41">
        <v>32</v>
      </c>
      <c r="Q29" s="41" t="s">
        <v>53</v>
      </c>
      <c r="R29" s="37" t="s">
        <v>54</v>
      </c>
      <c r="S29" s="48" t="s">
        <v>55</v>
      </c>
      <c r="T29" s="42">
        <f t="shared" si="1"/>
        <v>1</v>
      </c>
      <c r="U29" s="41">
        <v>0</v>
      </c>
      <c r="V29" s="41"/>
      <c r="W29" s="41"/>
      <c r="X29" s="41">
        <v>1</v>
      </c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</row>
    <row r="30" spans="1:49" hidden="1">
      <c r="A30" s="37">
        <f>MAX($A$1:$A29)+1</f>
        <v>28</v>
      </c>
      <c r="B30" s="41" t="s">
        <v>31</v>
      </c>
      <c r="C30" s="41" t="s">
        <v>32</v>
      </c>
      <c r="D30" s="41" t="s">
        <v>56</v>
      </c>
      <c r="E30" s="59" t="s">
        <v>57</v>
      </c>
      <c r="F30" s="54">
        <v>48.870517730712798</v>
      </c>
      <c r="G30" s="46">
        <v>-125.160346984863</v>
      </c>
      <c r="H30" s="41" t="s">
        <v>58</v>
      </c>
      <c r="I30" s="41">
        <v>1.5</v>
      </c>
      <c r="J30" s="41">
        <v>270</v>
      </c>
      <c r="K30" s="60">
        <v>0.43263888888888885</v>
      </c>
      <c r="L30" s="41">
        <v>4</v>
      </c>
      <c r="M30" s="41">
        <v>9</v>
      </c>
      <c r="N30" s="41" t="s">
        <v>36</v>
      </c>
      <c r="O30" s="41">
        <v>1</v>
      </c>
      <c r="P30" s="41">
        <v>32</v>
      </c>
      <c r="Q30" s="41" t="s">
        <v>45</v>
      </c>
      <c r="R30" s="37" t="s">
        <v>46</v>
      </c>
      <c r="S30" s="48" t="s">
        <v>47</v>
      </c>
      <c r="T30" s="42">
        <f t="shared" si="1"/>
        <v>1</v>
      </c>
      <c r="U30" s="41">
        <v>0</v>
      </c>
      <c r="V30" s="41"/>
      <c r="W30" s="41">
        <v>1</v>
      </c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</row>
    <row r="31" spans="1:49" hidden="1">
      <c r="A31" s="37">
        <f>MAX($A$1:$A30)+1</f>
        <v>29</v>
      </c>
      <c r="B31" s="41" t="s">
        <v>31</v>
      </c>
      <c r="C31" s="41" t="s">
        <v>32</v>
      </c>
      <c r="D31" s="41" t="s">
        <v>56</v>
      </c>
      <c r="E31" s="59" t="s">
        <v>57</v>
      </c>
      <c r="F31" s="54">
        <v>48.870517730712798</v>
      </c>
      <c r="G31" s="46">
        <v>-125.160346984863</v>
      </c>
      <c r="H31" s="41" t="s">
        <v>58</v>
      </c>
      <c r="I31" s="41">
        <v>1.5</v>
      </c>
      <c r="J31" s="41">
        <v>270</v>
      </c>
      <c r="K31" s="60">
        <v>0.43263888888888885</v>
      </c>
      <c r="L31" s="41">
        <v>4</v>
      </c>
      <c r="M31" s="41">
        <v>9</v>
      </c>
      <c r="N31" s="41" t="s">
        <v>36</v>
      </c>
      <c r="O31" s="41">
        <v>1</v>
      </c>
      <c r="P31" s="41">
        <v>32</v>
      </c>
      <c r="Q31" s="41" t="s">
        <v>62</v>
      </c>
      <c r="R31" s="37" t="s">
        <v>63</v>
      </c>
      <c r="S31" s="48" t="s">
        <v>64</v>
      </c>
      <c r="T31" s="42">
        <f t="shared" si="1"/>
        <v>1</v>
      </c>
      <c r="U31" s="41">
        <v>0</v>
      </c>
      <c r="V31" s="41">
        <v>1</v>
      </c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</row>
    <row r="32" spans="1:49" hidden="1">
      <c r="A32" s="37">
        <f>MAX($A$1:$A31)+1</f>
        <v>30</v>
      </c>
      <c r="B32" s="41" t="s">
        <v>31</v>
      </c>
      <c r="C32" s="41" t="s">
        <v>32</v>
      </c>
      <c r="D32" s="41" t="s">
        <v>56</v>
      </c>
      <c r="E32" s="59" t="s">
        <v>57</v>
      </c>
      <c r="F32" s="54">
        <v>48.870517730712798</v>
      </c>
      <c r="G32" s="46">
        <v>-125.160346984863</v>
      </c>
      <c r="H32" s="41" t="s">
        <v>58</v>
      </c>
      <c r="I32" s="41">
        <v>1.5</v>
      </c>
      <c r="J32" s="41">
        <v>270</v>
      </c>
      <c r="K32" s="60">
        <v>0.43263888888888885</v>
      </c>
      <c r="L32" s="41">
        <v>4</v>
      </c>
      <c r="M32" s="41">
        <v>9</v>
      </c>
      <c r="N32" s="41" t="s">
        <v>36</v>
      </c>
      <c r="O32" s="41">
        <v>1</v>
      </c>
      <c r="P32" s="41">
        <v>48</v>
      </c>
      <c r="Q32" s="41" t="s">
        <v>59</v>
      </c>
      <c r="R32" s="37" t="s">
        <v>60</v>
      </c>
      <c r="S32" s="48" t="s">
        <v>61</v>
      </c>
      <c r="T32" s="42">
        <f t="shared" si="1"/>
        <v>2</v>
      </c>
      <c r="U32" s="41">
        <v>0</v>
      </c>
      <c r="V32" s="41">
        <v>2</v>
      </c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</row>
    <row r="33" spans="1:49" hidden="1">
      <c r="A33" s="37">
        <f>MAX($A$1:$A32)+1</f>
        <v>31</v>
      </c>
      <c r="B33" s="41" t="s">
        <v>32</v>
      </c>
      <c r="C33" s="41" t="s">
        <v>31</v>
      </c>
      <c r="D33" s="41" t="s">
        <v>56</v>
      </c>
      <c r="E33" s="59" t="s">
        <v>57</v>
      </c>
      <c r="F33" s="54">
        <v>48.870517730712798</v>
      </c>
      <c r="G33" s="46">
        <v>-125.160346984863</v>
      </c>
      <c r="H33" s="41" t="s">
        <v>58</v>
      </c>
      <c r="I33" s="41">
        <v>1.5</v>
      </c>
      <c r="J33" s="41">
        <v>270</v>
      </c>
      <c r="K33" s="60">
        <v>0.43263888888888885</v>
      </c>
      <c r="L33" s="41">
        <v>4</v>
      </c>
      <c r="M33" s="41">
        <v>9</v>
      </c>
      <c r="N33" s="41" t="s">
        <v>36</v>
      </c>
      <c r="O33" s="41">
        <v>2</v>
      </c>
      <c r="P33" s="41">
        <v>8</v>
      </c>
      <c r="Q33" s="41" t="s">
        <v>39</v>
      </c>
      <c r="R33" s="37" t="s">
        <v>40</v>
      </c>
      <c r="S33" s="48" t="s">
        <v>41</v>
      </c>
      <c r="T33" s="42">
        <f t="shared" si="1"/>
        <v>1</v>
      </c>
      <c r="U33" s="41">
        <v>0</v>
      </c>
      <c r="V33" s="41"/>
      <c r="W33" s="41"/>
      <c r="X33" s="41"/>
      <c r="Y33" s="41"/>
      <c r="Z33" s="41">
        <v>1</v>
      </c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</row>
    <row r="34" spans="1:49" hidden="1">
      <c r="A34" s="37">
        <f>MAX($A$1:$A33)+1</f>
        <v>32</v>
      </c>
      <c r="B34" s="41" t="s">
        <v>32</v>
      </c>
      <c r="C34" s="41" t="s">
        <v>31</v>
      </c>
      <c r="D34" s="41" t="s">
        <v>56</v>
      </c>
      <c r="E34" s="59" t="s">
        <v>57</v>
      </c>
      <c r="F34" s="54">
        <v>48.870517730712798</v>
      </c>
      <c r="G34" s="46">
        <v>-125.160346984863</v>
      </c>
      <c r="H34" s="41" t="s">
        <v>58</v>
      </c>
      <c r="I34" s="41">
        <v>1.5</v>
      </c>
      <c r="J34" s="41">
        <v>270</v>
      </c>
      <c r="K34" s="60">
        <v>0.43263888888888885</v>
      </c>
      <c r="L34" s="41">
        <v>4</v>
      </c>
      <c r="M34" s="41">
        <v>9</v>
      </c>
      <c r="N34" s="41" t="s">
        <v>36</v>
      </c>
      <c r="O34" s="41">
        <v>2</v>
      </c>
      <c r="P34" s="41">
        <v>8</v>
      </c>
      <c r="Q34" s="41" t="s">
        <v>45</v>
      </c>
      <c r="R34" s="37" t="s">
        <v>46</v>
      </c>
      <c r="S34" s="48" t="s">
        <v>47</v>
      </c>
      <c r="T34" s="42">
        <f t="shared" si="1"/>
        <v>1</v>
      </c>
      <c r="U34" s="41"/>
      <c r="V34" s="41"/>
      <c r="W34" s="41"/>
      <c r="X34" s="41"/>
      <c r="Y34" s="41"/>
      <c r="Z34" s="41"/>
      <c r="AA34" s="41">
        <v>1</v>
      </c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</row>
    <row r="35" spans="1:49" hidden="1">
      <c r="A35" s="37">
        <f>MAX($A$1:$A34)+1</f>
        <v>33</v>
      </c>
      <c r="B35" s="41" t="s">
        <v>32</v>
      </c>
      <c r="C35" s="41" t="s">
        <v>31</v>
      </c>
      <c r="D35" s="41" t="s">
        <v>56</v>
      </c>
      <c r="E35" s="59" t="s">
        <v>57</v>
      </c>
      <c r="F35" s="54">
        <v>48.870517730712798</v>
      </c>
      <c r="G35" s="46">
        <v>-125.160346984863</v>
      </c>
      <c r="H35" s="41" t="s">
        <v>58</v>
      </c>
      <c r="I35" s="41">
        <v>1.5</v>
      </c>
      <c r="J35" s="41">
        <v>270</v>
      </c>
      <c r="K35" s="60">
        <v>0.43263888888888885</v>
      </c>
      <c r="L35" s="41">
        <v>4</v>
      </c>
      <c r="M35" s="41">
        <v>9</v>
      </c>
      <c r="N35" s="41" t="s">
        <v>36</v>
      </c>
      <c r="O35" s="41">
        <v>2</v>
      </c>
      <c r="P35" s="41">
        <v>24</v>
      </c>
      <c r="Q35" s="41" t="s">
        <v>39</v>
      </c>
      <c r="R35" s="37" t="s">
        <v>40</v>
      </c>
      <c r="S35" s="48" t="s">
        <v>41</v>
      </c>
      <c r="T35" s="42">
        <f t="shared" si="1"/>
        <v>1</v>
      </c>
      <c r="U35" s="41">
        <v>0</v>
      </c>
      <c r="V35" s="41"/>
      <c r="W35" s="41"/>
      <c r="X35" s="41"/>
      <c r="Y35" s="41"/>
      <c r="Z35" s="41">
        <v>1</v>
      </c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</row>
    <row r="36" spans="1:49" hidden="1">
      <c r="A36" s="37">
        <f>MAX($A$1:$A35)+1</f>
        <v>34</v>
      </c>
      <c r="B36" s="41" t="s">
        <v>32</v>
      </c>
      <c r="C36" s="41" t="s">
        <v>31</v>
      </c>
      <c r="D36" s="41" t="s">
        <v>56</v>
      </c>
      <c r="E36" s="59" t="s">
        <v>57</v>
      </c>
      <c r="F36" s="54">
        <v>48.870517730712798</v>
      </c>
      <c r="G36" s="46">
        <v>-125.160346984863</v>
      </c>
      <c r="H36" s="41" t="s">
        <v>58</v>
      </c>
      <c r="I36" s="41">
        <v>1.5</v>
      </c>
      <c r="J36" s="41">
        <v>270</v>
      </c>
      <c r="K36" s="60">
        <v>0.43263888888888885</v>
      </c>
      <c r="L36" s="41">
        <v>4</v>
      </c>
      <c r="M36" s="41">
        <v>9</v>
      </c>
      <c r="N36" s="41" t="s">
        <v>36</v>
      </c>
      <c r="O36" s="41">
        <v>2</v>
      </c>
      <c r="P36" s="41">
        <v>40</v>
      </c>
      <c r="Q36" s="41" t="s">
        <v>39</v>
      </c>
      <c r="R36" s="37" t="s">
        <v>40</v>
      </c>
      <c r="S36" s="48" t="s">
        <v>41</v>
      </c>
      <c r="T36" s="42">
        <f t="shared" si="1"/>
        <v>2</v>
      </c>
      <c r="U36" s="41">
        <v>0</v>
      </c>
      <c r="V36" s="41"/>
      <c r="W36" s="41"/>
      <c r="X36" s="41"/>
      <c r="Y36" s="41">
        <v>2</v>
      </c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</row>
    <row r="37" spans="1:49" hidden="1">
      <c r="A37" s="37">
        <f>MAX($A$1:$A36)+1</f>
        <v>35</v>
      </c>
      <c r="B37" s="41" t="s">
        <v>32</v>
      </c>
      <c r="C37" s="41" t="s">
        <v>31</v>
      </c>
      <c r="D37" s="41" t="s">
        <v>56</v>
      </c>
      <c r="E37" s="59" t="s">
        <v>57</v>
      </c>
      <c r="F37" s="54">
        <v>48.870517730712798</v>
      </c>
      <c r="G37" s="46">
        <v>-125.160346984863</v>
      </c>
      <c r="H37" s="41" t="s">
        <v>58</v>
      </c>
      <c r="I37" s="41">
        <v>1.5</v>
      </c>
      <c r="J37" s="41">
        <v>270</v>
      </c>
      <c r="K37" s="60">
        <v>0.43263888888888885</v>
      </c>
      <c r="L37" s="41">
        <v>4</v>
      </c>
      <c r="M37" s="41">
        <v>9</v>
      </c>
      <c r="N37" s="41" t="s">
        <v>36</v>
      </c>
      <c r="O37" s="41">
        <v>2</v>
      </c>
      <c r="P37" s="41">
        <v>40</v>
      </c>
      <c r="Q37" s="41" t="s">
        <v>53</v>
      </c>
      <c r="R37" s="37" t="s">
        <v>54</v>
      </c>
      <c r="S37" s="48" t="s">
        <v>55</v>
      </c>
      <c r="T37" s="42">
        <f t="shared" si="1"/>
        <v>1</v>
      </c>
      <c r="U37" s="41"/>
      <c r="V37" s="41"/>
      <c r="W37" s="41"/>
      <c r="X37" s="41"/>
      <c r="Y37" s="41">
        <v>1</v>
      </c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</row>
    <row r="38" spans="1:49" hidden="1">
      <c r="A38" s="37">
        <f>MAX($A$1:$A37)+1</f>
        <v>36</v>
      </c>
      <c r="B38" s="41" t="s">
        <v>31</v>
      </c>
      <c r="C38" s="41" t="s">
        <v>32</v>
      </c>
      <c r="D38" s="41" t="s">
        <v>65</v>
      </c>
      <c r="E38" s="59" t="s">
        <v>66</v>
      </c>
      <c r="F38" s="54">
        <v>48.850399017333899</v>
      </c>
      <c r="G38" s="46">
        <v>-125.198768615722</v>
      </c>
      <c r="H38" s="41" t="s">
        <v>58</v>
      </c>
      <c r="I38" s="41">
        <v>1.5</v>
      </c>
      <c r="J38" s="41">
        <v>60</v>
      </c>
      <c r="K38" s="60">
        <v>0.5625</v>
      </c>
      <c r="L38" s="41">
        <v>7</v>
      </c>
      <c r="M38" s="41">
        <v>9</v>
      </c>
      <c r="N38" s="41" t="s">
        <v>36</v>
      </c>
      <c r="O38" s="41">
        <v>1</v>
      </c>
      <c r="P38" s="41">
        <v>0</v>
      </c>
      <c r="Q38" s="41" t="s">
        <v>39</v>
      </c>
      <c r="R38" s="37" t="s">
        <v>40</v>
      </c>
      <c r="S38" s="48" t="s">
        <v>41</v>
      </c>
      <c r="T38" s="42">
        <f t="shared" si="1"/>
        <v>17</v>
      </c>
      <c r="U38" s="41">
        <v>0</v>
      </c>
      <c r="V38" s="41">
        <v>1</v>
      </c>
      <c r="W38" s="41">
        <v>6</v>
      </c>
      <c r="X38" s="41">
        <v>7</v>
      </c>
      <c r="Y38" s="41">
        <v>2</v>
      </c>
      <c r="Z38" s="41">
        <v>1</v>
      </c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</row>
    <row r="39" spans="1:49" hidden="1">
      <c r="A39" s="37">
        <f>MAX($A$1:$A38)+1</f>
        <v>37</v>
      </c>
      <c r="B39" s="41" t="s">
        <v>31</v>
      </c>
      <c r="C39" s="41" t="s">
        <v>32</v>
      </c>
      <c r="D39" s="41" t="s">
        <v>65</v>
      </c>
      <c r="E39" s="59" t="s">
        <v>66</v>
      </c>
      <c r="F39" s="54">
        <v>48.850399017333899</v>
      </c>
      <c r="G39" s="46">
        <v>-125.198768615722</v>
      </c>
      <c r="H39" s="41" t="s">
        <v>58</v>
      </c>
      <c r="I39" s="41">
        <v>1.5</v>
      </c>
      <c r="J39" s="41">
        <v>60</v>
      </c>
      <c r="K39" s="60">
        <v>0.5625</v>
      </c>
      <c r="L39" s="41">
        <v>7</v>
      </c>
      <c r="M39" s="41">
        <v>9</v>
      </c>
      <c r="N39" s="41" t="s">
        <v>36</v>
      </c>
      <c r="O39" s="41">
        <v>1</v>
      </c>
      <c r="P39" s="41">
        <v>16</v>
      </c>
      <c r="Q39" s="61" t="s">
        <v>39</v>
      </c>
      <c r="R39" s="62" t="s">
        <v>40</v>
      </c>
      <c r="S39" s="63" t="s">
        <v>41</v>
      </c>
      <c r="T39" s="42">
        <f t="shared" si="1"/>
        <v>6</v>
      </c>
      <c r="U39" s="41">
        <v>0</v>
      </c>
      <c r="V39" s="41"/>
      <c r="W39" s="41">
        <v>5</v>
      </c>
      <c r="X39" s="41"/>
      <c r="Y39" s="41">
        <v>1</v>
      </c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</row>
    <row r="40" spans="1:49" hidden="1">
      <c r="A40" s="37">
        <f>MAX($A$1:$A39)+1</f>
        <v>38</v>
      </c>
      <c r="B40" s="41" t="s">
        <v>31</v>
      </c>
      <c r="C40" s="41" t="s">
        <v>32</v>
      </c>
      <c r="D40" s="41" t="s">
        <v>65</v>
      </c>
      <c r="E40" s="59" t="s">
        <v>66</v>
      </c>
      <c r="F40" s="54">
        <v>48.850399017333899</v>
      </c>
      <c r="G40" s="46">
        <v>-125.198768615722</v>
      </c>
      <c r="H40" s="41" t="s">
        <v>58</v>
      </c>
      <c r="I40" s="41">
        <v>1.5</v>
      </c>
      <c r="J40" s="41">
        <v>60</v>
      </c>
      <c r="K40" s="60">
        <v>0.5625</v>
      </c>
      <c r="L40" s="41">
        <v>7</v>
      </c>
      <c r="M40" s="41">
        <v>9</v>
      </c>
      <c r="N40" s="41" t="s">
        <v>36</v>
      </c>
      <c r="O40" s="41">
        <v>1</v>
      </c>
      <c r="P40" s="41">
        <v>32</v>
      </c>
      <c r="Q40" s="61" t="s">
        <v>39</v>
      </c>
      <c r="R40" s="62" t="s">
        <v>40</v>
      </c>
      <c r="S40" s="63" t="s">
        <v>41</v>
      </c>
      <c r="T40" s="42">
        <f t="shared" si="1"/>
        <v>10</v>
      </c>
      <c r="U40" s="41">
        <v>0</v>
      </c>
      <c r="V40" s="41"/>
      <c r="W40" s="41">
        <v>2</v>
      </c>
      <c r="X40" s="41">
        <v>3</v>
      </c>
      <c r="Y40" s="41">
        <v>3</v>
      </c>
      <c r="Z40" s="41">
        <v>2</v>
      </c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</row>
    <row r="41" spans="1:49" hidden="1">
      <c r="A41" s="37">
        <f>MAX($A$1:$A40)+1</f>
        <v>39</v>
      </c>
      <c r="B41" s="41" t="s">
        <v>31</v>
      </c>
      <c r="C41" s="41" t="s">
        <v>32</v>
      </c>
      <c r="D41" s="41" t="s">
        <v>65</v>
      </c>
      <c r="E41" s="59" t="s">
        <v>66</v>
      </c>
      <c r="F41" s="54">
        <v>48.850399017333899</v>
      </c>
      <c r="G41" s="46">
        <v>-125.198768615722</v>
      </c>
      <c r="H41" s="41" t="s">
        <v>58</v>
      </c>
      <c r="I41" s="41">
        <v>1.5</v>
      </c>
      <c r="J41" s="41">
        <v>60</v>
      </c>
      <c r="K41" s="60">
        <v>0.5625</v>
      </c>
      <c r="L41" s="41">
        <v>7</v>
      </c>
      <c r="M41" s="41">
        <v>9</v>
      </c>
      <c r="N41" s="41" t="s">
        <v>36</v>
      </c>
      <c r="O41" s="41">
        <v>1</v>
      </c>
      <c r="P41" s="41">
        <v>32</v>
      </c>
      <c r="Q41" s="41" t="s">
        <v>53</v>
      </c>
      <c r="R41" s="37" t="s">
        <v>54</v>
      </c>
      <c r="S41" s="48" t="s">
        <v>55</v>
      </c>
      <c r="T41" s="42">
        <f t="shared" si="1"/>
        <v>1</v>
      </c>
      <c r="U41" s="41">
        <v>0</v>
      </c>
      <c r="V41" s="41"/>
      <c r="W41" s="41"/>
      <c r="X41" s="41"/>
      <c r="Y41" s="41"/>
      <c r="Z41" s="41">
        <v>1</v>
      </c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</row>
    <row r="42" spans="1:49" hidden="1">
      <c r="A42" s="37">
        <f>MAX($A$1:$A41)+1</f>
        <v>40</v>
      </c>
      <c r="B42" s="41" t="s">
        <v>31</v>
      </c>
      <c r="C42" s="41" t="s">
        <v>32</v>
      </c>
      <c r="D42" s="41" t="s">
        <v>65</v>
      </c>
      <c r="E42" s="59" t="s">
        <v>66</v>
      </c>
      <c r="F42" s="54">
        <v>48.850399017333899</v>
      </c>
      <c r="G42" s="46">
        <v>-125.198768615722</v>
      </c>
      <c r="H42" s="41" t="s">
        <v>58</v>
      </c>
      <c r="I42" s="41">
        <v>1.5</v>
      </c>
      <c r="J42" s="41">
        <v>60</v>
      </c>
      <c r="K42" s="60">
        <v>0.5625</v>
      </c>
      <c r="L42" s="41">
        <v>7</v>
      </c>
      <c r="M42" s="41">
        <v>9</v>
      </c>
      <c r="N42" s="41" t="s">
        <v>36</v>
      </c>
      <c r="O42" s="41">
        <v>1</v>
      </c>
      <c r="P42" s="41">
        <v>48</v>
      </c>
      <c r="Q42" s="61" t="s">
        <v>39</v>
      </c>
      <c r="R42" s="62" t="s">
        <v>40</v>
      </c>
      <c r="S42" s="63" t="s">
        <v>41</v>
      </c>
      <c r="T42" s="42">
        <f t="shared" si="1"/>
        <v>4</v>
      </c>
      <c r="U42" s="41">
        <v>0</v>
      </c>
      <c r="V42" s="41"/>
      <c r="W42" s="41"/>
      <c r="X42" s="41">
        <v>2</v>
      </c>
      <c r="Y42" s="41">
        <v>2</v>
      </c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</row>
    <row r="43" spans="1:49" hidden="1">
      <c r="A43" s="37">
        <f>MAX($A$1:$A42)+1</f>
        <v>41</v>
      </c>
      <c r="B43" s="41" t="s">
        <v>32</v>
      </c>
      <c r="C43" s="41" t="s">
        <v>31</v>
      </c>
      <c r="D43" s="41" t="s">
        <v>65</v>
      </c>
      <c r="E43" s="59" t="s">
        <v>66</v>
      </c>
      <c r="F43" s="54">
        <v>48.850399017333899</v>
      </c>
      <c r="G43" s="46">
        <v>-125.198768615722</v>
      </c>
      <c r="H43" s="41" t="s">
        <v>58</v>
      </c>
      <c r="I43" s="41">
        <v>1.5</v>
      </c>
      <c r="J43" s="41">
        <v>60</v>
      </c>
      <c r="K43" s="60">
        <v>0.5625</v>
      </c>
      <c r="L43" s="41">
        <v>7</v>
      </c>
      <c r="M43" s="41">
        <v>9</v>
      </c>
      <c r="N43" s="41" t="s">
        <v>36</v>
      </c>
      <c r="O43" s="41">
        <v>2</v>
      </c>
      <c r="P43" s="41">
        <v>8</v>
      </c>
      <c r="Q43" s="61" t="s">
        <v>39</v>
      </c>
      <c r="R43" s="62" t="s">
        <v>40</v>
      </c>
      <c r="S43" s="63" t="s">
        <v>41</v>
      </c>
      <c r="T43" s="42">
        <f t="shared" si="1"/>
        <v>7</v>
      </c>
      <c r="U43" s="41">
        <v>0</v>
      </c>
      <c r="V43" s="41"/>
      <c r="W43" s="41">
        <v>3</v>
      </c>
      <c r="X43" s="41">
        <v>2</v>
      </c>
      <c r="Y43" s="41">
        <v>1</v>
      </c>
      <c r="Z43" s="41">
        <v>1</v>
      </c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</row>
    <row r="44" spans="1:49" hidden="1">
      <c r="A44" s="37">
        <f>MAX($A$1:$A43)+1</f>
        <v>42</v>
      </c>
      <c r="B44" s="41" t="s">
        <v>32</v>
      </c>
      <c r="C44" s="41" t="s">
        <v>31</v>
      </c>
      <c r="D44" s="41" t="s">
        <v>65</v>
      </c>
      <c r="E44" s="59" t="s">
        <v>66</v>
      </c>
      <c r="F44" s="54">
        <v>48.850399017333899</v>
      </c>
      <c r="G44" s="46">
        <v>-125.198768615722</v>
      </c>
      <c r="H44" s="41" t="s">
        <v>58</v>
      </c>
      <c r="I44" s="41">
        <v>1.5</v>
      </c>
      <c r="J44" s="41">
        <v>60</v>
      </c>
      <c r="K44" s="60">
        <v>0.5625</v>
      </c>
      <c r="L44" s="41">
        <v>7</v>
      </c>
      <c r="M44" s="41">
        <v>9</v>
      </c>
      <c r="N44" s="41" t="s">
        <v>36</v>
      </c>
      <c r="O44" s="41">
        <v>2</v>
      </c>
      <c r="P44" s="41">
        <v>24</v>
      </c>
      <c r="Q44" s="61" t="s">
        <v>39</v>
      </c>
      <c r="R44" s="62" t="s">
        <v>40</v>
      </c>
      <c r="S44" s="63" t="s">
        <v>41</v>
      </c>
      <c r="T44" s="42">
        <f t="shared" si="1"/>
        <v>10</v>
      </c>
      <c r="U44" s="41"/>
      <c r="V44" s="41"/>
      <c r="W44" s="41">
        <v>1</v>
      </c>
      <c r="X44" s="41">
        <v>3</v>
      </c>
      <c r="Y44" s="41">
        <v>4</v>
      </c>
      <c r="Z44" s="41">
        <v>2</v>
      </c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</row>
    <row r="45" spans="1:49" hidden="1">
      <c r="A45" s="37">
        <f>MAX($A$1:$A44)+1</f>
        <v>43</v>
      </c>
      <c r="B45" s="41" t="s">
        <v>32</v>
      </c>
      <c r="C45" s="41" t="s">
        <v>31</v>
      </c>
      <c r="D45" s="41" t="s">
        <v>65</v>
      </c>
      <c r="E45" s="59" t="s">
        <v>66</v>
      </c>
      <c r="F45" s="54">
        <v>48.850399017333899</v>
      </c>
      <c r="G45" s="46">
        <v>-125.198768615722</v>
      </c>
      <c r="H45" s="41" t="s">
        <v>58</v>
      </c>
      <c r="I45" s="41">
        <v>1.5</v>
      </c>
      <c r="J45" s="41">
        <v>60</v>
      </c>
      <c r="K45" s="60">
        <v>0.5625</v>
      </c>
      <c r="L45" s="41">
        <v>7</v>
      </c>
      <c r="M45" s="41">
        <v>9</v>
      </c>
      <c r="N45" s="41" t="s">
        <v>36</v>
      </c>
      <c r="O45" s="41">
        <v>2</v>
      </c>
      <c r="P45" s="41">
        <v>24</v>
      </c>
      <c r="Q45" s="61" t="s">
        <v>67</v>
      </c>
      <c r="R45" s="62" t="s">
        <v>68</v>
      </c>
      <c r="S45" s="63" t="s">
        <v>69</v>
      </c>
      <c r="T45" s="42">
        <f t="shared" si="1"/>
        <v>1</v>
      </c>
      <c r="U45" s="41">
        <v>0</v>
      </c>
      <c r="V45" s="41"/>
      <c r="W45" s="41">
        <v>1</v>
      </c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</row>
    <row r="46" spans="1:49" hidden="1">
      <c r="A46" s="37">
        <f>MAX($A$1:$A45)+1</f>
        <v>44</v>
      </c>
      <c r="B46" s="41" t="s">
        <v>32</v>
      </c>
      <c r="C46" s="41" t="s">
        <v>31</v>
      </c>
      <c r="D46" s="41" t="s">
        <v>65</v>
      </c>
      <c r="E46" s="59" t="s">
        <v>66</v>
      </c>
      <c r="F46" s="54">
        <v>48.850399017333899</v>
      </c>
      <c r="G46" s="46">
        <v>-125.198768615722</v>
      </c>
      <c r="H46" s="41" t="s">
        <v>58</v>
      </c>
      <c r="I46" s="41">
        <v>1.5</v>
      </c>
      <c r="J46" s="41">
        <v>60</v>
      </c>
      <c r="K46" s="60">
        <v>0.5625</v>
      </c>
      <c r="L46" s="41">
        <v>7</v>
      </c>
      <c r="M46" s="41">
        <v>9</v>
      </c>
      <c r="N46" s="41" t="s">
        <v>36</v>
      </c>
      <c r="O46" s="41">
        <v>2</v>
      </c>
      <c r="P46" s="41">
        <v>40</v>
      </c>
      <c r="Q46" s="61" t="s">
        <v>39</v>
      </c>
      <c r="R46" s="62" t="s">
        <v>40</v>
      </c>
      <c r="S46" s="63" t="s">
        <v>41</v>
      </c>
      <c r="T46" s="42">
        <f t="shared" si="1"/>
        <v>8</v>
      </c>
      <c r="U46" s="41">
        <v>0</v>
      </c>
      <c r="V46" s="41"/>
      <c r="W46" s="41">
        <v>2</v>
      </c>
      <c r="X46" s="41">
        <v>5</v>
      </c>
      <c r="Y46" s="41">
        <v>1</v>
      </c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</row>
    <row r="47" spans="1:49" hidden="1">
      <c r="A47" s="37">
        <f>MAX($A$1:$A46)+1</f>
        <v>45</v>
      </c>
      <c r="B47" s="41" t="s">
        <v>31</v>
      </c>
      <c r="C47" s="41" t="s">
        <v>32</v>
      </c>
      <c r="D47" s="41" t="s">
        <v>70</v>
      </c>
      <c r="E47" s="52" t="s">
        <v>71</v>
      </c>
      <c r="F47" s="54">
        <v>48.828601837158203</v>
      </c>
      <c r="G47" s="46">
        <v>-125.221298217773</v>
      </c>
      <c r="H47" s="41" t="s">
        <v>72</v>
      </c>
      <c r="I47" s="41">
        <v>1.5</v>
      </c>
      <c r="J47" s="41">
        <v>270</v>
      </c>
      <c r="K47" s="60">
        <v>0.46875</v>
      </c>
      <c r="L47" s="41">
        <v>6.5</v>
      </c>
      <c r="M47" s="41">
        <v>8</v>
      </c>
      <c r="N47" s="41" t="s">
        <v>36</v>
      </c>
      <c r="O47" s="41">
        <v>1</v>
      </c>
      <c r="P47" s="41">
        <v>0</v>
      </c>
      <c r="Q47" s="61" t="s">
        <v>39</v>
      </c>
      <c r="R47" s="62" t="s">
        <v>40</v>
      </c>
      <c r="S47" s="63" t="s">
        <v>41</v>
      </c>
      <c r="T47" s="42">
        <f t="shared" si="1"/>
        <v>7</v>
      </c>
      <c r="U47" s="41">
        <v>0</v>
      </c>
      <c r="V47" s="41"/>
      <c r="W47" s="41">
        <v>1</v>
      </c>
      <c r="X47" s="41">
        <v>3</v>
      </c>
      <c r="Y47" s="41">
        <v>3</v>
      </c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</row>
    <row r="48" spans="1:49" hidden="1">
      <c r="A48" s="37">
        <f>MAX($A$1:$A47)+1</f>
        <v>46</v>
      </c>
      <c r="B48" s="41" t="s">
        <v>31</v>
      </c>
      <c r="C48" s="41" t="s">
        <v>32</v>
      </c>
      <c r="D48" s="41" t="s">
        <v>70</v>
      </c>
      <c r="E48" s="52" t="s">
        <v>71</v>
      </c>
      <c r="F48" s="54">
        <v>48.828601837158203</v>
      </c>
      <c r="G48" s="46">
        <v>-125.221298217773</v>
      </c>
      <c r="H48" s="41" t="s">
        <v>72</v>
      </c>
      <c r="I48" s="41">
        <v>1.5</v>
      </c>
      <c r="J48" s="41">
        <v>270</v>
      </c>
      <c r="K48" s="60">
        <v>0.46875</v>
      </c>
      <c r="L48" s="41">
        <v>6.5</v>
      </c>
      <c r="M48" s="41">
        <v>8</v>
      </c>
      <c r="N48" s="41" t="s">
        <v>36</v>
      </c>
      <c r="O48" s="41">
        <v>1</v>
      </c>
      <c r="P48" s="41">
        <v>16</v>
      </c>
      <c r="Q48" s="61" t="s">
        <v>39</v>
      </c>
      <c r="R48" s="62" t="s">
        <v>40</v>
      </c>
      <c r="S48" s="63" t="s">
        <v>41</v>
      </c>
      <c r="T48" s="42">
        <f t="shared" si="1"/>
        <v>9</v>
      </c>
      <c r="U48" s="41">
        <v>0</v>
      </c>
      <c r="V48" s="41"/>
      <c r="W48" s="41">
        <v>3</v>
      </c>
      <c r="X48" s="41">
        <v>4</v>
      </c>
      <c r="Y48" s="41">
        <v>2</v>
      </c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</row>
    <row r="49" spans="1:49" hidden="1">
      <c r="A49" s="37">
        <f>MAX($A$1:$A48)+1</f>
        <v>47</v>
      </c>
      <c r="B49" s="41" t="s">
        <v>31</v>
      </c>
      <c r="C49" s="41" t="s">
        <v>32</v>
      </c>
      <c r="D49" s="41" t="s">
        <v>70</v>
      </c>
      <c r="E49" s="52" t="s">
        <v>71</v>
      </c>
      <c r="F49" s="54">
        <v>48.828601837158203</v>
      </c>
      <c r="G49" s="46">
        <v>-125.221298217773</v>
      </c>
      <c r="H49" s="41" t="s">
        <v>72</v>
      </c>
      <c r="I49" s="41">
        <v>1.5</v>
      </c>
      <c r="J49" s="41">
        <v>270</v>
      </c>
      <c r="K49" s="60">
        <v>0.46875</v>
      </c>
      <c r="L49" s="41">
        <v>6.5</v>
      </c>
      <c r="M49" s="41">
        <v>8</v>
      </c>
      <c r="N49" s="41" t="s">
        <v>36</v>
      </c>
      <c r="O49" s="41">
        <v>1</v>
      </c>
      <c r="P49" s="41">
        <v>16</v>
      </c>
      <c r="Q49" s="61" t="s">
        <v>67</v>
      </c>
      <c r="R49" s="62" t="s">
        <v>68</v>
      </c>
      <c r="S49" s="63" t="s">
        <v>69</v>
      </c>
      <c r="T49" s="42">
        <f t="shared" si="1"/>
        <v>1</v>
      </c>
      <c r="U49" s="41">
        <v>0</v>
      </c>
      <c r="V49" s="41"/>
      <c r="W49" s="41">
        <v>1</v>
      </c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</row>
    <row r="50" spans="1:49" hidden="1">
      <c r="A50" s="37">
        <f>MAX($A$1:$A49)+1</f>
        <v>48</v>
      </c>
      <c r="B50" s="41" t="s">
        <v>31</v>
      </c>
      <c r="C50" s="41" t="s">
        <v>32</v>
      </c>
      <c r="D50" s="41" t="s">
        <v>70</v>
      </c>
      <c r="E50" s="52" t="s">
        <v>71</v>
      </c>
      <c r="F50" s="54">
        <v>48.828601837158203</v>
      </c>
      <c r="G50" s="46">
        <v>-125.221298217773</v>
      </c>
      <c r="H50" s="41" t="s">
        <v>72</v>
      </c>
      <c r="I50" s="41">
        <v>1.5</v>
      </c>
      <c r="J50" s="41">
        <v>270</v>
      </c>
      <c r="K50" s="60">
        <v>0.46875</v>
      </c>
      <c r="L50" s="41">
        <v>6.5</v>
      </c>
      <c r="M50" s="41">
        <v>8</v>
      </c>
      <c r="N50" s="41" t="s">
        <v>36</v>
      </c>
      <c r="O50" s="41">
        <v>1</v>
      </c>
      <c r="P50" s="41">
        <v>16</v>
      </c>
      <c r="Q50" s="41" t="s">
        <v>45</v>
      </c>
      <c r="R50" s="37" t="s">
        <v>46</v>
      </c>
      <c r="S50" s="48" t="s">
        <v>47</v>
      </c>
      <c r="T50" s="42">
        <f t="shared" si="1"/>
        <v>3</v>
      </c>
      <c r="U50" s="41">
        <v>0</v>
      </c>
      <c r="V50" s="41"/>
      <c r="W50" s="41"/>
      <c r="X50" s="41">
        <v>2</v>
      </c>
      <c r="Y50" s="41"/>
      <c r="Z50" s="41">
        <v>1</v>
      </c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</row>
    <row r="51" spans="1:49" hidden="1">
      <c r="A51" s="37">
        <f>MAX($A$1:$A50)+1</f>
        <v>49</v>
      </c>
      <c r="B51" s="41" t="s">
        <v>31</v>
      </c>
      <c r="C51" s="41" t="s">
        <v>32</v>
      </c>
      <c r="D51" s="41" t="s">
        <v>70</v>
      </c>
      <c r="E51" s="52" t="s">
        <v>71</v>
      </c>
      <c r="F51" s="54">
        <v>48.828601837158203</v>
      </c>
      <c r="G51" s="46">
        <v>-125.221298217773</v>
      </c>
      <c r="H51" s="41" t="s">
        <v>72</v>
      </c>
      <c r="I51" s="41">
        <v>1.5</v>
      </c>
      <c r="J51" s="41">
        <v>270</v>
      </c>
      <c r="K51" s="60">
        <v>0.46875</v>
      </c>
      <c r="L51" s="41">
        <v>6.5</v>
      </c>
      <c r="M51" s="41">
        <v>8</v>
      </c>
      <c r="N51" s="41" t="s">
        <v>36</v>
      </c>
      <c r="O51" s="41">
        <v>1</v>
      </c>
      <c r="P51" s="41">
        <v>16</v>
      </c>
      <c r="Q51" s="41" t="s">
        <v>62</v>
      </c>
      <c r="R51" s="37" t="s">
        <v>63</v>
      </c>
      <c r="S51" s="48" t="s">
        <v>64</v>
      </c>
      <c r="T51" s="42">
        <f t="shared" si="1"/>
        <v>1</v>
      </c>
      <c r="U51" s="41">
        <v>0</v>
      </c>
      <c r="V51" s="41"/>
      <c r="W51" s="41"/>
      <c r="X51" s="41"/>
      <c r="Y51" s="41"/>
      <c r="Z51" s="41"/>
      <c r="AA51" s="41">
        <v>1</v>
      </c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</row>
    <row r="52" spans="1:49" hidden="1">
      <c r="A52" s="37">
        <f>MAX($A$1:$A51)+1</f>
        <v>50</v>
      </c>
      <c r="B52" s="41" t="s">
        <v>31</v>
      </c>
      <c r="C52" s="41" t="s">
        <v>32</v>
      </c>
      <c r="D52" s="41" t="s">
        <v>70</v>
      </c>
      <c r="E52" s="52" t="s">
        <v>71</v>
      </c>
      <c r="F52" s="54">
        <v>48.828601837158203</v>
      </c>
      <c r="G52" s="46">
        <v>-125.221298217773</v>
      </c>
      <c r="H52" s="41" t="s">
        <v>72</v>
      </c>
      <c r="I52" s="41">
        <v>1.5</v>
      </c>
      <c r="J52" s="41">
        <v>270</v>
      </c>
      <c r="K52" s="60">
        <v>0.46875</v>
      </c>
      <c r="L52" s="41">
        <v>6.5</v>
      </c>
      <c r="M52" s="41">
        <v>8</v>
      </c>
      <c r="N52" s="41" t="s">
        <v>36</v>
      </c>
      <c r="O52" s="41">
        <v>1</v>
      </c>
      <c r="P52" s="41">
        <v>32</v>
      </c>
      <c r="Q52" s="61" t="s">
        <v>39</v>
      </c>
      <c r="R52" s="62" t="s">
        <v>40</v>
      </c>
      <c r="S52" s="63" t="s">
        <v>41</v>
      </c>
      <c r="T52" s="42">
        <f t="shared" si="1"/>
        <v>4</v>
      </c>
      <c r="U52" s="41">
        <v>0</v>
      </c>
      <c r="V52" s="41"/>
      <c r="W52" s="41">
        <v>1</v>
      </c>
      <c r="X52" s="41">
        <v>3</v>
      </c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</row>
    <row r="53" spans="1:49" hidden="1">
      <c r="A53" s="37">
        <f>MAX($A$1:$A52)+1</f>
        <v>51</v>
      </c>
      <c r="B53" s="41" t="s">
        <v>31</v>
      </c>
      <c r="C53" s="41" t="s">
        <v>32</v>
      </c>
      <c r="D53" s="41" t="s">
        <v>70</v>
      </c>
      <c r="E53" s="52" t="s">
        <v>71</v>
      </c>
      <c r="F53" s="54">
        <v>48.828601837158203</v>
      </c>
      <c r="G53" s="46">
        <v>-125.221298217773</v>
      </c>
      <c r="H53" s="41" t="s">
        <v>72</v>
      </c>
      <c r="I53" s="41">
        <v>1.5</v>
      </c>
      <c r="J53" s="41">
        <v>270</v>
      </c>
      <c r="K53" s="60">
        <v>0.46875</v>
      </c>
      <c r="L53" s="41">
        <v>6.5</v>
      </c>
      <c r="M53" s="41">
        <v>8</v>
      </c>
      <c r="N53" s="41" t="s">
        <v>36</v>
      </c>
      <c r="O53" s="41">
        <v>1</v>
      </c>
      <c r="P53" s="41">
        <v>32</v>
      </c>
      <c r="Q53" s="61" t="s">
        <v>67</v>
      </c>
      <c r="R53" s="62" t="s">
        <v>68</v>
      </c>
      <c r="S53" s="63" t="s">
        <v>69</v>
      </c>
      <c r="T53" s="42">
        <f t="shared" si="1"/>
        <v>1</v>
      </c>
      <c r="U53" s="41">
        <v>0</v>
      </c>
      <c r="V53" s="41"/>
      <c r="W53" s="41">
        <v>1</v>
      </c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</row>
    <row r="54" spans="1:49" hidden="1">
      <c r="A54" s="37">
        <f>MAX($A$1:$A53)+1</f>
        <v>52</v>
      </c>
      <c r="B54" s="41" t="s">
        <v>31</v>
      </c>
      <c r="C54" s="41" t="s">
        <v>32</v>
      </c>
      <c r="D54" s="41" t="s">
        <v>70</v>
      </c>
      <c r="E54" s="52" t="s">
        <v>71</v>
      </c>
      <c r="F54" s="54">
        <v>48.828601837158203</v>
      </c>
      <c r="G54" s="46">
        <v>-125.221298217773</v>
      </c>
      <c r="H54" s="41" t="s">
        <v>72</v>
      </c>
      <c r="I54" s="41">
        <v>1.5</v>
      </c>
      <c r="J54" s="41">
        <v>270</v>
      </c>
      <c r="K54" s="60">
        <v>0.46875</v>
      </c>
      <c r="L54" s="41">
        <v>6.5</v>
      </c>
      <c r="M54" s="41">
        <v>8</v>
      </c>
      <c r="N54" s="41" t="s">
        <v>36</v>
      </c>
      <c r="O54" s="41">
        <v>1</v>
      </c>
      <c r="P54" s="41">
        <v>48</v>
      </c>
      <c r="Q54" s="61" t="s">
        <v>39</v>
      </c>
      <c r="R54" s="62" t="s">
        <v>40</v>
      </c>
      <c r="S54" s="63" t="s">
        <v>41</v>
      </c>
      <c r="T54" s="42">
        <f t="shared" si="1"/>
        <v>6</v>
      </c>
      <c r="U54" s="41">
        <v>0</v>
      </c>
      <c r="V54" s="41"/>
      <c r="W54" s="41">
        <v>3</v>
      </c>
      <c r="X54" s="41">
        <v>3</v>
      </c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</row>
    <row r="55" spans="1:49" hidden="1">
      <c r="A55" s="37">
        <f>MAX($A$1:$A54)+1</f>
        <v>53</v>
      </c>
      <c r="B55" s="41" t="s">
        <v>32</v>
      </c>
      <c r="C55" s="41" t="s">
        <v>31</v>
      </c>
      <c r="D55" s="41" t="s">
        <v>70</v>
      </c>
      <c r="E55" s="52" t="s">
        <v>71</v>
      </c>
      <c r="F55" s="54">
        <v>48.828601837158203</v>
      </c>
      <c r="G55" s="46">
        <v>-125.221298217773</v>
      </c>
      <c r="H55" s="41" t="s">
        <v>72</v>
      </c>
      <c r="I55" s="41">
        <v>1.5</v>
      </c>
      <c r="J55" s="41">
        <v>270</v>
      </c>
      <c r="K55" s="60">
        <v>0.46875</v>
      </c>
      <c r="L55" s="41">
        <v>6.5</v>
      </c>
      <c r="M55" s="41">
        <v>8</v>
      </c>
      <c r="N55" s="41" t="s">
        <v>36</v>
      </c>
      <c r="O55" s="41">
        <v>2</v>
      </c>
      <c r="P55" s="41">
        <v>8</v>
      </c>
      <c r="Q55" s="61" t="s">
        <v>39</v>
      </c>
      <c r="R55" s="62" t="s">
        <v>40</v>
      </c>
      <c r="S55" s="63" t="s">
        <v>41</v>
      </c>
      <c r="T55" s="42">
        <f t="shared" si="1"/>
        <v>2</v>
      </c>
      <c r="U55" s="41">
        <v>0</v>
      </c>
      <c r="V55" s="41"/>
      <c r="W55" s="41"/>
      <c r="X55" s="41">
        <v>1</v>
      </c>
      <c r="Y55" s="41">
        <v>1</v>
      </c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</row>
    <row r="56" spans="1:49" hidden="1">
      <c r="A56" s="37">
        <f>MAX($A$1:$A55)+1</f>
        <v>54</v>
      </c>
      <c r="B56" s="41" t="s">
        <v>32</v>
      </c>
      <c r="C56" s="41" t="s">
        <v>31</v>
      </c>
      <c r="D56" s="41" t="s">
        <v>70</v>
      </c>
      <c r="E56" s="52" t="s">
        <v>71</v>
      </c>
      <c r="F56" s="54">
        <v>48.828601837158203</v>
      </c>
      <c r="G56" s="46">
        <v>-125.221298217773</v>
      </c>
      <c r="H56" s="41" t="s">
        <v>72</v>
      </c>
      <c r="I56" s="41">
        <v>1.5</v>
      </c>
      <c r="J56" s="41">
        <v>270</v>
      </c>
      <c r="K56" s="60">
        <v>0.46875</v>
      </c>
      <c r="L56" s="41">
        <v>6.5</v>
      </c>
      <c r="M56" s="41">
        <v>8</v>
      </c>
      <c r="N56" s="41" t="s">
        <v>36</v>
      </c>
      <c r="O56" s="41">
        <v>2</v>
      </c>
      <c r="P56" s="41">
        <v>8</v>
      </c>
      <c r="Q56" s="61" t="s">
        <v>67</v>
      </c>
      <c r="R56" s="62" t="s">
        <v>68</v>
      </c>
      <c r="S56" s="63" t="s">
        <v>69</v>
      </c>
      <c r="T56" s="42">
        <f t="shared" ref="T56:T58" si="3">SUM(U56:AW56)</f>
        <v>1</v>
      </c>
      <c r="U56" s="41">
        <v>0</v>
      </c>
      <c r="V56" s="41"/>
      <c r="W56" s="41"/>
      <c r="X56" s="41"/>
      <c r="Y56" s="41">
        <v>1</v>
      </c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</row>
    <row r="57" spans="1:49" hidden="1">
      <c r="A57" s="37">
        <f>MAX($A$1:$A56)+1</f>
        <v>55</v>
      </c>
      <c r="B57" s="41" t="s">
        <v>32</v>
      </c>
      <c r="C57" s="41" t="s">
        <v>31</v>
      </c>
      <c r="D57" s="41" t="s">
        <v>70</v>
      </c>
      <c r="E57" s="52" t="s">
        <v>71</v>
      </c>
      <c r="F57" s="54">
        <v>48.828601837158203</v>
      </c>
      <c r="G57" s="46">
        <v>-125.221298217773</v>
      </c>
      <c r="H57" s="41" t="s">
        <v>72</v>
      </c>
      <c r="I57" s="41">
        <v>1.5</v>
      </c>
      <c r="J57" s="41">
        <v>270</v>
      </c>
      <c r="K57" s="60">
        <v>0.46875</v>
      </c>
      <c r="L57" s="41">
        <v>6.5</v>
      </c>
      <c r="M57" s="41">
        <v>8</v>
      </c>
      <c r="N57" s="41" t="s">
        <v>36</v>
      </c>
      <c r="O57" s="41">
        <v>2</v>
      </c>
      <c r="P57" s="41">
        <v>24</v>
      </c>
      <c r="Q57" s="61" t="s">
        <v>39</v>
      </c>
      <c r="R57" s="62" t="s">
        <v>40</v>
      </c>
      <c r="S57" s="63" t="s">
        <v>41</v>
      </c>
      <c r="T57" s="42">
        <f t="shared" si="3"/>
        <v>8</v>
      </c>
      <c r="U57" s="41">
        <v>0</v>
      </c>
      <c r="V57" s="41"/>
      <c r="W57" s="41">
        <v>4</v>
      </c>
      <c r="X57" s="41">
        <v>3</v>
      </c>
      <c r="Y57" s="41">
        <v>1</v>
      </c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</row>
    <row r="58" spans="1:49" hidden="1">
      <c r="A58" s="37">
        <f>MAX($A$1:$A57)+1</f>
        <v>56</v>
      </c>
      <c r="B58" s="41" t="s">
        <v>32</v>
      </c>
      <c r="C58" s="41" t="s">
        <v>31</v>
      </c>
      <c r="D58" s="41" t="s">
        <v>70</v>
      </c>
      <c r="E58" s="52" t="s">
        <v>71</v>
      </c>
      <c r="F58" s="54">
        <v>48.828601837158203</v>
      </c>
      <c r="G58" s="46">
        <v>-125.221298217773</v>
      </c>
      <c r="H58" s="41" t="s">
        <v>72</v>
      </c>
      <c r="I58" s="41">
        <v>1.5</v>
      </c>
      <c r="J58" s="41">
        <v>270</v>
      </c>
      <c r="K58" s="60">
        <v>0.46875</v>
      </c>
      <c r="L58" s="41">
        <v>6.5</v>
      </c>
      <c r="M58" s="41">
        <v>8</v>
      </c>
      <c r="N58" s="41" t="s">
        <v>36</v>
      </c>
      <c r="O58" s="41">
        <v>2</v>
      </c>
      <c r="P58" s="41">
        <v>24</v>
      </c>
      <c r="Q58" s="61" t="s">
        <v>67</v>
      </c>
      <c r="R58" s="62" t="s">
        <v>68</v>
      </c>
      <c r="S58" s="63" t="s">
        <v>69</v>
      </c>
      <c r="T58" s="42">
        <f t="shared" si="3"/>
        <v>1</v>
      </c>
      <c r="U58" s="41">
        <v>0</v>
      </c>
      <c r="V58" s="41"/>
      <c r="W58" s="41">
        <v>1</v>
      </c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</row>
    <row r="59" spans="1:49" hidden="1">
      <c r="A59" s="37">
        <f>MAX($A$1:$A58)+1</f>
        <v>57</v>
      </c>
      <c r="B59" s="41" t="s">
        <v>32</v>
      </c>
      <c r="C59" s="41" t="s">
        <v>31</v>
      </c>
      <c r="D59" s="41" t="s">
        <v>70</v>
      </c>
      <c r="E59" s="52" t="s">
        <v>71</v>
      </c>
      <c r="F59" s="54">
        <v>48.828601837158203</v>
      </c>
      <c r="G59" s="46">
        <v>-125.221298217773</v>
      </c>
      <c r="H59" s="41" t="s">
        <v>72</v>
      </c>
      <c r="I59" s="41">
        <v>1.5</v>
      </c>
      <c r="J59" s="41">
        <v>270</v>
      </c>
      <c r="K59" s="60">
        <v>0.46875</v>
      </c>
      <c r="L59" s="41">
        <v>6.5</v>
      </c>
      <c r="M59" s="41">
        <v>8</v>
      </c>
      <c r="N59" s="41" t="s">
        <v>36</v>
      </c>
      <c r="O59" s="41">
        <v>2</v>
      </c>
      <c r="P59" s="41">
        <v>40</v>
      </c>
      <c r="Q59" s="61" t="s">
        <v>39</v>
      </c>
      <c r="R59" s="62" t="s">
        <v>40</v>
      </c>
      <c r="S59" s="63" t="s">
        <v>41</v>
      </c>
      <c r="T59" s="42">
        <f t="shared" si="1"/>
        <v>12</v>
      </c>
      <c r="U59" s="41">
        <v>0</v>
      </c>
      <c r="V59" s="41"/>
      <c r="W59" s="41">
        <v>2</v>
      </c>
      <c r="X59" s="41">
        <v>5</v>
      </c>
      <c r="Y59" s="41">
        <v>5</v>
      </c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</row>
    <row r="60" spans="1:49" hidden="1">
      <c r="A60" s="37">
        <f>MAX($A$1:$A59)+1</f>
        <v>58</v>
      </c>
      <c r="B60" s="41" t="s">
        <v>32</v>
      </c>
      <c r="C60" s="41" t="s">
        <v>31</v>
      </c>
      <c r="D60" s="41" t="s">
        <v>70</v>
      </c>
      <c r="E60" s="52" t="s">
        <v>71</v>
      </c>
      <c r="F60" s="54">
        <v>48.828601837158203</v>
      </c>
      <c r="G60" s="46">
        <v>-125.221298217773</v>
      </c>
      <c r="H60" s="41" t="s">
        <v>72</v>
      </c>
      <c r="I60" s="41">
        <v>1.5</v>
      </c>
      <c r="J60" s="41">
        <v>270</v>
      </c>
      <c r="K60" s="60">
        <v>0.46875</v>
      </c>
      <c r="L60" s="41">
        <v>6.5</v>
      </c>
      <c r="M60" s="41">
        <v>8</v>
      </c>
      <c r="N60" s="41" t="s">
        <v>36</v>
      </c>
      <c r="O60" s="41">
        <v>2</v>
      </c>
      <c r="P60" s="41">
        <v>40</v>
      </c>
      <c r="Q60" s="41" t="s">
        <v>45</v>
      </c>
      <c r="R60" s="37" t="s">
        <v>46</v>
      </c>
      <c r="S60" s="48" t="s">
        <v>47</v>
      </c>
      <c r="T60" s="42">
        <f t="shared" si="1"/>
        <v>2</v>
      </c>
      <c r="U60" s="41">
        <v>0</v>
      </c>
      <c r="V60" s="41"/>
      <c r="W60" s="41"/>
      <c r="X60" s="41"/>
      <c r="Y60" s="41"/>
      <c r="Z60" s="41">
        <v>1</v>
      </c>
      <c r="AA60" s="41">
        <v>1</v>
      </c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</row>
    <row r="61" spans="1:49" hidden="1">
      <c r="A61" s="37">
        <f>MAX($A$1:$A60)+1</f>
        <v>59</v>
      </c>
      <c r="B61" s="41" t="s">
        <v>31</v>
      </c>
      <c r="C61" s="41" t="s">
        <v>32</v>
      </c>
      <c r="D61" s="41" t="s">
        <v>73</v>
      </c>
      <c r="E61" s="41" t="s">
        <v>74</v>
      </c>
      <c r="F61" s="54">
        <v>48.835666656494098</v>
      </c>
      <c r="G61" s="46">
        <v>-125.214797973632</v>
      </c>
      <c r="H61" s="41" t="s">
        <v>72</v>
      </c>
      <c r="I61" s="41">
        <v>2.5</v>
      </c>
      <c r="J61" s="41">
        <v>300</v>
      </c>
      <c r="K61" s="60">
        <v>0.52430555555555558</v>
      </c>
      <c r="L61" s="41">
        <v>6.5</v>
      </c>
      <c r="M61" s="41">
        <v>8</v>
      </c>
      <c r="N61" s="41" t="s">
        <v>36</v>
      </c>
      <c r="O61" s="41">
        <v>1</v>
      </c>
      <c r="P61" s="41">
        <v>0</v>
      </c>
      <c r="Q61" s="61" t="s">
        <v>39</v>
      </c>
      <c r="R61" s="62" t="s">
        <v>40</v>
      </c>
      <c r="S61" s="63" t="s">
        <v>41</v>
      </c>
      <c r="T61" s="42">
        <f t="shared" si="1"/>
        <v>8</v>
      </c>
      <c r="U61" s="41">
        <v>0</v>
      </c>
      <c r="V61" s="41"/>
      <c r="W61" s="41">
        <v>2</v>
      </c>
      <c r="X61" s="41">
        <v>3</v>
      </c>
      <c r="Y61" s="41">
        <v>3</v>
      </c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</row>
    <row r="62" spans="1:49" hidden="1">
      <c r="A62" s="37">
        <f>MAX($A$1:$A61)+1</f>
        <v>60</v>
      </c>
      <c r="B62" s="41" t="s">
        <v>31</v>
      </c>
      <c r="C62" s="41" t="s">
        <v>32</v>
      </c>
      <c r="D62" s="41" t="s">
        <v>73</v>
      </c>
      <c r="E62" s="41" t="s">
        <v>74</v>
      </c>
      <c r="F62" s="54">
        <v>48.835666656494098</v>
      </c>
      <c r="G62" s="46">
        <v>-125.214797973632</v>
      </c>
      <c r="H62" s="41" t="s">
        <v>72</v>
      </c>
      <c r="I62" s="41">
        <v>2.5</v>
      </c>
      <c r="J62" s="41">
        <v>300</v>
      </c>
      <c r="K62" s="60">
        <v>0.52430555555555558</v>
      </c>
      <c r="L62" s="41">
        <v>6.5</v>
      </c>
      <c r="M62" s="41">
        <v>8</v>
      </c>
      <c r="N62" s="41" t="s">
        <v>36</v>
      </c>
      <c r="O62" s="41">
        <v>1</v>
      </c>
      <c r="P62" s="41">
        <v>0</v>
      </c>
      <c r="Q62" s="61" t="s">
        <v>67</v>
      </c>
      <c r="R62" s="62" t="s">
        <v>68</v>
      </c>
      <c r="S62" s="63" t="s">
        <v>69</v>
      </c>
      <c r="T62" s="42">
        <f t="shared" si="1"/>
        <v>1</v>
      </c>
      <c r="U62" s="41">
        <v>0</v>
      </c>
      <c r="V62" s="41"/>
      <c r="W62" s="41">
        <v>1</v>
      </c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</row>
    <row r="63" spans="1:49" hidden="1">
      <c r="A63" s="37">
        <f>MAX($A$1:$A62)+1</f>
        <v>61</v>
      </c>
      <c r="B63" s="41" t="s">
        <v>31</v>
      </c>
      <c r="C63" s="41" t="s">
        <v>32</v>
      </c>
      <c r="D63" s="41" t="s">
        <v>73</v>
      </c>
      <c r="E63" s="41" t="s">
        <v>74</v>
      </c>
      <c r="F63" s="54">
        <v>48.835666656494098</v>
      </c>
      <c r="G63" s="46">
        <v>-125.214797973632</v>
      </c>
      <c r="H63" s="41" t="s">
        <v>72</v>
      </c>
      <c r="I63" s="41">
        <v>2.5</v>
      </c>
      <c r="J63" s="41">
        <v>300</v>
      </c>
      <c r="K63" s="60">
        <v>0.52430555555555558</v>
      </c>
      <c r="L63" s="41">
        <v>6.5</v>
      </c>
      <c r="M63" s="41">
        <v>8</v>
      </c>
      <c r="N63" s="41" t="s">
        <v>36</v>
      </c>
      <c r="O63" s="41">
        <v>1</v>
      </c>
      <c r="P63" s="41">
        <v>16</v>
      </c>
      <c r="Q63" s="61" t="s">
        <v>39</v>
      </c>
      <c r="R63" s="62" t="s">
        <v>40</v>
      </c>
      <c r="S63" s="63" t="s">
        <v>41</v>
      </c>
      <c r="T63" s="42">
        <f t="shared" si="1"/>
        <v>7</v>
      </c>
      <c r="U63" s="41">
        <v>0</v>
      </c>
      <c r="V63" s="41"/>
      <c r="W63" s="41">
        <v>1</v>
      </c>
      <c r="X63" s="41">
        <v>4</v>
      </c>
      <c r="Y63" s="41"/>
      <c r="Z63" s="41">
        <v>2</v>
      </c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</row>
    <row r="64" spans="1:49" hidden="1">
      <c r="A64" s="37">
        <f>MAX($A$1:$A63)+1</f>
        <v>62</v>
      </c>
      <c r="B64" s="41" t="s">
        <v>31</v>
      </c>
      <c r="C64" s="41" t="s">
        <v>32</v>
      </c>
      <c r="D64" s="41" t="s">
        <v>73</v>
      </c>
      <c r="E64" s="41" t="s">
        <v>74</v>
      </c>
      <c r="F64" s="54">
        <v>48.835666656494098</v>
      </c>
      <c r="G64" s="46">
        <v>-125.214797973632</v>
      </c>
      <c r="H64" s="41" t="s">
        <v>72</v>
      </c>
      <c r="I64" s="41">
        <v>2.5</v>
      </c>
      <c r="J64" s="41">
        <v>300</v>
      </c>
      <c r="K64" s="60">
        <v>0.52430555555555558</v>
      </c>
      <c r="L64" s="41">
        <v>6.5</v>
      </c>
      <c r="M64" s="41">
        <v>8</v>
      </c>
      <c r="N64" s="41" t="s">
        <v>36</v>
      </c>
      <c r="O64" s="41">
        <v>1</v>
      </c>
      <c r="P64" s="41">
        <v>16</v>
      </c>
      <c r="Q64" s="41" t="s">
        <v>45</v>
      </c>
      <c r="R64" s="37" t="s">
        <v>46</v>
      </c>
      <c r="S64" s="48" t="s">
        <v>47</v>
      </c>
      <c r="T64" s="42">
        <f t="shared" si="1"/>
        <v>1</v>
      </c>
      <c r="U64" s="41">
        <v>0</v>
      </c>
      <c r="V64" s="41"/>
      <c r="W64" s="41">
        <v>1</v>
      </c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</row>
    <row r="65" spans="1:49" hidden="1">
      <c r="A65" s="37">
        <f>MAX($A$1:$A64)+1</f>
        <v>63</v>
      </c>
      <c r="B65" s="41" t="s">
        <v>31</v>
      </c>
      <c r="C65" s="41" t="s">
        <v>32</v>
      </c>
      <c r="D65" s="41" t="s">
        <v>73</v>
      </c>
      <c r="E65" s="41" t="s">
        <v>74</v>
      </c>
      <c r="F65" s="54">
        <v>48.835666656494098</v>
      </c>
      <c r="G65" s="46">
        <v>-125.214797973632</v>
      </c>
      <c r="H65" s="41" t="s">
        <v>72</v>
      </c>
      <c r="I65" s="41">
        <v>2.5</v>
      </c>
      <c r="J65" s="41">
        <v>300</v>
      </c>
      <c r="K65" s="60">
        <v>0.52430555555555558</v>
      </c>
      <c r="L65" s="41">
        <v>6.5</v>
      </c>
      <c r="M65" s="41">
        <v>8</v>
      </c>
      <c r="N65" s="41" t="s">
        <v>36</v>
      </c>
      <c r="O65" s="41">
        <v>1</v>
      </c>
      <c r="P65" s="41">
        <v>32</v>
      </c>
      <c r="Q65" s="61" t="s">
        <v>39</v>
      </c>
      <c r="R65" s="62" t="s">
        <v>40</v>
      </c>
      <c r="S65" s="63" t="s">
        <v>41</v>
      </c>
      <c r="T65" s="42">
        <f t="shared" si="1"/>
        <v>13</v>
      </c>
      <c r="U65" s="41">
        <v>0</v>
      </c>
      <c r="V65" s="41"/>
      <c r="W65" s="41">
        <v>2</v>
      </c>
      <c r="X65" s="41">
        <v>8</v>
      </c>
      <c r="Y65" s="41">
        <v>3</v>
      </c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</row>
    <row r="66" spans="1:49" hidden="1">
      <c r="A66" s="37">
        <f>MAX($A$1:$A65)+1</f>
        <v>64</v>
      </c>
      <c r="B66" s="41" t="s">
        <v>31</v>
      </c>
      <c r="C66" s="41" t="s">
        <v>32</v>
      </c>
      <c r="D66" s="41" t="s">
        <v>73</v>
      </c>
      <c r="E66" s="41" t="s">
        <v>74</v>
      </c>
      <c r="F66" s="54">
        <v>48.835666656494098</v>
      </c>
      <c r="G66" s="46">
        <v>-125.214797973632</v>
      </c>
      <c r="H66" s="41" t="s">
        <v>72</v>
      </c>
      <c r="I66" s="41">
        <v>2.5</v>
      </c>
      <c r="J66" s="41">
        <v>300</v>
      </c>
      <c r="K66" s="60">
        <v>0.52430555555555558</v>
      </c>
      <c r="L66" s="41">
        <v>6.5</v>
      </c>
      <c r="M66" s="41">
        <v>8</v>
      </c>
      <c r="N66" s="41" t="s">
        <v>36</v>
      </c>
      <c r="O66" s="41">
        <v>1</v>
      </c>
      <c r="P66" s="41">
        <v>48</v>
      </c>
      <c r="Q66" s="61" t="s">
        <v>39</v>
      </c>
      <c r="R66" s="62" t="s">
        <v>40</v>
      </c>
      <c r="S66" s="63" t="s">
        <v>41</v>
      </c>
      <c r="T66" s="42">
        <f t="shared" si="1"/>
        <v>7</v>
      </c>
      <c r="U66" s="41">
        <v>0</v>
      </c>
      <c r="V66" s="41">
        <v>1</v>
      </c>
      <c r="W66" s="41">
        <v>3</v>
      </c>
      <c r="X66" s="41">
        <v>2</v>
      </c>
      <c r="Y66" s="41">
        <v>1</v>
      </c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</row>
    <row r="67" spans="1:49" hidden="1">
      <c r="A67" s="37">
        <f>MAX($A$1:$A66)+1</f>
        <v>65</v>
      </c>
      <c r="B67" s="41" t="s">
        <v>31</v>
      </c>
      <c r="C67" s="41" t="s">
        <v>32</v>
      </c>
      <c r="D67" s="41" t="s">
        <v>73</v>
      </c>
      <c r="E67" s="41" t="s">
        <v>74</v>
      </c>
      <c r="F67" s="54">
        <v>48.835666656494098</v>
      </c>
      <c r="G67" s="46">
        <v>-125.214797973632</v>
      </c>
      <c r="H67" s="41" t="s">
        <v>72</v>
      </c>
      <c r="I67" s="41">
        <v>2.5</v>
      </c>
      <c r="J67" s="41">
        <v>300</v>
      </c>
      <c r="K67" s="60">
        <v>0.52430555555555558</v>
      </c>
      <c r="L67" s="41">
        <v>6.5</v>
      </c>
      <c r="M67" s="41">
        <v>8</v>
      </c>
      <c r="N67" s="41" t="s">
        <v>36</v>
      </c>
      <c r="O67" s="41">
        <v>1</v>
      </c>
      <c r="P67" s="41">
        <v>48</v>
      </c>
      <c r="Q67" s="41" t="s">
        <v>45</v>
      </c>
      <c r="R67" s="37" t="s">
        <v>46</v>
      </c>
      <c r="S67" s="48" t="s">
        <v>47</v>
      </c>
      <c r="T67" s="42">
        <f t="shared" si="1"/>
        <v>2</v>
      </c>
      <c r="U67" s="41">
        <v>0</v>
      </c>
      <c r="V67" s="41"/>
      <c r="W67" s="41"/>
      <c r="X67" s="41"/>
      <c r="Y67" s="41">
        <v>1</v>
      </c>
      <c r="Z67" s="41"/>
      <c r="AA67" s="41">
        <v>1</v>
      </c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</row>
    <row r="68" spans="1:49" hidden="1">
      <c r="A68" s="37">
        <f>MAX($A$1:$A67)+1</f>
        <v>66</v>
      </c>
      <c r="B68" s="41" t="s">
        <v>32</v>
      </c>
      <c r="C68" s="41" t="s">
        <v>31</v>
      </c>
      <c r="D68" s="41" t="s">
        <v>73</v>
      </c>
      <c r="E68" s="41" t="s">
        <v>74</v>
      </c>
      <c r="F68" s="54">
        <v>48.835666656494098</v>
      </c>
      <c r="G68" s="46">
        <v>-125.214797973632</v>
      </c>
      <c r="H68" s="41" t="s">
        <v>72</v>
      </c>
      <c r="I68" s="41">
        <v>2.5</v>
      </c>
      <c r="J68" s="41">
        <v>300</v>
      </c>
      <c r="K68" s="60">
        <v>0.52430555555555602</v>
      </c>
      <c r="L68" s="41">
        <v>6.5</v>
      </c>
      <c r="M68" s="41">
        <v>8</v>
      </c>
      <c r="N68" s="41" t="s">
        <v>36</v>
      </c>
      <c r="O68" s="41">
        <v>2</v>
      </c>
      <c r="P68" s="41">
        <v>8</v>
      </c>
      <c r="Q68" s="61" t="s">
        <v>39</v>
      </c>
      <c r="R68" s="62" t="s">
        <v>40</v>
      </c>
      <c r="S68" s="63" t="s">
        <v>41</v>
      </c>
      <c r="T68" s="42">
        <f t="shared" ref="T68:T76" si="4">SUM(U68:AW68)</f>
        <v>9</v>
      </c>
      <c r="U68" s="41">
        <v>0</v>
      </c>
      <c r="V68" s="41"/>
      <c r="W68" s="41"/>
      <c r="X68" s="41">
        <v>3</v>
      </c>
      <c r="Y68" s="41">
        <v>3</v>
      </c>
      <c r="Z68" s="41">
        <v>2</v>
      </c>
      <c r="AA68" s="41">
        <v>1</v>
      </c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</row>
    <row r="69" spans="1:49" hidden="1">
      <c r="A69" s="37">
        <f>MAX($A$1:$A68)+1</f>
        <v>67</v>
      </c>
      <c r="B69" s="41" t="s">
        <v>32</v>
      </c>
      <c r="C69" s="41" t="s">
        <v>31</v>
      </c>
      <c r="D69" s="41" t="s">
        <v>73</v>
      </c>
      <c r="E69" s="41" t="s">
        <v>74</v>
      </c>
      <c r="F69" s="54">
        <v>48.835666656494098</v>
      </c>
      <c r="G69" s="46">
        <v>-125.214797973632</v>
      </c>
      <c r="H69" s="41" t="s">
        <v>72</v>
      </c>
      <c r="I69" s="41">
        <v>2.5</v>
      </c>
      <c r="J69" s="41">
        <v>300</v>
      </c>
      <c r="K69" s="60">
        <v>0.52430555555555602</v>
      </c>
      <c r="L69" s="41">
        <v>6.5</v>
      </c>
      <c r="M69" s="41">
        <v>8</v>
      </c>
      <c r="N69" s="41" t="s">
        <v>36</v>
      </c>
      <c r="O69" s="41">
        <v>2</v>
      </c>
      <c r="P69" s="41">
        <v>8</v>
      </c>
      <c r="Q69" s="41" t="s">
        <v>45</v>
      </c>
      <c r="R69" s="37" t="s">
        <v>46</v>
      </c>
      <c r="S69" s="48" t="s">
        <v>47</v>
      </c>
      <c r="T69" s="42">
        <f t="shared" si="4"/>
        <v>1</v>
      </c>
      <c r="U69" s="41">
        <v>0</v>
      </c>
      <c r="V69" s="41"/>
      <c r="W69" s="41"/>
      <c r="X69" s="41"/>
      <c r="Y69" s="41">
        <v>1</v>
      </c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</row>
    <row r="70" spans="1:49" hidden="1">
      <c r="A70" s="37">
        <f>MAX($A$1:$A69)+1</f>
        <v>68</v>
      </c>
      <c r="B70" s="41" t="s">
        <v>32</v>
      </c>
      <c r="C70" s="41" t="s">
        <v>31</v>
      </c>
      <c r="D70" s="41" t="s">
        <v>73</v>
      </c>
      <c r="E70" s="41" t="s">
        <v>74</v>
      </c>
      <c r="F70" s="54">
        <v>48.835666656494098</v>
      </c>
      <c r="G70" s="46">
        <v>-125.214797973632</v>
      </c>
      <c r="H70" s="41" t="s">
        <v>72</v>
      </c>
      <c r="I70" s="41">
        <v>2.5</v>
      </c>
      <c r="J70" s="41">
        <v>300</v>
      </c>
      <c r="K70" s="60">
        <v>0.52430555555555602</v>
      </c>
      <c r="L70" s="41">
        <v>6.5</v>
      </c>
      <c r="M70" s="41">
        <v>8</v>
      </c>
      <c r="N70" s="41" t="s">
        <v>36</v>
      </c>
      <c r="O70" s="41">
        <v>2</v>
      </c>
      <c r="P70" s="41">
        <v>8</v>
      </c>
      <c r="Q70" s="61" t="s">
        <v>67</v>
      </c>
      <c r="R70" s="62" t="s">
        <v>68</v>
      </c>
      <c r="S70" s="63" t="s">
        <v>69</v>
      </c>
      <c r="T70" s="42">
        <f t="shared" si="4"/>
        <v>1</v>
      </c>
      <c r="U70" s="41">
        <v>0</v>
      </c>
      <c r="V70" s="41"/>
      <c r="W70" s="41">
        <v>1</v>
      </c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</row>
    <row r="71" spans="1:49" hidden="1">
      <c r="A71" s="37">
        <f>MAX($A$1:$A70)+1</f>
        <v>69</v>
      </c>
      <c r="B71" s="41" t="s">
        <v>32</v>
      </c>
      <c r="C71" s="41" t="s">
        <v>31</v>
      </c>
      <c r="D71" s="41" t="s">
        <v>73</v>
      </c>
      <c r="E71" s="41" t="s">
        <v>74</v>
      </c>
      <c r="F71" s="54">
        <v>48.835666656494098</v>
      </c>
      <c r="G71" s="46">
        <v>-125.214797973632</v>
      </c>
      <c r="H71" s="41" t="s">
        <v>72</v>
      </c>
      <c r="I71" s="41">
        <v>2.5</v>
      </c>
      <c r="J71" s="41">
        <v>300</v>
      </c>
      <c r="K71" s="60">
        <v>0.52430555555555602</v>
      </c>
      <c r="L71" s="41">
        <v>6.5</v>
      </c>
      <c r="M71" s="41">
        <v>8</v>
      </c>
      <c r="N71" s="41" t="s">
        <v>36</v>
      </c>
      <c r="O71" s="41">
        <v>2</v>
      </c>
      <c r="P71" s="41">
        <v>24</v>
      </c>
      <c r="Q71" s="61" t="s">
        <v>39</v>
      </c>
      <c r="R71" s="62" t="s">
        <v>40</v>
      </c>
      <c r="S71" s="63" t="s">
        <v>41</v>
      </c>
      <c r="T71" s="42">
        <f t="shared" si="4"/>
        <v>11</v>
      </c>
      <c r="U71" s="41">
        <v>0</v>
      </c>
      <c r="V71" s="41"/>
      <c r="W71" s="41">
        <v>1</v>
      </c>
      <c r="X71" s="41">
        <v>3</v>
      </c>
      <c r="Y71" s="41">
        <v>3</v>
      </c>
      <c r="Z71" s="41">
        <v>3</v>
      </c>
      <c r="AA71" s="41">
        <v>1</v>
      </c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</row>
    <row r="72" spans="1:49" hidden="1">
      <c r="A72" s="37">
        <f>MAX($A$1:$A71)+1</f>
        <v>70</v>
      </c>
      <c r="B72" s="41" t="s">
        <v>32</v>
      </c>
      <c r="C72" s="41" t="s">
        <v>31</v>
      </c>
      <c r="D72" s="41" t="s">
        <v>73</v>
      </c>
      <c r="E72" s="41" t="s">
        <v>74</v>
      </c>
      <c r="F72" s="54">
        <v>48.835666656494098</v>
      </c>
      <c r="G72" s="46">
        <v>-125.214797973632</v>
      </c>
      <c r="H72" s="41" t="s">
        <v>72</v>
      </c>
      <c r="I72" s="41">
        <v>2.5</v>
      </c>
      <c r="J72" s="41">
        <v>300</v>
      </c>
      <c r="K72" s="60">
        <v>0.52430555555555602</v>
      </c>
      <c r="L72" s="41">
        <v>6.5</v>
      </c>
      <c r="M72" s="41">
        <v>8</v>
      </c>
      <c r="N72" s="41" t="s">
        <v>36</v>
      </c>
      <c r="O72" s="41">
        <v>2</v>
      </c>
      <c r="P72" s="41">
        <v>24</v>
      </c>
      <c r="Q72" s="61" t="s">
        <v>67</v>
      </c>
      <c r="R72" s="62" t="s">
        <v>68</v>
      </c>
      <c r="S72" s="63" t="s">
        <v>69</v>
      </c>
      <c r="T72" s="42">
        <f t="shared" si="4"/>
        <v>1</v>
      </c>
      <c r="U72" s="41">
        <v>0</v>
      </c>
      <c r="V72" s="41"/>
      <c r="W72" s="41"/>
      <c r="X72" s="41">
        <v>1</v>
      </c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</row>
    <row r="73" spans="1:49" hidden="1">
      <c r="A73" s="37">
        <f>MAX($A$1:$A72)+1</f>
        <v>71</v>
      </c>
      <c r="B73" s="41" t="s">
        <v>32</v>
      </c>
      <c r="C73" s="41" t="s">
        <v>31</v>
      </c>
      <c r="D73" s="41" t="s">
        <v>73</v>
      </c>
      <c r="E73" s="41" t="s">
        <v>74</v>
      </c>
      <c r="F73" s="54">
        <v>48.835666656494098</v>
      </c>
      <c r="G73" s="46">
        <v>-125.214797973632</v>
      </c>
      <c r="H73" s="41" t="s">
        <v>72</v>
      </c>
      <c r="I73" s="41">
        <v>2.5</v>
      </c>
      <c r="J73" s="41">
        <v>300</v>
      </c>
      <c r="K73" s="60">
        <v>0.52430555555555602</v>
      </c>
      <c r="L73" s="41">
        <v>6.5</v>
      </c>
      <c r="M73" s="41">
        <v>8</v>
      </c>
      <c r="N73" s="41" t="s">
        <v>36</v>
      </c>
      <c r="O73" s="41">
        <v>2</v>
      </c>
      <c r="P73" s="41">
        <v>24</v>
      </c>
      <c r="Q73" s="41" t="s">
        <v>45</v>
      </c>
      <c r="R73" s="37" t="s">
        <v>46</v>
      </c>
      <c r="S73" s="48" t="s">
        <v>47</v>
      </c>
      <c r="T73" s="42">
        <f t="shared" si="4"/>
        <v>1</v>
      </c>
      <c r="U73" s="41">
        <v>0</v>
      </c>
      <c r="V73" s="41"/>
      <c r="W73" s="41"/>
      <c r="X73" s="41"/>
      <c r="Y73" s="41">
        <v>1</v>
      </c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</row>
    <row r="74" spans="1:49" hidden="1">
      <c r="A74" s="37">
        <f>MAX($A$1:$A73)+1</f>
        <v>72</v>
      </c>
      <c r="B74" s="41" t="s">
        <v>32</v>
      </c>
      <c r="C74" s="41" t="s">
        <v>31</v>
      </c>
      <c r="D74" s="41" t="s">
        <v>73</v>
      </c>
      <c r="E74" s="41" t="s">
        <v>74</v>
      </c>
      <c r="F74" s="54">
        <v>48.835666656494098</v>
      </c>
      <c r="G74" s="46">
        <v>-125.214797973632</v>
      </c>
      <c r="H74" s="41" t="s">
        <v>72</v>
      </c>
      <c r="I74" s="41">
        <v>2.5</v>
      </c>
      <c r="J74" s="41">
        <v>300</v>
      </c>
      <c r="K74" s="60">
        <v>0.52430555555555602</v>
      </c>
      <c r="L74" s="41">
        <v>6.5</v>
      </c>
      <c r="M74" s="41">
        <v>8</v>
      </c>
      <c r="N74" s="41" t="s">
        <v>36</v>
      </c>
      <c r="O74" s="41">
        <v>2</v>
      </c>
      <c r="P74" s="41">
        <v>40</v>
      </c>
      <c r="Q74" s="61" t="s">
        <v>39</v>
      </c>
      <c r="R74" s="62" t="s">
        <v>40</v>
      </c>
      <c r="S74" s="63" t="s">
        <v>41</v>
      </c>
      <c r="T74" s="42">
        <f t="shared" si="4"/>
        <v>9</v>
      </c>
      <c r="U74" s="41">
        <v>0</v>
      </c>
      <c r="V74" s="41"/>
      <c r="W74" s="41">
        <v>1</v>
      </c>
      <c r="X74" s="41">
        <v>5</v>
      </c>
      <c r="Y74" s="41">
        <v>3</v>
      </c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</row>
    <row r="75" spans="1:49" hidden="1">
      <c r="A75" s="37">
        <f>MAX($A$1:$A74)+1</f>
        <v>73</v>
      </c>
      <c r="B75" s="41" t="s">
        <v>32</v>
      </c>
      <c r="C75" s="41" t="s">
        <v>31</v>
      </c>
      <c r="D75" s="41" t="s">
        <v>73</v>
      </c>
      <c r="E75" s="41" t="s">
        <v>74</v>
      </c>
      <c r="F75" s="54">
        <v>48.835666656494098</v>
      </c>
      <c r="G75" s="46">
        <v>-125.214797973632</v>
      </c>
      <c r="H75" s="41" t="s">
        <v>72</v>
      </c>
      <c r="I75" s="41">
        <v>2.5</v>
      </c>
      <c r="J75" s="41">
        <v>300</v>
      </c>
      <c r="K75" s="60">
        <v>0.52430555555555602</v>
      </c>
      <c r="L75" s="41">
        <v>6.5</v>
      </c>
      <c r="M75" s="41">
        <v>8</v>
      </c>
      <c r="N75" s="41" t="s">
        <v>36</v>
      </c>
      <c r="O75" s="41">
        <v>2</v>
      </c>
      <c r="P75" s="41">
        <v>40</v>
      </c>
      <c r="Q75" s="41" t="s">
        <v>62</v>
      </c>
      <c r="R75" s="37" t="s">
        <v>63</v>
      </c>
      <c r="S75" s="48" t="s">
        <v>64</v>
      </c>
      <c r="T75" s="42">
        <f t="shared" si="4"/>
        <v>1</v>
      </c>
      <c r="U75" s="41">
        <v>0</v>
      </c>
      <c r="V75" s="41"/>
      <c r="W75" s="41"/>
      <c r="X75" s="41"/>
      <c r="Y75" s="41"/>
      <c r="Z75" s="41"/>
      <c r="AA75" s="41"/>
      <c r="AB75" s="41"/>
      <c r="AC75" s="41">
        <v>1</v>
      </c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</row>
    <row r="76" spans="1:49" hidden="1">
      <c r="A76" s="37">
        <f>MAX($A$1:$A75)+1</f>
        <v>74</v>
      </c>
      <c r="B76" s="41" t="s">
        <v>32</v>
      </c>
      <c r="C76" s="41" t="s">
        <v>31</v>
      </c>
      <c r="D76" s="41" t="s">
        <v>73</v>
      </c>
      <c r="E76" s="41" t="s">
        <v>74</v>
      </c>
      <c r="F76" s="54">
        <v>48.835666656494098</v>
      </c>
      <c r="G76" s="46">
        <v>-125.214797973632</v>
      </c>
      <c r="H76" s="41" t="s">
        <v>72</v>
      </c>
      <c r="I76" s="41">
        <v>2.5</v>
      </c>
      <c r="J76" s="41">
        <v>300</v>
      </c>
      <c r="K76" s="60">
        <v>0.52430555555555602</v>
      </c>
      <c r="L76" s="41">
        <v>6.5</v>
      </c>
      <c r="M76" s="41">
        <v>8</v>
      </c>
      <c r="N76" s="41" t="s">
        <v>36</v>
      </c>
      <c r="O76" s="41">
        <v>2</v>
      </c>
      <c r="P76" s="41">
        <v>40</v>
      </c>
      <c r="Q76" s="41" t="s">
        <v>45</v>
      </c>
      <c r="R76" s="37" t="s">
        <v>46</v>
      </c>
      <c r="S76" s="48" t="s">
        <v>47</v>
      </c>
      <c r="T76" s="42">
        <f t="shared" si="4"/>
        <v>2</v>
      </c>
      <c r="U76" s="41">
        <v>0</v>
      </c>
      <c r="V76" s="41"/>
      <c r="W76" s="41"/>
      <c r="X76" s="41">
        <v>2</v>
      </c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</row>
    <row r="77" spans="1:49" hidden="1">
      <c r="A77" s="37">
        <f>MAX($A$1:$A76)+1</f>
        <v>75</v>
      </c>
      <c r="B77" s="41" t="s">
        <v>31</v>
      </c>
      <c r="C77" s="41" t="s">
        <v>32</v>
      </c>
      <c r="D77" s="41" t="s">
        <v>75</v>
      </c>
      <c r="E77" s="73" t="s">
        <v>76</v>
      </c>
      <c r="F77" s="54">
        <v>48.834789276122997</v>
      </c>
      <c r="G77" s="46">
        <v>-125.14702606201099</v>
      </c>
      <c r="H77" s="41" t="s">
        <v>77</v>
      </c>
      <c r="I77" s="41">
        <v>2</v>
      </c>
      <c r="J77" s="41">
        <v>220</v>
      </c>
      <c r="K77" s="60">
        <v>0.43055555555555558</v>
      </c>
      <c r="L77" s="41">
        <v>7</v>
      </c>
      <c r="M77" s="41"/>
      <c r="N77" s="41" t="s">
        <v>36</v>
      </c>
      <c r="O77" s="41">
        <v>1</v>
      </c>
      <c r="P77" s="41">
        <v>0</v>
      </c>
      <c r="Q77" s="61" t="s">
        <v>39</v>
      </c>
      <c r="R77" s="62" t="s">
        <v>40</v>
      </c>
      <c r="S77" s="63" t="s">
        <v>41</v>
      </c>
      <c r="T77" s="42">
        <f t="shared" ref="T77:T84" si="5">SUM(U77:AW77)</f>
        <v>3</v>
      </c>
      <c r="U77" s="41">
        <v>0</v>
      </c>
      <c r="V77" s="41"/>
      <c r="W77" s="41"/>
      <c r="X77" s="41">
        <v>2</v>
      </c>
      <c r="Y77" s="41"/>
      <c r="Z77" s="41">
        <v>1</v>
      </c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</row>
    <row r="78" spans="1:49" hidden="1">
      <c r="A78" s="37">
        <f>MAX($A$1:$A77)+1</f>
        <v>76</v>
      </c>
      <c r="B78" s="41" t="s">
        <v>31</v>
      </c>
      <c r="C78" s="41" t="s">
        <v>32</v>
      </c>
      <c r="D78" s="41" t="s">
        <v>75</v>
      </c>
      <c r="E78" s="73" t="s">
        <v>76</v>
      </c>
      <c r="F78" s="54">
        <v>48.834789276122997</v>
      </c>
      <c r="G78" s="46">
        <v>-125.14702606201099</v>
      </c>
      <c r="H78" s="41" t="s">
        <v>77</v>
      </c>
      <c r="I78" s="41">
        <v>2</v>
      </c>
      <c r="J78" s="41">
        <v>220</v>
      </c>
      <c r="K78" s="60">
        <v>0.43055555555555558</v>
      </c>
      <c r="L78" s="41">
        <v>7</v>
      </c>
      <c r="M78" s="41"/>
      <c r="N78" s="41" t="s">
        <v>36</v>
      </c>
      <c r="O78" s="41">
        <v>1</v>
      </c>
      <c r="P78" s="41">
        <v>16</v>
      </c>
      <c r="Q78" s="61" t="s">
        <v>39</v>
      </c>
      <c r="R78" s="62" t="s">
        <v>40</v>
      </c>
      <c r="S78" s="63" t="s">
        <v>41</v>
      </c>
      <c r="T78" s="42">
        <f t="shared" si="5"/>
        <v>3</v>
      </c>
      <c r="U78" s="41">
        <v>0</v>
      </c>
      <c r="V78" s="41">
        <v>1</v>
      </c>
      <c r="W78" s="41"/>
      <c r="X78" s="41">
        <v>2</v>
      </c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</row>
    <row r="79" spans="1:49" hidden="1">
      <c r="A79" s="37">
        <f>MAX($A$1:$A78)+1</f>
        <v>77</v>
      </c>
      <c r="B79" s="41" t="s">
        <v>31</v>
      </c>
      <c r="C79" s="41" t="s">
        <v>32</v>
      </c>
      <c r="D79" s="41" t="s">
        <v>75</v>
      </c>
      <c r="E79" s="73" t="s">
        <v>76</v>
      </c>
      <c r="F79" s="54">
        <v>48.834789276122997</v>
      </c>
      <c r="G79" s="46">
        <v>-125.14702606201099</v>
      </c>
      <c r="H79" s="41" t="s">
        <v>77</v>
      </c>
      <c r="I79" s="41">
        <v>2</v>
      </c>
      <c r="J79" s="41">
        <v>220</v>
      </c>
      <c r="K79" s="60">
        <v>0.43055555555555558</v>
      </c>
      <c r="L79" s="41">
        <v>7</v>
      </c>
      <c r="M79" s="41"/>
      <c r="N79" s="41" t="s">
        <v>36</v>
      </c>
      <c r="O79" s="41">
        <v>1</v>
      </c>
      <c r="P79" s="41">
        <v>32</v>
      </c>
      <c r="Q79" s="61" t="s">
        <v>39</v>
      </c>
      <c r="R79" s="62" t="s">
        <v>40</v>
      </c>
      <c r="S79" s="63" t="s">
        <v>41</v>
      </c>
      <c r="T79" s="42">
        <f t="shared" si="5"/>
        <v>7</v>
      </c>
      <c r="U79" s="41">
        <v>0</v>
      </c>
      <c r="V79" s="41"/>
      <c r="W79" s="41">
        <v>1</v>
      </c>
      <c r="X79" s="41">
        <v>6</v>
      </c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</row>
    <row r="80" spans="1:49" hidden="1">
      <c r="A80" s="37">
        <f>MAX($A$1:$A79)+1</f>
        <v>78</v>
      </c>
      <c r="B80" s="41" t="s">
        <v>31</v>
      </c>
      <c r="C80" s="41" t="s">
        <v>32</v>
      </c>
      <c r="D80" s="41" t="s">
        <v>75</v>
      </c>
      <c r="E80" s="73" t="s">
        <v>76</v>
      </c>
      <c r="F80" s="54">
        <v>48.834789276122997</v>
      </c>
      <c r="G80" s="46">
        <v>-125.14702606201099</v>
      </c>
      <c r="H80" s="41" t="s">
        <v>77</v>
      </c>
      <c r="I80" s="41">
        <v>2</v>
      </c>
      <c r="J80" s="41">
        <v>220</v>
      </c>
      <c r="K80" s="60">
        <v>0.43055555555555558</v>
      </c>
      <c r="L80" s="41">
        <v>7</v>
      </c>
      <c r="M80" s="41"/>
      <c r="N80" s="41" t="s">
        <v>36</v>
      </c>
      <c r="O80" s="41">
        <v>1</v>
      </c>
      <c r="P80" s="41">
        <v>32</v>
      </c>
      <c r="Q80" s="41" t="s">
        <v>53</v>
      </c>
      <c r="R80" s="37" t="s">
        <v>54</v>
      </c>
      <c r="S80" s="48" t="s">
        <v>55</v>
      </c>
      <c r="T80" s="42">
        <f t="shared" si="5"/>
        <v>1</v>
      </c>
      <c r="U80" s="41">
        <v>0</v>
      </c>
      <c r="V80" s="41"/>
      <c r="W80" s="41"/>
      <c r="X80" s="41"/>
      <c r="Y80" s="41"/>
      <c r="Z80" s="41"/>
      <c r="AA80" s="41">
        <v>1</v>
      </c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</row>
    <row r="81" spans="1:49" hidden="1">
      <c r="A81" s="37">
        <f>MAX($A$1:$A80)+1</f>
        <v>79</v>
      </c>
      <c r="B81" s="41" t="s">
        <v>31</v>
      </c>
      <c r="C81" s="41" t="s">
        <v>32</v>
      </c>
      <c r="D81" s="41" t="s">
        <v>75</v>
      </c>
      <c r="E81" s="73" t="s">
        <v>76</v>
      </c>
      <c r="F81" s="54">
        <v>48.834789276122997</v>
      </c>
      <c r="G81" s="46">
        <v>-125.14702606201099</v>
      </c>
      <c r="H81" s="41" t="s">
        <v>77</v>
      </c>
      <c r="I81" s="41">
        <v>2</v>
      </c>
      <c r="J81" s="41">
        <v>220</v>
      </c>
      <c r="K81" s="60">
        <v>0.43055555555555558</v>
      </c>
      <c r="L81" s="41">
        <v>7</v>
      </c>
      <c r="M81" s="41"/>
      <c r="N81" s="41" t="s">
        <v>36</v>
      </c>
      <c r="O81" s="41">
        <v>1</v>
      </c>
      <c r="P81" s="41">
        <v>48</v>
      </c>
      <c r="Q81" s="61" t="s">
        <v>39</v>
      </c>
      <c r="R81" s="62" t="s">
        <v>40</v>
      </c>
      <c r="S81" s="63" t="s">
        <v>41</v>
      </c>
      <c r="T81" s="42">
        <f t="shared" si="5"/>
        <v>6</v>
      </c>
      <c r="U81" s="41">
        <v>0</v>
      </c>
      <c r="V81" s="41"/>
      <c r="W81" s="41">
        <v>1</v>
      </c>
      <c r="X81" s="41">
        <v>4</v>
      </c>
      <c r="Y81" s="41">
        <v>1</v>
      </c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</row>
    <row r="82" spans="1:49" hidden="1">
      <c r="A82" s="37">
        <f>MAX($A$1:$A81)+1</f>
        <v>80</v>
      </c>
      <c r="B82" s="41" t="s">
        <v>32</v>
      </c>
      <c r="C82" s="41" t="s">
        <v>31</v>
      </c>
      <c r="D82" s="41" t="s">
        <v>75</v>
      </c>
      <c r="E82" s="73" t="s">
        <v>76</v>
      </c>
      <c r="F82" s="54">
        <v>48.834789276122997</v>
      </c>
      <c r="G82" s="46">
        <v>-125.14702606201099</v>
      </c>
      <c r="H82" s="41" t="s">
        <v>77</v>
      </c>
      <c r="I82" s="41">
        <v>2</v>
      </c>
      <c r="J82" s="41">
        <v>220</v>
      </c>
      <c r="K82" s="60">
        <v>0.43055555555555558</v>
      </c>
      <c r="L82" s="41">
        <v>7</v>
      </c>
      <c r="M82" s="41"/>
      <c r="N82" s="41" t="s">
        <v>36</v>
      </c>
      <c r="O82" s="41">
        <v>2</v>
      </c>
      <c r="P82" s="41">
        <v>8</v>
      </c>
      <c r="Q82" s="61" t="s">
        <v>39</v>
      </c>
      <c r="R82" s="62" t="s">
        <v>40</v>
      </c>
      <c r="S82" s="63" t="s">
        <v>41</v>
      </c>
      <c r="T82" s="42">
        <f t="shared" si="5"/>
        <v>1</v>
      </c>
      <c r="U82" s="41">
        <v>0</v>
      </c>
      <c r="V82" s="41"/>
      <c r="W82" s="41"/>
      <c r="X82" s="41">
        <v>1</v>
      </c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</row>
    <row r="83" spans="1:49" hidden="1">
      <c r="A83" s="37">
        <f>MAX($A$1:$A82)+1</f>
        <v>81</v>
      </c>
      <c r="B83" s="41" t="s">
        <v>32</v>
      </c>
      <c r="C83" s="41" t="s">
        <v>31</v>
      </c>
      <c r="D83" s="41" t="s">
        <v>75</v>
      </c>
      <c r="E83" s="73" t="s">
        <v>76</v>
      </c>
      <c r="F83" s="54">
        <v>48.834789276122997</v>
      </c>
      <c r="G83" s="46">
        <v>-125.14702606201099</v>
      </c>
      <c r="H83" s="41" t="s">
        <v>77</v>
      </c>
      <c r="I83" s="41">
        <v>2</v>
      </c>
      <c r="J83" s="41">
        <v>220</v>
      </c>
      <c r="K83" s="60">
        <v>0.43055555555555558</v>
      </c>
      <c r="L83" s="41">
        <v>7</v>
      </c>
      <c r="M83" s="41"/>
      <c r="N83" s="41" t="s">
        <v>36</v>
      </c>
      <c r="O83" s="41">
        <v>2</v>
      </c>
      <c r="P83" s="41">
        <v>8</v>
      </c>
      <c r="Q83" s="41" t="s">
        <v>45</v>
      </c>
      <c r="R83" s="37" t="s">
        <v>46</v>
      </c>
      <c r="S83" s="48" t="s">
        <v>47</v>
      </c>
      <c r="T83" s="42">
        <f t="shared" ref="T83:T87" si="6">SUM(U83:AW83)</f>
        <v>1</v>
      </c>
      <c r="U83" s="41">
        <v>0</v>
      </c>
      <c r="V83" s="41"/>
      <c r="W83" s="41"/>
      <c r="X83" s="41"/>
      <c r="Y83" s="41"/>
      <c r="Z83" s="41"/>
      <c r="AA83" s="41">
        <v>1</v>
      </c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</row>
    <row r="84" spans="1:49" hidden="1">
      <c r="A84" s="37">
        <f>MAX($A$1:$A83)+1</f>
        <v>82</v>
      </c>
      <c r="B84" s="41" t="s">
        <v>32</v>
      </c>
      <c r="C84" s="41" t="s">
        <v>31</v>
      </c>
      <c r="D84" s="41" t="s">
        <v>75</v>
      </c>
      <c r="E84" s="73" t="s">
        <v>76</v>
      </c>
      <c r="F84" s="54">
        <v>48.834789276122997</v>
      </c>
      <c r="G84" s="46">
        <v>-125.14702606201099</v>
      </c>
      <c r="H84" s="41" t="s">
        <v>77</v>
      </c>
      <c r="I84" s="41">
        <v>2</v>
      </c>
      <c r="J84" s="41">
        <v>220</v>
      </c>
      <c r="K84" s="60">
        <v>0.43055555555555558</v>
      </c>
      <c r="L84" s="41">
        <v>7</v>
      </c>
      <c r="M84" s="41"/>
      <c r="N84" s="41" t="s">
        <v>36</v>
      </c>
      <c r="O84" s="41">
        <v>2</v>
      </c>
      <c r="P84" s="41">
        <v>24</v>
      </c>
      <c r="Q84" s="61" t="s">
        <v>45</v>
      </c>
      <c r="R84" s="62" t="s">
        <v>46</v>
      </c>
      <c r="S84" s="63" t="s">
        <v>47</v>
      </c>
      <c r="T84" s="42">
        <f t="shared" si="6"/>
        <v>1</v>
      </c>
      <c r="U84" s="41">
        <v>0</v>
      </c>
      <c r="V84" s="41"/>
      <c r="W84" s="41"/>
      <c r="X84" s="41"/>
      <c r="Y84" s="41"/>
      <c r="Z84" s="41"/>
      <c r="AA84" s="41">
        <v>1</v>
      </c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</row>
    <row r="85" spans="1:49" hidden="1">
      <c r="A85" s="37">
        <f>MAX($A$1:$A84)+1</f>
        <v>83</v>
      </c>
      <c r="B85" s="41" t="s">
        <v>32</v>
      </c>
      <c r="C85" s="41" t="s">
        <v>31</v>
      </c>
      <c r="D85" s="41" t="s">
        <v>75</v>
      </c>
      <c r="E85" s="73" t="s">
        <v>76</v>
      </c>
      <c r="F85" s="54">
        <v>48.834789276122997</v>
      </c>
      <c r="G85" s="46">
        <v>-125.14702606201099</v>
      </c>
      <c r="H85" s="41" t="s">
        <v>77</v>
      </c>
      <c r="I85" s="41">
        <v>2</v>
      </c>
      <c r="J85" s="41">
        <v>220</v>
      </c>
      <c r="K85" s="60">
        <v>0.43055555555555558</v>
      </c>
      <c r="L85" s="41">
        <v>7</v>
      </c>
      <c r="M85" s="41"/>
      <c r="N85" s="41" t="s">
        <v>36</v>
      </c>
      <c r="O85" s="41">
        <v>2</v>
      </c>
      <c r="P85" s="41">
        <v>24</v>
      </c>
      <c r="Q85" s="61" t="s">
        <v>39</v>
      </c>
      <c r="R85" s="62" t="s">
        <v>40</v>
      </c>
      <c r="S85" s="63" t="s">
        <v>41</v>
      </c>
      <c r="T85" s="42">
        <f t="shared" si="6"/>
        <v>4</v>
      </c>
      <c r="U85" s="41">
        <v>0</v>
      </c>
      <c r="V85" s="41"/>
      <c r="W85" s="41"/>
      <c r="X85" s="41">
        <v>3</v>
      </c>
      <c r="Y85" s="41">
        <v>1</v>
      </c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</row>
    <row r="86" spans="1:49" hidden="1">
      <c r="A86" s="37">
        <f>MAX($A$1:$A85)+1</f>
        <v>84</v>
      </c>
      <c r="B86" s="41" t="s">
        <v>32</v>
      </c>
      <c r="C86" s="41" t="s">
        <v>31</v>
      </c>
      <c r="D86" s="41" t="s">
        <v>75</v>
      </c>
      <c r="E86" s="73" t="s">
        <v>76</v>
      </c>
      <c r="F86" s="54">
        <v>48.834789276122997</v>
      </c>
      <c r="G86" s="46">
        <v>-125.14702606201099</v>
      </c>
      <c r="H86" s="41" t="s">
        <v>77</v>
      </c>
      <c r="I86" s="41">
        <v>2</v>
      </c>
      <c r="J86" s="41">
        <v>220</v>
      </c>
      <c r="K86" s="60">
        <v>0.43055555555555558</v>
      </c>
      <c r="L86" s="41">
        <v>7</v>
      </c>
      <c r="M86" s="41"/>
      <c r="N86" s="41" t="s">
        <v>36</v>
      </c>
      <c r="O86" s="41">
        <v>2</v>
      </c>
      <c r="P86" s="41">
        <v>40</v>
      </c>
      <c r="Q86" s="61" t="s">
        <v>39</v>
      </c>
      <c r="R86" s="62" t="s">
        <v>40</v>
      </c>
      <c r="S86" s="63" t="s">
        <v>41</v>
      </c>
      <c r="T86" s="42">
        <f t="shared" si="6"/>
        <v>1</v>
      </c>
      <c r="U86" s="41">
        <v>0</v>
      </c>
      <c r="V86" s="41"/>
      <c r="W86" s="41"/>
      <c r="X86" s="41"/>
      <c r="Y86" s="41">
        <v>1</v>
      </c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</row>
    <row r="87" spans="1:49" hidden="1">
      <c r="A87" s="37">
        <f>MAX($A$1:$A86)+1</f>
        <v>85</v>
      </c>
      <c r="B87" s="41" t="s">
        <v>32</v>
      </c>
      <c r="C87" s="41" t="s">
        <v>31</v>
      </c>
      <c r="D87" s="41" t="s">
        <v>75</v>
      </c>
      <c r="E87" s="73" t="s">
        <v>76</v>
      </c>
      <c r="F87" s="54">
        <v>48.834789276122997</v>
      </c>
      <c r="G87" s="46">
        <v>-125.14702606201099</v>
      </c>
      <c r="H87" s="41" t="s">
        <v>77</v>
      </c>
      <c r="I87" s="41">
        <v>2</v>
      </c>
      <c r="J87" s="41">
        <v>220</v>
      </c>
      <c r="K87" s="60">
        <v>0.43055555555555558</v>
      </c>
      <c r="L87" s="41">
        <v>7</v>
      </c>
      <c r="M87" s="41"/>
      <c r="N87" s="41" t="s">
        <v>36</v>
      </c>
      <c r="O87" s="41">
        <v>2</v>
      </c>
      <c r="P87" s="41">
        <v>40</v>
      </c>
      <c r="Q87" s="41" t="s">
        <v>53</v>
      </c>
      <c r="R87" s="37" t="s">
        <v>54</v>
      </c>
      <c r="S87" s="48" t="s">
        <v>55</v>
      </c>
      <c r="T87" s="42">
        <f t="shared" si="6"/>
        <v>1</v>
      </c>
      <c r="U87" s="41">
        <v>0</v>
      </c>
      <c r="V87" s="41"/>
      <c r="W87" s="41"/>
      <c r="X87" s="41"/>
      <c r="Y87" s="41">
        <v>1</v>
      </c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</row>
    <row r="88" spans="1:49" hidden="1">
      <c r="A88" s="37">
        <f>MAX($A$1:$A87)+1</f>
        <v>86</v>
      </c>
      <c r="B88" s="41" t="s">
        <v>31</v>
      </c>
      <c r="C88" s="41" t="s">
        <v>32</v>
      </c>
      <c r="D88" s="41" t="s">
        <v>78</v>
      </c>
      <c r="E88" s="73" t="s">
        <v>79</v>
      </c>
      <c r="F88" s="54">
        <v>48.837589000000001</v>
      </c>
      <c r="G88" s="46">
        <v>-125.14414499999999</v>
      </c>
      <c r="H88" s="41" t="s">
        <v>77</v>
      </c>
      <c r="I88" s="41">
        <v>3</v>
      </c>
      <c r="J88" s="41">
        <v>30</v>
      </c>
      <c r="K88" s="60">
        <v>0.51388888888888895</v>
      </c>
      <c r="L88" s="41">
        <v>7</v>
      </c>
      <c r="M88" s="41">
        <v>8</v>
      </c>
      <c r="N88" s="41" t="s">
        <v>36</v>
      </c>
      <c r="O88" s="41">
        <v>1</v>
      </c>
      <c r="P88" s="41">
        <v>48</v>
      </c>
      <c r="Q88" s="61" t="s">
        <v>39</v>
      </c>
      <c r="R88" s="62" t="s">
        <v>40</v>
      </c>
      <c r="S88" s="63" t="s">
        <v>41</v>
      </c>
      <c r="T88" s="42">
        <f t="shared" si="1"/>
        <v>3</v>
      </c>
      <c r="U88" s="41">
        <v>0</v>
      </c>
      <c r="V88" s="41"/>
      <c r="W88" s="41">
        <v>2</v>
      </c>
      <c r="X88" s="41">
        <v>1</v>
      </c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</row>
    <row r="89" spans="1:49" hidden="1">
      <c r="A89" s="37">
        <f>MAX($A$1:$A88)+1</f>
        <v>87</v>
      </c>
      <c r="B89" s="41" t="s">
        <v>31</v>
      </c>
      <c r="C89" s="41" t="s">
        <v>32</v>
      </c>
      <c r="D89" s="41" t="s">
        <v>78</v>
      </c>
      <c r="E89" s="73" t="s">
        <v>79</v>
      </c>
      <c r="F89" s="54">
        <v>48.837589000000001</v>
      </c>
      <c r="G89" s="46">
        <v>-125.14414499999999</v>
      </c>
      <c r="H89" s="41" t="s">
        <v>77</v>
      </c>
      <c r="I89" s="41">
        <v>3</v>
      </c>
      <c r="J89" s="41">
        <v>30</v>
      </c>
      <c r="K89" s="60">
        <v>0.51388888888888895</v>
      </c>
      <c r="L89" s="41">
        <v>7</v>
      </c>
      <c r="M89" s="41">
        <v>8</v>
      </c>
      <c r="N89" s="41" t="s">
        <v>36</v>
      </c>
      <c r="O89" s="41">
        <v>1</v>
      </c>
      <c r="P89" s="41">
        <v>48</v>
      </c>
      <c r="Q89" s="61" t="s">
        <v>42</v>
      </c>
      <c r="R89" s="64" t="s">
        <v>43</v>
      </c>
      <c r="S89" s="65" t="s">
        <v>44</v>
      </c>
      <c r="T89" s="42">
        <f t="shared" ref="T89:T97" si="7">SUM(U89:AW89)</f>
        <v>1</v>
      </c>
      <c r="U89" s="41">
        <v>0</v>
      </c>
      <c r="V89" s="41"/>
      <c r="W89" s="41">
        <v>1</v>
      </c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</row>
    <row r="90" spans="1:49" hidden="1">
      <c r="A90" s="37">
        <f>MAX($A$1:$A89)+1</f>
        <v>88</v>
      </c>
      <c r="B90" s="41" t="s">
        <v>31</v>
      </c>
      <c r="C90" s="41" t="s">
        <v>32</v>
      </c>
      <c r="D90" s="41" t="s">
        <v>78</v>
      </c>
      <c r="E90" s="73" t="s">
        <v>79</v>
      </c>
      <c r="F90" s="54">
        <v>48.837589000000001</v>
      </c>
      <c r="G90" s="46">
        <v>-125.14414499999999</v>
      </c>
      <c r="H90" s="41" t="s">
        <v>77</v>
      </c>
      <c r="I90" s="41">
        <v>3</v>
      </c>
      <c r="J90" s="41">
        <v>30</v>
      </c>
      <c r="K90" s="60">
        <v>0.51388888888888895</v>
      </c>
      <c r="L90" s="41">
        <v>7</v>
      </c>
      <c r="M90" s="41">
        <v>8</v>
      </c>
      <c r="N90" s="41" t="s">
        <v>36</v>
      </c>
      <c r="O90" s="41">
        <v>1</v>
      </c>
      <c r="P90" s="41">
        <v>32</v>
      </c>
      <c r="Q90" s="61" t="s">
        <v>39</v>
      </c>
      <c r="R90" s="62" t="s">
        <v>40</v>
      </c>
      <c r="S90" s="63" t="s">
        <v>41</v>
      </c>
      <c r="T90" s="42">
        <f t="shared" si="7"/>
        <v>6</v>
      </c>
      <c r="U90" s="41">
        <v>0</v>
      </c>
      <c r="V90" s="41"/>
      <c r="W90" s="41">
        <v>1</v>
      </c>
      <c r="X90" s="41">
        <v>3</v>
      </c>
      <c r="Y90" s="41">
        <v>2</v>
      </c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</row>
    <row r="91" spans="1:49" hidden="1">
      <c r="A91" s="37">
        <f>MAX($A$1:$A90)+1</f>
        <v>89</v>
      </c>
      <c r="B91" s="41" t="s">
        <v>31</v>
      </c>
      <c r="C91" s="41" t="s">
        <v>32</v>
      </c>
      <c r="D91" s="41" t="s">
        <v>78</v>
      </c>
      <c r="E91" s="73" t="s">
        <v>79</v>
      </c>
      <c r="F91" s="54">
        <v>48.837589000000001</v>
      </c>
      <c r="G91" s="46">
        <v>-125.14414499999999</v>
      </c>
      <c r="H91" s="41" t="s">
        <v>77</v>
      </c>
      <c r="I91" s="41">
        <v>3</v>
      </c>
      <c r="J91" s="41">
        <v>30</v>
      </c>
      <c r="K91" s="60">
        <v>0.51388888888888895</v>
      </c>
      <c r="L91" s="41">
        <v>7</v>
      </c>
      <c r="M91" s="41">
        <v>8</v>
      </c>
      <c r="N91" s="41" t="s">
        <v>36</v>
      </c>
      <c r="O91" s="41">
        <v>1</v>
      </c>
      <c r="P91" s="41">
        <v>16</v>
      </c>
      <c r="Q91" s="61" t="s">
        <v>39</v>
      </c>
      <c r="R91" s="62" t="s">
        <v>40</v>
      </c>
      <c r="S91" s="63" t="s">
        <v>41</v>
      </c>
      <c r="T91" s="42">
        <f t="shared" si="7"/>
        <v>5</v>
      </c>
      <c r="U91" s="41">
        <v>0</v>
      </c>
      <c r="V91" s="41"/>
      <c r="W91" s="41">
        <v>2</v>
      </c>
      <c r="X91" s="41">
        <v>2</v>
      </c>
      <c r="Y91" s="41">
        <v>1</v>
      </c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</row>
    <row r="92" spans="1:49" hidden="1">
      <c r="A92" s="37">
        <f>MAX($A$1:$A91)+1</f>
        <v>90</v>
      </c>
      <c r="B92" s="41" t="s">
        <v>31</v>
      </c>
      <c r="C92" s="41" t="s">
        <v>32</v>
      </c>
      <c r="D92" s="41" t="s">
        <v>78</v>
      </c>
      <c r="E92" s="73" t="s">
        <v>79</v>
      </c>
      <c r="F92" s="54">
        <v>48.837589000000001</v>
      </c>
      <c r="G92" s="46">
        <v>-125.14414499999999</v>
      </c>
      <c r="H92" s="41" t="s">
        <v>77</v>
      </c>
      <c r="I92" s="41">
        <v>3</v>
      </c>
      <c r="J92" s="41">
        <v>30</v>
      </c>
      <c r="K92" s="60">
        <v>0.51388888888888895</v>
      </c>
      <c r="L92" s="41">
        <v>7</v>
      </c>
      <c r="M92" s="41">
        <v>8</v>
      </c>
      <c r="N92" s="41" t="s">
        <v>36</v>
      </c>
      <c r="O92" s="41">
        <v>1</v>
      </c>
      <c r="P92" s="41">
        <v>0</v>
      </c>
      <c r="Q92" s="61" t="s">
        <v>39</v>
      </c>
      <c r="R92" s="62" t="s">
        <v>40</v>
      </c>
      <c r="S92" s="63" t="s">
        <v>41</v>
      </c>
      <c r="T92" s="42">
        <f t="shared" si="7"/>
        <v>3</v>
      </c>
      <c r="U92" s="41">
        <v>0</v>
      </c>
      <c r="V92" s="41"/>
      <c r="W92" s="41">
        <v>1</v>
      </c>
      <c r="X92" s="41">
        <v>2</v>
      </c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</row>
    <row r="93" spans="1:49" hidden="1">
      <c r="A93" s="37">
        <f>MAX($A$1:$A92)+1</f>
        <v>91</v>
      </c>
      <c r="B93" s="41" t="s">
        <v>31</v>
      </c>
      <c r="C93" s="41" t="s">
        <v>32</v>
      </c>
      <c r="D93" s="41" t="s">
        <v>78</v>
      </c>
      <c r="E93" s="73" t="s">
        <v>79</v>
      </c>
      <c r="F93" s="54">
        <v>48.837589000000001</v>
      </c>
      <c r="G93" s="46">
        <v>-125.14414499999999</v>
      </c>
      <c r="H93" s="41" t="s">
        <v>77</v>
      </c>
      <c r="I93" s="41">
        <v>3</v>
      </c>
      <c r="J93" s="41">
        <v>30</v>
      </c>
      <c r="K93" s="60">
        <v>0.51388888888888895</v>
      </c>
      <c r="L93" s="41">
        <v>7</v>
      </c>
      <c r="M93" s="41">
        <v>8</v>
      </c>
      <c r="N93" s="41" t="s">
        <v>36</v>
      </c>
      <c r="O93" s="41">
        <v>1</v>
      </c>
      <c r="P93" s="41">
        <v>0</v>
      </c>
      <c r="Q93" s="61" t="s">
        <v>42</v>
      </c>
      <c r="R93" s="64" t="s">
        <v>43</v>
      </c>
      <c r="S93" s="65" t="s">
        <v>44</v>
      </c>
      <c r="T93" s="42">
        <f t="shared" si="7"/>
        <v>1</v>
      </c>
      <c r="U93" s="41">
        <v>0</v>
      </c>
      <c r="V93" s="41"/>
      <c r="W93" s="41">
        <v>1</v>
      </c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</row>
    <row r="94" spans="1:49" hidden="1">
      <c r="A94" s="37">
        <f>MAX($A$1:$A93)+1</f>
        <v>92</v>
      </c>
      <c r="B94" s="41" t="s">
        <v>32</v>
      </c>
      <c r="C94" s="41" t="s">
        <v>31</v>
      </c>
      <c r="D94" s="41" t="s">
        <v>78</v>
      </c>
      <c r="E94" s="73" t="s">
        <v>79</v>
      </c>
      <c r="F94" s="54">
        <v>48.837589000000001</v>
      </c>
      <c r="G94" s="46">
        <v>-125.14414499999999</v>
      </c>
      <c r="H94" s="41" t="s">
        <v>77</v>
      </c>
      <c r="I94" s="41">
        <v>3</v>
      </c>
      <c r="J94" s="41">
        <v>30</v>
      </c>
      <c r="K94" s="60">
        <v>0.51388888888888895</v>
      </c>
      <c r="L94" s="41">
        <v>7</v>
      </c>
      <c r="M94" s="41">
        <v>8</v>
      </c>
      <c r="N94" s="41" t="s">
        <v>36</v>
      </c>
      <c r="O94" s="41">
        <v>2</v>
      </c>
      <c r="P94" s="41">
        <v>40</v>
      </c>
      <c r="Q94" s="61" t="s">
        <v>39</v>
      </c>
      <c r="R94" s="62" t="s">
        <v>40</v>
      </c>
      <c r="S94" s="63" t="s">
        <v>41</v>
      </c>
      <c r="T94" s="42">
        <f t="shared" si="7"/>
        <v>8</v>
      </c>
      <c r="U94" s="41">
        <v>0</v>
      </c>
      <c r="V94" s="41"/>
      <c r="W94" s="41">
        <v>4</v>
      </c>
      <c r="X94" s="41">
        <v>2</v>
      </c>
      <c r="Y94" s="41"/>
      <c r="Z94" s="41">
        <v>2</v>
      </c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</row>
    <row r="95" spans="1:49" hidden="1">
      <c r="A95" s="37">
        <f>MAX($A$1:$A94)+1</f>
        <v>93</v>
      </c>
      <c r="B95" s="41" t="s">
        <v>32</v>
      </c>
      <c r="C95" s="41" t="s">
        <v>31</v>
      </c>
      <c r="D95" s="41" t="s">
        <v>78</v>
      </c>
      <c r="E95" s="73" t="s">
        <v>79</v>
      </c>
      <c r="F95" s="54">
        <v>48.837589000000001</v>
      </c>
      <c r="G95" s="46">
        <v>-125.14414499999999</v>
      </c>
      <c r="H95" s="41" t="s">
        <v>77</v>
      </c>
      <c r="I95" s="41">
        <v>3</v>
      </c>
      <c r="J95" s="41">
        <v>30</v>
      </c>
      <c r="K95" s="60">
        <v>0.51388888888888895</v>
      </c>
      <c r="L95" s="41">
        <v>7</v>
      </c>
      <c r="M95" s="41">
        <v>8</v>
      </c>
      <c r="N95" s="41" t="s">
        <v>36</v>
      </c>
      <c r="O95" s="41">
        <v>2</v>
      </c>
      <c r="P95" s="41">
        <v>24</v>
      </c>
      <c r="Q95" s="61" t="s">
        <v>39</v>
      </c>
      <c r="R95" s="62" t="s">
        <v>40</v>
      </c>
      <c r="S95" s="63" t="s">
        <v>41</v>
      </c>
      <c r="T95" s="42">
        <f t="shared" si="7"/>
        <v>3</v>
      </c>
      <c r="U95" s="41">
        <v>0</v>
      </c>
      <c r="V95" s="41"/>
      <c r="W95" s="41"/>
      <c r="X95" s="41">
        <v>1</v>
      </c>
      <c r="Y95" s="41">
        <v>2</v>
      </c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</row>
    <row r="96" spans="1:49" hidden="1">
      <c r="A96" s="37">
        <f>MAX($A$1:$A95)+1</f>
        <v>94</v>
      </c>
      <c r="B96" s="41" t="s">
        <v>32</v>
      </c>
      <c r="C96" s="41" t="s">
        <v>31</v>
      </c>
      <c r="D96" s="41" t="s">
        <v>78</v>
      </c>
      <c r="E96" s="73" t="s">
        <v>79</v>
      </c>
      <c r="F96" s="54">
        <v>48.837589000000001</v>
      </c>
      <c r="G96" s="46">
        <v>-125.14414499999999</v>
      </c>
      <c r="H96" s="41" t="s">
        <v>77</v>
      </c>
      <c r="I96" s="41">
        <v>3</v>
      </c>
      <c r="J96" s="41">
        <v>30</v>
      </c>
      <c r="K96" s="60">
        <v>0.51388888888888895</v>
      </c>
      <c r="L96" s="41">
        <v>7</v>
      </c>
      <c r="M96" s="41">
        <v>8</v>
      </c>
      <c r="N96" s="41" t="s">
        <v>36</v>
      </c>
      <c r="O96" s="41">
        <v>2</v>
      </c>
      <c r="P96" s="41">
        <v>24</v>
      </c>
      <c r="Q96" s="41" t="s">
        <v>48</v>
      </c>
      <c r="R96" s="37" t="s">
        <v>49</v>
      </c>
      <c r="S96" s="48" t="s">
        <v>50</v>
      </c>
      <c r="T96" s="42">
        <f t="shared" ref="T96" si="8">SUM(U96:AW96)</f>
        <v>1</v>
      </c>
      <c r="U96" s="41">
        <v>0</v>
      </c>
      <c r="V96" s="41"/>
      <c r="W96" s="41">
        <v>1</v>
      </c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</row>
    <row r="97" spans="1:49" hidden="1">
      <c r="A97" s="37">
        <f>MAX($A$1:$A96)+1</f>
        <v>95</v>
      </c>
      <c r="B97" s="41" t="s">
        <v>32</v>
      </c>
      <c r="C97" s="41" t="s">
        <v>31</v>
      </c>
      <c r="D97" s="41" t="s">
        <v>78</v>
      </c>
      <c r="E97" s="73" t="s">
        <v>79</v>
      </c>
      <c r="F97" s="54">
        <v>48.837589000000001</v>
      </c>
      <c r="G97" s="46">
        <v>-125.14414499999999</v>
      </c>
      <c r="H97" s="41" t="s">
        <v>77</v>
      </c>
      <c r="I97" s="41">
        <v>3</v>
      </c>
      <c r="J97" s="41">
        <v>30</v>
      </c>
      <c r="K97" s="60">
        <v>0.51388888888888895</v>
      </c>
      <c r="L97" s="41">
        <v>7</v>
      </c>
      <c r="M97" s="41">
        <v>8</v>
      </c>
      <c r="N97" s="41" t="s">
        <v>36</v>
      </c>
      <c r="O97" s="41">
        <v>2</v>
      </c>
      <c r="P97" s="41">
        <v>8</v>
      </c>
      <c r="Q97" s="61" t="s">
        <v>39</v>
      </c>
      <c r="R97" s="62" t="s">
        <v>40</v>
      </c>
      <c r="S97" s="63" t="s">
        <v>41</v>
      </c>
      <c r="T97" s="42">
        <f t="shared" si="7"/>
        <v>3</v>
      </c>
      <c r="U97" s="41">
        <v>0</v>
      </c>
      <c r="V97" s="41"/>
      <c r="W97" s="41"/>
      <c r="X97" s="41">
        <v>2</v>
      </c>
      <c r="Y97" s="41">
        <v>1</v>
      </c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</row>
    <row r="98" spans="1:49" hidden="1">
      <c r="A98" s="37">
        <f>MAX($A$1:$A97)+1</f>
        <v>96</v>
      </c>
      <c r="B98" s="41" t="s">
        <v>31</v>
      </c>
      <c r="C98" s="41" t="s">
        <v>32</v>
      </c>
      <c r="D98" s="41" t="s">
        <v>80</v>
      </c>
      <c r="E98" s="73" t="s">
        <v>81</v>
      </c>
      <c r="F98" s="54">
        <v>48.815116882324197</v>
      </c>
      <c r="G98" s="46">
        <v>-125.175331115722</v>
      </c>
      <c r="H98" s="41" t="s">
        <v>82</v>
      </c>
      <c r="I98" s="41">
        <v>1.5</v>
      </c>
      <c r="J98" s="41">
        <v>30</v>
      </c>
      <c r="K98" s="60">
        <v>0.42152777777777778</v>
      </c>
      <c r="L98" s="41">
        <v>8.5</v>
      </c>
      <c r="M98" s="41">
        <v>7</v>
      </c>
      <c r="N98" s="41" t="s">
        <v>36</v>
      </c>
      <c r="O98" s="41">
        <v>1</v>
      </c>
      <c r="P98" s="41">
        <v>48</v>
      </c>
      <c r="Q98" s="61" t="s">
        <v>39</v>
      </c>
      <c r="R98" s="62" t="s">
        <v>40</v>
      </c>
      <c r="S98" s="63" t="s">
        <v>41</v>
      </c>
      <c r="T98" s="42">
        <f t="shared" si="1"/>
        <v>4</v>
      </c>
      <c r="U98" s="41">
        <v>0</v>
      </c>
      <c r="V98" s="41"/>
      <c r="W98" s="41"/>
      <c r="X98" s="41">
        <v>2</v>
      </c>
      <c r="Y98" s="41">
        <v>2</v>
      </c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</row>
    <row r="99" spans="1:49" hidden="1">
      <c r="A99" s="37">
        <f>MAX($A$1:$A98)+1</f>
        <v>97</v>
      </c>
      <c r="B99" s="41" t="s">
        <v>31</v>
      </c>
      <c r="C99" s="41" t="s">
        <v>32</v>
      </c>
      <c r="D99" s="41" t="s">
        <v>80</v>
      </c>
      <c r="E99" s="73" t="s">
        <v>81</v>
      </c>
      <c r="F99" s="54">
        <v>48.815116882324197</v>
      </c>
      <c r="G99" s="46">
        <v>-125.175331115722</v>
      </c>
      <c r="H99" s="41" t="s">
        <v>82</v>
      </c>
      <c r="I99" s="41">
        <v>1.5</v>
      </c>
      <c r="J99" s="41">
        <v>30</v>
      </c>
      <c r="K99" s="60">
        <v>0.42152777777777778</v>
      </c>
      <c r="L99" s="41">
        <v>8.5</v>
      </c>
      <c r="M99" s="41">
        <v>7</v>
      </c>
      <c r="N99" s="41" t="s">
        <v>36</v>
      </c>
      <c r="O99" s="41">
        <v>1</v>
      </c>
      <c r="P99" s="41">
        <v>48</v>
      </c>
      <c r="Q99" s="61" t="s">
        <v>42</v>
      </c>
      <c r="R99" s="64" t="s">
        <v>43</v>
      </c>
      <c r="S99" s="65" t="s">
        <v>44</v>
      </c>
      <c r="T99" s="42">
        <f t="shared" ref="T99:T110" si="9">SUM(U99:AW99)</f>
        <v>1</v>
      </c>
      <c r="U99" s="41">
        <v>0</v>
      </c>
      <c r="V99" s="41"/>
      <c r="W99" s="41"/>
      <c r="X99" s="41"/>
      <c r="Y99" s="41">
        <v>1</v>
      </c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</row>
    <row r="100" spans="1:49" hidden="1">
      <c r="A100" s="37">
        <f>MAX($A$1:$A99)+1</f>
        <v>98</v>
      </c>
      <c r="B100" s="41" t="s">
        <v>32</v>
      </c>
      <c r="C100" s="41" t="s">
        <v>31</v>
      </c>
      <c r="D100" s="41" t="s">
        <v>80</v>
      </c>
      <c r="E100" s="73" t="s">
        <v>81</v>
      </c>
      <c r="F100" s="54">
        <v>48.815116882324197</v>
      </c>
      <c r="G100" s="46">
        <v>-125.175331115722</v>
      </c>
      <c r="H100" s="41" t="s">
        <v>82</v>
      </c>
      <c r="I100" s="41">
        <v>1.5</v>
      </c>
      <c r="J100" s="41">
        <v>30</v>
      </c>
      <c r="K100" s="60">
        <v>0.421527777777778</v>
      </c>
      <c r="L100" s="41">
        <v>8.5</v>
      </c>
      <c r="M100" s="41">
        <v>7</v>
      </c>
      <c r="N100" s="41" t="s">
        <v>36</v>
      </c>
      <c r="O100" s="41">
        <v>2</v>
      </c>
      <c r="P100" s="41">
        <v>40</v>
      </c>
      <c r="Q100" s="61" t="s">
        <v>39</v>
      </c>
      <c r="R100" s="62" t="s">
        <v>40</v>
      </c>
      <c r="S100" s="63" t="s">
        <v>41</v>
      </c>
      <c r="T100" s="42">
        <f t="shared" si="9"/>
        <v>11</v>
      </c>
      <c r="U100" s="41">
        <v>0</v>
      </c>
      <c r="V100" s="41"/>
      <c r="W100" s="41">
        <v>2</v>
      </c>
      <c r="X100" s="41">
        <v>4</v>
      </c>
      <c r="Y100" s="41">
        <v>5</v>
      </c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</row>
    <row r="101" spans="1:49" hidden="1">
      <c r="A101" s="37">
        <f>MAX($A$1:$A100)+1</f>
        <v>99</v>
      </c>
      <c r="B101" s="41" t="s">
        <v>32</v>
      </c>
      <c r="C101" s="41" t="s">
        <v>31</v>
      </c>
      <c r="D101" s="41" t="s">
        <v>80</v>
      </c>
      <c r="E101" s="73" t="s">
        <v>81</v>
      </c>
      <c r="F101" s="54">
        <v>48.815116882324197</v>
      </c>
      <c r="G101" s="46">
        <v>-125.175331115722</v>
      </c>
      <c r="H101" s="41" t="s">
        <v>82</v>
      </c>
      <c r="I101" s="41">
        <v>1.5</v>
      </c>
      <c r="J101" s="41">
        <v>30</v>
      </c>
      <c r="K101" s="60">
        <v>0.421527777777778</v>
      </c>
      <c r="L101" s="41">
        <v>8.5</v>
      </c>
      <c r="M101" s="41">
        <v>7</v>
      </c>
      <c r="N101" s="41" t="s">
        <v>36</v>
      </c>
      <c r="O101" s="41">
        <v>2</v>
      </c>
      <c r="P101" s="41">
        <v>40</v>
      </c>
      <c r="Q101" s="41" t="s">
        <v>48</v>
      </c>
      <c r="R101" s="37" t="s">
        <v>49</v>
      </c>
      <c r="S101" s="48" t="s">
        <v>50</v>
      </c>
      <c r="T101" s="42">
        <f t="shared" ref="T101:T108" si="10">SUM(U101:AW101)</f>
        <v>1</v>
      </c>
      <c r="U101" s="41">
        <v>0</v>
      </c>
      <c r="V101" s="41"/>
      <c r="W101" s="41">
        <v>1</v>
      </c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</row>
    <row r="102" spans="1:49" hidden="1">
      <c r="A102" s="37">
        <f>MAX($A$1:$A101)+1</f>
        <v>100</v>
      </c>
      <c r="B102" s="41" t="s">
        <v>31</v>
      </c>
      <c r="C102" s="41" t="s">
        <v>32</v>
      </c>
      <c r="D102" s="41" t="s">
        <v>80</v>
      </c>
      <c r="E102" s="73" t="s">
        <v>81</v>
      </c>
      <c r="F102" s="54">
        <v>48.815116882324197</v>
      </c>
      <c r="G102" s="46">
        <v>-125.175331115722</v>
      </c>
      <c r="H102" s="41" t="s">
        <v>82</v>
      </c>
      <c r="I102" s="41">
        <v>1.5</v>
      </c>
      <c r="J102" s="41">
        <v>30</v>
      </c>
      <c r="K102" s="60">
        <v>0.421527777777778</v>
      </c>
      <c r="L102" s="41">
        <v>8.5</v>
      </c>
      <c r="M102" s="41">
        <v>7</v>
      </c>
      <c r="N102" s="41" t="s">
        <v>36</v>
      </c>
      <c r="O102" s="41">
        <v>1</v>
      </c>
      <c r="P102" s="41">
        <v>32</v>
      </c>
      <c r="Q102" s="61" t="s">
        <v>39</v>
      </c>
      <c r="R102" s="62" t="s">
        <v>40</v>
      </c>
      <c r="S102" s="63" t="s">
        <v>41</v>
      </c>
      <c r="T102" s="42">
        <f t="shared" si="10"/>
        <v>4</v>
      </c>
      <c r="U102" s="41">
        <v>0</v>
      </c>
      <c r="V102" s="41"/>
      <c r="W102" s="41">
        <v>1</v>
      </c>
      <c r="X102" s="41">
        <v>1</v>
      </c>
      <c r="Y102" s="41">
        <v>2</v>
      </c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</row>
    <row r="103" spans="1:49" hidden="1">
      <c r="A103" s="37">
        <f>MAX($A$1:$A102)+1</f>
        <v>101</v>
      </c>
      <c r="B103" s="41" t="s">
        <v>31</v>
      </c>
      <c r="C103" s="41" t="s">
        <v>32</v>
      </c>
      <c r="D103" s="41" t="s">
        <v>80</v>
      </c>
      <c r="E103" s="73" t="s">
        <v>81</v>
      </c>
      <c r="F103" s="54">
        <v>48.815116882324197</v>
      </c>
      <c r="G103" s="46">
        <v>-125.175331115722</v>
      </c>
      <c r="H103" s="41" t="s">
        <v>82</v>
      </c>
      <c r="I103" s="41">
        <v>1.5</v>
      </c>
      <c r="J103" s="41">
        <v>30</v>
      </c>
      <c r="K103" s="60">
        <v>0.421527777777778</v>
      </c>
      <c r="L103" s="41">
        <v>8.5</v>
      </c>
      <c r="M103" s="41">
        <v>7</v>
      </c>
      <c r="N103" s="41" t="s">
        <v>36</v>
      </c>
      <c r="O103" s="41">
        <v>1</v>
      </c>
      <c r="P103" s="41">
        <v>32</v>
      </c>
      <c r="Q103" s="41" t="s">
        <v>48</v>
      </c>
      <c r="R103" s="37" t="s">
        <v>49</v>
      </c>
      <c r="S103" s="48" t="s">
        <v>50</v>
      </c>
      <c r="T103" s="42">
        <f t="shared" si="10"/>
        <v>1</v>
      </c>
      <c r="U103" s="41">
        <v>0</v>
      </c>
      <c r="V103" s="41"/>
      <c r="W103" s="41">
        <v>1</v>
      </c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</row>
    <row r="104" spans="1:49" hidden="1">
      <c r="A104" s="37">
        <f>MAX($A$1:$A103)+1</f>
        <v>102</v>
      </c>
      <c r="B104" s="41" t="s">
        <v>32</v>
      </c>
      <c r="C104" s="41" t="s">
        <v>31</v>
      </c>
      <c r="D104" s="41" t="s">
        <v>80</v>
      </c>
      <c r="E104" s="73" t="s">
        <v>81</v>
      </c>
      <c r="F104" s="54">
        <v>48.815116882324197</v>
      </c>
      <c r="G104" s="46">
        <v>-125.175331115722</v>
      </c>
      <c r="H104" s="41" t="s">
        <v>82</v>
      </c>
      <c r="I104" s="41">
        <v>1.5</v>
      </c>
      <c r="J104" s="41">
        <v>30</v>
      </c>
      <c r="K104" s="60">
        <v>0.421527777777778</v>
      </c>
      <c r="L104" s="41">
        <v>8.5</v>
      </c>
      <c r="M104" s="41">
        <v>7</v>
      </c>
      <c r="N104" s="41" t="s">
        <v>36</v>
      </c>
      <c r="O104" s="41">
        <v>2</v>
      </c>
      <c r="P104" s="41">
        <v>24</v>
      </c>
      <c r="Q104" s="61" t="s">
        <v>39</v>
      </c>
      <c r="R104" s="62" t="s">
        <v>40</v>
      </c>
      <c r="S104" s="63" t="s">
        <v>41</v>
      </c>
      <c r="T104" s="42">
        <f t="shared" si="10"/>
        <v>10</v>
      </c>
      <c r="U104" s="41">
        <v>0</v>
      </c>
      <c r="V104" s="41"/>
      <c r="W104" s="41">
        <v>1</v>
      </c>
      <c r="X104" s="41">
        <v>2</v>
      </c>
      <c r="Y104" s="41">
        <v>3</v>
      </c>
      <c r="Z104" s="41">
        <v>4</v>
      </c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</row>
    <row r="105" spans="1:49" hidden="1">
      <c r="A105" s="37">
        <f>MAX($A$1:$A104)+1</f>
        <v>103</v>
      </c>
      <c r="B105" s="41" t="s">
        <v>31</v>
      </c>
      <c r="C105" s="41" t="s">
        <v>32</v>
      </c>
      <c r="D105" s="41" t="s">
        <v>80</v>
      </c>
      <c r="E105" s="73" t="s">
        <v>81</v>
      </c>
      <c r="F105" s="54">
        <v>48.815116882324197</v>
      </c>
      <c r="G105" s="46">
        <v>-125.175331115722</v>
      </c>
      <c r="H105" s="41" t="s">
        <v>82</v>
      </c>
      <c r="I105" s="41">
        <v>1.5</v>
      </c>
      <c r="J105" s="41">
        <v>30</v>
      </c>
      <c r="K105" s="60">
        <v>0.421527777777778</v>
      </c>
      <c r="L105" s="41">
        <v>8.5</v>
      </c>
      <c r="M105" s="41">
        <v>7</v>
      </c>
      <c r="N105" s="41" t="s">
        <v>36</v>
      </c>
      <c r="O105" s="41">
        <v>1</v>
      </c>
      <c r="P105" s="41">
        <v>16</v>
      </c>
      <c r="Q105" s="61" t="s">
        <v>39</v>
      </c>
      <c r="R105" s="62" t="s">
        <v>40</v>
      </c>
      <c r="S105" s="63" t="s">
        <v>41</v>
      </c>
      <c r="T105" s="42">
        <f t="shared" si="10"/>
        <v>3</v>
      </c>
      <c r="U105" s="41">
        <v>0</v>
      </c>
      <c r="V105" s="41"/>
      <c r="W105" s="41">
        <v>1</v>
      </c>
      <c r="X105" s="41">
        <v>1</v>
      </c>
      <c r="Y105" s="41">
        <v>1</v>
      </c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</row>
    <row r="106" spans="1:49" hidden="1">
      <c r="A106" s="37">
        <f>MAX($A$1:$A105)+1</f>
        <v>104</v>
      </c>
      <c r="B106" s="41" t="s">
        <v>31</v>
      </c>
      <c r="C106" s="41" t="s">
        <v>32</v>
      </c>
      <c r="D106" s="41" t="s">
        <v>80</v>
      </c>
      <c r="E106" s="73" t="s">
        <v>81</v>
      </c>
      <c r="F106" s="54">
        <v>48.815116882324197</v>
      </c>
      <c r="G106" s="46">
        <v>-125.175331115722</v>
      </c>
      <c r="H106" s="41" t="s">
        <v>82</v>
      </c>
      <c r="I106" s="41">
        <v>1.5</v>
      </c>
      <c r="J106" s="41">
        <v>30</v>
      </c>
      <c r="K106" s="60">
        <v>0.421527777777778</v>
      </c>
      <c r="L106" s="41">
        <v>8.5</v>
      </c>
      <c r="M106" s="41">
        <v>7</v>
      </c>
      <c r="N106" s="41" t="s">
        <v>36</v>
      </c>
      <c r="O106" s="41">
        <v>1</v>
      </c>
      <c r="P106" s="41">
        <v>16</v>
      </c>
      <c r="Q106" s="41" t="s">
        <v>53</v>
      </c>
      <c r="R106" s="37" t="s">
        <v>54</v>
      </c>
      <c r="S106" s="48" t="s">
        <v>55</v>
      </c>
      <c r="T106" s="42">
        <f t="shared" si="10"/>
        <v>1</v>
      </c>
      <c r="U106" s="41">
        <v>0</v>
      </c>
      <c r="V106" s="41">
        <v>1</v>
      </c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</row>
    <row r="107" spans="1:49" hidden="1">
      <c r="A107" s="37">
        <f>MAX($A$1:$A106)+1</f>
        <v>105</v>
      </c>
      <c r="B107" s="41" t="s">
        <v>32</v>
      </c>
      <c r="C107" s="41" t="s">
        <v>31</v>
      </c>
      <c r="D107" s="41" t="s">
        <v>80</v>
      </c>
      <c r="E107" s="73" t="s">
        <v>81</v>
      </c>
      <c r="F107" s="54">
        <v>48.815116882324197</v>
      </c>
      <c r="G107" s="46">
        <v>-125.175331115722</v>
      </c>
      <c r="H107" s="41" t="s">
        <v>82</v>
      </c>
      <c r="I107" s="41">
        <v>1.5</v>
      </c>
      <c r="J107" s="41">
        <v>30</v>
      </c>
      <c r="K107" s="60">
        <v>0.421527777777778</v>
      </c>
      <c r="L107" s="41">
        <v>8.5</v>
      </c>
      <c r="M107" s="41">
        <v>7</v>
      </c>
      <c r="N107" s="41" t="s">
        <v>36</v>
      </c>
      <c r="O107" s="41">
        <v>2</v>
      </c>
      <c r="P107" s="41">
        <v>8</v>
      </c>
      <c r="Q107" s="61" t="s">
        <v>39</v>
      </c>
      <c r="R107" s="62" t="s">
        <v>40</v>
      </c>
      <c r="S107" s="63" t="s">
        <v>41</v>
      </c>
      <c r="T107" s="42">
        <f t="shared" si="10"/>
        <v>6</v>
      </c>
      <c r="U107" s="41">
        <v>0</v>
      </c>
      <c r="V107" s="41"/>
      <c r="W107" s="41">
        <v>1</v>
      </c>
      <c r="X107" s="41">
        <v>3</v>
      </c>
      <c r="Y107" s="41">
        <v>2</v>
      </c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</row>
    <row r="108" spans="1:49" hidden="1">
      <c r="A108" s="37">
        <f>MAX($A$1:$A107)+1</f>
        <v>106</v>
      </c>
      <c r="B108" s="41" t="s">
        <v>32</v>
      </c>
      <c r="C108" s="41" t="s">
        <v>31</v>
      </c>
      <c r="D108" s="41" t="s">
        <v>80</v>
      </c>
      <c r="E108" s="73" t="s">
        <v>81</v>
      </c>
      <c r="F108" s="54">
        <v>48.815116882324197</v>
      </c>
      <c r="G108" s="46">
        <v>-125.175331115722</v>
      </c>
      <c r="H108" s="41" t="s">
        <v>82</v>
      </c>
      <c r="I108" s="41">
        <v>1.5</v>
      </c>
      <c r="J108" s="41">
        <v>30</v>
      </c>
      <c r="K108" s="60">
        <v>0.421527777777778</v>
      </c>
      <c r="L108" s="41">
        <v>8.5</v>
      </c>
      <c r="M108" s="41">
        <v>7</v>
      </c>
      <c r="N108" s="41" t="s">
        <v>36</v>
      </c>
      <c r="O108" s="41">
        <v>2</v>
      </c>
      <c r="P108" s="41">
        <v>8</v>
      </c>
      <c r="Q108" s="61" t="s">
        <v>48</v>
      </c>
      <c r="R108" s="62" t="s">
        <v>49</v>
      </c>
      <c r="S108" s="63" t="s">
        <v>50</v>
      </c>
      <c r="T108" s="42">
        <f t="shared" si="10"/>
        <v>1</v>
      </c>
      <c r="U108" s="41">
        <v>0</v>
      </c>
      <c r="V108" s="41"/>
      <c r="W108" s="41"/>
      <c r="X108" s="41"/>
      <c r="Y108" s="41"/>
      <c r="Z108" s="41">
        <v>1</v>
      </c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</row>
    <row r="109" spans="1:49" hidden="1">
      <c r="A109" s="37">
        <f>MAX($A$1:$A108)+1</f>
        <v>107</v>
      </c>
      <c r="B109" s="41" t="s">
        <v>31</v>
      </c>
      <c r="C109" s="41" t="s">
        <v>32</v>
      </c>
      <c r="D109" s="41" t="s">
        <v>80</v>
      </c>
      <c r="E109" s="73" t="s">
        <v>81</v>
      </c>
      <c r="F109" s="54">
        <v>48.815116882324197</v>
      </c>
      <c r="G109" s="46">
        <v>-125.175331115722</v>
      </c>
      <c r="H109" s="41" t="s">
        <v>82</v>
      </c>
      <c r="I109" s="41">
        <v>1.5</v>
      </c>
      <c r="J109" s="41">
        <v>30</v>
      </c>
      <c r="K109" s="60">
        <v>0.421527777777778</v>
      </c>
      <c r="L109" s="41">
        <v>8.5</v>
      </c>
      <c r="M109" s="41">
        <v>7</v>
      </c>
      <c r="N109" s="41" t="s">
        <v>36</v>
      </c>
      <c r="O109" s="41">
        <v>1</v>
      </c>
      <c r="P109" s="41">
        <v>0</v>
      </c>
      <c r="Q109" s="61" t="s">
        <v>39</v>
      </c>
      <c r="R109" s="62" t="s">
        <v>40</v>
      </c>
      <c r="S109" s="63" t="s">
        <v>41</v>
      </c>
      <c r="T109" s="42">
        <f t="shared" si="9"/>
        <v>6</v>
      </c>
      <c r="U109" s="41">
        <v>0</v>
      </c>
      <c r="V109" s="41"/>
      <c r="W109" s="41"/>
      <c r="X109" s="41">
        <v>4</v>
      </c>
      <c r="Y109" s="41">
        <v>2</v>
      </c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</row>
    <row r="110" spans="1:49" hidden="1">
      <c r="A110" s="37">
        <f>MAX($A$1:$A109)+1</f>
        <v>108</v>
      </c>
      <c r="B110" s="41" t="s">
        <v>31</v>
      </c>
      <c r="C110" s="41" t="s">
        <v>32</v>
      </c>
      <c r="D110" s="41" t="s">
        <v>80</v>
      </c>
      <c r="E110" s="73" t="s">
        <v>81</v>
      </c>
      <c r="F110" s="54">
        <v>48.815116882324197</v>
      </c>
      <c r="G110" s="46">
        <v>-125.175331115722</v>
      </c>
      <c r="H110" s="41" t="s">
        <v>82</v>
      </c>
      <c r="I110" s="41">
        <v>1.5</v>
      </c>
      <c r="J110" s="41">
        <v>30</v>
      </c>
      <c r="K110" s="60">
        <v>0.421527777777778</v>
      </c>
      <c r="L110" s="41">
        <v>8.5</v>
      </c>
      <c r="M110" s="41">
        <v>7</v>
      </c>
      <c r="N110" s="41" t="s">
        <v>36</v>
      </c>
      <c r="O110" s="41">
        <v>1</v>
      </c>
      <c r="P110" s="41">
        <v>0</v>
      </c>
      <c r="Q110" s="61" t="s">
        <v>83</v>
      </c>
      <c r="R110" s="64" t="s">
        <v>84</v>
      </c>
      <c r="S110" s="65" t="s">
        <v>85</v>
      </c>
      <c r="T110" s="42">
        <f t="shared" si="9"/>
        <v>1</v>
      </c>
      <c r="U110" s="41">
        <v>0</v>
      </c>
      <c r="V110" s="41"/>
      <c r="W110" s="41"/>
      <c r="X110" s="41">
        <v>1</v>
      </c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</row>
    <row r="111" spans="1:49" s="70" customFormat="1" hidden="1">
      <c r="A111" s="37">
        <f>MAX($A$1:$A110)+1</f>
        <v>109</v>
      </c>
      <c r="B111" s="66" t="s">
        <v>31</v>
      </c>
      <c r="C111" s="66" t="s">
        <v>32</v>
      </c>
      <c r="D111" s="66" t="s">
        <v>86</v>
      </c>
      <c r="E111" s="74" t="s">
        <v>87</v>
      </c>
      <c r="F111" s="54"/>
      <c r="G111" s="46"/>
      <c r="H111" s="66" t="s">
        <v>82</v>
      </c>
      <c r="I111" s="66"/>
      <c r="J111" s="66"/>
      <c r="K111" s="66"/>
      <c r="L111" s="66"/>
      <c r="M111" s="66"/>
      <c r="N111" s="66" t="s">
        <v>88</v>
      </c>
      <c r="O111" s="66"/>
      <c r="P111" s="66"/>
      <c r="Q111" s="66" t="s">
        <v>89</v>
      </c>
      <c r="R111" s="67" t="s">
        <v>90</v>
      </c>
      <c r="S111" s="75"/>
      <c r="T111" s="69">
        <f t="shared" si="1"/>
        <v>0</v>
      </c>
      <c r="U111" s="66">
        <v>0</v>
      </c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</row>
    <row r="112" spans="1:49">
      <c r="A112" s="37">
        <f>MAX($A$1:$A111)+1</f>
        <v>110</v>
      </c>
      <c r="B112" s="41" t="s">
        <v>31</v>
      </c>
      <c r="C112" s="41" t="s">
        <v>91</v>
      </c>
      <c r="D112" s="41" t="s">
        <v>92</v>
      </c>
      <c r="E112" s="41" t="s">
        <v>93</v>
      </c>
      <c r="F112" s="54">
        <v>48.828948974609297</v>
      </c>
      <c r="G112" s="46">
        <v>-125.19757080078099</v>
      </c>
      <c r="H112" s="41" t="s">
        <v>94</v>
      </c>
      <c r="I112" s="41">
        <v>0.5</v>
      </c>
      <c r="J112" s="41">
        <v>210</v>
      </c>
      <c r="K112" s="41"/>
      <c r="L112" s="41">
        <v>8</v>
      </c>
      <c r="M112" s="41"/>
      <c r="N112" s="41" t="s">
        <v>36</v>
      </c>
      <c r="O112" s="41">
        <v>1</v>
      </c>
      <c r="P112" s="41">
        <v>0</v>
      </c>
      <c r="Q112" s="61" t="s">
        <v>39</v>
      </c>
      <c r="R112" s="28" t="s">
        <v>40</v>
      </c>
      <c r="S112" s="31" t="s">
        <v>41</v>
      </c>
      <c r="T112" s="42">
        <f t="shared" ref="T112:T134" si="11">SUM(U112:AW112)</f>
        <v>1</v>
      </c>
      <c r="U112" s="41">
        <v>0</v>
      </c>
      <c r="V112" s="41"/>
      <c r="W112" s="41"/>
      <c r="X112" s="41">
        <v>1</v>
      </c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</row>
    <row r="113" spans="1:49">
      <c r="A113" s="37">
        <f>MAX($A$1:$A112)+1</f>
        <v>111</v>
      </c>
      <c r="B113" s="41" t="s">
        <v>31</v>
      </c>
      <c r="C113" s="41" t="s">
        <v>91</v>
      </c>
      <c r="D113" s="41" t="s">
        <v>92</v>
      </c>
      <c r="E113" s="41" t="s">
        <v>93</v>
      </c>
      <c r="F113" s="54">
        <v>48.828948974609297</v>
      </c>
      <c r="G113" s="46">
        <v>-125.19757080078099</v>
      </c>
      <c r="H113" s="41" t="s">
        <v>94</v>
      </c>
      <c r="I113" s="41">
        <v>0.5</v>
      </c>
      <c r="J113" s="41">
        <v>210</v>
      </c>
      <c r="K113" s="41"/>
      <c r="L113" s="41">
        <v>8</v>
      </c>
      <c r="M113" s="41"/>
      <c r="N113" s="41" t="s">
        <v>36</v>
      </c>
      <c r="O113" s="41">
        <v>2</v>
      </c>
      <c r="P113" s="41">
        <v>8</v>
      </c>
      <c r="Q113" s="61" t="s">
        <v>39</v>
      </c>
      <c r="R113" s="28" t="s">
        <v>40</v>
      </c>
      <c r="S113" s="31" t="s">
        <v>41</v>
      </c>
      <c r="T113" s="42">
        <f t="shared" si="11"/>
        <v>3</v>
      </c>
      <c r="U113" s="41">
        <v>0</v>
      </c>
      <c r="V113" s="41">
        <v>2</v>
      </c>
      <c r="W113" s="41"/>
      <c r="X113" s="41">
        <v>1</v>
      </c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</row>
    <row r="114" spans="1:49">
      <c r="A114" s="37">
        <f>MAX($A$1:$A113)+1</f>
        <v>112</v>
      </c>
      <c r="B114" s="41" t="s">
        <v>31</v>
      </c>
      <c r="C114" s="41" t="s">
        <v>91</v>
      </c>
      <c r="D114" s="41" t="s">
        <v>92</v>
      </c>
      <c r="E114" s="41" t="s">
        <v>93</v>
      </c>
      <c r="F114" s="54">
        <v>48.828948974609297</v>
      </c>
      <c r="G114" s="46">
        <v>-125.19757080078099</v>
      </c>
      <c r="H114" s="41" t="s">
        <v>94</v>
      </c>
      <c r="I114" s="41">
        <v>0.5</v>
      </c>
      <c r="J114" s="41">
        <v>210</v>
      </c>
      <c r="K114" s="41"/>
      <c r="L114" s="41">
        <v>8</v>
      </c>
      <c r="M114" s="41"/>
      <c r="N114" s="41" t="s">
        <v>36</v>
      </c>
      <c r="O114" s="41">
        <v>1</v>
      </c>
      <c r="P114" s="41">
        <v>16</v>
      </c>
      <c r="Q114" s="61" t="s">
        <v>39</v>
      </c>
      <c r="R114" s="64" t="s">
        <v>40</v>
      </c>
      <c r="S114" s="65" t="s">
        <v>41</v>
      </c>
      <c r="T114" s="42">
        <f t="shared" si="11"/>
        <v>2</v>
      </c>
      <c r="U114" s="41">
        <v>0</v>
      </c>
      <c r="V114" s="41"/>
      <c r="W114" s="41">
        <v>1</v>
      </c>
      <c r="X114" s="41">
        <v>1</v>
      </c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</row>
    <row r="115" spans="1:49">
      <c r="A115" s="37">
        <f>MAX($A$1:$A114)+1</f>
        <v>113</v>
      </c>
      <c r="B115" s="41" t="s">
        <v>31</v>
      </c>
      <c r="C115" s="41" t="s">
        <v>91</v>
      </c>
      <c r="D115" s="41" t="s">
        <v>92</v>
      </c>
      <c r="E115" s="41" t="s">
        <v>93</v>
      </c>
      <c r="F115" s="54">
        <v>48.828948974609297</v>
      </c>
      <c r="G115" s="46">
        <v>-125.19757080078099</v>
      </c>
      <c r="H115" s="41" t="s">
        <v>94</v>
      </c>
      <c r="I115" s="41">
        <v>0.5</v>
      </c>
      <c r="J115" s="41">
        <v>210</v>
      </c>
      <c r="K115" s="41"/>
      <c r="L115" s="41">
        <v>8</v>
      </c>
      <c r="M115" s="41"/>
      <c r="N115" s="41" t="s">
        <v>36</v>
      </c>
      <c r="O115" s="41">
        <v>2</v>
      </c>
      <c r="P115" s="41">
        <v>24</v>
      </c>
      <c r="Q115" s="61" t="s">
        <v>39</v>
      </c>
      <c r="R115" s="64" t="s">
        <v>40</v>
      </c>
      <c r="S115" s="65" t="s">
        <v>41</v>
      </c>
      <c r="T115" s="42">
        <f t="shared" si="11"/>
        <v>3</v>
      </c>
      <c r="U115" s="41">
        <v>0</v>
      </c>
      <c r="V115" s="41"/>
      <c r="W115" s="41">
        <v>1</v>
      </c>
      <c r="X115" s="41">
        <v>2</v>
      </c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</row>
    <row r="116" spans="1:49">
      <c r="A116" s="37">
        <f>MAX($A$1:$A115)+1</f>
        <v>114</v>
      </c>
      <c r="B116" s="41" t="s">
        <v>31</v>
      </c>
      <c r="C116" s="41" t="s">
        <v>91</v>
      </c>
      <c r="D116" s="41" t="s">
        <v>92</v>
      </c>
      <c r="E116" s="41" t="s">
        <v>93</v>
      </c>
      <c r="F116" s="54">
        <v>48.828948974609297</v>
      </c>
      <c r="G116" s="46">
        <v>-125.19757080078099</v>
      </c>
      <c r="H116" s="41" t="s">
        <v>94</v>
      </c>
      <c r="I116" s="41">
        <v>0.5</v>
      </c>
      <c r="J116" s="41">
        <v>210</v>
      </c>
      <c r="K116" s="41"/>
      <c r="L116" s="41">
        <v>8</v>
      </c>
      <c r="M116" s="41"/>
      <c r="N116" s="41" t="s">
        <v>36</v>
      </c>
      <c r="O116" s="41">
        <v>2</v>
      </c>
      <c r="P116" s="41">
        <v>24</v>
      </c>
      <c r="Q116" s="61" t="s">
        <v>45</v>
      </c>
      <c r="R116" s="64" t="s">
        <v>46</v>
      </c>
      <c r="S116" s="65" t="s">
        <v>47</v>
      </c>
      <c r="T116" s="42">
        <f t="shared" ref="T116" si="12">SUM(U116:AW116)</f>
        <v>1</v>
      </c>
      <c r="U116" s="41">
        <v>0</v>
      </c>
      <c r="V116" s="41"/>
      <c r="W116" s="41">
        <v>1</v>
      </c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</row>
    <row r="117" spans="1:49">
      <c r="A117" s="37">
        <f>MAX($A$1:$A116)+1</f>
        <v>115</v>
      </c>
      <c r="B117" s="41" t="s">
        <v>31</v>
      </c>
      <c r="C117" s="41" t="s">
        <v>91</v>
      </c>
      <c r="D117" s="41" t="s">
        <v>92</v>
      </c>
      <c r="E117" s="41" t="s">
        <v>93</v>
      </c>
      <c r="F117" s="54">
        <v>48.828948974609297</v>
      </c>
      <c r="G117" s="46">
        <v>-125.19757080078099</v>
      </c>
      <c r="H117" s="41" t="s">
        <v>94</v>
      </c>
      <c r="I117" s="41">
        <v>0.5</v>
      </c>
      <c r="J117" s="41">
        <v>210</v>
      </c>
      <c r="K117" s="41"/>
      <c r="L117" s="41">
        <v>8</v>
      </c>
      <c r="M117" s="41"/>
      <c r="N117" s="41" t="s">
        <v>36</v>
      </c>
      <c r="O117" s="41">
        <v>2</v>
      </c>
      <c r="P117" s="41">
        <v>24</v>
      </c>
      <c r="Q117" s="61" t="s">
        <v>42</v>
      </c>
      <c r="R117" s="64" t="s">
        <v>43</v>
      </c>
      <c r="S117" s="65" t="s">
        <v>44</v>
      </c>
      <c r="T117" s="42">
        <f t="shared" si="11"/>
        <v>1</v>
      </c>
      <c r="U117" s="41">
        <v>0</v>
      </c>
      <c r="V117" s="41"/>
      <c r="W117" s="41">
        <v>1</v>
      </c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</row>
    <row r="118" spans="1:49">
      <c r="A118" s="37">
        <f>MAX($A$1:$A117)+1</f>
        <v>116</v>
      </c>
      <c r="B118" s="41" t="s">
        <v>31</v>
      </c>
      <c r="C118" s="41" t="s">
        <v>91</v>
      </c>
      <c r="D118" s="41" t="s">
        <v>92</v>
      </c>
      <c r="E118" s="41" t="s">
        <v>93</v>
      </c>
      <c r="F118" s="54">
        <v>48.828948974609297</v>
      </c>
      <c r="G118" s="46">
        <v>-125.19757080078099</v>
      </c>
      <c r="H118" s="41" t="s">
        <v>94</v>
      </c>
      <c r="I118" s="41">
        <v>0.5</v>
      </c>
      <c r="J118" s="41">
        <v>210</v>
      </c>
      <c r="K118" s="41"/>
      <c r="L118" s="41">
        <v>8</v>
      </c>
      <c r="M118" s="41"/>
      <c r="N118" s="41" t="s">
        <v>36</v>
      </c>
      <c r="O118" s="41">
        <v>1</v>
      </c>
      <c r="P118" s="41">
        <v>32</v>
      </c>
      <c r="Q118" s="61" t="s">
        <v>39</v>
      </c>
      <c r="R118" s="28" t="s">
        <v>40</v>
      </c>
      <c r="S118" s="31" t="s">
        <v>41</v>
      </c>
      <c r="T118" s="42">
        <f t="shared" si="11"/>
        <v>2</v>
      </c>
      <c r="U118" s="41">
        <v>0</v>
      </c>
      <c r="V118" s="41"/>
      <c r="W118" s="41"/>
      <c r="X118" s="41">
        <v>2</v>
      </c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</row>
    <row r="119" spans="1:49">
      <c r="A119" s="37">
        <f>MAX($A$1:$A118)+1</f>
        <v>117</v>
      </c>
      <c r="B119" s="41" t="s">
        <v>31</v>
      </c>
      <c r="C119" s="41" t="s">
        <v>91</v>
      </c>
      <c r="D119" s="41" t="s">
        <v>92</v>
      </c>
      <c r="E119" s="41" t="s">
        <v>93</v>
      </c>
      <c r="F119" s="54">
        <v>48.828948974609297</v>
      </c>
      <c r="G119" s="46">
        <v>-125.19757080078099</v>
      </c>
      <c r="H119" s="41" t="s">
        <v>94</v>
      </c>
      <c r="I119" s="41">
        <v>0.5</v>
      </c>
      <c r="J119" s="41">
        <v>210</v>
      </c>
      <c r="K119" s="41"/>
      <c r="L119" s="41">
        <v>8</v>
      </c>
      <c r="M119" s="41"/>
      <c r="N119" s="41" t="s">
        <v>36</v>
      </c>
      <c r="O119" s="41">
        <v>1</v>
      </c>
      <c r="P119" s="41">
        <v>32</v>
      </c>
      <c r="Q119" s="61" t="s">
        <v>45</v>
      </c>
      <c r="R119" s="64" t="s">
        <v>46</v>
      </c>
      <c r="S119" s="65" t="s">
        <v>47</v>
      </c>
      <c r="T119" s="42">
        <f>SUM(U119:AW119)</f>
        <v>1</v>
      </c>
      <c r="U119" s="41">
        <v>0</v>
      </c>
      <c r="V119" s="41"/>
      <c r="W119" s="41">
        <v>1</v>
      </c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</row>
    <row r="120" spans="1:49">
      <c r="A120" s="37">
        <f>MAX($A$1:$A119)+1</f>
        <v>118</v>
      </c>
      <c r="B120" s="41" t="s">
        <v>31</v>
      </c>
      <c r="C120" s="41" t="s">
        <v>91</v>
      </c>
      <c r="D120" s="41" t="s">
        <v>92</v>
      </c>
      <c r="E120" s="41" t="s">
        <v>93</v>
      </c>
      <c r="F120" s="54">
        <v>48.828948974609297</v>
      </c>
      <c r="G120" s="46">
        <v>-125.19757080078099</v>
      </c>
      <c r="H120" s="41" t="s">
        <v>94</v>
      </c>
      <c r="I120" s="41">
        <v>0.5</v>
      </c>
      <c r="J120" s="41">
        <v>210</v>
      </c>
      <c r="K120" s="41"/>
      <c r="L120" s="41">
        <v>8</v>
      </c>
      <c r="M120" s="41"/>
      <c r="N120" s="41" t="s">
        <v>36</v>
      </c>
      <c r="O120" s="41">
        <v>2</v>
      </c>
      <c r="P120" s="41">
        <v>40</v>
      </c>
      <c r="Q120" s="61" t="s">
        <v>39</v>
      </c>
      <c r="R120" s="28" t="s">
        <v>40</v>
      </c>
      <c r="S120" s="31" t="s">
        <v>41</v>
      </c>
      <c r="T120" s="42">
        <f t="shared" si="11"/>
        <v>5</v>
      </c>
      <c r="U120" s="41">
        <v>0</v>
      </c>
      <c r="V120" s="41"/>
      <c r="W120" s="41">
        <v>2</v>
      </c>
      <c r="X120" s="41">
        <v>2</v>
      </c>
      <c r="Y120" s="41">
        <v>1</v>
      </c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</row>
    <row r="121" spans="1:49">
      <c r="A121" s="37">
        <f>MAX($A$1:$A120)+1</f>
        <v>119</v>
      </c>
      <c r="B121" s="41" t="s">
        <v>31</v>
      </c>
      <c r="C121" s="41" t="s">
        <v>91</v>
      </c>
      <c r="D121" s="41" t="s">
        <v>92</v>
      </c>
      <c r="E121" s="41" t="s">
        <v>93</v>
      </c>
      <c r="F121" s="54">
        <v>48.828948974609297</v>
      </c>
      <c r="G121" s="46">
        <v>-125.19757080078099</v>
      </c>
      <c r="H121" s="41" t="s">
        <v>94</v>
      </c>
      <c r="I121" s="41">
        <v>0.5</v>
      </c>
      <c r="J121" s="41">
        <v>210</v>
      </c>
      <c r="K121" s="41"/>
      <c r="L121" s="41">
        <v>8</v>
      </c>
      <c r="M121" s="41"/>
      <c r="N121" s="41" t="s">
        <v>36</v>
      </c>
      <c r="O121" s="41">
        <v>1</v>
      </c>
      <c r="P121" s="41">
        <v>48</v>
      </c>
      <c r="Q121" s="61" t="s">
        <v>39</v>
      </c>
      <c r="R121" s="64" t="s">
        <v>40</v>
      </c>
      <c r="S121" s="65" t="s">
        <v>41</v>
      </c>
      <c r="T121" s="42">
        <f t="shared" si="11"/>
        <v>3</v>
      </c>
      <c r="U121" s="41">
        <v>0</v>
      </c>
      <c r="V121" s="41"/>
      <c r="W121" s="41"/>
      <c r="X121" s="41">
        <v>3</v>
      </c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</row>
    <row r="122" spans="1:49">
      <c r="A122" s="37">
        <f>MAX($A$1:$A121)+1</f>
        <v>120</v>
      </c>
      <c r="B122" s="41" t="s">
        <v>31</v>
      </c>
      <c r="C122" s="41" t="s">
        <v>91</v>
      </c>
      <c r="D122" s="41" t="s">
        <v>92</v>
      </c>
      <c r="E122" s="41" t="s">
        <v>93</v>
      </c>
      <c r="F122" s="54">
        <v>48.828948974609297</v>
      </c>
      <c r="G122" s="46">
        <v>-125.19757080078099</v>
      </c>
      <c r="H122" s="41" t="s">
        <v>94</v>
      </c>
      <c r="I122" s="41">
        <v>0.5</v>
      </c>
      <c r="J122" s="41">
        <v>210</v>
      </c>
      <c r="K122" s="41"/>
      <c r="L122" s="41">
        <v>8</v>
      </c>
      <c r="M122" s="41"/>
      <c r="N122" s="41" t="s">
        <v>36</v>
      </c>
      <c r="O122" s="41">
        <v>1</v>
      </c>
      <c r="P122" s="41">
        <v>48</v>
      </c>
      <c r="Q122" s="61" t="s">
        <v>45</v>
      </c>
      <c r="R122" s="64" t="s">
        <v>46</v>
      </c>
      <c r="S122" s="65" t="s">
        <v>47</v>
      </c>
      <c r="T122" s="42">
        <f t="shared" si="11"/>
        <v>5</v>
      </c>
      <c r="U122" s="41">
        <v>0</v>
      </c>
      <c r="V122" s="41">
        <v>5</v>
      </c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</row>
    <row r="123" spans="1:49">
      <c r="A123" s="37">
        <f>MAX($A$1:$A122)+1</f>
        <v>121</v>
      </c>
      <c r="B123" s="41" t="s">
        <v>31</v>
      </c>
      <c r="C123" s="41" t="s">
        <v>91</v>
      </c>
      <c r="D123" s="41" t="s">
        <v>92</v>
      </c>
      <c r="E123" s="41" t="s">
        <v>93</v>
      </c>
      <c r="F123" s="54">
        <v>48.828948974609297</v>
      </c>
      <c r="G123" s="46">
        <v>-125.19757080078099</v>
      </c>
      <c r="H123" s="41" t="s">
        <v>94</v>
      </c>
      <c r="I123" s="41">
        <v>1</v>
      </c>
      <c r="J123" s="41">
        <v>210</v>
      </c>
      <c r="K123" s="41"/>
      <c r="L123" s="41">
        <v>5.5</v>
      </c>
      <c r="M123" s="41"/>
      <c r="N123" s="41" t="s">
        <v>36</v>
      </c>
      <c r="O123" s="41">
        <v>1</v>
      </c>
      <c r="P123" s="41">
        <v>0</v>
      </c>
      <c r="Q123" s="61" t="s">
        <v>39</v>
      </c>
      <c r="R123" s="28" t="s">
        <v>40</v>
      </c>
      <c r="S123" s="31" t="s">
        <v>41</v>
      </c>
      <c r="T123" s="42">
        <f t="shared" ref="T123:T125" si="13">SUM(U123:AW123)</f>
        <v>1</v>
      </c>
      <c r="U123" s="41">
        <v>0</v>
      </c>
      <c r="V123" s="41"/>
      <c r="W123" s="41"/>
      <c r="X123" s="41">
        <v>1</v>
      </c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</row>
    <row r="124" spans="1:49">
      <c r="A124" s="37">
        <f>MAX($A$1:$A123)+1</f>
        <v>122</v>
      </c>
      <c r="B124" s="41" t="s">
        <v>31</v>
      </c>
      <c r="C124" s="41" t="s">
        <v>91</v>
      </c>
      <c r="D124" s="41" t="s">
        <v>92</v>
      </c>
      <c r="E124" s="41" t="s">
        <v>93</v>
      </c>
      <c r="F124" s="54">
        <v>48.828948974609297</v>
      </c>
      <c r="G124" s="46">
        <v>-125.19757080078099</v>
      </c>
      <c r="H124" s="41" t="s">
        <v>94</v>
      </c>
      <c r="I124" s="41">
        <v>1</v>
      </c>
      <c r="J124" s="41">
        <v>210</v>
      </c>
      <c r="K124" s="41"/>
      <c r="L124" s="41">
        <v>5.5</v>
      </c>
      <c r="M124" s="41"/>
      <c r="N124" s="41" t="s">
        <v>36</v>
      </c>
      <c r="O124" s="41">
        <v>2</v>
      </c>
      <c r="P124" s="41">
        <v>8</v>
      </c>
      <c r="Q124" s="61" t="s">
        <v>39</v>
      </c>
      <c r="R124" s="64" t="s">
        <v>40</v>
      </c>
      <c r="S124" s="65" t="s">
        <v>41</v>
      </c>
      <c r="T124" s="42">
        <f t="shared" si="13"/>
        <v>3</v>
      </c>
      <c r="U124" s="41">
        <v>0</v>
      </c>
      <c r="V124" s="41"/>
      <c r="W124" s="41"/>
      <c r="X124" s="41">
        <v>3</v>
      </c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</row>
    <row r="125" spans="1:49">
      <c r="A125" s="37">
        <f>MAX($A$1:$A124)+1</f>
        <v>123</v>
      </c>
      <c r="B125" s="41" t="s">
        <v>31</v>
      </c>
      <c r="C125" s="41" t="s">
        <v>91</v>
      </c>
      <c r="D125" s="41" t="s">
        <v>92</v>
      </c>
      <c r="E125" s="41" t="s">
        <v>93</v>
      </c>
      <c r="F125" s="54">
        <v>48.828948974609297</v>
      </c>
      <c r="G125" s="46">
        <v>-125.19757080078099</v>
      </c>
      <c r="H125" s="41" t="s">
        <v>94</v>
      </c>
      <c r="I125" s="41">
        <v>1</v>
      </c>
      <c r="J125" s="41">
        <v>210</v>
      </c>
      <c r="K125" s="41"/>
      <c r="L125" s="41">
        <v>5.5</v>
      </c>
      <c r="M125" s="41"/>
      <c r="N125" s="41" t="s">
        <v>36</v>
      </c>
      <c r="O125" s="41">
        <v>1</v>
      </c>
      <c r="P125" s="41">
        <v>16</v>
      </c>
      <c r="Q125" s="61" t="s">
        <v>39</v>
      </c>
      <c r="R125" s="64" t="s">
        <v>40</v>
      </c>
      <c r="S125" s="65" t="s">
        <v>41</v>
      </c>
      <c r="T125" s="42">
        <f t="shared" si="13"/>
        <v>5</v>
      </c>
      <c r="U125" s="41">
        <v>0</v>
      </c>
      <c r="V125" s="41"/>
      <c r="W125" s="41"/>
      <c r="X125" s="41">
        <v>5</v>
      </c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</row>
    <row r="126" spans="1:49">
      <c r="A126" s="37">
        <f>MAX($A$1:$A125)+1</f>
        <v>124</v>
      </c>
      <c r="B126" s="41" t="s">
        <v>31</v>
      </c>
      <c r="C126" s="41" t="s">
        <v>91</v>
      </c>
      <c r="D126" s="41" t="s">
        <v>92</v>
      </c>
      <c r="E126" s="41" t="s">
        <v>93</v>
      </c>
      <c r="F126" s="54">
        <v>48.828948974609297</v>
      </c>
      <c r="G126" s="46">
        <v>-125.19757080078099</v>
      </c>
      <c r="H126" s="41" t="s">
        <v>94</v>
      </c>
      <c r="I126" s="41">
        <v>1</v>
      </c>
      <c r="J126" s="41">
        <v>210</v>
      </c>
      <c r="K126" s="41"/>
      <c r="L126" s="41">
        <v>5.5</v>
      </c>
      <c r="M126" s="41"/>
      <c r="N126" s="41" t="s">
        <v>36</v>
      </c>
      <c r="O126" s="41">
        <v>1</v>
      </c>
      <c r="P126" s="41">
        <v>16</v>
      </c>
      <c r="Q126" s="41" t="s">
        <v>48</v>
      </c>
      <c r="R126" s="37" t="s">
        <v>49</v>
      </c>
      <c r="S126" s="48" t="s">
        <v>50</v>
      </c>
      <c r="T126" s="42">
        <f t="shared" ref="T126:T131" si="14">SUM(U126:AW126)</f>
        <v>1</v>
      </c>
      <c r="U126" s="41">
        <v>0</v>
      </c>
      <c r="V126" s="41"/>
      <c r="W126" s="41"/>
      <c r="X126" s="41"/>
      <c r="Y126" s="41"/>
      <c r="Z126" s="41"/>
      <c r="AA126" s="41">
        <v>1</v>
      </c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</row>
    <row r="127" spans="1:49">
      <c r="A127" s="37">
        <f>MAX($A$1:$A126)+1</f>
        <v>125</v>
      </c>
      <c r="B127" s="41" t="s">
        <v>31</v>
      </c>
      <c r="C127" s="41" t="s">
        <v>91</v>
      </c>
      <c r="D127" s="41" t="s">
        <v>92</v>
      </c>
      <c r="E127" s="41" t="s">
        <v>93</v>
      </c>
      <c r="F127" s="54">
        <v>48.828948974609297</v>
      </c>
      <c r="G127" s="46">
        <v>-125.19757080078099</v>
      </c>
      <c r="H127" s="41" t="s">
        <v>94</v>
      </c>
      <c r="I127" s="41">
        <v>1</v>
      </c>
      <c r="J127" s="41">
        <v>210</v>
      </c>
      <c r="K127" s="41"/>
      <c r="L127" s="41">
        <v>5.5</v>
      </c>
      <c r="M127" s="41"/>
      <c r="N127" s="41" t="s">
        <v>36</v>
      </c>
      <c r="O127" s="41">
        <v>2</v>
      </c>
      <c r="P127" s="41">
        <v>24</v>
      </c>
      <c r="Q127" s="61" t="s">
        <v>39</v>
      </c>
      <c r="R127" s="64" t="s">
        <v>40</v>
      </c>
      <c r="S127" s="65" t="s">
        <v>41</v>
      </c>
      <c r="T127" s="42">
        <f t="shared" si="14"/>
        <v>5</v>
      </c>
      <c r="U127" s="41">
        <v>0</v>
      </c>
      <c r="V127" s="41"/>
      <c r="W127" s="41"/>
      <c r="X127" s="41">
        <v>4</v>
      </c>
      <c r="Y127" s="41">
        <v>1</v>
      </c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</row>
    <row r="128" spans="1:49">
      <c r="A128" s="37">
        <f>MAX($A$1:$A127)+1</f>
        <v>126</v>
      </c>
      <c r="B128" s="41" t="s">
        <v>31</v>
      </c>
      <c r="C128" s="41" t="s">
        <v>91</v>
      </c>
      <c r="D128" s="41" t="s">
        <v>92</v>
      </c>
      <c r="E128" s="41" t="s">
        <v>93</v>
      </c>
      <c r="F128" s="54">
        <v>48.828948974609297</v>
      </c>
      <c r="G128" s="46">
        <v>-125.19757080078099</v>
      </c>
      <c r="H128" s="41" t="s">
        <v>94</v>
      </c>
      <c r="I128" s="41">
        <v>1</v>
      </c>
      <c r="J128" s="41">
        <v>210</v>
      </c>
      <c r="K128" s="41"/>
      <c r="L128" s="41">
        <v>5.5</v>
      </c>
      <c r="M128" s="41"/>
      <c r="N128" s="41" t="s">
        <v>36</v>
      </c>
      <c r="O128" s="41">
        <v>2</v>
      </c>
      <c r="P128" s="41">
        <v>24</v>
      </c>
      <c r="Q128" s="61" t="s">
        <v>95</v>
      </c>
      <c r="R128" s="64" t="s">
        <v>96</v>
      </c>
      <c r="S128" s="65" t="s">
        <v>97</v>
      </c>
      <c r="T128" s="42">
        <f t="shared" si="14"/>
        <v>1</v>
      </c>
      <c r="U128" s="41">
        <v>0</v>
      </c>
      <c r="V128" s="41"/>
      <c r="W128" s="41"/>
      <c r="X128" s="41"/>
      <c r="Y128" s="41"/>
      <c r="Z128" s="41">
        <v>1</v>
      </c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</row>
    <row r="129" spans="1:49">
      <c r="A129" s="37">
        <f>MAX($A$1:$A128)+1</f>
        <v>127</v>
      </c>
      <c r="B129" s="41" t="s">
        <v>31</v>
      </c>
      <c r="C129" s="41" t="s">
        <v>91</v>
      </c>
      <c r="D129" s="41" t="s">
        <v>92</v>
      </c>
      <c r="E129" s="41" t="s">
        <v>93</v>
      </c>
      <c r="F129" s="54">
        <v>48.828948974609297</v>
      </c>
      <c r="G129" s="46">
        <v>-125.19757080078099</v>
      </c>
      <c r="H129" s="41" t="s">
        <v>94</v>
      </c>
      <c r="I129" s="41">
        <v>1</v>
      </c>
      <c r="J129" s="41">
        <v>210</v>
      </c>
      <c r="K129" s="41"/>
      <c r="L129" s="41">
        <v>5.5</v>
      </c>
      <c r="M129" s="41"/>
      <c r="N129" s="41" t="s">
        <v>36</v>
      </c>
      <c r="O129" s="41">
        <v>1</v>
      </c>
      <c r="P129" s="41">
        <v>32</v>
      </c>
      <c r="Q129" s="61" t="s">
        <v>39</v>
      </c>
      <c r="R129" s="64" t="s">
        <v>40</v>
      </c>
      <c r="S129" s="65" t="s">
        <v>41</v>
      </c>
      <c r="T129" s="42">
        <f t="shared" ref="T129" si="15">SUM(U129:AW129)</f>
        <v>9</v>
      </c>
      <c r="U129" s="41">
        <v>0</v>
      </c>
      <c r="V129" s="41"/>
      <c r="W129" s="41">
        <v>1</v>
      </c>
      <c r="X129" s="41">
        <v>6</v>
      </c>
      <c r="Y129" s="41">
        <v>2</v>
      </c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</row>
    <row r="130" spans="1:49">
      <c r="A130" s="37">
        <f>MAX($A$1:$A129)+1</f>
        <v>128</v>
      </c>
      <c r="B130" s="41" t="s">
        <v>31</v>
      </c>
      <c r="C130" s="41" t="s">
        <v>91</v>
      </c>
      <c r="D130" s="41" t="s">
        <v>92</v>
      </c>
      <c r="E130" s="41" t="s">
        <v>93</v>
      </c>
      <c r="F130" s="54">
        <v>48.828948974609297</v>
      </c>
      <c r="G130" s="46">
        <v>-125.19757080078099</v>
      </c>
      <c r="H130" s="41" t="s">
        <v>94</v>
      </c>
      <c r="I130" s="41">
        <v>1</v>
      </c>
      <c r="J130" s="41">
        <v>210</v>
      </c>
      <c r="K130" s="41"/>
      <c r="L130" s="41">
        <v>5.5</v>
      </c>
      <c r="M130" s="41"/>
      <c r="N130" s="41" t="s">
        <v>36</v>
      </c>
      <c r="O130" s="41">
        <v>2</v>
      </c>
      <c r="P130" s="41">
        <v>40</v>
      </c>
      <c r="Q130" s="61" t="s">
        <v>39</v>
      </c>
      <c r="R130" s="64" t="s">
        <v>40</v>
      </c>
      <c r="S130" s="65" t="s">
        <v>41</v>
      </c>
      <c r="T130" s="42">
        <f t="shared" si="14"/>
        <v>5</v>
      </c>
      <c r="U130" s="41">
        <v>0</v>
      </c>
      <c r="V130" s="41"/>
      <c r="W130" s="41"/>
      <c r="X130" s="41">
        <v>4</v>
      </c>
      <c r="Y130" s="41">
        <v>1</v>
      </c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</row>
    <row r="131" spans="1:49">
      <c r="A131" s="37">
        <f>MAX($A$1:$A130)+1</f>
        <v>129</v>
      </c>
      <c r="B131" s="41" t="s">
        <v>31</v>
      </c>
      <c r="C131" s="41" t="s">
        <v>91</v>
      </c>
      <c r="D131" s="41" t="s">
        <v>92</v>
      </c>
      <c r="E131" s="41" t="s">
        <v>93</v>
      </c>
      <c r="F131" s="54">
        <v>48.828948974609297</v>
      </c>
      <c r="G131" s="46">
        <v>-125.19757080078099</v>
      </c>
      <c r="H131" s="41" t="s">
        <v>94</v>
      </c>
      <c r="I131" s="41">
        <v>1</v>
      </c>
      <c r="J131" s="41">
        <v>210</v>
      </c>
      <c r="K131" s="41"/>
      <c r="L131" s="41">
        <v>5.5</v>
      </c>
      <c r="M131" s="41"/>
      <c r="N131" s="41" t="s">
        <v>36</v>
      </c>
      <c r="O131" s="41">
        <v>1</v>
      </c>
      <c r="P131" s="41">
        <v>48</v>
      </c>
      <c r="Q131" s="61" t="s">
        <v>39</v>
      </c>
      <c r="R131" s="64" t="s">
        <v>40</v>
      </c>
      <c r="S131" s="65" t="s">
        <v>41</v>
      </c>
      <c r="T131" s="42">
        <f t="shared" si="14"/>
        <v>18</v>
      </c>
      <c r="U131" s="41">
        <v>0</v>
      </c>
      <c r="V131" s="41"/>
      <c r="W131" s="41"/>
      <c r="X131" s="41">
        <v>17</v>
      </c>
      <c r="Y131" s="41">
        <v>1</v>
      </c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</row>
    <row r="132" spans="1:49" s="70" customFormat="1" hidden="1">
      <c r="A132" s="37">
        <f>MAX($A$1:$A131)+1</f>
        <v>130</v>
      </c>
      <c r="B132" s="66"/>
      <c r="C132" s="66"/>
      <c r="D132" s="66" t="s">
        <v>98</v>
      </c>
      <c r="E132" s="66" t="s">
        <v>99</v>
      </c>
      <c r="F132" s="54"/>
      <c r="G132" s="46"/>
      <c r="H132" s="66" t="s">
        <v>94</v>
      </c>
      <c r="I132" s="66"/>
      <c r="J132" s="66"/>
      <c r="K132" s="66"/>
      <c r="L132" s="66"/>
      <c r="M132" s="66"/>
      <c r="N132" s="66" t="s">
        <v>88</v>
      </c>
      <c r="O132" s="66"/>
      <c r="P132" s="66"/>
      <c r="Q132" s="66" t="s">
        <v>89</v>
      </c>
      <c r="R132" s="67" t="s">
        <v>90</v>
      </c>
      <c r="S132" s="68"/>
      <c r="T132" s="69">
        <f t="shared" si="11"/>
        <v>0</v>
      </c>
      <c r="U132" s="66">
        <v>0</v>
      </c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6"/>
      <c r="AT132" s="66"/>
      <c r="AU132" s="66"/>
      <c r="AV132" s="66"/>
      <c r="AW132" s="66"/>
    </row>
    <row r="133" spans="1:49" hidden="1">
      <c r="A133" s="37">
        <f>MAX($A$1:$A132)+1</f>
        <v>131</v>
      </c>
      <c r="B133" s="41" t="s">
        <v>100</v>
      </c>
      <c r="C133" s="41" t="s">
        <v>32</v>
      </c>
      <c r="D133" s="41" t="s">
        <v>101</v>
      </c>
      <c r="E133" s="41" t="s">
        <v>102</v>
      </c>
      <c r="F133" s="54">
        <v>48.857467651367102</v>
      </c>
      <c r="G133" s="46">
        <v>-125.158233642578</v>
      </c>
      <c r="H133" s="41" t="s">
        <v>103</v>
      </c>
      <c r="I133" s="41">
        <v>2</v>
      </c>
      <c r="J133" s="41">
        <v>210</v>
      </c>
      <c r="K133" s="60">
        <v>0.42152777777777778</v>
      </c>
      <c r="L133" s="41">
        <v>7.5</v>
      </c>
      <c r="M133" s="41"/>
      <c r="N133" s="41" t="s">
        <v>36</v>
      </c>
      <c r="O133" s="41">
        <v>1</v>
      </c>
      <c r="P133" s="30">
        <v>0</v>
      </c>
      <c r="Q133" s="41" t="s">
        <v>39</v>
      </c>
      <c r="R133" s="71" t="s">
        <v>40</v>
      </c>
      <c r="S133" s="72" t="s">
        <v>41</v>
      </c>
      <c r="T133" s="42">
        <f t="shared" si="11"/>
        <v>10</v>
      </c>
      <c r="U133" s="41">
        <v>0</v>
      </c>
      <c r="V133" s="41">
        <v>6</v>
      </c>
      <c r="W133" s="41">
        <v>2</v>
      </c>
      <c r="X133" s="41">
        <v>1</v>
      </c>
      <c r="Y133" s="41"/>
      <c r="Z133" s="41">
        <v>1</v>
      </c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</row>
    <row r="134" spans="1:49" hidden="1">
      <c r="A134" s="37">
        <f>MAX($A$1:$A133)+1</f>
        <v>132</v>
      </c>
      <c r="B134" s="41" t="s">
        <v>100</v>
      </c>
      <c r="C134" s="41" t="s">
        <v>32</v>
      </c>
      <c r="D134" s="41" t="s">
        <v>101</v>
      </c>
      <c r="E134" s="41" t="s">
        <v>102</v>
      </c>
      <c r="F134" s="54">
        <v>48.857467651367102</v>
      </c>
      <c r="G134" s="46">
        <v>-125.158233642578</v>
      </c>
      <c r="H134" s="41" t="s">
        <v>103</v>
      </c>
      <c r="I134" s="41">
        <v>2</v>
      </c>
      <c r="J134" s="41">
        <v>210</v>
      </c>
      <c r="K134" s="60">
        <v>0.42152777777777778</v>
      </c>
      <c r="L134" s="41">
        <v>7.5</v>
      </c>
      <c r="M134" s="41"/>
      <c r="N134" s="41" t="s">
        <v>36</v>
      </c>
      <c r="O134" s="41">
        <v>1</v>
      </c>
      <c r="P134">
        <v>0</v>
      </c>
      <c r="Q134" s="61" t="s">
        <v>95</v>
      </c>
      <c r="R134" s="64" t="s">
        <v>96</v>
      </c>
      <c r="S134" s="65" t="s">
        <v>97</v>
      </c>
      <c r="T134" s="42">
        <f t="shared" si="11"/>
        <v>1</v>
      </c>
      <c r="U134" s="41">
        <v>0</v>
      </c>
      <c r="V134" s="41"/>
      <c r="W134" s="41"/>
      <c r="X134" s="41"/>
      <c r="Y134" s="41">
        <v>1</v>
      </c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</row>
    <row r="135" spans="1:49" hidden="1">
      <c r="A135" s="37">
        <f>MAX($A$1:$A134)+1</f>
        <v>133</v>
      </c>
      <c r="B135" s="41" t="s">
        <v>100</v>
      </c>
      <c r="C135" s="41" t="s">
        <v>32</v>
      </c>
      <c r="D135" s="41" t="s">
        <v>101</v>
      </c>
      <c r="E135" s="41" t="s">
        <v>102</v>
      </c>
      <c r="F135" s="54">
        <v>48.857467651367102</v>
      </c>
      <c r="G135" s="46">
        <v>-125.158233642578</v>
      </c>
      <c r="H135" s="41" t="s">
        <v>103</v>
      </c>
      <c r="I135" s="41">
        <v>2</v>
      </c>
      <c r="J135" s="41">
        <v>210</v>
      </c>
      <c r="K135" s="60">
        <v>0.421527777777778</v>
      </c>
      <c r="L135" s="41">
        <v>7.5</v>
      </c>
      <c r="M135" s="41"/>
      <c r="N135" s="41" t="s">
        <v>36</v>
      </c>
      <c r="O135" s="41">
        <v>1</v>
      </c>
      <c r="P135">
        <v>0</v>
      </c>
      <c r="Q135" s="41" t="s">
        <v>48</v>
      </c>
      <c r="R135" s="37" t="s">
        <v>49</v>
      </c>
      <c r="S135" s="48" t="s">
        <v>50</v>
      </c>
      <c r="T135" s="42">
        <f t="shared" ref="T135:T315" si="16">SUM(U135:AW135)</f>
        <v>1</v>
      </c>
      <c r="U135" s="41">
        <v>0</v>
      </c>
      <c r="V135" s="41"/>
      <c r="W135" s="41"/>
      <c r="X135" s="41">
        <v>1</v>
      </c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</row>
    <row r="136" spans="1:49" hidden="1">
      <c r="A136" s="37">
        <f>MAX($A$1:$A135)+1</f>
        <v>134</v>
      </c>
      <c r="B136" s="41" t="s">
        <v>100</v>
      </c>
      <c r="C136" s="41" t="s">
        <v>32</v>
      </c>
      <c r="D136" s="41" t="s">
        <v>101</v>
      </c>
      <c r="E136" s="41" t="s">
        <v>102</v>
      </c>
      <c r="F136" s="54">
        <v>48.857467651367102</v>
      </c>
      <c r="G136" s="46">
        <v>-125.158233642578</v>
      </c>
      <c r="H136" s="41" t="s">
        <v>103</v>
      </c>
      <c r="I136" s="41">
        <v>2</v>
      </c>
      <c r="J136" s="41">
        <v>210</v>
      </c>
      <c r="K136" s="60">
        <v>0.421527777777778</v>
      </c>
      <c r="L136" s="41">
        <v>7.5</v>
      </c>
      <c r="M136" s="41"/>
      <c r="N136" s="41" t="s">
        <v>36</v>
      </c>
      <c r="O136" s="41">
        <v>2</v>
      </c>
      <c r="P136">
        <v>8</v>
      </c>
      <c r="Q136" s="61" t="s">
        <v>39</v>
      </c>
      <c r="R136" s="64" t="s">
        <v>40</v>
      </c>
      <c r="S136" s="65" t="s">
        <v>41</v>
      </c>
      <c r="T136" s="42">
        <f t="shared" si="16"/>
        <v>8</v>
      </c>
      <c r="U136" s="41">
        <v>0</v>
      </c>
      <c r="V136" s="41"/>
      <c r="W136" s="41">
        <v>4</v>
      </c>
      <c r="X136" s="41">
        <v>1</v>
      </c>
      <c r="Y136" s="41">
        <v>3</v>
      </c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</row>
    <row r="137" spans="1:49" hidden="1">
      <c r="A137" s="37">
        <f>MAX($A$1:$A136)+1</f>
        <v>135</v>
      </c>
      <c r="B137" s="41" t="s">
        <v>100</v>
      </c>
      <c r="C137" s="41" t="s">
        <v>32</v>
      </c>
      <c r="D137" s="41" t="s">
        <v>101</v>
      </c>
      <c r="E137" s="41" t="s">
        <v>102</v>
      </c>
      <c r="F137" s="54">
        <v>48.857467651367102</v>
      </c>
      <c r="G137" s="46">
        <v>-125.158233642578</v>
      </c>
      <c r="H137" s="41" t="s">
        <v>103</v>
      </c>
      <c r="I137" s="41">
        <v>2</v>
      </c>
      <c r="J137" s="41">
        <v>210</v>
      </c>
      <c r="K137" s="60">
        <v>0.421527777777778</v>
      </c>
      <c r="L137" s="41">
        <v>7.5</v>
      </c>
      <c r="M137" s="41"/>
      <c r="N137" s="41" t="s">
        <v>36</v>
      </c>
      <c r="O137" s="41">
        <v>1</v>
      </c>
      <c r="P137">
        <v>16</v>
      </c>
      <c r="Q137" s="61" t="s">
        <v>39</v>
      </c>
      <c r="R137" s="64" t="s">
        <v>40</v>
      </c>
      <c r="S137" s="65" t="s">
        <v>41</v>
      </c>
      <c r="T137" s="42">
        <f t="shared" si="16"/>
        <v>14</v>
      </c>
      <c r="U137" s="41">
        <v>0</v>
      </c>
      <c r="V137" s="41">
        <v>4</v>
      </c>
      <c r="W137" s="41">
        <v>2</v>
      </c>
      <c r="X137" s="41">
        <v>2</v>
      </c>
      <c r="Y137" s="41">
        <v>6</v>
      </c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</row>
    <row r="138" spans="1:49" hidden="1">
      <c r="A138" s="37">
        <f>MAX($A$1:$A137)+1</f>
        <v>136</v>
      </c>
      <c r="B138" s="41" t="s">
        <v>100</v>
      </c>
      <c r="C138" s="41" t="s">
        <v>32</v>
      </c>
      <c r="D138" s="41" t="s">
        <v>101</v>
      </c>
      <c r="E138" s="41" t="s">
        <v>102</v>
      </c>
      <c r="F138" s="54">
        <v>48.857467651367102</v>
      </c>
      <c r="G138" s="46">
        <v>-125.158233642578</v>
      </c>
      <c r="H138" s="41" t="s">
        <v>103</v>
      </c>
      <c r="I138" s="41">
        <v>2</v>
      </c>
      <c r="J138" s="41">
        <v>210</v>
      </c>
      <c r="K138" s="60">
        <v>0.421527777777778</v>
      </c>
      <c r="L138" s="41">
        <v>7.5</v>
      </c>
      <c r="M138" s="41"/>
      <c r="N138" s="41" t="s">
        <v>36</v>
      </c>
      <c r="O138" s="41">
        <v>1</v>
      </c>
      <c r="P138">
        <v>16</v>
      </c>
      <c r="Q138" s="41" t="s">
        <v>59</v>
      </c>
      <c r="R138" s="37" t="s">
        <v>60</v>
      </c>
      <c r="S138" s="48" t="s">
        <v>61</v>
      </c>
      <c r="T138" s="42">
        <f t="shared" si="16"/>
        <v>1</v>
      </c>
      <c r="U138" s="41">
        <v>0</v>
      </c>
      <c r="V138" s="41"/>
      <c r="W138" s="41"/>
      <c r="X138" s="41"/>
      <c r="Y138" s="41"/>
      <c r="Z138" s="41"/>
      <c r="AA138" s="41">
        <v>1</v>
      </c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</row>
    <row r="139" spans="1:49" hidden="1">
      <c r="A139" s="37">
        <f>MAX($A$1:$A138)+1</f>
        <v>137</v>
      </c>
      <c r="B139" s="41" t="s">
        <v>100</v>
      </c>
      <c r="C139" s="41" t="s">
        <v>32</v>
      </c>
      <c r="D139" s="41" t="s">
        <v>101</v>
      </c>
      <c r="E139" s="41" t="s">
        <v>102</v>
      </c>
      <c r="F139" s="54">
        <v>48.857467651367102</v>
      </c>
      <c r="G139" s="46">
        <v>-125.158233642578</v>
      </c>
      <c r="H139" s="41" t="s">
        <v>103</v>
      </c>
      <c r="I139" s="41">
        <v>2</v>
      </c>
      <c r="J139" s="41">
        <v>210</v>
      </c>
      <c r="K139" s="60">
        <v>0.421527777777778</v>
      </c>
      <c r="L139" s="41">
        <v>7.5</v>
      </c>
      <c r="M139" s="41"/>
      <c r="N139" s="41" t="s">
        <v>36</v>
      </c>
      <c r="O139" s="41">
        <v>2</v>
      </c>
      <c r="P139">
        <v>24</v>
      </c>
      <c r="Q139" s="61" t="s">
        <v>39</v>
      </c>
      <c r="R139" s="64" t="s">
        <v>40</v>
      </c>
      <c r="S139" s="65" t="s">
        <v>41</v>
      </c>
      <c r="T139" s="42">
        <f t="shared" si="16"/>
        <v>8</v>
      </c>
      <c r="U139" s="41">
        <v>0</v>
      </c>
      <c r="V139" s="41">
        <v>3</v>
      </c>
      <c r="W139" s="41">
        <v>2</v>
      </c>
      <c r="X139" s="41"/>
      <c r="Y139" s="41">
        <v>2</v>
      </c>
      <c r="Z139" s="41">
        <v>1</v>
      </c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</row>
    <row r="140" spans="1:49" hidden="1">
      <c r="A140" s="37">
        <f>MAX($A$1:$A139)+1</f>
        <v>138</v>
      </c>
      <c r="B140" s="41" t="s">
        <v>100</v>
      </c>
      <c r="C140" s="41" t="s">
        <v>32</v>
      </c>
      <c r="D140" s="41" t="s">
        <v>101</v>
      </c>
      <c r="E140" s="41" t="s">
        <v>102</v>
      </c>
      <c r="F140" s="54">
        <v>48.857467651367102</v>
      </c>
      <c r="G140" s="46">
        <v>-125.158233642578</v>
      </c>
      <c r="H140" s="41" t="s">
        <v>103</v>
      </c>
      <c r="I140" s="41">
        <v>2</v>
      </c>
      <c r="J140" s="41">
        <v>210</v>
      </c>
      <c r="K140" s="60">
        <v>0.421527777777778</v>
      </c>
      <c r="L140" s="41">
        <v>7.5</v>
      </c>
      <c r="M140" s="41"/>
      <c r="N140" s="41" t="s">
        <v>36</v>
      </c>
      <c r="O140" s="41">
        <v>1</v>
      </c>
      <c r="P140">
        <v>32</v>
      </c>
      <c r="Q140" s="61" t="s">
        <v>39</v>
      </c>
      <c r="R140" s="64" t="s">
        <v>40</v>
      </c>
      <c r="S140" s="65" t="s">
        <v>41</v>
      </c>
      <c r="T140" s="42">
        <f t="shared" si="16"/>
        <v>21</v>
      </c>
      <c r="U140" s="41">
        <v>0</v>
      </c>
      <c r="V140" s="41">
        <v>8</v>
      </c>
      <c r="W140" s="41">
        <v>6</v>
      </c>
      <c r="X140" s="41">
        <v>5</v>
      </c>
      <c r="Y140" s="41">
        <v>2</v>
      </c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</row>
    <row r="141" spans="1:49" hidden="1">
      <c r="A141" s="37">
        <f>MAX($A$1:$A140)+1</f>
        <v>139</v>
      </c>
      <c r="B141" s="41" t="s">
        <v>100</v>
      </c>
      <c r="C141" s="41" t="s">
        <v>32</v>
      </c>
      <c r="D141" s="41" t="s">
        <v>101</v>
      </c>
      <c r="E141" s="41" t="s">
        <v>102</v>
      </c>
      <c r="F141" s="54">
        <v>48.857467651367102</v>
      </c>
      <c r="G141" s="46">
        <v>-125.158233642578</v>
      </c>
      <c r="H141" s="41" t="s">
        <v>103</v>
      </c>
      <c r="I141" s="41">
        <v>2</v>
      </c>
      <c r="J141" s="41">
        <v>210</v>
      </c>
      <c r="K141" s="60">
        <v>0.421527777777778</v>
      </c>
      <c r="L141" s="41">
        <v>7.5</v>
      </c>
      <c r="M141" s="41"/>
      <c r="N141" s="41" t="s">
        <v>36</v>
      </c>
      <c r="O141" s="41">
        <v>1</v>
      </c>
      <c r="P141">
        <v>32</v>
      </c>
      <c r="Q141" s="41" t="s">
        <v>53</v>
      </c>
      <c r="R141" s="37" t="s">
        <v>54</v>
      </c>
      <c r="S141" s="48" t="s">
        <v>55</v>
      </c>
      <c r="T141" s="42">
        <f t="shared" si="16"/>
        <v>1</v>
      </c>
      <c r="U141" s="41">
        <v>0</v>
      </c>
      <c r="V141" s="41"/>
      <c r="W141" s="41"/>
      <c r="X141" s="41">
        <v>1</v>
      </c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</row>
    <row r="142" spans="1:49" hidden="1">
      <c r="A142" s="37">
        <f>MAX($A$1:$A141)+1</f>
        <v>140</v>
      </c>
      <c r="B142" s="41" t="s">
        <v>100</v>
      </c>
      <c r="C142" s="41" t="s">
        <v>32</v>
      </c>
      <c r="D142" s="41" t="s">
        <v>101</v>
      </c>
      <c r="E142" s="41" t="s">
        <v>102</v>
      </c>
      <c r="F142" s="54">
        <v>48.857467651367102</v>
      </c>
      <c r="G142" s="46">
        <v>-125.158233642578</v>
      </c>
      <c r="H142" s="41" t="s">
        <v>103</v>
      </c>
      <c r="I142" s="41">
        <v>2</v>
      </c>
      <c r="J142" s="41">
        <v>210</v>
      </c>
      <c r="K142" s="60">
        <v>0.421527777777778</v>
      </c>
      <c r="L142" s="41">
        <v>7.5</v>
      </c>
      <c r="M142" s="41"/>
      <c r="N142" s="41" t="s">
        <v>36</v>
      </c>
      <c r="O142" s="41">
        <v>2</v>
      </c>
      <c r="P142">
        <v>40</v>
      </c>
      <c r="Q142" s="61" t="s">
        <v>39</v>
      </c>
      <c r="R142" s="64" t="s">
        <v>40</v>
      </c>
      <c r="S142" s="65" t="s">
        <v>41</v>
      </c>
      <c r="T142" s="42">
        <f t="shared" si="16"/>
        <v>16</v>
      </c>
      <c r="U142" s="41">
        <v>0</v>
      </c>
      <c r="V142" s="41">
        <v>3</v>
      </c>
      <c r="W142" s="41">
        <v>2</v>
      </c>
      <c r="X142" s="41">
        <v>4</v>
      </c>
      <c r="Y142" s="41">
        <v>7</v>
      </c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</row>
    <row r="143" spans="1:49" hidden="1">
      <c r="A143" s="37">
        <f>MAX($A$1:$A142)+1</f>
        <v>141</v>
      </c>
      <c r="B143" s="41" t="s">
        <v>100</v>
      </c>
      <c r="C143" s="41" t="s">
        <v>32</v>
      </c>
      <c r="D143" s="41" t="s">
        <v>101</v>
      </c>
      <c r="E143" s="41" t="s">
        <v>102</v>
      </c>
      <c r="F143" s="54">
        <v>48.857467651367102</v>
      </c>
      <c r="G143" s="46">
        <v>-125.158233642578</v>
      </c>
      <c r="H143" s="41" t="s">
        <v>103</v>
      </c>
      <c r="I143" s="41">
        <v>2</v>
      </c>
      <c r="J143" s="41">
        <v>210</v>
      </c>
      <c r="K143" s="60">
        <v>0.421527777777778</v>
      </c>
      <c r="L143" s="41">
        <v>7.5</v>
      </c>
      <c r="M143" s="41"/>
      <c r="N143" s="41" t="s">
        <v>36</v>
      </c>
      <c r="O143" s="41">
        <v>1</v>
      </c>
      <c r="P143">
        <v>48</v>
      </c>
      <c r="Q143" s="61" t="s">
        <v>39</v>
      </c>
      <c r="R143" s="64" t="s">
        <v>40</v>
      </c>
      <c r="S143" s="65" t="s">
        <v>41</v>
      </c>
      <c r="T143" s="42">
        <f t="shared" si="16"/>
        <v>9</v>
      </c>
      <c r="U143" s="41">
        <v>0</v>
      </c>
      <c r="V143" s="41"/>
      <c r="W143" s="41">
        <v>6</v>
      </c>
      <c r="X143" s="41">
        <v>2</v>
      </c>
      <c r="Y143" s="41">
        <v>1</v>
      </c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</row>
    <row r="144" spans="1:49" hidden="1">
      <c r="A144" s="37">
        <f>MAX($A$1:$A143)+1</f>
        <v>142</v>
      </c>
      <c r="B144" s="41" t="s">
        <v>100</v>
      </c>
      <c r="C144" s="41" t="s">
        <v>32</v>
      </c>
      <c r="D144" s="41" t="s">
        <v>104</v>
      </c>
      <c r="E144" s="41" t="s">
        <v>105</v>
      </c>
      <c r="F144" s="54">
        <v>48.858283996582003</v>
      </c>
      <c r="G144" s="46">
        <v>-125.160919189453</v>
      </c>
      <c r="H144" s="41" t="s">
        <v>103</v>
      </c>
      <c r="I144" s="41">
        <v>1.5</v>
      </c>
      <c r="J144" s="41">
        <v>210</v>
      </c>
      <c r="K144" s="60">
        <v>0.53472222222222221</v>
      </c>
      <c r="L144" s="41">
        <v>9</v>
      </c>
      <c r="M144" s="41"/>
      <c r="N144" s="41" t="s">
        <v>36</v>
      </c>
      <c r="O144" s="41">
        <v>1</v>
      </c>
      <c r="P144">
        <v>0</v>
      </c>
      <c r="Q144" s="61" t="s">
        <v>39</v>
      </c>
      <c r="R144" s="64" t="s">
        <v>40</v>
      </c>
      <c r="S144" s="65" t="s">
        <v>41</v>
      </c>
      <c r="T144" s="42">
        <f t="shared" si="16"/>
        <v>2</v>
      </c>
      <c r="U144" s="41">
        <v>0</v>
      </c>
      <c r="V144" s="41"/>
      <c r="W144" s="41"/>
      <c r="X144" s="41">
        <v>1</v>
      </c>
      <c r="Y144" s="41">
        <v>1</v>
      </c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</row>
    <row r="145" spans="1:49" hidden="1">
      <c r="A145" s="37">
        <f>MAX($A$1:$A144)+1</f>
        <v>143</v>
      </c>
      <c r="B145" s="41" t="s">
        <v>100</v>
      </c>
      <c r="C145" s="41" t="s">
        <v>32</v>
      </c>
      <c r="D145" s="41" t="s">
        <v>104</v>
      </c>
      <c r="E145" s="41" t="s">
        <v>105</v>
      </c>
      <c r="F145" s="54">
        <v>48.858283996582003</v>
      </c>
      <c r="G145" s="46">
        <v>-125.160919189453</v>
      </c>
      <c r="H145" s="41" t="s">
        <v>103</v>
      </c>
      <c r="I145" s="41">
        <v>1.5</v>
      </c>
      <c r="J145" s="41">
        <v>210</v>
      </c>
      <c r="K145" s="60">
        <v>0.53472222222222221</v>
      </c>
      <c r="L145" s="41">
        <v>9</v>
      </c>
      <c r="M145" s="41"/>
      <c r="N145" s="41" t="s">
        <v>36</v>
      </c>
      <c r="O145" s="41">
        <v>1</v>
      </c>
      <c r="P145">
        <v>0</v>
      </c>
      <c r="Q145" s="41" t="s">
        <v>59</v>
      </c>
      <c r="R145" s="37" t="s">
        <v>60</v>
      </c>
      <c r="S145" s="48" t="s">
        <v>61</v>
      </c>
      <c r="T145" s="42">
        <f t="shared" si="16"/>
        <v>1</v>
      </c>
      <c r="U145" s="41">
        <v>0</v>
      </c>
      <c r="V145" s="41">
        <v>1</v>
      </c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</row>
    <row r="146" spans="1:49" hidden="1">
      <c r="A146" s="37">
        <f>MAX($A$1:$A145)+1</f>
        <v>144</v>
      </c>
      <c r="B146" s="41" t="s">
        <v>100</v>
      </c>
      <c r="C146" s="41" t="s">
        <v>32</v>
      </c>
      <c r="D146" s="41" t="s">
        <v>104</v>
      </c>
      <c r="E146" s="41" t="s">
        <v>105</v>
      </c>
      <c r="F146" s="54">
        <v>48.858283996582003</v>
      </c>
      <c r="G146" s="46">
        <v>-125.160919189453</v>
      </c>
      <c r="H146" s="41" t="s">
        <v>103</v>
      </c>
      <c r="I146" s="41">
        <v>1.5</v>
      </c>
      <c r="J146" s="41">
        <v>210</v>
      </c>
      <c r="K146" s="60">
        <v>0.53472222222222199</v>
      </c>
      <c r="L146" s="41">
        <v>9</v>
      </c>
      <c r="M146" s="41"/>
      <c r="N146" s="41" t="s">
        <v>36</v>
      </c>
      <c r="O146" s="41">
        <v>2</v>
      </c>
      <c r="P146">
        <v>8</v>
      </c>
      <c r="Q146" s="61" t="s">
        <v>39</v>
      </c>
      <c r="R146" s="64" t="s">
        <v>40</v>
      </c>
      <c r="S146" s="65" t="s">
        <v>41</v>
      </c>
      <c r="T146" s="42">
        <f t="shared" si="16"/>
        <v>7</v>
      </c>
      <c r="U146" s="41">
        <v>0</v>
      </c>
      <c r="V146" s="41"/>
      <c r="W146" s="41">
        <v>4</v>
      </c>
      <c r="X146" s="41">
        <v>1</v>
      </c>
      <c r="Y146" s="41"/>
      <c r="Z146" s="41">
        <v>2</v>
      </c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</row>
    <row r="147" spans="1:49" hidden="1">
      <c r="A147" s="37">
        <f>MAX($A$1:$A146)+1</f>
        <v>145</v>
      </c>
      <c r="B147" s="41" t="s">
        <v>100</v>
      </c>
      <c r="C147" s="41" t="s">
        <v>32</v>
      </c>
      <c r="D147" s="41" t="s">
        <v>104</v>
      </c>
      <c r="E147" s="41" t="s">
        <v>105</v>
      </c>
      <c r="F147" s="54">
        <v>48.858283996582003</v>
      </c>
      <c r="G147" s="46">
        <v>-125.160919189453</v>
      </c>
      <c r="H147" s="41" t="s">
        <v>103</v>
      </c>
      <c r="I147" s="41">
        <v>1.5</v>
      </c>
      <c r="J147" s="41">
        <v>210</v>
      </c>
      <c r="K147" s="60">
        <v>0.53472222222222199</v>
      </c>
      <c r="L147" s="41">
        <v>9</v>
      </c>
      <c r="M147" s="41"/>
      <c r="N147" s="41" t="s">
        <v>36</v>
      </c>
      <c r="O147" s="41">
        <v>1</v>
      </c>
      <c r="P147">
        <v>16</v>
      </c>
      <c r="Q147" s="61" t="s">
        <v>39</v>
      </c>
      <c r="R147" s="64" t="s">
        <v>40</v>
      </c>
      <c r="S147" s="65" t="s">
        <v>41</v>
      </c>
      <c r="T147" s="42">
        <f t="shared" si="16"/>
        <v>8</v>
      </c>
      <c r="U147" s="41">
        <v>0</v>
      </c>
      <c r="V147" s="41">
        <v>1</v>
      </c>
      <c r="W147" s="41">
        <v>4</v>
      </c>
      <c r="X147" s="41"/>
      <c r="Y147" s="41">
        <v>3</v>
      </c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</row>
    <row r="148" spans="1:49" hidden="1">
      <c r="A148" s="37">
        <f>MAX($A$1:$A147)+1</f>
        <v>146</v>
      </c>
      <c r="B148" s="41" t="s">
        <v>100</v>
      </c>
      <c r="C148" s="41" t="s">
        <v>32</v>
      </c>
      <c r="D148" s="41" t="s">
        <v>104</v>
      </c>
      <c r="E148" s="41" t="s">
        <v>105</v>
      </c>
      <c r="F148" s="54">
        <v>48.858283996582003</v>
      </c>
      <c r="G148" s="46">
        <v>-125.160919189453</v>
      </c>
      <c r="H148" s="41" t="s">
        <v>103</v>
      </c>
      <c r="I148" s="41">
        <v>1.5</v>
      </c>
      <c r="J148" s="41">
        <v>210</v>
      </c>
      <c r="K148" s="60">
        <v>0.53472222222222199</v>
      </c>
      <c r="L148" s="41">
        <v>9</v>
      </c>
      <c r="M148" s="41"/>
      <c r="N148" s="41" t="s">
        <v>36</v>
      </c>
      <c r="O148" s="41">
        <v>1</v>
      </c>
      <c r="P148">
        <v>16</v>
      </c>
      <c r="Q148" s="41" t="s">
        <v>53</v>
      </c>
      <c r="R148" s="37" t="s">
        <v>54</v>
      </c>
      <c r="S148" s="48" t="s">
        <v>55</v>
      </c>
      <c r="T148" s="42">
        <f t="shared" si="16"/>
        <v>1</v>
      </c>
      <c r="U148" s="41">
        <v>0</v>
      </c>
      <c r="V148" s="41"/>
      <c r="W148" s="41"/>
      <c r="X148" s="41"/>
      <c r="Y148" s="41"/>
      <c r="Z148" s="41"/>
      <c r="AA148" s="41">
        <v>1</v>
      </c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</row>
    <row r="149" spans="1:49" hidden="1">
      <c r="A149" s="37">
        <f>MAX($A$1:$A148)+1</f>
        <v>147</v>
      </c>
      <c r="B149" s="41" t="s">
        <v>100</v>
      </c>
      <c r="C149" s="41" t="s">
        <v>32</v>
      </c>
      <c r="D149" s="41" t="s">
        <v>104</v>
      </c>
      <c r="E149" s="41" t="s">
        <v>105</v>
      </c>
      <c r="F149" s="54">
        <v>48.858283996582003</v>
      </c>
      <c r="G149" s="46">
        <v>-125.160919189453</v>
      </c>
      <c r="H149" s="41" t="s">
        <v>103</v>
      </c>
      <c r="I149" s="41">
        <v>1.5</v>
      </c>
      <c r="J149" s="41">
        <v>210</v>
      </c>
      <c r="K149" s="60">
        <v>0.53472222222222199</v>
      </c>
      <c r="L149" s="41">
        <v>9</v>
      </c>
      <c r="M149" s="41"/>
      <c r="N149" s="41" t="s">
        <v>36</v>
      </c>
      <c r="O149" s="41">
        <v>2</v>
      </c>
      <c r="P149">
        <v>24</v>
      </c>
      <c r="Q149" s="61" t="s">
        <v>39</v>
      </c>
      <c r="R149" s="64" t="s">
        <v>40</v>
      </c>
      <c r="S149" s="65" t="s">
        <v>41</v>
      </c>
      <c r="T149" s="42">
        <f t="shared" si="16"/>
        <v>5</v>
      </c>
      <c r="U149" s="41">
        <v>0</v>
      </c>
      <c r="V149" s="41"/>
      <c r="W149" s="41">
        <v>2</v>
      </c>
      <c r="X149" s="41">
        <v>3</v>
      </c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</row>
    <row r="150" spans="1:49" hidden="1">
      <c r="A150" s="37">
        <f>MAX($A$1:$A149)+1</f>
        <v>148</v>
      </c>
      <c r="B150" s="41" t="s">
        <v>100</v>
      </c>
      <c r="C150" s="41" t="s">
        <v>32</v>
      </c>
      <c r="D150" s="41" t="s">
        <v>104</v>
      </c>
      <c r="E150" s="41" t="s">
        <v>105</v>
      </c>
      <c r="F150" s="54">
        <v>48.858283996582003</v>
      </c>
      <c r="G150" s="46">
        <v>-125.160919189453</v>
      </c>
      <c r="H150" s="41" t="s">
        <v>103</v>
      </c>
      <c r="I150" s="41">
        <v>1.5</v>
      </c>
      <c r="J150" s="41">
        <v>210</v>
      </c>
      <c r="K150" s="60">
        <v>0.53472222222222199</v>
      </c>
      <c r="L150" s="41">
        <v>9</v>
      </c>
      <c r="M150" s="41"/>
      <c r="N150" s="41" t="s">
        <v>36</v>
      </c>
      <c r="O150" s="41">
        <v>2</v>
      </c>
      <c r="P150">
        <v>24</v>
      </c>
      <c r="Q150" s="41" t="s">
        <v>42</v>
      </c>
      <c r="R150" s="37" t="s">
        <v>43</v>
      </c>
      <c r="S150" s="48" t="s">
        <v>44</v>
      </c>
      <c r="T150" s="42">
        <f t="shared" si="16"/>
        <v>1</v>
      </c>
      <c r="U150" s="41">
        <v>0</v>
      </c>
      <c r="V150" s="41"/>
      <c r="W150" s="41">
        <v>1</v>
      </c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</row>
    <row r="151" spans="1:49" hidden="1">
      <c r="A151" s="37">
        <f>MAX($A$1:$A150)+1</f>
        <v>149</v>
      </c>
      <c r="B151" s="41" t="s">
        <v>100</v>
      </c>
      <c r="C151" s="41" t="s">
        <v>32</v>
      </c>
      <c r="D151" s="41" t="s">
        <v>104</v>
      </c>
      <c r="E151" s="41" t="s">
        <v>105</v>
      </c>
      <c r="F151" s="54">
        <v>48.858283996582003</v>
      </c>
      <c r="G151" s="46">
        <v>-125.160919189453</v>
      </c>
      <c r="H151" s="41" t="s">
        <v>103</v>
      </c>
      <c r="I151" s="41">
        <v>1.5</v>
      </c>
      <c r="J151" s="41">
        <v>210</v>
      </c>
      <c r="K151" s="60">
        <v>0.53472222222222199</v>
      </c>
      <c r="L151" s="41">
        <v>9</v>
      </c>
      <c r="M151" s="41"/>
      <c r="N151" s="41" t="s">
        <v>36</v>
      </c>
      <c r="O151" s="41">
        <v>1</v>
      </c>
      <c r="P151">
        <v>32</v>
      </c>
      <c r="Q151" s="61" t="s">
        <v>39</v>
      </c>
      <c r="R151" s="64" t="s">
        <v>40</v>
      </c>
      <c r="S151" s="65" t="s">
        <v>41</v>
      </c>
      <c r="T151" s="42">
        <f t="shared" si="16"/>
        <v>4</v>
      </c>
      <c r="U151" s="41">
        <v>0</v>
      </c>
      <c r="V151" s="41"/>
      <c r="W151" s="41">
        <v>2</v>
      </c>
      <c r="X151" s="41"/>
      <c r="Y151" s="41"/>
      <c r="Z151" s="41">
        <v>1</v>
      </c>
      <c r="AA151" s="41">
        <v>1</v>
      </c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</row>
    <row r="152" spans="1:49" hidden="1">
      <c r="A152" s="37">
        <f>MAX($A$1:$A151)+1</f>
        <v>150</v>
      </c>
      <c r="B152" s="41" t="s">
        <v>100</v>
      </c>
      <c r="C152" s="41" t="s">
        <v>32</v>
      </c>
      <c r="D152" s="41" t="s">
        <v>104</v>
      </c>
      <c r="E152" s="41" t="s">
        <v>105</v>
      </c>
      <c r="F152" s="54">
        <v>48.858283996582003</v>
      </c>
      <c r="G152" s="46">
        <v>-125.160919189453</v>
      </c>
      <c r="H152" s="41" t="s">
        <v>103</v>
      </c>
      <c r="I152" s="41">
        <v>1.5</v>
      </c>
      <c r="J152" s="41">
        <v>210</v>
      </c>
      <c r="K152" s="60">
        <v>0.53472222222222199</v>
      </c>
      <c r="L152" s="41">
        <v>9</v>
      </c>
      <c r="M152" s="41"/>
      <c r="N152" s="41" t="s">
        <v>36</v>
      </c>
      <c r="O152" s="41">
        <v>1</v>
      </c>
      <c r="P152">
        <v>32</v>
      </c>
      <c r="Q152" s="41" t="s">
        <v>48</v>
      </c>
      <c r="R152" s="37" t="s">
        <v>49</v>
      </c>
      <c r="S152" s="48" t="s">
        <v>50</v>
      </c>
      <c r="T152" s="42">
        <f t="shared" si="16"/>
        <v>1</v>
      </c>
      <c r="U152" s="41">
        <v>0</v>
      </c>
      <c r="V152" s="41"/>
      <c r="W152" s="41"/>
      <c r="X152" s="41">
        <v>1</v>
      </c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</row>
    <row r="153" spans="1:49" hidden="1">
      <c r="A153" s="37">
        <f>MAX($A$1:$A152)+1</f>
        <v>151</v>
      </c>
      <c r="B153" s="41" t="s">
        <v>100</v>
      </c>
      <c r="C153" s="41" t="s">
        <v>32</v>
      </c>
      <c r="D153" s="41" t="s">
        <v>104</v>
      </c>
      <c r="E153" s="41" t="s">
        <v>105</v>
      </c>
      <c r="F153" s="54">
        <v>48.858283996582003</v>
      </c>
      <c r="G153" s="46">
        <v>-125.160919189453</v>
      </c>
      <c r="H153" s="41" t="s">
        <v>103</v>
      </c>
      <c r="I153" s="41">
        <v>1.5</v>
      </c>
      <c r="J153" s="41">
        <v>210</v>
      </c>
      <c r="K153" s="60">
        <v>0.53472222222222199</v>
      </c>
      <c r="L153" s="41">
        <v>9</v>
      </c>
      <c r="M153" s="41"/>
      <c r="N153" s="41" t="s">
        <v>36</v>
      </c>
      <c r="O153" s="41">
        <v>2</v>
      </c>
      <c r="P153">
        <v>40</v>
      </c>
      <c r="Q153" s="61" t="s">
        <v>39</v>
      </c>
      <c r="R153" s="64" t="s">
        <v>40</v>
      </c>
      <c r="S153" s="65" t="s">
        <v>41</v>
      </c>
      <c r="T153" s="42">
        <f t="shared" si="16"/>
        <v>6</v>
      </c>
      <c r="U153" s="41">
        <v>0</v>
      </c>
      <c r="V153" s="41"/>
      <c r="W153" s="41">
        <v>1</v>
      </c>
      <c r="X153" s="41"/>
      <c r="Y153" s="41">
        <v>5</v>
      </c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</row>
    <row r="154" spans="1:49" hidden="1">
      <c r="A154" s="37">
        <f>MAX($A$1:$A153)+1</f>
        <v>152</v>
      </c>
      <c r="B154" s="41" t="s">
        <v>100</v>
      </c>
      <c r="C154" s="41" t="s">
        <v>32</v>
      </c>
      <c r="D154" s="41" t="s">
        <v>104</v>
      </c>
      <c r="E154" s="41" t="s">
        <v>105</v>
      </c>
      <c r="F154" s="54">
        <v>48.858283996582003</v>
      </c>
      <c r="G154" s="46">
        <v>-125.160919189453</v>
      </c>
      <c r="H154" s="41" t="s">
        <v>103</v>
      </c>
      <c r="I154" s="41">
        <v>1.5</v>
      </c>
      <c r="J154" s="41">
        <v>210</v>
      </c>
      <c r="K154" s="60">
        <v>0.53472222222222199</v>
      </c>
      <c r="L154" s="41">
        <v>9</v>
      </c>
      <c r="M154" s="41"/>
      <c r="N154" s="41" t="s">
        <v>36</v>
      </c>
      <c r="O154" s="41">
        <v>1</v>
      </c>
      <c r="P154">
        <v>48</v>
      </c>
      <c r="Q154" s="61" t="s">
        <v>39</v>
      </c>
      <c r="R154" s="64" t="s">
        <v>40</v>
      </c>
      <c r="S154" s="65" t="s">
        <v>41</v>
      </c>
      <c r="T154" s="42">
        <f t="shared" si="16"/>
        <v>6</v>
      </c>
      <c r="U154" s="41">
        <v>0</v>
      </c>
      <c r="V154" s="41"/>
      <c r="W154" s="41">
        <v>4</v>
      </c>
      <c r="X154" s="41">
        <v>1</v>
      </c>
      <c r="Y154" s="41">
        <v>1</v>
      </c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</row>
    <row r="155" spans="1:49" hidden="1">
      <c r="A155" s="37">
        <f>MAX($A$1:$A154)+1</f>
        <v>153</v>
      </c>
      <c r="B155" s="73" t="s">
        <v>106</v>
      </c>
      <c r="C155" s="41" t="s">
        <v>32</v>
      </c>
      <c r="D155" s="41" t="s">
        <v>107</v>
      </c>
      <c r="E155" s="73" t="s">
        <v>108</v>
      </c>
      <c r="F155" s="54">
        <v>48.950233459472599</v>
      </c>
      <c r="G155" s="46">
        <v>-125.155548095703</v>
      </c>
      <c r="H155" s="41" t="s">
        <v>109</v>
      </c>
      <c r="I155" s="41">
        <v>5</v>
      </c>
      <c r="J155" s="41">
        <v>240</v>
      </c>
      <c r="K155" s="60">
        <v>0.43055555555555558</v>
      </c>
      <c r="L155" s="41">
        <v>10</v>
      </c>
      <c r="M155" s="41"/>
      <c r="N155" s="41" t="s">
        <v>36</v>
      </c>
      <c r="O155" s="41">
        <v>1</v>
      </c>
      <c r="P155" s="41">
        <v>0</v>
      </c>
      <c r="Q155" s="61" t="s">
        <v>39</v>
      </c>
      <c r="R155" s="64" t="s">
        <v>40</v>
      </c>
      <c r="S155" s="65" t="s">
        <v>41</v>
      </c>
      <c r="T155" s="42">
        <f t="shared" si="16"/>
        <v>5</v>
      </c>
      <c r="U155" s="41">
        <v>0</v>
      </c>
      <c r="V155" s="41"/>
      <c r="W155" s="41"/>
      <c r="X155" s="41">
        <v>3</v>
      </c>
      <c r="Y155" s="41">
        <v>2</v>
      </c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</row>
    <row r="156" spans="1:49" hidden="1">
      <c r="A156" s="37">
        <f>MAX($A$1:$A155)+1</f>
        <v>154</v>
      </c>
      <c r="B156" s="73" t="s">
        <v>106</v>
      </c>
      <c r="C156" s="41" t="s">
        <v>32</v>
      </c>
      <c r="D156" s="41" t="s">
        <v>107</v>
      </c>
      <c r="E156" s="73" t="s">
        <v>108</v>
      </c>
      <c r="F156" s="54">
        <v>48.950233459472599</v>
      </c>
      <c r="G156" s="46">
        <v>-125.155548095703</v>
      </c>
      <c r="H156" s="41" t="s">
        <v>109</v>
      </c>
      <c r="I156" s="41">
        <v>5</v>
      </c>
      <c r="J156" s="41">
        <v>240</v>
      </c>
      <c r="K156" s="60">
        <v>0.43055555555555558</v>
      </c>
      <c r="L156" s="41">
        <v>10</v>
      </c>
      <c r="M156" s="41"/>
      <c r="N156" s="41" t="s">
        <v>36</v>
      </c>
      <c r="O156" s="41">
        <v>1</v>
      </c>
      <c r="P156" s="41">
        <v>0</v>
      </c>
      <c r="Q156" s="41" t="s">
        <v>48</v>
      </c>
      <c r="R156" s="37" t="s">
        <v>49</v>
      </c>
      <c r="S156" s="48" t="s">
        <v>50</v>
      </c>
      <c r="T156" s="42">
        <f t="shared" ref="T156:T170" si="17">SUM(U156:AW156)</f>
        <v>1</v>
      </c>
      <c r="U156" s="41">
        <v>0</v>
      </c>
      <c r="V156" s="41"/>
      <c r="W156" s="41">
        <v>1</v>
      </c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</row>
    <row r="157" spans="1:49" hidden="1">
      <c r="A157" s="37">
        <f>MAX($A$1:$A156)+1</f>
        <v>155</v>
      </c>
      <c r="B157" s="73" t="s">
        <v>106</v>
      </c>
      <c r="C157" s="41" t="s">
        <v>32</v>
      </c>
      <c r="D157" s="41" t="s">
        <v>107</v>
      </c>
      <c r="E157" s="73" t="s">
        <v>108</v>
      </c>
      <c r="F157" s="54">
        <v>48.950233459472599</v>
      </c>
      <c r="G157" s="46">
        <v>-125.155548095703</v>
      </c>
      <c r="H157" s="41" t="s">
        <v>109</v>
      </c>
      <c r="I157" s="41">
        <v>5</v>
      </c>
      <c r="J157" s="41">
        <v>240</v>
      </c>
      <c r="K157" s="60">
        <v>0.43055555555555602</v>
      </c>
      <c r="L157" s="41">
        <v>10</v>
      </c>
      <c r="M157" s="41"/>
      <c r="N157" s="41" t="s">
        <v>36</v>
      </c>
      <c r="O157" s="41">
        <v>1</v>
      </c>
      <c r="P157" s="41">
        <v>0</v>
      </c>
      <c r="Q157" s="61" t="s">
        <v>45</v>
      </c>
      <c r="R157" s="64" t="s">
        <v>46</v>
      </c>
      <c r="S157" s="65" t="s">
        <v>47</v>
      </c>
      <c r="T157" s="42">
        <f t="shared" si="17"/>
        <v>1</v>
      </c>
      <c r="U157" s="41">
        <v>0</v>
      </c>
      <c r="V157" s="41"/>
      <c r="W157" s="41"/>
      <c r="X157" s="41"/>
      <c r="Y157" s="41">
        <v>1</v>
      </c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</row>
    <row r="158" spans="1:49" hidden="1">
      <c r="A158" s="37">
        <f>MAX($A$1:$A157)+1</f>
        <v>156</v>
      </c>
      <c r="B158" s="73" t="s">
        <v>106</v>
      </c>
      <c r="C158" s="41" t="s">
        <v>32</v>
      </c>
      <c r="D158" s="41" t="s">
        <v>107</v>
      </c>
      <c r="E158" s="73" t="s">
        <v>108</v>
      </c>
      <c r="F158" s="54">
        <v>48.950233459472599</v>
      </c>
      <c r="G158" s="46">
        <v>-125.155548095703</v>
      </c>
      <c r="H158" s="41" t="s">
        <v>109</v>
      </c>
      <c r="I158" s="41">
        <v>5</v>
      </c>
      <c r="J158" s="41">
        <v>240</v>
      </c>
      <c r="K158" s="60">
        <v>0.43055555555555602</v>
      </c>
      <c r="L158" s="41">
        <v>10</v>
      </c>
      <c r="M158" s="41"/>
      <c r="N158" s="41" t="s">
        <v>36</v>
      </c>
      <c r="O158" s="41">
        <v>2</v>
      </c>
      <c r="P158" s="41">
        <v>8</v>
      </c>
      <c r="Q158" s="61" t="s">
        <v>39</v>
      </c>
      <c r="R158" s="64" t="s">
        <v>40</v>
      </c>
      <c r="S158" s="65" t="s">
        <v>41</v>
      </c>
      <c r="T158" s="42">
        <f t="shared" si="17"/>
        <v>12</v>
      </c>
      <c r="U158" s="41">
        <v>0</v>
      </c>
      <c r="V158" s="41"/>
      <c r="W158" s="41">
        <v>1</v>
      </c>
      <c r="X158" s="41">
        <v>7</v>
      </c>
      <c r="Y158" s="41">
        <v>3</v>
      </c>
      <c r="Z158" s="41">
        <v>1</v>
      </c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</row>
    <row r="159" spans="1:49" hidden="1">
      <c r="A159" s="37">
        <f>MAX($A$1:$A158)+1</f>
        <v>157</v>
      </c>
      <c r="B159" s="73" t="s">
        <v>106</v>
      </c>
      <c r="C159" s="41" t="s">
        <v>32</v>
      </c>
      <c r="D159" s="41" t="s">
        <v>107</v>
      </c>
      <c r="E159" s="73" t="s">
        <v>108</v>
      </c>
      <c r="F159" s="54">
        <v>48.950233459472599</v>
      </c>
      <c r="G159" s="46">
        <v>-125.155548095703</v>
      </c>
      <c r="H159" s="41" t="s">
        <v>109</v>
      </c>
      <c r="I159" s="41">
        <v>5</v>
      </c>
      <c r="J159" s="41">
        <v>240</v>
      </c>
      <c r="K159" s="60">
        <v>0.43055555555555602</v>
      </c>
      <c r="L159" s="41">
        <v>10</v>
      </c>
      <c r="M159" s="41"/>
      <c r="N159" s="41" t="s">
        <v>36</v>
      </c>
      <c r="O159" s="41">
        <v>2</v>
      </c>
      <c r="P159" s="41">
        <v>8</v>
      </c>
      <c r="Q159" s="61" t="s">
        <v>45</v>
      </c>
      <c r="R159" s="64" t="s">
        <v>46</v>
      </c>
      <c r="S159" s="65" t="s">
        <v>47</v>
      </c>
      <c r="T159" s="42">
        <f t="shared" si="17"/>
        <v>3</v>
      </c>
      <c r="U159" s="41">
        <v>0</v>
      </c>
      <c r="V159" s="41"/>
      <c r="W159" s="41"/>
      <c r="X159" s="41"/>
      <c r="Y159" s="41">
        <v>2</v>
      </c>
      <c r="Z159" s="41">
        <v>1</v>
      </c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</row>
    <row r="160" spans="1:49" hidden="1">
      <c r="A160" s="37">
        <f>MAX($A$1:$A159)+1</f>
        <v>158</v>
      </c>
      <c r="B160" s="73" t="s">
        <v>106</v>
      </c>
      <c r="C160" s="41" t="s">
        <v>32</v>
      </c>
      <c r="D160" s="41" t="s">
        <v>107</v>
      </c>
      <c r="E160" s="73" t="s">
        <v>108</v>
      </c>
      <c r="F160" s="54">
        <v>48.950233459472599</v>
      </c>
      <c r="G160" s="46">
        <v>-125.155548095703</v>
      </c>
      <c r="H160" s="41" t="s">
        <v>109</v>
      </c>
      <c r="I160" s="41">
        <v>5</v>
      </c>
      <c r="J160" s="41">
        <v>240</v>
      </c>
      <c r="K160" s="60">
        <v>0.43055555555555602</v>
      </c>
      <c r="L160" s="41">
        <v>10</v>
      </c>
      <c r="M160" s="41"/>
      <c r="N160" s="41" t="s">
        <v>36</v>
      </c>
      <c r="O160" s="41">
        <v>2</v>
      </c>
      <c r="P160" s="41">
        <v>8</v>
      </c>
      <c r="Q160" s="41" t="s">
        <v>48</v>
      </c>
      <c r="R160" s="37" t="s">
        <v>49</v>
      </c>
      <c r="S160" s="48" t="s">
        <v>50</v>
      </c>
      <c r="T160" s="42">
        <f t="shared" si="17"/>
        <v>1</v>
      </c>
      <c r="U160" s="41">
        <v>0</v>
      </c>
      <c r="V160" s="41"/>
      <c r="W160" s="41">
        <v>1</v>
      </c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</row>
    <row r="161" spans="1:49" hidden="1">
      <c r="A161" s="37">
        <f>MAX($A$1:$A160)+1</f>
        <v>159</v>
      </c>
      <c r="B161" s="73" t="s">
        <v>106</v>
      </c>
      <c r="C161" s="41" t="s">
        <v>32</v>
      </c>
      <c r="D161" s="41" t="s">
        <v>107</v>
      </c>
      <c r="E161" s="73" t="s">
        <v>108</v>
      </c>
      <c r="F161" s="54">
        <v>48.950233459472599</v>
      </c>
      <c r="G161" s="46">
        <v>-125.155548095703</v>
      </c>
      <c r="H161" s="41" t="s">
        <v>109</v>
      </c>
      <c r="I161" s="41">
        <v>5</v>
      </c>
      <c r="J161" s="41">
        <v>240</v>
      </c>
      <c r="K161" s="60">
        <v>0.43055555555555602</v>
      </c>
      <c r="L161" s="41">
        <v>10</v>
      </c>
      <c r="M161" s="41"/>
      <c r="N161" s="41" t="s">
        <v>36</v>
      </c>
      <c r="O161" s="41">
        <v>1</v>
      </c>
      <c r="P161" s="41">
        <v>16</v>
      </c>
      <c r="Q161" s="61" t="s">
        <v>39</v>
      </c>
      <c r="R161" s="64" t="s">
        <v>40</v>
      </c>
      <c r="S161" s="65" t="s">
        <v>41</v>
      </c>
      <c r="T161" s="42">
        <f t="shared" si="17"/>
        <v>7</v>
      </c>
      <c r="U161" s="41">
        <v>0</v>
      </c>
      <c r="V161" s="41"/>
      <c r="W161" s="41"/>
      <c r="X161" s="41"/>
      <c r="Y161" s="41">
        <v>5</v>
      </c>
      <c r="Z161" s="41">
        <v>2</v>
      </c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</row>
    <row r="162" spans="1:49" hidden="1">
      <c r="A162" s="37">
        <f>MAX($A$1:$A161)+1</f>
        <v>160</v>
      </c>
      <c r="B162" s="73" t="s">
        <v>106</v>
      </c>
      <c r="C162" s="41" t="s">
        <v>32</v>
      </c>
      <c r="D162" s="41" t="s">
        <v>107</v>
      </c>
      <c r="E162" s="73" t="s">
        <v>108</v>
      </c>
      <c r="F162" s="54">
        <v>48.950233459472599</v>
      </c>
      <c r="G162" s="46">
        <v>-125.155548095703</v>
      </c>
      <c r="H162" s="41" t="s">
        <v>109</v>
      </c>
      <c r="I162" s="41">
        <v>5</v>
      </c>
      <c r="J162" s="41">
        <v>240</v>
      </c>
      <c r="K162" s="60">
        <v>0.43055555555555602</v>
      </c>
      <c r="L162" s="41">
        <v>10</v>
      </c>
      <c r="M162" s="41"/>
      <c r="N162" s="41" t="s">
        <v>36</v>
      </c>
      <c r="O162" s="41">
        <v>1</v>
      </c>
      <c r="P162" s="41">
        <v>16</v>
      </c>
      <c r="Q162" s="61" t="s">
        <v>45</v>
      </c>
      <c r="R162" s="64" t="s">
        <v>46</v>
      </c>
      <c r="S162" s="65" t="s">
        <v>47</v>
      </c>
      <c r="T162" s="42">
        <f t="shared" si="17"/>
        <v>3</v>
      </c>
      <c r="U162" s="41">
        <v>0</v>
      </c>
      <c r="V162" s="41"/>
      <c r="W162" s="41">
        <v>1</v>
      </c>
      <c r="X162" s="41">
        <v>1</v>
      </c>
      <c r="Y162" s="41">
        <v>1</v>
      </c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</row>
    <row r="163" spans="1:49" hidden="1">
      <c r="A163" s="37">
        <f>MAX($A$1:$A162)+1</f>
        <v>161</v>
      </c>
      <c r="B163" s="73" t="s">
        <v>106</v>
      </c>
      <c r="C163" s="41" t="s">
        <v>32</v>
      </c>
      <c r="D163" s="41" t="s">
        <v>107</v>
      </c>
      <c r="E163" s="73" t="s">
        <v>108</v>
      </c>
      <c r="F163" s="54">
        <v>48.950233459472599</v>
      </c>
      <c r="G163" s="46">
        <v>-125.155548095703</v>
      </c>
      <c r="H163" s="41" t="s">
        <v>109</v>
      </c>
      <c r="I163" s="41">
        <v>5</v>
      </c>
      <c r="J163" s="41">
        <v>240</v>
      </c>
      <c r="K163" s="60">
        <v>0.43055555555555602</v>
      </c>
      <c r="L163" s="41">
        <v>10</v>
      </c>
      <c r="M163" s="41"/>
      <c r="N163" s="41" t="s">
        <v>36</v>
      </c>
      <c r="O163" s="41">
        <v>2</v>
      </c>
      <c r="P163" s="41">
        <v>24</v>
      </c>
      <c r="Q163" s="61" t="s">
        <v>45</v>
      </c>
      <c r="R163" s="64" t="s">
        <v>46</v>
      </c>
      <c r="S163" s="65" t="s">
        <v>47</v>
      </c>
      <c r="T163" s="42">
        <f t="shared" si="17"/>
        <v>4</v>
      </c>
      <c r="U163" s="41">
        <v>0</v>
      </c>
      <c r="V163" s="41"/>
      <c r="W163" s="41">
        <v>2</v>
      </c>
      <c r="X163" s="41">
        <v>1</v>
      </c>
      <c r="Y163" s="41">
        <v>1</v>
      </c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</row>
    <row r="164" spans="1:49" hidden="1">
      <c r="A164" s="37">
        <f>MAX($A$1:$A163)+1</f>
        <v>162</v>
      </c>
      <c r="B164" s="73" t="s">
        <v>106</v>
      </c>
      <c r="C164" s="41" t="s">
        <v>32</v>
      </c>
      <c r="D164" s="41" t="s">
        <v>107</v>
      </c>
      <c r="E164" s="73" t="s">
        <v>108</v>
      </c>
      <c r="F164" s="54">
        <v>48.950233459472599</v>
      </c>
      <c r="G164" s="46">
        <v>-125.155548095703</v>
      </c>
      <c r="H164" s="41" t="s">
        <v>109</v>
      </c>
      <c r="I164" s="41">
        <v>5</v>
      </c>
      <c r="J164" s="41">
        <v>240</v>
      </c>
      <c r="K164" s="60">
        <v>0.43055555555555602</v>
      </c>
      <c r="L164" s="41">
        <v>10</v>
      </c>
      <c r="M164" s="41"/>
      <c r="N164" s="41" t="s">
        <v>36</v>
      </c>
      <c r="O164" s="41">
        <v>2</v>
      </c>
      <c r="P164" s="41">
        <v>24</v>
      </c>
      <c r="Q164" s="41" t="s">
        <v>48</v>
      </c>
      <c r="R164" s="37" t="s">
        <v>49</v>
      </c>
      <c r="S164" s="48" t="s">
        <v>50</v>
      </c>
      <c r="T164" s="42">
        <f t="shared" si="17"/>
        <v>1</v>
      </c>
      <c r="U164" s="41">
        <v>0</v>
      </c>
      <c r="V164" s="41"/>
      <c r="W164" s="41"/>
      <c r="X164" s="41"/>
      <c r="Y164" s="41"/>
      <c r="Z164" s="41"/>
      <c r="AA164" s="41"/>
      <c r="AB164" s="41">
        <v>1</v>
      </c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</row>
    <row r="165" spans="1:49" hidden="1">
      <c r="A165" s="37">
        <f>MAX($A$1:$A164)+1</f>
        <v>163</v>
      </c>
      <c r="B165" s="73" t="s">
        <v>106</v>
      </c>
      <c r="C165" s="41" t="s">
        <v>32</v>
      </c>
      <c r="D165" s="41" t="s">
        <v>107</v>
      </c>
      <c r="E165" s="73" t="s">
        <v>108</v>
      </c>
      <c r="F165" s="54">
        <v>48.950233459472599</v>
      </c>
      <c r="G165" s="46">
        <v>-125.155548095703</v>
      </c>
      <c r="H165" s="41" t="s">
        <v>109</v>
      </c>
      <c r="I165" s="41">
        <v>5</v>
      </c>
      <c r="J165" s="41">
        <v>240</v>
      </c>
      <c r="K165" s="60">
        <v>0.43055555555555602</v>
      </c>
      <c r="L165" s="41">
        <v>10</v>
      </c>
      <c r="M165" s="41"/>
      <c r="N165" s="41" t="s">
        <v>36</v>
      </c>
      <c r="O165" s="41">
        <v>1</v>
      </c>
      <c r="P165" s="41">
        <v>32</v>
      </c>
      <c r="Q165" s="61" t="s">
        <v>39</v>
      </c>
      <c r="R165" s="64" t="s">
        <v>40</v>
      </c>
      <c r="S165" s="65" t="s">
        <v>41</v>
      </c>
      <c r="T165" s="42">
        <f t="shared" si="17"/>
        <v>3</v>
      </c>
      <c r="U165" s="41">
        <v>0</v>
      </c>
      <c r="V165" s="41"/>
      <c r="W165" s="41"/>
      <c r="X165" s="41"/>
      <c r="Y165" s="41">
        <v>3</v>
      </c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</row>
    <row r="166" spans="1:49" hidden="1">
      <c r="A166" s="37">
        <f>MAX($A$1:$A165)+1</f>
        <v>164</v>
      </c>
      <c r="B166" s="73" t="s">
        <v>106</v>
      </c>
      <c r="C166" s="41" t="s">
        <v>32</v>
      </c>
      <c r="D166" s="41" t="s">
        <v>107</v>
      </c>
      <c r="E166" s="73" t="s">
        <v>108</v>
      </c>
      <c r="F166" s="54">
        <v>48.950233459472599</v>
      </c>
      <c r="G166" s="46">
        <v>-125.155548095703</v>
      </c>
      <c r="H166" s="41" t="s">
        <v>109</v>
      </c>
      <c r="I166" s="41">
        <v>5</v>
      </c>
      <c r="J166" s="41">
        <v>240</v>
      </c>
      <c r="K166" s="60">
        <v>0.43055555555555602</v>
      </c>
      <c r="L166" s="41">
        <v>10</v>
      </c>
      <c r="M166" s="41"/>
      <c r="N166" s="41" t="s">
        <v>36</v>
      </c>
      <c r="O166" s="41">
        <v>1</v>
      </c>
      <c r="P166" s="41">
        <v>32</v>
      </c>
      <c r="Q166" s="41" t="s">
        <v>42</v>
      </c>
      <c r="R166" s="37" t="s">
        <v>43</v>
      </c>
      <c r="S166" s="48" t="s">
        <v>44</v>
      </c>
      <c r="T166" s="42">
        <f t="shared" si="17"/>
        <v>1</v>
      </c>
      <c r="U166" s="41">
        <v>0</v>
      </c>
      <c r="V166" s="41"/>
      <c r="W166" s="41"/>
      <c r="X166" s="41"/>
      <c r="Y166" s="41">
        <v>1</v>
      </c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</row>
    <row r="167" spans="1:49" hidden="1">
      <c r="A167" s="37">
        <f>MAX($A$1:$A166)+1</f>
        <v>165</v>
      </c>
      <c r="B167" s="73" t="s">
        <v>106</v>
      </c>
      <c r="C167" s="41" t="s">
        <v>32</v>
      </c>
      <c r="D167" s="41" t="s">
        <v>107</v>
      </c>
      <c r="E167" s="73" t="s">
        <v>108</v>
      </c>
      <c r="F167" s="54">
        <v>48.950233459472599</v>
      </c>
      <c r="G167" s="46">
        <v>-125.155548095703</v>
      </c>
      <c r="H167" s="41" t="s">
        <v>109</v>
      </c>
      <c r="I167" s="41">
        <v>5</v>
      </c>
      <c r="J167" s="41">
        <v>240</v>
      </c>
      <c r="K167" s="60">
        <v>0.43055555555555602</v>
      </c>
      <c r="L167" s="41">
        <v>10</v>
      </c>
      <c r="M167" s="41"/>
      <c r="N167" s="41" t="s">
        <v>36</v>
      </c>
      <c r="O167" s="41">
        <v>1</v>
      </c>
      <c r="P167" s="41">
        <v>32</v>
      </c>
      <c r="Q167" s="61" t="s">
        <v>45</v>
      </c>
      <c r="R167" s="64" t="s">
        <v>46</v>
      </c>
      <c r="S167" s="65" t="s">
        <v>47</v>
      </c>
      <c r="T167" s="42">
        <f t="shared" si="17"/>
        <v>3</v>
      </c>
      <c r="U167" s="41">
        <v>0</v>
      </c>
      <c r="V167" s="41"/>
      <c r="W167" s="41"/>
      <c r="X167" s="41">
        <v>3</v>
      </c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</row>
    <row r="168" spans="1:49" hidden="1">
      <c r="A168" s="37">
        <f>MAX($A$1:$A167)+1</f>
        <v>166</v>
      </c>
      <c r="B168" s="73" t="s">
        <v>106</v>
      </c>
      <c r="C168" s="41" t="s">
        <v>32</v>
      </c>
      <c r="D168" s="41" t="s">
        <v>107</v>
      </c>
      <c r="E168" s="73" t="s">
        <v>108</v>
      </c>
      <c r="F168" s="54">
        <v>48.950233459472599</v>
      </c>
      <c r="G168" s="46">
        <v>-125.155548095703</v>
      </c>
      <c r="H168" s="41" t="s">
        <v>109</v>
      </c>
      <c r="I168" s="41">
        <v>5</v>
      </c>
      <c r="J168" s="41">
        <v>240</v>
      </c>
      <c r="K168" s="60">
        <v>0.43055555555555602</v>
      </c>
      <c r="L168" s="41">
        <v>10</v>
      </c>
      <c r="M168" s="41"/>
      <c r="N168" s="41" t="s">
        <v>36</v>
      </c>
      <c r="O168" s="41">
        <v>1</v>
      </c>
      <c r="P168" s="41">
        <v>32</v>
      </c>
      <c r="Q168" s="41" t="s">
        <v>48</v>
      </c>
      <c r="R168" s="37" t="s">
        <v>49</v>
      </c>
      <c r="S168" s="48" t="s">
        <v>50</v>
      </c>
      <c r="T168" s="42">
        <f t="shared" si="17"/>
        <v>1</v>
      </c>
      <c r="U168" s="41">
        <v>0</v>
      </c>
      <c r="V168" s="41"/>
      <c r="W168" s="41">
        <v>1</v>
      </c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</row>
    <row r="169" spans="1:49" hidden="1">
      <c r="A169" s="37">
        <f>MAX($A$1:$A168)+1</f>
        <v>167</v>
      </c>
      <c r="B169" s="73" t="s">
        <v>106</v>
      </c>
      <c r="C169" s="41" t="s">
        <v>32</v>
      </c>
      <c r="D169" s="41" t="s">
        <v>107</v>
      </c>
      <c r="E169" s="73" t="s">
        <v>108</v>
      </c>
      <c r="F169" s="54">
        <v>48.950233459472599</v>
      </c>
      <c r="G169" s="46">
        <v>-125.155548095703</v>
      </c>
      <c r="H169" s="41" t="s">
        <v>109</v>
      </c>
      <c r="I169" s="41">
        <v>5</v>
      </c>
      <c r="J169" s="41">
        <v>240</v>
      </c>
      <c r="K169" s="60">
        <v>0.43055555555555602</v>
      </c>
      <c r="L169" s="41">
        <v>10</v>
      </c>
      <c r="M169" s="41"/>
      <c r="N169" s="41" t="s">
        <v>36</v>
      </c>
      <c r="O169" s="41">
        <v>2</v>
      </c>
      <c r="P169" s="41">
        <v>40</v>
      </c>
      <c r="Q169" s="61" t="s">
        <v>39</v>
      </c>
      <c r="R169" s="64" t="s">
        <v>40</v>
      </c>
      <c r="S169" s="65" t="s">
        <v>41</v>
      </c>
      <c r="T169" s="42">
        <f t="shared" si="17"/>
        <v>10</v>
      </c>
      <c r="U169" s="41">
        <v>0</v>
      </c>
      <c r="V169" s="41"/>
      <c r="W169" s="41">
        <v>3</v>
      </c>
      <c r="X169" s="41">
        <v>4</v>
      </c>
      <c r="Y169" s="41">
        <v>3</v>
      </c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</row>
    <row r="170" spans="1:49" hidden="1">
      <c r="A170" s="37">
        <f>MAX($A$1:$A169)+1</f>
        <v>168</v>
      </c>
      <c r="B170" s="73" t="s">
        <v>106</v>
      </c>
      <c r="C170" s="41" t="s">
        <v>32</v>
      </c>
      <c r="D170" s="41" t="s">
        <v>107</v>
      </c>
      <c r="E170" s="73" t="s">
        <v>108</v>
      </c>
      <c r="F170" s="54">
        <v>48.950233459472599</v>
      </c>
      <c r="G170" s="46">
        <v>-125.155548095703</v>
      </c>
      <c r="H170" s="41" t="s">
        <v>109</v>
      </c>
      <c r="I170" s="41">
        <v>5</v>
      </c>
      <c r="J170" s="41">
        <v>240</v>
      </c>
      <c r="K170" s="60">
        <v>0.43055555555555602</v>
      </c>
      <c r="L170" s="41">
        <v>10</v>
      </c>
      <c r="M170" s="41"/>
      <c r="N170" s="41" t="s">
        <v>36</v>
      </c>
      <c r="O170" s="41">
        <v>1</v>
      </c>
      <c r="P170" s="41">
        <v>48</v>
      </c>
      <c r="Q170" s="61" t="s">
        <v>39</v>
      </c>
      <c r="R170" s="64" t="s">
        <v>40</v>
      </c>
      <c r="S170" s="65" t="s">
        <v>41</v>
      </c>
      <c r="T170" s="42">
        <f t="shared" si="17"/>
        <v>8</v>
      </c>
      <c r="U170" s="41">
        <v>0</v>
      </c>
      <c r="V170" s="41"/>
      <c r="W170" s="41">
        <v>5</v>
      </c>
      <c r="X170" s="41">
        <v>3</v>
      </c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</row>
    <row r="171" spans="1:49" hidden="1">
      <c r="A171" s="37">
        <f>MAX($A$1:$A170)+1</f>
        <v>169</v>
      </c>
      <c r="B171" s="73" t="s">
        <v>106</v>
      </c>
      <c r="C171" s="41" t="s">
        <v>31</v>
      </c>
      <c r="D171" s="41" t="s">
        <v>107</v>
      </c>
      <c r="E171" s="73" t="s">
        <v>108</v>
      </c>
      <c r="F171" s="54">
        <v>48.950233459472599</v>
      </c>
      <c r="G171" s="46">
        <v>-125.155548095703</v>
      </c>
      <c r="H171" s="41" t="s">
        <v>109</v>
      </c>
      <c r="I171" s="41">
        <v>5</v>
      </c>
      <c r="J171" s="41">
        <v>240</v>
      </c>
      <c r="K171" s="60">
        <v>0.43055555555555602</v>
      </c>
      <c r="L171" s="41">
        <v>5.5</v>
      </c>
      <c r="M171" s="41"/>
      <c r="N171" s="41" t="s">
        <v>36</v>
      </c>
      <c r="O171" s="41">
        <v>1</v>
      </c>
      <c r="P171" s="41">
        <v>0</v>
      </c>
      <c r="Q171" s="61" t="s">
        <v>39</v>
      </c>
      <c r="R171" s="64" t="s">
        <v>40</v>
      </c>
      <c r="S171" s="65" t="s">
        <v>41</v>
      </c>
      <c r="T171" s="42">
        <f t="shared" ref="T171:T183" si="18">SUM(U171:AW171)</f>
        <v>13</v>
      </c>
      <c r="U171" s="41">
        <v>0</v>
      </c>
      <c r="V171" s="41"/>
      <c r="W171" s="41"/>
      <c r="X171" s="41">
        <v>9</v>
      </c>
      <c r="Y171" s="41">
        <v>3</v>
      </c>
      <c r="Z171" s="41">
        <v>1</v>
      </c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</row>
    <row r="172" spans="1:49" hidden="1">
      <c r="A172" s="37">
        <f>MAX($A$1:$A171)+1</f>
        <v>170</v>
      </c>
      <c r="B172" s="73" t="s">
        <v>106</v>
      </c>
      <c r="C172" s="41" t="s">
        <v>31</v>
      </c>
      <c r="D172" s="41" t="s">
        <v>107</v>
      </c>
      <c r="E172" s="73" t="s">
        <v>108</v>
      </c>
      <c r="F172" s="54">
        <v>48.950233459472599</v>
      </c>
      <c r="G172" s="46">
        <v>-125.155548095703</v>
      </c>
      <c r="H172" s="41" t="s">
        <v>109</v>
      </c>
      <c r="I172" s="41">
        <v>5</v>
      </c>
      <c r="J172" s="41">
        <v>240</v>
      </c>
      <c r="K172" s="60">
        <v>0.43055555555555602</v>
      </c>
      <c r="L172" s="41">
        <v>5.5</v>
      </c>
      <c r="M172" s="41"/>
      <c r="N172" s="41" t="s">
        <v>36</v>
      </c>
      <c r="O172" s="41">
        <v>1</v>
      </c>
      <c r="P172" s="41">
        <v>0</v>
      </c>
      <c r="Q172" s="61" t="s">
        <v>45</v>
      </c>
      <c r="R172" s="64" t="s">
        <v>46</v>
      </c>
      <c r="S172" s="65" t="s">
        <v>47</v>
      </c>
      <c r="T172" s="42">
        <f t="shared" si="18"/>
        <v>3</v>
      </c>
      <c r="U172" s="41">
        <v>0</v>
      </c>
      <c r="V172" s="41"/>
      <c r="W172" s="41"/>
      <c r="X172" s="41"/>
      <c r="Y172" s="41">
        <v>3</v>
      </c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</row>
    <row r="173" spans="1:49" hidden="1">
      <c r="A173" s="37">
        <f>MAX($A$1:$A172)+1</f>
        <v>171</v>
      </c>
      <c r="B173" s="73" t="s">
        <v>106</v>
      </c>
      <c r="C173" s="41" t="s">
        <v>31</v>
      </c>
      <c r="D173" s="41" t="s">
        <v>107</v>
      </c>
      <c r="E173" s="73" t="s">
        <v>108</v>
      </c>
      <c r="F173" s="54">
        <v>48.950233459472599</v>
      </c>
      <c r="G173" s="46">
        <v>-125.155548095703</v>
      </c>
      <c r="H173" s="41" t="s">
        <v>109</v>
      </c>
      <c r="I173" s="41">
        <v>5</v>
      </c>
      <c r="J173" s="41">
        <v>240</v>
      </c>
      <c r="K173" s="60">
        <v>0.43055555555555602</v>
      </c>
      <c r="L173" s="41">
        <v>5.5</v>
      </c>
      <c r="M173" s="41"/>
      <c r="N173" s="41" t="s">
        <v>36</v>
      </c>
      <c r="O173" s="41">
        <v>1</v>
      </c>
      <c r="P173" s="41">
        <v>0</v>
      </c>
      <c r="Q173" s="41" t="s">
        <v>48</v>
      </c>
      <c r="R173" s="37" t="s">
        <v>49</v>
      </c>
      <c r="S173" s="48" t="s">
        <v>50</v>
      </c>
      <c r="T173" s="42">
        <f t="shared" si="18"/>
        <v>1</v>
      </c>
      <c r="U173" s="41">
        <v>0</v>
      </c>
      <c r="V173" s="41"/>
      <c r="W173" s="41"/>
      <c r="X173" s="41"/>
      <c r="Y173" s="41"/>
      <c r="Z173" s="41"/>
      <c r="AA173" s="41"/>
      <c r="AB173" s="41"/>
      <c r="AC173" s="41">
        <v>1</v>
      </c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</row>
    <row r="174" spans="1:49" hidden="1">
      <c r="A174" s="37">
        <f>MAX($A$1:$A173)+1</f>
        <v>172</v>
      </c>
      <c r="B174" s="73" t="s">
        <v>106</v>
      </c>
      <c r="C174" s="41" t="s">
        <v>31</v>
      </c>
      <c r="D174" s="41" t="s">
        <v>107</v>
      </c>
      <c r="E174" s="73" t="s">
        <v>108</v>
      </c>
      <c r="F174" s="54">
        <v>48.950233459472599</v>
      </c>
      <c r="G174" s="46">
        <v>-125.155548095703</v>
      </c>
      <c r="H174" s="41" t="s">
        <v>109</v>
      </c>
      <c r="I174" s="41">
        <v>5</v>
      </c>
      <c r="J174" s="41">
        <v>240</v>
      </c>
      <c r="K174" s="60">
        <v>0.43055555555555602</v>
      </c>
      <c r="L174" s="41">
        <v>5.5</v>
      </c>
      <c r="M174" s="41"/>
      <c r="N174" s="41" t="s">
        <v>36</v>
      </c>
      <c r="O174" s="41">
        <v>2</v>
      </c>
      <c r="P174" s="41">
        <v>8</v>
      </c>
      <c r="Q174" s="61" t="s">
        <v>39</v>
      </c>
      <c r="R174" s="64" t="s">
        <v>40</v>
      </c>
      <c r="S174" s="65" t="s">
        <v>41</v>
      </c>
      <c r="T174" s="42">
        <f t="shared" si="18"/>
        <v>24</v>
      </c>
      <c r="U174" s="41">
        <v>0</v>
      </c>
      <c r="V174" s="41"/>
      <c r="W174" s="41"/>
      <c r="X174" s="41">
        <v>17</v>
      </c>
      <c r="Y174" s="41">
        <v>7</v>
      </c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</row>
    <row r="175" spans="1:49" hidden="1">
      <c r="A175" s="37">
        <f>MAX($A$1:$A174)+1</f>
        <v>173</v>
      </c>
      <c r="B175" s="73" t="s">
        <v>106</v>
      </c>
      <c r="C175" s="41" t="s">
        <v>31</v>
      </c>
      <c r="D175" s="41" t="s">
        <v>107</v>
      </c>
      <c r="E175" s="73" t="s">
        <v>108</v>
      </c>
      <c r="F175" s="54">
        <v>48.950233459472599</v>
      </c>
      <c r="G175" s="46">
        <v>-125.155548095703</v>
      </c>
      <c r="H175" s="41" t="s">
        <v>109</v>
      </c>
      <c r="I175" s="41">
        <v>5</v>
      </c>
      <c r="J175" s="41">
        <v>240</v>
      </c>
      <c r="K175" s="60">
        <v>0.43055555555555602</v>
      </c>
      <c r="L175" s="41">
        <v>5.5</v>
      </c>
      <c r="M175" s="41"/>
      <c r="N175" s="41" t="s">
        <v>36</v>
      </c>
      <c r="O175" s="41">
        <v>2</v>
      </c>
      <c r="P175" s="41">
        <v>8</v>
      </c>
      <c r="Q175" s="61" t="s">
        <v>45</v>
      </c>
      <c r="R175" s="64" t="s">
        <v>46</v>
      </c>
      <c r="S175" s="65" t="s">
        <v>47</v>
      </c>
      <c r="T175" s="42">
        <f t="shared" si="18"/>
        <v>1</v>
      </c>
      <c r="U175" s="41">
        <v>0</v>
      </c>
      <c r="V175" s="41"/>
      <c r="W175" s="41"/>
      <c r="X175" s="41"/>
      <c r="Y175" s="41">
        <v>1</v>
      </c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</row>
    <row r="176" spans="1:49" hidden="1">
      <c r="A176" s="37">
        <f>MAX($A$1:$A175)+1</f>
        <v>174</v>
      </c>
      <c r="B176" s="73" t="s">
        <v>106</v>
      </c>
      <c r="C176" s="41" t="s">
        <v>31</v>
      </c>
      <c r="D176" s="41" t="s">
        <v>107</v>
      </c>
      <c r="E176" s="73" t="s">
        <v>108</v>
      </c>
      <c r="F176" s="54">
        <v>48.950233459472599</v>
      </c>
      <c r="G176" s="46">
        <v>-125.155548095703</v>
      </c>
      <c r="H176" s="41" t="s">
        <v>109</v>
      </c>
      <c r="I176" s="41">
        <v>5</v>
      </c>
      <c r="J176" s="41">
        <v>240</v>
      </c>
      <c r="K176" s="60">
        <v>0.43055555555555602</v>
      </c>
      <c r="L176" s="41">
        <v>5.5</v>
      </c>
      <c r="M176" s="41"/>
      <c r="N176" s="41" t="s">
        <v>36</v>
      </c>
      <c r="O176" s="41">
        <v>2</v>
      </c>
      <c r="P176" s="41">
        <v>8</v>
      </c>
      <c r="Q176" s="41" t="s">
        <v>62</v>
      </c>
      <c r="R176" s="37" t="s">
        <v>63</v>
      </c>
      <c r="S176" s="48" t="s">
        <v>64</v>
      </c>
      <c r="T176" s="42">
        <f t="shared" si="18"/>
        <v>1</v>
      </c>
      <c r="U176" s="41">
        <v>0</v>
      </c>
      <c r="V176" s="41"/>
      <c r="W176" s="41"/>
      <c r="X176" s="41"/>
      <c r="Y176" s="41"/>
      <c r="Z176" s="41"/>
      <c r="AA176" s="41">
        <v>1</v>
      </c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</row>
    <row r="177" spans="1:49" hidden="1">
      <c r="A177" s="37">
        <f>MAX($A$1:$A176)+1</f>
        <v>175</v>
      </c>
      <c r="B177" s="73" t="s">
        <v>106</v>
      </c>
      <c r="C177" s="41" t="s">
        <v>31</v>
      </c>
      <c r="D177" s="41" t="s">
        <v>107</v>
      </c>
      <c r="E177" s="73" t="s">
        <v>108</v>
      </c>
      <c r="F177" s="54">
        <v>48.950233459472599</v>
      </c>
      <c r="G177" s="46">
        <v>-125.155548095703</v>
      </c>
      <c r="H177" s="41" t="s">
        <v>109</v>
      </c>
      <c r="I177" s="41">
        <v>5</v>
      </c>
      <c r="J177" s="41">
        <v>240</v>
      </c>
      <c r="K177" s="60">
        <v>0.43055555555555602</v>
      </c>
      <c r="L177" s="41">
        <v>5.5</v>
      </c>
      <c r="M177" s="41"/>
      <c r="N177" s="41" t="s">
        <v>36</v>
      </c>
      <c r="O177" s="41">
        <v>1</v>
      </c>
      <c r="P177" s="41">
        <v>16</v>
      </c>
      <c r="Q177" s="61" t="s">
        <v>39</v>
      </c>
      <c r="R177" s="64" t="s">
        <v>40</v>
      </c>
      <c r="S177" s="65" t="s">
        <v>41</v>
      </c>
      <c r="T177" s="42">
        <f t="shared" si="18"/>
        <v>21</v>
      </c>
      <c r="U177" s="41">
        <v>0</v>
      </c>
      <c r="V177" s="41"/>
      <c r="W177" s="41">
        <v>2</v>
      </c>
      <c r="X177" s="41">
        <v>14</v>
      </c>
      <c r="Y177" s="41">
        <v>4</v>
      </c>
      <c r="Z177" s="41">
        <v>1</v>
      </c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</row>
    <row r="178" spans="1:49" hidden="1">
      <c r="A178" s="37">
        <f>MAX($A$1:$A177)+1</f>
        <v>176</v>
      </c>
      <c r="B178" s="73" t="s">
        <v>106</v>
      </c>
      <c r="C178" s="41" t="s">
        <v>31</v>
      </c>
      <c r="D178" s="41" t="s">
        <v>107</v>
      </c>
      <c r="E178" s="73" t="s">
        <v>108</v>
      </c>
      <c r="F178" s="54">
        <v>48.950233459472599</v>
      </c>
      <c r="G178" s="46">
        <v>-125.155548095703</v>
      </c>
      <c r="H178" s="41" t="s">
        <v>109</v>
      </c>
      <c r="I178" s="41">
        <v>5</v>
      </c>
      <c r="J178" s="41">
        <v>240</v>
      </c>
      <c r="K178" s="60">
        <v>0.43055555555555602</v>
      </c>
      <c r="L178" s="41">
        <v>5.5</v>
      </c>
      <c r="M178" s="41"/>
      <c r="N178" s="41" t="s">
        <v>36</v>
      </c>
      <c r="O178" s="41">
        <v>1</v>
      </c>
      <c r="P178" s="41">
        <v>16</v>
      </c>
      <c r="Q178" s="61" t="s">
        <v>45</v>
      </c>
      <c r="R178" s="64" t="s">
        <v>46</v>
      </c>
      <c r="S178" s="65" t="s">
        <v>47</v>
      </c>
      <c r="T178" s="42">
        <f t="shared" si="18"/>
        <v>3</v>
      </c>
      <c r="U178" s="41">
        <v>0</v>
      </c>
      <c r="V178" s="41"/>
      <c r="W178" s="41"/>
      <c r="X178" s="41">
        <v>1</v>
      </c>
      <c r="Y178" s="41">
        <v>2</v>
      </c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</row>
    <row r="179" spans="1:49" hidden="1">
      <c r="A179" s="37">
        <f>MAX($A$1:$A178)+1</f>
        <v>177</v>
      </c>
      <c r="B179" s="73" t="s">
        <v>106</v>
      </c>
      <c r="C179" s="41" t="s">
        <v>31</v>
      </c>
      <c r="D179" s="41" t="s">
        <v>107</v>
      </c>
      <c r="E179" s="73" t="s">
        <v>108</v>
      </c>
      <c r="F179" s="54">
        <v>48.950233459472599</v>
      </c>
      <c r="G179" s="46">
        <v>-125.155548095703</v>
      </c>
      <c r="H179" s="41" t="s">
        <v>109</v>
      </c>
      <c r="I179" s="41">
        <v>5</v>
      </c>
      <c r="J179" s="41">
        <v>240</v>
      </c>
      <c r="K179" s="60">
        <v>0.43055555555555602</v>
      </c>
      <c r="L179" s="41">
        <v>5.5</v>
      </c>
      <c r="M179" s="41"/>
      <c r="N179" s="41" t="s">
        <v>36</v>
      </c>
      <c r="O179" s="41">
        <v>2</v>
      </c>
      <c r="P179" s="41">
        <v>24</v>
      </c>
      <c r="Q179" s="61" t="s">
        <v>39</v>
      </c>
      <c r="R179" s="64" t="s">
        <v>40</v>
      </c>
      <c r="S179" s="65" t="s">
        <v>41</v>
      </c>
      <c r="T179" s="42">
        <f t="shared" si="18"/>
        <v>6</v>
      </c>
      <c r="U179" s="41">
        <v>0</v>
      </c>
      <c r="V179" s="41"/>
      <c r="W179" s="41"/>
      <c r="X179" s="41">
        <v>3</v>
      </c>
      <c r="Y179" s="41">
        <v>3</v>
      </c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</row>
    <row r="180" spans="1:49" hidden="1">
      <c r="A180" s="37">
        <f>MAX($A$1:$A179)+1</f>
        <v>178</v>
      </c>
      <c r="B180" s="73" t="s">
        <v>106</v>
      </c>
      <c r="C180" s="41" t="s">
        <v>31</v>
      </c>
      <c r="D180" s="41" t="s">
        <v>107</v>
      </c>
      <c r="E180" s="73" t="s">
        <v>108</v>
      </c>
      <c r="F180" s="54">
        <v>48.950233459472599</v>
      </c>
      <c r="G180" s="46">
        <v>-125.155548095703</v>
      </c>
      <c r="H180" s="41" t="s">
        <v>109</v>
      </c>
      <c r="I180" s="41">
        <v>5</v>
      </c>
      <c r="J180" s="41">
        <v>240</v>
      </c>
      <c r="K180" s="60">
        <v>0.43055555555555602</v>
      </c>
      <c r="L180" s="41">
        <v>5.5</v>
      </c>
      <c r="M180" s="41"/>
      <c r="N180" s="41" t="s">
        <v>36</v>
      </c>
      <c r="O180" s="41">
        <v>1</v>
      </c>
      <c r="P180" s="41">
        <v>32</v>
      </c>
      <c r="Q180" s="61" t="s">
        <v>39</v>
      </c>
      <c r="R180" s="64" t="s">
        <v>40</v>
      </c>
      <c r="S180" s="65" t="s">
        <v>41</v>
      </c>
      <c r="T180" s="42">
        <f t="shared" si="18"/>
        <v>14</v>
      </c>
      <c r="U180" s="41">
        <v>0</v>
      </c>
      <c r="V180" s="41"/>
      <c r="W180" s="41"/>
      <c r="X180" s="41">
        <v>12</v>
      </c>
      <c r="Y180" s="41">
        <v>2</v>
      </c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</row>
    <row r="181" spans="1:49" hidden="1">
      <c r="A181" s="37">
        <f>MAX($A$1:$A180)+1</f>
        <v>179</v>
      </c>
      <c r="B181" s="73" t="s">
        <v>106</v>
      </c>
      <c r="C181" s="41" t="s">
        <v>31</v>
      </c>
      <c r="D181" s="41" t="s">
        <v>107</v>
      </c>
      <c r="E181" s="73" t="s">
        <v>108</v>
      </c>
      <c r="F181" s="54">
        <v>48.950233459472599</v>
      </c>
      <c r="G181" s="46">
        <v>-125.155548095703</v>
      </c>
      <c r="H181" s="41" t="s">
        <v>109</v>
      </c>
      <c r="I181" s="41">
        <v>5</v>
      </c>
      <c r="J181" s="41">
        <v>240</v>
      </c>
      <c r="K181" s="60">
        <v>0.43055555555555602</v>
      </c>
      <c r="L181" s="41">
        <v>5.5</v>
      </c>
      <c r="M181" s="41"/>
      <c r="N181" s="41" t="s">
        <v>36</v>
      </c>
      <c r="O181" s="41">
        <v>2</v>
      </c>
      <c r="P181" s="41">
        <v>40</v>
      </c>
      <c r="Q181" s="61" t="s">
        <v>39</v>
      </c>
      <c r="R181" s="64" t="s">
        <v>40</v>
      </c>
      <c r="S181" s="65" t="s">
        <v>41</v>
      </c>
      <c r="T181" s="42">
        <f t="shared" si="18"/>
        <v>9</v>
      </c>
      <c r="U181" s="41">
        <v>0</v>
      </c>
      <c r="V181" s="41"/>
      <c r="W181" s="41"/>
      <c r="X181" s="41">
        <v>6</v>
      </c>
      <c r="Y181" s="41">
        <v>3</v>
      </c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</row>
    <row r="182" spans="1:49" hidden="1">
      <c r="A182" s="37">
        <f>MAX($A$1:$A181)+1</f>
        <v>180</v>
      </c>
      <c r="B182" s="73" t="s">
        <v>106</v>
      </c>
      <c r="C182" s="41" t="s">
        <v>31</v>
      </c>
      <c r="D182" s="41" t="s">
        <v>107</v>
      </c>
      <c r="E182" s="73" t="s">
        <v>108</v>
      </c>
      <c r="F182" s="54">
        <v>48.950233459472599</v>
      </c>
      <c r="G182" s="46">
        <v>-125.155548095703</v>
      </c>
      <c r="H182" s="41" t="s">
        <v>109</v>
      </c>
      <c r="I182" s="41">
        <v>5</v>
      </c>
      <c r="J182" s="41">
        <v>240</v>
      </c>
      <c r="K182" s="60">
        <v>0.43055555555555602</v>
      </c>
      <c r="L182" s="41">
        <v>5.5</v>
      </c>
      <c r="M182" s="41"/>
      <c r="N182" s="41" t="s">
        <v>36</v>
      </c>
      <c r="O182" s="41">
        <v>2</v>
      </c>
      <c r="P182" s="41">
        <v>40</v>
      </c>
      <c r="Q182" s="41" t="s">
        <v>53</v>
      </c>
      <c r="R182" s="37" t="s">
        <v>54</v>
      </c>
      <c r="S182" s="48" t="s">
        <v>55</v>
      </c>
      <c r="T182" s="42">
        <f t="shared" si="18"/>
        <v>1</v>
      </c>
      <c r="U182" s="41">
        <v>0</v>
      </c>
      <c r="V182" s="41"/>
      <c r="W182" s="41"/>
      <c r="X182" s="41"/>
      <c r="Y182" s="41"/>
      <c r="Z182" s="41"/>
      <c r="AA182" s="41">
        <v>1</v>
      </c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</row>
    <row r="183" spans="1:49" hidden="1">
      <c r="A183" s="37">
        <f>MAX($A$1:$A182)+1</f>
        <v>181</v>
      </c>
      <c r="B183" s="73" t="s">
        <v>106</v>
      </c>
      <c r="C183" s="41" t="s">
        <v>31</v>
      </c>
      <c r="D183" s="41" t="s">
        <v>107</v>
      </c>
      <c r="E183" s="73" t="s">
        <v>108</v>
      </c>
      <c r="F183" s="54">
        <v>48.950233459472599</v>
      </c>
      <c r="G183" s="46">
        <v>-125.155548095703</v>
      </c>
      <c r="H183" s="41" t="s">
        <v>109</v>
      </c>
      <c r="I183" s="41">
        <v>5</v>
      </c>
      <c r="J183" s="41">
        <v>240</v>
      </c>
      <c r="K183" s="60">
        <v>0.43055555555555602</v>
      </c>
      <c r="L183" s="41">
        <v>5.5</v>
      </c>
      <c r="M183" s="41"/>
      <c r="N183" s="41" t="s">
        <v>36</v>
      </c>
      <c r="O183" s="41">
        <v>1</v>
      </c>
      <c r="P183" s="41">
        <v>48</v>
      </c>
      <c r="Q183" s="61" t="s">
        <v>39</v>
      </c>
      <c r="R183" s="64" t="s">
        <v>40</v>
      </c>
      <c r="S183" s="65" t="s">
        <v>41</v>
      </c>
      <c r="T183" s="42">
        <f t="shared" si="18"/>
        <v>20</v>
      </c>
      <c r="U183" s="41">
        <v>0</v>
      </c>
      <c r="V183" s="41"/>
      <c r="W183" s="41">
        <v>3</v>
      </c>
      <c r="X183" s="41">
        <v>13</v>
      </c>
      <c r="Y183" s="41">
        <v>4</v>
      </c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</row>
    <row r="184" spans="1:49">
      <c r="A184" s="37">
        <f>MAX($A$1:$A183)+1</f>
        <v>182</v>
      </c>
      <c r="B184" s="73" t="s">
        <v>106</v>
      </c>
      <c r="C184" s="73" t="s">
        <v>32</v>
      </c>
      <c r="D184" s="73" t="s">
        <v>110</v>
      </c>
      <c r="E184" s="73" t="s">
        <v>111</v>
      </c>
      <c r="F184" s="54">
        <v>48.955081939697202</v>
      </c>
      <c r="G184" s="46">
        <v>-125.15337371826099</v>
      </c>
      <c r="H184" s="41" t="s">
        <v>109</v>
      </c>
      <c r="I184" s="41">
        <v>5</v>
      </c>
      <c r="J184" s="41">
        <v>300</v>
      </c>
      <c r="K184" s="60">
        <v>0.54166666666666663</v>
      </c>
      <c r="L184" s="41">
        <v>9</v>
      </c>
      <c r="M184" s="41"/>
      <c r="N184" s="41" t="s">
        <v>36</v>
      </c>
      <c r="O184" s="41">
        <v>1</v>
      </c>
      <c r="P184" s="41">
        <v>0</v>
      </c>
      <c r="Q184" s="61" t="s">
        <v>39</v>
      </c>
      <c r="R184" s="64" t="s">
        <v>40</v>
      </c>
      <c r="S184" s="65" t="s">
        <v>41</v>
      </c>
      <c r="T184" s="42">
        <f t="shared" si="16"/>
        <v>10</v>
      </c>
      <c r="U184" s="41">
        <v>0</v>
      </c>
      <c r="V184" s="41"/>
      <c r="W184" s="41">
        <v>2</v>
      </c>
      <c r="X184" s="41">
        <v>8</v>
      </c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</row>
    <row r="185" spans="1:49">
      <c r="A185" s="37">
        <f>MAX($A$1:$A184)+1</f>
        <v>183</v>
      </c>
      <c r="B185" s="73" t="s">
        <v>106</v>
      </c>
      <c r="C185" s="73" t="s">
        <v>32</v>
      </c>
      <c r="D185" s="73" t="s">
        <v>110</v>
      </c>
      <c r="E185" s="73" t="s">
        <v>111</v>
      </c>
      <c r="F185" s="54">
        <v>48.955081939697202</v>
      </c>
      <c r="G185" s="46">
        <v>-125.15337371826099</v>
      </c>
      <c r="H185" s="41" t="s">
        <v>109</v>
      </c>
      <c r="I185" s="41">
        <v>5</v>
      </c>
      <c r="J185" s="41">
        <v>300</v>
      </c>
      <c r="K185" s="60">
        <v>0.54166666666666663</v>
      </c>
      <c r="L185" s="41">
        <v>9</v>
      </c>
      <c r="M185" s="41"/>
      <c r="N185" s="41" t="s">
        <v>36</v>
      </c>
      <c r="O185" s="41">
        <v>2</v>
      </c>
      <c r="P185" s="41">
        <v>8</v>
      </c>
      <c r="Q185" s="61" t="s">
        <v>39</v>
      </c>
      <c r="R185" s="64" t="s">
        <v>40</v>
      </c>
      <c r="S185" s="65" t="s">
        <v>41</v>
      </c>
      <c r="T185" s="42">
        <f t="shared" ref="T185:T195" si="19">SUM(U185:AW185)</f>
        <v>7</v>
      </c>
      <c r="U185" s="41">
        <v>0</v>
      </c>
      <c r="V185" s="41"/>
      <c r="W185" s="41"/>
      <c r="X185" s="41">
        <v>6</v>
      </c>
      <c r="Y185" s="41">
        <v>1</v>
      </c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</row>
    <row r="186" spans="1:49">
      <c r="A186" s="37">
        <f>MAX($A$1:$A185)+1</f>
        <v>184</v>
      </c>
      <c r="B186" s="73" t="s">
        <v>106</v>
      </c>
      <c r="C186" s="73" t="s">
        <v>32</v>
      </c>
      <c r="D186" s="73" t="s">
        <v>110</v>
      </c>
      <c r="E186" s="73" t="s">
        <v>111</v>
      </c>
      <c r="F186" s="54">
        <v>48.955081939697202</v>
      </c>
      <c r="G186" s="46">
        <v>-125.15337371826099</v>
      </c>
      <c r="H186" s="41" t="s">
        <v>109</v>
      </c>
      <c r="I186" s="41">
        <v>5</v>
      </c>
      <c r="J186" s="41">
        <v>300</v>
      </c>
      <c r="K186" s="60">
        <v>0.54166666666666696</v>
      </c>
      <c r="L186" s="41">
        <v>9</v>
      </c>
      <c r="M186" s="41"/>
      <c r="N186" s="41" t="s">
        <v>36</v>
      </c>
      <c r="O186" s="41">
        <v>2</v>
      </c>
      <c r="P186" s="41">
        <v>8</v>
      </c>
      <c r="Q186" s="41" t="s">
        <v>48</v>
      </c>
      <c r="R186" s="37" t="s">
        <v>49</v>
      </c>
      <c r="S186" s="48" t="s">
        <v>50</v>
      </c>
      <c r="T186" s="42">
        <f t="shared" si="19"/>
        <v>1</v>
      </c>
      <c r="U186" s="41">
        <v>0</v>
      </c>
      <c r="V186" s="41"/>
      <c r="W186" s="41"/>
      <c r="X186" s="41"/>
      <c r="Y186" s="41"/>
      <c r="Z186" s="41"/>
      <c r="AA186" s="41"/>
      <c r="AB186" s="41">
        <v>1</v>
      </c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</row>
    <row r="187" spans="1:49">
      <c r="A187" s="37">
        <f>MAX($A$1:$A186)+1</f>
        <v>185</v>
      </c>
      <c r="B187" s="73" t="s">
        <v>106</v>
      </c>
      <c r="C187" s="73" t="s">
        <v>32</v>
      </c>
      <c r="D187" s="73" t="s">
        <v>110</v>
      </c>
      <c r="E187" s="73" t="s">
        <v>111</v>
      </c>
      <c r="F187" s="54">
        <v>48.955081939697202</v>
      </c>
      <c r="G187" s="46">
        <v>-125.15337371826099</v>
      </c>
      <c r="H187" s="41" t="s">
        <v>109</v>
      </c>
      <c r="I187" s="41">
        <v>5</v>
      </c>
      <c r="J187" s="41">
        <v>300</v>
      </c>
      <c r="K187" s="60">
        <v>0.54166666666666696</v>
      </c>
      <c r="L187" s="41">
        <v>9</v>
      </c>
      <c r="M187" s="41"/>
      <c r="N187" s="41" t="s">
        <v>36</v>
      </c>
      <c r="O187" s="41">
        <v>1</v>
      </c>
      <c r="P187" s="41">
        <v>16</v>
      </c>
      <c r="Q187" s="61" t="s">
        <v>39</v>
      </c>
      <c r="R187" s="64" t="s">
        <v>40</v>
      </c>
      <c r="S187" s="65" t="s">
        <v>41</v>
      </c>
      <c r="T187" s="42">
        <f t="shared" si="19"/>
        <v>14</v>
      </c>
      <c r="U187" s="41">
        <v>0</v>
      </c>
      <c r="V187" s="41"/>
      <c r="W187" s="41">
        <v>2</v>
      </c>
      <c r="X187" s="41">
        <v>12</v>
      </c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</row>
    <row r="188" spans="1:49">
      <c r="A188" s="37">
        <f>MAX($A$1:$A187)+1</f>
        <v>186</v>
      </c>
      <c r="B188" s="73" t="s">
        <v>106</v>
      </c>
      <c r="C188" s="73" t="s">
        <v>32</v>
      </c>
      <c r="D188" s="73" t="s">
        <v>110</v>
      </c>
      <c r="E188" s="73" t="s">
        <v>111</v>
      </c>
      <c r="F188" s="54">
        <v>48.955081939697202</v>
      </c>
      <c r="G188" s="46">
        <v>-125.15337371826099</v>
      </c>
      <c r="H188" s="41" t="s">
        <v>109</v>
      </c>
      <c r="I188" s="41">
        <v>5</v>
      </c>
      <c r="J188" s="41">
        <v>300</v>
      </c>
      <c r="K188" s="60">
        <v>0.54166666666666696</v>
      </c>
      <c r="L188" s="41">
        <v>9</v>
      </c>
      <c r="M188" s="41"/>
      <c r="N188" s="41" t="s">
        <v>36</v>
      </c>
      <c r="O188" s="41">
        <v>1</v>
      </c>
      <c r="P188" s="41">
        <v>16</v>
      </c>
      <c r="Q188" s="61" t="s">
        <v>45</v>
      </c>
      <c r="R188" s="64" t="s">
        <v>46</v>
      </c>
      <c r="S188" s="65" t="s">
        <v>47</v>
      </c>
      <c r="T188" s="42">
        <f t="shared" si="19"/>
        <v>1</v>
      </c>
      <c r="U188" s="41">
        <v>0</v>
      </c>
      <c r="V188" s="41"/>
      <c r="W188" s="41"/>
      <c r="X188" s="41"/>
      <c r="Y188" s="41"/>
      <c r="Z188" s="41">
        <v>1</v>
      </c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</row>
    <row r="189" spans="1:49">
      <c r="A189" s="37">
        <f>MAX($A$1:$A188)+1</f>
        <v>187</v>
      </c>
      <c r="B189" s="73" t="s">
        <v>106</v>
      </c>
      <c r="C189" s="73" t="s">
        <v>32</v>
      </c>
      <c r="D189" s="73" t="s">
        <v>110</v>
      </c>
      <c r="E189" s="73" t="s">
        <v>111</v>
      </c>
      <c r="F189" s="54">
        <v>48.955081939697202</v>
      </c>
      <c r="G189" s="46">
        <v>-125.15337371826099</v>
      </c>
      <c r="H189" s="41" t="s">
        <v>109</v>
      </c>
      <c r="I189" s="41">
        <v>5</v>
      </c>
      <c r="J189" s="41">
        <v>300</v>
      </c>
      <c r="K189" s="60">
        <v>0.54166666666666696</v>
      </c>
      <c r="L189" s="41">
        <v>9</v>
      </c>
      <c r="M189" s="41"/>
      <c r="N189" s="41" t="s">
        <v>36</v>
      </c>
      <c r="O189" s="41">
        <v>2</v>
      </c>
      <c r="P189" s="41">
        <v>24</v>
      </c>
      <c r="Q189" s="61" t="s">
        <v>39</v>
      </c>
      <c r="R189" s="64" t="s">
        <v>40</v>
      </c>
      <c r="S189" s="65" t="s">
        <v>41</v>
      </c>
      <c r="T189" s="42">
        <f t="shared" si="19"/>
        <v>14</v>
      </c>
      <c r="U189" s="41">
        <v>0</v>
      </c>
      <c r="V189" s="41"/>
      <c r="W189" s="41">
        <v>3</v>
      </c>
      <c r="X189" s="41">
        <v>10</v>
      </c>
      <c r="Y189" s="41">
        <v>1</v>
      </c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</row>
    <row r="190" spans="1:49">
      <c r="A190" s="37">
        <f>MAX($A$1:$A189)+1</f>
        <v>188</v>
      </c>
      <c r="B190" s="73" t="s">
        <v>106</v>
      </c>
      <c r="C190" s="73" t="s">
        <v>32</v>
      </c>
      <c r="D190" s="73" t="s">
        <v>110</v>
      </c>
      <c r="E190" s="73" t="s">
        <v>111</v>
      </c>
      <c r="F190" s="54">
        <v>48.955081939697202</v>
      </c>
      <c r="G190" s="46">
        <v>-125.15337371826099</v>
      </c>
      <c r="H190" s="41" t="s">
        <v>109</v>
      </c>
      <c r="I190" s="41">
        <v>5</v>
      </c>
      <c r="J190" s="41">
        <v>300</v>
      </c>
      <c r="K190" s="60">
        <v>0.54166666666666696</v>
      </c>
      <c r="L190" s="41">
        <v>9</v>
      </c>
      <c r="M190" s="41"/>
      <c r="N190" s="41" t="s">
        <v>36</v>
      </c>
      <c r="O190" s="41">
        <v>2</v>
      </c>
      <c r="P190" s="41">
        <v>24</v>
      </c>
      <c r="Q190" s="61" t="s">
        <v>45</v>
      </c>
      <c r="R190" s="64" t="s">
        <v>46</v>
      </c>
      <c r="S190" s="65" t="s">
        <v>47</v>
      </c>
      <c r="T190" s="42">
        <f t="shared" si="19"/>
        <v>1</v>
      </c>
      <c r="U190" s="41">
        <v>0</v>
      </c>
      <c r="V190" s="41"/>
      <c r="W190" s="41"/>
      <c r="X190" s="41"/>
      <c r="Y190" s="41">
        <v>1</v>
      </c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</row>
    <row r="191" spans="1:49">
      <c r="A191" s="37">
        <f>MAX($A$1:$A190)+1</f>
        <v>189</v>
      </c>
      <c r="B191" s="73" t="s">
        <v>106</v>
      </c>
      <c r="C191" s="73" t="s">
        <v>32</v>
      </c>
      <c r="D191" s="73" t="s">
        <v>110</v>
      </c>
      <c r="E191" s="73" t="s">
        <v>111</v>
      </c>
      <c r="F191" s="54">
        <v>48.955081939697202</v>
      </c>
      <c r="G191" s="46">
        <v>-125.15337371826099</v>
      </c>
      <c r="H191" s="41" t="s">
        <v>109</v>
      </c>
      <c r="I191" s="41">
        <v>5</v>
      </c>
      <c r="J191" s="41">
        <v>300</v>
      </c>
      <c r="K191" s="60">
        <v>0.54166666666666696</v>
      </c>
      <c r="L191" s="41">
        <v>9</v>
      </c>
      <c r="M191" s="41"/>
      <c r="N191" s="41" t="s">
        <v>36</v>
      </c>
      <c r="O191" s="41">
        <v>1</v>
      </c>
      <c r="P191" s="41">
        <v>32</v>
      </c>
      <c r="Q191" s="61" t="s">
        <v>39</v>
      </c>
      <c r="R191" s="64" t="s">
        <v>40</v>
      </c>
      <c r="S191" s="65" t="s">
        <v>41</v>
      </c>
      <c r="T191" s="42">
        <f t="shared" si="19"/>
        <v>6</v>
      </c>
      <c r="U191" s="41">
        <v>0</v>
      </c>
      <c r="V191" s="41"/>
      <c r="W191" s="41">
        <v>2</v>
      </c>
      <c r="X191" s="41">
        <v>4</v>
      </c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</row>
    <row r="192" spans="1:49">
      <c r="A192" s="37">
        <f>MAX($A$1:$A191)+1</f>
        <v>190</v>
      </c>
      <c r="B192" s="73" t="s">
        <v>106</v>
      </c>
      <c r="C192" s="73" t="s">
        <v>32</v>
      </c>
      <c r="D192" s="73" t="s">
        <v>110</v>
      </c>
      <c r="E192" s="73" t="s">
        <v>111</v>
      </c>
      <c r="F192" s="54">
        <v>48.955081939697202</v>
      </c>
      <c r="G192" s="46">
        <v>-125.15337371826099</v>
      </c>
      <c r="H192" s="41" t="s">
        <v>109</v>
      </c>
      <c r="I192" s="41">
        <v>5</v>
      </c>
      <c r="J192" s="41">
        <v>300</v>
      </c>
      <c r="K192" s="60">
        <v>0.54166666666666696</v>
      </c>
      <c r="L192" s="41">
        <v>9</v>
      </c>
      <c r="M192" s="41"/>
      <c r="N192" s="41" t="s">
        <v>36</v>
      </c>
      <c r="O192" s="41">
        <v>2</v>
      </c>
      <c r="P192" s="41">
        <v>40</v>
      </c>
      <c r="Q192" s="61" t="s">
        <v>39</v>
      </c>
      <c r="R192" s="64" t="s">
        <v>40</v>
      </c>
      <c r="S192" s="65" t="s">
        <v>41</v>
      </c>
      <c r="T192" s="42">
        <f t="shared" si="19"/>
        <v>12</v>
      </c>
      <c r="U192" s="41">
        <v>0</v>
      </c>
      <c r="V192" s="41"/>
      <c r="W192" s="41">
        <v>5</v>
      </c>
      <c r="X192" s="41">
        <v>7</v>
      </c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</row>
    <row r="193" spans="1:49">
      <c r="A193" s="37">
        <f>MAX($A$1:$A192)+1</f>
        <v>191</v>
      </c>
      <c r="B193" s="73" t="s">
        <v>106</v>
      </c>
      <c r="C193" s="73" t="s">
        <v>32</v>
      </c>
      <c r="D193" s="73" t="s">
        <v>110</v>
      </c>
      <c r="E193" s="73" t="s">
        <v>111</v>
      </c>
      <c r="F193" s="54">
        <v>48.955081939697202</v>
      </c>
      <c r="G193" s="46">
        <v>-125.15337371826099</v>
      </c>
      <c r="H193" s="41" t="s">
        <v>109</v>
      </c>
      <c r="I193" s="41">
        <v>5</v>
      </c>
      <c r="J193" s="41">
        <v>300</v>
      </c>
      <c r="K193" s="60">
        <v>0.54166666666666696</v>
      </c>
      <c r="L193" s="41">
        <v>9</v>
      </c>
      <c r="M193" s="41"/>
      <c r="N193" s="41" t="s">
        <v>36</v>
      </c>
      <c r="O193" s="41">
        <v>2</v>
      </c>
      <c r="P193" s="41">
        <v>40</v>
      </c>
      <c r="Q193" s="41" t="s">
        <v>48</v>
      </c>
      <c r="R193" s="37" t="s">
        <v>49</v>
      </c>
      <c r="S193" s="48" t="s">
        <v>50</v>
      </c>
      <c r="T193" s="42">
        <f t="shared" si="19"/>
        <v>1</v>
      </c>
      <c r="U193" s="41">
        <v>0</v>
      </c>
      <c r="V193" s="41"/>
      <c r="W193" s="41"/>
      <c r="X193" s="41"/>
      <c r="Y193" s="41"/>
      <c r="Z193" s="41">
        <v>1</v>
      </c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</row>
    <row r="194" spans="1:49">
      <c r="A194" s="37">
        <f>MAX($A$1:$A193)+1</f>
        <v>192</v>
      </c>
      <c r="B194" s="73" t="s">
        <v>106</v>
      </c>
      <c r="C194" s="73" t="s">
        <v>32</v>
      </c>
      <c r="D194" s="73" t="s">
        <v>110</v>
      </c>
      <c r="E194" s="73" t="s">
        <v>111</v>
      </c>
      <c r="F194" s="54">
        <v>48.955081939697202</v>
      </c>
      <c r="G194" s="46">
        <v>-125.15337371826099</v>
      </c>
      <c r="H194" s="41" t="s">
        <v>109</v>
      </c>
      <c r="I194" s="41">
        <v>5</v>
      </c>
      <c r="J194" s="41">
        <v>300</v>
      </c>
      <c r="K194" s="60">
        <v>0.54166666666666696</v>
      </c>
      <c r="L194" s="41">
        <v>9</v>
      </c>
      <c r="M194" s="41"/>
      <c r="N194" s="41" t="s">
        <v>36</v>
      </c>
      <c r="O194" s="41">
        <v>1</v>
      </c>
      <c r="P194" s="41">
        <v>48</v>
      </c>
      <c r="Q194" s="61" t="s">
        <v>39</v>
      </c>
      <c r="R194" s="64" t="s">
        <v>40</v>
      </c>
      <c r="S194" s="65" t="s">
        <v>41</v>
      </c>
      <c r="T194" s="42">
        <f t="shared" si="19"/>
        <v>9</v>
      </c>
      <c r="U194" s="41">
        <v>0</v>
      </c>
      <c r="V194" s="41"/>
      <c r="W194" s="41">
        <v>2</v>
      </c>
      <c r="X194" s="41">
        <v>5</v>
      </c>
      <c r="Y194" s="41">
        <v>2</v>
      </c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</row>
    <row r="195" spans="1:49">
      <c r="A195" s="37">
        <f>MAX($A$1:$A194)+1</f>
        <v>193</v>
      </c>
      <c r="B195" s="73" t="s">
        <v>106</v>
      </c>
      <c r="C195" s="73" t="s">
        <v>32</v>
      </c>
      <c r="D195" s="73" t="s">
        <v>110</v>
      </c>
      <c r="E195" s="73" t="s">
        <v>111</v>
      </c>
      <c r="F195" s="54">
        <v>48.955081939697202</v>
      </c>
      <c r="G195" s="46">
        <v>-125.15337371826099</v>
      </c>
      <c r="H195" s="41" t="s">
        <v>109</v>
      </c>
      <c r="I195" s="41">
        <v>5</v>
      </c>
      <c r="J195" s="41">
        <v>300</v>
      </c>
      <c r="K195" s="60">
        <v>0.54166666666666696</v>
      </c>
      <c r="L195" s="41">
        <v>9</v>
      </c>
      <c r="M195" s="41"/>
      <c r="N195" s="41" t="s">
        <v>36</v>
      </c>
      <c r="O195" s="41">
        <v>1</v>
      </c>
      <c r="P195" s="41">
        <v>48</v>
      </c>
      <c r="Q195" s="61" t="s">
        <v>45</v>
      </c>
      <c r="R195" s="64" t="s">
        <v>46</v>
      </c>
      <c r="S195" s="65" t="s">
        <v>47</v>
      </c>
      <c r="T195" s="42">
        <f t="shared" si="19"/>
        <v>1</v>
      </c>
      <c r="U195" s="41">
        <v>0</v>
      </c>
      <c r="V195" s="41"/>
      <c r="W195" s="41"/>
      <c r="X195" s="41"/>
      <c r="Y195" s="41">
        <v>1</v>
      </c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</row>
    <row r="196" spans="1:49">
      <c r="A196" s="37">
        <f>MAX($A$1:$A195)+1</f>
        <v>194</v>
      </c>
      <c r="B196" s="73" t="s">
        <v>106</v>
      </c>
      <c r="C196" s="73" t="s">
        <v>31</v>
      </c>
      <c r="D196" s="73" t="s">
        <v>110</v>
      </c>
      <c r="E196" s="73" t="s">
        <v>111</v>
      </c>
      <c r="F196" s="54">
        <v>48.955081939697202</v>
      </c>
      <c r="G196" s="46">
        <v>-125.15337371826099</v>
      </c>
      <c r="H196" s="41" t="s">
        <v>109</v>
      </c>
      <c r="I196" s="41">
        <v>5</v>
      </c>
      <c r="J196" s="41">
        <v>300</v>
      </c>
      <c r="K196" s="60">
        <v>0.54166666666666696</v>
      </c>
      <c r="L196" s="41">
        <v>7.5</v>
      </c>
      <c r="M196" s="41"/>
      <c r="N196" s="41" t="s">
        <v>36</v>
      </c>
      <c r="O196" s="41">
        <v>1</v>
      </c>
      <c r="P196" s="41">
        <v>0</v>
      </c>
      <c r="Q196" s="61" t="s">
        <v>39</v>
      </c>
      <c r="R196" s="64" t="s">
        <v>40</v>
      </c>
      <c r="S196" s="65" t="s">
        <v>41</v>
      </c>
      <c r="T196" s="42">
        <f t="shared" ref="T196:T209" si="20">SUM(U196:AW196)</f>
        <v>10</v>
      </c>
      <c r="U196" s="41">
        <v>0</v>
      </c>
      <c r="V196" s="41"/>
      <c r="W196" s="41">
        <v>1</v>
      </c>
      <c r="X196" s="41">
        <v>8</v>
      </c>
      <c r="Y196" s="41">
        <v>1</v>
      </c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</row>
    <row r="197" spans="1:49">
      <c r="A197" s="37">
        <f>MAX($A$1:$A196)+1</f>
        <v>195</v>
      </c>
      <c r="B197" s="73" t="s">
        <v>106</v>
      </c>
      <c r="C197" s="73" t="s">
        <v>31</v>
      </c>
      <c r="D197" s="73" t="s">
        <v>110</v>
      </c>
      <c r="E197" s="73" t="s">
        <v>111</v>
      </c>
      <c r="F197" s="54">
        <v>48.955081939697202</v>
      </c>
      <c r="G197" s="46">
        <v>-125.15337371826099</v>
      </c>
      <c r="H197" s="41" t="s">
        <v>109</v>
      </c>
      <c r="I197" s="41">
        <v>5</v>
      </c>
      <c r="J197" s="41">
        <v>300</v>
      </c>
      <c r="K197" s="60">
        <v>0.54166666666666696</v>
      </c>
      <c r="L197" s="41">
        <v>7.5</v>
      </c>
      <c r="M197" s="41"/>
      <c r="N197" s="41" t="s">
        <v>36</v>
      </c>
      <c r="O197" s="41">
        <v>2</v>
      </c>
      <c r="P197" s="41">
        <v>8</v>
      </c>
      <c r="Q197" s="61" t="s">
        <v>39</v>
      </c>
      <c r="R197" s="64" t="s">
        <v>40</v>
      </c>
      <c r="S197" s="65" t="s">
        <v>41</v>
      </c>
      <c r="T197" s="42">
        <f t="shared" si="20"/>
        <v>10</v>
      </c>
      <c r="U197" s="41">
        <v>0</v>
      </c>
      <c r="V197" s="41"/>
      <c r="W197" s="41"/>
      <c r="X197" s="41">
        <v>9</v>
      </c>
      <c r="Y197" s="41">
        <v>1</v>
      </c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</row>
    <row r="198" spans="1:49">
      <c r="A198" s="37">
        <f>MAX($A$1:$A197)+1</f>
        <v>196</v>
      </c>
      <c r="B198" s="73" t="s">
        <v>106</v>
      </c>
      <c r="C198" s="73" t="s">
        <v>31</v>
      </c>
      <c r="D198" s="73" t="s">
        <v>110</v>
      </c>
      <c r="E198" s="73" t="s">
        <v>111</v>
      </c>
      <c r="F198" s="54">
        <v>48.955081939697202</v>
      </c>
      <c r="G198" s="46">
        <v>-125.15337371826099</v>
      </c>
      <c r="H198" s="41" t="s">
        <v>109</v>
      </c>
      <c r="I198" s="41">
        <v>5</v>
      </c>
      <c r="J198" s="41">
        <v>300</v>
      </c>
      <c r="K198" s="60">
        <v>0.54166666666666696</v>
      </c>
      <c r="L198" s="41">
        <v>7.5</v>
      </c>
      <c r="M198" s="41"/>
      <c r="N198" s="41" t="s">
        <v>36</v>
      </c>
      <c r="O198" s="41">
        <v>2</v>
      </c>
      <c r="P198" s="41">
        <v>8</v>
      </c>
      <c r="Q198" s="61" t="s">
        <v>45</v>
      </c>
      <c r="R198" s="64" t="s">
        <v>46</v>
      </c>
      <c r="S198" s="65" t="s">
        <v>47</v>
      </c>
      <c r="T198" s="42">
        <f t="shared" si="20"/>
        <v>2</v>
      </c>
      <c r="U198" s="41">
        <v>0</v>
      </c>
      <c r="V198" s="41"/>
      <c r="W198" s="41">
        <v>2</v>
      </c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</row>
    <row r="199" spans="1:49">
      <c r="A199" s="37">
        <f>MAX($A$1:$A198)+1</f>
        <v>197</v>
      </c>
      <c r="B199" s="73" t="s">
        <v>106</v>
      </c>
      <c r="C199" s="73" t="s">
        <v>31</v>
      </c>
      <c r="D199" s="73" t="s">
        <v>110</v>
      </c>
      <c r="E199" s="73" t="s">
        <v>111</v>
      </c>
      <c r="F199" s="54">
        <v>48.955081939697202</v>
      </c>
      <c r="G199" s="46">
        <v>-125.15337371826099</v>
      </c>
      <c r="H199" s="41" t="s">
        <v>109</v>
      </c>
      <c r="I199" s="41">
        <v>5</v>
      </c>
      <c r="J199" s="41">
        <v>300</v>
      </c>
      <c r="K199" s="60">
        <v>0.54166666666666696</v>
      </c>
      <c r="L199" s="41">
        <v>7.5</v>
      </c>
      <c r="M199" s="41"/>
      <c r="N199" s="41" t="s">
        <v>36</v>
      </c>
      <c r="O199" s="41">
        <v>2</v>
      </c>
      <c r="P199" s="41">
        <v>8</v>
      </c>
      <c r="Q199" s="41" t="s">
        <v>48</v>
      </c>
      <c r="R199" s="37" t="s">
        <v>49</v>
      </c>
      <c r="S199" s="48" t="s">
        <v>50</v>
      </c>
      <c r="T199" s="42">
        <f t="shared" si="20"/>
        <v>1</v>
      </c>
      <c r="U199" s="41">
        <v>0</v>
      </c>
      <c r="V199" s="41"/>
      <c r="W199" s="41"/>
      <c r="X199" s="41">
        <v>1</v>
      </c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</row>
    <row r="200" spans="1:49">
      <c r="A200" s="37">
        <f>MAX($A$1:$A199)+1</f>
        <v>198</v>
      </c>
      <c r="B200" s="73" t="s">
        <v>106</v>
      </c>
      <c r="C200" s="73" t="s">
        <v>31</v>
      </c>
      <c r="D200" s="73" t="s">
        <v>110</v>
      </c>
      <c r="E200" s="73" t="s">
        <v>111</v>
      </c>
      <c r="F200" s="54">
        <v>48.955081939697202</v>
      </c>
      <c r="G200" s="46">
        <v>-125.15337371826099</v>
      </c>
      <c r="H200" s="41" t="s">
        <v>109</v>
      </c>
      <c r="I200" s="41">
        <v>5</v>
      </c>
      <c r="J200" s="41">
        <v>300</v>
      </c>
      <c r="K200" s="60">
        <v>0.54166666666666696</v>
      </c>
      <c r="L200" s="41">
        <v>7.5</v>
      </c>
      <c r="M200" s="41"/>
      <c r="N200" s="41" t="s">
        <v>36</v>
      </c>
      <c r="O200" s="41">
        <v>1</v>
      </c>
      <c r="P200" s="41">
        <v>16</v>
      </c>
      <c r="Q200" s="61" t="s">
        <v>39</v>
      </c>
      <c r="R200" s="64" t="s">
        <v>40</v>
      </c>
      <c r="S200" s="65" t="s">
        <v>41</v>
      </c>
      <c r="T200" s="42">
        <f t="shared" si="20"/>
        <v>7</v>
      </c>
      <c r="U200" s="41">
        <v>0</v>
      </c>
      <c r="V200" s="41"/>
      <c r="W200" s="41"/>
      <c r="X200" s="41">
        <v>5</v>
      </c>
      <c r="Y200" s="41">
        <v>2</v>
      </c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</row>
    <row r="201" spans="1:49">
      <c r="A201" s="37">
        <f>MAX($A$1:$A200)+1</f>
        <v>199</v>
      </c>
      <c r="B201" s="73" t="s">
        <v>106</v>
      </c>
      <c r="C201" s="73" t="s">
        <v>31</v>
      </c>
      <c r="D201" s="73" t="s">
        <v>110</v>
      </c>
      <c r="E201" s="73" t="s">
        <v>111</v>
      </c>
      <c r="F201" s="54">
        <v>48.955081939697202</v>
      </c>
      <c r="G201" s="46">
        <v>-125.15337371826099</v>
      </c>
      <c r="H201" s="41" t="s">
        <v>109</v>
      </c>
      <c r="I201" s="41">
        <v>5</v>
      </c>
      <c r="J201" s="41">
        <v>300</v>
      </c>
      <c r="K201" s="60">
        <v>0.54166666666666696</v>
      </c>
      <c r="L201" s="41">
        <v>7.5</v>
      </c>
      <c r="M201" s="41"/>
      <c r="N201" s="41" t="s">
        <v>36</v>
      </c>
      <c r="O201" s="41">
        <v>1</v>
      </c>
      <c r="P201" s="41">
        <v>16</v>
      </c>
      <c r="Q201" s="61" t="s">
        <v>45</v>
      </c>
      <c r="R201" s="64" t="s">
        <v>46</v>
      </c>
      <c r="S201" s="65" t="s">
        <v>47</v>
      </c>
      <c r="T201" s="42">
        <f t="shared" si="20"/>
        <v>5</v>
      </c>
      <c r="U201" s="41">
        <v>0</v>
      </c>
      <c r="V201" s="41"/>
      <c r="W201" s="41">
        <v>3</v>
      </c>
      <c r="X201" s="41">
        <v>1</v>
      </c>
      <c r="Y201" s="41">
        <v>1</v>
      </c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</row>
    <row r="202" spans="1:49">
      <c r="A202" s="37">
        <f>MAX($A$1:$A201)+1</f>
        <v>200</v>
      </c>
      <c r="B202" s="73" t="s">
        <v>106</v>
      </c>
      <c r="C202" s="73" t="s">
        <v>31</v>
      </c>
      <c r="D202" s="73" t="s">
        <v>110</v>
      </c>
      <c r="E202" s="73" t="s">
        <v>111</v>
      </c>
      <c r="F202" s="54">
        <v>48.955081939697202</v>
      </c>
      <c r="G202" s="46">
        <v>-125.15337371826099</v>
      </c>
      <c r="H202" s="41" t="s">
        <v>109</v>
      </c>
      <c r="I202" s="41">
        <v>5</v>
      </c>
      <c r="J202" s="41">
        <v>300</v>
      </c>
      <c r="K202" s="60">
        <v>0.54166666666666696</v>
      </c>
      <c r="L202" s="41">
        <v>7.5</v>
      </c>
      <c r="M202" s="41"/>
      <c r="N202" s="41" t="s">
        <v>36</v>
      </c>
      <c r="O202" s="41">
        <v>1</v>
      </c>
      <c r="P202" s="41">
        <v>16</v>
      </c>
      <c r="Q202" s="41" t="s">
        <v>48</v>
      </c>
      <c r="R202" s="37" t="s">
        <v>49</v>
      </c>
      <c r="S202" s="48" t="s">
        <v>50</v>
      </c>
      <c r="T202" s="42">
        <f t="shared" si="20"/>
        <v>1</v>
      </c>
      <c r="U202" s="41">
        <v>0</v>
      </c>
      <c r="V202" s="41"/>
      <c r="W202" s="41"/>
      <c r="X202" s="41">
        <v>1</v>
      </c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</row>
    <row r="203" spans="1:49">
      <c r="A203" s="37">
        <f>MAX($A$1:$A202)+1</f>
        <v>201</v>
      </c>
      <c r="B203" s="73" t="s">
        <v>106</v>
      </c>
      <c r="C203" s="73" t="s">
        <v>31</v>
      </c>
      <c r="D203" s="73" t="s">
        <v>110</v>
      </c>
      <c r="E203" s="73" t="s">
        <v>111</v>
      </c>
      <c r="F203" s="54">
        <v>48.955081939697202</v>
      </c>
      <c r="G203" s="46">
        <v>-125.15337371826099</v>
      </c>
      <c r="H203" s="41" t="s">
        <v>109</v>
      </c>
      <c r="I203" s="41">
        <v>5</v>
      </c>
      <c r="J203" s="41">
        <v>300</v>
      </c>
      <c r="K203" s="60">
        <v>0.54166666666666696</v>
      </c>
      <c r="L203" s="41">
        <v>7.5</v>
      </c>
      <c r="M203" s="41"/>
      <c r="N203" s="41" t="s">
        <v>36</v>
      </c>
      <c r="O203" s="41">
        <v>2</v>
      </c>
      <c r="P203" s="41">
        <v>24</v>
      </c>
      <c r="Q203" s="61" t="s">
        <v>39</v>
      </c>
      <c r="R203" s="64" t="s">
        <v>40</v>
      </c>
      <c r="S203" s="65" t="s">
        <v>41</v>
      </c>
      <c r="T203" s="42">
        <f t="shared" si="20"/>
        <v>6</v>
      </c>
      <c r="U203" s="41">
        <v>0</v>
      </c>
      <c r="V203" s="41"/>
      <c r="W203" s="41"/>
      <c r="X203" s="41">
        <v>5</v>
      </c>
      <c r="Y203" s="41">
        <v>1</v>
      </c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</row>
    <row r="204" spans="1:49">
      <c r="A204" s="37">
        <f>MAX($A$1:$A203)+1</f>
        <v>202</v>
      </c>
      <c r="B204" s="73" t="s">
        <v>106</v>
      </c>
      <c r="C204" s="73" t="s">
        <v>31</v>
      </c>
      <c r="D204" s="73" t="s">
        <v>110</v>
      </c>
      <c r="E204" s="73" t="s">
        <v>111</v>
      </c>
      <c r="F204" s="54">
        <v>48.955081939697202</v>
      </c>
      <c r="G204" s="46">
        <v>-125.15337371826099</v>
      </c>
      <c r="H204" s="41" t="s">
        <v>109</v>
      </c>
      <c r="I204" s="41">
        <v>5</v>
      </c>
      <c r="J204" s="41">
        <v>300</v>
      </c>
      <c r="K204" s="60">
        <v>0.54166666666666696</v>
      </c>
      <c r="L204" s="41">
        <v>7.5</v>
      </c>
      <c r="M204" s="41"/>
      <c r="N204" s="41" t="s">
        <v>36</v>
      </c>
      <c r="O204" s="41">
        <v>2</v>
      </c>
      <c r="P204" s="41">
        <v>24</v>
      </c>
      <c r="Q204" s="61" t="s">
        <v>45</v>
      </c>
      <c r="R204" s="64" t="s">
        <v>46</v>
      </c>
      <c r="S204" s="65" t="s">
        <v>47</v>
      </c>
      <c r="T204" s="42">
        <f t="shared" si="20"/>
        <v>1</v>
      </c>
      <c r="U204" s="41">
        <v>0</v>
      </c>
      <c r="V204" s="41"/>
      <c r="W204" s="41"/>
      <c r="X204" s="41"/>
      <c r="Y204" s="41">
        <v>1</v>
      </c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</row>
    <row r="205" spans="1:49">
      <c r="A205" s="37">
        <f>MAX($A$1:$A204)+1</f>
        <v>203</v>
      </c>
      <c r="B205" s="73" t="s">
        <v>106</v>
      </c>
      <c r="C205" s="73" t="s">
        <v>31</v>
      </c>
      <c r="D205" s="73" t="s">
        <v>110</v>
      </c>
      <c r="E205" s="73" t="s">
        <v>111</v>
      </c>
      <c r="F205" s="54">
        <v>48.955081939697202</v>
      </c>
      <c r="G205" s="46">
        <v>-125.15337371826099</v>
      </c>
      <c r="H205" s="41" t="s">
        <v>109</v>
      </c>
      <c r="I205" s="41">
        <v>5</v>
      </c>
      <c r="J205" s="41">
        <v>300</v>
      </c>
      <c r="K205" s="60">
        <v>0.54166666666666696</v>
      </c>
      <c r="L205" s="41">
        <v>7.5</v>
      </c>
      <c r="M205" s="41"/>
      <c r="N205" s="41" t="s">
        <v>36</v>
      </c>
      <c r="O205" s="41">
        <v>1</v>
      </c>
      <c r="P205" s="41">
        <v>32</v>
      </c>
      <c r="Q205" s="61" t="s">
        <v>39</v>
      </c>
      <c r="R205" s="64" t="s">
        <v>40</v>
      </c>
      <c r="S205" s="65" t="s">
        <v>41</v>
      </c>
      <c r="T205" s="42">
        <f t="shared" si="20"/>
        <v>6</v>
      </c>
      <c r="U205" s="41">
        <v>0</v>
      </c>
      <c r="V205" s="41"/>
      <c r="W205" s="41"/>
      <c r="X205" s="41">
        <v>6</v>
      </c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</row>
    <row r="206" spans="1:49">
      <c r="A206" s="37">
        <f>MAX($A$1:$A205)+1</f>
        <v>204</v>
      </c>
      <c r="B206" s="73" t="s">
        <v>106</v>
      </c>
      <c r="C206" s="73" t="s">
        <v>31</v>
      </c>
      <c r="D206" s="73" t="s">
        <v>110</v>
      </c>
      <c r="E206" s="73" t="s">
        <v>111</v>
      </c>
      <c r="F206" s="54">
        <v>48.955081939697202</v>
      </c>
      <c r="G206" s="46">
        <v>-125.15337371826099</v>
      </c>
      <c r="H206" s="41" t="s">
        <v>109</v>
      </c>
      <c r="I206" s="41">
        <v>5</v>
      </c>
      <c r="J206" s="41">
        <v>300</v>
      </c>
      <c r="K206" s="60">
        <v>0.54166666666666696</v>
      </c>
      <c r="L206" s="41">
        <v>7.5</v>
      </c>
      <c r="M206" s="41"/>
      <c r="N206" s="41" t="s">
        <v>36</v>
      </c>
      <c r="O206" s="41">
        <v>1</v>
      </c>
      <c r="P206" s="41">
        <v>32</v>
      </c>
      <c r="Q206" s="61" t="s">
        <v>45</v>
      </c>
      <c r="R206" s="64" t="s">
        <v>46</v>
      </c>
      <c r="S206" s="65" t="s">
        <v>47</v>
      </c>
      <c r="T206" s="42">
        <f t="shared" si="20"/>
        <v>2</v>
      </c>
      <c r="U206" s="41">
        <v>0</v>
      </c>
      <c r="V206" s="41"/>
      <c r="W206" s="41"/>
      <c r="X206" s="41"/>
      <c r="Y206" s="41">
        <v>2</v>
      </c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</row>
    <row r="207" spans="1:49">
      <c r="A207" s="37">
        <f>MAX($A$1:$A206)+1</f>
        <v>205</v>
      </c>
      <c r="B207" s="73" t="s">
        <v>106</v>
      </c>
      <c r="C207" s="73" t="s">
        <v>31</v>
      </c>
      <c r="D207" s="73" t="s">
        <v>110</v>
      </c>
      <c r="E207" s="73" t="s">
        <v>111</v>
      </c>
      <c r="F207" s="54">
        <v>48.955081939697202</v>
      </c>
      <c r="G207" s="46">
        <v>-125.15337371826099</v>
      </c>
      <c r="H207" s="41" t="s">
        <v>109</v>
      </c>
      <c r="I207" s="41">
        <v>5</v>
      </c>
      <c r="J207" s="41">
        <v>300</v>
      </c>
      <c r="K207" s="60">
        <v>0.54166666666666696</v>
      </c>
      <c r="L207" s="41">
        <v>7.5</v>
      </c>
      <c r="M207" s="41"/>
      <c r="N207" s="41" t="s">
        <v>36</v>
      </c>
      <c r="O207" s="41">
        <v>2</v>
      </c>
      <c r="P207" s="41">
        <v>40</v>
      </c>
      <c r="Q207" s="61" t="s">
        <v>39</v>
      </c>
      <c r="R207" s="64" t="s">
        <v>40</v>
      </c>
      <c r="S207" s="65" t="s">
        <v>41</v>
      </c>
      <c r="T207" s="42">
        <f t="shared" si="20"/>
        <v>4</v>
      </c>
      <c r="U207" s="41">
        <v>0</v>
      </c>
      <c r="V207" s="41"/>
      <c r="W207" s="41"/>
      <c r="X207" s="41">
        <v>4</v>
      </c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</row>
    <row r="208" spans="1:49">
      <c r="A208" s="37">
        <f>MAX($A$1:$A207)+1</f>
        <v>206</v>
      </c>
      <c r="B208" s="73" t="s">
        <v>106</v>
      </c>
      <c r="C208" s="73" t="s">
        <v>31</v>
      </c>
      <c r="D208" s="73" t="s">
        <v>110</v>
      </c>
      <c r="E208" s="73" t="s">
        <v>111</v>
      </c>
      <c r="F208" s="54">
        <v>48.955081939697202</v>
      </c>
      <c r="G208" s="46">
        <v>-125.15337371826099</v>
      </c>
      <c r="H208" s="41" t="s">
        <v>109</v>
      </c>
      <c r="I208" s="41">
        <v>5</v>
      </c>
      <c r="J208" s="41">
        <v>300</v>
      </c>
      <c r="K208" s="60">
        <v>0.54166666666666696</v>
      </c>
      <c r="L208" s="41">
        <v>7.5</v>
      </c>
      <c r="M208" s="41"/>
      <c r="N208" s="41" t="s">
        <v>36</v>
      </c>
      <c r="O208" s="41">
        <v>2</v>
      </c>
      <c r="P208" s="41">
        <v>40</v>
      </c>
      <c r="Q208" s="61" t="s">
        <v>45</v>
      </c>
      <c r="R208" s="64" t="s">
        <v>46</v>
      </c>
      <c r="S208" s="65" t="s">
        <v>47</v>
      </c>
      <c r="T208" s="42">
        <f t="shared" si="20"/>
        <v>2</v>
      </c>
      <c r="U208" s="41">
        <v>0</v>
      </c>
      <c r="V208" s="41"/>
      <c r="W208" s="41">
        <v>2</v>
      </c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</row>
    <row r="209" spans="1:49">
      <c r="A209" s="37">
        <f>MAX($A$1:$A208)+1</f>
        <v>207</v>
      </c>
      <c r="B209" s="73" t="s">
        <v>106</v>
      </c>
      <c r="C209" s="73" t="s">
        <v>31</v>
      </c>
      <c r="D209" s="73" t="s">
        <v>110</v>
      </c>
      <c r="E209" s="73" t="s">
        <v>111</v>
      </c>
      <c r="F209" s="54">
        <v>48.955081939697202</v>
      </c>
      <c r="G209" s="46">
        <v>-125.15337371826099</v>
      </c>
      <c r="H209" s="41" t="s">
        <v>109</v>
      </c>
      <c r="I209" s="41">
        <v>5</v>
      </c>
      <c r="J209" s="41">
        <v>300</v>
      </c>
      <c r="K209" s="60">
        <v>0.54166666666666696</v>
      </c>
      <c r="L209" s="41">
        <v>7.5</v>
      </c>
      <c r="M209" s="41"/>
      <c r="N209" s="41" t="s">
        <v>36</v>
      </c>
      <c r="O209" s="41">
        <v>1</v>
      </c>
      <c r="P209" s="41">
        <v>48</v>
      </c>
      <c r="Q209" s="61" t="s">
        <v>112</v>
      </c>
      <c r="R209" s="64" t="s">
        <v>38</v>
      </c>
      <c r="S209" s="65"/>
      <c r="T209" s="42">
        <f t="shared" si="20"/>
        <v>0</v>
      </c>
      <c r="U209" s="41">
        <v>0</v>
      </c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</row>
    <row r="210" spans="1:49" hidden="1">
      <c r="A210" s="37">
        <f>MAX($A$1:$A209)+1</f>
        <v>208</v>
      </c>
      <c r="B210" s="73" t="s">
        <v>113</v>
      </c>
      <c r="C210" s="73" t="s">
        <v>32</v>
      </c>
      <c r="D210" s="73" t="s">
        <v>114</v>
      </c>
      <c r="E210" s="73" t="s">
        <v>115</v>
      </c>
      <c r="F210" s="54">
        <v>48.916072999999997</v>
      </c>
      <c r="G210" s="46">
        <v>-125.131174</v>
      </c>
      <c r="H210" s="41" t="s">
        <v>116</v>
      </c>
      <c r="I210" s="41">
        <v>5</v>
      </c>
      <c r="J210" s="41">
        <v>40</v>
      </c>
      <c r="K210" s="60">
        <v>0.43541666666666662</v>
      </c>
      <c r="L210" s="41">
        <v>11</v>
      </c>
      <c r="M210" s="41"/>
      <c r="N210" s="41" t="s">
        <v>36</v>
      </c>
      <c r="O210" s="41">
        <v>1</v>
      </c>
      <c r="P210" s="41">
        <v>48</v>
      </c>
      <c r="Q210" s="41" t="s">
        <v>53</v>
      </c>
      <c r="R210" s="37" t="s">
        <v>54</v>
      </c>
      <c r="S210" s="48" t="s">
        <v>55</v>
      </c>
      <c r="T210" s="42">
        <f t="shared" si="16"/>
        <v>1</v>
      </c>
      <c r="U210" s="41">
        <v>0</v>
      </c>
      <c r="V210" s="41"/>
      <c r="W210" s="41"/>
      <c r="X210" s="41"/>
      <c r="Y210" s="41"/>
      <c r="Z210" s="41"/>
      <c r="AA210" s="41">
        <v>1</v>
      </c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</row>
    <row r="211" spans="1:49" hidden="1">
      <c r="A211" s="37">
        <f>MAX($A$1:$A210)+1</f>
        <v>209</v>
      </c>
      <c r="B211" s="73" t="s">
        <v>113</v>
      </c>
      <c r="C211" s="73" t="s">
        <v>32</v>
      </c>
      <c r="D211" s="73" t="s">
        <v>114</v>
      </c>
      <c r="E211" s="73" t="s">
        <v>115</v>
      </c>
      <c r="F211" s="54">
        <v>48.916072999999997</v>
      </c>
      <c r="G211" s="46">
        <v>-125.131174</v>
      </c>
      <c r="H211" s="41" t="s">
        <v>116</v>
      </c>
      <c r="I211" s="41">
        <v>5</v>
      </c>
      <c r="J211" s="41">
        <v>40</v>
      </c>
      <c r="K211" s="60">
        <v>0.43541666666666662</v>
      </c>
      <c r="L211" s="41">
        <v>11</v>
      </c>
      <c r="M211" s="41"/>
      <c r="N211" s="41" t="s">
        <v>36</v>
      </c>
      <c r="O211" s="41">
        <v>1</v>
      </c>
      <c r="P211" s="41">
        <v>48</v>
      </c>
      <c r="Q211" s="61" t="s">
        <v>45</v>
      </c>
      <c r="R211" s="64" t="s">
        <v>46</v>
      </c>
      <c r="S211" s="65" t="s">
        <v>47</v>
      </c>
      <c r="T211" s="42">
        <f t="shared" si="16"/>
        <v>1</v>
      </c>
      <c r="U211" s="41">
        <v>0</v>
      </c>
      <c r="V211" s="41"/>
      <c r="W211" s="41"/>
      <c r="X211" s="41"/>
      <c r="Y211" s="41">
        <v>1</v>
      </c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</row>
    <row r="212" spans="1:49" hidden="1">
      <c r="A212" s="37">
        <f>MAX($A$1:$A211)+1</f>
        <v>210</v>
      </c>
      <c r="B212" s="73" t="s">
        <v>113</v>
      </c>
      <c r="C212" s="73" t="s">
        <v>32</v>
      </c>
      <c r="D212" s="73" t="s">
        <v>114</v>
      </c>
      <c r="E212" s="73" t="s">
        <v>115</v>
      </c>
      <c r="F212" s="54">
        <v>48.916072999999997</v>
      </c>
      <c r="G212" s="46">
        <v>-125.131174</v>
      </c>
      <c r="H212" s="41" t="s">
        <v>116</v>
      </c>
      <c r="I212" s="41">
        <v>5</v>
      </c>
      <c r="J212" s="41">
        <v>40</v>
      </c>
      <c r="K212" s="60">
        <v>0.43541666666666701</v>
      </c>
      <c r="L212" s="41">
        <v>11</v>
      </c>
      <c r="M212" s="41"/>
      <c r="N212" s="41" t="s">
        <v>36</v>
      </c>
      <c r="O212" s="41">
        <v>1</v>
      </c>
      <c r="P212" s="41">
        <v>48</v>
      </c>
      <c r="Q212" s="61" t="s">
        <v>39</v>
      </c>
      <c r="R212" s="64" t="s">
        <v>40</v>
      </c>
      <c r="S212" s="65" t="s">
        <v>41</v>
      </c>
      <c r="T212" s="42">
        <f t="shared" ref="T212:T223" si="21">SUM(U212:AW212)</f>
        <v>7</v>
      </c>
      <c r="U212" s="41">
        <v>0</v>
      </c>
      <c r="V212" s="41"/>
      <c r="W212" s="41">
        <v>4</v>
      </c>
      <c r="X212" s="41">
        <v>1</v>
      </c>
      <c r="Y212" s="41">
        <v>2</v>
      </c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</row>
    <row r="213" spans="1:49" hidden="1">
      <c r="A213" s="37">
        <f>MAX($A$1:$A212)+1</f>
        <v>211</v>
      </c>
      <c r="B213" s="73" t="s">
        <v>113</v>
      </c>
      <c r="C213" s="73" t="s">
        <v>32</v>
      </c>
      <c r="D213" s="73" t="s">
        <v>114</v>
      </c>
      <c r="E213" s="73" t="s">
        <v>115</v>
      </c>
      <c r="F213" s="54">
        <v>48.916072999999997</v>
      </c>
      <c r="G213" s="46">
        <v>-125.131174</v>
      </c>
      <c r="H213" s="41" t="s">
        <v>116</v>
      </c>
      <c r="I213" s="41">
        <v>5</v>
      </c>
      <c r="J213" s="41">
        <v>40</v>
      </c>
      <c r="K213" s="60">
        <v>0.43541666666666701</v>
      </c>
      <c r="L213" s="41">
        <v>11</v>
      </c>
      <c r="M213" s="41"/>
      <c r="N213" s="41" t="s">
        <v>36</v>
      </c>
      <c r="O213" s="41">
        <v>2</v>
      </c>
      <c r="P213" s="41">
        <v>40</v>
      </c>
      <c r="Q213" s="61" t="s">
        <v>45</v>
      </c>
      <c r="R213" s="64" t="s">
        <v>46</v>
      </c>
      <c r="S213" s="65" t="s">
        <v>47</v>
      </c>
      <c r="T213" s="42">
        <f t="shared" si="21"/>
        <v>1</v>
      </c>
      <c r="U213" s="41">
        <v>0</v>
      </c>
      <c r="V213" s="41"/>
      <c r="W213" s="41"/>
      <c r="X213" s="41"/>
      <c r="Y213" s="41"/>
      <c r="Z213" s="41"/>
      <c r="AA213" s="41">
        <v>1</v>
      </c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</row>
    <row r="214" spans="1:49" hidden="1">
      <c r="A214" s="37">
        <f>MAX($A$1:$A213)+1</f>
        <v>212</v>
      </c>
      <c r="B214" s="73" t="s">
        <v>113</v>
      </c>
      <c r="C214" s="73" t="s">
        <v>32</v>
      </c>
      <c r="D214" s="73" t="s">
        <v>114</v>
      </c>
      <c r="E214" s="73" t="s">
        <v>115</v>
      </c>
      <c r="F214" s="54">
        <v>48.916072999999997</v>
      </c>
      <c r="G214" s="46">
        <v>-125.131174</v>
      </c>
      <c r="H214" s="41" t="s">
        <v>116</v>
      </c>
      <c r="I214" s="41">
        <v>5</v>
      </c>
      <c r="J214" s="41">
        <v>40</v>
      </c>
      <c r="K214" s="60">
        <v>0.43541666666666701</v>
      </c>
      <c r="L214" s="41">
        <v>11</v>
      </c>
      <c r="M214" s="41"/>
      <c r="N214" s="41" t="s">
        <v>36</v>
      </c>
      <c r="O214" s="41">
        <v>2</v>
      </c>
      <c r="P214" s="41">
        <v>40</v>
      </c>
      <c r="Q214" s="41" t="s">
        <v>53</v>
      </c>
      <c r="R214" s="37" t="s">
        <v>54</v>
      </c>
      <c r="S214" s="48" t="s">
        <v>55</v>
      </c>
      <c r="T214" s="42">
        <f t="shared" si="21"/>
        <v>2</v>
      </c>
      <c r="U214" s="41">
        <v>0</v>
      </c>
      <c r="V214" s="41"/>
      <c r="W214" s="41"/>
      <c r="X214" s="41">
        <v>1</v>
      </c>
      <c r="Y214" s="41">
        <v>1</v>
      </c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</row>
    <row r="215" spans="1:49" hidden="1">
      <c r="A215" s="37">
        <f>MAX($A$1:$A214)+1</f>
        <v>213</v>
      </c>
      <c r="B215" s="73" t="s">
        <v>113</v>
      </c>
      <c r="C215" s="73" t="s">
        <v>32</v>
      </c>
      <c r="D215" s="73" t="s">
        <v>114</v>
      </c>
      <c r="E215" s="73" t="s">
        <v>115</v>
      </c>
      <c r="F215" s="54">
        <v>48.916072999999997</v>
      </c>
      <c r="G215" s="46">
        <v>-125.131174</v>
      </c>
      <c r="H215" s="41" t="s">
        <v>116</v>
      </c>
      <c r="I215" s="41">
        <v>5</v>
      </c>
      <c r="J215" s="41">
        <v>40</v>
      </c>
      <c r="K215" s="60">
        <v>0.43541666666666701</v>
      </c>
      <c r="L215" s="41">
        <v>11</v>
      </c>
      <c r="M215" s="41"/>
      <c r="N215" s="41" t="s">
        <v>36</v>
      </c>
      <c r="O215" s="41">
        <v>2</v>
      </c>
      <c r="P215" s="41">
        <v>40</v>
      </c>
      <c r="Q215" s="61" t="s">
        <v>39</v>
      </c>
      <c r="R215" s="64" t="s">
        <v>40</v>
      </c>
      <c r="S215" s="65" t="s">
        <v>41</v>
      </c>
      <c r="T215" s="42">
        <f t="shared" si="21"/>
        <v>7</v>
      </c>
      <c r="U215" s="41">
        <v>0</v>
      </c>
      <c r="V215" s="41"/>
      <c r="W215" s="41">
        <v>4</v>
      </c>
      <c r="X215" s="41">
        <v>3</v>
      </c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</row>
    <row r="216" spans="1:49" hidden="1">
      <c r="A216" s="37">
        <f>MAX($A$1:$A215)+1</f>
        <v>214</v>
      </c>
      <c r="B216" s="73" t="s">
        <v>113</v>
      </c>
      <c r="C216" s="73" t="s">
        <v>32</v>
      </c>
      <c r="D216" s="73" t="s">
        <v>114</v>
      </c>
      <c r="E216" s="73" t="s">
        <v>115</v>
      </c>
      <c r="F216" s="54">
        <v>48.916072999999997</v>
      </c>
      <c r="G216" s="46">
        <v>-125.131174</v>
      </c>
      <c r="H216" s="41" t="s">
        <v>116</v>
      </c>
      <c r="I216" s="41">
        <v>5</v>
      </c>
      <c r="J216" s="41">
        <v>40</v>
      </c>
      <c r="K216" s="60">
        <v>0.43541666666666701</v>
      </c>
      <c r="L216" s="41">
        <v>11</v>
      </c>
      <c r="M216" s="41"/>
      <c r="N216" s="41" t="s">
        <v>36</v>
      </c>
      <c r="O216" s="41">
        <v>1</v>
      </c>
      <c r="P216" s="41">
        <v>32</v>
      </c>
      <c r="Q216" s="61" t="s">
        <v>67</v>
      </c>
      <c r="R216" s="62" t="s">
        <v>68</v>
      </c>
      <c r="S216" s="63" t="s">
        <v>69</v>
      </c>
      <c r="T216" s="42">
        <f t="shared" si="21"/>
        <v>1</v>
      </c>
      <c r="U216" s="41">
        <v>0</v>
      </c>
      <c r="V216" s="41">
        <v>1</v>
      </c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</row>
    <row r="217" spans="1:49" hidden="1">
      <c r="A217" s="37">
        <f>MAX($A$1:$A216)+1</f>
        <v>215</v>
      </c>
      <c r="B217" s="73" t="s">
        <v>113</v>
      </c>
      <c r="C217" s="73" t="s">
        <v>32</v>
      </c>
      <c r="D217" s="73" t="s">
        <v>114</v>
      </c>
      <c r="E217" s="73" t="s">
        <v>115</v>
      </c>
      <c r="F217" s="54">
        <v>48.916072999999997</v>
      </c>
      <c r="G217" s="46">
        <v>-125.131174</v>
      </c>
      <c r="H217" s="41" t="s">
        <v>116</v>
      </c>
      <c r="I217" s="41">
        <v>5</v>
      </c>
      <c r="J217" s="41">
        <v>40</v>
      </c>
      <c r="K217" s="60">
        <v>0.43541666666666701</v>
      </c>
      <c r="L217" s="41">
        <v>11</v>
      </c>
      <c r="M217" s="41"/>
      <c r="N217" s="41" t="s">
        <v>36</v>
      </c>
      <c r="O217" s="41">
        <v>1</v>
      </c>
      <c r="P217" s="41">
        <v>32</v>
      </c>
      <c r="Q217" s="41" t="s">
        <v>48</v>
      </c>
      <c r="R217" s="37" t="s">
        <v>49</v>
      </c>
      <c r="S217" s="48" t="s">
        <v>50</v>
      </c>
      <c r="T217" s="42">
        <f t="shared" si="21"/>
        <v>1</v>
      </c>
      <c r="U217" s="41">
        <v>0</v>
      </c>
      <c r="V217" s="41">
        <v>1</v>
      </c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</row>
    <row r="218" spans="1:49" hidden="1">
      <c r="A218" s="37">
        <f>MAX($A$1:$A217)+1</f>
        <v>216</v>
      </c>
      <c r="B218" s="73" t="s">
        <v>113</v>
      </c>
      <c r="C218" s="73" t="s">
        <v>32</v>
      </c>
      <c r="D218" s="73" t="s">
        <v>114</v>
      </c>
      <c r="E218" s="73" t="s">
        <v>115</v>
      </c>
      <c r="F218" s="54">
        <v>48.916072999999997</v>
      </c>
      <c r="G218" s="46">
        <v>-125.131174</v>
      </c>
      <c r="H218" s="41" t="s">
        <v>116</v>
      </c>
      <c r="I218" s="41">
        <v>5</v>
      </c>
      <c r="J218" s="41">
        <v>40</v>
      </c>
      <c r="K218" s="60">
        <v>0.43541666666666701</v>
      </c>
      <c r="L218" s="41">
        <v>11</v>
      </c>
      <c r="M218" s="41"/>
      <c r="N218" s="41" t="s">
        <v>36</v>
      </c>
      <c r="O218" s="41">
        <v>1</v>
      </c>
      <c r="P218" s="41">
        <v>32</v>
      </c>
      <c r="Q218" s="61" t="s">
        <v>39</v>
      </c>
      <c r="R218" s="64" t="s">
        <v>40</v>
      </c>
      <c r="S218" s="65" t="s">
        <v>41</v>
      </c>
      <c r="T218" s="42">
        <f t="shared" si="21"/>
        <v>7</v>
      </c>
      <c r="U218" s="41">
        <v>0</v>
      </c>
      <c r="V218" s="41"/>
      <c r="W218" s="41">
        <v>1</v>
      </c>
      <c r="X218" s="41">
        <v>3</v>
      </c>
      <c r="Y218" s="41">
        <v>3</v>
      </c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</row>
    <row r="219" spans="1:49" hidden="1">
      <c r="A219" s="37">
        <f>MAX($A$1:$A218)+1</f>
        <v>217</v>
      </c>
      <c r="B219" s="73" t="s">
        <v>113</v>
      </c>
      <c r="C219" s="73" t="s">
        <v>32</v>
      </c>
      <c r="D219" s="73" t="s">
        <v>114</v>
      </c>
      <c r="E219" s="73" t="s">
        <v>115</v>
      </c>
      <c r="F219" s="54">
        <v>48.916072999999997</v>
      </c>
      <c r="G219" s="46">
        <v>-125.131174</v>
      </c>
      <c r="H219" s="41" t="s">
        <v>116</v>
      </c>
      <c r="I219" s="41">
        <v>5</v>
      </c>
      <c r="J219" s="41">
        <v>40</v>
      </c>
      <c r="K219" s="60">
        <v>0.43541666666666701</v>
      </c>
      <c r="L219" s="41">
        <v>11</v>
      </c>
      <c r="M219" s="41"/>
      <c r="N219" s="41" t="s">
        <v>36</v>
      </c>
      <c r="O219" s="41">
        <v>2</v>
      </c>
      <c r="P219" s="41">
        <v>24</v>
      </c>
      <c r="Q219" s="61" t="s">
        <v>39</v>
      </c>
      <c r="R219" s="64" t="s">
        <v>40</v>
      </c>
      <c r="S219" s="65" t="s">
        <v>41</v>
      </c>
      <c r="T219" s="42">
        <f t="shared" si="21"/>
        <v>9</v>
      </c>
      <c r="U219" s="41">
        <v>0</v>
      </c>
      <c r="V219" s="41"/>
      <c r="W219" s="41">
        <v>2</v>
      </c>
      <c r="X219" s="41">
        <v>4</v>
      </c>
      <c r="Y219" s="41">
        <v>1</v>
      </c>
      <c r="Z219" s="41">
        <v>2</v>
      </c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</row>
    <row r="220" spans="1:49" hidden="1">
      <c r="A220" s="37">
        <f>MAX($A$1:$A219)+1</f>
        <v>218</v>
      </c>
      <c r="B220" s="73" t="s">
        <v>113</v>
      </c>
      <c r="C220" s="73" t="s">
        <v>32</v>
      </c>
      <c r="D220" s="73" t="s">
        <v>114</v>
      </c>
      <c r="E220" s="73" t="s">
        <v>115</v>
      </c>
      <c r="F220" s="54">
        <v>48.916072999999997</v>
      </c>
      <c r="G220" s="46">
        <v>-125.131174</v>
      </c>
      <c r="H220" s="41" t="s">
        <v>116</v>
      </c>
      <c r="I220" s="41">
        <v>5</v>
      </c>
      <c r="J220" s="41">
        <v>40</v>
      </c>
      <c r="K220" s="60">
        <v>0.43541666666666701</v>
      </c>
      <c r="L220" s="41">
        <v>11</v>
      </c>
      <c r="M220" s="41"/>
      <c r="N220" s="41" t="s">
        <v>36</v>
      </c>
      <c r="O220" s="41">
        <v>1</v>
      </c>
      <c r="P220" s="41">
        <v>16</v>
      </c>
      <c r="Q220" s="61" t="s">
        <v>39</v>
      </c>
      <c r="R220" s="64" t="s">
        <v>40</v>
      </c>
      <c r="S220" s="65" t="s">
        <v>41</v>
      </c>
      <c r="T220" s="42">
        <f t="shared" si="21"/>
        <v>5</v>
      </c>
      <c r="U220" s="41">
        <v>0</v>
      </c>
      <c r="V220" s="41"/>
      <c r="W220" s="41">
        <v>1</v>
      </c>
      <c r="X220" s="41">
        <v>2</v>
      </c>
      <c r="Y220" s="41">
        <v>1</v>
      </c>
      <c r="Z220" s="41">
        <v>1</v>
      </c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</row>
    <row r="221" spans="1:49" hidden="1">
      <c r="A221" s="37">
        <f>MAX($A$1:$A220)+1</f>
        <v>219</v>
      </c>
      <c r="B221" s="73" t="s">
        <v>113</v>
      </c>
      <c r="C221" s="73" t="s">
        <v>32</v>
      </c>
      <c r="D221" s="73" t="s">
        <v>114</v>
      </c>
      <c r="E221" s="73" t="s">
        <v>115</v>
      </c>
      <c r="F221" s="54">
        <v>48.916072999999997</v>
      </c>
      <c r="G221" s="46">
        <v>-125.131174</v>
      </c>
      <c r="H221" s="41" t="s">
        <v>116</v>
      </c>
      <c r="I221" s="41">
        <v>5</v>
      </c>
      <c r="J221" s="41">
        <v>40</v>
      </c>
      <c r="K221" s="60">
        <v>0.43541666666666701</v>
      </c>
      <c r="L221" s="41">
        <v>11</v>
      </c>
      <c r="M221" s="41"/>
      <c r="N221" s="41" t="s">
        <v>36</v>
      </c>
      <c r="O221" s="41">
        <v>2</v>
      </c>
      <c r="P221" s="41">
        <v>8</v>
      </c>
      <c r="Q221" s="61" t="s">
        <v>45</v>
      </c>
      <c r="R221" s="64" t="s">
        <v>46</v>
      </c>
      <c r="S221" s="65" t="s">
        <v>47</v>
      </c>
      <c r="T221" s="42">
        <f t="shared" si="21"/>
        <v>1</v>
      </c>
      <c r="U221" s="41">
        <v>0</v>
      </c>
      <c r="V221" s="41"/>
      <c r="W221" s="41"/>
      <c r="X221" s="41"/>
      <c r="Y221" s="41"/>
      <c r="Z221" s="41">
        <v>1</v>
      </c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</row>
    <row r="222" spans="1:49" hidden="1">
      <c r="A222" s="37">
        <f>MAX($A$1:$A221)+1</f>
        <v>220</v>
      </c>
      <c r="B222" s="73" t="s">
        <v>113</v>
      </c>
      <c r="C222" s="73" t="s">
        <v>32</v>
      </c>
      <c r="D222" s="73" t="s">
        <v>114</v>
      </c>
      <c r="E222" s="73" t="s">
        <v>115</v>
      </c>
      <c r="F222" s="54">
        <v>48.916072999999997</v>
      </c>
      <c r="G222" s="46">
        <v>-125.131174</v>
      </c>
      <c r="H222" s="41" t="s">
        <v>116</v>
      </c>
      <c r="I222" s="41">
        <v>5</v>
      </c>
      <c r="J222" s="41">
        <v>40</v>
      </c>
      <c r="K222" s="60">
        <v>0.43541666666666701</v>
      </c>
      <c r="L222" s="41">
        <v>11</v>
      </c>
      <c r="M222" s="41"/>
      <c r="N222" s="41" t="s">
        <v>36</v>
      </c>
      <c r="O222" s="41">
        <v>2</v>
      </c>
      <c r="P222" s="41">
        <v>8</v>
      </c>
      <c r="Q222" s="61" t="s">
        <v>39</v>
      </c>
      <c r="R222" s="64" t="s">
        <v>40</v>
      </c>
      <c r="S222" s="65" t="s">
        <v>41</v>
      </c>
      <c r="T222" s="42">
        <f t="shared" si="21"/>
        <v>5</v>
      </c>
      <c r="U222" s="41">
        <v>0</v>
      </c>
      <c r="V222" s="41"/>
      <c r="W222" s="41">
        <v>1</v>
      </c>
      <c r="X222" s="41">
        <v>3</v>
      </c>
      <c r="Y222" s="41">
        <v>1</v>
      </c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</row>
    <row r="223" spans="1:49" hidden="1">
      <c r="A223" s="37">
        <f>MAX($A$1:$A222)+1</f>
        <v>221</v>
      </c>
      <c r="B223" s="73" t="s">
        <v>113</v>
      </c>
      <c r="C223" s="73" t="s">
        <v>32</v>
      </c>
      <c r="D223" s="73" t="s">
        <v>114</v>
      </c>
      <c r="E223" s="73" t="s">
        <v>115</v>
      </c>
      <c r="F223" s="54">
        <v>48.916072999999997</v>
      </c>
      <c r="G223" s="46">
        <v>-125.131174</v>
      </c>
      <c r="H223" s="41" t="s">
        <v>116</v>
      </c>
      <c r="I223" s="41">
        <v>5</v>
      </c>
      <c r="J223" s="41">
        <v>40</v>
      </c>
      <c r="K223" s="60">
        <v>0.43541666666666701</v>
      </c>
      <c r="L223" s="41">
        <v>11</v>
      </c>
      <c r="M223" s="41"/>
      <c r="N223" s="41" t="s">
        <v>36</v>
      </c>
      <c r="O223" s="41">
        <v>1</v>
      </c>
      <c r="P223" s="41">
        <v>0</v>
      </c>
      <c r="Q223" s="41" t="s">
        <v>89</v>
      </c>
      <c r="R223" s="28" t="s">
        <v>90</v>
      </c>
      <c r="S223" s="31" t="s">
        <v>117</v>
      </c>
      <c r="T223" s="42">
        <f t="shared" si="21"/>
        <v>0</v>
      </c>
      <c r="U223" s="41">
        <v>0</v>
      </c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</row>
    <row r="224" spans="1:49" hidden="1">
      <c r="A224" s="37">
        <f>MAX($A$1:$A223)+1</f>
        <v>222</v>
      </c>
      <c r="B224" s="41" t="s">
        <v>31</v>
      </c>
      <c r="C224" s="41" t="s">
        <v>113</v>
      </c>
      <c r="D224" s="41" t="s">
        <v>118</v>
      </c>
      <c r="E224" s="41" t="s">
        <v>119</v>
      </c>
      <c r="F224" s="54">
        <v>48.838594999999998</v>
      </c>
      <c r="G224" s="46">
        <v>-125.135015</v>
      </c>
      <c r="H224" s="41" t="s">
        <v>116</v>
      </c>
      <c r="I224" s="41">
        <v>4</v>
      </c>
      <c r="J224" s="41">
        <v>180</v>
      </c>
      <c r="K224" s="60">
        <v>0.55555555555555558</v>
      </c>
      <c r="L224" s="41">
        <v>5.5</v>
      </c>
      <c r="M224" s="41">
        <v>10</v>
      </c>
      <c r="N224" s="41" t="s">
        <v>36</v>
      </c>
      <c r="O224" s="41">
        <v>1</v>
      </c>
      <c r="P224" s="41">
        <v>48</v>
      </c>
      <c r="Q224" s="61" t="s">
        <v>39</v>
      </c>
      <c r="R224" s="64" t="s">
        <v>40</v>
      </c>
      <c r="S224" s="65" t="s">
        <v>41</v>
      </c>
      <c r="T224" s="42">
        <f t="shared" si="16"/>
        <v>4</v>
      </c>
      <c r="U224" s="41">
        <v>0</v>
      </c>
      <c r="V224" s="41"/>
      <c r="W224" s="41"/>
      <c r="X224" s="41">
        <v>2</v>
      </c>
      <c r="Y224" s="41">
        <v>2</v>
      </c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</row>
    <row r="225" spans="1:49" hidden="1">
      <c r="A225" s="37">
        <f>MAX($A$1:$A224)+1</f>
        <v>223</v>
      </c>
      <c r="B225" s="41" t="s">
        <v>31</v>
      </c>
      <c r="C225" s="41" t="s">
        <v>113</v>
      </c>
      <c r="D225" s="41" t="s">
        <v>118</v>
      </c>
      <c r="E225" s="41" t="s">
        <v>119</v>
      </c>
      <c r="F225" s="54">
        <v>48.838594999999998</v>
      </c>
      <c r="G225" s="46">
        <v>-125.135015</v>
      </c>
      <c r="H225" s="41" t="s">
        <v>116</v>
      </c>
      <c r="I225" s="41">
        <v>4</v>
      </c>
      <c r="J225" s="41">
        <v>180</v>
      </c>
      <c r="K225" s="60">
        <v>0.55555555555555558</v>
      </c>
      <c r="L225" s="41">
        <v>5.5</v>
      </c>
      <c r="M225" s="41">
        <v>10</v>
      </c>
      <c r="N225" s="41" t="s">
        <v>36</v>
      </c>
      <c r="O225" s="41">
        <v>1</v>
      </c>
      <c r="P225" s="41">
        <v>48</v>
      </c>
      <c r="Q225" s="61" t="s">
        <v>45</v>
      </c>
      <c r="R225" s="64" t="s">
        <v>46</v>
      </c>
      <c r="S225" s="65" t="s">
        <v>47</v>
      </c>
      <c r="T225" s="42">
        <f t="shared" ref="T225:T240" si="22">SUM(U225:AW225)</f>
        <v>1</v>
      </c>
      <c r="U225" s="41">
        <v>0</v>
      </c>
      <c r="V225" s="41"/>
      <c r="W225" s="41"/>
      <c r="X225" s="41"/>
      <c r="Y225" s="41"/>
      <c r="Z225" s="41">
        <v>1</v>
      </c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</row>
    <row r="226" spans="1:49" hidden="1">
      <c r="A226" s="37">
        <f>MAX($A$1:$A225)+1</f>
        <v>224</v>
      </c>
      <c r="B226" s="41" t="s">
        <v>31</v>
      </c>
      <c r="C226" s="41" t="s">
        <v>113</v>
      </c>
      <c r="D226" s="41" t="s">
        <v>118</v>
      </c>
      <c r="E226" s="41" t="s">
        <v>119</v>
      </c>
      <c r="F226" s="54">
        <v>48.838594999999998</v>
      </c>
      <c r="G226" s="46">
        <v>-125.135015</v>
      </c>
      <c r="H226" s="41" t="s">
        <v>116</v>
      </c>
      <c r="I226" s="41">
        <v>4</v>
      </c>
      <c r="J226" s="41">
        <v>180</v>
      </c>
      <c r="K226" s="60">
        <v>0.55555555555555602</v>
      </c>
      <c r="L226" s="41">
        <v>5.5</v>
      </c>
      <c r="M226" s="41">
        <v>10</v>
      </c>
      <c r="N226" s="41" t="s">
        <v>36</v>
      </c>
      <c r="O226" s="41">
        <v>1</v>
      </c>
      <c r="P226" s="41">
        <v>48</v>
      </c>
      <c r="Q226" s="41" t="s">
        <v>53</v>
      </c>
      <c r="R226" s="37" t="s">
        <v>54</v>
      </c>
      <c r="S226" s="48" t="s">
        <v>55</v>
      </c>
      <c r="T226" s="42">
        <f t="shared" si="22"/>
        <v>1</v>
      </c>
      <c r="U226" s="41">
        <v>0</v>
      </c>
      <c r="V226" s="41"/>
      <c r="W226" s="41"/>
      <c r="X226" s="41"/>
      <c r="Y226" s="41"/>
      <c r="Z226" s="41"/>
      <c r="AA226" s="41">
        <v>1</v>
      </c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</row>
    <row r="227" spans="1:49" hidden="1">
      <c r="A227" s="37">
        <f>MAX($A$1:$A226)+1</f>
        <v>225</v>
      </c>
      <c r="B227" s="41" t="s">
        <v>31</v>
      </c>
      <c r="C227" s="41" t="s">
        <v>113</v>
      </c>
      <c r="D227" s="41" t="s">
        <v>118</v>
      </c>
      <c r="E227" s="41" t="s">
        <v>119</v>
      </c>
      <c r="F227" s="54">
        <v>48.838594999999998</v>
      </c>
      <c r="G227" s="46">
        <v>-125.135015</v>
      </c>
      <c r="H227" s="41" t="s">
        <v>116</v>
      </c>
      <c r="I227" s="41">
        <v>4</v>
      </c>
      <c r="J227" s="41">
        <v>180</v>
      </c>
      <c r="K227" s="60">
        <v>0.55555555555555602</v>
      </c>
      <c r="L227" s="41">
        <v>5.5</v>
      </c>
      <c r="M227" s="41">
        <v>10</v>
      </c>
      <c r="N227" s="41" t="s">
        <v>36</v>
      </c>
      <c r="O227" s="41">
        <v>1</v>
      </c>
      <c r="P227" s="41">
        <v>48</v>
      </c>
      <c r="Q227" s="61" t="s">
        <v>83</v>
      </c>
      <c r="R227" s="64" t="s">
        <v>84</v>
      </c>
      <c r="S227" s="65" t="s">
        <v>85</v>
      </c>
      <c r="T227" s="42">
        <f t="shared" si="22"/>
        <v>1</v>
      </c>
      <c r="U227" s="41">
        <v>0</v>
      </c>
      <c r="V227" s="41"/>
      <c r="W227" s="41"/>
      <c r="X227" s="41"/>
      <c r="Y227" s="41">
        <v>1</v>
      </c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</row>
    <row r="228" spans="1:49" hidden="1">
      <c r="A228" s="37">
        <f>MAX($A$1:$A227)+1</f>
        <v>226</v>
      </c>
      <c r="B228" s="41" t="s">
        <v>31</v>
      </c>
      <c r="C228" s="41" t="s">
        <v>113</v>
      </c>
      <c r="D228" s="41" t="s">
        <v>118</v>
      </c>
      <c r="E228" s="41" t="s">
        <v>119</v>
      </c>
      <c r="F228" s="54">
        <v>48.838594999999998</v>
      </c>
      <c r="G228" s="46">
        <v>-125.135015</v>
      </c>
      <c r="H228" s="41" t="s">
        <v>116</v>
      </c>
      <c r="I228" s="41">
        <v>4</v>
      </c>
      <c r="J228" s="41">
        <v>180</v>
      </c>
      <c r="K228" s="60">
        <v>0.55555555555555602</v>
      </c>
      <c r="L228" s="41">
        <v>5.5</v>
      </c>
      <c r="M228" s="41">
        <v>10</v>
      </c>
      <c r="N228" s="41" t="s">
        <v>36</v>
      </c>
      <c r="O228" s="41">
        <v>2</v>
      </c>
      <c r="P228" s="41">
        <v>40</v>
      </c>
      <c r="Q228" s="61" t="s">
        <v>39</v>
      </c>
      <c r="R228" s="64" t="s">
        <v>40</v>
      </c>
      <c r="S228" s="65" t="s">
        <v>41</v>
      </c>
      <c r="T228" s="42">
        <f t="shared" si="22"/>
        <v>3</v>
      </c>
      <c r="U228" s="41">
        <v>0</v>
      </c>
      <c r="V228" s="41">
        <v>1</v>
      </c>
      <c r="W228" s="41">
        <v>1</v>
      </c>
      <c r="X228" s="41">
        <v>1</v>
      </c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</row>
    <row r="229" spans="1:49" hidden="1">
      <c r="A229" s="37">
        <f>MAX($A$1:$A228)+1</f>
        <v>227</v>
      </c>
      <c r="B229" s="41" t="s">
        <v>31</v>
      </c>
      <c r="C229" s="41" t="s">
        <v>113</v>
      </c>
      <c r="D229" s="41" t="s">
        <v>118</v>
      </c>
      <c r="E229" s="41" t="s">
        <v>119</v>
      </c>
      <c r="F229" s="54">
        <v>48.838594999999998</v>
      </c>
      <c r="G229" s="46">
        <v>-125.135015</v>
      </c>
      <c r="H229" s="41" t="s">
        <v>116</v>
      </c>
      <c r="I229" s="41">
        <v>4</v>
      </c>
      <c r="J229" s="41">
        <v>180</v>
      </c>
      <c r="K229" s="60">
        <v>0.55555555555555602</v>
      </c>
      <c r="L229" s="41">
        <v>5.5</v>
      </c>
      <c r="M229" s="41">
        <v>10</v>
      </c>
      <c r="N229" s="41" t="s">
        <v>36</v>
      </c>
      <c r="O229" s="41">
        <v>2</v>
      </c>
      <c r="P229" s="41">
        <v>40</v>
      </c>
      <c r="Q229" s="61" t="s">
        <v>83</v>
      </c>
      <c r="R229" s="64" t="s">
        <v>84</v>
      </c>
      <c r="S229" s="65" t="s">
        <v>85</v>
      </c>
      <c r="T229" s="42">
        <f t="shared" si="22"/>
        <v>1</v>
      </c>
      <c r="U229" s="41">
        <v>0</v>
      </c>
      <c r="V229" s="41"/>
      <c r="W229" s="41"/>
      <c r="X229" s="41"/>
      <c r="Y229" s="41">
        <v>1</v>
      </c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</row>
    <row r="230" spans="1:49" hidden="1">
      <c r="A230" s="37">
        <f>MAX($A$1:$A229)+1</f>
        <v>228</v>
      </c>
      <c r="B230" s="41" t="s">
        <v>31</v>
      </c>
      <c r="C230" s="41" t="s">
        <v>113</v>
      </c>
      <c r="D230" s="41" t="s">
        <v>118</v>
      </c>
      <c r="E230" s="41" t="s">
        <v>119</v>
      </c>
      <c r="F230" s="54">
        <v>48.838594999999998</v>
      </c>
      <c r="G230" s="46">
        <v>-125.135015</v>
      </c>
      <c r="H230" s="41" t="s">
        <v>116</v>
      </c>
      <c r="I230" s="41">
        <v>4</v>
      </c>
      <c r="J230" s="41">
        <v>180</v>
      </c>
      <c r="K230" s="60">
        <v>0.55555555555555602</v>
      </c>
      <c r="L230" s="41">
        <v>5.5</v>
      </c>
      <c r="M230" s="41">
        <v>10</v>
      </c>
      <c r="N230" s="41" t="s">
        <v>36</v>
      </c>
      <c r="O230" s="41">
        <v>1</v>
      </c>
      <c r="P230" s="41">
        <v>32</v>
      </c>
      <c r="Q230" s="61" t="s">
        <v>39</v>
      </c>
      <c r="R230" s="64" t="s">
        <v>40</v>
      </c>
      <c r="S230" s="65" t="s">
        <v>41</v>
      </c>
      <c r="T230" s="42">
        <f t="shared" si="22"/>
        <v>2</v>
      </c>
      <c r="U230" s="41">
        <v>0</v>
      </c>
      <c r="V230" s="41"/>
      <c r="W230" s="41">
        <v>1</v>
      </c>
      <c r="X230" s="41"/>
      <c r="Y230" s="41">
        <v>1</v>
      </c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</row>
    <row r="231" spans="1:49" hidden="1">
      <c r="A231" s="37">
        <f>MAX($A$1:$A230)+1</f>
        <v>229</v>
      </c>
      <c r="B231" s="41" t="s">
        <v>31</v>
      </c>
      <c r="C231" s="41" t="s">
        <v>113</v>
      </c>
      <c r="D231" s="41" t="s">
        <v>118</v>
      </c>
      <c r="E231" s="41" t="s">
        <v>119</v>
      </c>
      <c r="F231" s="54">
        <v>48.838594999999998</v>
      </c>
      <c r="G231" s="46">
        <v>-125.135015</v>
      </c>
      <c r="H231" s="41" t="s">
        <v>116</v>
      </c>
      <c r="I231" s="41">
        <v>4</v>
      </c>
      <c r="J231" s="41">
        <v>180</v>
      </c>
      <c r="K231" s="60">
        <v>0.55555555555555602</v>
      </c>
      <c r="L231" s="41">
        <v>5.5</v>
      </c>
      <c r="M231" s="41">
        <v>10</v>
      </c>
      <c r="N231" s="41" t="s">
        <v>36</v>
      </c>
      <c r="O231" s="41">
        <v>1</v>
      </c>
      <c r="P231" s="41">
        <v>32</v>
      </c>
      <c r="Q231" s="61" t="s">
        <v>45</v>
      </c>
      <c r="R231" s="64" t="s">
        <v>46</v>
      </c>
      <c r="S231" s="65" t="s">
        <v>47</v>
      </c>
      <c r="T231" s="42">
        <f t="shared" si="22"/>
        <v>2</v>
      </c>
      <c r="U231" s="41">
        <v>0</v>
      </c>
      <c r="V231" s="41"/>
      <c r="W231" s="41"/>
      <c r="X231" s="41">
        <v>1</v>
      </c>
      <c r="Y231" s="41">
        <v>1</v>
      </c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</row>
    <row r="232" spans="1:49" hidden="1">
      <c r="A232" s="37">
        <f>MAX($A$1:$A231)+1</f>
        <v>230</v>
      </c>
      <c r="B232" s="41" t="s">
        <v>31</v>
      </c>
      <c r="C232" s="41" t="s">
        <v>113</v>
      </c>
      <c r="D232" s="41" t="s">
        <v>118</v>
      </c>
      <c r="E232" s="41" t="s">
        <v>119</v>
      </c>
      <c r="F232" s="54">
        <v>48.838594999999998</v>
      </c>
      <c r="G232" s="46">
        <v>-125.135015</v>
      </c>
      <c r="H232" s="41" t="s">
        <v>116</v>
      </c>
      <c r="I232" s="41">
        <v>4</v>
      </c>
      <c r="J232" s="41">
        <v>180</v>
      </c>
      <c r="K232" s="60">
        <v>0.55555555555555602</v>
      </c>
      <c r="L232" s="41">
        <v>5.5</v>
      </c>
      <c r="M232" s="41">
        <v>10</v>
      </c>
      <c r="N232" s="41" t="s">
        <v>36</v>
      </c>
      <c r="O232" s="41">
        <v>2</v>
      </c>
      <c r="P232" s="41">
        <v>24</v>
      </c>
      <c r="Q232" s="61" t="s">
        <v>39</v>
      </c>
      <c r="R232" s="64" t="s">
        <v>40</v>
      </c>
      <c r="S232" s="65" t="s">
        <v>41</v>
      </c>
      <c r="T232" s="42">
        <f t="shared" si="22"/>
        <v>6</v>
      </c>
      <c r="U232" s="41">
        <v>0</v>
      </c>
      <c r="V232" s="41"/>
      <c r="W232" s="41">
        <v>2</v>
      </c>
      <c r="X232" s="41">
        <v>2</v>
      </c>
      <c r="Y232" s="41">
        <v>1</v>
      </c>
      <c r="Z232" s="41">
        <v>1</v>
      </c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</row>
    <row r="233" spans="1:49" hidden="1">
      <c r="A233" s="37">
        <f>MAX($A$1:$A232)+1</f>
        <v>231</v>
      </c>
      <c r="B233" s="41" t="s">
        <v>31</v>
      </c>
      <c r="C233" s="41" t="s">
        <v>113</v>
      </c>
      <c r="D233" s="41" t="s">
        <v>118</v>
      </c>
      <c r="E233" s="41" t="s">
        <v>119</v>
      </c>
      <c r="F233" s="54">
        <v>48.838594999999998</v>
      </c>
      <c r="G233" s="46">
        <v>-125.135015</v>
      </c>
      <c r="H233" s="41" t="s">
        <v>116</v>
      </c>
      <c r="I233" s="41">
        <v>4</v>
      </c>
      <c r="J233" s="41">
        <v>180</v>
      </c>
      <c r="K233" s="60">
        <v>0.55555555555555602</v>
      </c>
      <c r="L233" s="41">
        <v>5.5</v>
      </c>
      <c r="M233" s="41">
        <v>10</v>
      </c>
      <c r="N233" s="41" t="s">
        <v>36</v>
      </c>
      <c r="O233" s="41">
        <v>2</v>
      </c>
      <c r="P233" s="41">
        <v>24</v>
      </c>
      <c r="Q233" s="61" t="s">
        <v>45</v>
      </c>
      <c r="R233" s="64" t="s">
        <v>46</v>
      </c>
      <c r="S233" s="65" t="s">
        <v>47</v>
      </c>
      <c r="T233" s="42">
        <f t="shared" si="22"/>
        <v>2</v>
      </c>
      <c r="U233" s="41">
        <v>0</v>
      </c>
      <c r="V233" s="41"/>
      <c r="W233" s="41"/>
      <c r="X233" s="41">
        <v>2</v>
      </c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</row>
    <row r="234" spans="1:49" hidden="1">
      <c r="A234" s="37">
        <f>MAX($A$1:$A233)+1</f>
        <v>232</v>
      </c>
      <c r="B234" s="41" t="s">
        <v>31</v>
      </c>
      <c r="C234" s="41" t="s">
        <v>113</v>
      </c>
      <c r="D234" s="41" t="s">
        <v>118</v>
      </c>
      <c r="E234" s="41" t="s">
        <v>119</v>
      </c>
      <c r="F234" s="54">
        <v>48.838594999999998</v>
      </c>
      <c r="G234" s="46">
        <v>-125.135015</v>
      </c>
      <c r="H234" s="41" t="s">
        <v>116</v>
      </c>
      <c r="I234" s="41">
        <v>4</v>
      </c>
      <c r="J234" s="41">
        <v>180</v>
      </c>
      <c r="K234" s="60">
        <v>0.55555555555555602</v>
      </c>
      <c r="L234" s="41">
        <v>5.5</v>
      </c>
      <c r="M234" s="41">
        <v>10</v>
      </c>
      <c r="N234" s="41" t="s">
        <v>36</v>
      </c>
      <c r="O234" s="41">
        <v>2</v>
      </c>
      <c r="P234" s="41">
        <v>24</v>
      </c>
      <c r="Q234" s="41" t="s">
        <v>53</v>
      </c>
      <c r="R234" s="37" t="s">
        <v>54</v>
      </c>
      <c r="S234" s="48" t="s">
        <v>55</v>
      </c>
      <c r="T234" s="42">
        <f t="shared" si="22"/>
        <v>1</v>
      </c>
      <c r="U234" s="41">
        <v>0</v>
      </c>
      <c r="V234" s="41"/>
      <c r="W234" s="41"/>
      <c r="X234" s="41"/>
      <c r="Y234" s="41">
        <v>1</v>
      </c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</row>
    <row r="235" spans="1:49" hidden="1">
      <c r="A235" s="37">
        <f>MAX($A$1:$A234)+1</f>
        <v>233</v>
      </c>
      <c r="B235" s="41" t="s">
        <v>31</v>
      </c>
      <c r="C235" s="41" t="s">
        <v>113</v>
      </c>
      <c r="D235" s="41" t="s">
        <v>118</v>
      </c>
      <c r="E235" s="41" t="s">
        <v>119</v>
      </c>
      <c r="F235" s="54">
        <v>48.838594999999998</v>
      </c>
      <c r="G235" s="46">
        <v>-125.135015</v>
      </c>
      <c r="H235" s="41" t="s">
        <v>116</v>
      </c>
      <c r="I235" s="41">
        <v>4</v>
      </c>
      <c r="J235" s="41">
        <v>180</v>
      </c>
      <c r="K235" s="60">
        <v>0.55555555555555602</v>
      </c>
      <c r="L235" s="41">
        <v>5.5</v>
      </c>
      <c r="M235" s="41">
        <v>10</v>
      </c>
      <c r="N235" s="41" t="s">
        <v>36</v>
      </c>
      <c r="O235" s="41">
        <v>1</v>
      </c>
      <c r="P235" s="41">
        <v>16</v>
      </c>
      <c r="Q235" s="61" t="s">
        <v>39</v>
      </c>
      <c r="R235" s="64" t="s">
        <v>40</v>
      </c>
      <c r="S235" s="65" t="s">
        <v>41</v>
      </c>
      <c r="T235" s="42">
        <f t="shared" si="22"/>
        <v>6</v>
      </c>
      <c r="U235" s="41">
        <v>0</v>
      </c>
      <c r="V235" s="41"/>
      <c r="W235" s="41">
        <v>4</v>
      </c>
      <c r="X235" s="41">
        <v>2</v>
      </c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</row>
    <row r="236" spans="1:49" hidden="1">
      <c r="A236" s="37">
        <f>MAX($A$1:$A235)+1</f>
        <v>234</v>
      </c>
      <c r="B236" s="41" t="s">
        <v>31</v>
      </c>
      <c r="C236" s="41" t="s">
        <v>113</v>
      </c>
      <c r="D236" s="41" t="s">
        <v>118</v>
      </c>
      <c r="E236" s="41" t="s">
        <v>119</v>
      </c>
      <c r="F236" s="54">
        <v>48.838594999999998</v>
      </c>
      <c r="G236" s="46">
        <v>-125.135015</v>
      </c>
      <c r="H236" s="41" t="s">
        <v>116</v>
      </c>
      <c r="I236" s="41">
        <v>4</v>
      </c>
      <c r="J236" s="41">
        <v>180</v>
      </c>
      <c r="K236" s="60">
        <v>0.55555555555555602</v>
      </c>
      <c r="L236" s="41">
        <v>5.5</v>
      </c>
      <c r="M236" s="41">
        <v>10</v>
      </c>
      <c r="N236" s="41" t="s">
        <v>36</v>
      </c>
      <c r="O236" s="41">
        <v>1</v>
      </c>
      <c r="P236" s="41">
        <v>16</v>
      </c>
      <c r="Q236" s="61" t="s">
        <v>45</v>
      </c>
      <c r="R236" s="64" t="s">
        <v>46</v>
      </c>
      <c r="S236" s="65" t="s">
        <v>47</v>
      </c>
      <c r="T236" s="42">
        <f t="shared" si="22"/>
        <v>1</v>
      </c>
      <c r="U236" s="41">
        <v>0</v>
      </c>
      <c r="V236" s="41"/>
      <c r="W236" s="41"/>
      <c r="X236" s="41">
        <v>1</v>
      </c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</row>
    <row r="237" spans="1:49" hidden="1">
      <c r="A237" s="37">
        <f>MAX($A$1:$A236)+1</f>
        <v>235</v>
      </c>
      <c r="B237" s="41" t="s">
        <v>31</v>
      </c>
      <c r="C237" s="41" t="s">
        <v>113</v>
      </c>
      <c r="D237" s="41" t="s">
        <v>118</v>
      </c>
      <c r="E237" s="41" t="s">
        <v>119</v>
      </c>
      <c r="F237" s="54">
        <v>48.838594999999998</v>
      </c>
      <c r="G237" s="46">
        <v>-125.135015</v>
      </c>
      <c r="H237" s="41" t="s">
        <v>116</v>
      </c>
      <c r="I237" s="41">
        <v>4</v>
      </c>
      <c r="J237" s="41">
        <v>180</v>
      </c>
      <c r="K237" s="60">
        <v>0.55555555555555602</v>
      </c>
      <c r="L237" s="41">
        <v>5.5</v>
      </c>
      <c r="M237" s="41">
        <v>10</v>
      </c>
      <c r="N237" s="41" t="s">
        <v>36</v>
      </c>
      <c r="O237" s="41">
        <v>2</v>
      </c>
      <c r="P237" s="41">
        <v>8</v>
      </c>
      <c r="Q237" s="61" t="s">
        <v>39</v>
      </c>
      <c r="R237" s="64" t="s">
        <v>40</v>
      </c>
      <c r="S237" s="65" t="s">
        <v>41</v>
      </c>
      <c r="T237" s="42">
        <f t="shared" si="22"/>
        <v>4</v>
      </c>
      <c r="U237" s="41">
        <v>0</v>
      </c>
      <c r="V237" s="41">
        <v>1</v>
      </c>
      <c r="W237" s="41">
        <v>2</v>
      </c>
      <c r="X237" s="41">
        <v>1</v>
      </c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</row>
    <row r="238" spans="1:49" hidden="1">
      <c r="A238" s="37">
        <f>MAX($A$1:$A237)+1</f>
        <v>236</v>
      </c>
      <c r="B238" s="41" t="s">
        <v>31</v>
      </c>
      <c r="C238" s="41" t="s">
        <v>113</v>
      </c>
      <c r="D238" s="41" t="s">
        <v>118</v>
      </c>
      <c r="E238" s="41" t="s">
        <v>119</v>
      </c>
      <c r="F238" s="54">
        <v>48.838594999999998</v>
      </c>
      <c r="G238" s="46">
        <v>-125.135015</v>
      </c>
      <c r="H238" s="41" t="s">
        <v>116</v>
      </c>
      <c r="I238" s="41">
        <v>4</v>
      </c>
      <c r="J238" s="41">
        <v>180</v>
      </c>
      <c r="K238" s="60">
        <v>0.55555555555555602</v>
      </c>
      <c r="L238" s="41">
        <v>5.5</v>
      </c>
      <c r="M238" s="41">
        <v>10</v>
      </c>
      <c r="N238" s="41" t="s">
        <v>36</v>
      </c>
      <c r="O238" s="41">
        <v>2</v>
      </c>
      <c r="P238" s="41">
        <v>8</v>
      </c>
      <c r="Q238" s="61" t="s">
        <v>45</v>
      </c>
      <c r="R238" s="64" t="s">
        <v>46</v>
      </c>
      <c r="S238" s="65" t="s">
        <v>47</v>
      </c>
      <c r="T238" s="42">
        <f t="shared" si="22"/>
        <v>1</v>
      </c>
      <c r="U238" s="41">
        <v>0</v>
      </c>
      <c r="V238" s="41"/>
      <c r="W238" s="41"/>
      <c r="X238" s="41"/>
      <c r="Y238" s="41">
        <v>1</v>
      </c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</row>
    <row r="239" spans="1:49" hidden="1">
      <c r="A239" s="37">
        <f>MAX($A$1:$A238)+1</f>
        <v>237</v>
      </c>
      <c r="B239" s="41" t="s">
        <v>31</v>
      </c>
      <c r="C239" s="41" t="s">
        <v>113</v>
      </c>
      <c r="D239" s="41" t="s">
        <v>118</v>
      </c>
      <c r="E239" s="41" t="s">
        <v>119</v>
      </c>
      <c r="F239" s="54">
        <v>48.838594999999998</v>
      </c>
      <c r="G239" s="46">
        <v>-125.135015</v>
      </c>
      <c r="H239" s="41" t="s">
        <v>116</v>
      </c>
      <c r="I239" s="41">
        <v>4</v>
      </c>
      <c r="J239" s="41">
        <v>180</v>
      </c>
      <c r="K239" s="60">
        <v>0.55555555555555602</v>
      </c>
      <c r="L239" s="41">
        <v>5.5</v>
      </c>
      <c r="M239" s="41">
        <v>10</v>
      </c>
      <c r="N239" s="41" t="s">
        <v>36</v>
      </c>
      <c r="O239" s="41">
        <v>1</v>
      </c>
      <c r="P239" s="41">
        <v>0</v>
      </c>
      <c r="Q239" s="61" t="s">
        <v>39</v>
      </c>
      <c r="R239" s="64" t="s">
        <v>40</v>
      </c>
      <c r="S239" s="65" t="s">
        <v>41</v>
      </c>
      <c r="T239" s="42">
        <f t="shared" si="22"/>
        <v>5</v>
      </c>
      <c r="U239" s="41">
        <v>0</v>
      </c>
      <c r="V239" s="41">
        <v>2</v>
      </c>
      <c r="W239" s="41">
        <v>1</v>
      </c>
      <c r="X239" s="41"/>
      <c r="Y239" s="41">
        <v>2</v>
      </c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</row>
    <row r="240" spans="1:49" hidden="1">
      <c r="A240" s="37">
        <f>MAX($A$1:$A239)+1</f>
        <v>238</v>
      </c>
      <c r="B240" s="41" t="s">
        <v>31</v>
      </c>
      <c r="C240" s="41" t="s">
        <v>113</v>
      </c>
      <c r="D240" s="41" t="s">
        <v>118</v>
      </c>
      <c r="E240" s="41" t="s">
        <v>119</v>
      </c>
      <c r="F240" s="54">
        <v>48.838594999999998</v>
      </c>
      <c r="G240" s="46">
        <v>-125.135015</v>
      </c>
      <c r="H240" s="41" t="s">
        <v>116</v>
      </c>
      <c r="I240" s="41">
        <v>4</v>
      </c>
      <c r="J240" s="41">
        <v>180</v>
      </c>
      <c r="K240" s="60">
        <v>0.55555555555555602</v>
      </c>
      <c r="L240" s="41">
        <v>5.5</v>
      </c>
      <c r="M240" s="41">
        <v>10</v>
      </c>
      <c r="N240" s="41" t="s">
        <v>36</v>
      </c>
      <c r="O240" s="41">
        <v>1</v>
      </c>
      <c r="P240" s="41">
        <v>0</v>
      </c>
      <c r="Q240" s="41" t="s">
        <v>48</v>
      </c>
      <c r="R240" s="37" t="s">
        <v>49</v>
      </c>
      <c r="S240" s="48" t="s">
        <v>50</v>
      </c>
      <c r="T240" s="42">
        <f t="shared" si="22"/>
        <v>1</v>
      </c>
      <c r="U240" s="41">
        <v>0</v>
      </c>
      <c r="V240" s="41"/>
      <c r="W240" s="41"/>
      <c r="X240" s="41">
        <v>1</v>
      </c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</row>
    <row r="241" spans="1:49" hidden="1">
      <c r="A241" s="37">
        <f>MAX($A$1:$A240)+1</f>
        <v>239</v>
      </c>
      <c r="B241" s="41" t="s">
        <v>31</v>
      </c>
      <c r="C241" s="41" t="s">
        <v>113</v>
      </c>
      <c r="D241" s="41" t="s">
        <v>118</v>
      </c>
      <c r="E241" s="41" t="s">
        <v>119</v>
      </c>
      <c r="F241" s="54">
        <v>48.838594999999998</v>
      </c>
      <c r="G241" s="46">
        <v>-125.135015</v>
      </c>
      <c r="H241" s="41" t="s">
        <v>116</v>
      </c>
      <c r="I241" s="41">
        <v>4</v>
      </c>
      <c r="J241" s="41">
        <v>330</v>
      </c>
      <c r="K241" s="60">
        <v>0.55555555555555602</v>
      </c>
      <c r="L241" s="41">
        <v>5.7</v>
      </c>
      <c r="M241" s="41">
        <v>10</v>
      </c>
      <c r="N241" s="41" t="s">
        <v>36</v>
      </c>
      <c r="O241" s="41">
        <v>1</v>
      </c>
      <c r="P241" s="41">
        <v>0</v>
      </c>
      <c r="Q241" s="61" t="s">
        <v>39</v>
      </c>
      <c r="R241" s="64" t="s">
        <v>40</v>
      </c>
      <c r="S241" s="65" t="s">
        <v>41</v>
      </c>
      <c r="T241" s="42">
        <f t="shared" ref="T241:T255" si="23">SUM(U241:AW241)</f>
        <v>2</v>
      </c>
      <c r="U241" s="41">
        <v>0</v>
      </c>
      <c r="V241" s="41"/>
      <c r="W241" s="41"/>
      <c r="X241" s="41"/>
      <c r="Y241" s="41">
        <v>1</v>
      </c>
      <c r="Z241" s="41">
        <v>1</v>
      </c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</row>
    <row r="242" spans="1:49" hidden="1">
      <c r="A242" s="37">
        <f>MAX($A$1:$A241)+1</f>
        <v>240</v>
      </c>
      <c r="B242" s="41" t="s">
        <v>31</v>
      </c>
      <c r="C242" s="41" t="s">
        <v>113</v>
      </c>
      <c r="D242" s="41" t="s">
        <v>118</v>
      </c>
      <c r="E242" s="41" t="s">
        <v>119</v>
      </c>
      <c r="F242" s="54">
        <v>48.838594999999998</v>
      </c>
      <c r="G242" s="46">
        <v>-125.135015</v>
      </c>
      <c r="H242" s="41" t="s">
        <v>116</v>
      </c>
      <c r="I242" s="41">
        <v>4</v>
      </c>
      <c r="J242" s="41">
        <v>330</v>
      </c>
      <c r="K242" s="60">
        <v>0.55555555555555602</v>
      </c>
      <c r="L242" s="41">
        <v>5.7</v>
      </c>
      <c r="M242" s="41">
        <v>10</v>
      </c>
      <c r="N242" s="41" t="s">
        <v>36</v>
      </c>
      <c r="O242" s="41">
        <v>2</v>
      </c>
      <c r="P242" s="41">
        <v>8</v>
      </c>
      <c r="Q242" s="61" t="s">
        <v>39</v>
      </c>
      <c r="R242" s="64" t="s">
        <v>40</v>
      </c>
      <c r="S242" s="65" t="s">
        <v>41</v>
      </c>
      <c r="T242" s="42">
        <f t="shared" si="23"/>
        <v>4</v>
      </c>
      <c r="U242" s="41">
        <v>0</v>
      </c>
      <c r="V242" s="41">
        <v>1</v>
      </c>
      <c r="W242" s="41">
        <v>2</v>
      </c>
      <c r="X242" s="41">
        <v>1</v>
      </c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</row>
    <row r="243" spans="1:49" hidden="1">
      <c r="A243" s="37">
        <f>MAX($A$1:$A242)+1</f>
        <v>241</v>
      </c>
      <c r="B243" s="41" t="s">
        <v>31</v>
      </c>
      <c r="C243" s="41" t="s">
        <v>113</v>
      </c>
      <c r="D243" s="41" t="s">
        <v>118</v>
      </c>
      <c r="E243" s="41" t="s">
        <v>119</v>
      </c>
      <c r="F243" s="54">
        <v>48.838594999999998</v>
      </c>
      <c r="G243" s="46">
        <v>-125.135015</v>
      </c>
      <c r="H243" s="41" t="s">
        <v>116</v>
      </c>
      <c r="I243" s="41">
        <v>4</v>
      </c>
      <c r="J243" s="41">
        <v>330</v>
      </c>
      <c r="K243" s="60">
        <v>0.55555555555555602</v>
      </c>
      <c r="L243" s="41">
        <v>5.7</v>
      </c>
      <c r="M243" s="41">
        <v>10</v>
      </c>
      <c r="N243" s="41" t="s">
        <v>36</v>
      </c>
      <c r="O243" s="41">
        <v>2</v>
      </c>
      <c r="P243" s="41">
        <v>8</v>
      </c>
      <c r="Q243" s="41" t="s">
        <v>53</v>
      </c>
      <c r="R243" s="37" t="s">
        <v>54</v>
      </c>
      <c r="S243" s="48" t="s">
        <v>55</v>
      </c>
      <c r="T243" s="42">
        <f t="shared" si="23"/>
        <v>1</v>
      </c>
      <c r="U243" s="41">
        <v>0</v>
      </c>
      <c r="V243" s="41"/>
      <c r="W243" s="41"/>
      <c r="X243" s="41"/>
      <c r="Y243" s="41"/>
      <c r="Z243" s="41"/>
      <c r="AA243" s="41"/>
      <c r="AB243" s="41">
        <v>1</v>
      </c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</row>
    <row r="244" spans="1:49" hidden="1">
      <c r="A244" s="37">
        <f>MAX($A$1:$A243)+1</f>
        <v>242</v>
      </c>
      <c r="B244" s="41" t="s">
        <v>31</v>
      </c>
      <c r="C244" s="41" t="s">
        <v>113</v>
      </c>
      <c r="D244" s="41" t="s">
        <v>118</v>
      </c>
      <c r="E244" s="41" t="s">
        <v>119</v>
      </c>
      <c r="F244" s="54">
        <v>48.838594999999998</v>
      </c>
      <c r="G244" s="46">
        <v>-125.135015</v>
      </c>
      <c r="H244" s="41" t="s">
        <v>116</v>
      </c>
      <c r="I244" s="41">
        <v>4</v>
      </c>
      <c r="J244" s="41">
        <v>330</v>
      </c>
      <c r="K244" s="60">
        <v>0.55555555555555602</v>
      </c>
      <c r="L244" s="41">
        <v>5.7</v>
      </c>
      <c r="M244" s="41">
        <v>10</v>
      </c>
      <c r="N244" s="41" t="s">
        <v>36</v>
      </c>
      <c r="O244" s="41">
        <v>2</v>
      </c>
      <c r="P244" s="41">
        <v>8</v>
      </c>
      <c r="Q244" s="61" t="s">
        <v>45</v>
      </c>
      <c r="R244" s="64" t="s">
        <v>46</v>
      </c>
      <c r="S244" s="65" t="s">
        <v>47</v>
      </c>
      <c r="T244" s="42">
        <f t="shared" si="23"/>
        <v>1</v>
      </c>
      <c r="U244" s="41">
        <v>0</v>
      </c>
      <c r="V244" s="41"/>
      <c r="W244" s="41"/>
      <c r="X244" s="41"/>
      <c r="Y244" s="41">
        <v>1</v>
      </c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</row>
    <row r="245" spans="1:49" hidden="1">
      <c r="A245" s="37">
        <f>MAX($A$1:$A244)+1</f>
        <v>243</v>
      </c>
      <c r="B245" s="41" t="s">
        <v>31</v>
      </c>
      <c r="C245" s="41" t="s">
        <v>113</v>
      </c>
      <c r="D245" s="41" t="s">
        <v>118</v>
      </c>
      <c r="E245" s="41" t="s">
        <v>119</v>
      </c>
      <c r="F245" s="54">
        <v>48.838594999999998</v>
      </c>
      <c r="G245" s="46">
        <v>-125.135015</v>
      </c>
      <c r="H245" s="41" t="s">
        <v>116</v>
      </c>
      <c r="I245" s="41">
        <v>4</v>
      </c>
      <c r="J245" s="41">
        <v>330</v>
      </c>
      <c r="K245" s="60">
        <v>0.55555555555555602</v>
      </c>
      <c r="L245" s="41">
        <v>5.7</v>
      </c>
      <c r="M245" s="41">
        <v>10</v>
      </c>
      <c r="N245" s="41" t="s">
        <v>36</v>
      </c>
      <c r="O245" s="41">
        <v>1</v>
      </c>
      <c r="P245" s="41">
        <v>16</v>
      </c>
      <c r="Q245" s="41" t="s">
        <v>112</v>
      </c>
      <c r="R245" s="28" t="s">
        <v>38</v>
      </c>
      <c r="S245" s="31"/>
      <c r="T245" s="42">
        <f t="shared" si="23"/>
        <v>0</v>
      </c>
      <c r="U245" s="41">
        <v>0</v>
      </c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</row>
    <row r="246" spans="1:49" hidden="1">
      <c r="A246" s="37">
        <f>MAX($A$1:$A245)+1</f>
        <v>244</v>
      </c>
      <c r="B246" s="41" t="s">
        <v>31</v>
      </c>
      <c r="C246" s="41" t="s">
        <v>113</v>
      </c>
      <c r="D246" s="41" t="s">
        <v>118</v>
      </c>
      <c r="E246" s="41" t="s">
        <v>119</v>
      </c>
      <c r="F246" s="54">
        <v>48.838594999999998</v>
      </c>
      <c r="G246" s="46">
        <v>-125.135015</v>
      </c>
      <c r="H246" s="41" t="s">
        <v>116</v>
      </c>
      <c r="I246" s="41">
        <v>4</v>
      </c>
      <c r="J246" s="41">
        <v>330</v>
      </c>
      <c r="K246" s="60">
        <v>0.55555555555555602</v>
      </c>
      <c r="L246" s="41">
        <v>5.7</v>
      </c>
      <c r="M246" s="41">
        <v>10</v>
      </c>
      <c r="N246" s="41" t="s">
        <v>36</v>
      </c>
      <c r="O246" s="41">
        <v>2</v>
      </c>
      <c r="P246" s="41">
        <v>24</v>
      </c>
      <c r="Q246" s="61" t="s">
        <v>39</v>
      </c>
      <c r="R246" s="64" t="s">
        <v>40</v>
      </c>
      <c r="S246" s="65" t="s">
        <v>41</v>
      </c>
      <c r="T246" s="42">
        <f t="shared" si="23"/>
        <v>8</v>
      </c>
      <c r="U246" s="41">
        <v>0</v>
      </c>
      <c r="V246" s="41">
        <v>2</v>
      </c>
      <c r="W246" s="41">
        <v>4</v>
      </c>
      <c r="X246" s="41">
        <v>2</v>
      </c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</row>
    <row r="247" spans="1:49" hidden="1">
      <c r="A247" s="37">
        <f>MAX($A$1:$A246)+1</f>
        <v>245</v>
      </c>
      <c r="B247" s="41" t="s">
        <v>31</v>
      </c>
      <c r="C247" s="41" t="s">
        <v>113</v>
      </c>
      <c r="D247" s="41" t="s">
        <v>118</v>
      </c>
      <c r="E247" s="41" t="s">
        <v>119</v>
      </c>
      <c r="F247" s="54">
        <v>48.838594999999998</v>
      </c>
      <c r="G247" s="46">
        <v>-125.135015</v>
      </c>
      <c r="H247" s="41" t="s">
        <v>116</v>
      </c>
      <c r="I247" s="41">
        <v>4</v>
      </c>
      <c r="J247" s="41">
        <v>330</v>
      </c>
      <c r="K247" s="60">
        <v>0.55555555555555602</v>
      </c>
      <c r="L247" s="41">
        <v>5.7</v>
      </c>
      <c r="M247" s="41">
        <v>10</v>
      </c>
      <c r="N247" s="41" t="s">
        <v>36</v>
      </c>
      <c r="O247" s="41">
        <v>2</v>
      </c>
      <c r="P247" s="41">
        <v>24</v>
      </c>
      <c r="Q247" s="41" t="s">
        <v>53</v>
      </c>
      <c r="R247" s="37" t="s">
        <v>54</v>
      </c>
      <c r="S247" s="48" t="s">
        <v>55</v>
      </c>
      <c r="T247" s="42">
        <f t="shared" si="23"/>
        <v>1</v>
      </c>
      <c r="U247" s="41">
        <v>0</v>
      </c>
      <c r="V247" s="41"/>
      <c r="W247" s="41"/>
      <c r="X247" s="41"/>
      <c r="Y247" s="41">
        <v>1</v>
      </c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</row>
    <row r="248" spans="1:49" hidden="1">
      <c r="A248" s="37">
        <f>MAX($A$1:$A247)+1</f>
        <v>246</v>
      </c>
      <c r="B248" s="41" t="s">
        <v>31</v>
      </c>
      <c r="C248" s="41" t="s">
        <v>113</v>
      </c>
      <c r="D248" s="41" t="s">
        <v>118</v>
      </c>
      <c r="E248" s="41" t="s">
        <v>119</v>
      </c>
      <c r="F248" s="54">
        <v>48.838594999999998</v>
      </c>
      <c r="G248" s="46">
        <v>-125.135015</v>
      </c>
      <c r="H248" s="41" t="s">
        <v>116</v>
      </c>
      <c r="I248" s="41">
        <v>4</v>
      </c>
      <c r="J248" s="41">
        <v>330</v>
      </c>
      <c r="K248" s="60">
        <v>0.55555555555555602</v>
      </c>
      <c r="L248" s="41">
        <v>5.7</v>
      </c>
      <c r="M248" s="41">
        <v>10</v>
      </c>
      <c r="N248" s="41" t="s">
        <v>36</v>
      </c>
      <c r="O248" s="41">
        <v>2</v>
      </c>
      <c r="P248" s="41">
        <v>24</v>
      </c>
      <c r="Q248" s="61" t="s">
        <v>45</v>
      </c>
      <c r="R248" s="64" t="s">
        <v>46</v>
      </c>
      <c r="S248" s="65" t="s">
        <v>47</v>
      </c>
      <c r="T248" s="42">
        <f t="shared" si="23"/>
        <v>1</v>
      </c>
      <c r="U248" s="41">
        <v>0</v>
      </c>
      <c r="V248" s="41"/>
      <c r="W248" s="41"/>
      <c r="X248" s="41"/>
      <c r="Y248" s="41">
        <v>1</v>
      </c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</row>
    <row r="249" spans="1:49" hidden="1">
      <c r="A249" s="37">
        <f>MAX($A$1:$A248)+1</f>
        <v>247</v>
      </c>
      <c r="B249" s="41" t="s">
        <v>31</v>
      </c>
      <c r="C249" s="41" t="s">
        <v>113</v>
      </c>
      <c r="D249" s="41" t="s">
        <v>118</v>
      </c>
      <c r="E249" s="41" t="s">
        <v>119</v>
      </c>
      <c r="F249" s="54">
        <v>48.838594999999998</v>
      </c>
      <c r="G249" s="46">
        <v>-125.135015</v>
      </c>
      <c r="H249" s="41" t="s">
        <v>116</v>
      </c>
      <c r="I249" s="41">
        <v>4</v>
      </c>
      <c r="J249" s="41">
        <v>330</v>
      </c>
      <c r="K249" s="60">
        <v>0.55555555555555602</v>
      </c>
      <c r="L249" s="41">
        <v>5.7</v>
      </c>
      <c r="M249" s="41">
        <v>10</v>
      </c>
      <c r="N249" s="41" t="s">
        <v>36</v>
      </c>
      <c r="O249" s="41">
        <v>1</v>
      </c>
      <c r="P249" s="41">
        <v>32</v>
      </c>
      <c r="Q249" s="61" t="s">
        <v>39</v>
      </c>
      <c r="R249" s="64" t="s">
        <v>40</v>
      </c>
      <c r="S249" s="65" t="s">
        <v>41</v>
      </c>
      <c r="T249" s="42">
        <f t="shared" si="23"/>
        <v>5</v>
      </c>
      <c r="U249" s="41">
        <v>0</v>
      </c>
      <c r="V249" s="41"/>
      <c r="W249" s="41">
        <v>1</v>
      </c>
      <c r="X249" s="41">
        <v>2</v>
      </c>
      <c r="Y249" s="41">
        <v>1</v>
      </c>
      <c r="Z249" s="41">
        <v>1</v>
      </c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</row>
    <row r="250" spans="1:49" hidden="1">
      <c r="A250" s="37">
        <f>MAX($A$1:$A249)+1</f>
        <v>248</v>
      </c>
      <c r="B250" s="41" t="s">
        <v>31</v>
      </c>
      <c r="C250" s="41" t="s">
        <v>113</v>
      </c>
      <c r="D250" s="41" t="s">
        <v>118</v>
      </c>
      <c r="E250" s="41" t="s">
        <v>119</v>
      </c>
      <c r="F250" s="54">
        <v>48.838594999999998</v>
      </c>
      <c r="G250" s="46">
        <v>-125.135015</v>
      </c>
      <c r="H250" s="41" t="s">
        <v>116</v>
      </c>
      <c r="I250" s="41">
        <v>4</v>
      </c>
      <c r="J250" s="41">
        <v>330</v>
      </c>
      <c r="K250" s="60">
        <v>0.55555555555555602</v>
      </c>
      <c r="L250" s="41">
        <v>5.7</v>
      </c>
      <c r="M250" s="41">
        <v>10</v>
      </c>
      <c r="N250" s="41" t="s">
        <v>36</v>
      </c>
      <c r="O250" s="41">
        <v>1</v>
      </c>
      <c r="P250" s="41">
        <v>32</v>
      </c>
      <c r="Q250" s="41" t="s">
        <v>48</v>
      </c>
      <c r="R250" s="37" t="s">
        <v>49</v>
      </c>
      <c r="S250" s="48" t="s">
        <v>50</v>
      </c>
      <c r="T250" s="42">
        <f t="shared" si="23"/>
        <v>1</v>
      </c>
      <c r="U250" s="41">
        <v>0</v>
      </c>
      <c r="V250" s="41"/>
      <c r="W250" s="41">
        <v>1</v>
      </c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</row>
    <row r="251" spans="1:49" hidden="1">
      <c r="A251" s="37">
        <f>MAX($A$1:$A250)+1</f>
        <v>249</v>
      </c>
      <c r="B251" s="41" t="s">
        <v>31</v>
      </c>
      <c r="C251" s="41" t="s">
        <v>113</v>
      </c>
      <c r="D251" s="41" t="s">
        <v>118</v>
      </c>
      <c r="E251" s="41" t="s">
        <v>119</v>
      </c>
      <c r="F251" s="54">
        <v>48.838594999999998</v>
      </c>
      <c r="G251" s="46">
        <v>-125.135015</v>
      </c>
      <c r="H251" s="41" t="s">
        <v>116</v>
      </c>
      <c r="I251" s="41">
        <v>4</v>
      </c>
      <c r="J251" s="41">
        <v>330</v>
      </c>
      <c r="K251" s="60">
        <v>0.55555555555555602</v>
      </c>
      <c r="L251" s="41">
        <v>5.7</v>
      </c>
      <c r="M251" s="41">
        <v>10</v>
      </c>
      <c r="N251" s="41" t="s">
        <v>36</v>
      </c>
      <c r="O251" s="41">
        <v>1</v>
      </c>
      <c r="P251" s="41">
        <v>32</v>
      </c>
      <c r="Q251" s="61" t="s">
        <v>45</v>
      </c>
      <c r="R251" s="64" t="s">
        <v>46</v>
      </c>
      <c r="S251" s="65" t="s">
        <v>47</v>
      </c>
      <c r="T251" s="42">
        <f t="shared" si="23"/>
        <v>1</v>
      </c>
      <c r="U251" s="41">
        <v>0</v>
      </c>
      <c r="V251" s="41"/>
      <c r="W251" s="41"/>
      <c r="X251" s="41">
        <v>1</v>
      </c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</row>
    <row r="252" spans="1:49" hidden="1">
      <c r="A252" s="37">
        <f>MAX($A$1:$A251)+1</f>
        <v>250</v>
      </c>
      <c r="B252" s="41" t="s">
        <v>31</v>
      </c>
      <c r="C252" s="41" t="s">
        <v>113</v>
      </c>
      <c r="D252" s="41" t="s">
        <v>118</v>
      </c>
      <c r="E252" s="41" t="s">
        <v>119</v>
      </c>
      <c r="F252" s="54">
        <v>48.838594999999998</v>
      </c>
      <c r="G252" s="46">
        <v>-125.135015</v>
      </c>
      <c r="H252" s="41" t="s">
        <v>116</v>
      </c>
      <c r="I252" s="41">
        <v>4</v>
      </c>
      <c r="J252" s="41">
        <v>330</v>
      </c>
      <c r="K252" s="60">
        <v>0.55555555555555602</v>
      </c>
      <c r="L252" s="41">
        <v>5.7</v>
      </c>
      <c r="M252" s="41">
        <v>10</v>
      </c>
      <c r="N252" s="41" t="s">
        <v>36</v>
      </c>
      <c r="O252" s="41">
        <v>2</v>
      </c>
      <c r="P252" s="41">
        <v>40</v>
      </c>
      <c r="Q252" s="61" t="s">
        <v>39</v>
      </c>
      <c r="R252" s="64" t="s">
        <v>40</v>
      </c>
      <c r="S252" s="65" t="s">
        <v>41</v>
      </c>
      <c r="T252" s="42">
        <f t="shared" si="23"/>
        <v>4</v>
      </c>
      <c r="U252" s="41">
        <v>0</v>
      </c>
      <c r="V252" s="41"/>
      <c r="W252" s="41">
        <v>1</v>
      </c>
      <c r="X252" s="41">
        <v>1</v>
      </c>
      <c r="Y252" s="41">
        <v>2</v>
      </c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</row>
    <row r="253" spans="1:49" hidden="1">
      <c r="A253" s="37">
        <f>MAX($A$1:$A252)+1</f>
        <v>251</v>
      </c>
      <c r="B253" s="41" t="s">
        <v>31</v>
      </c>
      <c r="C253" s="41" t="s">
        <v>113</v>
      </c>
      <c r="D253" s="41" t="s">
        <v>118</v>
      </c>
      <c r="E253" s="41" t="s">
        <v>119</v>
      </c>
      <c r="F253" s="54">
        <v>48.838594999999998</v>
      </c>
      <c r="G253" s="46">
        <v>-125.135015</v>
      </c>
      <c r="H253" s="41" t="s">
        <v>116</v>
      </c>
      <c r="I253" s="41">
        <v>4</v>
      </c>
      <c r="J253" s="41">
        <v>330</v>
      </c>
      <c r="K253" s="60">
        <v>0.55555555555555602</v>
      </c>
      <c r="L253" s="41">
        <v>5.7</v>
      </c>
      <c r="M253" s="41">
        <v>10</v>
      </c>
      <c r="N253" s="41" t="s">
        <v>36</v>
      </c>
      <c r="O253" s="41">
        <v>2</v>
      </c>
      <c r="P253" s="41">
        <v>40</v>
      </c>
      <c r="Q253" s="61" t="s">
        <v>45</v>
      </c>
      <c r="R253" s="64" t="s">
        <v>46</v>
      </c>
      <c r="S253" s="65" t="s">
        <v>47</v>
      </c>
      <c r="T253" s="42">
        <f t="shared" si="23"/>
        <v>4</v>
      </c>
      <c r="U253" s="41">
        <v>0</v>
      </c>
      <c r="V253" s="41"/>
      <c r="W253" s="41"/>
      <c r="X253" s="41"/>
      <c r="Y253" s="41">
        <v>1</v>
      </c>
      <c r="Z253" s="41"/>
      <c r="AA253" s="41">
        <v>3</v>
      </c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</row>
    <row r="254" spans="1:49" hidden="1">
      <c r="A254" s="37">
        <f>MAX($A$1:$A253)+1</f>
        <v>252</v>
      </c>
      <c r="B254" s="41" t="s">
        <v>31</v>
      </c>
      <c r="C254" s="41" t="s">
        <v>113</v>
      </c>
      <c r="D254" s="41" t="s">
        <v>118</v>
      </c>
      <c r="E254" s="41" t="s">
        <v>119</v>
      </c>
      <c r="F254" s="54">
        <v>48.838594999999998</v>
      </c>
      <c r="G254" s="46">
        <v>-125.135015</v>
      </c>
      <c r="H254" s="41" t="s">
        <v>116</v>
      </c>
      <c r="I254" s="41">
        <v>4</v>
      </c>
      <c r="J254" s="41">
        <v>330</v>
      </c>
      <c r="K254" s="60">
        <v>0.55555555555555602</v>
      </c>
      <c r="L254" s="41">
        <v>5.7</v>
      </c>
      <c r="M254" s="41">
        <v>10</v>
      </c>
      <c r="N254" s="41" t="s">
        <v>36</v>
      </c>
      <c r="O254" s="41">
        <v>1</v>
      </c>
      <c r="P254" s="41">
        <v>48</v>
      </c>
      <c r="Q254" s="61" t="s">
        <v>39</v>
      </c>
      <c r="R254" s="64" t="s">
        <v>40</v>
      </c>
      <c r="S254" s="65" t="s">
        <v>41</v>
      </c>
      <c r="T254" s="42">
        <f t="shared" si="23"/>
        <v>4</v>
      </c>
      <c r="U254" s="41">
        <v>0</v>
      </c>
      <c r="V254" s="41"/>
      <c r="W254" s="41">
        <v>1</v>
      </c>
      <c r="X254" s="41">
        <v>2</v>
      </c>
      <c r="Y254" s="41">
        <v>1</v>
      </c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</row>
    <row r="255" spans="1:49" hidden="1">
      <c r="A255" s="37">
        <f>MAX($A$1:$A254)+1</f>
        <v>253</v>
      </c>
      <c r="B255" s="41" t="s">
        <v>31</v>
      </c>
      <c r="C255" s="41" t="s">
        <v>113</v>
      </c>
      <c r="D255" s="41" t="s">
        <v>118</v>
      </c>
      <c r="E255" s="41" t="s">
        <v>119</v>
      </c>
      <c r="F255" s="54">
        <v>48.838594999999998</v>
      </c>
      <c r="G255" s="46">
        <v>-125.135015</v>
      </c>
      <c r="H255" s="41" t="s">
        <v>116</v>
      </c>
      <c r="I255" s="41">
        <v>4</v>
      </c>
      <c r="J255" s="41">
        <v>330</v>
      </c>
      <c r="K255" s="60">
        <v>0.55555555555555602</v>
      </c>
      <c r="L255" s="41">
        <v>5.7</v>
      </c>
      <c r="M255" s="41">
        <v>10</v>
      </c>
      <c r="N255" s="41" t="s">
        <v>36</v>
      </c>
      <c r="O255" s="41">
        <v>1</v>
      </c>
      <c r="P255" s="41">
        <v>48</v>
      </c>
      <c r="Q255" s="61" t="s">
        <v>83</v>
      </c>
      <c r="R255" s="64" t="s">
        <v>84</v>
      </c>
      <c r="S255" s="65" t="s">
        <v>85</v>
      </c>
      <c r="T255" s="42">
        <f t="shared" si="23"/>
        <v>1</v>
      </c>
      <c r="U255" s="41">
        <v>0</v>
      </c>
      <c r="V255" s="41"/>
      <c r="W255" s="41"/>
      <c r="X255" s="41"/>
      <c r="Y255" s="41"/>
      <c r="Z255" s="41"/>
      <c r="AA255" s="41">
        <v>1</v>
      </c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</row>
    <row r="256" spans="1:49" hidden="1">
      <c r="A256" s="37">
        <f>MAX($A$1:$A255)+1</f>
        <v>254</v>
      </c>
      <c r="B256" s="41" t="s">
        <v>32</v>
      </c>
      <c r="C256" s="41" t="s">
        <v>31</v>
      </c>
      <c r="D256" s="41" t="s">
        <v>120</v>
      </c>
      <c r="E256" s="41" t="s">
        <v>121</v>
      </c>
      <c r="F256" s="54">
        <v>48.9071</v>
      </c>
      <c r="G256" s="46">
        <v>-125.03701700000001</v>
      </c>
      <c r="H256" s="41" t="s">
        <v>122</v>
      </c>
      <c r="I256" s="41">
        <v>3</v>
      </c>
      <c r="J256" s="41">
        <v>40</v>
      </c>
      <c r="K256" s="60">
        <v>0.4284722222222222</v>
      </c>
      <c r="L256" s="41">
        <v>10</v>
      </c>
      <c r="M256" s="41">
        <v>8</v>
      </c>
      <c r="N256" s="41" t="s">
        <v>36</v>
      </c>
      <c r="O256" s="41">
        <v>1</v>
      </c>
      <c r="P256" s="41">
        <v>48</v>
      </c>
      <c r="Q256" s="41" t="s">
        <v>42</v>
      </c>
      <c r="R256" s="37" t="s">
        <v>43</v>
      </c>
      <c r="S256" s="48" t="s">
        <v>44</v>
      </c>
      <c r="T256" s="42">
        <f t="shared" si="16"/>
        <v>1</v>
      </c>
      <c r="U256" s="41">
        <v>0</v>
      </c>
      <c r="V256" s="41">
        <v>1</v>
      </c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</row>
    <row r="257" spans="1:49" hidden="1">
      <c r="A257" s="37">
        <f>MAX($A$1:$A256)+1</f>
        <v>255</v>
      </c>
      <c r="B257" s="41" t="s">
        <v>32</v>
      </c>
      <c r="C257" s="41" t="s">
        <v>31</v>
      </c>
      <c r="D257" s="41" t="s">
        <v>120</v>
      </c>
      <c r="E257" s="41" t="s">
        <v>121</v>
      </c>
      <c r="F257" s="54">
        <v>48.9071</v>
      </c>
      <c r="G257" s="46">
        <v>-125.03701700000001</v>
      </c>
      <c r="H257" s="41" t="s">
        <v>122</v>
      </c>
      <c r="I257" s="41">
        <v>3</v>
      </c>
      <c r="J257" s="41">
        <v>40</v>
      </c>
      <c r="K257" s="60">
        <v>0.4284722222222222</v>
      </c>
      <c r="L257" s="41">
        <v>10</v>
      </c>
      <c r="M257" s="41">
        <v>8</v>
      </c>
      <c r="N257" s="41" t="s">
        <v>36</v>
      </c>
      <c r="O257" s="41">
        <v>2</v>
      </c>
      <c r="P257" s="41">
        <v>40</v>
      </c>
      <c r="Q257" s="61" t="s">
        <v>95</v>
      </c>
      <c r="R257" s="64" t="s">
        <v>96</v>
      </c>
      <c r="S257" s="65" t="s">
        <v>97</v>
      </c>
      <c r="T257" s="42">
        <f t="shared" si="16"/>
        <v>1</v>
      </c>
      <c r="U257" s="41">
        <v>0</v>
      </c>
      <c r="V257" s="41"/>
      <c r="W257" s="41"/>
      <c r="X257" s="41"/>
      <c r="Y257" s="41">
        <v>1</v>
      </c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</row>
    <row r="258" spans="1:49" hidden="1">
      <c r="A258" s="37">
        <f>MAX($A$1:$A257)+1</f>
        <v>256</v>
      </c>
      <c r="B258" s="41" t="s">
        <v>32</v>
      </c>
      <c r="C258" s="41" t="s">
        <v>31</v>
      </c>
      <c r="D258" s="41" t="s">
        <v>120</v>
      </c>
      <c r="E258" s="41" t="s">
        <v>121</v>
      </c>
      <c r="F258" s="54">
        <v>48.9071</v>
      </c>
      <c r="G258" s="46">
        <v>-125.03701700000001</v>
      </c>
      <c r="H258" s="41" t="s">
        <v>122</v>
      </c>
      <c r="I258" s="41">
        <v>3</v>
      </c>
      <c r="J258" s="41">
        <v>40</v>
      </c>
      <c r="K258" s="60">
        <v>0.42847222222222198</v>
      </c>
      <c r="L258" s="41">
        <v>10</v>
      </c>
      <c r="M258" s="41">
        <v>8</v>
      </c>
      <c r="N258" s="41" t="s">
        <v>36</v>
      </c>
      <c r="O258" s="41">
        <v>2</v>
      </c>
      <c r="P258" s="41">
        <v>40</v>
      </c>
      <c r="Q258" s="41" t="s">
        <v>123</v>
      </c>
      <c r="R258" s="28" t="s">
        <v>124</v>
      </c>
      <c r="S258" s="31" t="s">
        <v>125</v>
      </c>
      <c r="T258" s="42">
        <f t="shared" ref="T258:T266" si="24">SUM(U258:AW258)</f>
        <v>1</v>
      </c>
      <c r="U258" s="41">
        <v>0</v>
      </c>
      <c r="V258" s="41"/>
      <c r="W258" s="41"/>
      <c r="X258" s="41"/>
      <c r="Y258" s="41">
        <v>1</v>
      </c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</row>
    <row r="259" spans="1:49" hidden="1">
      <c r="A259" s="37">
        <f>MAX($A$1:$A258)+1</f>
        <v>257</v>
      </c>
      <c r="B259" s="41" t="s">
        <v>32</v>
      </c>
      <c r="C259" s="41" t="s">
        <v>31</v>
      </c>
      <c r="D259" s="41" t="s">
        <v>120</v>
      </c>
      <c r="E259" s="41" t="s">
        <v>121</v>
      </c>
      <c r="F259" s="54">
        <v>48.9071</v>
      </c>
      <c r="G259" s="46">
        <v>-125.03701700000001</v>
      </c>
      <c r="H259" s="41" t="s">
        <v>122</v>
      </c>
      <c r="I259" s="41">
        <v>3</v>
      </c>
      <c r="J259" s="41">
        <v>40</v>
      </c>
      <c r="K259" s="60">
        <v>0.42847222222222198</v>
      </c>
      <c r="L259" s="41">
        <v>10</v>
      </c>
      <c r="M259" s="41">
        <v>8</v>
      </c>
      <c r="N259" s="41" t="s">
        <v>36</v>
      </c>
      <c r="O259" s="41">
        <v>2</v>
      </c>
      <c r="P259" s="41">
        <v>40</v>
      </c>
      <c r="Q259" s="41" t="s">
        <v>53</v>
      </c>
      <c r="R259" s="37" t="s">
        <v>54</v>
      </c>
      <c r="S259" s="48" t="s">
        <v>55</v>
      </c>
      <c r="T259" s="42">
        <f t="shared" si="24"/>
        <v>1</v>
      </c>
      <c r="U259" s="41">
        <v>0</v>
      </c>
      <c r="V259" s="41"/>
      <c r="W259" s="41"/>
      <c r="X259" s="41">
        <v>1</v>
      </c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</row>
    <row r="260" spans="1:49" hidden="1">
      <c r="A260" s="37">
        <f>MAX($A$1:$A259)+1</f>
        <v>258</v>
      </c>
      <c r="B260" s="41" t="s">
        <v>32</v>
      </c>
      <c r="C260" s="41" t="s">
        <v>31</v>
      </c>
      <c r="D260" s="41" t="s">
        <v>120</v>
      </c>
      <c r="E260" s="41" t="s">
        <v>121</v>
      </c>
      <c r="F260" s="54">
        <v>48.9071</v>
      </c>
      <c r="G260" s="46">
        <v>-125.03701700000001</v>
      </c>
      <c r="H260" s="41" t="s">
        <v>122</v>
      </c>
      <c r="I260" s="41">
        <v>3</v>
      </c>
      <c r="J260" s="41">
        <v>40</v>
      </c>
      <c r="K260" s="60">
        <v>0.42847222222222198</v>
      </c>
      <c r="L260" s="41">
        <v>10</v>
      </c>
      <c r="M260" s="41">
        <v>8</v>
      </c>
      <c r="N260" s="41" t="s">
        <v>36</v>
      </c>
      <c r="O260" s="41">
        <v>1</v>
      </c>
      <c r="P260" s="41">
        <v>32</v>
      </c>
      <c r="Q260" s="41" t="s">
        <v>112</v>
      </c>
      <c r="R260" s="28" t="s">
        <v>38</v>
      </c>
      <c r="S260" s="31"/>
      <c r="T260" s="42">
        <f t="shared" si="24"/>
        <v>0</v>
      </c>
      <c r="U260" s="41">
        <v>0</v>
      </c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</row>
    <row r="261" spans="1:49" hidden="1">
      <c r="A261" s="37">
        <f>MAX($A$1:$A260)+1</f>
        <v>259</v>
      </c>
      <c r="B261" s="41" t="s">
        <v>32</v>
      </c>
      <c r="C261" s="41" t="s">
        <v>31</v>
      </c>
      <c r="D261" s="41" t="s">
        <v>120</v>
      </c>
      <c r="E261" s="41" t="s">
        <v>121</v>
      </c>
      <c r="F261" s="54">
        <v>48.9071</v>
      </c>
      <c r="G261" s="46">
        <v>-125.03701700000001</v>
      </c>
      <c r="H261" s="41" t="s">
        <v>122</v>
      </c>
      <c r="I261" s="41">
        <v>3</v>
      </c>
      <c r="J261" s="41">
        <v>40</v>
      </c>
      <c r="K261" s="60">
        <v>0.42847222222222198</v>
      </c>
      <c r="L261" s="41">
        <v>10</v>
      </c>
      <c r="M261" s="41">
        <v>8</v>
      </c>
      <c r="N261" s="41" t="s">
        <v>36</v>
      </c>
      <c r="O261" s="41">
        <v>2</v>
      </c>
      <c r="P261" s="41">
        <v>24</v>
      </c>
      <c r="Q261" s="41" t="s">
        <v>48</v>
      </c>
      <c r="R261" s="28" t="s">
        <v>49</v>
      </c>
      <c r="S261" s="45" t="s">
        <v>50</v>
      </c>
      <c r="T261" s="42">
        <f t="shared" si="24"/>
        <v>1</v>
      </c>
      <c r="U261" s="41">
        <v>0</v>
      </c>
      <c r="V261" s="41"/>
      <c r="W261" s="41"/>
      <c r="X261" s="41"/>
      <c r="Y261" s="41"/>
      <c r="Z261" s="41"/>
      <c r="AA261" s="41">
        <v>1</v>
      </c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</row>
    <row r="262" spans="1:49" hidden="1">
      <c r="A262" s="37">
        <f>MAX($A$1:$A261)+1</f>
        <v>260</v>
      </c>
      <c r="B262" s="41" t="s">
        <v>32</v>
      </c>
      <c r="C262" s="41" t="s">
        <v>31</v>
      </c>
      <c r="D262" s="41" t="s">
        <v>120</v>
      </c>
      <c r="E262" s="41" t="s">
        <v>121</v>
      </c>
      <c r="F262" s="54">
        <v>48.9071</v>
      </c>
      <c r="G262" s="46">
        <v>-125.03701700000001</v>
      </c>
      <c r="H262" s="41" t="s">
        <v>122</v>
      </c>
      <c r="I262" s="41">
        <v>3</v>
      </c>
      <c r="J262" s="41">
        <v>40</v>
      </c>
      <c r="K262" s="60">
        <v>0.42847222222222198</v>
      </c>
      <c r="L262" s="41">
        <v>10</v>
      </c>
      <c r="M262" s="41">
        <v>8</v>
      </c>
      <c r="N262" s="41" t="s">
        <v>36</v>
      </c>
      <c r="O262" s="41">
        <v>1</v>
      </c>
      <c r="P262" s="41">
        <v>16</v>
      </c>
      <c r="Q262" s="41" t="s">
        <v>123</v>
      </c>
      <c r="R262" s="28" t="s">
        <v>124</v>
      </c>
      <c r="S262" s="31" t="s">
        <v>125</v>
      </c>
      <c r="T262" s="42">
        <f t="shared" si="24"/>
        <v>1</v>
      </c>
      <c r="U262" s="41">
        <v>0</v>
      </c>
      <c r="V262" s="41"/>
      <c r="W262" s="41"/>
      <c r="X262" s="41"/>
      <c r="Y262" s="41">
        <v>1</v>
      </c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</row>
    <row r="263" spans="1:49" hidden="1">
      <c r="A263" s="37">
        <f>MAX($A$1:$A262)+1</f>
        <v>261</v>
      </c>
      <c r="B263" s="41" t="s">
        <v>32</v>
      </c>
      <c r="C263" s="41" t="s">
        <v>31</v>
      </c>
      <c r="D263" s="41" t="s">
        <v>120</v>
      </c>
      <c r="E263" s="41" t="s">
        <v>121</v>
      </c>
      <c r="F263" s="54">
        <v>48.9071</v>
      </c>
      <c r="G263" s="46">
        <v>-125.03701700000001</v>
      </c>
      <c r="H263" s="41" t="s">
        <v>122</v>
      </c>
      <c r="I263" s="41">
        <v>3</v>
      </c>
      <c r="J263" s="41">
        <v>40</v>
      </c>
      <c r="K263" s="60">
        <v>0.42847222222222198</v>
      </c>
      <c r="L263" s="41">
        <v>10</v>
      </c>
      <c r="M263" s="41">
        <v>8</v>
      </c>
      <c r="N263" s="41" t="s">
        <v>36</v>
      </c>
      <c r="O263" s="41">
        <v>2</v>
      </c>
      <c r="P263" s="41">
        <v>8</v>
      </c>
      <c r="Q263" s="41" t="s">
        <v>112</v>
      </c>
      <c r="R263" s="28" t="s">
        <v>38</v>
      </c>
      <c r="S263" s="31"/>
      <c r="T263" s="42">
        <f t="shared" si="24"/>
        <v>0</v>
      </c>
      <c r="U263" s="41">
        <v>0</v>
      </c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</row>
    <row r="264" spans="1:49" hidden="1">
      <c r="A264" s="37">
        <f>MAX($A$1:$A263)+1</f>
        <v>262</v>
      </c>
      <c r="B264" s="41" t="s">
        <v>32</v>
      </c>
      <c r="C264" s="41" t="s">
        <v>31</v>
      </c>
      <c r="D264" s="41" t="s">
        <v>120</v>
      </c>
      <c r="E264" s="41" t="s">
        <v>121</v>
      </c>
      <c r="F264" s="54">
        <v>48.9071</v>
      </c>
      <c r="G264" s="46">
        <v>-125.03701700000001</v>
      </c>
      <c r="H264" s="41" t="s">
        <v>122</v>
      </c>
      <c r="I264" s="41">
        <v>3</v>
      </c>
      <c r="J264" s="41">
        <v>40</v>
      </c>
      <c r="K264" s="60">
        <v>0.42847222222222198</v>
      </c>
      <c r="L264" s="41">
        <v>10</v>
      </c>
      <c r="M264" s="41">
        <v>8</v>
      </c>
      <c r="N264" s="41" t="s">
        <v>36</v>
      </c>
      <c r="O264" s="41">
        <v>1</v>
      </c>
      <c r="P264" s="41">
        <v>0</v>
      </c>
      <c r="Q264" s="61" t="s">
        <v>95</v>
      </c>
      <c r="R264" s="64" t="s">
        <v>96</v>
      </c>
      <c r="S264" s="65" t="s">
        <v>97</v>
      </c>
      <c r="T264" s="42">
        <f t="shared" si="24"/>
        <v>1</v>
      </c>
      <c r="U264" s="41">
        <v>0</v>
      </c>
      <c r="V264" s="41"/>
      <c r="W264" s="41"/>
      <c r="X264" s="41"/>
      <c r="Y264" s="41"/>
      <c r="Z264" s="41"/>
      <c r="AA264" s="41">
        <v>1</v>
      </c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</row>
    <row r="265" spans="1:49" hidden="1">
      <c r="A265" s="37">
        <f>MAX($A$1:$A264)+1</f>
        <v>263</v>
      </c>
      <c r="B265" s="41" t="s">
        <v>32</v>
      </c>
      <c r="C265" s="41" t="s">
        <v>31</v>
      </c>
      <c r="D265" s="41" t="s">
        <v>120</v>
      </c>
      <c r="E265" s="41" t="s">
        <v>121</v>
      </c>
      <c r="F265" s="54">
        <v>48.9071</v>
      </c>
      <c r="G265" s="46">
        <v>-125.03701700000001</v>
      </c>
      <c r="H265" s="41" t="s">
        <v>122</v>
      </c>
      <c r="I265" s="41">
        <v>3</v>
      </c>
      <c r="J265" s="41">
        <v>40</v>
      </c>
      <c r="K265" s="60">
        <v>0.42847222222222198</v>
      </c>
      <c r="L265" s="41">
        <v>10</v>
      </c>
      <c r="M265" s="41">
        <v>8</v>
      </c>
      <c r="N265" s="41" t="s">
        <v>36</v>
      </c>
      <c r="O265" s="41">
        <v>1</v>
      </c>
      <c r="P265" s="41">
        <v>0</v>
      </c>
      <c r="Q265" s="61" t="s">
        <v>39</v>
      </c>
      <c r="R265" s="64" t="s">
        <v>40</v>
      </c>
      <c r="S265" s="65" t="s">
        <v>41</v>
      </c>
      <c r="T265" s="42">
        <f t="shared" si="24"/>
        <v>3</v>
      </c>
      <c r="U265" s="41">
        <v>0</v>
      </c>
      <c r="V265" s="41">
        <v>3</v>
      </c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</row>
    <row r="266" spans="1:49" hidden="1">
      <c r="A266" s="37">
        <f>MAX($A$1:$A265)+1</f>
        <v>264</v>
      </c>
      <c r="B266" s="41" t="s">
        <v>32</v>
      </c>
      <c r="C266" s="41" t="s">
        <v>31</v>
      </c>
      <c r="D266" s="41" t="s">
        <v>120</v>
      </c>
      <c r="E266" s="41" t="s">
        <v>121</v>
      </c>
      <c r="F266" s="54">
        <v>48.9071</v>
      </c>
      <c r="G266" s="46">
        <v>-125.03701700000001</v>
      </c>
      <c r="H266" s="41" t="s">
        <v>122</v>
      </c>
      <c r="I266" s="41">
        <v>3</v>
      </c>
      <c r="J266" s="41">
        <v>40</v>
      </c>
      <c r="K266" s="60">
        <v>0.42847222222222198</v>
      </c>
      <c r="L266" s="41">
        <v>10</v>
      </c>
      <c r="M266" s="41">
        <v>8</v>
      </c>
      <c r="N266" s="41" t="s">
        <v>36</v>
      </c>
      <c r="O266" s="41">
        <v>1</v>
      </c>
      <c r="P266" s="41">
        <v>0</v>
      </c>
      <c r="Q266" s="41" t="s">
        <v>53</v>
      </c>
      <c r="R266" s="37" t="s">
        <v>54</v>
      </c>
      <c r="S266" s="48" t="s">
        <v>55</v>
      </c>
      <c r="T266" s="42">
        <f t="shared" si="24"/>
        <v>2</v>
      </c>
      <c r="U266" s="41">
        <v>0</v>
      </c>
      <c r="V266" s="41">
        <v>1</v>
      </c>
      <c r="W266" s="41">
        <v>1</v>
      </c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</row>
    <row r="267" spans="1:49" hidden="1">
      <c r="A267" s="37">
        <f>MAX($A$1:$A266)+1</f>
        <v>265</v>
      </c>
      <c r="B267" s="41" t="s">
        <v>32</v>
      </c>
      <c r="C267" s="41" t="s">
        <v>113</v>
      </c>
      <c r="D267" s="41" t="s">
        <v>120</v>
      </c>
      <c r="E267" s="41" t="s">
        <v>121</v>
      </c>
      <c r="F267" s="54">
        <v>48.9071</v>
      </c>
      <c r="G267" s="46">
        <v>-125.03701700000001</v>
      </c>
      <c r="H267" s="41" t="s">
        <v>122</v>
      </c>
      <c r="I267" s="41">
        <v>3</v>
      </c>
      <c r="J267" s="41">
        <v>240</v>
      </c>
      <c r="K267" s="60">
        <v>0.42847222222222198</v>
      </c>
      <c r="L267" s="41">
        <v>9.5</v>
      </c>
      <c r="M267" s="41">
        <v>8</v>
      </c>
      <c r="N267" s="41" t="s">
        <v>36</v>
      </c>
      <c r="O267" s="41">
        <v>1</v>
      </c>
      <c r="P267" s="41">
        <v>0</v>
      </c>
      <c r="Q267" s="61" t="s">
        <v>95</v>
      </c>
      <c r="R267" s="64" t="s">
        <v>96</v>
      </c>
      <c r="S267" s="65" t="s">
        <v>97</v>
      </c>
      <c r="T267" s="42">
        <f t="shared" ref="T267:T276" si="25">SUM(U267:AW267)</f>
        <v>1</v>
      </c>
      <c r="U267" s="41">
        <v>0</v>
      </c>
      <c r="V267" s="41"/>
      <c r="W267" s="41"/>
      <c r="X267" s="41"/>
      <c r="Y267" s="41"/>
      <c r="Z267" s="41"/>
      <c r="AA267" s="41"/>
      <c r="AB267" s="41"/>
      <c r="AC267" s="41">
        <v>1</v>
      </c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</row>
    <row r="268" spans="1:49" hidden="1">
      <c r="A268" s="37">
        <f>MAX($A$1:$A267)+1</f>
        <v>266</v>
      </c>
      <c r="B268" s="41" t="s">
        <v>32</v>
      </c>
      <c r="C268" s="41" t="s">
        <v>113</v>
      </c>
      <c r="D268" s="41" t="s">
        <v>120</v>
      </c>
      <c r="E268" s="41" t="s">
        <v>121</v>
      </c>
      <c r="F268" s="54">
        <v>48.9071</v>
      </c>
      <c r="G268" s="46">
        <v>-125.03701700000001</v>
      </c>
      <c r="H268" s="41" t="s">
        <v>122</v>
      </c>
      <c r="I268" s="41">
        <v>3</v>
      </c>
      <c r="J268" s="41">
        <v>240</v>
      </c>
      <c r="K268" s="60">
        <v>0.42847222222222198</v>
      </c>
      <c r="L268" s="41">
        <v>9.5</v>
      </c>
      <c r="M268" s="41">
        <v>8</v>
      </c>
      <c r="N268" s="41" t="s">
        <v>36</v>
      </c>
      <c r="O268" s="41">
        <v>2</v>
      </c>
      <c r="P268" s="41">
        <v>8</v>
      </c>
      <c r="Q268" s="41" t="s">
        <v>48</v>
      </c>
      <c r="R268" s="28" t="s">
        <v>49</v>
      </c>
      <c r="S268" s="45" t="s">
        <v>50</v>
      </c>
      <c r="T268" s="42">
        <f t="shared" si="25"/>
        <v>1</v>
      </c>
      <c r="U268" s="41">
        <v>0</v>
      </c>
      <c r="V268" s="41"/>
      <c r="W268" s="41">
        <v>1</v>
      </c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</row>
    <row r="269" spans="1:49" hidden="1">
      <c r="A269" s="37">
        <f>MAX($A$1:$A268)+1</f>
        <v>267</v>
      </c>
      <c r="B269" s="41" t="s">
        <v>32</v>
      </c>
      <c r="C269" s="41" t="s">
        <v>113</v>
      </c>
      <c r="D269" s="41" t="s">
        <v>120</v>
      </c>
      <c r="E269" s="41" t="s">
        <v>121</v>
      </c>
      <c r="F269" s="54">
        <v>48.9071</v>
      </c>
      <c r="G269" s="46">
        <v>-125.03701700000001</v>
      </c>
      <c r="H269" s="41" t="s">
        <v>122</v>
      </c>
      <c r="I269" s="41">
        <v>3</v>
      </c>
      <c r="J269" s="41">
        <v>240</v>
      </c>
      <c r="K269" s="60">
        <v>0.42847222222222198</v>
      </c>
      <c r="L269" s="41">
        <v>9.5</v>
      </c>
      <c r="M269" s="41">
        <v>8</v>
      </c>
      <c r="N269" s="41" t="s">
        <v>36</v>
      </c>
      <c r="O269" s="41">
        <v>2</v>
      </c>
      <c r="P269" s="41">
        <v>8</v>
      </c>
      <c r="Q269" s="41" t="s">
        <v>123</v>
      </c>
      <c r="R269" s="28" t="s">
        <v>124</v>
      </c>
      <c r="S269" s="31" t="s">
        <v>125</v>
      </c>
      <c r="T269" s="42">
        <f t="shared" si="25"/>
        <v>1</v>
      </c>
      <c r="U269" s="41">
        <v>0</v>
      </c>
      <c r="V269" s="41">
        <v>1</v>
      </c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</row>
    <row r="270" spans="1:49" hidden="1">
      <c r="A270" s="37">
        <f>MAX($A$1:$A269)+1</f>
        <v>268</v>
      </c>
      <c r="B270" s="41" t="s">
        <v>32</v>
      </c>
      <c r="C270" s="41" t="s">
        <v>113</v>
      </c>
      <c r="D270" s="41" t="s">
        <v>120</v>
      </c>
      <c r="E270" s="41" t="s">
        <v>121</v>
      </c>
      <c r="F270" s="54">
        <v>48.9071</v>
      </c>
      <c r="G270" s="46">
        <v>-125.03701700000001</v>
      </c>
      <c r="H270" s="41" t="s">
        <v>122</v>
      </c>
      <c r="I270" s="41">
        <v>3</v>
      </c>
      <c r="J270" s="41">
        <v>240</v>
      </c>
      <c r="K270" s="60">
        <v>0.42847222222222198</v>
      </c>
      <c r="L270" s="41">
        <v>9.5</v>
      </c>
      <c r="M270" s="41">
        <v>8</v>
      </c>
      <c r="N270" s="41" t="s">
        <v>36</v>
      </c>
      <c r="O270" s="41">
        <v>2</v>
      </c>
      <c r="P270" s="41">
        <v>8</v>
      </c>
      <c r="Q270" s="41" t="s">
        <v>53</v>
      </c>
      <c r="R270" s="37" t="s">
        <v>54</v>
      </c>
      <c r="S270" s="48" t="s">
        <v>55</v>
      </c>
      <c r="T270" s="42">
        <f t="shared" si="25"/>
        <v>1</v>
      </c>
      <c r="U270" s="41">
        <v>0</v>
      </c>
      <c r="V270" s="41">
        <v>1</v>
      </c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</row>
    <row r="271" spans="1:49" hidden="1">
      <c r="A271" s="37">
        <f>MAX($A$1:$A270)+1</f>
        <v>269</v>
      </c>
      <c r="B271" s="41" t="s">
        <v>32</v>
      </c>
      <c r="C271" s="41" t="s">
        <v>113</v>
      </c>
      <c r="D271" s="41" t="s">
        <v>120</v>
      </c>
      <c r="E271" s="41" t="s">
        <v>121</v>
      </c>
      <c r="F271" s="54">
        <v>48.9071</v>
      </c>
      <c r="G271" s="46">
        <v>-125.03701700000001</v>
      </c>
      <c r="H271" s="41" t="s">
        <v>122</v>
      </c>
      <c r="I271" s="41">
        <v>3</v>
      </c>
      <c r="J271" s="41">
        <v>240</v>
      </c>
      <c r="K271" s="60">
        <v>0.42847222222222198</v>
      </c>
      <c r="L271" s="41">
        <v>9.5</v>
      </c>
      <c r="M271" s="41">
        <v>8</v>
      </c>
      <c r="N271" s="41" t="s">
        <v>36</v>
      </c>
      <c r="O271" s="41">
        <v>1</v>
      </c>
      <c r="P271" s="41">
        <v>16</v>
      </c>
      <c r="Q271" s="41" t="s">
        <v>53</v>
      </c>
      <c r="R271" s="37" t="s">
        <v>54</v>
      </c>
      <c r="S271" s="48" t="s">
        <v>55</v>
      </c>
      <c r="T271" s="42">
        <f t="shared" si="25"/>
        <v>1</v>
      </c>
      <c r="U271" s="41">
        <v>0</v>
      </c>
      <c r="V271" s="41"/>
      <c r="W271" s="41">
        <v>1</v>
      </c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</row>
    <row r="272" spans="1:49" hidden="1">
      <c r="A272" s="37">
        <f>MAX($A$1:$A271)+1</f>
        <v>270</v>
      </c>
      <c r="B272" s="41" t="s">
        <v>32</v>
      </c>
      <c r="C272" s="41" t="s">
        <v>113</v>
      </c>
      <c r="D272" s="41" t="s">
        <v>120</v>
      </c>
      <c r="E272" s="41" t="s">
        <v>121</v>
      </c>
      <c r="F272" s="54">
        <v>48.9071</v>
      </c>
      <c r="G272" s="46">
        <v>-125.03701700000001</v>
      </c>
      <c r="H272" s="41" t="s">
        <v>122</v>
      </c>
      <c r="I272" s="41">
        <v>3</v>
      </c>
      <c r="J272" s="41">
        <v>240</v>
      </c>
      <c r="K272" s="60">
        <v>0.42847222222222198</v>
      </c>
      <c r="L272" s="41">
        <v>9.5</v>
      </c>
      <c r="M272" s="41">
        <v>8</v>
      </c>
      <c r="N272" s="41" t="s">
        <v>36</v>
      </c>
      <c r="O272" s="41">
        <v>1</v>
      </c>
      <c r="P272" s="41">
        <v>16</v>
      </c>
      <c r="Q272" s="41" t="s">
        <v>48</v>
      </c>
      <c r="R272" s="28" t="s">
        <v>49</v>
      </c>
      <c r="S272" s="45" t="s">
        <v>50</v>
      </c>
      <c r="T272" s="42">
        <f t="shared" si="25"/>
        <v>1</v>
      </c>
      <c r="U272" s="41">
        <v>0</v>
      </c>
      <c r="V272" s="41"/>
      <c r="W272" s="41"/>
      <c r="X272" s="41"/>
      <c r="Y272" s="41">
        <v>1</v>
      </c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</row>
    <row r="273" spans="1:49" hidden="1">
      <c r="A273" s="37">
        <f>MAX($A$1:$A272)+1</f>
        <v>271</v>
      </c>
      <c r="B273" s="41" t="s">
        <v>32</v>
      </c>
      <c r="C273" s="41" t="s">
        <v>113</v>
      </c>
      <c r="D273" s="41" t="s">
        <v>120</v>
      </c>
      <c r="E273" s="41" t="s">
        <v>121</v>
      </c>
      <c r="F273" s="54">
        <v>48.9071</v>
      </c>
      <c r="G273" s="46">
        <v>-125.03701700000001</v>
      </c>
      <c r="H273" s="41" t="s">
        <v>122</v>
      </c>
      <c r="I273" s="41">
        <v>3</v>
      </c>
      <c r="J273" s="41">
        <v>240</v>
      </c>
      <c r="K273" s="60">
        <v>0.42847222222222198</v>
      </c>
      <c r="L273" s="41">
        <v>9.5</v>
      </c>
      <c r="M273" s="41">
        <v>8</v>
      </c>
      <c r="N273" s="41" t="s">
        <v>36</v>
      </c>
      <c r="O273" s="41">
        <v>2</v>
      </c>
      <c r="P273" s="41">
        <v>24</v>
      </c>
      <c r="Q273" s="41" t="s">
        <v>53</v>
      </c>
      <c r="R273" s="37" t="s">
        <v>54</v>
      </c>
      <c r="S273" s="48" t="s">
        <v>55</v>
      </c>
      <c r="T273" s="42">
        <f t="shared" si="25"/>
        <v>2</v>
      </c>
      <c r="U273" s="41">
        <v>0</v>
      </c>
      <c r="V273" s="41"/>
      <c r="W273" s="41">
        <v>1</v>
      </c>
      <c r="X273" s="41"/>
      <c r="Y273" s="41">
        <v>1</v>
      </c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</row>
    <row r="274" spans="1:49" hidden="1">
      <c r="A274" s="37">
        <f>MAX($A$1:$A273)+1</f>
        <v>272</v>
      </c>
      <c r="B274" s="41" t="s">
        <v>32</v>
      </c>
      <c r="C274" s="41" t="s">
        <v>113</v>
      </c>
      <c r="D274" s="41" t="s">
        <v>120</v>
      </c>
      <c r="E274" s="41" t="s">
        <v>121</v>
      </c>
      <c r="F274" s="54">
        <v>48.9071</v>
      </c>
      <c r="G274" s="46">
        <v>-125.03701700000001</v>
      </c>
      <c r="H274" s="41" t="s">
        <v>122</v>
      </c>
      <c r="I274" s="41">
        <v>3</v>
      </c>
      <c r="J274" s="41">
        <v>240</v>
      </c>
      <c r="K274" s="60">
        <v>0.42847222222222198</v>
      </c>
      <c r="L274" s="41">
        <v>9.5</v>
      </c>
      <c r="M274" s="41">
        <v>8</v>
      </c>
      <c r="N274" s="41" t="s">
        <v>36</v>
      </c>
      <c r="O274" s="41">
        <v>1</v>
      </c>
      <c r="P274" s="41">
        <v>32</v>
      </c>
      <c r="Q274" s="41" t="s">
        <v>59</v>
      </c>
      <c r="R274" s="37" t="s">
        <v>60</v>
      </c>
      <c r="S274" s="48" t="s">
        <v>61</v>
      </c>
      <c r="T274" s="42">
        <f t="shared" si="25"/>
        <v>3</v>
      </c>
      <c r="U274" s="41">
        <v>0</v>
      </c>
      <c r="V274" s="41">
        <v>2</v>
      </c>
      <c r="W274" s="41"/>
      <c r="X274" s="41"/>
      <c r="Y274" s="41"/>
      <c r="Z274" s="41">
        <v>1</v>
      </c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</row>
    <row r="275" spans="1:49" hidden="1">
      <c r="A275" s="37">
        <f>MAX($A$1:$A274)+1</f>
        <v>273</v>
      </c>
      <c r="B275" s="41" t="s">
        <v>32</v>
      </c>
      <c r="C275" s="41" t="s">
        <v>113</v>
      </c>
      <c r="D275" s="41" t="s">
        <v>120</v>
      </c>
      <c r="E275" s="41" t="s">
        <v>121</v>
      </c>
      <c r="F275" s="54">
        <v>48.9071</v>
      </c>
      <c r="G275" s="46">
        <v>-125.03701700000001</v>
      </c>
      <c r="H275" s="41" t="s">
        <v>122</v>
      </c>
      <c r="I275" s="41">
        <v>3</v>
      </c>
      <c r="J275" s="41">
        <v>240</v>
      </c>
      <c r="K275" s="60">
        <v>0.42847222222222198</v>
      </c>
      <c r="L275" s="41">
        <v>9.5</v>
      </c>
      <c r="M275" s="41">
        <v>8</v>
      </c>
      <c r="N275" s="41" t="s">
        <v>36</v>
      </c>
      <c r="O275" s="41">
        <v>2</v>
      </c>
      <c r="P275" s="41">
        <v>40</v>
      </c>
      <c r="Q275" s="41" t="s">
        <v>112</v>
      </c>
      <c r="R275" s="28" t="s">
        <v>38</v>
      </c>
      <c r="S275" s="54"/>
      <c r="T275" s="42">
        <f t="shared" si="25"/>
        <v>0</v>
      </c>
      <c r="U275" s="41">
        <v>0</v>
      </c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</row>
    <row r="276" spans="1:49" hidden="1">
      <c r="A276" s="37">
        <f>MAX($A$1:$A275)+1</f>
        <v>274</v>
      </c>
      <c r="B276" s="41" t="s">
        <v>32</v>
      </c>
      <c r="C276" s="41" t="s">
        <v>113</v>
      </c>
      <c r="D276" s="41" t="s">
        <v>120</v>
      </c>
      <c r="E276" s="41" t="s">
        <v>121</v>
      </c>
      <c r="F276" s="54">
        <v>48.9071</v>
      </c>
      <c r="G276" s="46">
        <v>-125.03701700000001</v>
      </c>
      <c r="H276" s="41" t="s">
        <v>122</v>
      </c>
      <c r="I276" s="41">
        <v>3</v>
      </c>
      <c r="J276" s="41">
        <v>240</v>
      </c>
      <c r="K276" s="60">
        <v>0.42847222222222198</v>
      </c>
      <c r="L276" s="41">
        <v>9.5</v>
      </c>
      <c r="M276" s="41">
        <v>8</v>
      </c>
      <c r="N276" s="41" t="s">
        <v>36</v>
      </c>
      <c r="O276" s="41">
        <v>1</v>
      </c>
      <c r="P276" s="41">
        <v>48</v>
      </c>
      <c r="Q276" s="41" t="s">
        <v>112</v>
      </c>
      <c r="R276" s="28" t="s">
        <v>38</v>
      </c>
      <c r="S276" s="54"/>
      <c r="T276" s="42">
        <f t="shared" si="25"/>
        <v>0</v>
      </c>
      <c r="U276" s="41">
        <v>0</v>
      </c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</row>
    <row r="277" spans="1:49" hidden="1">
      <c r="A277" s="37">
        <f>MAX($A$1:$A276)+1</f>
        <v>275</v>
      </c>
      <c r="B277" s="41" t="s">
        <v>31</v>
      </c>
      <c r="C277" s="41" t="s">
        <v>32</v>
      </c>
      <c r="D277" s="41" t="s">
        <v>126</v>
      </c>
      <c r="E277" s="41" t="s">
        <v>127</v>
      </c>
      <c r="F277" s="54"/>
      <c r="G277" s="46"/>
      <c r="H277" s="41" t="s">
        <v>122</v>
      </c>
      <c r="I277" s="41">
        <v>3</v>
      </c>
      <c r="J277" s="41">
        <v>330</v>
      </c>
      <c r="K277" s="60">
        <v>0.55833333333333335</v>
      </c>
      <c r="L277" s="41">
        <v>9</v>
      </c>
      <c r="M277" s="41">
        <v>9</v>
      </c>
      <c r="N277" s="41" t="s">
        <v>36</v>
      </c>
      <c r="O277" s="41">
        <v>1</v>
      </c>
      <c r="P277" s="41">
        <v>0</v>
      </c>
      <c r="Q277" s="41" t="s">
        <v>112</v>
      </c>
      <c r="R277" s="28" t="s">
        <v>38</v>
      </c>
      <c r="S277" s="31"/>
      <c r="T277" s="42">
        <f t="shared" si="16"/>
        <v>0</v>
      </c>
      <c r="U277" s="41">
        <v>0</v>
      </c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</row>
    <row r="278" spans="1:49" hidden="1">
      <c r="A278" s="37">
        <f>MAX($A$1:$A277)+1</f>
        <v>276</v>
      </c>
      <c r="B278" s="41" t="s">
        <v>31</v>
      </c>
      <c r="C278" s="41" t="s">
        <v>32</v>
      </c>
      <c r="D278" s="41" t="s">
        <v>126</v>
      </c>
      <c r="E278" s="41" t="s">
        <v>127</v>
      </c>
      <c r="F278" s="54"/>
      <c r="G278" s="46"/>
      <c r="H278" s="41" t="s">
        <v>122</v>
      </c>
      <c r="I278" s="41">
        <v>3</v>
      </c>
      <c r="J278" s="41">
        <v>330</v>
      </c>
      <c r="K278" s="60">
        <v>0.55833333333333335</v>
      </c>
      <c r="L278" s="41">
        <v>9</v>
      </c>
      <c r="M278" s="41">
        <v>9</v>
      </c>
      <c r="N278" s="41" t="s">
        <v>36</v>
      </c>
      <c r="O278" s="41">
        <v>2</v>
      </c>
      <c r="P278" s="41">
        <v>8</v>
      </c>
      <c r="Q278" s="61" t="s">
        <v>39</v>
      </c>
      <c r="R278" s="64" t="s">
        <v>40</v>
      </c>
      <c r="S278" s="65" t="s">
        <v>41</v>
      </c>
      <c r="T278" s="42">
        <f t="shared" si="16"/>
        <v>2</v>
      </c>
      <c r="U278" s="41">
        <v>0</v>
      </c>
      <c r="V278" s="41"/>
      <c r="W278" s="41">
        <v>1</v>
      </c>
      <c r="X278" s="41">
        <v>1</v>
      </c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</row>
    <row r="279" spans="1:49" hidden="1">
      <c r="A279" s="37">
        <f>MAX($A$1:$A278)+1</f>
        <v>277</v>
      </c>
      <c r="B279" s="41" t="s">
        <v>31</v>
      </c>
      <c r="C279" s="41" t="s">
        <v>32</v>
      </c>
      <c r="D279" s="41" t="s">
        <v>126</v>
      </c>
      <c r="E279" s="41" t="s">
        <v>127</v>
      </c>
      <c r="F279" s="54"/>
      <c r="G279" s="46"/>
      <c r="H279" s="41" t="s">
        <v>122</v>
      </c>
      <c r="I279" s="41">
        <v>3</v>
      </c>
      <c r="J279" s="41">
        <v>330</v>
      </c>
      <c r="K279" s="60">
        <v>0.55833333333333335</v>
      </c>
      <c r="L279" s="41">
        <v>9</v>
      </c>
      <c r="M279" s="41">
        <v>9</v>
      </c>
      <c r="N279" s="41" t="s">
        <v>36</v>
      </c>
      <c r="O279" s="41">
        <v>1</v>
      </c>
      <c r="P279" s="41">
        <v>16</v>
      </c>
      <c r="Q279" s="61" t="s">
        <v>39</v>
      </c>
      <c r="R279" s="64" t="s">
        <v>40</v>
      </c>
      <c r="S279" s="65" t="s">
        <v>41</v>
      </c>
      <c r="T279" s="42">
        <f t="shared" si="16"/>
        <v>1</v>
      </c>
      <c r="U279" s="41">
        <v>0</v>
      </c>
      <c r="V279" s="41"/>
      <c r="W279" s="41"/>
      <c r="X279" s="41">
        <v>1</v>
      </c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</row>
    <row r="280" spans="1:49" hidden="1">
      <c r="A280" s="37">
        <f>MAX($A$1:$A279)+1</f>
        <v>278</v>
      </c>
      <c r="B280" s="41" t="s">
        <v>31</v>
      </c>
      <c r="C280" s="41" t="s">
        <v>32</v>
      </c>
      <c r="D280" s="41" t="s">
        <v>126</v>
      </c>
      <c r="E280" s="41" t="s">
        <v>127</v>
      </c>
      <c r="F280" s="54"/>
      <c r="G280" s="46"/>
      <c r="H280" s="41" t="s">
        <v>122</v>
      </c>
      <c r="I280" s="41">
        <v>3</v>
      </c>
      <c r="J280" s="41">
        <v>330</v>
      </c>
      <c r="K280" s="60">
        <v>0.55833333333333335</v>
      </c>
      <c r="L280" s="41">
        <v>9</v>
      </c>
      <c r="M280" s="41">
        <v>9</v>
      </c>
      <c r="N280" s="41" t="s">
        <v>36</v>
      </c>
      <c r="O280" s="41">
        <v>1</v>
      </c>
      <c r="P280" s="41">
        <v>16</v>
      </c>
      <c r="Q280" s="41" t="s">
        <v>128</v>
      </c>
      <c r="R280" s="28" t="s">
        <v>129</v>
      </c>
      <c r="S280" s="31" t="s">
        <v>130</v>
      </c>
      <c r="T280" s="42">
        <f t="shared" si="16"/>
        <v>1</v>
      </c>
      <c r="U280" s="41">
        <v>0</v>
      </c>
      <c r="V280" s="41">
        <v>1</v>
      </c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</row>
    <row r="281" spans="1:49" hidden="1">
      <c r="A281" s="37">
        <f>MAX($A$1:$A280)+1</f>
        <v>279</v>
      </c>
      <c r="B281" s="41" t="s">
        <v>31</v>
      </c>
      <c r="C281" s="41" t="s">
        <v>32</v>
      </c>
      <c r="D281" s="41" t="s">
        <v>126</v>
      </c>
      <c r="E281" s="41" t="s">
        <v>127</v>
      </c>
      <c r="F281" s="54"/>
      <c r="G281" s="46"/>
      <c r="H281" s="41" t="s">
        <v>122</v>
      </c>
      <c r="I281" s="41">
        <v>3</v>
      </c>
      <c r="J281" s="41">
        <v>330</v>
      </c>
      <c r="K281" s="60">
        <v>0.55833333333333302</v>
      </c>
      <c r="L281" s="41">
        <v>9</v>
      </c>
      <c r="M281" s="41">
        <v>9</v>
      </c>
      <c r="N281" s="41" t="s">
        <v>36</v>
      </c>
      <c r="O281" s="41">
        <v>2</v>
      </c>
      <c r="P281" s="41">
        <v>24</v>
      </c>
      <c r="Q281" s="41" t="s">
        <v>48</v>
      </c>
      <c r="R281" s="28" t="s">
        <v>49</v>
      </c>
      <c r="S281" s="45" t="s">
        <v>50</v>
      </c>
      <c r="T281" s="42">
        <f t="shared" si="16"/>
        <v>1</v>
      </c>
      <c r="U281" s="41">
        <v>0</v>
      </c>
      <c r="V281" s="41"/>
      <c r="W281" s="41"/>
      <c r="X281" s="41"/>
      <c r="Y281" s="41"/>
      <c r="Z281" s="41"/>
      <c r="AA281" s="41">
        <v>1</v>
      </c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</row>
    <row r="282" spans="1:49" hidden="1">
      <c r="A282" s="37">
        <f>MAX($A$1:$A281)+1</f>
        <v>280</v>
      </c>
      <c r="B282" s="41" t="s">
        <v>31</v>
      </c>
      <c r="C282" s="41" t="s">
        <v>32</v>
      </c>
      <c r="D282" s="41" t="s">
        <v>126</v>
      </c>
      <c r="E282" s="41" t="s">
        <v>127</v>
      </c>
      <c r="F282" s="54"/>
      <c r="G282" s="46"/>
      <c r="H282" s="41" t="s">
        <v>122</v>
      </c>
      <c r="I282" s="41">
        <v>3</v>
      </c>
      <c r="J282" s="41">
        <v>330</v>
      </c>
      <c r="K282" s="60">
        <v>0.55833333333333302</v>
      </c>
      <c r="L282" s="41">
        <v>9</v>
      </c>
      <c r="M282" s="41">
        <v>9</v>
      </c>
      <c r="N282" s="41" t="s">
        <v>36</v>
      </c>
      <c r="O282" s="41">
        <v>1</v>
      </c>
      <c r="P282" s="41">
        <v>32</v>
      </c>
      <c r="Q282" s="41" t="s">
        <v>112</v>
      </c>
      <c r="R282" s="28" t="s">
        <v>38</v>
      </c>
      <c r="S282" s="31"/>
      <c r="T282" s="42">
        <f t="shared" si="16"/>
        <v>0</v>
      </c>
      <c r="U282" s="41">
        <v>0</v>
      </c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</row>
    <row r="283" spans="1:49" hidden="1">
      <c r="A283" s="37">
        <f>MAX($A$1:$A282)+1</f>
        <v>281</v>
      </c>
      <c r="B283" s="41" t="s">
        <v>31</v>
      </c>
      <c r="C283" s="41" t="s">
        <v>32</v>
      </c>
      <c r="D283" s="41" t="s">
        <v>126</v>
      </c>
      <c r="E283" s="41" t="s">
        <v>127</v>
      </c>
      <c r="F283" s="54"/>
      <c r="G283" s="46"/>
      <c r="H283" s="41" t="s">
        <v>122</v>
      </c>
      <c r="I283" s="41">
        <v>3</v>
      </c>
      <c r="J283" s="41">
        <v>330</v>
      </c>
      <c r="K283" s="60">
        <v>0.55833333333333302</v>
      </c>
      <c r="L283" s="41">
        <v>9</v>
      </c>
      <c r="M283" s="41">
        <v>9</v>
      </c>
      <c r="N283" s="41" t="s">
        <v>36</v>
      </c>
      <c r="O283" s="41">
        <v>2</v>
      </c>
      <c r="P283" s="41">
        <v>40</v>
      </c>
      <c r="Q283" s="61" t="s">
        <v>112</v>
      </c>
      <c r="R283" s="64" t="s">
        <v>38</v>
      </c>
      <c r="S283" s="31"/>
      <c r="T283" s="42">
        <f t="shared" si="16"/>
        <v>0</v>
      </c>
      <c r="U283" s="41">
        <v>0</v>
      </c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</row>
    <row r="284" spans="1:49" hidden="1">
      <c r="A284" s="37">
        <f>MAX($A$1:$A283)+1</f>
        <v>282</v>
      </c>
      <c r="B284" s="41" t="s">
        <v>31</v>
      </c>
      <c r="C284" s="41" t="s">
        <v>32</v>
      </c>
      <c r="D284" s="41" t="s">
        <v>126</v>
      </c>
      <c r="E284" s="41" t="s">
        <v>127</v>
      </c>
      <c r="F284" s="54"/>
      <c r="G284" s="46"/>
      <c r="H284" s="41" t="s">
        <v>122</v>
      </c>
      <c r="I284" s="41">
        <v>3</v>
      </c>
      <c r="J284" s="41">
        <v>330</v>
      </c>
      <c r="K284" s="60">
        <v>0.55833333333333302</v>
      </c>
      <c r="L284" s="41">
        <v>9</v>
      </c>
      <c r="M284" s="41">
        <v>9</v>
      </c>
      <c r="N284" s="41" t="s">
        <v>36</v>
      </c>
      <c r="O284" s="41">
        <v>1</v>
      </c>
      <c r="P284" s="41">
        <v>48</v>
      </c>
      <c r="Q284" s="61" t="s">
        <v>39</v>
      </c>
      <c r="R284" s="64" t="s">
        <v>40</v>
      </c>
      <c r="S284" s="65" t="s">
        <v>41</v>
      </c>
      <c r="T284" s="42">
        <f t="shared" si="16"/>
        <v>2</v>
      </c>
      <c r="U284" s="41">
        <v>0</v>
      </c>
      <c r="V284" s="41">
        <v>1</v>
      </c>
      <c r="W284" s="41"/>
      <c r="X284" s="41">
        <v>1</v>
      </c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</row>
    <row r="285" spans="1:49" hidden="1">
      <c r="A285" s="37">
        <f>MAX($A$1:$A284)+1</f>
        <v>283</v>
      </c>
      <c r="B285" s="41" t="s">
        <v>31</v>
      </c>
      <c r="C285" s="41" t="s">
        <v>32</v>
      </c>
      <c r="D285" s="41" t="s">
        <v>126</v>
      </c>
      <c r="E285" s="41" t="s">
        <v>127</v>
      </c>
      <c r="F285" s="54"/>
      <c r="G285" s="46"/>
      <c r="H285" s="41" t="s">
        <v>122</v>
      </c>
      <c r="I285" s="41">
        <v>3</v>
      </c>
      <c r="J285" s="41">
        <v>330</v>
      </c>
      <c r="K285" s="60">
        <v>0.55833333333333302</v>
      </c>
      <c r="L285" s="41">
        <v>9</v>
      </c>
      <c r="M285" s="41">
        <v>9</v>
      </c>
      <c r="N285" s="41" t="s">
        <v>36</v>
      </c>
      <c r="O285" s="41">
        <v>1</v>
      </c>
      <c r="P285" s="41">
        <v>48</v>
      </c>
      <c r="Q285" s="41" t="s">
        <v>53</v>
      </c>
      <c r="R285" s="37" t="s">
        <v>54</v>
      </c>
      <c r="S285" s="48" t="s">
        <v>55</v>
      </c>
      <c r="T285" s="42">
        <f t="shared" si="16"/>
        <v>1</v>
      </c>
      <c r="U285" s="41">
        <v>0</v>
      </c>
      <c r="V285" s="41"/>
      <c r="W285" s="41">
        <v>1</v>
      </c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</row>
    <row r="286" spans="1:49" hidden="1">
      <c r="A286" s="37">
        <f>MAX($A$1:$A285)+1</f>
        <v>284</v>
      </c>
      <c r="B286" s="41" t="s">
        <v>31</v>
      </c>
      <c r="C286" s="41" t="s">
        <v>32</v>
      </c>
      <c r="D286" s="41" t="s">
        <v>126</v>
      </c>
      <c r="E286" s="41" t="s">
        <v>127</v>
      </c>
      <c r="F286" s="54"/>
      <c r="G286" s="46"/>
      <c r="H286" s="41" t="s">
        <v>122</v>
      </c>
      <c r="I286" s="41">
        <v>3</v>
      </c>
      <c r="J286" s="41">
        <v>330</v>
      </c>
      <c r="K286" s="60">
        <v>0.55833333333333302</v>
      </c>
      <c r="L286" s="41">
        <v>9</v>
      </c>
      <c r="M286" s="41">
        <v>9</v>
      </c>
      <c r="N286" s="41" t="s">
        <v>36</v>
      </c>
      <c r="O286" s="41">
        <v>1</v>
      </c>
      <c r="P286" s="41">
        <v>48</v>
      </c>
      <c r="Q286" s="41" t="s">
        <v>42</v>
      </c>
      <c r="R286" s="37" t="s">
        <v>43</v>
      </c>
      <c r="S286" s="48" t="s">
        <v>44</v>
      </c>
      <c r="T286" s="42">
        <f t="shared" si="16"/>
        <v>1</v>
      </c>
      <c r="U286" s="41">
        <v>0</v>
      </c>
      <c r="V286" s="41"/>
      <c r="W286" s="41"/>
      <c r="X286" s="41">
        <v>1</v>
      </c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</row>
    <row r="287" spans="1:49" hidden="1">
      <c r="A287" s="37">
        <f>MAX($A$1:$A286)+1</f>
        <v>285</v>
      </c>
      <c r="B287" s="41" t="s">
        <v>31</v>
      </c>
      <c r="C287" s="41" t="s">
        <v>113</v>
      </c>
      <c r="D287" s="41" t="s">
        <v>126</v>
      </c>
      <c r="E287" s="41" t="s">
        <v>127</v>
      </c>
      <c r="F287" s="54"/>
      <c r="G287" s="46"/>
      <c r="H287" s="41" t="s">
        <v>122</v>
      </c>
      <c r="I287" s="41">
        <v>3</v>
      </c>
      <c r="J287" s="41">
        <v>320</v>
      </c>
      <c r="K287" s="60">
        <v>0.55833333333333302</v>
      </c>
      <c r="L287" s="41">
        <v>7</v>
      </c>
      <c r="M287" s="41">
        <v>9</v>
      </c>
      <c r="N287" s="41" t="s">
        <v>36</v>
      </c>
      <c r="O287" s="41">
        <v>1</v>
      </c>
      <c r="P287" s="41">
        <v>0</v>
      </c>
      <c r="Q287" s="61" t="s">
        <v>39</v>
      </c>
      <c r="R287" s="64" t="s">
        <v>40</v>
      </c>
      <c r="S287" s="65" t="s">
        <v>41</v>
      </c>
      <c r="T287" s="42">
        <f t="shared" si="16"/>
        <v>2</v>
      </c>
      <c r="U287" s="41">
        <v>0</v>
      </c>
      <c r="V287" s="41"/>
      <c r="W287" s="41">
        <v>2</v>
      </c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</row>
    <row r="288" spans="1:49" hidden="1">
      <c r="A288" s="37">
        <f>MAX($A$1:$A287)+1</f>
        <v>286</v>
      </c>
      <c r="B288" s="41" t="s">
        <v>31</v>
      </c>
      <c r="C288" s="41" t="s">
        <v>113</v>
      </c>
      <c r="D288" s="41" t="s">
        <v>126</v>
      </c>
      <c r="E288" s="41" t="s">
        <v>127</v>
      </c>
      <c r="F288" s="54"/>
      <c r="G288" s="46"/>
      <c r="H288" s="41" t="s">
        <v>122</v>
      </c>
      <c r="I288" s="41">
        <v>3</v>
      </c>
      <c r="J288" s="41">
        <v>320</v>
      </c>
      <c r="K288" s="60">
        <v>0.55833333333333302</v>
      </c>
      <c r="L288" s="41">
        <v>7</v>
      </c>
      <c r="M288" s="41">
        <v>9</v>
      </c>
      <c r="N288" s="41" t="s">
        <v>36</v>
      </c>
      <c r="O288" s="41">
        <v>2</v>
      </c>
      <c r="P288" s="41">
        <v>8</v>
      </c>
      <c r="Q288" s="61" t="s">
        <v>39</v>
      </c>
      <c r="R288" s="64" t="s">
        <v>40</v>
      </c>
      <c r="S288" s="65" t="s">
        <v>41</v>
      </c>
      <c r="T288" s="42">
        <f t="shared" si="16"/>
        <v>6</v>
      </c>
      <c r="U288" s="41">
        <v>0</v>
      </c>
      <c r="V288" s="41"/>
      <c r="W288" s="41">
        <v>2</v>
      </c>
      <c r="X288" s="41">
        <v>4</v>
      </c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</row>
    <row r="289" spans="1:49" hidden="1">
      <c r="A289" s="37">
        <f>MAX($A$1:$A288)+1</f>
        <v>287</v>
      </c>
      <c r="B289" s="41" t="s">
        <v>31</v>
      </c>
      <c r="C289" s="41" t="s">
        <v>113</v>
      </c>
      <c r="D289" s="41" t="s">
        <v>126</v>
      </c>
      <c r="E289" s="41" t="s">
        <v>127</v>
      </c>
      <c r="F289" s="54"/>
      <c r="G289" s="46"/>
      <c r="H289" s="41" t="s">
        <v>122</v>
      </c>
      <c r="I289" s="41">
        <v>3</v>
      </c>
      <c r="J289" s="41">
        <v>320</v>
      </c>
      <c r="K289" s="60">
        <v>0.55833333333333302</v>
      </c>
      <c r="L289" s="41">
        <v>7</v>
      </c>
      <c r="M289" s="41">
        <v>9</v>
      </c>
      <c r="N289" s="41" t="s">
        <v>36</v>
      </c>
      <c r="O289" s="41">
        <v>1</v>
      </c>
      <c r="P289" s="41">
        <v>16</v>
      </c>
      <c r="Q289" s="61" t="s">
        <v>39</v>
      </c>
      <c r="R289" s="64" t="s">
        <v>40</v>
      </c>
      <c r="S289" s="65" t="s">
        <v>41</v>
      </c>
      <c r="T289" s="42">
        <f t="shared" si="16"/>
        <v>4</v>
      </c>
      <c r="U289" s="41">
        <v>0</v>
      </c>
      <c r="V289" s="41"/>
      <c r="W289" s="41">
        <v>2</v>
      </c>
      <c r="X289" s="41">
        <v>1</v>
      </c>
      <c r="Y289" s="41"/>
      <c r="Z289" s="41">
        <v>1</v>
      </c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</row>
    <row r="290" spans="1:49" hidden="1">
      <c r="A290" s="37">
        <f>MAX($A$1:$A289)+1</f>
        <v>288</v>
      </c>
      <c r="B290" s="41" t="s">
        <v>31</v>
      </c>
      <c r="C290" s="41" t="s">
        <v>113</v>
      </c>
      <c r="D290" s="41" t="s">
        <v>126</v>
      </c>
      <c r="E290" s="41" t="s">
        <v>127</v>
      </c>
      <c r="F290" s="54"/>
      <c r="G290" s="46"/>
      <c r="H290" s="41" t="s">
        <v>122</v>
      </c>
      <c r="I290" s="41">
        <v>3</v>
      </c>
      <c r="J290" s="41">
        <v>320</v>
      </c>
      <c r="K290" s="60">
        <v>0.55833333333333302</v>
      </c>
      <c r="L290" s="41">
        <v>7</v>
      </c>
      <c r="M290" s="41">
        <v>9</v>
      </c>
      <c r="N290" s="41" t="s">
        <v>36</v>
      </c>
      <c r="O290" s="41">
        <v>1</v>
      </c>
      <c r="P290" s="41">
        <v>16</v>
      </c>
      <c r="Q290" s="41" t="s">
        <v>53</v>
      </c>
      <c r="R290" s="37" t="s">
        <v>54</v>
      </c>
      <c r="S290" s="48" t="s">
        <v>55</v>
      </c>
      <c r="T290" s="42">
        <f t="shared" si="16"/>
        <v>2</v>
      </c>
      <c r="U290" s="41">
        <v>0</v>
      </c>
      <c r="V290" s="41"/>
      <c r="W290" s="41">
        <v>1</v>
      </c>
      <c r="X290" s="41"/>
      <c r="Y290" s="41"/>
      <c r="Z290" s="41"/>
      <c r="AA290" s="41"/>
      <c r="AB290" s="41"/>
      <c r="AC290" s="41">
        <v>1</v>
      </c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</row>
    <row r="291" spans="1:49" hidden="1">
      <c r="A291" s="37">
        <f>MAX($A$1:$A290)+1</f>
        <v>289</v>
      </c>
      <c r="B291" s="41" t="s">
        <v>31</v>
      </c>
      <c r="C291" s="41" t="s">
        <v>113</v>
      </c>
      <c r="D291" s="41" t="s">
        <v>126</v>
      </c>
      <c r="E291" s="41" t="s">
        <v>127</v>
      </c>
      <c r="F291" s="54"/>
      <c r="G291" s="46"/>
      <c r="H291" s="41" t="s">
        <v>122</v>
      </c>
      <c r="I291" s="41">
        <v>3</v>
      </c>
      <c r="J291" s="41">
        <v>320</v>
      </c>
      <c r="K291" s="60">
        <v>0.55833333333333302</v>
      </c>
      <c r="L291" s="41">
        <v>7</v>
      </c>
      <c r="M291" s="41">
        <v>9</v>
      </c>
      <c r="N291" s="41" t="s">
        <v>36</v>
      </c>
      <c r="O291" s="41">
        <v>2</v>
      </c>
      <c r="P291" s="41">
        <v>24</v>
      </c>
      <c r="Q291" s="61" t="s">
        <v>39</v>
      </c>
      <c r="R291" s="64" t="s">
        <v>40</v>
      </c>
      <c r="S291" s="65" t="s">
        <v>41</v>
      </c>
      <c r="T291" s="42">
        <f t="shared" si="16"/>
        <v>4</v>
      </c>
      <c r="U291" s="41">
        <v>0</v>
      </c>
      <c r="V291" s="41"/>
      <c r="W291" s="41">
        <v>2</v>
      </c>
      <c r="X291" s="41">
        <v>1</v>
      </c>
      <c r="Y291" s="41">
        <v>1</v>
      </c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</row>
    <row r="292" spans="1:49" hidden="1">
      <c r="A292" s="37">
        <f>MAX($A$1:$A291)+1</f>
        <v>290</v>
      </c>
      <c r="B292" s="41" t="s">
        <v>31</v>
      </c>
      <c r="C292" s="41" t="s">
        <v>113</v>
      </c>
      <c r="D292" s="41" t="s">
        <v>126</v>
      </c>
      <c r="E292" s="41" t="s">
        <v>127</v>
      </c>
      <c r="F292" s="54"/>
      <c r="G292" s="46"/>
      <c r="H292" s="41" t="s">
        <v>122</v>
      </c>
      <c r="I292" s="41">
        <v>3</v>
      </c>
      <c r="J292" s="41">
        <v>320</v>
      </c>
      <c r="K292" s="60">
        <v>0.55833333333333302</v>
      </c>
      <c r="L292" s="41">
        <v>7</v>
      </c>
      <c r="M292" s="41">
        <v>9</v>
      </c>
      <c r="N292" s="41" t="s">
        <v>36</v>
      </c>
      <c r="O292" s="41">
        <v>2</v>
      </c>
      <c r="P292" s="41">
        <v>24</v>
      </c>
      <c r="Q292" s="41" t="s">
        <v>53</v>
      </c>
      <c r="R292" s="37" t="s">
        <v>54</v>
      </c>
      <c r="S292" s="48" t="s">
        <v>55</v>
      </c>
      <c r="T292" s="42">
        <f t="shared" si="16"/>
        <v>1</v>
      </c>
      <c r="U292" s="41">
        <v>0</v>
      </c>
      <c r="V292" s="41"/>
      <c r="W292" s="41"/>
      <c r="X292" s="41"/>
      <c r="Y292" s="41"/>
      <c r="Z292" s="41">
        <v>1</v>
      </c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</row>
    <row r="293" spans="1:49" hidden="1">
      <c r="A293" s="37">
        <f>MAX($A$1:$A292)+1</f>
        <v>291</v>
      </c>
      <c r="B293" s="41" t="s">
        <v>31</v>
      </c>
      <c r="C293" s="41" t="s">
        <v>113</v>
      </c>
      <c r="D293" s="41" t="s">
        <v>126</v>
      </c>
      <c r="E293" s="41" t="s">
        <v>127</v>
      </c>
      <c r="F293" s="54"/>
      <c r="G293" s="46"/>
      <c r="H293" s="41" t="s">
        <v>122</v>
      </c>
      <c r="I293" s="41">
        <v>3</v>
      </c>
      <c r="J293" s="41">
        <v>320</v>
      </c>
      <c r="K293" s="60">
        <v>0.55833333333333302</v>
      </c>
      <c r="L293" s="41">
        <v>7</v>
      </c>
      <c r="M293" s="41">
        <v>9</v>
      </c>
      <c r="N293" s="41" t="s">
        <v>36</v>
      </c>
      <c r="O293" s="41">
        <v>2</v>
      </c>
      <c r="P293" s="41">
        <v>24</v>
      </c>
      <c r="Q293" s="41" t="s">
        <v>48</v>
      </c>
      <c r="R293" s="28" t="s">
        <v>49</v>
      </c>
      <c r="S293" s="45" t="s">
        <v>50</v>
      </c>
      <c r="T293" s="42">
        <f t="shared" si="16"/>
        <v>1</v>
      </c>
      <c r="U293" s="41">
        <v>0</v>
      </c>
      <c r="V293" s="41"/>
      <c r="W293" s="41"/>
      <c r="X293" s="41">
        <v>1</v>
      </c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</row>
    <row r="294" spans="1:49" hidden="1">
      <c r="A294" s="37">
        <f>MAX($A$1:$A293)+1</f>
        <v>292</v>
      </c>
      <c r="B294" s="41" t="s">
        <v>31</v>
      </c>
      <c r="C294" s="41" t="s">
        <v>113</v>
      </c>
      <c r="D294" s="41" t="s">
        <v>126</v>
      </c>
      <c r="E294" s="41" t="s">
        <v>127</v>
      </c>
      <c r="F294" s="54"/>
      <c r="G294" s="46"/>
      <c r="H294" s="41" t="s">
        <v>122</v>
      </c>
      <c r="I294" s="41">
        <v>3</v>
      </c>
      <c r="J294" s="41">
        <v>320</v>
      </c>
      <c r="K294" s="60">
        <v>0.55833333333333302</v>
      </c>
      <c r="L294" s="41">
        <v>7</v>
      </c>
      <c r="M294" s="41">
        <v>9</v>
      </c>
      <c r="N294" s="41" t="s">
        <v>36</v>
      </c>
      <c r="O294" s="41">
        <v>1</v>
      </c>
      <c r="P294" s="41">
        <v>32</v>
      </c>
      <c r="Q294" s="61" t="s">
        <v>39</v>
      </c>
      <c r="R294" s="64" t="s">
        <v>40</v>
      </c>
      <c r="S294" s="65" t="s">
        <v>41</v>
      </c>
      <c r="T294" s="42">
        <f t="shared" si="16"/>
        <v>3</v>
      </c>
      <c r="U294" s="41">
        <v>0</v>
      </c>
      <c r="V294" s="41"/>
      <c r="W294" s="41"/>
      <c r="X294" s="41">
        <v>3</v>
      </c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</row>
    <row r="295" spans="1:49" hidden="1">
      <c r="A295" s="37">
        <f>MAX($A$1:$A294)+1</f>
        <v>293</v>
      </c>
      <c r="B295" s="41" t="s">
        <v>31</v>
      </c>
      <c r="C295" s="41" t="s">
        <v>113</v>
      </c>
      <c r="D295" s="41" t="s">
        <v>126</v>
      </c>
      <c r="E295" s="41" t="s">
        <v>127</v>
      </c>
      <c r="F295" s="54"/>
      <c r="G295" s="46"/>
      <c r="H295" s="41" t="s">
        <v>122</v>
      </c>
      <c r="I295" s="41">
        <v>3</v>
      </c>
      <c r="J295" s="41">
        <v>320</v>
      </c>
      <c r="K295" s="60">
        <v>0.55833333333333302</v>
      </c>
      <c r="L295" s="41">
        <v>7</v>
      </c>
      <c r="M295" s="41">
        <v>9</v>
      </c>
      <c r="N295" s="41" t="s">
        <v>36</v>
      </c>
      <c r="O295" s="41">
        <v>1</v>
      </c>
      <c r="P295" s="41">
        <v>32</v>
      </c>
      <c r="Q295" s="41" t="s">
        <v>53</v>
      </c>
      <c r="R295" s="37" t="s">
        <v>54</v>
      </c>
      <c r="S295" s="48" t="s">
        <v>55</v>
      </c>
      <c r="T295" s="42">
        <f t="shared" si="16"/>
        <v>2</v>
      </c>
      <c r="U295" s="41">
        <v>0</v>
      </c>
      <c r="V295" s="41"/>
      <c r="W295" s="41"/>
      <c r="X295" s="41"/>
      <c r="Y295" s="41">
        <v>1</v>
      </c>
      <c r="Z295" s="41"/>
      <c r="AA295" s="41">
        <v>1</v>
      </c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</row>
    <row r="296" spans="1:49" hidden="1">
      <c r="A296" s="37">
        <f>MAX($A$1:$A295)+1</f>
        <v>294</v>
      </c>
      <c r="B296" s="41" t="s">
        <v>31</v>
      </c>
      <c r="C296" s="41" t="s">
        <v>113</v>
      </c>
      <c r="D296" s="41" t="s">
        <v>126</v>
      </c>
      <c r="E296" s="41" t="s">
        <v>127</v>
      </c>
      <c r="F296" s="54"/>
      <c r="G296" s="46"/>
      <c r="H296" s="41" t="s">
        <v>122</v>
      </c>
      <c r="I296" s="41">
        <v>3</v>
      </c>
      <c r="J296" s="41">
        <v>320</v>
      </c>
      <c r="K296" s="60">
        <v>0.55833333333333302</v>
      </c>
      <c r="L296" s="41">
        <v>7</v>
      </c>
      <c r="M296" s="41">
        <v>9</v>
      </c>
      <c r="N296" s="41" t="s">
        <v>36</v>
      </c>
      <c r="O296" s="41">
        <v>1</v>
      </c>
      <c r="P296" s="41">
        <v>32</v>
      </c>
      <c r="Q296" s="41" t="s">
        <v>48</v>
      </c>
      <c r="R296" s="28" t="s">
        <v>49</v>
      </c>
      <c r="S296" s="45" t="s">
        <v>50</v>
      </c>
      <c r="T296" s="42">
        <f t="shared" si="16"/>
        <v>1</v>
      </c>
      <c r="U296" s="41">
        <v>0</v>
      </c>
      <c r="V296" s="41"/>
      <c r="W296" s="41">
        <v>1</v>
      </c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</row>
    <row r="297" spans="1:49" hidden="1">
      <c r="A297" s="37">
        <f>MAX($A$1:$A296)+1</f>
        <v>295</v>
      </c>
      <c r="B297" s="41" t="s">
        <v>31</v>
      </c>
      <c r="C297" s="41" t="s">
        <v>113</v>
      </c>
      <c r="D297" s="41" t="s">
        <v>126</v>
      </c>
      <c r="E297" s="41" t="s">
        <v>127</v>
      </c>
      <c r="F297" s="54"/>
      <c r="G297" s="46"/>
      <c r="H297" s="41" t="s">
        <v>122</v>
      </c>
      <c r="I297" s="41">
        <v>3</v>
      </c>
      <c r="J297" s="41">
        <v>320</v>
      </c>
      <c r="K297" s="60">
        <v>0.55833333333333302</v>
      </c>
      <c r="L297" s="41">
        <v>7</v>
      </c>
      <c r="M297" s="41">
        <v>9</v>
      </c>
      <c r="N297" s="41" t="s">
        <v>36</v>
      </c>
      <c r="O297" s="41">
        <v>2</v>
      </c>
      <c r="P297" s="41">
        <v>40</v>
      </c>
      <c r="Q297" s="61" t="s">
        <v>39</v>
      </c>
      <c r="R297" s="64" t="s">
        <v>40</v>
      </c>
      <c r="S297" s="65" t="s">
        <v>41</v>
      </c>
      <c r="T297" s="42">
        <f t="shared" si="16"/>
        <v>4</v>
      </c>
      <c r="U297" s="41">
        <v>0</v>
      </c>
      <c r="V297" s="41"/>
      <c r="W297" s="41"/>
      <c r="X297" s="41">
        <v>3</v>
      </c>
      <c r="Y297" s="41"/>
      <c r="Z297" s="41"/>
      <c r="AA297" s="41">
        <v>1</v>
      </c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</row>
    <row r="298" spans="1:49" hidden="1">
      <c r="A298" s="37">
        <f>MAX($A$1:$A297)+1</f>
        <v>296</v>
      </c>
      <c r="B298" s="41" t="s">
        <v>31</v>
      </c>
      <c r="C298" s="41" t="s">
        <v>113</v>
      </c>
      <c r="D298" s="41" t="s">
        <v>126</v>
      </c>
      <c r="E298" s="41" t="s">
        <v>127</v>
      </c>
      <c r="F298" s="54"/>
      <c r="G298" s="46"/>
      <c r="H298" s="41" t="s">
        <v>122</v>
      </c>
      <c r="I298" s="41">
        <v>3</v>
      </c>
      <c r="J298" s="41">
        <v>320</v>
      </c>
      <c r="K298" s="60">
        <v>0.55833333333333302</v>
      </c>
      <c r="L298" s="41">
        <v>7</v>
      </c>
      <c r="M298" s="41">
        <v>9</v>
      </c>
      <c r="N298" s="41" t="s">
        <v>36</v>
      </c>
      <c r="O298" s="41">
        <v>2</v>
      </c>
      <c r="P298" s="41">
        <v>40</v>
      </c>
      <c r="Q298" s="41" t="s">
        <v>53</v>
      </c>
      <c r="R298" s="37" t="s">
        <v>54</v>
      </c>
      <c r="S298" s="48" t="s">
        <v>55</v>
      </c>
      <c r="T298" s="42">
        <f t="shared" si="16"/>
        <v>1</v>
      </c>
      <c r="U298" s="41">
        <v>0</v>
      </c>
      <c r="V298" s="41"/>
      <c r="W298" s="41"/>
      <c r="X298" s="41"/>
      <c r="Y298" s="41"/>
      <c r="Z298" s="41"/>
      <c r="AA298" s="41">
        <v>1</v>
      </c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</row>
    <row r="299" spans="1:49" hidden="1">
      <c r="A299" s="37">
        <f>MAX($A$1:$A298)+1</f>
        <v>297</v>
      </c>
      <c r="B299" s="41" t="s">
        <v>31</v>
      </c>
      <c r="C299" s="41" t="s">
        <v>113</v>
      </c>
      <c r="D299" s="41" t="s">
        <v>126</v>
      </c>
      <c r="E299" s="41" t="s">
        <v>127</v>
      </c>
      <c r="F299" s="54"/>
      <c r="G299" s="46"/>
      <c r="H299" s="41" t="s">
        <v>122</v>
      </c>
      <c r="I299" s="41">
        <v>3</v>
      </c>
      <c r="J299" s="41">
        <v>320</v>
      </c>
      <c r="K299" s="60">
        <v>0.55833333333333302</v>
      </c>
      <c r="L299" s="41">
        <v>7</v>
      </c>
      <c r="M299" s="41">
        <v>9</v>
      </c>
      <c r="N299" s="41" t="s">
        <v>36</v>
      </c>
      <c r="O299" s="41">
        <v>2</v>
      </c>
      <c r="P299" s="41">
        <v>40</v>
      </c>
      <c r="Q299" s="61" t="s">
        <v>45</v>
      </c>
      <c r="R299" s="64" t="s">
        <v>46</v>
      </c>
      <c r="S299" s="65" t="s">
        <v>47</v>
      </c>
      <c r="T299" s="42">
        <f t="shared" si="16"/>
        <v>1</v>
      </c>
      <c r="U299" s="41">
        <v>0</v>
      </c>
      <c r="V299" s="41"/>
      <c r="W299" s="41"/>
      <c r="X299" s="41"/>
      <c r="Y299" s="41"/>
      <c r="Z299" s="41"/>
      <c r="AA299" s="41"/>
      <c r="AB299" s="41">
        <v>1</v>
      </c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</row>
    <row r="300" spans="1:49" hidden="1">
      <c r="A300" s="37">
        <f>MAX($A$1:$A299)+1</f>
        <v>298</v>
      </c>
      <c r="B300" s="41" t="s">
        <v>31</v>
      </c>
      <c r="C300" s="41" t="s">
        <v>113</v>
      </c>
      <c r="D300" s="41" t="s">
        <v>126</v>
      </c>
      <c r="E300" s="41" t="s">
        <v>127</v>
      </c>
      <c r="F300" s="54"/>
      <c r="G300" s="46"/>
      <c r="H300" s="41" t="s">
        <v>122</v>
      </c>
      <c r="I300" s="41">
        <v>3</v>
      </c>
      <c r="J300" s="41">
        <v>320</v>
      </c>
      <c r="K300" s="60">
        <v>0.55833333333333302</v>
      </c>
      <c r="L300" s="41">
        <v>7</v>
      </c>
      <c r="M300" s="41">
        <v>9</v>
      </c>
      <c r="N300" s="41" t="s">
        <v>36</v>
      </c>
      <c r="O300" s="41">
        <v>1</v>
      </c>
      <c r="P300" s="41">
        <v>48</v>
      </c>
      <c r="Q300" s="61" t="s">
        <v>39</v>
      </c>
      <c r="R300" s="64" t="s">
        <v>40</v>
      </c>
      <c r="S300" s="65" t="s">
        <v>41</v>
      </c>
      <c r="T300" s="42">
        <f t="shared" si="16"/>
        <v>3</v>
      </c>
      <c r="U300" s="41">
        <v>0</v>
      </c>
      <c r="V300" s="41"/>
      <c r="W300" s="41">
        <v>3</v>
      </c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</row>
    <row r="301" spans="1:49" hidden="1">
      <c r="A301" s="37">
        <f>MAX($A$1:$A300)+1</f>
        <v>299</v>
      </c>
      <c r="B301" s="41" t="s">
        <v>31</v>
      </c>
      <c r="C301" s="41" t="s">
        <v>113</v>
      </c>
      <c r="D301" s="41" t="s">
        <v>126</v>
      </c>
      <c r="E301" s="41" t="s">
        <v>127</v>
      </c>
      <c r="F301" s="54"/>
      <c r="G301" s="46"/>
      <c r="H301" s="41" t="s">
        <v>122</v>
      </c>
      <c r="I301" s="41">
        <v>3</v>
      </c>
      <c r="J301" s="41">
        <v>320</v>
      </c>
      <c r="K301" s="60">
        <v>0.55833333333333302</v>
      </c>
      <c r="L301" s="41">
        <v>7</v>
      </c>
      <c r="M301" s="41">
        <v>9</v>
      </c>
      <c r="N301" s="41" t="s">
        <v>36</v>
      </c>
      <c r="O301" s="41">
        <v>1</v>
      </c>
      <c r="P301" s="41">
        <v>48</v>
      </c>
      <c r="Q301" s="61" t="s">
        <v>45</v>
      </c>
      <c r="R301" s="64" t="s">
        <v>46</v>
      </c>
      <c r="S301" s="65" t="s">
        <v>47</v>
      </c>
      <c r="T301" s="42">
        <f t="shared" si="16"/>
        <v>1</v>
      </c>
      <c r="U301" s="41">
        <v>0</v>
      </c>
      <c r="V301" s="41"/>
      <c r="W301" s="41"/>
      <c r="X301" s="41"/>
      <c r="Y301" s="41"/>
      <c r="Z301" s="41"/>
      <c r="AA301" s="41">
        <v>1</v>
      </c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</row>
    <row r="302" spans="1:49" hidden="1">
      <c r="A302" s="37">
        <f>MAX($A$1:$A301)+1</f>
        <v>300</v>
      </c>
      <c r="B302" s="41"/>
      <c r="C302" s="41"/>
      <c r="D302" s="41"/>
      <c r="E302" s="41"/>
      <c r="F302" s="54"/>
      <c r="G302" s="46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2">
        <f t="shared" si="16"/>
        <v>0</v>
      </c>
      <c r="U302" s="41">
        <v>0</v>
      </c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</row>
    <row r="303" spans="1:49" hidden="1">
      <c r="A303" s="37">
        <f>MAX($A$1:$A302)+1</f>
        <v>301</v>
      </c>
      <c r="B303" s="41"/>
      <c r="C303" s="41"/>
      <c r="D303" s="41"/>
      <c r="E303" s="41"/>
      <c r="F303" s="54"/>
      <c r="G303" s="46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2">
        <f t="shared" si="16"/>
        <v>0</v>
      </c>
      <c r="U303" s="41">
        <v>0</v>
      </c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</row>
    <row r="304" spans="1:49" hidden="1">
      <c r="A304" s="37">
        <f>MAX($A$1:$A303)+1</f>
        <v>302</v>
      </c>
      <c r="B304" s="41"/>
      <c r="C304" s="41"/>
      <c r="D304" s="41"/>
      <c r="E304" s="41"/>
      <c r="F304" s="54"/>
      <c r="G304" s="46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2">
        <f t="shared" si="16"/>
        <v>0</v>
      </c>
      <c r="U304" s="41">
        <v>0</v>
      </c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</row>
    <row r="305" spans="1:49" hidden="1">
      <c r="A305" s="37">
        <f>MAX($A$1:$A304)+1</f>
        <v>303</v>
      </c>
      <c r="B305" s="41"/>
      <c r="C305" s="41"/>
      <c r="D305" s="41"/>
      <c r="E305" s="41"/>
      <c r="F305" s="54"/>
      <c r="G305" s="46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2">
        <f t="shared" si="16"/>
        <v>0</v>
      </c>
      <c r="U305" s="41">
        <v>0</v>
      </c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</row>
    <row r="306" spans="1:49" hidden="1">
      <c r="A306" s="37">
        <f>MAX($A$1:$A305)+1</f>
        <v>304</v>
      </c>
      <c r="B306" s="41"/>
      <c r="C306" s="41"/>
      <c r="D306" s="41"/>
      <c r="E306" s="41"/>
      <c r="F306" s="54"/>
      <c r="G306" s="46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2">
        <f t="shared" si="16"/>
        <v>0</v>
      </c>
      <c r="U306" s="41">
        <v>0</v>
      </c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</row>
    <row r="307" spans="1:49" hidden="1">
      <c r="A307" s="37">
        <f>MAX($A$1:$A306)+1</f>
        <v>305</v>
      </c>
      <c r="B307" s="41"/>
      <c r="C307" s="41"/>
      <c r="D307" s="41"/>
      <c r="E307" s="41"/>
      <c r="F307" s="54"/>
      <c r="G307" s="46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2">
        <f t="shared" si="16"/>
        <v>0</v>
      </c>
      <c r="U307" s="41">
        <v>0</v>
      </c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</row>
    <row r="308" spans="1:49" hidden="1">
      <c r="A308" s="37">
        <f>MAX($A$1:$A307)+1</f>
        <v>306</v>
      </c>
      <c r="B308" s="41"/>
      <c r="C308" s="41"/>
      <c r="D308" s="41"/>
      <c r="E308" s="41"/>
      <c r="F308" s="54"/>
      <c r="G308" s="46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2">
        <f t="shared" si="16"/>
        <v>0</v>
      </c>
      <c r="U308" s="41">
        <v>0</v>
      </c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</row>
    <row r="309" spans="1:49" hidden="1">
      <c r="A309" s="37">
        <f>MAX($A$1:$A308)+1</f>
        <v>307</v>
      </c>
      <c r="B309" s="41"/>
      <c r="C309" s="41"/>
      <c r="D309" s="41"/>
      <c r="E309" s="41"/>
      <c r="F309" s="54"/>
      <c r="G309" s="46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2">
        <f t="shared" si="16"/>
        <v>0</v>
      </c>
      <c r="U309" s="41">
        <v>0</v>
      </c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</row>
    <row r="310" spans="1:49" hidden="1">
      <c r="A310" s="37">
        <f>MAX($A$1:$A309)+1</f>
        <v>308</v>
      </c>
      <c r="B310" s="41"/>
      <c r="C310" s="41"/>
      <c r="D310" s="41"/>
      <c r="E310" s="41"/>
      <c r="F310" s="54"/>
      <c r="G310" s="46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2">
        <f t="shared" si="16"/>
        <v>0</v>
      </c>
      <c r="U310" s="41">
        <v>0</v>
      </c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</row>
    <row r="311" spans="1:49" hidden="1">
      <c r="A311" s="37">
        <f>MAX($A$1:$A310)+1</f>
        <v>309</v>
      </c>
      <c r="B311" s="41"/>
      <c r="C311" s="41"/>
      <c r="D311" s="41"/>
      <c r="E311" s="41"/>
      <c r="F311" s="54"/>
      <c r="G311" s="46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2">
        <f t="shared" si="16"/>
        <v>0</v>
      </c>
      <c r="U311" s="41">
        <v>0</v>
      </c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</row>
    <row r="312" spans="1:49" hidden="1">
      <c r="A312" s="37">
        <f>MAX($A$1:$A311)+1</f>
        <v>310</v>
      </c>
      <c r="B312" s="41"/>
      <c r="C312" s="41"/>
      <c r="D312" s="41"/>
      <c r="E312" s="41"/>
      <c r="F312" s="54"/>
      <c r="G312" s="46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2">
        <f t="shared" si="16"/>
        <v>0</v>
      </c>
      <c r="U312" s="41">
        <v>0</v>
      </c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</row>
    <row r="313" spans="1:49" hidden="1">
      <c r="A313" s="37">
        <f>MAX($A$1:$A312)+1</f>
        <v>311</v>
      </c>
      <c r="B313" s="41"/>
      <c r="C313" s="41"/>
      <c r="D313" s="41"/>
      <c r="E313" s="41"/>
      <c r="F313" s="54"/>
      <c r="G313" s="46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2">
        <f t="shared" si="16"/>
        <v>0</v>
      </c>
      <c r="U313" s="41">
        <v>0</v>
      </c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</row>
    <row r="314" spans="1:49" hidden="1">
      <c r="A314" s="37">
        <f>MAX($A$1:$A313)+1</f>
        <v>312</v>
      </c>
      <c r="B314" s="41"/>
      <c r="C314" s="41"/>
      <c r="D314" s="41"/>
      <c r="E314" s="41"/>
      <c r="F314" s="54"/>
      <c r="G314" s="46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2">
        <f t="shared" si="16"/>
        <v>0</v>
      </c>
      <c r="U314" s="41">
        <v>0</v>
      </c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</row>
    <row r="315" spans="1:49" hidden="1">
      <c r="A315" s="37">
        <f>MAX($A$1:$A314)+1</f>
        <v>313</v>
      </c>
      <c r="B315" s="41"/>
      <c r="C315" s="41"/>
      <c r="D315" s="41"/>
      <c r="E315" s="41"/>
      <c r="F315" s="54"/>
      <c r="G315" s="46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2">
        <f t="shared" si="16"/>
        <v>0</v>
      </c>
      <c r="U315" s="41">
        <v>0</v>
      </c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</row>
    <row r="316" spans="1:49" hidden="1">
      <c r="A316" s="37">
        <f>MAX($A$1:$A315)+1</f>
        <v>314</v>
      </c>
      <c r="B316" s="41"/>
      <c r="C316" s="41"/>
      <c r="D316" s="41"/>
      <c r="E316" s="41"/>
      <c r="F316" s="54"/>
      <c r="G316" s="46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2">
        <f t="shared" ref="T316:T379" si="26">SUM(U316:AW316)</f>
        <v>0</v>
      </c>
      <c r="U316" s="41">
        <v>0</v>
      </c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</row>
    <row r="317" spans="1:49" hidden="1">
      <c r="A317" s="37">
        <f>MAX($A$1:$A316)+1</f>
        <v>315</v>
      </c>
      <c r="B317" s="41"/>
      <c r="C317" s="41"/>
      <c r="D317" s="41"/>
      <c r="E317" s="41"/>
      <c r="F317" s="54"/>
      <c r="G317" s="46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2">
        <f t="shared" si="26"/>
        <v>0</v>
      </c>
      <c r="U317" s="41">
        <v>0</v>
      </c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</row>
    <row r="318" spans="1:49" hidden="1">
      <c r="A318" s="37">
        <f>MAX($A$1:$A317)+1</f>
        <v>316</v>
      </c>
      <c r="B318" s="41"/>
      <c r="C318" s="41"/>
      <c r="D318" s="41"/>
      <c r="E318" s="41"/>
      <c r="F318" s="54"/>
      <c r="G318" s="46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2">
        <f t="shared" si="26"/>
        <v>0</v>
      </c>
      <c r="U318" s="41">
        <v>0</v>
      </c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</row>
    <row r="319" spans="1:49" hidden="1">
      <c r="A319" s="37">
        <f>MAX($A$1:$A318)+1</f>
        <v>317</v>
      </c>
      <c r="B319" s="41"/>
      <c r="C319" s="41"/>
      <c r="D319" s="41"/>
      <c r="E319" s="41"/>
      <c r="F319" s="54"/>
      <c r="G319" s="46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2">
        <f t="shared" si="26"/>
        <v>0</v>
      </c>
      <c r="U319" s="41">
        <v>0</v>
      </c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</row>
    <row r="320" spans="1:49" hidden="1">
      <c r="A320" s="37">
        <f>MAX($A$1:$A319)+1</f>
        <v>318</v>
      </c>
      <c r="B320" s="41"/>
      <c r="C320" s="41"/>
      <c r="D320" s="41"/>
      <c r="E320" s="41"/>
      <c r="F320" s="54"/>
      <c r="G320" s="46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2">
        <f t="shared" si="26"/>
        <v>0</v>
      </c>
      <c r="U320" s="41">
        <v>0</v>
      </c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</row>
    <row r="321" spans="1:49" hidden="1">
      <c r="A321" s="37">
        <f>MAX($A$1:$A320)+1</f>
        <v>319</v>
      </c>
      <c r="B321" s="41"/>
      <c r="C321" s="41"/>
      <c r="D321" s="41"/>
      <c r="E321" s="41"/>
      <c r="F321" s="54"/>
      <c r="G321" s="46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2">
        <f t="shared" si="26"/>
        <v>0</v>
      </c>
      <c r="U321" s="41">
        <v>0</v>
      </c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</row>
    <row r="322" spans="1:49" hidden="1">
      <c r="A322" s="37">
        <f>MAX($A$1:$A321)+1</f>
        <v>320</v>
      </c>
      <c r="B322" s="41"/>
      <c r="C322" s="41"/>
      <c r="D322" s="41"/>
      <c r="E322" s="41"/>
      <c r="F322" s="54"/>
      <c r="G322" s="46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2">
        <f t="shared" si="26"/>
        <v>0</v>
      </c>
      <c r="U322" s="41">
        <v>0</v>
      </c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</row>
    <row r="323" spans="1:49" hidden="1">
      <c r="A323" s="37">
        <f>MAX($A$1:$A322)+1</f>
        <v>321</v>
      </c>
      <c r="B323" s="41"/>
      <c r="C323" s="41"/>
      <c r="D323" s="41"/>
      <c r="E323" s="41"/>
      <c r="F323" s="54"/>
      <c r="G323" s="46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2">
        <f t="shared" si="26"/>
        <v>0</v>
      </c>
      <c r="U323" s="41">
        <v>0</v>
      </c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</row>
    <row r="324" spans="1:49" hidden="1">
      <c r="A324" s="37">
        <f>MAX($A$1:$A323)+1</f>
        <v>322</v>
      </c>
      <c r="B324" s="41"/>
      <c r="C324" s="41"/>
      <c r="D324" s="41"/>
      <c r="E324" s="41"/>
      <c r="F324" s="54"/>
      <c r="G324" s="46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2">
        <f t="shared" si="26"/>
        <v>0</v>
      </c>
      <c r="U324" s="41">
        <v>0</v>
      </c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</row>
    <row r="325" spans="1:49" hidden="1">
      <c r="A325" s="37">
        <f>MAX($A$1:$A324)+1</f>
        <v>323</v>
      </c>
      <c r="B325" s="41"/>
      <c r="C325" s="41"/>
      <c r="D325" s="41"/>
      <c r="E325" s="41"/>
      <c r="F325" s="54"/>
      <c r="G325" s="46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2">
        <f t="shared" si="26"/>
        <v>0</v>
      </c>
      <c r="U325" s="41">
        <v>0</v>
      </c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</row>
    <row r="326" spans="1:49" hidden="1">
      <c r="A326" s="37">
        <f>MAX($A$1:$A325)+1</f>
        <v>324</v>
      </c>
      <c r="B326" s="41"/>
      <c r="C326" s="41"/>
      <c r="D326" s="41"/>
      <c r="E326" s="41"/>
      <c r="F326" s="54"/>
      <c r="G326" s="46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2">
        <f t="shared" si="26"/>
        <v>0</v>
      </c>
      <c r="U326" s="41">
        <v>0</v>
      </c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</row>
    <row r="327" spans="1:49" hidden="1">
      <c r="A327" s="37">
        <f>MAX($A$1:$A326)+1</f>
        <v>325</v>
      </c>
      <c r="B327" s="41"/>
      <c r="C327" s="41"/>
      <c r="D327" s="41"/>
      <c r="E327" s="41"/>
      <c r="F327" s="54"/>
      <c r="G327" s="46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2">
        <f t="shared" si="26"/>
        <v>0</v>
      </c>
      <c r="U327" s="41">
        <v>0</v>
      </c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</row>
    <row r="328" spans="1:49" hidden="1">
      <c r="A328" s="37">
        <f>MAX($A$1:$A327)+1</f>
        <v>326</v>
      </c>
      <c r="B328" s="41"/>
      <c r="C328" s="41"/>
      <c r="D328" s="41"/>
      <c r="E328" s="41"/>
      <c r="F328" s="54"/>
      <c r="G328" s="46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2">
        <f t="shared" si="26"/>
        <v>0</v>
      </c>
      <c r="U328" s="41">
        <v>0</v>
      </c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</row>
    <row r="329" spans="1:49" hidden="1">
      <c r="A329" s="37">
        <f>MAX($A$1:$A328)+1</f>
        <v>327</v>
      </c>
      <c r="B329" s="41"/>
      <c r="C329" s="41"/>
      <c r="D329" s="41"/>
      <c r="E329" s="41"/>
      <c r="F329" s="54"/>
      <c r="G329" s="46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2">
        <f t="shared" si="26"/>
        <v>0</v>
      </c>
      <c r="U329" s="41">
        <v>0</v>
      </c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</row>
    <row r="330" spans="1:49" hidden="1">
      <c r="A330" s="37">
        <f>MAX($A$1:$A329)+1</f>
        <v>328</v>
      </c>
      <c r="B330" s="41"/>
      <c r="C330" s="41"/>
      <c r="D330" s="41"/>
      <c r="E330" s="41"/>
      <c r="F330" s="54"/>
      <c r="G330" s="46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2">
        <f t="shared" si="26"/>
        <v>0</v>
      </c>
      <c r="U330" s="41">
        <v>0</v>
      </c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</row>
    <row r="331" spans="1:49" hidden="1">
      <c r="A331" s="37">
        <f>MAX($A$1:$A330)+1</f>
        <v>329</v>
      </c>
      <c r="B331" s="41"/>
      <c r="C331" s="41"/>
      <c r="D331" s="41"/>
      <c r="E331" s="41"/>
      <c r="F331" s="54"/>
      <c r="G331" s="46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2">
        <f t="shared" si="26"/>
        <v>0</v>
      </c>
      <c r="U331" s="41">
        <v>0</v>
      </c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</row>
    <row r="332" spans="1:49" hidden="1">
      <c r="A332" s="37">
        <f>MAX($A$1:$A331)+1</f>
        <v>330</v>
      </c>
      <c r="B332" s="41"/>
      <c r="C332" s="41"/>
      <c r="D332" s="41"/>
      <c r="E332" s="41"/>
      <c r="F332" s="54"/>
      <c r="G332" s="46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2">
        <f t="shared" si="26"/>
        <v>0</v>
      </c>
      <c r="U332" s="41">
        <v>0</v>
      </c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</row>
    <row r="333" spans="1:49" hidden="1">
      <c r="A333" s="37">
        <f>MAX($A$1:$A332)+1</f>
        <v>331</v>
      </c>
      <c r="B333" s="41"/>
      <c r="C333" s="41"/>
      <c r="D333" s="41"/>
      <c r="E333" s="41"/>
      <c r="F333" s="54"/>
      <c r="G333" s="46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2">
        <f t="shared" si="26"/>
        <v>0</v>
      </c>
      <c r="U333" s="41">
        <v>0</v>
      </c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</row>
    <row r="334" spans="1:49" hidden="1">
      <c r="A334" s="37">
        <f>MAX($A$1:$A333)+1</f>
        <v>332</v>
      </c>
      <c r="B334" s="41"/>
      <c r="C334" s="41"/>
      <c r="D334" s="41"/>
      <c r="E334" s="41"/>
      <c r="F334" s="54"/>
      <c r="G334" s="46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2">
        <f t="shared" si="26"/>
        <v>0</v>
      </c>
      <c r="U334" s="41">
        <v>0</v>
      </c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</row>
    <row r="335" spans="1:49" hidden="1">
      <c r="A335" s="37">
        <f>MAX($A$1:$A334)+1</f>
        <v>333</v>
      </c>
      <c r="B335" s="41"/>
      <c r="C335" s="41"/>
      <c r="D335" s="41"/>
      <c r="E335" s="41"/>
      <c r="F335" s="54"/>
      <c r="G335" s="46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2">
        <f t="shared" si="26"/>
        <v>0</v>
      </c>
      <c r="U335" s="41">
        <v>0</v>
      </c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</row>
    <row r="336" spans="1:49" hidden="1">
      <c r="A336" s="37">
        <f>MAX($A$1:$A335)+1</f>
        <v>334</v>
      </c>
      <c r="B336" s="41"/>
      <c r="C336" s="41"/>
      <c r="D336" s="41"/>
      <c r="E336" s="41"/>
      <c r="F336" s="54"/>
      <c r="G336" s="46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2">
        <f t="shared" si="26"/>
        <v>0</v>
      </c>
      <c r="U336" s="41">
        <v>0</v>
      </c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</row>
    <row r="337" spans="1:49" hidden="1">
      <c r="A337" s="37">
        <f>MAX($A$1:$A336)+1</f>
        <v>335</v>
      </c>
      <c r="B337" s="41"/>
      <c r="C337" s="41"/>
      <c r="D337" s="41"/>
      <c r="E337" s="41"/>
      <c r="F337" s="54"/>
      <c r="G337" s="46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2">
        <f t="shared" si="26"/>
        <v>0</v>
      </c>
      <c r="U337" s="41">
        <v>0</v>
      </c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</row>
    <row r="338" spans="1:49" hidden="1">
      <c r="A338" s="37">
        <f>MAX($A$1:$A337)+1</f>
        <v>336</v>
      </c>
      <c r="B338" s="41"/>
      <c r="C338" s="41"/>
      <c r="D338" s="41"/>
      <c r="E338" s="41"/>
      <c r="F338" s="54"/>
      <c r="G338" s="46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2">
        <f t="shared" si="26"/>
        <v>0</v>
      </c>
      <c r="U338" s="41">
        <v>0</v>
      </c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</row>
    <row r="339" spans="1:49" hidden="1">
      <c r="A339" s="37">
        <f>MAX($A$1:$A338)+1</f>
        <v>337</v>
      </c>
      <c r="B339" s="41"/>
      <c r="C339" s="41"/>
      <c r="D339" s="41"/>
      <c r="E339" s="41"/>
      <c r="F339" s="54"/>
      <c r="G339" s="46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2">
        <f t="shared" si="26"/>
        <v>0</v>
      </c>
      <c r="U339" s="41">
        <v>0</v>
      </c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</row>
    <row r="340" spans="1:49" hidden="1">
      <c r="A340" s="37">
        <f>MAX($A$1:$A339)+1</f>
        <v>338</v>
      </c>
      <c r="B340" s="41"/>
      <c r="C340" s="41"/>
      <c r="D340" s="41"/>
      <c r="E340" s="41"/>
      <c r="F340" s="54"/>
      <c r="G340" s="46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2">
        <f t="shared" si="26"/>
        <v>0</v>
      </c>
      <c r="U340" s="41">
        <v>0</v>
      </c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</row>
    <row r="341" spans="1:49" hidden="1">
      <c r="A341" s="37">
        <f>MAX($A$1:$A340)+1</f>
        <v>339</v>
      </c>
      <c r="B341" s="41"/>
      <c r="C341" s="41"/>
      <c r="D341" s="41"/>
      <c r="E341" s="41"/>
      <c r="F341" s="54"/>
      <c r="G341" s="46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2">
        <f t="shared" si="26"/>
        <v>0</v>
      </c>
      <c r="U341" s="41">
        <v>0</v>
      </c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</row>
    <row r="342" spans="1:49" hidden="1">
      <c r="A342" s="37">
        <f>MAX($A$1:$A341)+1</f>
        <v>340</v>
      </c>
      <c r="B342" s="41"/>
      <c r="C342" s="41"/>
      <c r="D342" s="41"/>
      <c r="E342" s="41"/>
      <c r="F342" s="54"/>
      <c r="G342" s="46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2">
        <f t="shared" si="26"/>
        <v>0</v>
      </c>
      <c r="U342" s="41">
        <v>0</v>
      </c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</row>
    <row r="343" spans="1:49" hidden="1">
      <c r="A343" s="37">
        <f>MAX($A$1:$A342)+1</f>
        <v>341</v>
      </c>
      <c r="B343" s="41"/>
      <c r="C343" s="41"/>
      <c r="D343" s="41"/>
      <c r="E343" s="41"/>
      <c r="F343" s="54"/>
      <c r="G343" s="46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2">
        <f t="shared" si="26"/>
        <v>0</v>
      </c>
      <c r="U343" s="41">
        <v>0</v>
      </c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</row>
    <row r="344" spans="1:49" hidden="1">
      <c r="A344" s="37">
        <f>MAX($A$1:$A343)+1</f>
        <v>342</v>
      </c>
      <c r="B344" s="41"/>
      <c r="C344" s="41"/>
      <c r="D344" s="41"/>
      <c r="E344" s="41"/>
      <c r="F344" s="54"/>
      <c r="G344" s="46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2">
        <f t="shared" si="26"/>
        <v>0</v>
      </c>
      <c r="U344" s="41">
        <v>0</v>
      </c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</row>
    <row r="345" spans="1:49" hidden="1">
      <c r="A345" s="37">
        <f>MAX($A$1:$A344)+1</f>
        <v>343</v>
      </c>
      <c r="B345" s="41"/>
      <c r="C345" s="41"/>
      <c r="D345" s="41"/>
      <c r="E345" s="41"/>
      <c r="F345" s="54"/>
      <c r="G345" s="46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2">
        <f t="shared" si="26"/>
        <v>0</v>
      </c>
      <c r="U345" s="41">
        <v>0</v>
      </c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</row>
    <row r="346" spans="1:49" hidden="1">
      <c r="A346" s="37">
        <f>MAX($A$1:$A345)+1</f>
        <v>344</v>
      </c>
      <c r="B346" s="41"/>
      <c r="C346" s="41"/>
      <c r="D346" s="41"/>
      <c r="E346" s="41"/>
      <c r="F346" s="54"/>
      <c r="G346" s="46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2">
        <f t="shared" si="26"/>
        <v>0</v>
      </c>
      <c r="U346" s="41">
        <v>0</v>
      </c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</row>
    <row r="347" spans="1:49" hidden="1">
      <c r="A347" s="37">
        <f>MAX($A$1:$A346)+1</f>
        <v>345</v>
      </c>
      <c r="B347" s="41"/>
      <c r="C347" s="41"/>
      <c r="D347" s="41"/>
      <c r="E347" s="41"/>
      <c r="F347" s="54"/>
      <c r="G347" s="46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2">
        <f t="shared" si="26"/>
        <v>0</v>
      </c>
      <c r="U347" s="41">
        <v>0</v>
      </c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</row>
    <row r="348" spans="1:49" hidden="1">
      <c r="A348" s="37">
        <f>MAX($A$1:$A347)+1</f>
        <v>346</v>
      </c>
      <c r="B348" s="41"/>
      <c r="C348" s="41"/>
      <c r="D348" s="41"/>
      <c r="E348" s="41"/>
      <c r="F348" s="54"/>
      <c r="G348" s="46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2">
        <f t="shared" si="26"/>
        <v>0</v>
      </c>
      <c r="U348" s="41">
        <v>0</v>
      </c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</row>
    <row r="349" spans="1:49" hidden="1">
      <c r="A349" s="37">
        <f>MAX($A$1:$A348)+1</f>
        <v>347</v>
      </c>
      <c r="B349" s="41"/>
      <c r="C349" s="41"/>
      <c r="D349" s="41"/>
      <c r="E349" s="41"/>
      <c r="F349" s="54"/>
      <c r="G349" s="46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2">
        <f t="shared" si="26"/>
        <v>0</v>
      </c>
      <c r="U349" s="41">
        <v>0</v>
      </c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</row>
    <row r="350" spans="1:49" hidden="1">
      <c r="A350" s="37">
        <f>MAX($A$1:$A349)+1</f>
        <v>348</v>
      </c>
      <c r="B350" s="41"/>
      <c r="C350" s="41"/>
      <c r="D350" s="41"/>
      <c r="E350" s="41"/>
      <c r="F350" s="54"/>
      <c r="G350" s="46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2">
        <f t="shared" si="26"/>
        <v>0</v>
      </c>
      <c r="U350" s="41">
        <v>0</v>
      </c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</row>
    <row r="351" spans="1:49" hidden="1">
      <c r="A351" s="37">
        <f>MAX($A$1:$A350)+1</f>
        <v>349</v>
      </c>
      <c r="B351" s="41"/>
      <c r="C351" s="41"/>
      <c r="D351" s="41"/>
      <c r="E351" s="41"/>
      <c r="F351" s="54"/>
      <c r="G351" s="46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2">
        <f t="shared" si="26"/>
        <v>0</v>
      </c>
      <c r="U351" s="41">
        <v>0</v>
      </c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</row>
    <row r="352" spans="1:49" hidden="1">
      <c r="A352" s="37">
        <f>MAX($A$1:$A351)+1</f>
        <v>350</v>
      </c>
      <c r="B352" s="41"/>
      <c r="C352" s="41"/>
      <c r="D352" s="41"/>
      <c r="E352" s="41"/>
      <c r="F352" s="54"/>
      <c r="G352" s="46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2">
        <f t="shared" si="26"/>
        <v>0</v>
      </c>
      <c r="U352" s="41">
        <v>0</v>
      </c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</row>
    <row r="353" spans="1:49" hidden="1">
      <c r="A353" s="37">
        <f>MAX($A$1:$A352)+1</f>
        <v>351</v>
      </c>
      <c r="B353" s="41"/>
      <c r="C353" s="41"/>
      <c r="D353" s="41"/>
      <c r="E353" s="41"/>
      <c r="F353" s="54"/>
      <c r="G353" s="46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2">
        <f t="shared" si="26"/>
        <v>0</v>
      </c>
      <c r="U353" s="41">
        <v>0</v>
      </c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</row>
    <row r="354" spans="1:49" hidden="1">
      <c r="A354" s="37">
        <f>MAX($A$1:$A353)+1</f>
        <v>352</v>
      </c>
      <c r="B354" s="41"/>
      <c r="C354" s="41"/>
      <c r="D354" s="41"/>
      <c r="E354" s="41"/>
      <c r="F354" s="54"/>
      <c r="G354" s="46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2">
        <f t="shared" si="26"/>
        <v>0</v>
      </c>
      <c r="U354" s="41">
        <v>0</v>
      </c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</row>
    <row r="355" spans="1:49" hidden="1">
      <c r="A355" s="37">
        <f>MAX($A$1:$A354)+1</f>
        <v>353</v>
      </c>
      <c r="B355" s="41"/>
      <c r="C355" s="41"/>
      <c r="D355" s="41"/>
      <c r="E355" s="41"/>
      <c r="F355" s="54"/>
      <c r="G355" s="46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2">
        <f t="shared" si="26"/>
        <v>0</v>
      </c>
      <c r="U355" s="41">
        <v>0</v>
      </c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</row>
    <row r="356" spans="1:49" hidden="1">
      <c r="A356" s="37">
        <f>MAX($A$1:$A355)+1</f>
        <v>354</v>
      </c>
      <c r="B356" s="41"/>
      <c r="C356" s="41"/>
      <c r="D356" s="41"/>
      <c r="E356" s="41"/>
      <c r="F356" s="54"/>
      <c r="G356" s="46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2">
        <f t="shared" si="26"/>
        <v>0</v>
      </c>
      <c r="U356" s="41">
        <v>0</v>
      </c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</row>
    <row r="357" spans="1:49" hidden="1">
      <c r="A357" s="37">
        <f>MAX($A$1:$A356)+1</f>
        <v>355</v>
      </c>
      <c r="B357" s="41"/>
      <c r="C357" s="41"/>
      <c r="D357" s="41"/>
      <c r="E357" s="41"/>
      <c r="F357" s="54"/>
      <c r="G357" s="46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2">
        <f t="shared" si="26"/>
        <v>0</v>
      </c>
      <c r="U357" s="41">
        <v>0</v>
      </c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</row>
    <row r="358" spans="1:49" hidden="1">
      <c r="A358" s="37">
        <f>MAX($A$1:$A357)+1</f>
        <v>356</v>
      </c>
      <c r="B358" s="41"/>
      <c r="C358" s="41"/>
      <c r="D358" s="41"/>
      <c r="E358" s="41"/>
      <c r="F358" s="54"/>
      <c r="G358" s="46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2">
        <f t="shared" si="26"/>
        <v>0</v>
      </c>
      <c r="U358" s="41">
        <v>0</v>
      </c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</row>
    <row r="359" spans="1:49" hidden="1">
      <c r="A359" s="37">
        <f>MAX($A$1:$A358)+1</f>
        <v>357</v>
      </c>
      <c r="B359" s="41"/>
      <c r="C359" s="41"/>
      <c r="D359" s="41"/>
      <c r="E359" s="41"/>
      <c r="F359" s="54"/>
      <c r="G359" s="46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2">
        <f t="shared" si="26"/>
        <v>0</v>
      </c>
      <c r="U359" s="41">
        <v>0</v>
      </c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</row>
    <row r="360" spans="1:49" hidden="1">
      <c r="A360" s="37">
        <f>MAX($A$1:$A359)+1</f>
        <v>358</v>
      </c>
      <c r="B360" s="41"/>
      <c r="C360" s="41"/>
      <c r="D360" s="41"/>
      <c r="E360" s="41"/>
      <c r="F360" s="54"/>
      <c r="G360" s="46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2">
        <f t="shared" si="26"/>
        <v>0</v>
      </c>
      <c r="U360" s="41">
        <v>0</v>
      </c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</row>
    <row r="361" spans="1:49" hidden="1">
      <c r="A361" s="37">
        <f>MAX($A$1:$A360)+1</f>
        <v>359</v>
      </c>
      <c r="B361" s="41"/>
      <c r="C361" s="41"/>
      <c r="D361" s="41"/>
      <c r="E361" s="41"/>
      <c r="F361" s="54"/>
      <c r="G361" s="46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2">
        <f t="shared" si="26"/>
        <v>0</v>
      </c>
      <c r="U361" s="41">
        <v>0</v>
      </c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</row>
    <row r="362" spans="1:49" hidden="1">
      <c r="A362" s="37">
        <f>MAX($A$1:$A361)+1</f>
        <v>360</v>
      </c>
      <c r="B362" s="41"/>
      <c r="C362" s="41"/>
      <c r="D362" s="41"/>
      <c r="E362" s="41"/>
      <c r="F362" s="54"/>
      <c r="G362" s="46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2">
        <f t="shared" si="26"/>
        <v>0</v>
      </c>
      <c r="U362" s="41">
        <v>0</v>
      </c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</row>
    <row r="363" spans="1:49" hidden="1">
      <c r="A363" s="37">
        <f>MAX($A$1:$A362)+1</f>
        <v>361</v>
      </c>
      <c r="B363" s="41"/>
      <c r="C363" s="41"/>
      <c r="D363" s="41"/>
      <c r="E363" s="41"/>
      <c r="F363" s="54"/>
      <c r="G363" s="46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2">
        <f t="shared" si="26"/>
        <v>0</v>
      </c>
      <c r="U363" s="41">
        <v>0</v>
      </c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</row>
    <row r="364" spans="1:49" hidden="1">
      <c r="A364" s="37">
        <f>MAX($A$1:$A363)+1</f>
        <v>362</v>
      </c>
      <c r="B364" s="41"/>
      <c r="C364" s="41"/>
      <c r="D364" s="41"/>
      <c r="E364" s="41"/>
      <c r="F364" s="54"/>
      <c r="G364" s="46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2">
        <f t="shared" si="26"/>
        <v>0</v>
      </c>
      <c r="U364" s="41">
        <v>0</v>
      </c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</row>
    <row r="365" spans="1:49" hidden="1">
      <c r="A365" s="37">
        <f>MAX($A$1:$A364)+1</f>
        <v>363</v>
      </c>
      <c r="B365" s="41"/>
      <c r="C365" s="41"/>
      <c r="D365" s="41"/>
      <c r="E365" s="41"/>
      <c r="F365" s="54"/>
      <c r="G365" s="46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2">
        <f t="shared" si="26"/>
        <v>0</v>
      </c>
      <c r="U365" s="41">
        <v>0</v>
      </c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</row>
    <row r="366" spans="1:49" hidden="1">
      <c r="A366" s="37">
        <f>MAX($A$1:$A365)+1</f>
        <v>364</v>
      </c>
      <c r="B366" s="41"/>
      <c r="C366" s="41"/>
      <c r="D366" s="41"/>
      <c r="E366" s="41"/>
      <c r="F366" s="54"/>
      <c r="G366" s="46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2">
        <f t="shared" si="26"/>
        <v>0</v>
      </c>
      <c r="U366" s="41">
        <v>0</v>
      </c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</row>
    <row r="367" spans="1:49" hidden="1">
      <c r="A367" s="37">
        <f>MAX($A$1:$A366)+1</f>
        <v>365</v>
      </c>
      <c r="B367" s="41"/>
      <c r="C367" s="41"/>
      <c r="D367" s="41"/>
      <c r="E367" s="41"/>
      <c r="F367" s="54"/>
      <c r="G367" s="46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2">
        <f t="shared" si="26"/>
        <v>0</v>
      </c>
      <c r="U367" s="41">
        <v>0</v>
      </c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</row>
    <row r="368" spans="1:49" hidden="1">
      <c r="A368" s="37">
        <f>MAX($A$1:$A367)+1</f>
        <v>366</v>
      </c>
      <c r="B368" s="41"/>
      <c r="C368" s="41"/>
      <c r="D368" s="41"/>
      <c r="E368" s="41"/>
      <c r="F368" s="54"/>
      <c r="G368" s="46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2">
        <f t="shared" si="26"/>
        <v>0</v>
      </c>
      <c r="U368" s="41">
        <v>0</v>
      </c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</row>
    <row r="369" spans="1:49" hidden="1">
      <c r="A369" s="37">
        <f>MAX($A$1:$A368)+1</f>
        <v>367</v>
      </c>
      <c r="B369" s="41"/>
      <c r="C369" s="41"/>
      <c r="D369" s="41"/>
      <c r="E369" s="41"/>
      <c r="F369" s="54"/>
      <c r="G369" s="46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2">
        <f t="shared" si="26"/>
        <v>0</v>
      </c>
      <c r="U369" s="41">
        <v>0</v>
      </c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</row>
    <row r="370" spans="1:49" hidden="1">
      <c r="A370" s="37">
        <f>MAX($A$1:$A369)+1</f>
        <v>368</v>
      </c>
      <c r="B370" s="41"/>
      <c r="C370" s="41"/>
      <c r="D370" s="41"/>
      <c r="E370" s="41"/>
      <c r="F370" s="54"/>
      <c r="G370" s="46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2">
        <f t="shared" si="26"/>
        <v>0</v>
      </c>
      <c r="U370" s="41">
        <v>0</v>
      </c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</row>
    <row r="371" spans="1:49" hidden="1">
      <c r="A371" s="37">
        <f>MAX($A$1:$A370)+1</f>
        <v>369</v>
      </c>
      <c r="B371" s="41"/>
      <c r="C371" s="41"/>
      <c r="D371" s="41"/>
      <c r="E371" s="41"/>
      <c r="F371" s="54"/>
      <c r="G371" s="46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2">
        <f t="shared" si="26"/>
        <v>0</v>
      </c>
      <c r="U371" s="41">
        <v>0</v>
      </c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</row>
    <row r="372" spans="1:49" hidden="1">
      <c r="A372" s="37">
        <f>MAX($A$1:$A371)+1</f>
        <v>370</v>
      </c>
      <c r="B372" s="41"/>
      <c r="C372" s="41"/>
      <c r="D372" s="41"/>
      <c r="E372" s="41"/>
      <c r="F372" s="54"/>
      <c r="G372" s="46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2">
        <f t="shared" si="26"/>
        <v>0</v>
      </c>
      <c r="U372" s="41">
        <v>0</v>
      </c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</row>
    <row r="373" spans="1:49" hidden="1">
      <c r="A373" s="37">
        <f>MAX($A$1:$A372)+1</f>
        <v>371</v>
      </c>
      <c r="B373" s="41"/>
      <c r="C373" s="41"/>
      <c r="D373" s="41"/>
      <c r="E373" s="41"/>
      <c r="F373" s="54"/>
      <c r="G373" s="46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2">
        <f t="shared" si="26"/>
        <v>0</v>
      </c>
      <c r="U373" s="41">
        <v>0</v>
      </c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</row>
    <row r="374" spans="1:49" hidden="1">
      <c r="A374" s="37">
        <f>MAX($A$1:$A373)+1</f>
        <v>372</v>
      </c>
      <c r="B374" s="41"/>
      <c r="C374" s="41"/>
      <c r="D374" s="41"/>
      <c r="E374" s="41"/>
      <c r="F374" s="54"/>
      <c r="G374" s="46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2">
        <f t="shared" si="26"/>
        <v>0</v>
      </c>
      <c r="U374" s="41">
        <v>0</v>
      </c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</row>
    <row r="375" spans="1:49" hidden="1">
      <c r="A375" s="37">
        <f>MAX($A$1:$A374)+1</f>
        <v>373</v>
      </c>
      <c r="B375" s="41"/>
      <c r="C375" s="41"/>
      <c r="D375" s="41"/>
      <c r="E375" s="41"/>
      <c r="F375" s="54"/>
      <c r="G375" s="46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2">
        <f t="shared" si="26"/>
        <v>0</v>
      </c>
      <c r="U375" s="41">
        <v>0</v>
      </c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</row>
    <row r="376" spans="1:49" hidden="1">
      <c r="A376" s="37">
        <f>MAX($A$1:$A375)+1</f>
        <v>374</v>
      </c>
      <c r="B376" s="41"/>
      <c r="C376" s="41"/>
      <c r="D376" s="41"/>
      <c r="E376" s="41"/>
      <c r="F376" s="54"/>
      <c r="G376" s="46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2">
        <f t="shared" si="26"/>
        <v>0</v>
      </c>
      <c r="U376" s="41">
        <v>0</v>
      </c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</row>
    <row r="377" spans="1:49" hidden="1">
      <c r="A377" s="37">
        <f>MAX($A$1:$A376)+1</f>
        <v>375</v>
      </c>
      <c r="B377" s="41"/>
      <c r="C377" s="41"/>
      <c r="D377" s="41"/>
      <c r="E377" s="41"/>
      <c r="F377" s="54"/>
      <c r="G377" s="46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2">
        <f t="shared" si="26"/>
        <v>0</v>
      </c>
      <c r="U377" s="41">
        <v>0</v>
      </c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</row>
    <row r="378" spans="1:49" hidden="1">
      <c r="A378" s="37">
        <f>MAX($A$1:$A377)+1</f>
        <v>376</v>
      </c>
      <c r="B378" s="41"/>
      <c r="C378" s="41"/>
      <c r="D378" s="41"/>
      <c r="E378" s="41"/>
      <c r="F378" s="54"/>
      <c r="G378" s="46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2">
        <f t="shared" si="26"/>
        <v>0</v>
      </c>
      <c r="U378" s="41">
        <v>0</v>
      </c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</row>
    <row r="379" spans="1:49" hidden="1">
      <c r="A379" s="37">
        <f>MAX($A$1:$A378)+1</f>
        <v>377</v>
      </c>
      <c r="B379" s="41"/>
      <c r="C379" s="41"/>
      <c r="D379" s="41"/>
      <c r="E379" s="41"/>
      <c r="F379" s="54"/>
      <c r="G379" s="46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2">
        <f t="shared" si="26"/>
        <v>0</v>
      </c>
      <c r="U379" s="41">
        <v>0</v>
      </c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</row>
    <row r="380" spans="1:49" hidden="1">
      <c r="A380" s="37">
        <f>MAX($A$1:$A379)+1</f>
        <v>378</v>
      </c>
      <c r="B380" s="41"/>
      <c r="C380" s="41"/>
      <c r="D380" s="41"/>
      <c r="E380" s="41"/>
      <c r="F380" s="54"/>
      <c r="G380" s="46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2">
        <f t="shared" ref="T380:T443" si="27">SUM(U380:AW380)</f>
        <v>0</v>
      </c>
      <c r="U380" s="41">
        <v>0</v>
      </c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</row>
    <row r="381" spans="1:49" hidden="1">
      <c r="A381" s="37">
        <f>MAX($A$1:$A380)+1</f>
        <v>379</v>
      </c>
      <c r="B381" s="41"/>
      <c r="C381" s="41"/>
      <c r="D381" s="41"/>
      <c r="E381" s="41"/>
      <c r="F381" s="54"/>
      <c r="G381" s="46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2">
        <f t="shared" si="27"/>
        <v>0</v>
      </c>
      <c r="U381" s="41">
        <v>0</v>
      </c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</row>
    <row r="382" spans="1:49" hidden="1">
      <c r="A382" s="37">
        <f>MAX($A$1:$A381)+1</f>
        <v>380</v>
      </c>
      <c r="B382" s="41"/>
      <c r="C382" s="41"/>
      <c r="D382" s="41"/>
      <c r="E382" s="41"/>
      <c r="F382" s="54"/>
      <c r="G382" s="46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2">
        <f t="shared" si="27"/>
        <v>0</v>
      </c>
      <c r="U382" s="41">
        <v>0</v>
      </c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</row>
    <row r="383" spans="1:49" hidden="1">
      <c r="A383" s="37">
        <f>MAX($A$1:$A382)+1</f>
        <v>381</v>
      </c>
      <c r="B383" s="41"/>
      <c r="C383" s="41"/>
      <c r="D383" s="41"/>
      <c r="E383" s="41"/>
      <c r="F383" s="54"/>
      <c r="G383" s="46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2">
        <f t="shared" si="27"/>
        <v>0</v>
      </c>
      <c r="U383" s="41">
        <v>0</v>
      </c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</row>
    <row r="384" spans="1:49" hidden="1">
      <c r="A384" s="37">
        <f>MAX($A$1:$A383)+1</f>
        <v>382</v>
      </c>
      <c r="B384" s="41"/>
      <c r="C384" s="41"/>
      <c r="D384" s="41"/>
      <c r="E384" s="41"/>
      <c r="F384" s="54"/>
      <c r="G384" s="46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2">
        <f t="shared" si="27"/>
        <v>0</v>
      </c>
      <c r="U384" s="41">
        <v>0</v>
      </c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</row>
    <row r="385" spans="1:49" hidden="1">
      <c r="A385" s="37">
        <f>MAX($A$1:$A384)+1</f>
        <v>383</v>
      </c>
      <c r="B385" s="41"/>
      <c r="C385" s="41"/>
      <c r="D385" s="41"/>
      <c r="E385" s="41"/>
      <c r="F385" s="54"/>
      <c r="G385" s="46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2">
        <f t="shared" si="27"/>
        <v>0</v>
      </c>
      <c r="U385" s="41">
        <v>0</v>
      </c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</row>
    <row r="386" spans="1:49" hidden="1">
      <c r="A386" s="37">
        <f>MAX($A$1:$A385)+1</f>
        <v>384</v>
      </c>
      <c r="B386" s="41"/>
      <c r="C386" s="41"/>
      <c r="D386" s="41"/>
      <c r="E386" s="41"/>
      <c r="F386" s="54"/>
      <c r="G386" s="46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2">
        <f t="shared" si="27"/>
        <v>0</v>
      </c>
      <c r="U386" s="41">
        <v>0</v>
      </c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</row>
    <row r="387" spans="1:49" hidden="1">
      <c r="A387" s="37">
        <f>MAX($A$1:$A386)+1</f>
        <v>385</v>
      </c>
      <c r="B387" s="41"/>
      <c r="C387" s="41"/>
      <c r="D387" s="41"/>
      <c r="E387" s="41"/>
      <c r="F387" s="54"/>
      <c r="G387" s="46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2">
        <f t="shared" si="27"/>
        <v>0</v>
      </c>
      <c r="U387" s="41">
        <v>0</v>
      </c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</row>
    <row r="388" spans="1:49" hidden="1">
      <c r="A388" s="37">
        <f>MAX($A$1:$A387)+1</f>
        <v>386</v>
      </c>
      <c r="B388" s="41"/>
      <c r="C388" s="41"/>
      <c r="D388" s="41"/>
      <c r="E388" s="41"/>
      <c r="F388" s="54"/>
      <c r="G388" s="46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2">
        <f t="shared" si="27"/>
        <v>0</v>
      </c>
      <c r="U388" s="41">
        <v>0</v>
      </c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</row>
    <row r="389" spans="1:49" hidden="1">
      <c r="A389" s="37">
        <f>MAX($A$1:$A388)+1</f>
        <v>387</v>
      </c>
      <c r="B389" s="41"/>
      <c r="C389" s="41"/>
      <c r="D389" s="41"/>
      <c r="E389" s="41"/>
      <c r="F389" s="54"/>
      <c r="G389" s="46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2">
        <f t="shared" si="27"/>
        <v>0</v>
      </c>
      <c r="U389" s="41">
        <v>0</v>
      </c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</row>
    <row r="390" spans="1:49" hidden="1">
      <c r="A390" s="37">
        <f>MAX($A$1:$A389)+1</f>
        <v>388</v>
      </c>
      <c r="B390" s="41"/>
      <c r="C390" s="41"/>
      <c r="D390" s="41"/>
      <c r="E390" s="41"/>
      <c r="F390" s="54"/>
      <c r="G390" s="46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2">
        <f t="shared" si="27"/>
        <v>0</v>
      </c>
      <c r="U390" s="41">
        <v>0</v>
      </c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</row>
    <row r="391" spans="1:49" hidden="1">
      <c r="A391" s="37">
        <f>MAX($A$1:$A390)+1</f>
        <v>389</v>
      </c>
      <c r="B391" s="41"/>
      <c r="C391" s="41"/>
      <c r="D391" s="41"/>
      <c r="E391" s="41"/>
      <c r="F391" s="54"/>
      <c r="G391" s="46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2">
        <f t="shared" si="27"/>
        <v>0</v>
      </c>
      <c r="U391" s="41">
        <v>0</v>
      </c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</row>
    <row r="392" spans="1:49" hidden="1">
      <c r="A392" s="37">
        <f>MAX($A$1:$A391)+1</f>
        <v>390</v>
      </c>
      <c r="B392" s="41"/>
      <c r="C392" s="41"/>
      <c r="D392" s="41"/>
      <c r="E392" s="41"/>
      <c r="F392" s="54"/>
      <c r="G392" s="46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2">
        <f t="shared" si="27"/>
        <v>0</v>
      </c>
      <c r="U392" s="41">
        <v>0</v>
      </c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</row>
    <row r="393" spans="1:49" hidden="1">
      <c r="A393" s="37">
        <f>MAX($A$1:$A392)+1</f>
        <v>391</v>
      </c>
      <c r="B393" s="41"/>
      <c r="C393" s="41"/>
      <c r="D393" s="41"/>
      <c r="E393" s="41"/>
      <c r="F393" s="54"/>
      <c r="G393" s="46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2">
        <f t="shared" si="27"/>
        <v>0</v>
      </c>
      <c r="U393" s="41">
        <v>0</v>
      </c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</row>
    <row r="394" spans="1:49" hidden="1">
      <c r="A394" s="37">
        <f>MAX($A$1:$A393)+1</f>
        <v>392</v>
      </c>
      <c r="B394" s="41"/>
      <c r="C394" s="41"/>
      <c r="D394" s="41"/>
      <c r="E394" s="41"/>
      <c r="F394" s="54"/>
      <c r="G394" s="46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2">
        <f t="shared" si="27"/>
        <v>0</v>
      </c>
      <c r="U394" s="41">
        <v>0</v>
      </c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</row>
    <row r="395" spans="1:49" hidden="1">
      <c r="A395" s="37">
        <f>MAX($A$1:$A394)+1</f>
        <v>393</v>
      </c>
      <c r="B395" s="41"/>
      <c r="C395" s="41"/>
      <c r="D395" s="41"/>
      <c r="E395" s="41"/>
      <c r="F395" s="54"/>
      <c r="G395" s="46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2">
        <f t="shared" si="27"/>
        <v>0</v>
      </c>
      <c r="U395" s="41">
        <v>0</v>
      </c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</row>
    <row r="396" spans="1:49" hidden="1">
      <c r="A396" s="37">
        <f>MAX($A$1:$A395)+1</f>
        <v>394</v>
      </c>
      <c r="B396" s="41"/>
      <c r="C396" s="41"/>
      <c r="D396" s="41"/>
      <c r="E396" s="41"/>
      <c r="F396" s="54"/>
      <c r="G396" s="46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2">
        <f t="shared" si="27"/>
        <v>0</v>
      </c>
      <c r="U396" s="41">
        <v>0</v>
      </c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</row>
    <row r="397" spans="1:49" hidden="1">
      <c r="A397" s="37">
        <f>MAX($A$1:$A396)+1</f>
        <v>395</v>
      </c>
      <c r="B397" s="41"/>
      <c r="C397" s="41"/>
      <c r="D397" s="41"/>
      <c r="E397" s="41"/>
      <c r="F397" s="54"/>
      <c r="G397" s="46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2">
        <f t="shared" si="27"/>
        <v>0</v>
      </c>
      <c r="U397" s="41">
        <v>0</v>
      </c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</row>
    <row r="398" spans="1:49" hidden="1">
      <c r="A398" s="37">
        <f>MAX($A$1:$A397)+1</f>
        <v>396</v>
      </c>
      <c r="B398" s="41"/>
      <c r="C398" s="41"/>
      <c r="D398" s="41"/>
      <c r="E398" s="41"/>
      <c r="F398" s="54"/>
      <c r="G398" s="46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2">
        <f t="shared" si="27"/>
        <v>0</v>
      </c>
      <c r="U398" s="41">
        <v>0</v>
      </c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</row>
    <row r="399" spans="1:49" hidden="1">
      <c r="A399" s="37">
        <f>MAX($A$1:$A398)+1</f>
        <v>397</v>
      </c>
      <c r="B399" s="41"/>
      <c r="C399" s="41"/>
      <c r="D399" s="41"/>
      <c r="E399" s="41"/>
      <c r="F399" s="54"/>
      <c r="G399" s="46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2">
        <f t="shared" si="27"/>
        <v>0</v>
      </c>
      <c r="U399" s="41">
        <v>0</v>
      </c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</row>
    <row r="400" spans="1:49" hidden="1">
      <c r="A400" s="37">
        <f>MAX($A$1:$A399)+1</f>
        <v>398</v>
      </c>
      <c r="B400" s="41"/>
      <c r="C400" s="41"/>
      <c r="D400" s="41"/>
      <c r="E400" s="41"/>
      <c r="F400" s="54"/>
      <c r="G400" s="46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2">
        <f t="shared" si="27"/>
        <v>0</v>
      </c>
      <c r="U400" s="41">
        <v>0</v>
      </c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</row>
    <row r="401" spans="1:49" hidden="1">
      <c r="A401" s="37">
        <f>MAX($A$1:$A400)+1</f>
        <v>399</v>
      </c>
      <c r="B401" s="41"/>
      <c r="C401" s="41"/>
      <c r="D401" s="41"/>
      <c r="E401" s="41"/>
      <c r="F401" s="54"/>
      <c r="G401" s="46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2">
        <f t="shared" si="27"/>
        <v>0</v>
      </c>
      <c r="U401" s="41">
        <v>0</v>
      </c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</row>
    <row r="402" spans="1:49" hidden="1">
      <c r="A402" s="37">
        <f>MAX($A$1:$A401)+1</f>
        <v>400</v>
      </c>
      <c r="B402" s="41"/>
      <c r="C402" s="41"/>
      <c r="D402" s="41"/>
      <c r="E402" s="41"/>
      <c r="F402" s="54"/>
      <c r="G402" s="46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2">
        <f t="shared" si="27"/>
        <v>0</v>
      </c>
      <c r="U402" s="41">
        <v>0</v>
      </c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</row>
    <row r="403" spans="1:49" hidden="1">
      <c r="A403" s="37">
        <f>MAX($A$1:$A402)+1</f>
        <v>401</v>
      </c>
      <c r="B403" s="41"/>
      <c r="C403" s="41"/>
      <c r="D403" s="41"/>
      <c r="E403" s="41"/>
      <c r="F403" s="54"/>
      <c r="G403" s="46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2">
        <f t="shared" si="27"/>
        <v>0</v>
      </c>
      <c r="U403" s="41">
        <v>0</v>
      </c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</row>
    <row r="404" spans="1:49" hidden="1">
      <c r="A404" s="37">
        <f>MAX($A$1:$A403)+1</f>
        <v>402</v>
      </c>
      <c r="B404" s="41"/>
      <c r="C404" s="41"/>
      <c r="D404" s="41"/>
      <c r="E404" s="41"/>
      <c r="F404" s="54"/>
      <c r="G404" s="46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2">
        <f t="shared" si="27"/>
        <v>0</v>
      </c>
      <c r="U404" s="41">
        <v>0</v>
      </c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</row>
    <row r="405" spans="1:49" hidden="1">
      <c r="A405" s="37">
        <f>MAX($A$1:$A404)+1</f>
        <v>403</v>
      </c>
      <c r="B405" s="41"/>
      <c r="C405" s="41"/>
      <c r="D405" s="41"/>
      <c r="E405" s="41"/>
      <c r="F405" s="54"/>
      <c r="G405" s="46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2">
        <f t="shared" si="27"/>
        <v>0</v>
      </c>
      <c r="U405" s="41">
        <v>0</v>
      </c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</row>
    <row r="406" spans="1:49" hidden="1">
      <c r="A406" s="37">
        <f>MAX($A$1:$A405)+1</f>
        <v>404</v>
      </c>
      <c r="B406" s="41"/>
      <c r="C406" s="41"/>
      <c r="D406" s="41"/>
      <c r="E406" s="41"/>
      <c r="F406" s="54"/>
      <c r="G406" s="46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2">
        <f t="shared" si="27"/>
        <v>0</v>
      </c>
      <c r="U406" s="41">
        <v>0</v>
      </c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</row>
    <row r="407" spans="1:49" hidden="1">
      <c r="A407" s="37">
        <f>MAX($A$1:$A406)+1</f>
        <v>405</v>
      </c>
      <c r="B407" s="41"/>
      <c r="C407" s="41"/>
      <c r="D407" s="41"/>
      <c r="E407" s="41"/>
      <c r="F407" s="54"/>
      <c r="G407" s="46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2">
        <f t="shared" si="27"/>
        <v>0</v>
      </c>
      <c r="U407" s="41">
        <v>0</v>
      </c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</row>
    <row r="408" spans="1:49" hidden="1">
      <c r="A408" s="37">
        <f>MAX($A$1:$A407)+1</f>
        <v>406</v>
      </c>
      <c r="B408" s="41"/>
      <c r="C408" s="41"/>
      <c r="D408" s="41"/>
      <c r="E408" s="41"/>
      <c r="F408" s="54"/>
      <c r="G408" s="46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2">
        <f t="shared" si="27"/>
        <v>0</v>
      </c>
      <c r="U408" s="41">
        <v>0</v>
      </c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</row>
    <row r="409" spans="1:49" hidden="1">
      <c r="A409" s="37">
        <f>MAX($A$1:$A408)+1</f>
        <v>407</v>
      </c>
      <c r="B409" s="41"/>
      <c r="C409" s="41"/>
      <c r="D409" s="41"/>
      <c r="E409" s="41"/>
      <c r="F409" s="54"/>
      <c r="G409" s="46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2">
        <f t="shared" si="27"/>
        <v>0</v>
      </c>
      <c r="U409" s="41">
        <v>0</v>
      </c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</row>
    <row r="410" spans="1:49" hidden="1">
      <c r="A410" s="37">
        <f>MAX($A$1:$A409)+1</f>
        <v>408</v>
      </c>
      <c r="B410" s="41"/>
      <c r="C410" s="41"/>
      <c r="D410" s="41"/>
      <c r="E410" s="41"/>
      <c r="F410" s="54"/>
      <c r="G410" s="46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2">
        <f t="shared" si="27"/>
        <v>0</v>
      </c>
      <c r="U410" s="41">
        <v>0</v>
      </c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</row>
    <row r="411" spans="1:49" hidden="1">
      <c r="A411" s="37">
        <f>MAX($A$1:$A410)+1</f>
        <v>409</v>
      </c>
      <c r="B411" s="41"/>
      <c r="C411" s="41"/>
      <c r="D411" s="41"/>
      <c r="E411" s="41"/>
      <c r="F411" s="54"/>
      <c r="G411" s="46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2">
        <f t="shared" si="27"/>
        <v>0</v>
      </c>
      <c r="U411" s="41">
        <v>0</v>
      </c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</row>
    <row r="412" spans="1:49" hidden="1">
      <c r="A412" s="37">
        <f>MAX($A$1:$A411)+1</f>
        <v>410</v>
      </c>
      <c r="B412" s="41"/>
      <c r="C412" s="41"/>
      <c r="D412" s="41"/>
      <c r="E412" s="41"/>
      <c r="F412" s="54"/>
      <c r="G412" s="46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2">
        <f t="shared" si="27"/>
        <v>0</v>
      </c>
      <c r="U412" s="41">
        <v>0</v>
      </c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</row>
    <row r="413" spans="1:49" hidden="1">
      <c r="A413" s="37">
        <f>MAX($A$1:$A412)+1</f>
        <v>411</v>
      </c>
      <c r="B413" s="41"/>
      <c r="C413" s="41"/>
      <c r="D413" s="41"/>
      <c r="E413" s="41"/>
      <c r="F413" s="54"/>
      <c r="G413" s="46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2">
        <f t="shared" si="27"/>
        <v>0</v>
      </c>
      <c r="U413" s="41">
        <v>0</v>
      </c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</row>
    <row r="414" spans="1:49" hidden="1">
      <c r="A414" s="37">
        <f>MAX($A$1:$A413)+1</f>
        <v>412</v>
      </c>
      <c r="B414" s="41"/>
      <c r="C414" s="41"/>
      <c r="D414" s="41"/>
      <c r="E414" s="41"/>
      <c r="F414" s="52"/>
      <c r="G414" s="59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2">
        <f t="shared" si="27"/>
        <v>0</v>
      </c>
      <c r="U414" s="41">
        <v>0</v>
      </c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</row>
    <row r="415" spans="1:49" hidden="1">
      <c r="A415" s="37">
        <f>MAX($A$1:$A414)+1</f>
        <v>413</v>
      </c>
      <c r="B415" s="41"/>
      <c r="C415" s="41"/>
      <c r="D415" s="41"/>
      <c r="E415" s="41"/>
      <c r="F415" s="52"/>
      <c r="G415" s="59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2">
        <f t="shared" si="27"/>
        <v>0</v>
      </c>
      <c r="U415" s="41">
        <v>0</v>
      </c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</row>
    <row r="416" spans="1:49" hidden="1">
      <c r="A416" s="37">
        <f>MAX($A$1:$A415)+1</f>
        <v>414</v>
      </c>
      <c r="B416" s="41"/>
      <c r="C416" s="41"/>
      <c r="D416" s="41"/>
      <c r="E416" s="41"/>
      <c r="F416" s="52"/>
      <c r="G416" s="59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2">
        <f t="shared" si="27"/>
        <v>0</v>
      </c>
      <c r="U416" s="41">
        <v>0</v>
      </c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</row>
    <row r="417" spans="1:49" hidden="1">
      <c r="A417" s="37">
        <f>MAX($A$1:$A416)+1</f>
        <v>415</v>
      </c>
      <c r="B417" s="41"/>
      <c r="C417" s="41"/>
      <c r="D417" s="41"/>
      <c r="E417" s="41"/>
      <c r="F417" s="52"/>
      <c r="G417" s="59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2">
        <f t="shared" si="27"/>
        <v>0</v>
      </c>
      <c r="U417" s="41">
        <v>0</v>
      </c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</row>
    <row r="418" spans="1:49" hidden="1">
      <c r="A418" s="37">
        <f>MAX($A$1:$A417)+1</f>
        <v>416</v>
      </c>
      <c r="B418" s="41"/>
      <c r="C418" s="41"/>
      <c r="D418" s="41"/>
      <c r="E418" s="41"/>
      <c r="F418" s="52"/>
      <c r="G418" s="59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2">
        <f t="shared" si="27"/>
        <v>0</v>
      </c>
      <c r="U418" s="41">
        <v>0</v>
      </c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</row>
    <row r="419" spans="1:49" hidden="1">
      <c r="A419" s="37">
        <f>MAX($A$1:$A418)+1</f>
        <v>417</v>
      </c>
      <c r="B419" s="41"/>
      <c r="C419" s="41"/>
      <c r="D419" s="41"/>
      <c r="E419" s="41"/>
      <c r="F419" s="52"/>
      <c r="G419" s="59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2">
        <f t="shared" si="27"/>
        <v>0</v>
      </c>
      <c r="U419" s="41">
        <v>0</v>
      </c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</row>
    <row r="420" spans="1:49" hidden="1">
      <c r="A420" s="37">
        <f>MAX($A$1:$A419)+1</f>
        <v>418</v>
      </c>
      <c r="B420" s="41"/>
      <c r="C420" s="41"/>
      <c r="D420" s="41"/>
      <c r="E420" s="41"/>
      <c r="F420" s="52"/>
      <c r="G420" s="59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2">
        <f t="shared" si="27"/>
        <v>0</v>
      </c>
      <c r="U420" s="41">
        <v>0</v>
      </c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</row>
    <row r="421" spans="1:49" hidden="1">
      <c r="A421" s="37">
        <f>MAX($A$1:$A420)+1</f>
        <v>419</v>
      </c>
      <c r="B421" s="41"/>
      <c r="C421" s="41"/>
      <c r="D421" s="41"/>
      <c r="E421" s="41"/>
      <c r="F421" s="52"/>
      <c r="G421" s="59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2">
        <f t="shared" si="27"/>
        <v>0</v>
      </c>
      <c r="U421" s="41">
        <v>0</v>
      </c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</row>
    <row r="422" spans="1:49" hidden="1">
      <c r="A422" s="37">
        <f>MAX($A$1:$A421)+1</f>
        <v>420</v>
      </c>
      <c r="B422" s="41"/>
      <c r="C422" s="41"/>
      <c r="D422" s="41"/>
      <c r="E422" s="41"/>
      <c r="F422" s="52"/>
      <c r="G422" s="59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2">
        <f t="shared" si="27"/>
        <v>0</v>
      </c>
      <c r="U422" s="41">
        <v>0</v>
      </c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</row>
    <row r="423" spans="1:49" hidden="1">
      <c r="A423" s="37">
        <f>MAX($A$1:$A422)+1</f>
        <v>421</v>
      </c>
      <c r="B423" s="41"/>
      <c r="C423" s="41"/>
      <c r="D423" s="41"/>
      <c r="E423" s="41"/>
      <c r="F423" s="52"/>
      <c r="G423" s="59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2">
        <f t="shared" si="27"/>
        <v>0</v>
      </c>
      <c r="U423" s="41">
        <v>0</v>
      </c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</row>
    <row r="424" spans="1:49" hidden="1">
      <c r="A424" s="37">
        <f>MAX($A$1:$A423)+1</f>
        <v>422</v>
      </c>
      <c r="B424" s="41"/>
      <c r="C424" s="41"/>
      <c r="D424" s="41"/>
      <c r="E424" s="41"/>
      <c r="F424" s="52"/>
      <c r="G424" s="59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2">
        <f t="shared" si="27"/>
        <v>0</v>
      </c>
      <c r="U424" s="41">
        <v>0</v>
      </c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</row>
    <row r="425" spans="1:49" hidden="1">
      <c r="A425" s="37">
        <f>MAX($A$1:$A424)+1</f>
        <v>423</v>
      </c>
      <c r="B425" s="41"/>
      <c r="C425" s="41"/>
      <c r="D425" s="41"/>
      <c r="E425" s="41"/>
      <c r="F425" s="52"/>
      <c r="G425" s="59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2">
        <f t="shared" si="27"/>
        <v>0</v>
      </c>
      <c r="U425" s="41">
        <v>0</v>
      </c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</row>
    <row r="426" spans="1:49" hidden="1">
      <c r="A426" s="37">
        <f>MAX($A$1:$A425)+1</f>
        <v>424</v>
      </c>
      <c r="B426" s="41"/>
      <c r="C426" s="41"/>
      <c r="D426" s="41"/>
      <c r="E426" s="41"/>
      <c r="F426" s="52"/>
      <c r="G426" s="59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2">
        <f t="shared" si="27"/>
        <v>0</v>
      </c>
      <c r="U426" s="41">
        <v>0</v>
      </c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</row>
    <row r="427" spans="1:49" hidden="1">
      <c r="A427" s="37">
        <f>MAX($A$1:$A426)+1</f>
        <v>425</v>
      </c>
      <c r="B427" s="41"/>
      <c r="C427" s="41"/>
      <c r="D427" s="41"/>
      <c r="E427" s="41"/>
      <c r="F427" s="52"/>
      <c r="G427" s="59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2">
        <f t="shared" si="27"/>
        <v>0</v>
      </c>
      <c r="U427" s="41">
        <v>0</v>
      </c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</row>
    <row r="428" spans="1:49" hidden="1">
      <c r="A428" s="37">
        <f>MAX($A$1:$A427)+1</f>
        <v>426</v>
      </c>
      <c r="B428" s="41"/>
      <c r="C428" s="41"/>
      <c r="D428" s="41"/>
      <c r="E428" s="41"/>
      <c r="F428" s="52"/>
      <c r="G428" s="59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2">
        <f t="shared" si="27"/>
        <v>0</v>
      </c>
      <c r="U428" s="41">
        <v>0</v>
      </c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</row>
    <row r="429" spans="1:49" hidden="1">
      <c r="A429" s="37">
        <f>MAX($A$1:$A428)+1</f>
        <v>427</v>
      </c>
      <c r="B429" s="41"/>
      <c r="C429" s="41"/>
      <c r="D429" s="41"/>
      <c r="E429" s="41"/>
      <c r="F429" s="52"/>
      <c r="G429" s="59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2">
        <f t="shared" si="27"/>
        <v>0</v>
      </c>
      <c r="U429" s="41">
        <v>0</v>
      </c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</row>
    <row r="430" spans="1:49" hidden="1">
      <c r="A430" s="37">
        <f>MAX($A$1:$A429)+1</f>
        <v>428</v>
      </c>
      <c r="B430" s="41"/>
      <c r="C430" s="41"/>
      <c r="D430" s="41"/>
      <c r="E430" s="41"/>
      <c r="F430" s="52"/>
      <c r="G430" s="59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2">
        <f t="shared" si="27"/>
        <v>0</v>
      </c>
      <c r="U430" s="41">
        <v>0</v>
      </c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</row>
    <row r="431" spans="1:49" hidden="1">
      <c r="A431" s="37">
        <f>MAX($A$1:$A430)+1</f>
        <v>429</v>
      </c>
      <c r="B431" s="41"/>
      <c r="C431" s="41"/>
      <c r="D431" s="41"/>
      <c r="E431" s="41"/>
      <c r="F431" s="52"/>
      <c r="G431" s="59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2">
        <f t="shared" si="27"/>
        <v>0</v>
      </c>
      <c r="U431" s="41">
        <v>0</v>
      </c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</row>
    <row r="432" spans="1:49" hidden="1">
      <c r="A432" s="37">
        <f>MAX($A$1:$A431)+1</f>
        <v>430</v>
      </c>
      <c r="B432" s="41"/>
      <c r="C432" s="41"/>
      <c r="D432" s="41"/>
      <c r="E432" s="41"/>
      <c r="F432" s="52"/>
      <c r="G432" s="59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2">
        <f t="shared" si="27"/>
        <v>0</v>
      </c>
      <c r="U432" s="41">
        <v>0</v>
      </c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</row>
    <row r="433" spans="1:49" hidden="1">
      <c r="A433" s="37">
        <f>MAX($A$1:$A432)+1</f>
        <v>431</v>
      </c>
      <c r="B433" s="41"/>
      <c r="C433" s="41"/>
      <c r="D433" s="41"/>
      <c r="E433" s="41"/>
      <c r="F433" s="52"/>
      <c r="G433" s="59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2">
        <f t="shared" si="27"/>
        <v>0</v>
      </c>
      <c r="U433" s="41">
        <v>0</v>
      </c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</row>
    <row r="434" spans="1:49" hidden="1">
      <c r="A434" s="37">
        <f>MAX($A$1:$A433)+1</f>
        <v>432</v>
      </c>
      <c r="B434" s="41"/>
      <c r="C434" s="41"/>
      <c r="D434" s="41"/>
      <c r="E434" s="41"/>
      <c r="F434" s="52"/>
      <c r="G434" s="59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2">
        <f t="shared" si="27"/>
        <v>0</v>
      </c>
      <c r="U434" s="41">
        <v>0</v>
      </c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</row>
    <row r="435" spans="1:49" hidden="1">
      <c r="A435" s="37">
        <f>MAX($A$1:$A434)+1</f>
        <v>433</v>
      </c>
      <c r="B435" s="41"/>
      <c r="C435" s="41"/>
      <c r="D435" s="41"/>
      <c r="E435" s="41"/>
      <c r="F435" s="52"/>
      <c r="G435" s="59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2">
        <f t="shared" si="27"/>
        <v>0</v>
      </c>
      <c r="U435" s="41">
        <v>0</v>
      </c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</row>
    <row r="436" spans="1:49" hidden="1">
      <c r="A436" s="37">
        <f>MAX($A$1:$A435)+1</f>
        <v>434</v>
      </c>
      <c r="B436" s="41"/>
      <c r="C436" s="41"/>
      <c r="D436" s="41"/>
      <c r="E436" s="41"/>
      <c r="F436" s="52"/>
      <c r="G436" s="59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2">
        <f t="shared" si="27"/>
        <v>0</v>
      </c>
      <c r="U436" s="41">
        <v>0</v>
      </c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</row>
    <row r="437" spans="1:49" hidden="1">
      <c r="A437" s="37">
        <f>MAX($A$1:$A436)+1</f>
        <v>435</v>
      </c>
      <c r="B437" s="41"/>
      <c r="C437" s="41"/>
      <c r="D437" s="41"/>
      <c r="E437" s="41"/>
      <c r="F437" s="52"/>
      <c r="G437" s="59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2">
        <f t="shared" si="27"/>
        <v>0</v>
      </c>
      <c r="U437" s="41">
        <v>0</v>
      </c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</row>
    <row r="438" spans="1:49" hidden="1">
      <c r="A438" s="37">
        <f>MAX($A$1:$A437)+1</f>
        <v>436</v>
      </c>
      <c r="B438" s="41"/>
      <c r="C438" s="41"/>
      <c r="D438" s="41"/>
      <c r="E438" s="41"/>
      <c r="F438" s="52"/>
      <c r="G438" s="59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2">
        <f t="shared" si="27"/>
        <v>0</v>
      </c>
      <c r="U438" s="41">
        <v>0</v>
      </c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</row>
    <row r="439" spans="1:49" hidden="1">
      <c r="A439" s="37">
        <f>MAX($A$1:$A438)+1</f>
        <v>437</v>
      </c>
      <c r="B439" s="41"/>
      <c r="C439" s="41"/>
      <c r="D439" s="41"/>
      <c r="E439" s="41"/>
      <c r="F439" s="52"/>
      <c r="G439" s="59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2">
        <f t="shared" si="27"/>
        <v>0</v>
      </c>
      <c r="U439" s="41">
        <v>0</v>
      </c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</row>
    <row r="440" spans="1:49" hidden="1">
      <c r="A440" s="37">
        <f>MAX($A$1:$A439)+1</f>
        <v>438</v>
      </c>
      <c r="B440" s="41"/>
      <c r="C440" s="41"/>
      <c r="D440" s="41"/>
      <c r="E440" s="41"/>
      <c r="F440" s="52"/>
      <c r="G440" s="59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2">
        <f t="shared" si="27"/>
        <v>0</v>
      </c>
      <c r="U440" s="41">
        <v>0</v>
      </c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</row>
    <row r="441" spans="1:49" hidden="1">
      <c r="A441" s="37">
        <f>MAX($A$1:$A440)+1</f>
        <v>439</v>
      </c>
      <c r="B441" s="41"/>
      <c r="C441" s="41"/>
      <c r="D441" s="41"/>
      <c r="E441" s="41"/>
      <c r="F441" s="52"/>
      <c r="G441" s="59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2">
        <f t="shared" si="27"/>
        <v>0</v>
      </c>
      <c r="U441" s="41">
        <v>0</v>
      </c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</row>
    <row r="442" spans="1:49" hidden="1">
      <c r="A442" s="37">
        <f>MAX($A$1:$A441)+1</f>
        <v>440</v>
      </c>
      <c r="B442" s="41"/>
      <c r="C442" s="41"/>
      <c r="D442" s="41"/>
      <c r="E442" s="41"/>
      <c r="F442" s="52"/>
      <c r="G442" s="59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2">
        <f t="shared" si="27"/>
        <v>0</v>
      </c>
      <c r="U442" s="41">
        <v>0</v>
      </c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</row>
    <row r="443" spans="1:49" hidden="1">
      <c r="A443" s="37">
        <f>MAX($A$1:$A442)+1</f>
        <v>441</v>
      </c>
      <c r="B443" s="41"/>
      <c r="C443" s="41"/>
      <c r="D443" s="41"/>
      <c r="E443" s="41"/>
      <c r="F443" s="52"/>
      <c r="G443" s="59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2">
        <f t="shared" si="27"/>
        <v>0</v>
      </c>
      <c r="U443" s="41">
        <v>0</v>
      </c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</row>
    <row r="444" spans="1:49" hidden="1">
      <c r="A444" s="37">
        <f>MAX($A$1:$A443)+1</f>
        <v>442</v>
      </c>
      <c r="B444" s="41"/>
      <c r="C444" s="41"/>
      <c r="D444" s="41"/>
      <c r="E444" s="41"/>
      <c r="F444" s="52"/>
      <c r="G444" s="59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2">
        <f t="shared" ref="T444:T507" si="28">SUM(U444:AW444)</f>
        <v>0</v>
      </c>
      <c r="U444" s="41">
        <v>0</v>
      </c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</row>
    <row r="445" spans="1:49" hidden="1">
      <c r="A445" s="37">
        <f>MAX($A$1:$A444)+1</f>
        <v>443</v>
      </c>
      <c r="B445" s="41"/>
      <c r="C445" s="41"/>
      <c r="D445" s="41"/>
      <c r="E445" s="41"/>
      <c r="F445" s="52"/>
      <c r="G445" s="59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2">
        <f t="shared" si="28"/>
        <v>0</v>
      </c>
      <c r="U445" s="41">
        <v>0</v>
      </c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</row>
    <row r="446" spans="1:49" hidden="1">
      <c r="A446" s="37">
        <f>MAX($A$1:$A445)+1</f>
        <v>444</v>
      </c>
      <c r="B446" s="41"/>
      <c r="C446" s="41"/>
      <c r="D446" s="41"/>
      <c r="E446" s="41"/>
      <c r="F446" s="52"/>
      <c r="G446" s="59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2">
        <f t="shared" si="28"/>
        <v>0</v>
      </c>
      <c r="U446" s="41">
        <v>0</v>
      </c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</row>
    <row r="447" spans="1:49" hidden="1">
      <c r="A447" s="37">
        <f>MAX($A$1:$A446)+1</f>
        <v>445</v>
      </c>
      <c r="B447" s="41"/>
      <c r="C447" s="41"/>
      <c r="D447" s="41"/>
      <c r="E447" s="41"/>
      <c r="F447" s="52"/>
      <c r="G447" s="59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2">
        <f t="shared" si="28"/>
        <v>0</v>
      </c>
      <c r="U447" s="41">
        <v>0</v>
      </c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</row>
    <row r="448" spans="1:49" hidden="1">
      <c r="A448" s="37">
        <f>MAX($A$1:$A447)+1</f>
        <v>446</v>
      </c>
      <c r="B448" s="41"/>
      <c r="C448" s="41"/>
      <c r="D448" s="41"/>
      <c r="E448" s="41"/>
      <c r="F448" s="52"/>
      <c r="G448" s="59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2">
        <f t="shared" si="28"/>
        <v>0</v>
      </c>
      <c r="U448" s="41">
        <v>0</v>
      </c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</row>
    <row r="449" spans="1:49" hidden="1">
      <c r="A449" s="37">
        <f>MAX($A$1:$A448)+1</f>
        <v>447</v>
      </c>
      <c r="B449" s="41"/>
      <c r="C449" s="41"/>
      <c r="D449" s="41"/>
      <c r="E449" s="41"/>
      <c r="F449" s="52"/>
      <c r="G449" s="59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2">
        <f t="shared" si="28"/>
        <v>0</v>
      </c>
      <c r="U449" s="41">
        <v>0</v>
      </c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</row>
    <row r="450" spans="1:49" hidden="1">
      <c r="A450" s="37">
        <f>MAX($A$1:$A449)+1</f>
        <v>448</v>
      </c>
      <c r="B450" s="41"/>
      <c r="C450" s="41"/>
      <c r="D450" s="41"/>
      <c r="E450" s="41"/>
      <c r="F450" s="52"/>
      <c r="G450" s="59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2">
        <f t="shared" si="28"/>
        <v>0</v>
      </c>
      <c r="U450" s="41">
        <v>0</v>
      </c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</row>
    <row r="451" spans="1:49" hidden="1">
      <c r="A451" s="37">
        <f>MAX($A$1:$A450)+1</f>
        <v>449</v>
      </c>
      <c r="B451" s="41"/>
      <c r="C451" s="41"/>
      <c r="D451" s="41"/>
      <c r="E451" s="41"/>
      <c r="F451" s="52"/>
      <c r="G451" s="59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2">
        <f t="shared" si="28"/>
        <v>0</v>
      </c>
      <c r="U451" s="41">
        <v>0</v>
      </c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</row>
    <row r="452" spans="1:49" hidden="1">
      <c r="A452" s="37">
        <f>MAX($A$1:$A451)+1</f>
        <v>450</v>
      </c>
      <c r="B452" s="41"/>
      <c r="C452" s="41"/>
      <c r="D452" s="41"/>
      <c r="E452" s="41"/>
      <c r="F452" s="52"/>
      <c r="G452" s="59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2">
        <f t="shared" si="28"/>
        <v>0</v>
      </c>
      <c r="U452" s="41">
        <v>0</v>
      </c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</row>
    <row r="453" spans="1:49" hidden="1">
      <c r="A453" s="37">
        <f>MAX($A$1:$A452)+1</f>
        <v>451</v>
      </c>
      <c r="B453" s="41"/>
      <c r="C453" s="41"/>
      <c r="D453" s="41"/>
      <c r="E453" s="41"/>
      <c r="F453" s="52"/>
      <c r="G453" s="59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2">
        <f t="shared" si="28"/>
        <v>0</v>
      </c>
      <c r="U453" s="41">
        <v>0</v>
      </c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</row>
    <row r="454" spans="1:49" hidden="1">
      <c r="A454" s="37">
        <f>MAX($A$1:$A453)+1</f>
        <v>452</v>
      </c>
      <c r="B454" s="41"/>
      <c r="C454" s="41"/>
      <c r="D454" s="41"/>
      <c r="E454" s="41"/>
      <c r="F454" s="52"/>
      <c r="G454" s="59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2">
        <f t="shared" si="28"/>
        <v>0</v>
      </c>
      <c r="U454" s="41">
        <v>0</v>
      </c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</row>
    <row r="455" spans="1:49" hidden="1">
      <c r="A455" s="37">
        <f>MAX($A$1:$A454)+1</f>
        <v>453</v>
      </c>
      <c r="B455" s="41"/>
      <c r="C455" s="41"/>
      <c r="D455" s="41"/>
      <c r="E455" s="41"/>
      <c r="F455" s="52"/>
      <c r="G455" s="59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2">
        <f t="shared" si="28"/>
        <v>0</v>
      </c>
      <c r="U455" s="41">
        <v>0</v>
      </c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</row>
    <row r="456" spans="1:49" hidden="1">
      <c r="A456" s="37">
        <f>MAX($A$1:$A455)+1</f>
        <v>454</v>
      </c>
      <c r="B456" s="41"/>
      <c r="C456" s="41"/>
      <c r="D456" s="41"/>
      <c r="E456" s="41"/>
      <c r="F456" s="52"/>
      <c r="G456" s="59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2">
        <f t="shared" si="28"/>
        <v>0</v>
      </c>
      <c r="U456" s="41">
        <v>0</v>
      </c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</row>
    <row r="457" spans="1:49" hidden="1">
      <c r="A457" s="37">
        <f>MAX($A$1:$A456)+1</f>
        <v>455</v>
      </c>
      <c r="B457" s="41"/>
      <c r="C457" s="41"/>
      <c r="D457" s="41"/>
      <c r="E457" s="41"/>
      <c r="F457" s="52"/>
      <c r="G457" s="59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2">
        <f t="shared" si="28"/>
        <v>0</v>
      </c>
      <c r="U457" s="41">
        <v>0</v>
      </c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</row>
    <row r="458" spans="1:49" hidden="1">
      <c r="A458" s="37">
        <f>MAX($A$1:$A457)+1</f>
        <v>456</v>
      </c>
      <c r="B458" s="41"/>
      <c r="C458" s="41"/>
      <c r="D458" s="41"/>
      <c r="E458" s="41"/>
      <c r="F458" s="52"/>
      <c r="G458" s="59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2">
        <f t="shared" si="28"/>
        <v>0</v>
      </c>
      <c r="U458" s="41">
        <v>0</v>
      </c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</row>
    <row r="459" spans="1:49" hidden="1">
      <c r="A459" s="37">
        <f>MAX($A$1:$A458)+1</f>
        <v>457</v>
      </c>
      <c r="B459" s="41"/>
      <c r="C459" s="41"/>
      <c r="D459" s="41"/>
      <c r="E459" s="41"/>
      <c r="F459" s="52"/>
      <c r="G459" s="59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2">
        <f t="shared" si="28"/>
        <v>0</v>
      </c>
      <c r="U459" s="41">
        <v>0</v>
      </c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</row>
    <row r="460" spans="1:49" hidden="1">
      <c r="A460" s="37">
        <f>MAX($A$1:$A459)+1</f>
        <v>458</v>
      </c>
      <c r="B460" s="41"/>
      <c r="C460" s="41"/>
      <c r="D460" s="41"/>
      <c r="E460" s="41"/>
      <c r="F460" s="52"/>
      <c r="G460" s="59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2">
        <f t="shared" si="28"/>
        <v>0</v>
      </c>
      <c r="U460" s="41">
        <v>0</v>
      </c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</row>
    <row r="461" spans="1:49" hidden="1">
      <c r="A461" s="37">
        <f>MAX($A$1:$A460)+1</f>
        <v>459</v>
      </c>
      <c r="B461" s="41"/>
      <c r="C461" s="41"/>
      <c r="D461" s="41"/>
      <c r="E461" s="41"/>
      <c r="F461" s="52"/>
      <c r="G461" s="59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2">
        <f t="shared" si="28"/>
        <v>0</v>
      </c>
      <c r="U461" s="41">
        <v>0</v>
      </c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</row>
    <row r="462" spans="1:49" hidden="1">
      <c r="A462" s="37">
        <f>MAX($A$1:$A461)+1</f>
        <v>460</v>
      </c>
      <c r="B462" s="41"/>
      <c r="C462" s="41"/>
      <c r="D462" s="41"/>
      <c r="E462" s="41"/>
      <c r="F462" s="52"/>
      <c r="G462" s="59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2">
        <f t="shared" si="28"/>
        <v>0</v>
      </c>
      <c r="U462" s="41">
        <v>0</v>
      </c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</row>
    <row r="463" spans="1:49" hidden="1">
      <c r="A463" s="37">
        <f>MAX($A$1:$A462)+1</f>
        <v>461</v>
      </c>
      <c r="B463" s="41"/>
      <c r="C463" s="41"/>
      <c r="D463" s="41"/>
      <c r="E463" s="41"/>
      <c r="F463" s="52"/>
      <c r="G463" s="59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2">
        <f t="shared" si="28"/>
        <v>0</v>
      </c>
      <c r="U463" s="41">
        <v>0</v>
      </c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</row>
    <row r="464" spans="1:49" hidden="1">
      <c r="A464" s="37">
        <f>MAX($A$1:$A463)+1</f>
        <v>462</v>
      </c>
      <c r="B464" s="41"/>
      <c r="C464" s="41"/>
      <c r="D464" s="41"/>
      <c r="E464" s="41"/>
      <c r="F464" s="52"/>
      <c r="G464" s="59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2">
        <f t="shared" si="28"/>
        <v>0</v>
      </c>
      <c r="U464" s="41">
        <v>0</v>
      </c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</row>
    <row r="465" spans="1:49" hidden="1">
      <c r="A465" s="37">
        <f>MAX($A$1:$A464)+1</f>
        <v>463</v>
      </c>
      <c r="B465" s="41"/>
      <c r="C465" s="41"/>
      <c r="D465" s="41"/>
      <c r="E465" s="41"/>
      <c r="F465" s="52"/>
      <c r="G465" s="59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2">
        <f t="shared" si="28"/>
        <v>0</v>
      </c>
      <c r="U465" s="41">
        <v>0</v>
      </c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</row>
    <row r="466" spans="1:49" hidden="1">
      <c r="A466" s="37">
        <f>MAX($A$1:$A465)+1</f>
        <v>464</v>
      </c>
      <c r="B466" s="41"/>
      <c r="C466" s="41"/>
      <c r="D466" s="41"/>
      <c r="E466" s="41"/>
      <c r="F466" s="52"/>
      <c r="G466" s="59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2">
        <f t="shared" si="28"/>
        <v>0</v>
      </c>
      <c r="U466" s="41">
        <v>0</v>
      </c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</row>
    <row r="467" spans="1:49" hidden="1">
      <c r="A467" s="37">
        <f>MAX($A$1:$A466)+1</f>
        <v>465</v>
      </c>
      <c r="B467" s="41"/>
      <c r="C467" s="41"/>
      <c r="D467" s="41"/>
      <c r="E467" s="41"/>
      <c r="F467" s="52"/>
      <c r="G467" s="59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2">
        <f t="shared" si="28"/>
        <v>0</v>
      </c>
      <c r="U467" s="41">
        <v>0</v>
      </c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</row>
    <row r="468" spans="1:49" hidden="1">
      <c r="A468" s="37">
        <f>MAX($A$1:$A467)+1</f>
        <v>466</v>
      </c>
      <c r="B468" s="41"/>
      <c r="C468" s="41"/>
      <c r="D468" s="41"/>
      <c r="E468" s="41"/>
      <c r="F468" s="52"/>
      <c r="G468" s="59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2">
        <f t="shared" si="28"/>
        <v>0</v>
      </c>
      <c r="U468" s="41">
        <v>0</v>
      </c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</row>
    <row r="469" spans="1:49" hidden="1">
      <c r="A469" s="37">
        <f>MAX($A$1:$A468)+1</f>
        <v>467</v>
      </c>
      <c r="B469" s="41"/>
      <c r="C469" s="41"/>
      <c r="D469" s="41"/>
      <c r="E469" s="41"/>
      <c r="F469" s="52"/>
      <c r="G469" s="59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2">
        <f t="shared" si="28"/>
        <v>0</v>
      </c>
      <c r="U469" s="41">
        <v>0</v>
      </c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</row>
    <row r="470" spans="1:49" hidden="1">
      <c r="A470" s="37">
        <f>MAX($A$1:$A469)+1</f>
        <v>468</v>
      </c>
      <c r="B470" s="41"/>
      <c r="C470" s="41"/>
      <c r="D470" s="41"/>
      <c r="E470" s="41"/>
      <c r="F470" s="52"/>
      <c r="G470" s="59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2">
        <f t="shared" si="28"/>
        <v>0</v>
      </c>
      <c r="U470" s="41">
        <v>0</v>
      </c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</row>
    <row r="471" spans="1:49" hidden="1">
      <c r="A471" s="37">
        <f>MAX($A$1:$A470)+1</f>
        <v>469</v>
      </c>
      <c r="B471" s="41"/>
      <c r="C471" s="41"/>
      <c r="D471" s="41"/>
      <c r="E471" s="41"/>
      <c r="F471" s="52"/>
      <c r="G471" s="59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2">
        <f t="shared" si="28"/>
        <v>0</v>
      </c>
      <c r="U471" s="41">
        <v>0</v>
      </c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</row>
    <row r="472" spans="1:49" hidden="1">
      <c r="A472" s="37">
        <f>MAX($A$1:$A471)+1</f>
        <v>470</v>
      </c>
      <c r="B472" s="41"/>
      <c r="C472" s="41"/>
      <c r="D472" s="41"/>
      <c r="E472" s="41"/>
      <c r="F472" s="52"/>
      <c r="G472" s="59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2">
        <f t="shared" si="28"/>
        <v>0</v>
      </c>
      <c r="U472" s="41">
        <v>0</v>
      </c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</row>
    <row r="473" spans="1:49" hidden="1">
      <c r="A473" s="37">
        <f>MAX($A$1:$A472)+1</f>
        <v>471</v>
      </c>
      <c r="B473" s="41"/>
      <c r="C473" s="41"/>
      <c r="D473" s="41"/>
      <c r="E473" s="41"/>
      <c r="F473" s="52"/>
      <c r="G473" s="59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2">
        <f t="shared" si="28"/>
        <v>0</v>
      </c>
      <c r="U473" s="41">
        <v>0</v>
      </c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</row>
    <row r="474" spans="1:49" hidden="1">
      <c r="A474" s="37">
        <f>MAX($A$1:$A473)+1</f>
        <v>472</v>
      </c>
      <c r="B474" s="41"/>
      <c r="C474" s="41"/>
      <c r="D474" s="41"/>
      <c r="E474" s="41"/>
      <c r="F474" s="52"/>
      <c r="G474" s="59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2">
        <f t="shared" si="28"/>
        <v>0</v>
      </c>
      <c r="U474" s="41">
        <v>0</v>
      </c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</row>
    <row r="475" spans="1:49" hidden="1">
      <c r="A475" s="37">
        <f>MAX($A$1:$A474)+1</f>
        <v>473</v>
      </c>
      <c r="B475" s="41"/>
      <c r="C475" s="41"/>
      <c r="D475" s="41"/>
      <c r="E475" s="41"/>
      <c r="F475" s="52"/>
      <c r="G475" s="59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2">
        <f t="shared" si="28"/>
        <v>0</v>
      </c>
      <c r="U475" s="41">
        <v>0</v>
      </c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</row>
    <row r="476" spans="1:49" hidden="1">
      <c r="A476" s="37">
        <f>MAX($A$1:$A475)+1</f>
        <v>474</v>
      </c>
      <c r="B476" s="41"/>
      <c r="C476" s="41"/>
      <c r="D476" s="41"/>
      <c r="E476" s="41"/>
      <c r="F476" s="52"/>
      <c r="G476" s="59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2">
        <f t="shared" si="28"/>
        <v>0</v>
      </c>
      <c r="U476" s="41">
        <v>0</v>
      </c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</row>
    <row r="477" spans="1:49" hidden="1">
      <c r="A477" s="37">
        <f>MAX($A$1:$A476)+1</f>
        <v>475</v>
      </c>
      <c r="B477" s="41"/>
      <c r="C477" s="41"/>
      <c r="D477" s="41"/>
      <c r="E477" s="41"/>
      <c r="F477" s="52"/>
      <c r="G477" s="59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2">
        <f t="shared" si="28"/>
        <v>0</v>
      </c>
      <c r="U477" s="41">
        <v>0</v>
      </c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</row>
    <row r="478" spans="1:49" hidden="1">
      <c r="A478" s="37">
        <f>MAX($A$1:$A477)+1</f>
        <v>476</v>
      </c>
      <c r="B478" s="41"/>
      <c r="C478" s="41"/>
      <c r="D478" s="41"/>
      <c r="E478" s="41"/>
      <c r="F478" s="52"/>
      <c r="G478" s="59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2">
        <f t="shared" si="28"/>
        <v>0</v>
      </c>
      <c r="U478" s="41">
        <v>0</v>
      </c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</row>
    <row r="479" spans="1:49" hidden="1">
      <c r="A479" s="37">
        <f>MAX($A$1:$A478)+1</f>
        <v>477</v>
      </c>
      <c r="B479" s="41"/>
      <c r="C479" s="41"/>
      <c r="D479" s="41"/>
      <c r="E479" s="41"/>
      <c r="F479" s="52"/>
      <c r="G479" s="59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2">
        <f t="shared" si="28"/>
        <v>0</v>
      </c>
      <c r="U479" s="41">
        <v>0</v>
      </c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</row>
    <row r="480" spans="1:49" hidden="1">
      <c r="A480" s="37">
        <f>MAX($A$1:$A479)+1</f>
        <v>478</v>
      </c>
      <c r="B480" s="41"/>
      <c r="C480" s="41"/>
      <c r="D480" s="41"/>
      <c r="E480" s="41"/>
      <c r="F480" s="52"/>
      <c r="G480" s="59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2">
        <f t="shared" si="28"/>
        <v>0</v>
      </c>
      <c r="U480" s="41">
        <v>0</v>
      </c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</row>
    <row r="481" spans="1:49" hidden="1">
      <c r="A481" s="37">
        <f>MAX($A$1:$A480)+1</f>
        <v>479</v>
      </c>
      <c r="B481" s="41"/>
      <c r="C481" s="41"/>
      <c r="D481" s="41"/>
      <c r="E481" s="41"/>
      <c r="F481" s="52"/>
      <c r="G481" s="59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2">
        <f t="shared" si="28"/>
        <v>0</v>
      </c>
      <c r="U481" s="41">
        <v>0</v>
      </c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</row>
    <row r="482" spans="1:49" hidden="1">
      <c r="A482" s="37">
        <f>MAX($A$1:$A481)+1</f>
        <v>480</v>
      </c>
      <c r="B482" s="41"/>
      <c r="C482" s="41"/>
      <c r="D482" s="41"/>
      <c r="E482" s="41"/>
      <c r="F482" s="52"/>
      <c r="G482" s="59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2">
        <f t="shared" si="28"/>
        <v>0</v>
      </c>
      <c r="U482" s="41">
        <v>0</v>
      </c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</row>
    <row r="483" spans="1:49" hidden="1">
      <c r="A483" s="37">
        <f>MAX($A$1:$A482)+1</f>
        <v>481</v>
      </c>
      <c r="B483" s="41"/>
      <c r="C483" s="41"/>
      <c r="D483" s="41"/>
      <c r="E483" s="41"/>
      <c r="F483" s="52"/>
      <c r="G483" s="59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2">
        <f t="shared" si="28"/>
        <v>0</v>
      </c>
      <c r="U483" s="41">
        <v>0</v>
      </c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</row>
    <row r="484" spans="1:49" hidden="1">
      <c r="A484" s="37">
        <f>MAX($A$1:$A483)+1</f>
        <v>482</v>
      </c>
      <c r="B484" s="41"/>
      <c r="C484" s="41"/>
      <c r="D484" s="41"/>
      <c r="E484" s="41"/>
      <c r="F484" s="52"/>
      <c r="G484" s="59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2">
        <f t="shared" si="28"/>
        <v>0</v>
      </c>
      <c r="U484" s="41">
        <v>0</v>
      </c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</row>
    <row r="485" spans="1:49" hidden="1">
      <c r="A485" s="37">
        <f>MAX($A$1:$A484)+1</f>
        <v>483</v>
      </c>
      <c r="B485" s="41"/>
      <c r="C485" s="41"/>
      <c r="D485" s="41"/>
      <c r="E485" s="41"/>
      <c r="F485" s="52"/>
      <c r="G485" s="59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2">
        <f t="shared" si="28"/>
        <v>0</v>
      </c>
      <c r="U485" s="41">
        <v>0</v>
      </c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</row>
    <row r="486" spans="1:49" hidden="1">
      <c r="A486" s="37">
        <f>MAX($A$1:$A485)+1</f>
        <v>484</v>
      </c>
      <c r="B486" s="41"/>
      <c r="C486" s="41"/>
      <c r="D486" s="41"/>
      <c r="E486" s="41"/>
      <c r="F486" s="52"/>
      <c r="G486" s="59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2">
        <f t="shared" si="28"/>
        <v>0</v>
      </c>
      <c r="U486" s="41">
        <v>0</v>
      </c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</row>
    <row r="487" spans="1:49" hidden="1">
      <c r="A487" s="37">
        <f>MAX($A$1:$A486)+1</f>
        <v>485</v>
      </c>
      <c r="B487" s="41"/>
      <c r="C487" s="41"/>
      <c r="D487" s="41"/>
      <c r="E487" s="41"/>
      <c r="F487" s="52"/>
      <c r="G487" s="59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2">
        <f t="shared" si="28"/>
        <v>0</v>
      </c>
      <c r="U487" s="41">
        <v>0</v>
      </c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</row>
    <row r="488" spans="1:49" hidden="1">
      <c r="A488" s="37">
        <f>MAX($A$1:$A487)+1</f>
        <v>486</v>
      </c>
      <c r="B488" s="41"/>
      <c r="C488" s="41"/>
      <c r="D488" s="41"/>
      <c r="E488" s="41"/>
      <c r="F488" s="52"/>
      <c r="G488" s="59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2">
        <f t="shared" si="28"/>
        <v>0</v>
      </c>
      <c r="U488" s="41">
        <v>0</v>
      </c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</row>
    <row r="489" spans="1:49" hidden="1">
      <c r="A489" s="37">
        <f>MAX($A$1:$A488)+1</f>
        <v>487</v>
      </c>
      <c r="B489" s="41"/>
      <c r="C489" s="41"/>
      <c r="D489" s="41"/>
      <c r="E489" s="41"/>
      <c r="F489" s="52"/>
      <c r="G489" s="59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2">
        <f t="shared" si="28"/>
        <v>0</v>
      </c>
      <c r="U489" s="41">
        <v>0</v>
      </c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</row>
    <row r="490" spans="1:49" hidden="1">
      <c r="A490" s="37">
        <f>MAX($A$1:$A489)+1</f>
        <v>488</v>
      </c>
      <c r="B490" s="41"/>
      <c r="C490" s="41"/>
      <c r="D490" s="41"/>
      <c r="E490" s="41"/>
      <c r="F490" s="52"/>
      <c r="G490" s="59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2">
        <f t="shared" si="28"/>
        <v>0</v>
      </c>
      <c r="U490" s="41">
        <v>0</v>
      </c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</row>
    <row r="491" spans="1:49" hidden="1">
      <c r="A491" s="37">
        <f>MAX($A$1:$A490)+1</f>
        <v>489</v>
      </c>
      <c r="B491" s="41"/>
      <c r="C491" s="41"/>
      <c r="D491" s="41"/>
      <c r="E491" s="41"/>
      <c r="F491" s="52"/>
      <c r="G491" s="59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2">
        <f t="shared" si="28"/>
        <v>0</v>
      </c>
      <c r="U491" s="41">
        <v>0</v>
      </c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</row>
    <row r="492" spans="1:49" hidden="1">
      <c r="A492" s="37">
        <f>MAX($A$1:$A491)+1</f>
        <v>490</v>
      </c>
      <c r="B492" s="41"/>
      <c r="C492" s="41"/>
      <c r="D492" s="41"/>
      <c r="E492" s="41"/>
      <c r="F492" s="52"/>
      <c r="G492" s="59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2">
        <f t="shared" si="28"/>
        <v>0</v>
      </c>
      <c r="U492" s="41">
        <v>0</v>
      </c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</row>
    <row r="493" spans="1:49" hidden="1">
      <c r="A493" s="37">
        <f>MAX($A$1:$A492)+1</f>
        <v>491</v>
      </c>
      <c r="B493" s="41"/>
      <c r="C493" s="41"/>
      <c r="D493" s="41"/>
      <c r="E493" s="41"/>
      <c r="F493" s="52"/>
      <c r="G493" s="59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2">
        <f t="shared" si="28"/>
        <v>0</v>
      </c>
      <c r="U493" s="41">
        <v>0</v>
      </c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</row>
    <row r="494" spans="1:49" hidden="1">
      <c r="A494" s="37">
        <f>MAX($A$1:$A493)+1</f>
        <v>492</v>
      </c>
      <c r="B494" s="41"/>
      <c r="C494" s="41"/>
      <c r="D494" s="41"/>
      <c r="E494" s="41"/>
      <c r="F494" s="52"/>
      <c r="G494" s="59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2">
        <f t="shared" si="28"/>
        <v>0</v>
      </c>
      <c r="U494" s="41">
        <v>0</v>
      </c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</row>
    <row r="495" spans="1:49" hidden="1">
      <c r="A495" s="37">
        <f>MAX($A$1:$A494)+1</f>
        <v>493</v>
      </c>
      <c r="B495" s="41"/>
      <c r="C495" s="41"/>
      <c r="D495" s="41"/>
      <c r="E495" s="41"/>
      <c r="F495" s="52"/>
      <c r="G495" s="59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2">
        <f t="shared" si="28"/>
        <v>0</v>
      </c>
      <c r="U495" s="41">
        <v>0</v>
      </c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</row>
    <row r="496" spans="1:49" hidden="1">
      <c r="A496" s="37">
        <f>MAX($A$1:$A495)+1</f>
        <v>494</v>
      </c>
      <c r="B496" s="41"/>
      <c r="C496" s="41"/>
      <c r="D496" s="41"/>
      <c r="E496" s="41"/>
      <c r="F496" s="52"/>
      <c r="G496" s="59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2">
        <f t="shared" si="28"/>
        <v>0</v>
      </c>
      <c r="U496" s="41">
        <v>0</v>
      </c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</row>
    <row r="497" spans="1:49" hidden="1">
      <c r="A497" s="37">
        <f>MAX($A$1:$A496)+1</f>
        <v>495</v>
      </c>
      <c r="B497" s="41"/>
      <c r="C497" s="41"/>
      <c r="D497" s="41"/>
      <c r="E497" s="41"/>
      <c r="F497" s="52"/>
      <c r="G497" s="59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2">
        <f t="shared" si="28"/>
        <v>0</v>
      </c>
      <c r="U497" s="41">
        <v>0</v>
      </c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</row>
    <row r="498" spans="1:49" hidden="1">
      <c r="A498" s="37">
        <f>MAX($A$1:$A497)+1</f>
        <v>496</v>
      </c>
      <c r="B498" s="41"/>
      <c r="C498" s="41"/>
      <c r="D498" s="41"/>
      <c r="E498" s="41"/>
      <c r="F498" s="52"/>
      <c r="G498" s="59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2">
        <f t="shared" si="28"/>
        <v>0</v>
      </c>
      <c r="U498" s="41">
        <v>0</v>
      </c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</row>
    <row r="499" spans="1:49" hidden="1">
      <c r="A499" s="37">
        <f>MAX($A$1:$A498)+1</f>
        <v>497</v>
      </c>
      <c r="B499" s="41"/>
      <c r="C499" s="41"/>
      <c r="D499" s="41"/>
      <c r="E499" s="41"/>
      <c r="F499" s="52"/>
      <c r="G499" s="59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2">
        <f t="shared" si="28"/>
        <v>0</v>
      </c>
      <c r="U499" s="41">
        <v>0</v>
      </c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</row>
    <row r="500" spans="1:49" hidden="1">
      <c r="A500" s="37">
        <f>MAX($A$1:$A499)+1</f>
        <v>498</v>
      </c>
      <c r="B500" s="41"/>
      <c r="C500" s="41"/>
      <c r="D500" s="41"/>
      <c r="E500" s="41"/>
      <c r="F500" s="52"/>
      <c r="G500" s="59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2">
        <f t="shared" si="28"/>
        <v>0</v>
      </c>
      <c r="U500" s="41">
        <v>0</v>
      </c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</row>
    <row r="501" spans="1:49" hidden="1">
      <c r="A501" s="37">
        <f>MAX($A$1:$A500)+1</f>
        <v>499</v>
      </c>
      <c r="B501" s="41"/>
      <c r="C501" s="41"/>
      <c r="D501" s="41"/>
      <c r="E501" s="41"/>
      <c r="F501" s="52"/>
      <c r="G501" s="59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2">
        <f t="shared" si="28"/>
        <v>0</v>
      </c>
      <c r="U501" s="41">
        <v>0</v>
      </c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</row>
    <row r="502" spans="1:49" hidden="1">
      <c r="A502" s="37">
        <f>MAX($A$1:$A501)+1</f>
        <v>500</v>
      </c>
      <c r="B502" s="41"/>
      <c r="C502" s="41"/>
      <c r="D502" s="41"/>
      <c r="E502" s="41"/>
      <c r="F502" s="52"/>
      <c r="G502" s="59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2">
        <f t="shared" si="28"/>
        <v>0</v>
      </c>
      <c r="U502" s="41">
        <v>0</v>
      </c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</row>
    <row r="503" spans="1:49" hidden="1">
      <c r="A503" s="37">
        <f>MAX($A$1:$A502)+1</f>
        <v>501</v>
      </c>
      <c r="B503" s="41"/>
      <c r="C503" s="41"/>
      <c r="D503" s="41"/>
      <c r="E503" s="41"/>
      <c r="F503" s="52"/>
      <c r="G503" s="59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2">
        <f t="shared" si="28"/>
        <v>0</v>
      </c>
      <c r="U503" s="41">
        <v>0</v>
      </c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</row>
    <row r="504" spans="1:49" hidden="1">
      <c r="A504" s="37">
        <f>MAX($A$1:$A503)+1</f>
        <v>502</v>
      </c>
      <c r="B504" s="41"/>
      <c r="C504" s="41"/>
      <c r="D504" s="41"/>
      <c r="E504" s="41"/>
      <c r="F504" s="52"/>
      <c r="G504" s="59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2">
        <f t="shared" si="28"/>
        <v>0</v>
      </c>
      <c r="U504" s="41">
        <v>0</v>
      </c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</row>
    <row r="505" spans="1:49" hidden="1">
      <c r="A505" s="37">
        <f>MAX($A$1:$A504)+1</f>
        <v>503</v>
      </c>
      <c r="B505" s="41"/>
      <c r="C505" s="41"/>
      <c r="D505" s="41"/>
      <c r="E505" s="41"/>
      <c r="F505" s="52"/>
      <c r="G505" s="59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2">
        <f t="shared" si="28"/>
        <v>0</v>
      </c>
      <c r="U505" s="41">
        <v>0</v>
      </c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</row>
    <row r="506" spans="1:49" hidden="1">
      <c r="A506" s="37">
        <f>MAX($A$1:$A505)+1</f>
        <v>504</v>
      </c>
      <c r="B506" s="41"/>
      <c r="C506" s="41"/>
      <c r="D506" s="41"/>
      <c r="E506" s="41"/>
      <c r="F506" s="52"/>
      <c r="G506" s="59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2">
        <f t="shared" si="28"/>
        <v>0</v>
      </c>
      <c r="U506" s="41">
        <v>0</v>
      </c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</row>
    <row r="507" spans="1:49" hidden="1">
      <c r="A507" s="37">
        <f>MAX($A$1:$A506)+1</f>
        <v>505</v>
      </c>
      <c r="B507" s="41"/>
      <c r="C507" s="41"/>
      <c r="D507" s="41"/>
      <c r="E507" s="41"/>
      <c r="F507" s="52"/>
      <c r="G507" s="59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2">
        <f t="shared" si="28"/>
        <v>0</v>
      </c>
      <c r="U507" s="41">
        <v>0</v>
      </c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</row>
    <row r="508" spans="1:49" hidden="1">
      <c r="A508" s="37">
        <f>MAX($A$1:$A507)+1</f>
        <v>506</v>
      </c>
      <c r="B508" s="41"/>
      <c r="C508" s="41"/>
      <c r="D508" s="41"/>
      <c r="E508" s="41"/>
      <c r="F508" s="52"/>
      <c r="G508" s="59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2">
        <f t="shared" ref="T508:T571" si="29">SUM(U508:AW508)</f>
        <v>0</v>
      </c>
      <c r="U508" s="41">
        <v>0</v>
      </c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</row>
    <row r="509" spans="1:49" hidden="1">
      <c r="A509" s="37">
        <f>MAX($A$1:$A508)+1</f>
        <v>507</v>
      </c>
      <c r="B509" s="41"/>
      <c r="C509" s="41"/>
      <c r="D509" s="41"/>
      <c r="E509" s="41"/>
      <c r="F509" s="52"/>
      <c r="G509" s="59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2">
        <f t="shared" si="29"/>
        <v>0</v>
      </c>
      <c r="U509" s="41">
        <v>0</v>
      </c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</row>
    <row r="510" spans="1:49" hidden="1">
      <c r="A510" s="37">
        <f>MAX($A$1:$A509)+1</f>
        <v>508</v>
      </c>
      <c r="B510" s="41"/>
      <c r="C510" s="41"/>
      <c r="D510" s="41"/>
      <c r="E510" s="41"/>
      <c r="F510" s="52"/>
      <c r="G510" s="59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2">
        <f t="shared" si="29"/>
        <v>0</v>
      </c>
      <c r="U510" s="41">
        <v>0</v>
      </c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</row>
    <row r="511" spans="1:49" hidden="1">
      <c r="A511" s="37">
        <f>MAX($A$1:$A510)+1</f>
        <v>509</v>
      </c>
      <c r="B511" s="41"/>
      <c r="C511" s="41"/>
      <c r="D511" s="41"/>
      <c r="E511" s="41"/>
      <c r="F511" s="52"/>
      <c r="G511" s="59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2">
        <f t="shared" si="29"/>
        <v>0</v>
      </c>
      <c r="U511" s="41">
        <v>0</v>
      </c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</row>
    <row r="512" spans="1:49" hidden="1">
      <c r="A512" s="37">
        <f>MAX($A$1:$A511)+1</f>
        <v>510</v>
      </c>
      <c r="B512" s="41"/>
      <c r="C512" s="41"/>
      <c r="D512" s="41"/>
      <c r="E512" s="41"/>
      <c r="F512" s="52"/>
      <c r="G512" s="59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2">
        <f t="shared" si="29"/>
        <v>0</v>
      </c>
      <c r="U512" s="41">
        <v>0</v>
      </c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</row>
    <row r="513" spans="1:49" hidden="1">
      <c r="A513" s="37">
        <f>MAX($A$1:$A512)+1</f>
        <v>511</v>
      </c>
      <c r="B513" s="41"/>
      <c r="C513" s="41"/>
      <c r="D513" s="41"/>
      <c r="E513" s="41"/>
      <c r="F513" s="52"/>
      <c r="G513" s="59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2">
        <f t="shared" si="29"/>
        <v>0</v>
      </c>
      <c r="U513" s="41">
        <v>0</v>
      </c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</row>
    <row r="514" spans="1:49" hidden="1">
      <c r="A514" s="37">
        <f>MAX($A$1:$A513)+1</f>
        <v>512</v>
      </c>
      <c r="B514" s="41"/>
      <c r="C514" s="41"/>
      <c r="D514" s="41"/>
      <c r="E514" s="41"/>
      <c r="F514" s="52"/>
      <c r="G514" s="59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2">
        <f t="shared" si="29"/>
        <v>0</v>
      </c>
      <c r="U514" s="41">
        <v>0</v>
      </c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</row>
    <row r="515" spans="1:49" hidden="1">
      <c r="A515" s="37">
        <f>MAX($A$1:$A514)+1</f>
        <v>513</v>
      </c>
      <c r="B515" s="41"/>
      <c r="C515" s="41"/>
      <c r="D515" s="41"/>
      <c r="E515" s="41"/>
      <c r="F515" s="52"/>
      <c r="G515" s="59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2">
        <f t="shared" si="29"/>
        <v>0</v>
      </c>
      <c r="U515" s="41">
        <v>0</v>
      </c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</row>
    <row r="516" spans="1:49" hidden="1">
      <c r="A516" s="37">
        <f>MAX($A$1:$A515)+1</f>
        <v>514</v>
      </c>
      <c r="B516" s="41"/>
      <c r="C516" s="41"/>
      <c r="D516" s="41"/>
      <c r="E516" s="41"/>
      <c r="F516" s="52"/>
      <c r="G516" s="59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2">
        <f t="shared" si="29"/>
        <v>0</v>
      </c>
      <c r="U516" s="41">
        <v>0</v>
      </c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</row>
    <row r="517" spans="1:49" hidden="1">
      <c r="A517" s="37">
        <f>MAX($A$1:$A516)+1</f>
        <v>515</v>
      </c>
      <c r="B517" s="41"/>
      <c r="C517" s="41"/>
      <c r="D517" s="41"/>
      <c r="E517" s="41"/>
      <c r="F517" s="52"/>
      <c r="G517" s="59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2">
        <f t="shared" si="29"/>
        <v>0</v>
      </c>
      <c r="U517" s="41">
        <v>0</v>
      </c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</row>
    <row r="518" spans="1:49" hidden="1">
      <c r="A518" s="37">
        <f>MAX($A$1:$A517)+1</f>
        <v>516</v>
      </c>
      <c r="B518" s="41"/>
      <c r="C518" s="41"/>
      <c r="D518" s="41"/>
      <c r="E518" s="41"/>
      <c r="F518" s="52"/>
      <c r="G518" s="59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2">
        <f t="shared" si="29"/>
        <v>0</v>
      </c>
      <c r="U518" s="41">
        <v>0</v>
      </c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</row>
    <row r="519" spans="1:49" hidden="1">
      <c r="A519" s="37">
        <f>MAX($A$1:$A518)+1</f>
        <v>517</v>
      </c>
      <c r="B519" s="41"/>
      <c r="C519" s="41"/>
      <c r="D519" s="41"/>
      <c r="E519" s="41"/>
      <c r="F519" s="52"/>
      <c r="G519" s="59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2">
        <f t="shared" si="29"/>
        <v>0</v>
      </c>
      <c r="U519" s="41">
        <v>0</v>
      </c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</row>
    <row r="520" spans="1:49" hidden="1">
      <c r="A520" s="37">
        <f>MAX($A$1:$A519)+1</f>
        <v>518</v>
      </c>
      <c r="B520" s="41"/>
      <c r="C520" s="41"/>
      <c r="D520" s="41"/>
      <c r="E520" s="41"/>
      <c r="F520" s="52"/>
      <c r="G520" s="59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2">
        <f t="shared" si="29"/>
        <v>0</v>
      </c>
      <c r="U520" s="41">
        <v>0</v>
      </c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</row>
    <row r="521" spans="1:49" hidden="1">
      <c r="A521" s="37">
        <f>MAX($A$1:$A520)+1</f>
        <v>519</v>
      </c>
      <c r="B521" s="41"/>
      <c r="C521" s="41"/>
      <c r="D521" s="41"/>
      <c r="E521" s="41"/>
      <c r="F521" s="52"/>
      <c r="G521" s="59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2">
        <f t="shared" si="29"/>
        <v>0</v>
      </c>
      <c r="U521" s="41">
        <v>0</v>
      </c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</row>
    <row r="522" spans="1:49" hidden="1">
      <c r="A522" s="37">
        <f>MAX($A$1:$A521)+1</f>
        <v>520</v>
      </c>
      <c r="B522" s="41"/>
      <c r="C522" s="41"/>
      <c r="D522" s="41"/>
      <c r="E522" s="41"/>
      <c r="F522" s="52"/>
      <c r="G522" s="59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2">
        <f t="shared" si="29"/>
        <v>0</v>
      </c>
      <c r="U522" s="41">
        <v>0</v>
      </c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</row>
    <row r="523" spans="1:49" hidden="1">
      <c r="A523" s="37">
        <f>MAX($A$1:$A522)+1</f>
        <v>521</v>
      </c>
      <c r="B523" s="41"/>
      <c r="C523" s="41"/>
      <c r="D523" s="41"/>
      <c r="E523" s="41"/>
      <c r="F523" s="52"/>
      <c r="G523" s="59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2">
        <f t="shared" si="29"/>
        <v>0</v>
      </c>
      <c r="U523" s="41">
        <v>0</v>
      </c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</row>
    <row r="524" spans="1:49" hidden="1">
      <c r="A524" s="37">
        <f>MAX($A$1:$A523)+1</f>
        <v>522</v>
      </c>
      <c r="B524" s="41"/>
      <c r="C524" s="41"/>
      <c r="D524" s="41"/>
      <c r="E524" s="41"/>
      <c r="F524" s="52"/>
      <c r="G524" s="59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2">
        <f t="shared" si="29"/>
        <v>0</v>
      </c>
      <c r="U524" s="41">
        <v>0</v>
      </c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</row>
    <row r="525" spans="1:49" hidden="1">
      <c r="A525" s="37">
        <f>MAX($A$1:$A524)+1</f>
        <v>523</v>
      </c>
      <c r="B525" s="41"/>
      <c r="C525" s="41"/>
      <c r="D525" s="41"/>
      <c r="E525" s="41"/>
      <c r="F525" s="52"/>
      <c r="G525" s="59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2">
        <f t="shared" si="29"/>
        <v>0</v>
      </c>
      <c r="U525" s="41">
        <v>0</v>
      </c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</row>
    <row r="526" spans="1:49" hidden="1">
      <c r="A526" s="37">
        <f>MAX($A$1:$A525)+1</f>
        <v>524</v>
      </c>
      <c r="B526" s="41"/>
      <c r="C526" s="41"/>
      <c r="D526" s="41"/>
      <c r="E526" s="41"/>
      <c r="F526" s="52"/>
      <c r="G526" s="59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2">
        <f t="shared" si="29"/>
        <v>0</v>
      </c>
      <c r="U526" s="41">
        <v>0</v>
      </c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</row>
    <row r="527" spans="1:49" hidden="1">
      <c r="A527" s="37">
        <f>MAX($A$1:$A526)+1</f>
        <v>525</v>
      </c>
      <c r="B527" s="41"/>
      <c r="C527" s="41"/>
      <c r="D527" s="41"/>
      <c r="E527" s="41"/>
      <c r="F527" s="52"/>
      <c r="G527" s="59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2">
        <f t="shared" si="29"/>
        <v>0</v>
      </c>
      <c r="U527" s="41">
        <v>0</v>
      </c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</row>
    <row r="528" spans="1:49" hidden="1">
      <c r="A528" s="37">
        <f>MAX($A$1:$A527)+1</f>
        <v>526</v>
      </c>
      <c r="B528" s="41"/>
      <c r="C528" s="41"/>
      <c r="D528" s="41"/>
      <c r="E528" s="41"/>
      <c r="F528" s="52"/>
      <c r="G528" s="59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2">
        <f t="shared" si="29"/>
        <v>0</v>
      </c>
      <c r="U528" s="41">
        <v>0</v>
      </c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</row>
    <row r="529" spans="1:49" hidden="1">
      <c r="A529" s="37">
        <f>MAX($A$1:$A528)+1</f>
        <v>527</v>
      </c>
      <c r="B529" s="41"/>
      <c r="C529" s="41"/>
      <c r="D529" s="41"/>
      <c r="E529" s="41"/>
      <c r="F529" s="52"/>
      <c r="G529" s="59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2">
        <f t="shared" si="29"/>
        <v>0</v>
      </c>
      <c r="U529" s="41">
        <v>0</v>
      </c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</row>
    <row r="530" spans="1:49" hidden="1">
      <c r="A530" s="37">
        <f>MAX($A$1:$A529)+1</f>
        <v>528</v>
      </c>
      <c r="B530" s="41"/>
      <c r="C530" s="41"/>
      <c r="D530" s="41"/>
      <c r="E530" s="41"/>
      <c r="F530" s="52"/>
      <c r="G530" s="59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2">
        <f t="shared" si="29"/>
        <v>0</v>
      </c>
      <c r="U530" s="41">
        <v>0</v>
      </c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</row>
    <row r="531" spans="1:49" hidden="1">
      <c r="A531" s="37">
        <f>MAX($A$1:$A530)+1</f>
        <v>529</v>
      </c>
      <c r="B531" s="41"/>
      <c r="C531" s="41"/>
      <c r="D531" s="41"/>
      <c r="E531" s="41"/>
      <c r="F531" s="52"/>
      <c r="G531" s="59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2">
        <f t="shared" si="29"/>
        <v>0</v>
      </c>
      <c r="U531" s="41">
        <v>0</v>
      </c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</row>
    <row r="532" spans="1:49" hidden="1">
      <c r="A532" s="37">
        <f>MAX($A$1:$A531)+1</f>
        <v>530</v>
      </c>
      <c r="B532" s="41"/>
      <c r="C532" s="41"/>
      <c r="D532" s="41"/>
      <c r="E532" s="41"/>
      <c r="F532" s="52"/>
      <c r="G532" s="59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2">
        <f t="shared" si="29"/>
        <v>0</v>
      </c>
      <c r="U532" s="41">
        <v>0</v>
      </c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</row>
    <row r="533" spans="1:49" hidden="1">
      <c r="A533" s="37">
        <f>MAX($A$1:$A532)+1</f>
        <v>531</v>
      </c>
      <c r="B533" s="41"/>
      <c r="C533" s="41"/>
      <c r="D533" s="41"/>
      <c r="E533" s="41"/>
      <c r="F533" s="52"/>
      <c r="G533" s="59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2">
        <f t="shared" si="29"/>
        <v>0</v>
      </c>
      <c r="U533" s="41">
        <v>0</v>
      </c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</row>
    <row r="534" spans="1:49" hidden="1">
      <c r="A534" s="37">
        <f>MAX($A$1:$A533)+1</f>
        <v>532</v>
      </c>
      <c r="B534" s="41"/>
      <c r="C534" s="41"/>
      <c r="D534" s="41"/>
      <c r="E534" s="41"/>
      <c r="F534" s="52"/>
      <c r="G534" s="59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2">
        <f t="shared" si="29"/>
        <v>0</v>
      </c>
      <c r="U534" s="41">
        <v>0</v>
      </c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</row>
    <row r="535" spans="1:49" hidden="1">
      <c r="A535" s="37">
        <f>MAX($A$1:$A534)+1</f>
        <v>533</v>
      </c>
      <c r="B535" s="41"/>
      <c r="C535" s="41"/>
      <c r="D535" s="41"/>
      <c r="E535" s="41"/>
      <c r="F535" s="52"/>
      <c r="G535" s="59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2">
        <f t="shared" si="29"/>
        <v>0</v>
      </c>
      <c r="U535" s="41">
        <v>0</v>
      </c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</row>
    <row r="536" spans="1:49" hidden="1">
      <c r="A536" s="37">
        <f>MAX($A$1:$A535)+1</f>
        <v>534</v>
      </c>
      <c r="B536" s="41"/>
      <c r="C536" s="41"/>
      <c r="D536" s="41"/>
      <c r="E536" s="41"/>
      <c r="F536" s="52"/>
      <c r="G536" s="59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2">
        <f t="shared" si="29"/>
        <v>0</v>
      </c>
      <c r="U536" s="41">
        <v>0</v>
      </c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</row>
    <row r="537" spans="1:49" hidden="1">
      <c r="A537" s="37">
        <f>MAX($A$1:$A536)+1</f>
        <v>535</v>
      </c>
      <c r="B537" s="41"/>
      <c r="C537" s="41"/>
      <c r="D537" s="41"/>
      <c r="E537" s="41"/>
      <c r="F537" s="52"/>
      <c r="G537" s="59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2">
        <f t="shared" si="29"/>
        <v>0</v>
      </c>
      <c r="U537" s="41">
        <v>0</v>
      </c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</row>
    <row r="538" spans="1:49" hidden="1">
      <c r="A538" s="37">
        <f>MAX($A$1:$A537)+1</f>
        <v>536</v>
      </c>
      <c r="B538" s="41"/>
      <c r="C538" s="41"/>
      <c r="D538" s="41"/>
      <c r="E538" s="41"/>
      <c r="F538" s="52"/>
      <c r="G538" s="59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2">
        <f t="shared" si="29"/>
        <v>0</v>
      </c>
      <c r="U538" s="41">
        <v>0</v>
      </c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</row>
    <row r="539" spans="1:49" hidden="1">
      <c r="A539" s="37">
        <f>MAX($A$1:$A538)+1</f>
        <v>537</v>
      </c>
      <c r="B539" s="41"/>
      <c r="C539" s="41"/>
      <c r="D539" s="41"/>
      <c r="E539" s="41"/>
      <c r="F539" s="52"/>
      <c r="G539" s="59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2">
        <f t="shared" si="29"/>
        <v>0</v>
      </c>
      <c r="U539" s="41">
        <v>0</v>
      </c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</row>
    <row r="540" spans="1:49" hidden="1">
      <c r="A540" s="37">
        <f>MAX($A$1:$A539)+1</f>
        <v>538</v>
      </c>
      <c r="B540" s="41"/>
      <c r="C540" s="41"/>
      <c r="D540" s="41"/>
      <c r="E540" s="41"/>
      <c r="F540" s="52"/>
      <c r="G540" s="59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2">
        <f t="shared" si="29"/>
        <v>0</v>
      </c>
      <c r="U540" s="41">
        <v>0</v>
      </c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</row>
    <row r="541" spans="1:49" hidden="1">
      <c r="A541" s="37">
        <f>MAX($A$1:$A540)+1</f>
        <v>539</v>
      </c>
      <c r="B541" s="41"/>
      <c r="C541" s="41"/>
      <c r="D541" s="41"/>
      <c r="E541" s="41"/>
      <c r="F541" s="52"/>
      <c r="G541" s="59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2">
        <f t="shared" si="29"/>
        <v>0</v>
      </c>
      <c r="U541" s="41">
        <v>0</v>
      </c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</row>
    <row r="542" spans="1:49" hidden="1">
      <c r="A542" s="37">
        <f>MAX($A$1:$A541)+1</f>
        <v>540</v>
      </c>
      <c r="B542" s="41"/>
      <c r="C542" s="41"/>
      <c r="D542" s="41"/>
      <c r="E542" s="41"/>
      <c r="F542" s="52"/>
      <c r="G542" s="59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2">
        <f t="shared" si="29"/>
        <v>0</v>
      </c>
      <c r="U542" s="41">
        <v>0</v>
      </c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</row>
    <row r="543" spans="1:49" hidden="1">
      <c r="A543" s="37">
        <f>MAX($A$1:$A542)+1</f>
        <v>541</v>
      </c>
      <c r="B543" s="41"/>
      <c r="C543" s="41"/>
      <c r="D543" s="41"/>
      <c r="E543" s="41"/>
      <c r="F543" s="52"/>
      <c r="G543" s="59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2">
        <f t="shared" si="29"/>
        <v>0</v>
      </c>
      <c r="U543" s="41">
        <v>0</v>
      </c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</row>
    <row r="544" spans="1:49" hidden="1">
      <c r="A544" s="37">
        <f>MAX($A$1:$A543)+1</f>
        <v>542</v>
      </c>
      <c r="B544" s="41"/>
      <c r="C544" s="41"/>
      <c r="D544" s="41"/>
      <c r="E544" s="41"/>
      <c r="F544" s="52"/>
      <c r="G544" s="59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2">
        <f t="shared" si="29"/>
        <v>0</v>
      </c>
      <c r="U544" s="41">
        <v>0</v>
      </c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</row>
    <row r="545" spans="1:49" hidden="1">
      <c r="A545" s="37">
        <f>MAX($A$1:$A544)+1</f>
        <v>543</v>
      </c>
      <c r="B545" s="41"/>
      <c r="C545" s="41"/>
      <c r="D545" s="41"/>
      <c r="E545" s="41"/>
      <c r="F545" s="52"/>
      <c r="G545" s="59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2">
        <f t="shared" si="29"/>
        <v>0</v>
      </c>
      <c r="U545" s="41">
        <v>0</v>
      </c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</row>
    <row r="546" spans="1:49" hidden="1">
      <c r="A546" s="37">
        <f>MAX($A$1:$A545)+1</f>
        <v>544</v>
      </c>
      <c r="B546" s="41"/>
      <c r="C546" s="41"/>
      <c r="D546" s="41"/>
      <c r="E546" s="41"/>
      <c r="F546" s="52"/>
      <c r="G546" s="59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2">
        <f t="shared" si="29"/>
        <v>0</v>
      </c>
      <c r="U546" s="41">
        <v>0</v>
      </c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</row>
    <row r="547" spans="1:49" hidden="1">
      <c r="A547" s="37">
        <f>MAX($A$1:$A546)+1</f>
        <v>545</v>
      </c>
      <c r="B547" s="41"/>
      <c r="C547" s="41"/>
      <c r="D547" s="41"/>
      <c r="E547" s="41"/>
      <c r="F547" s="52"/>
      <c r="G547" s="59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2">
        <f t="shared" si="29"/>
        <v>0</v>
      </c>
      <c r="U547" s="41">
        <v>0</v>
      </c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</row>
    <row r="548" spans="1:49" hidden="1">
      <c r="A548" s="37">
        <f>MAX($A$1:$A547)+1</f>
        <v>546</v>
      </c>
      <c r="B548" s="41"/>
      <c r="C548" s="41"/>
      <c r="D548" s="41"/>
      <c r="E548" s="41"/>
      <c r="F548" s="52"/>
      <c r="G548" s="59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2">
        <f t="shared" si="29"/>
        <v>0</v>
      </c>
      <c r="U548" s="41">
        <v>0</v>
      </c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</row>
    <row r="549" spans="1:49" hidden="1">
      <c r="A549" s="37">
        <f>MAX($A$1:$A548)+1</f>
        <v>547</v>
      </c>
      <c r="B549" s="41"/>
      <c r="C549" s="41"/>
      <c r="D549" s="41"/>
      <c r="E549" s="41"/>
      <c r="F549" s="52"/>
      <c r="G549" s="59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2">
        <f t="shared" si="29"/>
        <v>0</v>
      </c>
      <c r="U549" s="41">
        <v>0</v>
      </c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</row>
    <row r="550" spans="1:49" hidden="1">
      <c r="A550" s="37">
        <f>MAX($A$1:$A549)+1</f>
        <v>548</v>
      </c>
      <c r="B550" s="41"/>
      <c r="C550" s="41"/>
      <c r="D550" s="41"/>
      <c r="E550" s="41"/>
      <c r="F550" s="52"/>
      <c r="G550" s="59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2">
        <f t="shared" si="29"/>
        <v>0</v>
      </c>
      <c r="U550" s="41">
        <v>0</v>
      </c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</row>
    <row r="551" spans="1:49" hidden="1">
      <c r="A551" s="37">
        <f>MAX($A$1:$A550)+1</f>
        <v>549</v>
      </c>
      <c r="B551" s="41"/>
      <c r="C551" s="41"/>
      <c r="D551" s="41"/>
      <c r="E551" s="41"/>
      <c r="F551" s="52"/>
      <c r="G551" s="59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2">
        <f t="shared" si="29"/>
        <v>0</v>
      </c>
      <c r="U551" s="41">
        <v>0</v>
      </c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</row>
    <row r="552" spans="1:49" hidden="1">
      <c r="A552" s="37">
        <f>MAX($A$1:$A551)+1</f>
        <v>550</v>
      </c>
      <c r="B552" s="41"/>
      <c r="C552" s="41"/>
      <c r="D552" s="41"/>
      <c r="E552" s="41"/>
      <c r="F552" s="52"/>
      <c r="G552" s="59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2">
        <f t="shared" si="29"/>
        <v>0</v>
      </c>
      <c r="U552" s="41">
        <v>0</v>
      </c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</row>
    <row r="553" spans="1:49" hidden="1">
      <c r="A553" s="37">
        <f>MAX($A$1:$A552)+1</f>
        <v>551</v>
      </c>
      <c r="B553" s="41"/>
      <c r="C553" s="41"/>
      <c r="D553" s="41"/>
      <c r="E553" s="41"/>
      <c r="F553" s="52"/>
      <c r="G553" s="59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2">
        <f t="shared" si="29"/>
        <v>0</v>
      </c>
      <c r="U553" s="41">
        <v>0</v>
      </c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</row>
    <row r="554" spans="1:49" hidden="1">
      <c r="A554" s="37">
        <f>MAX($A$1:$A553)+1</f>
        <v>552</v>
      </c>
      <c r="B554" s="41"/>
      <c r="C554" s="41"/>
      <c r="D554" s="41"/>
      <c r="E554" s="41"/>
      <c r="F554" s="52"/>
      <c r="G554" s="59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2">
        <f t="shared" si="29"/>
        <v>0</v>
      </c>
      <c r="U554" s="41">
        <v>0</v>
      </c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</row>
    <row r="555" spans="1:49" hidden="1">
      <c r="A555" s="37">
        <f>MAX($A$1:$A554)+1</f>
        <v>553</v>
      </c>
      <c r="B555" s="41"/>
      <c r="C555" s="41"/>
      <c r="D555" s="41"/>
      <c r="E555" s="41"/>
      <c r="F555" s="52"/>
      <c r="G555" s="59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2">
        <f t="shared" si="29"/>
        <v>0</v>
      </c>
      <c r="U555" s="41">
        <v>0</v>
      </c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</row>
    <row r="556" spans="1:49" hidden="1">
      <c r="A556" s="37">
        <f>MAX($A$1:$A555)+1</f>
        <v>554</v>
      </c>
      <c r="B556" s="41"/>
      <c r="C556" s="41"/>
      <c r="D556" s="41"/>
      <c r="E556" s="41"/>
      <c r="F556" s="52"/>
      <c r="G556" s="59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2">
        <f t="shared" si="29"/>
        <v>0</v>
      </c>
      <c r="U556" s="41">
        <v>0</v>
      </c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</row>
    <row r="557" spans="1:49" hidden="1">
      <c r="A557" s="37">
        <f>MAX($A$1:$A556)+1</f>
        <v>555</v>
      </c>
      <c r="B557" s="41"/>
      <c r="C557" s="41"/>
      <c r="D557" s="41"/>
      <c r="E557" s="41"/>
      <c r="F557" s="52"/>
      <c r="G557" s="59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2">
        <f t="shared" si="29"/>
        <v>0</v>
      </c>
      <c r="U557" s="41">
        <v>0</v>
      </c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</row>
    <row r="558" spans="1:49" hidden="1">
      <c r="A558" s="37">
        <f>MAX($A$1:$A557)+1</f>
        <v>556</v>
      </c>
      <c r="B558" s="41"/>
      <c r="C558" s="41"/>
      <c r="D558" s="41"/>
      <c r="E558" s="41"/>
      <c r="F558" s="52"/>
      <c r="G558" s="59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2">
        <f t="shared" si="29"/>
        <v>0</v>
      </c>
      <c r="U558" s="41">
        <v>0</v>
      </c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</row>
    <row r="559" spans="1:49" hidden="1">
      <c r="A559" s="37">
        <f>MAX($A$1:$A558)+1</f>
        <v>557</v>
      </c>
      <c r="B559" s="41"/>
      <c r="C559" s="41"/>
      <c r="D559" s="41"/>
      <c r="E559" s="41"/>
      <c r="F559" s="52"/>
      <c r="G559" s="59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2">
        <f t="shared" si="29"/>
        <v>0</v>
      </c>
      <c r="U559" s="41">
        <v>0</v>
      </c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</row>
    <row r="560" spans="1:49" hidden="1">
      <c r="A560" s="37">
        <f>MAX($A$1:$A559)+1</f>
        <v>558</v>
      </c>
      <c r="B560" s="41"/>
      <c r="C560" s="41"/>
      <c r="D560" s="41"/>
      <c r="E560" s="41"/>
      <c r="F560" s="52"/>
      <c r="G560" s="59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2">
        <f t="shared" si="29"/>
        <v>0</v>
      </c>
      <c r="U560" s="41">
        <v>0</v>
      </c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</row>
    <row r="561" spans="1:49" hidden="1">
      <c r="A561" s="37">
        <f>MAX($A$1:$A560)+1</f>
        <v>559</v>
      </c>
      <c r="B561" s="41"/>
      <c r="C561" s="41"/>
      <c r="D561" s="41"/>
      <c r="E561" s="41"/>
      <c r="F561" s="52"/>
      <c r="G561" s="59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2">
        <f t="shared" si="29"/>
        <v>0</v>
      </c>
      <c r="U561" s="41">
        <v>0</v>
      </c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</row>
    <row r="562" spans="1:49" hidden="1">
      <c r="A562" s="37">
        <f>MAX($A$1:$A561)+1</f>
        <v>560</v>
      </c>
      <c r="B562" s="41"/>
      <c r="C562" s="41"/>
      <c r="D562" s="41"/>
      <c r="E562" s="41"/>
      <c r="F562" s="52"/>
      <c r="G562" s="59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2">
        <f t="shared" si="29"/>
        <v>0</v>
      </c>
      <c r="U562" s="41">
        <v>0</v>
      </c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</row>
    <row r="563" spans="1:49" hidden="1">
      <c r="A563" s="37">
        <f>MAX($A$1:$A562)+1</f>
        <v>561</v>
      </c>
      <c r="B563" s="41"/>
      <c r="C563" s="41"/>
      <c r="D563" s="41"/>
      <c r="E563" s="41"/>
      <c r="F563" s="52"/>
      <c r="G563" s="59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2">
        <f t="shared" si="29"/>
        <v>0</v>
      </c>
      <c r="U563" s="41">
        <v>0</v>
      </c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</row>
    <row r="564" spans="1:49" hidden="1">
      <c r="A564" s="37">
        <f>MAX($A$1:$A563)+1</f>
        <v>562</v>
      </c>
      <c r="B564" s="41"/>
      <c r="C564" s="41"/>
      <c r="D564" s="41"/>
      <c r="E564" s="41"/>
      <c r="F564" s="52"/>
      <c r="G564" s="59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2">
        <f t="shared" si="29"/>
        <v>0</v>
      </c>
      <c r="U564" s="41">
        <v>0</v>
      </c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</row>
    <row r="565" spans="1:49" hidden="1">
      <c r="A565" s="37">
        <f>MAX($A$1:$A564)+1</f>
        <v>563</v>
      </c>
      <c r="B565" s="41"/>
      <c r="C565" s="41"/>
      <c r="D565" s="41"/>
      <c r="E565" s="41"/>
      <c r="F565" s="52"/>
      <c r="G565" s="59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2">
        <f t="shared" si="29"/>
        <v>0</v>
      </c>
      <c r="U565" s="41">
        <v>0</v>
      </c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</row>
    <row r="566" spans="1:49" hidden="1">
      <c r="A566" s="37">
        <f>MAX($A$1:$A565)+1</f>
        <v>564</v>
      </c>
      <c r="B566" s="41"/>
      <c r="C566" s="41"/>
      <c r="D566" s="41"/>
      <c r="E566" s="41"/>
      <c r="F566" s="52"/>
      <c r="G566" s="59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2">
        <f t="shared" si="29"/>
        <v>0</v>
      </c>
      <c r="U566" s="41">
        <v>0</v>
      </c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</row>
    <row r="567" spans="1:49" hidden="1">
      <c r="A567" s="37">
        <f>MAX($A$1:$A566)+1</f>
        <v>565</v>
      </c>
      <c r="B567" s="41"/>
      <c r="C567" s="41"/>
      <c r="D567" s="41"/>
      <c r="E567" s="41"/>
      <c r="F567" s="52"/>
      <c r="G567" s="59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2">
        <f t="shared" si="29"/>
        <v>0</v>
      </c>
      <c r="U567" s="41">
        <v>0</v>
      </c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</row>
    <row r="568" spans="1:49" hidden="1">
      <c r="A568" s="37">
        <f>MAX($A$1:$A567)+1</f>
        <v>566</v>
      </c>
      <c r="B568" s="41"/>
      <c r="C568" s="41"/>
      <c r="D568" s="41"/>
      <c r="E568" s="41"/>
      <c r="F568" s="52"/>
      <c r="G568" s="59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2">
        <f t="shared" si="29"/>
        <v>0</v>
      </c>
      <c r="U568" s="41">
        <v>0</v>
      </c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</row>
    <row r="569" spans="1:49" hidden="1">
      <c r="A569" s="37">
        <f>MAX($A$1:$A568)+1</f>
        <v>567</v>
      </c>
      <c r="B569" s="41"/>
      <c r="C569" s="41"/>
      <c r="D569" s="41"/>
      <c r="E569" s="41"/>
      <c r="F569" s="52"/>
      <c r="G569" s="59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2">
        <f t="shared" si="29"/>
        <v>0</v>
      </c>
      <c r="U569" s="41">
        <v>0</v>
      </c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</row>
    <row r="570" spans="1:49" hidden="1">
      <c r="A570" s="37">
        <f>MAX($A$1:$A569)+1</f>
        <v>568</v>
      </c>
      <c r="B570" s="41"/>
      <c r="C570" s="41"/>
      <c r="D570" s="41"/>
      <c r="E570" s="41"/>
      <c r="F570" s="52"/>
      <c r="G570" s="59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2">
        <f t="shared" si="29"/>
        <v>0</v>
      </c>
      <c r="U570" s="41">
        <v>0</v>
      </c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</row>
    <row r="571" spans="1:49" hidden="1">
      <c r="A571" s="37">
        <f>MAX($A$1:$A570)+1</f>
        <v>569</v>
      </c>
      <c r="B571" s="41"/>
      <c r="C571" s="41"/>
      <c r="D571" s="41"/>
      <c r="E571" s="41"/>
      <c r="F571" s="52"/>
      <c r="G571" s="59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2">
        <f t="shared" si="29"/>
        <v>0</v>
      </c>
      <c r="U571" s="41">
        <v>0</v>
      </c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</row>
    <row r="572" spans="1:49" hidden="1">
      <c r="A572" s="37">
        <f>MAX($A$1:$A571)+1</f>
        <v>570</v>
      </c>
      <c r="B572" s="41"/>
      <c r="C572" s="41"/>
      <c r="D572" s="41"/>
      <c r="E572" s="41"/>
      <c r="F572" s="52"/>
      <c r="G572" s="59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2">
        <f t="shared" ref="T572:T635" si="30">SUM(U572:AW572)</f>
        <v>0</v>
      </c>
      <c r="U572" s="41">
        <v>0</v>
      </c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</row>
    <row r="573" spans="1:49" hidden="1">
      <c r="A573" s="37">
        <f>MAX($A$1:$A572)+1</f>
        <v>571</v>
      </c>
      <c r="B573" s="41"/>
      <c r="C573" s="41"/>
      <c r="D573" s="41"/>
      <c r="E573" s="41"/>
      <c r="F573" s="52"/>
      <c r="G573" s="59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2">
        <f t="shared" si="30"/>
        <v>0</v>
      </c>
      <c r="U573" s="41">
        <v>0</v>
      </c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</row>
    <row r="574" spans="1:49" hidden="1">
      <c r="A574" s="37">
        <f>MAX($A$1:$A573)+1</f>
        <v>572</v>
      </c>
      <c r="B574" s="41"/>
      <c r="C574" s="41"/>
      <c r="D574" s="41"/>
      <c r="E574" s="41"/>
      <c r="F574" s="52"/>
      <c r="G574" s="59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2">
        <f t="shared" si="30"/>
        <v>0</v>
      </c>
      <c r="U574" s="41">
        <v>0</v>
      </c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</row>
    <row r="575" spans="1:49" hidden="1">
      <c r="A575" s="37">
        <f>MAX($A$1:$A574)+1</f>
        <v>573</v>
      </c>
      <c r="B575" s="41"/>
      <c r="C575" s="41"/>
      <c r="D575" s="41"/>
      <c r="E575" s="41"/>
      <c r="F575" s="52"/>
      <c r="G575" s="59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2">
        <f t="shared" si="30"/>
        <v>0</v>
      </c>
      <c r="U575" s="41">
        <v>0</v>
      </c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</row>
    <row r="576" spans="1:49" hidden="1">
      <c r="A576" s="37">
        <f>MAX($A$1:$A575)+1</f>
        <v>574</v>
      </c>
      <c r="B576" s="41"/>
      <c r="C576" s="41"/>
      <c r="D576" s="41"/>
      <c r="E576" s="41"/>
      <c r="F576" s="52"/>
      <c r="G576" s="59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2">
        <f t="shared" si="30"/>
        <v>0</v>
      </c>
      <c r="U576" s="41">
        <v>0</v>
      </c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</row>
    <row r="577" spans="1:49" hidden="1">
      <c r="A577" s="37">
        <f>MAX($A$1:$A576)+1</f>
        <v>575</v>
      </c>
      <c r="B577" s="41"/>
      <c r="C577" s="41"/>
      <c r="D577" s="41"/>
      <c r="E577" s="41"/>
      <c r="F577" s="52"/>
      <c r="G577" s="59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2">
        <f t="shared" si="30"/>
        <v>0</v>
      </c>
      <c r="U577" s="41">
        <v>0</v>
      </c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</row>
    <row r="578" spans="1:49" hidden="1">
      <c r="A578" s="37">
        <f>MAX($A$1:$A577)+1</f>
        <v>576</v>
      </c>
      <c r="B578" s="41"/>
      <c r="C578" s="41"/>
      <c r="D578" s="41"/>
      <c r="E578" s="41"/>
      <c r="F578" s="52"/>
      <c r="G578" s="59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2">
        <f t="shared" si="30"/>
        <v>0</v>
      </c>
      <c r="U578" s="41">
        <v>0</v>
      </c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</row>
    <row r="579" spans="1:49" hidden="1">
      <c r="A579" s="37">
        <f>MAX($A$1:$A578)+1</f>
        <v>577</v>
      </c>
      <c r="B579" s="41"/>
      <c r="C579" s="41"/>
      <c r="D579" s="41"/>
      <c r="E579" s="41"/>
      <c r="F579" s="52"/>
      <c r="G579" s="59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2">
        <f t="shared" si="30"/>
        <v>0</v>
      </c>
      <c r="U579" s="41">
        <v>0</v>
      </c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</row>
    <row r="580" spans="1:49" hidden="1">
      <c r="A580" s="37">
        <f>MAX($A$1:$A579)+1</f>
        <v>578</v>
      </c>
      <c r="B580" s="41"/>
      <c r="C580" s="41"/>
      <c r="D580" s="41"/>
      <c r="E580" s="41"/>
      <c r="F580" s="52"/>
      <c r="G580" s="59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2">
        <f t="shared" si="30"/>
        <v>0</v>
      </c>
      <c r="U580" s="41">
        <v>0</v>
      </c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</row>
    <row r="581" spans="1:49" hidden="1">
      <c r="A581" s="37">
        <f>MAX($A$1:$A580)+1</f>
        <v>579</v>
      </c>
      <c r="B581" s="41"/>
      <c r="C581" s="41"/>
      <c r="D581" s="41"/>
      <c r="E581" s="41"/>
      <c r="F581" s="52"/>
      <c r="G581" s="59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2">
        <f t="shared" si="30"/>
        <v>0</v>
      </c>
      <c r="U581" s="41">
        <v>0</v>
      </c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</row>
    <row r="582" spans="1:49" hidden="1">
      <c r="A582" s="37">
        <f>MAX($A$1:$A581)+1</f>
        <v>580</v>
      </c>
      <c r="B582" s="41"/>
      <c r="C582" s="41"/>
      <c r="D582" s="41"/>
      <c r="E582" s="41"/>
      <c r="F582" s="52"/>
      <c r="G582" s="59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2">
        <f t="shared" si="30"/>
        <v>0</v>
      </c>
      <c r="U582" s="41">
        <v>0</v>
      </c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</row>
    <row r="583" spans="1:49" hidden="1">
      <c r="A583" s="37">
        <f>MAX($A$1:$A582)+1</f>
        <v>581</v>
      </c>
      <c r="B583" s="41"/>
      <c r="C583" s="41"/>
      <c r="D583" s="41"/>
      <c r="E583" s="41"/>
      <c r="F583" s="52"/>
      <c r="G583" s="59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2">
        <f t="shared" si="30"/>
        <v>0</v>
      </c>
      <c r="U583" s="41">
        <v>0</v>
      </c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</row>
    <row r="584" spans="1:49" hidden="1">
      <c r="A584" s="37">
        <f>MAX($A$1:$A583)+1</f>
        <v>582</v>
      </c>
      <c r="B584" s="41"/>
      <c r="C584" s="41"/>
      <c r="D584" s="41"/>
      <c r="E584" s="41"/>
      <c r="F584" s="52"/>
      <c r="G584" s="59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2">
        <f t="shared" si="30"/>
        <v>0</v>
      </c>
      <c r="U584" s="41">
        <v>0</v>
      </c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</row>
    <row r="585" spans="1:49" hidden="1">
      <c r="A585" s="37">
        <f>MAX($A$1:$A584)+1</f>
        <v>583</v>
      </c>
      <c r="B585" s="41"/>
      <c r="C585" s="41"/>
      <c r="D585" s="41"/>
      <c r="E585" s="41"/>
      <c r="F585" s="52"/>
      <c r="G585" s="59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2">
        <f t="shared" si="30"/>
        <v>0</v>
      </c>
      <c r="U585" s="41">
        <v>0</v>
      </c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</row>
    <row r="586" spans="1:49" hidden="1">
      <c r="A586" s="37">
        <f>MAX($A$1:$A585)+1</f>
        <v>584</v>
      </c>
      <c r="B586" s="41"/>
      <c r="C586" s="41"/>
      <c r="D586" s="41"/>
      <c r="E586" s="41"/>
      <c r="F586" s="52"/>
      <c r="G586" s="59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2">
        <f t="shared" si="30"/>
        <v>0</v>
      </c>
      <c r="U586" s="41">
        <v>0</v>
      </c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</row>
    <row r="587" spans="1:49" hidden="1">
      <c r="A587" s="37">
        <f>MAX($A$1:$A586)+1</f>
        <v>585</v>
      </c>
      <c r="B587" s="41"/>
      <c r="C587" s="41"/>
      <c r="D587" s="41"/>
      <c r="E587" s="41"/>
      <c r="F587" s="52"/>
      <c r="G587" s="59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2">
        <f t="shared" si="30"/>
        <v>0</v>
      </c>
      <c r="U587" s="41">
        <v>0</v>
      </c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</row>
    <row r="588" spans="1:49" hidden="1">
      <c r="A588" s="37">
        <f>MAX($A$1:$A587)+1</f>
        <v>586</v>
      </c>
      <c r="B588" s="41"/>
      <c r="C588" s="41"/>
      <c r="D588" s="41"/>
      <c r="E588" s="41"/>
      <c r="F588" s="52"/>
      <c r="G588" s="59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2">
        <f t="shared" si="30"/>
        <v>0</v>
      </c>
      <c r="U588" s="41">
        <v>0</v>
      </c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</row>
    <row r="589" spans="1:49" hidden="1">
      <c r="A589" s="37">
        <f>MAX($A$1:$A588)+1</f>
        <v>587</v>
      </c>
      <c r="B589" s="41"/>
      <c r="C589" s="41"/>
      <c r="D589" s="41"/>
      <c r="E589" s="41"/>
      <c r="F589" s="52"/>
      <c r="G589" s="59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2">
        <f t="shared" si="30"/>
        <v>0</v>
      </c>
      <c r="U589" s="41">
        <v>0</v>
      </c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</row>
    <row r="590" spans="1:49" hidden="1">
      <c r="A590" s="37">
        <f>MAX($A$1:$A589)+1</f>
        <v>588</v>
      </c>
      <c r="B590" s="41"/>
      <c r="C590" s="41"/>
      <c r="D590" s="41"/>
      <c r="E590" s="41"/>
      <c r="F590" s="52"/>
      <c r="G590" s="59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2">
        <f t="shared" si="30"/>
        <v>0</v>
      </c>
      <c r="U590" s="41">
        <v>0</v>
      </c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</row>
    <row r="591" spans="1:49" hidden="1">
      <c r="A591" s="37">
        <f>MAX($A$1:$A590)+1</f>
        <v>589</v>
      </c>
      <c r="B591" s="41"/>
      <c r="C591" s="41"/>
      <c r="D591" s="41"/>
      <c r="E591" s="41"/>
      <c r="F591" s="52"/>
      <c r="G591" s="59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2">
        <f t="shared" si="30"/>
        <v>0</v>
      </c>
      <c r="U591" s="41">
        <v>0</v>
      </c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</row>
    <row r="592" spans="1:49" hidden="1">
      <c r="A592" s="37">
        <f>MAX($A$1:$A591)+1</f>
        <v>590</v>
      </c>
      <c r="B592" s="41"/>
      <c r="C592" s="41"/>
      <c r="D592" s="41"/>
      <c r="E592" s="41"/>
      <c r="F592" s="52"/>
      <c r="G592" s="59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2">
        <f t="shared" si="30"/>
        <v>0</v>
      </c>
      <c r="U592" s="41">
        <v>0</v>
      </c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</row>
    <row r="593" spans="1:49" hidden="1">
      <c r="A593" s="37">
        <f>MAX($A$1:$A592)+1</f>
        <v>591</v>
      </c>
      <c r="B593" s="41"/>
      <c r="C593" s="41"/>
      <c r="D593" s="41"/>
      <c r="E593" s="41"/>
      <c r="F593" s="52"/>
      <c r="G593" s="59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2">
        <f t="shared" si="30"/>
        <v>0</v>
      </c>
      <c r="U593" s="41">
        <v>0</v>
      </c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</row>
    <row r="594" spans="1:49" hidden="1">
      <c r="A594" s="37">
        <f>MAX($A$1:$A593)+1</f>
        <v>592</v>
      </c>
      <c r="B594" s="41"/>
      <c r="C594" s="41"/>
      <c r="D594" s="41"/>
      <c r="E594" s="41"/>
      <c r="F594" s="52"/>
      <c r="G594" s="59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2">
        <f t="shared" si="30"/>
        <v>0</v>
      </c>
      <c r="U594" s="41">
        <v>0</v>
      </c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</row>
    <row r="595" spans="1:49" hidden="1">
      <c r="A595" s="37">
        <f>MAX($A$1:$A594)+1</f>
        <v>593</v>
      </c>
      <c r="B595" s="41"/>
      <c r="C595" s="41"/>
      <c r="D595" s="41"/>
      <c r="E595" s="41"/>
      <c r="F595" s="52"/>
      <c r="G595" s="59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2">
        <f t="shared" si="30"/>
        <v>0</v>
      </c>
      <c r="U595" s="41">
        <v>0</v>
      </c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</row>
    <row r="596" spans="1:49" hidden="1">
      <c r="A596" s="37">
        <f>MAX($A$1:$A595)+1</f>
        <v>594</v>
      </c>
      <c r="B596" s="41"/>
      <c r="C596" s="41"/>
      <c r="D596" s="41"/>
      <c r="E596" s="41"/>
      <c r="F596" s="52"/>
      <c r="G596" s="59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2">
        <f t="shared" si="30"/>
        <v>0</v>
      </c>
      <c r="U596" s="41">
        <v>0</v>
      </c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</row>
    <row r="597" spans="1:49" hidden="1">
      <c r="A597" s="37">
        <f>MAX($A$1:$A596)+1</f>
        <v>595</v>
      </c>
      <c r="B597" s="41"/>
      <c r="C597" s="41"/>
      <c r="D597" s="41"/>
      <c r="E597" s="41"/>
      <c r="F597" s="52"/>
      <c r="G597" s="59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2">
        <f t="shared" si="30"/>
        <v>0</v>
      </c>
      <c r="U597" s="41">
        <v>0</v>
      </c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</row>
    <row r="598" spans="1:49" hidden="1">
      <c r="A598" s="37">
        <f>MAX($A$1:$A597)+1</f>
        <v>596</v>
      </c>
      <c r="B598" s="41"/>
      <c r="C598" s="41"/>
      <c r="D598" s="41"/>
      <c r="E598" s="41"/>
      <c r="F598" s="52"/>
      <c r="G598" s="59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2">
        <f t="shared" si="30"/>
        <v>0</v>
      </c>
      <c r="U598" s="41">
        <v>0</v>
      </c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</row>
    <row r="599" spans="1:49" hidden="1">
      <c r="A599" s="37">
        <f>MAX($A$1:$A598)+1</f>
        <v>597</v>
      </c>
      <c r="B599" s="41"/>
      <c r="C599" s="41"/>
      <c r="D599" s="41"/>
      <c r="E599" s="41"/>
      <c r="F599" s="52"/>
      <c r="G599" s="59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2">
        <f t="shared" si="30"/>
        <v>0</v>
      </c>
      <c r="U599" s="41">
        <v>0</v>
      </c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</row>
    <row r="600" spans="1:49" hidden="1">
      <c r="A600" s="37">
        <f>MAX($A$1:$A599)+1</f>
        <v>598</v>
      </c>
      <c r="B600" s="41"/>
      <c r="C600" s="41"/>
      <c r="D600" s="41"/>
      <c r="E600" s="41"/>
      <c r="F600" s="52"/>
      <c r="G600" s="59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2">
        <f t="shared" si="30"/>
        <v>0</v>
      </c>
      <c r="U600" s="41">
        <v>0</v>
      </c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</row>
    <row r="601" spans="1:49" hidden="1">
      <c r="A601" s="37">
        <f>MAX($A$1:$A600)+1</f>
        <v>599</v>
      </c>
      <c r="B601" s="41"/>
      <c r="C601" s="41"/>
      <c r="D601" s="41"/>
      <c r="E601" s="41"/>
      <c r="F601" s="52"/>
      <c r="G601" s="59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2">
        <f t="shared" si="30"/>
        <v>0</v>
      </c>
      <c r="U601" s="41">
        <v>0</v>
      </c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</row>
    <row r="602" spans="1:49" hidden="1">
      <c r="A602" s="37">
        <f>MAX($A$1:$A601)+1</f>
        <v>600</v>
      </c>
      <c r="B602" s="41"/>
      <c r="C602" s="41"/>
      <c r="D602" s="41"/>
      <c r="E602" s="41"/>
      <c r="F602" s="52"/>
      <c r="G602" s="59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2">
        <f t="shared" si="30"/>
        <v>0</v>
      </c>
      <c r="U602" s="41">
        <v>0</v>
      </c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</row>
    <row r="603" spans="1:49" hidden="1">
      <c r="A603" s="37">
        <f>MAX($A$1:$A602)+1</f>
        <v>601</v>
      </c>
      <c r="B603" s="41"/>
      <c r="C603" s="41"/>
      <c r="D603" s="41"/>
      <c r="E603" s="41"/>
      <c r="F603" s="52"/>
      <c r="G603" s="59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2">
        <f t="shared" si="30"/>
        <v>0</v>
      </c>
      <c r="U603" s="41">
        <v>0</v>
      </c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</row>
    <row r="604" spans="1:49" hidden="1">
      <c r="A604" s="37">
        <f>MAX($A$1:$A603)+1</f>
        <v>602</v>
      </c>
      <c r="B604" s="41"/>
      <c r="C604" s="41"/>
      <c r="D604" s="41"/>
      <c r="E604" s="41"/>
      <c r="F604" s="52"/>
      <c r="G604" s="59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2">
        <f t="shared" si="30"/>
        <v>0</v>
      </c>
      <c r="U604" s="41">
        <v>0</v>
      </c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</row>
    <row r="605" spans="1:49" hidden="1">
      <c r="A605" s="37">
        <f>MAX($A$1:$A604)+1</f>
        <v>603</v>
      </c>
      <c r="B605" s="41"/>
      <c r="C605" s="41"/>
      <c r="D605" s="41"/>
      <c r="E605" s="41"/>
      <c r="F605" s="52"/>
      <c r="G605" s="59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2">
        <f t="shared" si="30"/>
        <v>0</v>
      </c>
      <c r="U605" s="41">
        <v>0</v>
      </c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</row>
    <row r="606" spans="1:49" hidden="1">
      <c r="A606" s="37">
        <f>MAX($A$1:$A605)+1</f>
        <v>604</v>
      </c>
      <c r="B606" s="41"/>
      <c r="C606" s="41"/>
      <c r="D606" s="41"/>
      <c r="E606" s="41"/>
      <c r="F606" s="52"/>
      <c r="G606" s="59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2">
        <f t="shared" si="30"/>
        <v>0</v>
      </c>
      <c r="U606" s="41">
        <v>0</v>
      </c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</row>
    <row r="607" spans="1:49" hidden="1">
      <c r="A607" s="37">
        <f>MAX($A$1:$A606)+1</f>
        <v>605</v>
      </c>
      <c r="B607" s="41"/>
      <c r="C607" s="41"/>
      <c r="D607" s="41"/>
      <c r="E607" s="41"/>
      <c r="F607" s="52"/>
      <c r="G607" s="59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2">
        <f t="shared" si="30"/>
        <v>0</v>
      </c>
      <c r="U607" s="41">
        <v>0</v>
      </c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</row>
    <row r="608" spans="1:49" hidden="1">
      <c r="A608" s="37">
        <f>MAX($A$1:$A607)+1</f>
        <v>606</v>
      </c>
      <c r="B608" s="41"/>
      <c r="C608" s="41"/>
      <c r="D608" s="41"/>
      <c r="E608" s="41"/>
      <c r="F608" s="52"/>
      <c r="G608" s="59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2">
        <f t="shared" si="30"/>
        <v>0</v>
      </c>
      <c r="U608" s="41">
        <v>0</v>
      </c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</row>
    <row r="609" spans="1:49" hidden="1">
      <c r="A609" s="37">
        <f>MAX($A$1:$A608)+1</f>
        <v>607</v>
      </c>
      <c r="B609" s="41"/>
      <c r="C609" s="41"/>
      <c r="D609" s="41"/>
      <c r="E609" s="41"/>
      <c r="F609" s="52"/>
      <c r="G609" s="59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2">
        <f t="shared" si="30"/>
        <v>0</v>
      </c>
      <c r="U609" s="41">
        <v>0</v>
      </c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</row>
    <row r="610" spans="1:49" hidden="1">
      <c r="A610" s="37">
        <f>MAX($A$1:$A609)+1</f>
        <v>608</v>
      </c>
      <c r="B610" s="41"/>
      <c r="C610" s="41"/>
      <c r="D610" s="41"/>
      <c r="E610" s="41"/>
      <c r="F610" s="52"/>
      <c r="G610" s="59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2">
        <f t="shared" si="30"/>
        <v>0</v>
      </c>
      <c r="U610" s="41">
        <v>0</v>
      </c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</row>
    <row r="611" spans="1:49" hidden="1">
      <c r="A611" s="37">
        <f>MAX($A$1:$A610)+1</f>
        <v>609</v>
      </c>
      <c r="B611" s="41"/>
      <c r="C611" s="41"/>
      <c r="D611" s="41"/>
      <c r="E611" s="41"/>
      <c r="F611" s="52"/>
      <c r="G611" s="59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2">
        <f t="shared" si="30"/>
        <v>0</v>
      </c>
      <c r="U611" s="41">
        <v>0</v>
      </c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</row>
    <row r="612" spans="1:49" hidden="1">
      <c r="A612" s="37">
        <f>MAX($A$1:$A611)+1</f>
        <v>610</v>
      </c>
      <c r="B612" s="41"/>
      <c r="C612" s="41"/>
      <c r="D612" s="41"/>
      <c r="E612" s="41"/>
      <c r="F612" s="52"/>
      <c r="G612" s="59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2">
        <f t="shared" si="30"/>
        <v>0</v>
      </c>
      <c r="U612" s="41">
        <v>0</v>
      </c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</row>
    <row r="613" spans="1:49" hidden="1">
      <c r="A613" s="37">
        <f>MAX($A$1:$A612)+1</f>
        <v>611</v>
      </c>
      <c r="B613" s="41"/>
      <c r="C613" s="41"/>
      <c r="D613" s="41"/>
      <c r="E613" s="41"/>
      <c r="F613" s="52"/>
      <c r="G613" s="59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2">
        <f t="shared" si="30"/>
        <v>0</v>
      </c>
      <c r="U613" s="41">
        <v>0</v>
      </c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</row>
    <row r="614" spans="1:49" hidden="1">
      <c r="A614" s="37">
        <f>MAX($A$1:$A613)+1</f>
        <v>612</v>
      </c>
      <c r="B614" s="41"/>
      <c r="C614" s="41"/>
      <c r="D614" s="41"/>
      <c r="E614" s="41"/>
      <c r="F614" s="52"/>
      <c r="G614" s="59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2">
        <f t="shared" si="30"/>
        <v>0</v>
      </c>
      <c r="U614" s="41">
        <v>0</v>
      </c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</row>
    <row r="615" spans="1:49" hidden="1">
      <c r="A615" s="37">
        <f>MAX($A$1:$A614)+1</f>
        <v>613</v>
      </c>
      <c r="B615" s="41"/>
      <c r="C615" s="41"/>
      <c r="D615" s="41"/>
      <c r="E615" s="41"/>
      <c r="F615" s="52"/>
      <c r="G615" s="59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2">
        <f t="shared" si="30"/>
        <v>0</v>
      </c>
      <c r="U615" s="41">
        <v>0</v>
      </c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</row>
    <row r="616" spans="1:49" hidden="1">
      <c r="A616" s="37">
        <f>MAX($A$1:$A615)+1</f>
        <v>614</v>
      </c>
      <c r="B616" s="41"/>
      <c r="C616" s="41"/>
      <c r="D616" s="41"/>
      <c r="E616" s="41"/>
      <c r="F616" s="52"/>
      <c r="G616" s="59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2">
        <f t="shared" si="30"/>
        <v>0</v>
      </c>
      <c r="U616" s="41">
        <v>0</v>
      </c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</row>
    <row r="617" spans="1:49" hidden="1">
      <c r="A617" s="37">
        <f>MAX($A$1:$A616)+1</f>
        <v>615</v>
      </c>
      <c r="B617" s="41"/>
      <c r="C617" s="41"/>
      <c r="D617" s="41"/>
      <c r="E617" s="41"/>
      <c r="F617" s="52"/>
      <c r="G617" s="59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2">
        <f t="shared" si="30"/>
        <v>0</v>
      </c>
      <c r="U617" s="41">
        <v>0</v>
      </c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</row>
    <row r="618" spans="1:49" hidden="1">
      <c r="A618" s="37">
        <f>MAX($A$1:$A617)+1</f>
        <v>616</v>
      </c>
      <c r="B618" s="41"/>
      <c r="C618" s="41"/>
      <c r="D618" s="41"/>
      <c r="E618" s="41"/>
      <c r="F618" s="52"/>
      <c r="G618" s="59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2">
        <f t="shared" si="30"/>
        <v>0</v>
      </c>
      <c r="U618" s="41">
        <v>0</v>
      </c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</row>
    <row r="619" spans="1:49" hidden="1">
      <c r="A619" s="37">
        <f>MAX($A$1:$A618)+1</f>
        <v>617</v>
      </c>
      <c r="B619" s="41"/>
      <c r="C619" s="41"/>
      <c r="D619" s="41"/>
      <c r="E619" s="41"/>
      <c r="F619" s="52"/>
      <c r="G619" s="59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2">
        <f t="shared" si="30"/>
        <v>0</v>
      </c>
      <c r="U619" s="41">
        <v>0</v>
      </c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</row>
    <row r="620" spans="1:49" hidden="1">
      <c r="A620" s="37">
        <f>MAX($A$1:$A619)+1</f>
        <v>618</v>
      </c>
      <c r="B620" s="41"/>
      <c r="C620" s="41"/>
      <c r="D620" s="41"/>
      <c r="E620" s="41"/>
      <c r="F620" s="52"/>
      <c r="G620" s="59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2">
        <f t="shared" si="30"/>
        <v>0</v>
      </c>
      <c r="U620" s="41">
        <v>0</v>
      </c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</row>
    <row r="621" spans="1:49" hidden="1">
      <c r="A621" s="37">
        <f>MAX($A$1:$A620)+1</f>
        <v>619</v>
      </c>
      <c r="B621" s="41"/>
      <c r="C621" s="41"/>
      <c r="D621" s="41"/>
      <c r="E621" s="41"/>
      <c r="F621" s="52"/>
      <c r="G621" s="59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2">
        <f t="shared" si="30"/>
        <v>0</v>
      </c>
      <c r="U621" s="41">
        <v>0</v>
      </c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</row>
    <row r="622" spans="1:49" hidden="1">
      <c r="A622" s="37">
        <f>MAX($A$1:$A621)+1</f>
        <v>620</v>
      </c>
      <c r="B622" s="41"/>
      <c r="C622" s="41"/>
      <c r="D622" s="41"/>
      <c r="E622" s="41"/>
      <c r="F622" s="52"/>
      <c r="G622" s="59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2">
        <f t="shared" si="30"/>
        <v>0</v>
      </c>
      <c r="U622" s="41">
        <v>0</v>
      </c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</row>
    <row r="623" spans="1:49" hidden="1">
      <c r="A623" s="37">
        <f>MAX($A$1:$A622)+1</f>
        <v>621</v>
      </c>
      <c r="B623" s="41"/>
      <c r="C623" s="41"/>
      <c r="D623" s="41"/>
      <c r="E623" s="41"/>
      <c r="F623" s="52"/>
      <c r="G623" s="59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2">
        <f t="shared" si="30"/>
        <v>0</v>
      </c>
      <c r="U623" s="41">
        <v>0</v>
      </c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</row>
    <row r="624" spans="1:49" hidden="1">
      <c r="A624" s="37">
        <f>MAX($A$1:$A623)+1</f>
        <v>622</v>
      </c>
      <c r="B624" s="41"/>
      <c r="C624" s="41"/>
      <c r="D624" s="41"/>
      <c r="E624" s="41"/>
      <c r="F624" s="52"/>
      <c r="G624" s="59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2">
        <f t="shared" si="30"/>
        <v>0</v>
      </c>
      <c r="U624" s="41">
        <v>0</v>
      </c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</row>
    <row r="625" spans="1:49" hidden="1">
      <c r="A625" s="37">
        <f>MAX($A$1:$A624)+1</f>
        <v>623</v>
      </c>
      <c r="B625" s="41"/>
      <c r="C625" s="41"/>
      <c r="D625" s="41"/>
      <c r="E625" s="41"/>
      <c r="F625" s="52"/>
      <c r="G625" s="59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2">
        <f t="shared" si="30"/>
        <v>0</v>
      </c>
      <c r="U625" s="41">
        <v>0</v>
      </c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</row>
    <row r="626" spans="1:49" hidden="1">
      <c r="A626" s="37">
        <f>MAX($A$1:$A625)+1</f>
        <v>624</v>
      </c>
      <c r="B626" s="41"/>
      <c r="C626" s="41"/>
      <c r="D626" s="41"/>
      <c r="E626" s="41"/>
      <c r="F626" s="52"/>
      <c r="G626" s="59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2">
        <f t="shared" si="30"/>
        <v>0</v>
      </c>
      <c r="U626" s="41">
        <v>0</v>
      </c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</row>
    <row r="627" spans="1:49" hidden="1">
      <c r="A627" s="37">
        <f>MAX($A$1:$A626)+1</f>
        <v>625</v>
      </c>
      <c r="B627" s="41"/>
      <c r="C627" s="41"/>
      <c r="D627" s="41"/>
      <c r="E627" s="41"/>
      <c r="F627" s="52"/>
      <c r="G627" s="59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2">
        <f t="shared" si="30"/>
        <v>0</v>
      </c>
      <c r="U627" s="41">
        <v>0</v>
      </c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</row>
    <row r="628" spans="1:49" hidden="1">
      <c r="A628" s="37">
        <f>MAX($A$1:$A627)+1</f>
        <v>626</v>
      </c>
      <c r="B628" s="41"/>
      <c r="C628" s="41"/>
      <c r="D628" s="41"/>
      <c r="E628" s="41"/>
      <c r="F628" s="52"/>
      <c r="G628" s="59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2">
        <f t="shared" si="30"/>
        <v>0</v>
      </c>
      <c r="U628" s="41">
        <v>0</v>
      </c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</row>
    <row r="629" spans="1:49" hidden="1">
      <c r="A629" s="37">
        <f>MAX($A$1:$A628)+1</f>
        <v>627</v>
      </c>
      <c r="B629" s="41"/>
      <c r="C629" s="41"/>
      <c r="D629" s="41"/>
      <c r="E629" s="41"/>
      <c r="F629" s="52"/>
      <c r="G629" s="59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2">
        <f t="shared" si="30"/>
        <v>0</v>
      </c>
      <c r="U629" s="41">
        <v>0</v>
      </c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</row>
    <row r="630" spans="1:49" hidden="1">
      <c r="A630" s="37">
        <f>MAX($A$1:$A629)+1</f>
        <v>628</v>
      </c>
      <c r="B630" s="41"/>
      <c r="C630" s="41"/>
      <c r="D630" s="41"/>
      <c r="E630" s="41"/>
      <c r="F630" s="52"/>
      <c r="G630" s="59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2">
        <f t="shared" si="30"/>
        <v>0</v>
      </c>
      <c r="U630" s="41">
        <v>0</v>
      </c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</row>
    <row r="631" spans="1:49" hidden="1">
      <c r="A631" s="37">
        <f>MAX($A$1:$A630)+1</f>
        <v>629</v>
      </c>
      <c r="B631" s="41"/>
      <c r="C631" s="41"/>
      <c r="D631" s="41"/>
      <c r="E631" s="41"/>
      <c r="F631" s="52"/>
      <c r="G631" s="59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2">
        <f t="shared" si="30"/>
        <v>0</v>
      </c>
      <c r="U631" s="41">
        <v>0</v>
      </c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</row>
    <row r="632" spans="1:49" hidden="1">
      <c r="A632" s="37">
        <f>MAX($A$1:$A631)+1</f>
        <v>630</v>
      </c>
      <c r="B632" s="41"/>
      <c r="C632" s="41"/>
      <c r="D632" s="41"/>
      <c r="E632" s="41"/>
      <c r="F632" s="52"/>
      <c r="G632" s="59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2">
        <f t="shared" si="30"/>
        <v>0</v>
      </c>
      <c r="U632" s="41">
        <v>0</v>
      </c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</row>
    <row r="633" spans="1:49" hidden="1">
      <c r="A633" s="37">
        <f>MAX($A$1:$A632)+1</f>
        <v>631</v>
      </c>
      <c r="B633" s="41"/>
      <c r="C633" s="41"/>
      <c r="D633" s="41"/>
      <c r="E633" s="41"/>
      <c r="F633" s="52"/>
      <c r="G633" s="59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2">
        <f t="shared" si="30"/>
        <v>0</v>
      </c>
      <c r="U633" s="41">
        <v>0</v>
      </c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</row>
    <row r="634" spans="1:49" hidden="1">
      <c r="A634" s="37">
        <f>MAX($A$1:$A633)+1</f>
        <v>632</v>
      </c>
      <c r="B634" s="41"/>
      <c r="C634" s="41"/>
      <c r="D634" s="41"/>
      <c r="E634" s="41"/>
      <c r="F634" s="52"/>
      <c r="G634" s="59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2">
        <f t="shared" si="30"/>
        <v>0</v>
      </c>
      <c r="U634" s="41">
        <v>0</v>
      </c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</row>
    <row r="635" spans="1:49" hidden="1">
      <c r="A635" s="37">
        <f>MAX($A$1:$A634)+1</f>
        <v>633</v>
      </c>
      <c r="B635" s="41"/>
      <c r="C635" s="41"/>
      <c r="D635" s="41"/>
      <c r="E635" s="41"/>
      <c r="F635" s="52"/>
      <c r="G635" s="59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2">
        <f t="shared" si="30"/>
        <v>0</v>
      </c>
      <c r="U635" s="41">
        <v>0</v>
      </c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</row>
    <row r="636" spans="1:49" hidden="1">
      <c r="A636" s="37">
        <f>MAX($A$1:$A635)+1</f>
        <v>634</v>
      </c>
      <c r="B636" s="41"/>
      <c r="C636" s="41"/>
      <c r="D636" s="41"/>
      <c r="E636" s="41"/>
      <c r="F636" s="52"/>
      <c r="G636" s="59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2">
        <f t="shared" ref="T636:T678" si="31">SUM(U636:AW636)</f>
        <v>0</v>
      </c>
      <c r="U636" s="41">
        <v>0</v>
      </c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</row>
    <row r="637" spans="1:49" hidden="1">
      <c r="A637" s="37">
        <f>MAX($A$1:$A636)+1</f>
        <v>635</v>
      </c>
      <c r="B637" s="41"/>
      <c r="C637" s="41"/>
      <c r="D637" s="41"/>
      <c r="E637" s="41"/>
      <c r="F637" s="52"/>
      <c r="G637" s="59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2">
        <f t="shared" si="31"/>
        <v>0</v>
      </c>
      <c r="U637" s="41">
        <v>0</v>
      </c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</row>
    <row r="638" spans="1:49" hidden="1">
      <c r="A638" s="37">
        <f>MAX($A$1:$A637)+1</f>
        <v>636</v>
      </c>
      <c r="B638" s="41"/>
      <c r="C638" s="41"/>
      <c r="D638" s="41"/>
      <c r="E638" s="41"/>
      <c r="F638" s="52"/>
      <c r="G638" s="59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2">
        <f t="shared" si="31"/>
        <v>0</v>
      </c>
      <c r="U638" s="41">
        <v>0</v>
      </c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</row>
    <row r="639" spans="1:49" hidden="1">
      <c r="A639" s="37">
        <f>MAX($A$1:$A638)+1</f>
        <v>637</v>
      </c>
      <c r="B639" s="41"/>
      <c r="C639" s="41"/>
      <c r="D639" s="41"/>
      <c r="E639" s="41"/>
      <c r="F639" s="52"/>
      <c r="G639" s="59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2">
        <f t="shared" si="31"/>
        <v>0</v>
      </c>
      <c r="U639" s="41">
        <v>0</v>
      </c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</row>
    <row r="640" spans="1:49" hidden="1">
      <c r="A640" s="37">
        <f>MAX($A$1:$A639)+1</f>
        <v>638</v>
      </c>
      <c r="B640" s="41"/>
      <c r="C640" s="41"/>
      <c r="D640" s="41"/>
      <c r="E640" s="41"/>
      <c r="F640" s="52"/>
      <c r="G640" s="59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2">
        <f t="shared" si="31"/>
        <v>0</v>
      </c>
      <c r="U640" s="41">
        <v>0</v>
      </c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</row>
    <row r="641" spans="1:49" hidden="1">
      <c r="A641" s="37">
        <f>MAX($A$1:$A640)+1</f>
        <v>639</v>
      </c>
      <c r="B641" s="41"/>
      <c r="C641" s="41"/>
      <c r="D641" s="41"/>
      <c r="E641" s="41"/>
      <c r="F641" s="52"/>
      <c r="G641" s="59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2">
        <f t="shared" si="31"/>
        <v>0</v>
      </c>
      <c r="U641" s="41">
        <v>0</v>
      </c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</row>
    <row r="642" spans="1:49" hidden="1">
      <c r="A642" s="37">
        <f>MAX($A$1:$A641)+1</f>
        <v>640</v>
      </c>
      <c r="B642" s="41"/>
      <c r="C642" s="41"/>
      <c r="D642" s="41"/>
      <c r="E642" s="41"/>
      <c r="F642" s="52"/>
      <c r="G642" s="59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2">
        <f t="shared" si="31"/>
        <v>0</v>
      </c>
      <c r="U642" s="41">
        <v>0</v>
      </c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</row>
    <row r="643" spans="1:49" hidden="1">
      <c r="A643" s="37">
        <f>MAX($A$1:$A642)+1</f>
        <v>641</v>
      </c>
      <c r="B643" s="41"/>
      <c r="C643" s="41"/>
      <c r="D643" s="41"/>
      <c r="E643" s="41"/>
      <c r="F643" s="52"/>
      <c r="G643" s="59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2">
        <f t="shared" si="31"/>
        <v>0</v>
      </c>
      <c r="U643" s="41">
        <v>0</v>
      </c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</row>
    <row r="644" spans="1:49" hidden="1">
      <c r="A644" s="37">
        <f>MAX($A$1:$A643)+1</f>
        <v>642</v>
      </c>
      <c r="B644" s="41"/>
      <c r="C644" s="41"/>
      <c r="D644" s="41"/>
      <c r="E644" s="41"/>
      <c r="F644" s="52"/>
      <c r="G644" s="59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2">
        <f t="shared" si="31"/>
        <v>0</v>
      </c>
      <c r="U644" s="41">
        <v>0</v>
      </c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</row>
    <row r="645" spans="1:49" hidden="1">
      <c r="A645" s="37">
        <f>MAX($A$1:$A644)+1</f>
        <v>643</v>
      </c>
      <c r="B645" s="41"/>
      <c r="C645" s="41"/>
      <c r="D645" s="41"/>
      <c r="E645" s="41"/>
      <c r="F645" s="52"/>
      <c r="G645" s="59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2">
        <f t="shared" si="31"/>
        <v>0</v>
      </c>
      <c r="U645" s="41">
        <v>0</v>
      </c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</row>
    <row r="646" spans="1:49" hidden="1">
      <c r="A646" s="37">
        <f>MAX($A$1:$A645)+1</f>
        <v>644</v>
      </c>
      <c r="B646" s="41"/>
      <c r="C646" s="41"/>
      <c r="D646" s="41"/>
      <c r="E646" s="41"/>
      <c r="F646" s="52"/>
      <c r="G646" s="59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2">
        <f t="shared" si="31"/>
        <v>0</v>
      </c>
      <c r="U646" s="41">
        <v>0</v>
      </c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</row>
    <row r="647" spans="1:49" hidden="1">
      <c r="A647" s="37">
        <f>MAX($A$1:$A646)+1</f>
        <v>645</v>
      </c>
      <c r="B647" s="41"/>
      <c r="C647" s="41"/>
      <c r="D647" s="41"/>
      <c r="E647" s="41"/>
      <c r="F647" s="52"/>
      <c r="G647" s="59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2">
        <f t="shared" si="31"/>
        <v>0</v>
      </c>
      <c r="U647" s="41">
        <v>0</v>
      </c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</row>
    <row r="648" spans="1:49" hidden="1">
      <c r="A648" s="37">
        <f>MAX($A$1:$A647)+1</f>
        <v>646</v>
      </c>
      <c r="B648" s="41"/>
      <c r="C648" s="41"/>
      <c r="D648" s="41"/>
      <c r="E648" s="41"/>
      <c r="F648" s="52"/>
      <c r="G648" s="59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2">
        <f t="shared" si="31"/>
        <v>0</v>
      </c>
      <c r="U648" s="41">
        <v>0</v>
      </c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</row>
    <row r="649" spans="1:49" hidden="1">
      <c r="A649" s="37">
        <f>MAX($A$1:$A648)+1</f>
        <v>647</v>
      </c>
      <c r="B649" s="41"/>
      <c r="C649" s="41"/>
      <c r="D649" s="41"/>
      <c r="E649" s="41"/>
      <c r="F649" s="52"/>
      <c r="G649" s="59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2">
        <f t="shared" si="31"/>
        <v>0</v>
      </c>
      <c r="U649" s="41">
        <v>0</v>
      </c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</row>
    <row r="650" spans="1:49" hidden="1">
      <c r="A650" s="37">
        <f>MAX($A$1:$A649)+1</f>
        <v>648</v>
      </c>
      <c r="B650" s="41"/>
      <c r="C650" s="41"/>
      <c r="D650" s="41"/>
      <c r="E650" s="41"/>
      <c r="F650" s="52"/>
      <c r="G650" s="59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2">
        <f t="shared" si="31"/>
        <v>0</v>
      </c>
      <c r="U650" s="41">
        <v>0</v>
      </c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</row>
    <row r="651" spans="1:49" hidden="1">
      <c r="A651" s="37">
        <f>MAX($A$1:$A650)+1</f>
        <v>649</v>
      </c>
      <c r="B651" s="41"/>
      <c r="C651" s="41"/>
      <c r="D651" s="41"/>
      <c r="E651" s="41"/>
      <c r="F651" s="52"/>
      <c r="G651" s="59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2">
        <f t="shared" si="31"/>
        <v>0</v>
      </c>
      <c r="U651" s="41">
        <v>0</v>
      </c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</row>
    <row r="652" spans="1:49" hidden="1">
      <c r="A652" s="37">
        <f>MAX($A$1:$A651)+1</f>
        <v>650</v>
      </c>
      <c r="B652" s="41"/>
      <c r="C652" s="41"/>
      <c r="D652" s="41"/>
      <c r="E652" s="41"/>
      <c r="F652" s="52"/>
      <c r="G652" s="59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2">
        <f t="shared" si="31"/>
        <v>0</v>
      </c>
      <c r="U652" s="41">
        <v>0</v>
      </c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</row>
    <row r="653" spans="1:49" hidden="1">
      <c r="A653" s="37">
        <f>MAX($A$1:$A652)+1</f>
        <v>651</v>
      </c>
      <c r="B653" s="41"/>
      <c r="C653" s="41"/>
      <c r="D653" s="41"/>
      <c r="E653" s="41"/>
      <c r="F653" s="52"/>
      <c r="G653" s="59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2">
        <f t="shared" si="31"/>
        <v>0</v>
      </c>
      <c r="U653" s="41">
        <v>0</v>
      </c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</row>
    <row r="654" spans="1:49" hidden="1">
      <c r="A654" s="37">
        <f>MAX($A$1:$A653)+1</f>
        <v>652</v>
      </c>
      <c r="B654" s="41"/>
      <c r="C654" s="41"/>
      <c r="D654" s="41"/>
      <c r="E654" s="41"/>
      <c r="F654" s="52"/>
      <c r="G654" s="59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2">
        <f t="shared" si="31"/>
        <v>0</v>
      </c>
      <c r="U654" s="41">
        <v>0</v>
      </c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</row>
    <row r="655" spans="1:49" hidden="1">
      <c r="A655" s="37">
        <f>MAX($A$1:$A654)+1</f>
        <v>653</v>
      </c>
      <c r="B655" s="41"/>
      <c r="C655" s="41"/>
      <c r="D655" s="41"/>
      <c r="E655" s="41"/>
      <c r="F655" s="52"/>
      <c r="G655" s="59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2">
        <f t="shared" si="31"/>
        <v>0</v>
      </c>
      <c r="U655" s="41">
        <v>0</v>
      </c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</row>
    <row r="656" spans="1:49" hidden="1">
      <c r="A656" s="37">
        <f>MAX($A$1:$A655)+1</f>
        <v>654</v>
      </c>
      <c r="B656" s="41"/>
      <c r="C656" s="41"/>
      <c r="D656" s="41"/>
      <c r="E656" s="41"/>
      <c r="F656" s="52"/>
      <c r="G656" s="59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2">
        <f t="shared" si="31"/>
        <v>0</v>
      </c>
      <c r="U656" s="41">
        <v>0</v>
      </c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</row>
    <row r="657" spans="1:49" hidden="1">
      <c r="A657" s="37">
        <f>MAX($A$1:$A656)+1</f>
        <v>655</v>
      </c>
      <c r="B657" s="41"/>
      <c r="C657" s="41"/>
      <c r="D657" s="41"/>
      <c r="E657" s="41"/>
      <c r="F657" s="52"/>
      <c r="G657" s="59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2">
        <f t="shared" si="31"/>
        <v>0</v>
      </c>
      <c r="U657" s="41">
        <v>0</v>
      </c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</row>
    <row r="658" spans="1:49" hidden="1">
      <c r="A658" s="37">
        <f>MAX($A$1:$A657)+1</f>
        <v>656</v>
      </c>
      <c r="B658" s="41"/>
      <c r="C658" s="41"/>
      <c r="D658" s="41"/>
      <c r="E658" s="41"/>
      <c r="F658" s="52"/>
      <c r="G658" s="59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2">
        <f t="shared" si="31"/>
        <v>0</v>
      </c>
      <c r="U658" s="41">
        <v>0</v>
      </c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</row>
    <row r="659" spans="1:49" hidden="1">
      <c r="A659" s="37">
        <f>MAX($A$1:$A658)+1</f>
        <v>657</v>
      </c>
      <c r="B659" s="41"/>
      <c r="C659" s="41"/>
      <c r="D659" s="41"/>
      <c r="E659" s="41"/>
      <c r="F659" s="52"/>
      <c r="G659" s="59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2">
        <f t="shared" si="31"/>
        <v>0</v>
      </c>
      <c r="U659" s="41">
        <v>0</v>
      </c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</row>
    <row r="660" spans="1:49" hidden="1">
      <c r="A660" s="37">
        <f>MAX($A$1:$A659)+1</f>
        <v>658</v>
      </c>
      <c r="B660" s="41"/>
      <c r="C660" s="41"/>
      <c r="D660" s="41"/>
      <c r="E660" s="41"/>
      <c r="F660" s="52"/>
      <c r="G660" s="59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2">
        <f t="shared" si="31"/>
        <v>0</v>
      </c>
      <c r="U660" s="41">
        <v>0</v>
      </c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</row>
    <row r="661" spans="1:49" hidden="1">
      <c r="A661" s="37">
        <f>MAX($A$1:$A660)+1</f>
        <v>659</v>
      </c>
      <c r="B661" s="41"/>
      <c r="C661" s="41"/>
      <c r="D661" s="41"/>
      <c r="E661" s="41"/>
      <c r="F661" s="52"/>
      <c r="G661" s="59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2">
        <f t="shared" si="31"/>
        <v>0</v>
      </c>
      <c r="U661" s="41">
        <v>0</v>
      </c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</row>
    <row r="662" spans="1:49" hidden="1">
      <c r="A662" s="37">
        <f>MAX($A$1:$A661)+1</f>
        <v>660</v>
      </c>
      <c r="B662" s="41"/>
      <c r="C662" s="41"/>
      <c r="D662" s="41"/>
      <c r="E662" s="41"/>
      <c r="F662" s="52"/>
      <c r="G662" s="59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2">
        <f t="shared" si="31"/>
        <v>0</v>
      </c>
      <c r="U662" s="41">
        <v>0</v>
      </c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</row>
    <row r="663" spans="1:49" hidden="1">
      <c r="A663" s="37">
        <f>MAX($A$1:$A662)+1</f>
        <v>661</v>
      </c>
      <c r="B663" s="41"/>
      <c r="C663" s="41"/>
      <c r="D663" s="41"/>
      <c r="E663" s="41"/>
      <c r="F663" s="52"/>
      <c r="G663" s="59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2">
        <f t="shared" si="31"/>
        <v>0</v>
      </c>
      <c r="U663" s="41">
        <v>0</v>
      </c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</row>
    <row r="664" spans="1:49" hidden="1">
      <c r="A664" s="37">
        <f>MAX($A$1:$A663)+1</f>
        <v>662</v>
      </c>
      <c r="B664" s="41"/>
      <c r="C664" s="41"/>
      <c r="D664" s="41"/>
      <c r="E664" s="41"/>
      <c r="F664" s="52"/>
      <c r="G664" s="59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2">
        <f t="shared" si="31"/>
        <v>0</v>
      </c>
      <c r="U664" s="41">
        <v>0</v>
      </c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</row>
    <row r="665" spans="1:49" hidden="1">
      <c r="A665" s="37">
        <f>MAX($A$1:$A664)+1</f>
        <v>663</v>
      </c>
      <c r="B665" s="41"/>
      <c r="C665" s="41"/>
      <c r="D665" s="41"/>
      <c r="E665" s="41"/>
      <c r="F665" s="52"/>
      <c r="G665" s="59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2">
        <f t="shared" si="31"/>
        <v>0</v>
      </c>
      <c r="U665" s="41">
        <v>0</v>
      </c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</row>
    <row r="666" spans="1:49" hidden="1">
      <c r="A666" s="37">
        <f>MAX($A$1:$A665)+1</f>
        <v>664</v>
      </c>
      <c r="B666" s="41"/>
      <c r="C666" s="41"/>
      <c r="D666" s="41"/>
      <c r="E666" s="41"/>
      <c r="F666" s="52"/>
      <c r="G666" s="59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2">
        <f t="shared" si="31"/>
        <v>0</v>
      </c>
      <c r="U666" s="41">
        <v>0</v>
      </c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</row>
    <row r="667" spans="1:49" hidden="1">
      <c r="A667" s="37">
        <f>MAX($A$1:$A666)+1</f>
        <v>665</v>
      </c>
      <c r="B667" s="41"/>
      <c r="C667" s="41"/>
      <c r="D667" s="41"/>
      <c r="E667" s="41"/>
      <c r="F667" s="52"/>
      <c r="G667" s="59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2">
        <f t="shared" si="31"/>
        <v>0</v>
      </c>
      <c r="U667" s="41">
        <v>0</v>
      </c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</row>
    <row r="668" spans="1:49" hidden="1">
      <c r="A668" s="37">
        <f>MAX($A$1:$A667)+1</f>
        <v>666</v>
      </c>
      <c r="B668" s="41"/>
      <c r="C668" s="41"/>
      <c r="D668" s="41"/>
      <c r="E668" s="41"/>
      <c r="F668" s="52"/>
      <c r="G668" s="59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2">
        <f t="shared" si="31"/>
        <v>0</v>
      </c>
      <c r="U668" s="41">
        <v>0</v>
      </c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</row>
    <row r="669" spans="1:49" hidden="1">
      <c r="A669" s="37">
        <f>MAX($A$1:$A668)+1</f>
        <v>667</v>
      </c>
      <c r="B669" s="41"/>
      <c r="C669" s="41"/>
      <c r="D669" s="41"/>
      <c r="E669" s="41"/>
      <c r="F669" s="52"/>
      <c r="G669" s="59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2">
        <f t="shared" si="31"/>
        <v>0</v>
      </c>
      <c r="U669" s="41">
        <v>0</v>
      </c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</row>
    <row r="670" spans="1:49" hidden="1">
      <c r="A670" s="37">
        <f>MAX($A$1:$A669)+1</f>
        <v>668</v>
      </c>
      <c r="B670" s="41"/>
      <c r="C670" s="41"/>
      <c r="D670" s="41"/>
      <c r="E670" s="41"/>
      <c r="F670" s="52"/>
      <c r="G670" s="59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2">
        <f t="shared" si="31"/>
        <v>0</v>
      </c>
      <c r="U670" s="41">
        <v>0</v>
      </c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</row>
    <row r="671" spans="1:49" hidden="1">
      <c r="A671" s="37">
        <f>MAX($A$1:$A670)+1</f>
        <v>669</v>
      </c>
      <c r="B671" s="41"/>
      <c r="C671" s="41"/>
      <c r="D671" s="41"/>
      <c r="E671" s="41"/>
      <c r="F671" s="52"/>
      <c r="G671" s="59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2">
        <f t="shared" si="31"/>
        <v>0</v>
      </c>
      <c r="U671" s="41">
        <v>0</v>
      </c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</row>
    <row r="672" spans="1:49" hidden="1">
      <c r="A672" s="37">
        <f>MAX($A$1:$A671)+1</f>
        <v>670</v>
      </c>
      <c r="B672" s="41"/>
      <c r="C672" s="41"/>
      <c r="D672" s="41"/>
      <c r="E672" s="41"/>
      <c r="F672" s="52"/>
      <c r="G672" s="59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2">
        <f t="shared" si="31"/>
        <v>0</v>
      </c>
      <c r="U672" s="41">
        <v>0</v>
      </c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</row>
    <row r="673" spans="1:49" hidden="1">
      <c r="A673" s="37">
        <f>MAX($A$1:$A672)+1</f>
        <v>671</v>
      </c>
      <c r="B673" s="41"/>
      <c r="C673" s="41"/>
      <c r="D673" s="41"/>
      <c r="E673" s="41"/>
      <c r="F673" s="52"/>
      <c r="G673" s="59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2">
        <f t="shared" si="31"/>
        <v>0</v>
      </c>
      <c r="U673" s="41">
        <v>0</v>
      </c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</row>
    <row r="674" spans="1:49" hidden="1">
      <c r="A674" s="37">
        <f>MAX($A$1:$A673)+1</f>
        <v>672</v>
      </c>
      <c r="B674" s="41"/>
      <c r="C674" s="41"/>
      <c r="D674" s="41"/>
      <c r="E674" s="41"/>
      <c r="F674" s="52"/>
      <c r="G674" s="59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2">
        <f t="shared" si="31"/>
        <v>0</v>
      </c>
      <c r="U674" s="41">
        <v>0</v>
      </c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</row>
    <row r="675" spans="1:49" hidden="1">
      <c r="A675" s="37">
        <f>MAX($A$1:$A674)+1</f>
        <v>673</v>
      </c>
      <c r="B675" s="41"/>
      <c r="C675" s="41"/>
      <c r="D675" s="41"/>
      <c r="E675" s="41"/>
      <c r="F675" s="56"/>
      <c r="G675" s="53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2">
        <f t="shared" si="31"/>
        <v>0</v>
      </c>
      <c r="U675" s="41">
        <v>0</v>
      </c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</row>
    <row r="676" spans="1:49" hidden="1">
      <c r="A676" s="37">
        <f>MAX($A$1:$A675)+1</f>
        <v>674</v>
      </c>
      <c r="B676" s="41"/>
      <c r="C676" s="41"/>
      <c r="D676" s="41"/>
      <c r="E676" s="41"/>
      <c r="F676" s="56"/>
      <c r="G676" s="53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2">
        <f t="shared" si="31"/>
        <v>0</v>
      </c>
      <c r="U676" s="41">
        <v>0</v>
      </c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</row>
    <row r="677" spans="1:49" hidden="1">
      <c r="A677" s="37">
        <f>MAX($A$1:$A676)+1</f>
        <v>675</v>
      </c>
      <c r="B677" s="41"/>
      <c r="C677" s="41"/>
      <c r="D677" s="41"/>
      <c r="E677" s="41"/>
      <c r="F677" s="56"/>
      <c r="G677" s="53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2">
        <f t="shared" si="31"/>
        <v>0</v>
      </c>
      <c r="U677" s="41">
        <v>0</v>
      </c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</row>
    <row r="678" spans="1:49" hidden="1">
      <c r="A678" s="37">
        <f>MAX($A$1:$A677)+1</f>
        <v>676</v>
      </c>
      <c r="B678" s="41"/>
      <c r="C678" s="41"/>
      <c r="D678" s="41"/>
      <c r="E678" s="41"/>
      <c r="F678" s="56"/>
      <c r="G678" s="53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2">
        <f t="shared" si="31"/>
        <v>0</v>
      </c>
      <c r="U678" s="41">
        <v>0</v>
      </c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</row>
  </sheetData>
  <autoFilter ref="D1:D678" xr:uid="{C7FECBA5-67FC-B14E-B5B2-6BDA643242D2}">
    <filterColumn colId="0">
      <filters>
        <filter val="BMSC1"/>
        <filter val="BMSC8"/>
      </filters>
    </filterColumn>
  </autoFilter>
  <phoneticPr fontId="10" type="noConversion"/>
  <dataValidations count="2">
    <dataValidation type="time" allowBlank="1" showInputMessage="1" showErrorMessage="1" sqref="K3:K24 K38:K46" xr:uid="{C926EAF1-27D6-EB4B-ABAD-67F57111683A}">
      <formula1>0.208333333333333</formula1>
      <formula2>0.999305555555556</formula2>
    </dataValidation>
    <dataValidation type="decimal" operator="greaterThan" allowBlank="1" showInputMessage="1" showErrorMessage="1" sqref="M14:M24 L3:L13 I3:I24 I38:I46 M38:M46" xr:uid="{92939095-E950-E443-B5CB-1280827BB384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Jasmin Schuster</dc:creator>
  <cp:keywords/>
  <dc:description/>
  <cp:lastModifiedBy>Dominique Maucieri</cp:lastModifiedBy>
  <cp:revision/>
  <dcterms:created xsi:type="dcterms:W3CDTF">2023-05-04T03:08:05Z</dcterms:created>
  <dcterms:modified xsi:type="dcterms:W3CDTF">2024-07-31T18:28:47Z</dcterms:modified>
  <cp:category/>
  <cp:contentStatus/>
</cp:coreProperties>
</file>