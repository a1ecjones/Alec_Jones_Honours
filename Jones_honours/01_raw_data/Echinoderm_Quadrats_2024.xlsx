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AD87E338-6AA9-AD4D-A65B-D14A0009A359}" xr6:coauthVersionLast="47" xr6:coauthVersionMax="47" xr10:uidLastSave="{00000000-0000-0000-0000-000000000000}"/>
  <bookViews>
    <workbookView xWindow="0" yWindow="500" windowWidth="28800" windowHeight="16360" activeTab="1" xr2:uid="{00000000-000D-0000-FFFF-FFFF00000000}"/>
  </bookViews>
  <sheets>
    <sheet name="SUMMARY" sheetId="1" r:id="rId1"/>
    <sheet name="DATA" sheetId="2" r:id="rId2"/>
    <sheet name="M1" sheetId="3" r:id="rId3"/>
    <sheet name="M2" sheetId="4" r:id="rId4"/>
    <sheet name="SITES" sheetId="5" r:id="rId5"/>
    <sheet name="NOTES" sheetId="6" r:id="rId6"/>
    <sheet name="CRYPTIC FAMILIES" sheetId="7" r:id="rId7"/>
    <sheet name="DIVERS" sheetId="8" r:id="rId8"/>
    <sheet name="Pivot data check" sheetId="9" r:id="rId9"/>
  </sheets>
  <definedNames>
    <definedName name="_xlnm._FilterDatabase" localSheetId="1" hidden="1">DATA!$N$1:$N$396</definedName>
    <definedName name="_xlnm._FilterDatabase" localSheetId="7" hidden="1">DIVERS!$A$1:$B$364</definedName>
    <definedName name="SpeciesList1">'M1'!#REF!</definedName>
    <definedName name="SpeciesList2">'M2'!#REF!</definedName>
  </definedNames>
  <calcPr calcId="191029"/>
  <pivotCaches>
    <pivotCache cacheId="91" r:id="rId10"/>
    <pivotCache cacheId="9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ODUAoDt/HywcB5SajvGIutIHsD4v6MRafFHIq4ZhfCM="/>
    </ext>
  </extLst>
</workbook>
</file>

<file path=xl/calcChain.xml><?xml version="1.0" encoding="utf-8"?>
<calcChain xmlns="http://schemas.openxmlformats.org/spreadsheetml/2006/main">
  <c r="S396" i="2" l="1"/>
  <c r="S395" i="2"/>
  <c r="S394" i="2"/>
  <c r="S393" i="2"/>
  <c r="S392" i="2"/>
  <c r="S391" i="2"/>
  <c r="S390" i="2"/>
  <c r="S389" i="2"/>
  <c r="S388" i="2"/>
  <c r="S387" i="2"/>
  <c r="S386" i="2"/>
  <c r="L386" i="2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K386" i="2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J386" i="2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I386" i="2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D386" i="2"/>
  <c r="G386" i="2" s="1"/>
  <c r="S385" i="2"/>
  <c r="G385" i="2"/>
  <c r="F385" i="2"/>
  <c r="E385" i="2"/>
  <c r="S384" i="2"/>
  <c r="S383" i="2"/>
  <c r="S382" i="2"/>
  <c r="S381" i="2"/>
  <c r="S380" i="2"/>
  <c r="M380" i="2"/>
  <c r="R380" i="2" s="1"/>
  <c r="S379" i="2"/>
  <c r="Q379" i="2"/>
  <c r="M379" i="2"/>
  <c r="R379" i="2" s="1"/>
  <c r="S378" i="2"/>
  <c r="Q378" i="2"/>
  <c r="M378" i="2"/>
  <c r="R378" i="2" s="1"/>
  <c r="L378" i="2"/>
  <c r="L379" i="2" s="1"/>
  <c r="L380" i="2" s="1"/>
  <c r="L381" i="2" s="1"/>
  <c r="L382" i="2" s="1"/>
  <c r="L383" i="2" s="1"/>
  <c r="L384" i="2" s="1"/>
  <c r="K378" i="2"/>
  <c r="K379" i="2" s="1"/>
  <c r="K380" i="2" s="1"/>
  <c r="K381" i="2" s="1"/>
  <c r="K382" i="2" s="1"/>
  <c r="K383" i="2" s="1"/>
  <c r="K384" i="2" s="1"/>
  <c r="J378" i="2"/>
  <c r="J379" i="2" s="1"/>
  <c r="J380" i="2" s="1"/>
  <c r="J381" i="2" s="1"/>
  <c r="J382" i="2" s="1"/>
  <c r="J383" i="2" s="1"/>
  <c r="J384" i="2" s="1"/>
  <c r="I378" i="2"/>
  <c r="I379" i="2" s="1"/>
  <c r="I380" i="2" s="1"/>
  <c r="I381" i="2" s="1"/>
  <c r="I382" i="2" s="1"/>
  <c r="I383" i="2" s="1"/>
  <c r="I384" i="2" s="1"/>
  <c r="H378" i="2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F378" i="2"/>
  <c r="E378" i="2"/>
  <c r="D378" i="2"/>
  <c r="G378" i="2" s="1"/>
  <c r="C378" i="2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B378" i="2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S377" i="2"/>
  <c r="R377" i="2"/>
  <c r="Q377" i="2"/>
  <c r="G377" i="2"/>
  <c r="F377" i="2"/>
  <c r="E377" i="2"/>
  <c r="S376" i="2"/>
  <c r="S375" i="2"/>
  <c r="S374" i="2"/>
  <c r="S373" i="2"/>
  <c r="S372" i="2"/>
  <c r="S371" i="2"/>
  <c r="P371" i="2"/>
  <c r="S370" i="2"/>
  <c r="S369" i="2"/>
  <c r="P369" i="2"/>
  <c r="S368" i="2"/>
  <c r="S367" i="2"/>
  <c r="P367" i="2"/>
  <c r="S366" i="2"/>
  <c r="S365" i="2"/>
  <c r="K365" i="2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J365" i="2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S364" i="2"/>
  <c r="K364" i="2"/>
  <c r="J364" i="2"/>
  <c r="S363" i="2"/>
  <c r="P363" i="2"/>
  <c r="S362" i="2"/>
  <c r="S361" i="2"/>
  <c r="S360" i="2"/>
  <c r="S359" i="2"/>
  <c r="S358" i="2"/>
  <c r="S357" i="2"/>
  <c r="J357" i="2"/>
  <c r="J358" i="2" s="1"/>
  <c r="J359" i="2" s="1"/>
  <c r="J360" i="2" s="1"/>
  <c r="J361" i="2" s="1"/>
  <c r="J362" i="2" s="1"/>
  <c r="S356" i="2"/>
  <c r="S355" i="2"/>
  <c r="J355" i="2"/>
  <c r="J356" i="2" s="1"/>
  <c r="S354" i="2"/>
  <c r="D354" i="2"/>
  <c r="C354" i="2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S353" i="2"/>
  <c r="M353" i="2"/>
  <c r="J353" i="2"/>
  <c r="J354" i="2" s="1"/>
  <c r="G353" i="2"/>
  <c r="B353" i="2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S352" i="2"/>
  <c r="R352" i="2"/>
  <c r="Q352" i="2"/>
  <c r="K352" i="2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I352" i="2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H352" i="2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E352" i="2"/>
  <c r="C352" i="2"/>
  <c r="C353" i="2" s="1"/>
  <c r="S351" i="2"/>
  <c r="Q351" i="2"/>
  <c r="N351" i="2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M351" i="2"/>
  <c r="M352" i="2" s="1"/>
  <c r="L351" i="2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K351" i="2"/>
  <c r="J351" i="2"/>
  <c r="J352" i="2" s="1"/>
  <c r="I351" i="2"/>
  <c r="H351" i="2"/>
  <c r="G351" i="2"/>
  <c r="F351" i="2"/>
  <c r="E351" i="2"/>
  <c r="D351" i="2"/>
  <c r="D352" i="2" s="1"/>
  <c r="D353" i="2" s="1"/>
  <c r="C351" i="2"/>
  <c r="B351" i="2"/>
  <c r="B352" i="2" s="1"/>
  <c r="S350" i="2"/>
  <c r="R350" i="2"/>
  <c r="Q350" i="2"/>
  <c r="G350" i="2"/>
  <c r="F350" i="2"/>
  <c r="E350" i="2"/>
  <c r="S349" i="2"/>
  <c r="L349" i="2"/>
  <c r="D349" i="2"/>
  <c r="F349" i="2" s="1"/>
  <c r="S348" i="2"/>
  <c r="N348" i="2"/>
  <c r="N349" i="2" s="1"/>
  <c r="E348" i="2"/>
  <c r="S347" i="2"/>
  <c r="E347" i="2"/>
  <c r="S346" i="2"/>
  <c r="G346" i="2"/>
  <c r="E346" i="2"/>
  <c r="S345" i="2"/>
  <c r="E345" i="2"/>
  <c r="S344" i="2"/>
  <c r="G344" i="2"/>
  <c r="E344" i="2"/>
  <c r="S343" i="2"/>
  <c r="E343" i="2"/>
  <c r="S342" i="2"/>
  <c r="G342" i="2"/>
  <c r="F342" i="2"/>
  <c r="S341" i="2"/>
  <c r="G341" i="2"/>
  <c r="F341" i="2"/>
  <c r="E341" i="2"/>
  <c r="S340" i="2"/>
  <c r="G340" i="2"/>
  <c r="F340" i="2"/>
  <c r="E340" i="2"/>
  <c r="S339" i="2"/>
  <c r="E339" i="2"/>
  <c r="S338" i="2"/>
  <c r="K338" i="2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G338" i="2"/>
  <c r="F338" i="2"/>
  <c r="S337" i="2"/>
  <c r="Q337" i="2"/>
  <c r="M337" i="2"/>
  <c r="M338" i="2" s="1"/>
  <c r="L337" i="2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K337" i="2"/>
  <c r="J337" i="2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I337" i="2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G337" i="2"/>
  <c r="F337" i="2"/>
  <c r="E337" i="2"/>
  <c r="D337" i="2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G348" i="2" s="1"/>
  <c r="S336" i="2"/>
  <c r="R336" i="2"/>
  <c r="Q336" i="2"/>
  <c r="G336" i="2"/>
  <c r="F336" i="2"/>
  <c r="E336" i="2"/>
  <c r="S335" i="2"/>
  <c r="C335" i="2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S334" i="2"/>
  <c r="S333" i="2"/>
  <c r="K333" i="2"/>
  <c r="K334" i="2" s="1"/>
  <c r="K335" i="2" s="1"/>
  <c r="S332" i="2"/>
  <c r="N332" i="2"/>
  <c r="N333" i="2" s="1"/>
  <c r="N334" i="2" s="1"/>
  <c r="N335" i="2" s="1"/>
  <c r="S331" i="2"/>
  <c r="H331" i="2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S330" i="2"/>
  <c r="N330" i="2"/>
  <c r="N331" i="2" s="1"/>
  <c r="K330" i="2"/>
  <c r="K331" i="2" s="1"/>
  <c r="K332" i="2" s="1"/>
  <c r="J330" i="2"/>
  <c r="J331" i="2" s="1"/>
  <c r="J332" i="2" s="1"/>
  <c r="J333" i="2" s="1"/>
  <c r="J334" i="2" s="1"/>
  <c r="J335" i="2" s="1"/>
  <c r="S329" i="2"/>
  <c r="Q329" i="2"/>
  <c r="M329" i="2"/>
  <c r="R329" i="2" s="1"/>
  <c r="J329" i="2"/>
  <c r="I329" i="2"/>
  <c r="I330" i="2" s="1"/>
  <c r="I331" i="2" s="1"/>
  <c r="I332" i="2" s="1"/>
  <c r="I333" i="2" s="1"/>
  <c r="I334" i="2" s="1"/>
  <c r="I335" i="2" s="1"/>
  <c r="S328" i="2"/>
  <c r="R328" i="2"/>
  <c r="M328" i="2"/>
  <c r="Q328" i="2" s="1"/>
  <c r="L328" i="2"/>
  <c r="L329" i="2" s="1"/>
  <c r="L330" i="2" s="1"/>
  <c r="L331" i="2" s="1"/>
  <c r="L332" i="2" s="1"/>
  <c r="L333" i="2" s="1"/>
  <c r="L334" i="2" s="1"/>
  <c r="L335" i="2" s="1"/>
  <c r="K328" i="2"/>
  <c r="K329" i="2" s="1"/>
  <c r="J328" i="2"/>
  <c r="I328" i="2"/>
  <c r="H328" i="2"/>
  <c r="H329" i="2" s="1"/>
  <c r="H330" i="2" s="1"/>
  <c r="G328" i="2"/>
  <c r="F328" i="2"/>
  <c r="E328" i="2"/>
  <c r="D328" i="2"/>
  <c r="D329" i="2" s="1"/>
  <c r="C328" i="2"/>
  <c r="C329" i="2" s="1"/>
  <c r="C330" i="2" s="1"/>
  <c r="C331" i="2" s="1"/>
  <c r="C332" i="2" s="1"/>
  <c r="C333" i="2" s="1"/>
  <c r="C334" i="2" s="1"/>
  <c r="S327" i="2"/>
  <c r="R327" i="2"/>
  <c r="Q327" i="2"/>
  <c r="G327" i="2"/>
  <c r="F327" i="2"/>
  <c r="E327" i="2"/>
  <c r="S326" i="2"/>
  <c r="S325" i="2"/>
  <c r="S324" i="2"/>
  <c r="S323" i="2"/>
  <c r="Q323" i="2"/>
  <c r="M323" i="2"/>
  <c r="S322" i="2"/>
  <c r="S321" i="2"/>
  <c r="Q321" i="2"/>
  <c r="S320" i="2"/>
  <c r="R320" i="2"/>
  <c r="Q320" i="2"/>
  <c r="J320" i="2"/>
  <c r="J321" i="2" s="1"/>
  <c r="J322" i="2" s="1"/>
  <c r="J323" i="2" s="1"/>
  <c r="J324" i="2" s="1"/>
  <c r="J325" i="2" s="1"/>
  <c r="J326" i="2" s="1"/>
  <c r="S319" i="2"/>
  <c r="R319" i="2"/>
  <c r="K319" i="2"/>
  <c r="K320" i="2" s="1"/>
  <c r="K321" i="2" s="1"/>
  <c r="K322" i="2" s="1"/>
  <c r="K323" i="2" s="1"/>
  <c r="K324" i="2" s="1"/>
  <c r="K325" i="2" s="1"/>
  <c r="K326" i="2" s="1"/>
  <c r="J319" i="2"/>
  <c r="F319" i="2"/>
  <c r="B319" i="2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S318" i="2"/>
  <c r="R318" i="2"/>
  <c r="Q318" i="2"/>
  <c r="M318" i="2"/>
  <c r="M319" i="2" s="1"/>
  <c r="M320" i="2" s="1"/>
  <c r="M321" i="2" s="1"/>
  <c r="M322" i="2" s="1"/>
  <c r="Q322" i="2" s="1"/>
  <c r="L318" i="2"/>
  <c r="L319" i="2" s="1"/>
  <c r="L320" i="2" s="1"/>
  <c r="L321" i="2" s="1"/>
  <c r="L322" i="2" s="1"/>
  <c r="L323" i="2" s="1"/>
  <c r="L324" i="2" s="1"/>
  <c r="L325" i="2" s="1"/>
  <c r="L326" i="2" s="1"/>
  <c r="K318" i="2"/>
  <c r="J318" i="2"/>
  <c r="I318" i="2"/>
  <c r="I319" i="2" s="1"/>
  <c r="I320" i="2" s="1"/>
  <c r="I321" i="2" s="1"/>
  <c r="I322" i="2" s="1"/>
  <c r="I323" i="2" s="1"/>
  <c r="I324" i="2" s="1"/>
  <c r="I325" i="2" s="1"/>
  <c r="I326" i="2" s="1"/>
  <c r="H318" i="2"/>
  <c r="H319" i="2" s="1"/>
  <c r="H320" i="2" s="1"/>
  <c r="H321" i="2" s="1"/>
  <c r="H322" i="2" s="1"/>
  <c r="H323" i="2" s="1"/>
  <c r="H324" i="2" s="1"/>
  <c r="H325" i="2" s="1"/>
  <c r="H326" i="2" s="1"/>
  <c r="G318" i="2"/>
  <c r="F318" i="2"/>
  <c r="E318" i="2"/>
  <c r="D318" i="2"/>
  <c r="D319" i="2" s="1"/>
  <c r="C318" i="2"/>
  <c r="C319" i="2" s="1"/>
  <c r="C320" i="2" s="1"/>
  <c r="C321" i="2" s="1"/>
  <c r="C322" i="2" s="1"/>
  <c r="C323" i="2" s="1"/>
  <c r="C324" i="2" s="1"/>
  <c r="C325" i="2" s="1"/>
  <c r="C326" i="2" s="1"/>
  <c r="B318" i="2"/>
  <c r="S317" i="2"/>
  <c r="R317" i="2"/>
  <c r="Q317" i="2"/>
  <c r="G317" i="2"/>
  <c r="F317" i="2"/>
  <c r="E317" i="2"/>
  <c r="S316" i="2"/>
  <c r="C316" i="2"/>
  <c r="S315" i="2"/>
  <c r="H315" i="2"/>
  <c r="H316" i="2" s="1"/>
  <c r="C315" i="2"/>
  <c r="S314" i="2"/>
  <c r="M314" i="2"/>
  <c r="M315" i="2" s="1"/>
  <c r="Q315" i="2" s="1"/>
  <c r="L314" i="2"/>
  <c r="L315" i="2" s="1"/>
  <c r="L316" i="2" s="1"/>
  <c r="H314" i="2"/>
  <c r="S313" i="2"/>
  <c r="R313" i="2"/>
  <c r="N313" i="2"/>
  <c r="N314" i="2" s="1"/>
  <c r="N315" i="2" s="1"/>
  <c r="N316" i="2" s="1"/>
  <c r="M313" i="2"/>
  <c r="Q313" i="2" s="1"/>
  <c r="H313" i="2"/>
  <c r="E313" i="2"/>
  <c r="S312" i="2"/>
  <c r="Q312" i="2"/>
  <c r="N312" i="2"/>
  <c r="M312" i="2"/>
  <c r="R312" i="2" s="1"/>
  <c r="L312" i="2"/>
  <c r="L313" i="2" s="1"/>
  <c r="K312" i="2"/>
  <c r="K313" i="2" s="1"/>
  <c r="K314" i="2" s="1"/>
  <c r="K315" i="2" s="1"/>
  <c r="K316" i="2" s="1"/>
  <c r="J312" i="2"/>
  <c r="J313" i="2" s="1"/>
  <c r="J314" i="2" s="1"/>
  <c r="J315" i="2" s="1"/>
  <c r="J316" i="2" s="1"/>
  <c r="I312" i="2"/>
  <c r="I313" i="2" s="1"/>
  <c r="I314" i="2" s="1"/>
  <c r="I315" i="2" s="1"/>
  <c r="I316" i="2" s="1"/>
  <c r="H312" i="2"/>
  <c r="G312" i="2"/>
  <c r="F312" i="2"/>
  <c r="D312" i="2"/>
  <c r="D313" i="2" s="1"/>
  <c r="G313" i="2" s="1"/>
  <c r="C312" i="2"/>
  <c r="C313" i="2" s="1"/>
  <c r="C314" i="2" s="1"/>
  <c r="B312" i="2"/>
  <c r="B313" i="2" s="1"/>
  <c r="B314" i="2" s="1"/>
  <c r="B315" i="2" s="1"/>
  <c r="B316" i="2" s="1"/>
  <c r="S311" i="2"/>
  <c r="R311" i="2"/>
  <c r="Q311" i="2"/>
  <c r="G311" i="2"/>
  <c r="F311" i="2"/>
  <c r="E311" i="2"/>
  <c r="S310" i="2"/>
  <c r="S309" i="2"/>
  <c r="P309" i="2"/>
  <c r="S308" i="2"/>
  <c r="S307" i="2"/>
  <c r="S306" i="2"/>
  <c r="F306" i="2"/>
  <c r="D306" i="2"/>
  <c r="S305" i="2"/>
  <c r="L305" i="2"/>
  <c r="L306" i="2" s="1"/>
  <c r="L307" i="2" s="1"/>
  <c r="L308" i="2" s="1"/>
  <c r="L309" i="2" s="1"/>
  <c r="L310" i="2" s="1"/>
  <c r="J305" i="2"/>
  <c r="J306" i="2" s="1"/>
  <c r="J307" i="2" s="1"/>
  <c r="J308" i="2" s="1"/>
  <c r="J309" i="2" s="1"/>
  <c r="J310" i="2" s="1"/>
  <c r="G305" i="2"/>
  <c r="D305" i="2"/>
  <c r="F305" i="2" s="1"/>
  <c r="S304" i="2"/>
  <c r="N304" i="2"/>
  <c r="N305" i="2" s="1"/>
  <c r="N306" i="2" s="1"/>
  <c r="N307" i="2" s="1"/>
  <c r="N308" i="2" s="1"/>
  <c r="N309" i="2" s="1"/>
  <c r="N310" i="2" s="1"/>
  <c r="M304" i="2"/>
  <c r="Q304" i="2" s="1"/>
  <c r="L304" i="2"/>
  <c r="K304" i="2"/>
  <c r="K305" i="2" s="1"/>
  <c r="K306" i="2" s="1"/>
  <c r="K307" i="2" s="1"/>
  <c r="K308" i="2" s="1"/>
  <c r="K309" i="2" s="1"/>
  <c r="K310" i="2" s="1"/>
  <c r="J304" i="2"/>
  <c r="I304" i="2"/>
  <c r="I305" i="2" s="1"/>
  <c r="I306" i="2" s="1"/>
  <c r="I307" i="2" s="1"/>
  <c r="I308" i="2" s="1"/>
  <c r="I309" i="2" s="1"/>
  <c r="I310" i="2" s="1"/>
  <c r="F304" i="2"/>
  <c r="E304" i="2"/>
  <c r="D304" i="2"/>
  <c r="G304" i="2" s="1"/>
  <c r="B304" i="2"/>
  <c r="B305" i="2" s="1"/>
  <c r="B306" i="2" s="1"/>
  <c r="B307" i="2" s="1"/>
  <c r="B308" i="2" s="1"/>
  <c r="B309" i="2" s="1"/>
  <c r="B310" i="2" s="1"/>
  <c r="S303" i="2"/>
  <c r="R303" i="2"/>
  <c r="Q303" i="2"/>
  <c r="G303" i="2"/>
  <c r="F303" i="2"/>
  <c r="E303" i="2"/>
  <c r="S302" i="2"/>
  <c r="S301" i="2"/>
  <c r="S300" i="2"/>
  <c r="S299" i="2"/>
  <c r="S298" i="2"/>
  <c r="N298" i="2"/>
  <c r="N299" i="2" s="1"/>
  <c r="N300" i="2" s="1"/>
  <c r="N301" i="2" s="1"/>
  <c r="N302" i="2" s="1"/>
  <c r="K298" i="2"/>
  <c r="K299" i="2" s="1"/>
  <c r="K300" i="2" s="1"/>
  <c r="K301" i="2" s="1"/>
  <c r="K302" i="2" s="1"/>
  <c r="C298" i="2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S297" i="2"/>
  <c r="N297" i="2"/>
  <c r="L297" i="2"/>
  <c r="L298" i="2" s="1"/>
  <c r="L299" i="2" s="1"/>
  <c r="L300" i="2" s="1"/>
  <c r="L301" i="2" s="1"/>
  <c r="L302" i="2" s="1"/>
  <c r="K297" i="2"/>
  <c r="I297" i="2"/>
  <c r="I298" i="2" s="1"/>
  <c r="I299" i="2" s="1"/>
  <c r="I300" i="2" s="1"/>
  <c r="I301" i="2" s="1"/>
  <c r="I302" i="2" s="1"/>
  <c r="D297" i="2"/>
  <c r="G297" i="2" s="1"/>
  <c r="C297" i="2"/>
  <c r="S296" i="2"/>
  <c r="N296" i="2"/>
  <c r="M296" i="2"/>
  <c r="R296" i="2" s="1"/>
  <c r="L296" i="2"/>
  <c r="K296" i="2"/>
  <c r="J296" i="2"/>
  <c r="J297" i="2" s="1"/>
  <c r="J298" i="2" s="1"/>
  <c r="J299" i="2" s="1"/>
  <c r="J300" i="2" s="1"/>
  <c r="J301" i="2" s="1"/>
  <c r="J302" i="2" s="1"/>
  <c r="I296" i="2"/>
  <c r="H296" i="2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E296" i="2"/>
  <c r="D296" i="2"/>
  <c r="G296" i="2" s="1"/>
  <c r="C296" i="2"/>
  <c r="B296" i="2"/>
  <c r="B297" i="2" s="1"/>
  <c r="B298" i="2" s="1"/>
  <c r="B299" i="2" s="1"/>
  <c r="B300" i="2" s="1"/>
  <c r="B301" i="2" s="1"/>
  <c r="B302" i="2" s="1"/>
  <c r="S295" i="2"/>
  <c r="R295" i="2"/>
  <c r="Q295" i="2"/>
  <c r="G295" i="2"/>
  <c r="F295" i="2"/>
  <c r="E295" i="2"/>
  <c r="S294" i="2"/>
  <c r="S293" i="2"/>
  <c r="S292" i="2"/>
  <c r="S291" i="2"/>
  <c r="S290" i="2"/>
  <c r="I290" i="2"/>
  <c r="I291" i="2" s="1"/>
  <c r="I292" i="2" s="1"/>
  <c r="I293" i="2" s="1"/>
  <c r="I294" i="2" s="1"/>
  <c r="C290" i="2"/>
  <c r="C291" i="2" s="1"/>
  <c r="C292" i="2" s="1"/>
  <c r="C293" i="2" s="1"/>
  <c r="C294" i="2" s="1"/>
  <c r="S289" i="2"/>
  <c r="S288" i="2"/>
  <c r="M288" i="2"/>
  <c r="K288" i="2"/>
  <c r="K289" i="2" s="1"/>
  <c r="K290" i="2" s="1"/>
  <c r="K291" i="2" s="1"/>
  <c r="K292" i="2" s="1"/>
  <c r="K293" i="2" s="1"/>
  <c r="K294" i="2" s="1"/>
  <c r="C288" i="2"/>
  <c r="C289" i="2" s="1"/>
  <c r="S287" i="2"/>
  <c r="Q287" i="2"/>
  <c r="N287" i="2"/>
  <c r="N288" i="2" s="1"/>
  <c r="N289" i="2" s="1"/>
  <c r="N290" i="2" s="1"/>
  <c r="N291" i="2" s="1"/>
  <c r="N292" i="2" s="1"/>
  <c r="N293" i="2" s="1"/>
  <c r="N294" i="2" s="1"/>
  <c r="L287" i="2"/>
  <c r="L288" i="2" s="1"/>
  <c r="L289" i="2" s="1"/>
  <c r="L290" i="2" s="1"/>
  <c r="L291" i="2" s="1"/>
  <c r="L292" i="2" s="1"/>
  <c r="L293" i="2" s="1"/>
  <c r="L294" i="2" s="1"/>
  <c r="K287" i="2"/>
  <c r="I287" i="2"/>
  <c r="I288" i="2" s="1"/>
  <c r="I289" i="2" s="1"/>
  <c r="F287" i="2"/>
  <c r="D287" i="2"/>
  <c r="G287" i="2" s="1"/>
  <c r="C287" i="2"/>
  <c r="S286" i="2"/>
  <c r="R286" i="2"/>
  <c r="Q286" i="2"/>
  <c r="N286" i="2"/>
  <c r="M286" i="2"/>
  <c r="M287" i="2" s="1"/>
  <c r="R287" i="2" s="1"/>
  <c r="L286" i="2"/>
  <c r="K286" i="2"/>
  <c r="J286" i="2"/>
  <c r="J287" i="2" s="1"/>
  <c r="J288" i="2" s="1"/>
  <c r="J289" i="2" s="1"/>
  <c r="J290" i="2" s="1"/>
  <c r="J291" i="2" s="1"/>
  <c r="J292" i="2" s="1"/>
  <c r="J293" i="2" s="1"/>
  <c r="J294" i="2" s="1"/>
  <c r="I286" i="2"/>
  <c r="H286" i="2"/>
  <c r="H287" i="2" s="1"/>
  <c r="H288" i="2" s="1"/>
  <c r="H289" i="2" s="1"/>
  <c r="H290" i="2" s="1"/>
  <c r="H291" i="2" s="1"/>
  <c r="H292" i="2" s="1"/>
  <c r="H293" i="2" s="1"/>
  <c r="H294" i="2" s="1"/>
  <c r="G286" i="2"/>
  <c r="E286" i="2"/>
  <c r="D286" i="2"/>
  <c r="F286" i="2" s="1"/>
  <c r="C286" i="2"/>
  <c r="B286" i="2"/>
  <c r="B287" i="2" s="1"/>
  <c r="B288" i="2" s="1"/>
  <c r="B289" i="2" s="1"/>
  <c r="B290" i="2" s="1"/>
  <c r="B291" i="2" s="1"/>
  <c r="B292" i="2" s="1"/>
  <c r="B293" i="2" s="1"/>
  <c r="B294" i="2" s="1"/>
  <c r="S285" i="2"/>
  <c r="R285" i="2"/>
  <c r="Q285" i="2"/>
  <c r="G285" i="2"/>
  <c r="F285" i="2"/>
  <c r="E285" i="2"/>
  <c r="S284" i="2"/>
  <c r="S283" i="2"/>
  <c r="S282" i="2"/>
  <c r="S281" i="2"/>
  <c r="S280" i="2"/>
  <c r="N280" i="2"/>
  <c r="S279" i="2"/>
  <c r="S278" i="2"/>
  <c r="S277" i="2"/>
  <c r="S276" i="2"/>
  <c r="S275" i="2"/>
  <c r="S274" i="2"/>
  <c r="S273" i="2"/>
  <c r="S272" i="2"/>
  <c r="M272" i="2"/>
  <c r="M273" i="2" s="1"/>
  <c r="L272" i="2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J272" i="2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D272" i="2"/>
  <c r="F272" i="2" s="1"/>
  <c r="B272" i="2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S271" i="2"/>
  <c r="R271" i="2"/>
  <c r="Q271" i="2"/>
  <c r="N271" i="2"/>
  <c r="M271" i="2"/>
  <c r="L271" i="2"/>
  <c r="K271" i="2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J271" i="2"/>
  <c r="I271" i="2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G271" i="2"/>
  <c r="F271" i="2"/>
  <c r="E271" i="2"/>
  <c r="D271" i="2"/>
  <c r="C271" i="2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B271" i="2"/>
  <c r="S270" i="2"/>
  <c r="R270" i="2"/>
  <c r="Q270" i="2"/>
  <c r="G270" i="2"/>
  <c r="F270" i="2"/>
  <c r="E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M257" i="2"/>
  <c r="Q257" i="2" s="1"/>
  <c r="L257" i="2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C257" i="2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B257" i="2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S256" i="2"/>
  <c r="M256" i="2"/>
  <c r="R256" i="2" s="1"/>
  <c r="L256" i="2"/>
  <c r="K256" i="2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I256" i="2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C256" i="2"/>
  <c r="S255" i="2"/>
  <c r="R255" i="2"/>
  <c r="Q255" i="2"/>
  <c r="N255" i="2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M255" i="2"/>
  <c r="L255" i="2"/>
  <c r="K255" i="2"/>
  <c r="J255" i="2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I255" i="2"/>
  <c r="H255" i="2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G255" i="2"/>
  <c r="F255" i="2"/>
  <c r="E255" i="2"/>
  <c r="D255" i="2"/>
  <c r="D256" i="2" s="1"/>
  <c r="C255" i="2"/>
  <c r="B255" i="2"/>
  <c r="B256" i="2" s="1"/>
  <c r="S254" i="2"/>
  <c r="R254" i="2"/>
  <c r="Q254" i="2"/>
  <c r="G254" i="2"/>
  <c r="F254" i="2"/>
  <c r="E254" i="2"/>
  <c r="S253" i="2"/>
  <c r="S252" i="2"/>
  <c r="S251" i="2"/>
  <c r="S250" i="2"/>
  <c r="K250" i="2"/>
  <c r="K251" i="2" s="1"/>
  <c r="K252" i="2" s="1"/>
  <c r="K253" i="2" s="1"/>
  <c r="S249" i="2"/>
  <c r="L249" i="2"/>
  <c r="L250" i="2" s="1"/>
  <c r="L251" i="2" s="1"/>
  <c r="L252" i="2" s="1"/>
  <c r="L253" i="2" s="1"/>
  <c r="K249" i="2"/>
  <c r="I249" i="2"/>
  <c r="I250" i="2" s="1"/>
  <c r="I251" i="2" s="1"/>
  <c r="I252" i="2" s="1"/>
  <c r="I253" i="2" s="1"/>
  <c r="F249" i="2"/>
  <c r="D249" i="2"/>
  <c r="S248" i="2"/>
  <c r="G248" i="2"/>
  <c r="F248" i="2"/>
  <c r="E248" i="2"/>
  <c r="S247" i="2"/>
  <c r="L247" i="2"/>
  <c r="S246" i="2"/>
  <c r="K246" i="2"/>
  <c r="K247" i="2" s="1"/>
  <c r="C246" i="2"/>
  <c r="C247" i="2" s="1"/>
  <c r="C248" i="2" s="1"/>
  <c r="C249" i="2" s="1"/>
  <c r="C250" i="2" s="1"/>
  <c r="C251" i="2" s="1"/>
  <c r="C252" i="2" s="1"/>
  <c r="C253" i="2" s="1"/>
  <c r="B246" i="2"/>
  <c r="B247" i="2" s="1"/>
  <c r="B248" i="2" s="1"/>
  <c r="B249" i="2" s="1"/>
  <c r="B250" i="2" s="1"/>
  <c r="B251" i="2" s="1"/>
  <c r="B252" i="2" s="1"/>
  <c r="B253" i="2" s="1"/>
  <c r="S245" i="2"/>
  <c r="N245" i="2"/>
  <c r="N246" i="2" s="1"/>
  <c r="N247" i="2" s="1"/>
  <c r="N248" i="2" s="1"/>
  <c r="N249" i="2" s="1"/>
  <c r="N250" i="2" s="1"/>
  <c r="N251" i="2" s="1"/>
  <c r="N252" i="2" s="1"/>
  <c r="N253" i="2" s="1"/>
  <c r="L245" i="2"/>
  <c r="L246" i="2" s="1"/>
  <c r="K245" i="2"/>
  <c r="J245" i="2"/>
  <c r="J246" i="2" s="1"/>
  <c r="J247" i="2" s="1"/>
  <c r="J248" i="2" s="1"/>
  <c r="J249" i="2" s="1"/>
  <c r="J250" i="2" s="1"/>
  <c r="J251" i="2" s="1"/>
  <c r="J252" i="2" s="1"/>
  <c r="J253" i="2" s="1"/>
  <c r="I245" i="2"/>
  <c r="I246" i="2" s="1"/>
  <c r="I247" i="2" s="1"/>
  <c r="C245" i="2"/>
  <c r="B245" i="2"/>
  <c r="S244" i="2"/>
  <c r="Q244" i="2"/>
  <c r="N244" i="2"/>
  <c r="M244" i="2"/>
  <c r="K244" i="2"/>
  <c r="J244" i="2"/>
  <c r="I244" i="2"/>
  <c r="F244" i="2"/>
  <c r="D244" i="2"/>
  <c r="C244" i="2"/>
  <c r="B244" i="2"/>
  <c r="S243" i="2"/>
  <c r="R243" i="2"/>
  <c r="Q243" i="2"/>
  <c r="G243" i="2"/>
  <c r="F243" i="2"/>
  <c r="E243" i="2"/>
  <c r="S242" i="2"/>
  <c r="K242" i="2"/>
  <c r="J242" i="2"/>
  <c r="I242" i="2"/>
  <c r="D242" i="2"/>
  <c r="S241" i="2"/>
  <c r="L241" i="2"/>
  <c r="L242" i="2" s="1"/>
  <c r="K241" i="2"/>
  <c r="J241" i="2"/>
  <c r="I241" i="2"/>
  <c r="F241" i="2"/>
  <c r="E241" i="2"/>
  <c r="D241" i="2"/>
  <c r="G241" i="2" s="1"/>
  <c r="C241" i="2"/>
  <c r="C242" i="2" s="1"/>
  <c r="S240" i="2"/>
  <c r="G240" i="2"/>
  <c r="F240" i="2"/>
  <c r="E240" i="2"/>
  <c r="S239" i="2"/>
  <c r="S238" i="2"/>
  <c r="N238" i="2"/>
  <c r="N239" i="2" s="1"/>
  <c r="N240" i="2" s="1"/>
  <c r="N241" i="2" s="1"/>
  <c r="N242" i="2" s="1"/>
  <c r="L238" i="2"/>
  <c r="L239" i="2" s="1"/>
  <c r="C238" i="2"/>
  <c r="C239" i="2" s="1"/>
  <c r="C240" i="2" s="1"/>
  <c r="B238" i="2"/>
  <c r="B239" i="2" s="1"/>
  <c r="B240" i="2" s="1"/>
  <c r="B241" i="2" s="1"/>
  <c r="B242" i="2" s="1"/>
  <c r="S237" i="2"/>
  <c r="N237" i="2"/>
  <c r="M237" i="2"/>
  <c r="L237" i="2"/>
  <c r="K237" i="2"/>
  <c r="K238" i="2" s="1"/>
  <c r="K239" i="2" s="1"/>
  <c r="J237" i="2"/>
  <c r="J238" i="2" s="1"/>
  <c r="J239" i="2" s="1"/>
  <c r="I237" i="2"/>
  <c r="I238" i="2" s="1"/>
  <c r="I239" i="2" s="1"/>
  <c r="D237" i="2"/>
  <c r="C237" i="2"/>
  <c r="B237" i="2"/>
  <c r="S236" i="2"/>
  <c r="R236" i="2"/>
  <c r="Q236" i="2"/>
  <c r="G236" i="2"/>
  <c r="F236" i="2"/>
  <c r="E236" i="2"/>
  <c r="S235" i="2"/>
  <c r="P235" i="2"/>
  <c r="L235" i="2"/>
  <c r="K235" i="2"/>
  <c r="I235" i="2"/>
  <c r="S234" i="2"/>
  <c r="L234" i="2"/>
  <c r="K234" i="2"/>
  <c r="J234" i="2"/>
  <c r="J235" i="2" s="1"/>
  <c r="I234" i="2"/>
  <c r="G234" i="2"/>
  <c r="F234" i="2"/>
  <c r="E234" i="2"/>
  <c r="D234" i="2"/>
  <c r="D235" i="2" s="1"/>
  <c r="E235" i="2" s="1"/>
  <c r="S233" i="2"/>
  <c r="G233" i="2"/>
  <c r="F233" i="2"/>
  <c r="E233" i="2"/>
  <c r="S232" i="2"/>
  <c r="K232" i="2"/>
  <c r="B232" i="2"/>
  <c r="B233" i="2" s="1"/>
  <c r="B234" i="2" s="1"/>
  <c r="B235" i="2" s="1"/>
  <c r="S231" i="2"/>
  <c r="P231" i="2"/>
  <c r="P232" i="2" s="1"/>
  <c r="P233" i="2" s="1"/>
  <c r="D231" i="2"/>
  <c r="G231" i="2" s="1"/>
  <c r="C231" i="2"/>
  <c r="C232" i="2" s="1"/>
  <c r="C233" i="2" s="1"/>
  <c r="C234" i="2" s="1"/>
  <c r="C235" i="2" s="1"/>
  <c r="S230" i="2"/>
  <c r="P230" i="2"/>
  <c r="K230" i="2"/>
  <c r="K231" i="2" s="1"/>
  <c r="J230" i="2"/>
  <c r="J231" i="2" s="1"/>
  <c r="J232" i="2" s="1"/>
  <c r="I230" i="2"/>
  <c r="I231" i="2" s="1"/>
  <c r="I232" i="2" s="1"/>
  <c r="G230" i="2"/>
  <c r="F230" i="2"/>
  <c r="E230" i="2"/>
  <c r="D230" i="2"/>
  <c r="C230" i="2"/>
  <c r="B230" i="2"/>
  <c r="B231" i="2" s="1"/>
  <c r="S229" i="2"/>
  <c r="N229" i="2"/>
  <c r="N230" i="2" s="1"/>
  <c r="N231" i="2" s="1"/>
  <c r="N232" i="2" s="1"/>
  <c r="N233" i="2" s="1"/>
  <c r="N234" i="2" s="1"/>
  <c r="N235" i="2" s="1"/>
  <c r="G229" i="2"/>
  <c r="F229" i="2"/>
  <c r="E229" i="2"/>
  <c r="S228" i="2"/>
  <c r="N228" i="2"/>
  <c r="S227" i="2"/>
  <c r="S226" i="2"/>
  <c r="S225" i="2"/>
  <c r="S224" i="2"/>
  <c r="N224" i="2"/>
  <c r="N225" i="2" s="1"/>
  <c r="S223" i="2"/>
  <c r="P223" i="2"/>
  <c r="P224" i="2" s="1"/>
  <c r="J223" i="2"/>
  <c r="J224" i="2" s="1"/>
  <c r="J225" i="2" s="1"/>
  <c r="J226" i="2" s="1"/>
  <c r="J227" i="2" s="1"/>
  <c r="J228" i="2" s="1"/>
  <c r="S222" i="2"/>
  <c r="N222" i="2"/>
  <c r="S221" i="2"/>
  <c r="L221" i="2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K221" i="2"/>
  <c r="K222" i="2" s="1"/>
  <c r="K223" i="2" s="1"/>
  <c r="K224" i="2" s="1"/>
  <c r="K225" i="2" s="1"/>
  <c r="K226" i="2" s="1"/>
  <c r="K227" i="2" s="1"/>
  <c r="K228" i="2" s="1"/>
  <c r="S220" i="2"/>
  <c r="L220" i="2"/>
  <c r="K220" i="2"/>
  <c r="J220" i="2"/>
  <c r="J221" i="2" s="1"/>
  <c r="J222" i="2" s="1"/>
  <c r="G220" i="2"/>
  <c r="D220" i="2"/>
  <c r="D221" i="2" s="1"/>
  <c r="S219" i="2"/>
  <c r="L219" i="2"/>
  <c r="K219" i="2"/>
  <c r="J219" i="2"/>
  <c r="G219" i="2"/>
  <c r="F219" i="2"/>
  <c r="E219" i="2"/>
  <c r="D219" i="2"/>
  <c r="S218" i="2"/>
  <c r="G218" i="2"/>
  <c r="F218" i="2"/>
  <c r="E218" i="2"/>
  <c r="S217" i="2"/>
  <c r="L217" i="2"/>
  <c r="G217" i="2"/>
  <c r="D217" i="2"/>
  <c r="F217" i="2" s="1"/>
  <c r="S216" i="2"/>
  <c r="L216" i="2"/>
  <c r="K216" i="2"/>
  <c r="K217" i="2" s="1"/>
  <c r="I216" i="2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H216" i="2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G216" i="2"/>
  <c r="F216" i="2"/>
  <c r="E216" i="2"/>
  <c r="D216" i="2"/>
  <c r="S215" i="2"/>
  <c r="G215" i="2"/>
  <c r="F215" i="2"/>
  <c r="E215" i="2"/>
  <c r="S214" i="2"/>
  <c r="N214" i="2"/>
  <c r="N215" i="2" s="1"/>
  <c r="N216" i="2" s="1"/>
  <c r="N217" i="2" s="1"/>
  <c r="N218" i="2" s="1"/>
  <c r="N219" i="2" s="1"/>
  <c r="H214" i="2"/>
  <c r="H215" i="2" s="1"/>
  <c r="C214" i="2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S213" i="2"/>
  <c r="P213" i="2"/>
  <c r="P214" i="2" s="1"/>
  <c r="P215" i="2" s="1"/>
  <c r="P216" i="2" s="1"/>
  <c r="P217" i="2" s="1"/>
  <c r="P218" i="2" s="1"/>
  <c r="N213" i="2"/>
  <c r="M213" i="2"/>
  <c r="Q213" i="2" s="1"/>
  <c r="L213" i="2"/>
  <c r="L214" i="2" s="1"/>
  <c r="K213" i="2"/>
  <c r="K214" i="2" s="1"/>
  <c r="J213" i="2"/>
  <c r="J214" i="2" s="1"/>
  <c r="J215" i="2" s="1"/>
  <c r="J216" i="2" s="1"/>
  <c r="J217" i="2" s="1"/>
  <c r="I213" i="2"/>
  <c r="I214" i="2" s="1"/>
  <c r="H213" i="2"/>
  <c r="E213" i="2"/>
  <c r="D213" i="2"/>
  <c r="C213" i="2"/>
  <c r="B213" i="2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S212" i="2"/>
  <c r="R212" i="2"/>
  <c r="Q212" i="2"/>
  <c r="G212" i="2"/>
  <c r="F212" i="2"/>
  <c r="E212" i="2"/>
  <c r="S211" i="2"/>
  <c r="S210" i="2"/>
  <c r="N210" i="2"/>
  <c r="N211" i="2" s="1"/>
  <c r="S209" i="2"/>
  <c r="N209" i="2"/>
  <c r="S208" i="2"/>
  <c r="N208" i="2"/>
  <c r="C208" i="2"/>
  <c r="C209" i="2" s="1"/>
  <c r="C210" i="2" s="1"/>
  <c r="C211" i="2" s="1"/>
  <c r="S207" i="2"/>
  <c r="N207" i="2"/>
  <c r="H207" i="2"/>
  <c r="H208" i="2" s="1"/>
  <c r="H209" i="2" s="1"/>
  <c r="H210" i="2" s="1"/>
  <c r="H211" i="2" s="1"/>
  <c r="D207" i="2"/>
  <c r="G207" i="2" s="1"/>
  <c r="C207" i="2"/>
  <c r="B207" i="2"/>
  <c r="B208" i="2" s="1"/>
  <c r="B209" i="2" s="1"/>
  <c r="B210" i="2" s="1"/>
  <c r="B211" i="2" s="1"/>
  <c r="S206" i="2"/>
  <c r="H206" i="2"/>
  <c r="G206" i="2"/>
  <c r="F206" i="2"/>
  <c r="E206" i="2"/>
  <c r="S205" i="2"/>
  <c r="S204" i="2"/>
  <c r="S203" i="2"/>
  <c r="L203" i="2"/>
  <c r="L204" i="2" s="1"/>
  <c r="L205" i="2" s="1"/>
  <c r="L206" i="2" s="1"/>
  <c r="L207" i="2" s="1"/>
  <c r="L208" i="2" s="1"/>
  <c r="L209" i="2" s="1"/>
  <c r="L210" i="2" s="1"/>
  <c r="L211" i="2" s="1"/>
  <c r="K203" i="2"/>
  <c r="K204" i="2" s="1"/>
  <c r="K205" i="2" s="1"/>
  <c r="K206" i="2" s="1"/>
  <c r="K207" i="2" s="1"/>
  <c r="K208" i="2" s="1"/>
  <c r="K209" i="2" s="1"/>
  <c r="K210" i="2" s="1"/>
  <c r="K211" i="2" s="1"/>
  <c r="H203" i="2"/>
  <c r="H204" i="2" s="1"/>
  <c r="H205" i="2" s="1"/>
  <c r="G203" i="2"/>
  <c r="D203" i="2"/>
  <c r="F203" i="2" s="1"/>
  <c r="C203" i="2"/>
  <c r="C204" i="2" s="1"/>
  <c r="C205" i="2" s="1"/>
  <c r="S202" i="2"/>
  <c r="R202" i="2"/>
  <c r="P202" i="2"/>
  <c r="N202" i="2"/>
  <c r="N203" i="2" s="1"/>
  <c r="N204" i="2" s="1"/>
  <c r="M202" i="2"/>
  <c r="Q202" i="2" s="1"/>
  <c r="L202" i="2"/>
  <c r="K202" i="2"/>
  <c r="J202" i="2"/>
  <c r="J203" i="2" s="1"/>
  <c r="J204" i="2" s="1"/>
  <c r="J205" i="2" s="1"/>
  <c r="J206" i="2" s="1"/>
  <c r="J207" i="2" s="1"/>
  <c r="J208" i="2" s="1"/>
  <c r="J209" i="2" s="1"/>
  <c r="J210" i="2" s="1"/>
  <c r="J211" i="2" s="1"/>
  <c r="I202" i="2"/>
  <c r="I203" i="2" s="1"/>
  <c r="I204" i="2" s="1"/>
  <c r="I205" i="2" s="1"/>
  <c r="I206" i="2" s="1"/>
  <c r="I207" i="2" s="1"/>
  <c r="I208" i="2" s="1"/>
  <c r="I209" i="2" s="1"/>
  <c r="I210" i="2" s="1"/>
  <c r="I211" i="2" s="1"/>
  <c r="H202" i="2"/>
  <c r="F202" i="2"/>
  <c r="E202" i="2"/>
  <c r="D202" i="2"/>
  <c r="G202" i="2" s="1"/>
  <c r="C202" i="2"/>
  <c r="B202" i="2"/>
  <c r="B203" i="2" s="1"/>
  <c r="B204" i="2" s="1"/>
  <c r="B205" i="2" s="1"/>
  <c r="S201" i="2"/>
  <c r="R201" i="2"/>
  <c r="Q201" i="2"/>
  <c r="G201" i="2"/>
  <c r="F201" i="2"/>
  <c r="E201" i="2"/>
  <c r="S200" i="2"/>
  <c r="P200" i="2"/>
  <c r="N200" i="2"/>
  <c r="S199" i="2"/>
  <c r="S198" i="2"/>
  <c r="S197" i="2"/>
  <c r="S196" i="2"/>
  <c r="N196" i="2"/>
  <c r="N197" i="2" s="1"/>
  <c r="N198" i="2" s="1"/>
  <c r="S195" i="2"/>
  <c r="S194" i="2"/>
  <c r="N194" i="2"/>
  <c r="J194" i="2"/>
  <c r="J195" i="2" s="1"/>
  <c r="J196" i="2" s="1"/>
  <c r="J197" i="2" s="1"/>
  <c r="J198" i="2" s="1"/>
  <c r="J199" i="2" s="1"/>
  <c r="J200" i="2" s="1"/>
  <c r="S193" i="2"/>
  <c r="N193" i="2"/>
  <c r="S192" i="2"/>
  <c r="S191" i="2"/>
  <c r="S190" i="2"/>
  <c r="N190" i="2"/>
  <c r="N191" i="2" s="1"/>
  <c r="S189" i="2"/>
  <c r="S188" i="2"/>
  <c r="N188" i="2"/>
  <c r="K188" i="2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S187" i="2"/>
  <c r="S186" i="2"/>
  <c r="K186" i="2"/>
  <c r="K187" i="2" s="1"/>
  <c r="J186" i="2"/>
  <c r="J187" i="2" s="1"/>
  <c r="J188" i="2" s="1"/>
  <c r="J189" i="2" s="1"/>
  <c r="J190" i="2" s="1"/>
  <c r="J191" i="2" s="1"/>
  <c r="J192" i="2" s="1"/>
  <c r="J193" i="2" s="1"/>
  <c r="S185" i="2"/>
  <c r="L185" i="2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K185" i="2"/>
  <c r="C185" i="2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S184" i="2"/>
  <c r="L184" i="2"/>
  <c r="D184" i="2"/>
  <c r="S183" i="2"/>
  <c r="N183" i="2"/>
  <c r="N184" i="2" s="1"/>
  <c r="N185" i="2" s="1"/>
  <c r="N186" i="2" s="1"/>
  <c r="L183" i="2"/>
  <c r="K183" i="2"/>
  <c r="K184" i="2" s="1"/>
  <c r="J183" i="2"/>
  <c r="J184" i="2" s="1"/>
  <c r="J185" i="2" s="1"/>
  <c r="I183" i="2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G183" i="2"/>
  <c r="F183" i="2"/>
  <c r="E183" i="2"/>
  <c r="D183" i="2"/>
  <c r="S182" i="2"/>
  <c r="G182" i="2"/>
  <c r="F182" i="2"/>
  <c r="E182" i="2"/>
  <c r="S181" i="2"/>
  <c r="P181" i="2"/>
  <c r="C181" i="2"/>
  <c r="C182" i="2" s="1"/>
  <c r="C183" i="2" s="1"/>
  <c r="C184" i="2" s="1"/>
  <c r="B181" i="2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S180" i="2"/>
  <c r="P180" i="2"/>
  <c r="I180" i="2"/>
  <c r="I181" i="2" s="1"/>
  <c r="C180" i="2"/>
  <c r="B180" i="2"/>
  <c r="S179" i="2"/>
  <c r="K179" i="2"/>
  <c r="K180" i="2" s="1"/>
  <c r="K181" i="2" s="1"/>
  <c r="S178" i="2"/>
  <c r="N178" i="2"/>
  <c r="N179" i="2" s="1"/>
  <c r="N180" i="2" s="1"/>
  <c r="N181" i="2" s="1"/>
  <c r="S177" i="2"/>
  <c r="I177" i="2"/>
  <c r="I178" i="2" s="1"/>
  <c r="I179" i="2" s="1"/>
  <c r="S176" i="2"/>
  <c r="P176" i="2"/>
  <c r="L176" i="2"/>
  <c r="L177" i="2" s="1"/>
  <c r="L178" i="2" s="1"/>
  <c r="L179" i="2" s="1"/>
  <c r="L180" i="2" s="1"/>
  <c r="L181" i="2" s="1"/>
  <c r="K176" i="2"/>
  <c r="K177" i="2" s="1"/>
  <c r="K178" i="2" s="1"/>
  <c r="J176" i="2"/>
  <c r="J177" i="2" s="1"/>
  <c r="J178" i="2" s="1"/>
  <c r="J179" i="2" s="1"/>
  <c r="J180" i="2" s="1"/>
  <c r="J181" i="2" s="1"/>
  <c r="C176" i="2"/>
  <c r="C177" i="2" s="1"/>
  <c r="C178" i="2" s="1"/>
  <c r="S175" i="2"/>
  <c r="P175" i="2"/>
  <c r="N175" i="2"/>
  <c r="N176" i="2" s="1"/>
  <c r="L175" i="2"/>
  <c r="K175" i="2"/>
  <c r="J175" i="2"/>
  <c r="I175" i="2"/>
  <c r="I176" i="2" s="1"/>
  <c r="F175" i="2"/>
  <c r="E175" i="2"/>
  <c r="D175" i="2"/>
  <c r="G175" i="2" s="1"/>
  <c r="C175" i="2"/>
  <c r="B175" i="2"/>
  <c r="B176" i="2" s="1"/>
  <c r="B177" i="2" s="1"/>
  <c r="B178" i="2" s="1"/>
  <c r="S174" i="2"/>
  <c r="G174" i="2"/>
  <c r="F174" i="2"/>
  <c r="E174" i="2"/>
  <c r="S173" i="2"/>
  <c r="N173" i="2"/>
  <c r="S172" i="2"/>
  <c r="N172" i="2"/>
  <c r="S171" i="2"/>
  <c r="S170" i="2"/>
  <c r="S169" i="2"/>
  <c r="N169" i="2"/>
  <c r="N170" i="2" s="1"/>
  <c r="S168" i="2"/>
  <c r="S167" i="2"/>
  <c r="N167" i="2"/>
  <c r="S166" i="2"/>
  <c r="S165" i="2"/>
  <c r="N165" i="2"/>
  <c r="S164" i="2"/>
  <c r="S163" i="2"/>
  <c r="S162" i="2"/>
  <c r="N162" i="2"/>
  <c r="N163" i="2" s="1"/>
  <c r="S161" i="2"/>
  <c r="H161" i="2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S160" i="2"/>
  <c r="I160" i="2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S159" i="2"/>
  <c r="N159" i="2"/>
  <c r="N160" i="2" s="1"/>
  <c r="S158" i="2"/>
  <c r="J158" i="2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S157" i="2"/>
  <c r="N157" i="2"/>
  <c r="K157" i="2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I157" i="2"/>
  <c r="I158" i="2" s="1"/>
  <c r="I159" i="2" s="1"/>
  <c r="C157" i="2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S156" i="2"/>
  <c r="N156" i="2"/>
  <c r="L156" i="2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K156" i="2"/>
  <c r="J156" i="2"/>
  <c r="J157" i="2" s="1"/>
  <c r="I156" i="2"/>
  <c r="H156" i="2"/>
  <c r="H157" i="2" s="1"/>
  <c r="H158" i="2" s="1"/>
  <c r="H159" i="2" s="1"/>
  <c r="H160" i="2" s="1"/>
  <c r="D156" i="2"/>
  <c r="C156" i="2"/>
  <c r="B156" i="2"/>
  <c r="B157" i="2" s="1"/>
  <c r="S155" i="2"/>
  <c r="R155" i="2"/>
  <c r="M155" i="2"/>
  <c r="Q155" i="2" s="1"/>
  <c r="G155" i="2"/>
  <c r="F155" i="2"/>
  <c r="E155" i="2"/>
  <c r="S154" i="2"/>
  <c r="R154" i="2"/>
  <c r="Q154" i="2"/>
  <c r="G154" i="2"/>
  <c r="F154" i="2"/>
  <c r="E154" i="2"/>
  <c r="S153" i="2"/>
  <c r="R153" i="2"/>
  <c r="Q153" i="2"/>
  <c r="G153" i="2"/>
  <c r="F153" i="2"/>
  <c r="E153" i="2"/>
  <c r="S152" i="2"/>
  <c r="N152" i="2"/>
  <c r="S151" i="2"/>
  <c r="S150" i="2"/>
  <c r="H150" i="2"/>
  <c r="H151" i="2" s="1"/>
  <c r="H152" i="2" s="1"/>
  <c r="S149" i="2"/>
  <c r="N149" i="2"/>
  <c r="N150" i="2" s="1"/>
  <c r="N151" i="2" s="1"/>
  <c r="I149" i="2"/>
  <c r="I150" i="2" s="1"/>
  <c r="I151" i="2" s="1"/>
  <c r="I152" i="2" s="1"/>
  <c r="S148" i="2"/>
  <c r="J148" i="2"/>
  <c r="J149" i="2" s="1"/>
  <c r="J150" i="2" s="1"/>
  <c r="J151" i="2" s="1"/>
  <c r="J152" i="2" s="1"/>
  <c r="S147" i="2"/>
  <c r="H147" i="2"/>
  <c r="H148" i="2" s="1"/>
  <c r="H149" i="2" s="1"/>
  <c r="S146" i="2"/>
  <c r="L146" i="2"/>
  <c r="L147" i="2" s="1"/>
  <c r="L148" i="2" s="1"/>
  <c r="L149" i="2" s="1"/>
  <c r="L150" i="2" s="1"/>
  <c r="L151" i="2" s="1"/>
  <c r="L152" i="2" s="1"/>
  <c r="I146" i="2"/>
  <c r="I147" i="2" s="1"/>
  <c r="I148" i="2" s="1"/>
  <c r="D146" i="2"/>
  <c r="S145" i="2"/>
  <c r="N145" i="2"/>
  <c r="N146" i="2" s="1"/>
  <c r="N147" i="2" s="1"/>
  <c r="N148" i="2" s="1"/>
  <c r="M145" i="2"/>
  <c r="L145" i="2"/>
  <c r="K145" i="2"/>
  <c r="K146" i="2" s="1"/>
  <c r="K147" i="2" s="1"/>
  <c r="K148" i="2" s="1"/>
  <c r="K149" i="2" s="1"/>
  <c r="K150" i="2" s="1"/>
  <c r="K151" i="2" s="1"/>
  <c r="K152" i="2" s="1"/>
  <c r="J145" i="2"/>
  <c r="J146" i="2" s="1"/>
  <c r="J147" i="2" s="1"/>
  <c r="I145" i="2"/>
  <c r="H145" i="2"/>
  <c r="H146" i="2" s="1"/>
  <c r="F145" i="2"/>
  <c r="E145" i="2"/>
  <c r="D145" i="2"/>
  <c r="G145" i="2" s="1"/>
  <c r="C145" i="2"/>
  <c r="C146" i="2" s="1"/>
  <c r="C147" i="2" s="1"/>
  <c r="C148" i="2" s="1"/>
  <c r="C149" i="2" s="1"/>
  <c r="C150" i="2" s="1"/>
  <c r="C151" i="2" s="1"/>
  <c r="C152" i="2" s="1"/>
  <c r="B145" i="2"/>
  <c r="B146" i="2" s="1"/>
  <c r="B147" i="2" s="1"/>
  <c r="B148" i="2" s="1"/>
  <c r="B149" i="2" s="1"/>
  <c r="B150" i="2" s="1"/>
  <c r="B151" i="2" s="1"/>
  <c r="B152" i="2" s="1"/>
  <c r="S144" i="2"/>
  <c r="R144" i="2"/>
  <c r="Q144" i="2"/>
  <c r="G144" i="2"/>
  <c r="F144" i="2"/>
  <c r="E144" i="2"/>
  <c r="S143" i="2"/>
  <c r="S142" i="2"/>
  <c r="S141" i="2"/>
  <c r="S140" i="2"/>
  <c r="S139" i="2"/>
  <c r="S138" i="2"/>
  <c r="K138" i="2"/>
  <c r="K139" i="2" s="1"/>
  <c r="K140" i="2" s="1"/>
  <c r="K141" i="2" s="1"/>
  <c r="K142" i="2" s="1"/>
  <c r="K143" i="2" s="1"/>
  <c r="S137" i="2"/>
  <c r="L137" i="2"/>
  <c r="L138" i="2" s="1"/>
  <c r="L139" i="2" s="1"/>
  <c r="L140" i="2" s="1"/>
  <c r="L141" i="2" s="1"/>
  <c r="L142" i="2" s="1"/>
  <c r="L143" i="2" s="1"/>
  <c r="K137" i="2"/>
  <c r="S136" i="2"/>
  <c r="I136" i="2"/>
  <c r="I137" i="2" s="1"/>
  <c r="I138" i="2" s="1"/>
  <c r="I139" i="2" s="1"/>
  <c r="I140" i="2" s="1"/>
  <c r="I141" i="2" s="1"/>
  <c r="I142" i="2" s="1"/>
  <c r="I143" i="2" s="1"/>
  <c r="S135" i="2"/>
  <c r="N135" i="2"/>
  <c r="N136" i="2" s="1"/>
  <c r="N137" i="2" s="1"/>
  <c r="N138" i="2" s="1"/>
  <c r="N139" i="2" s="1"/>
  <c r="N140" i="2" s="1"/>
  <c r="N141" i="2" s="1"/>
  <c r="N142" i="2" s="1"/>
  <c r="N143" i="2" s="1"/>
  <c r="K135" i="2"/>
  <c r="K136" i="2" s="1"/>
  <c r="B135" i="2"/>
  <c r="B136" i="2" s="1"/>
  <c r="B137" i="2" s="1"/>
  <c r="B138" i="2" s="1"/>
  <c r="B139" i="2" s="1"/>
  <c r="B140" i="2" s="1"/>
  <c r="B141" i="2" s="1"/>
  <c r="B142" i="2" s="1"/>
  <c r="B143" i="2" s="1"/>
  <c r="S134" i="2"/>
  <c r="N134" i="2"/>
  <c r="K134" i="2"/>
  <c r="I134" i="2"/>
  <c r="I135" i="2" s="1"/>
  <c r="F134" i="2"/>
  <c r="D134" i="2"/>
  <c r="S133" i="2"/>
  <c r="N133" i="2"/>
  <c r="M133" i="2"/>
  <c r="M134" i="2" s="1"/>
  <c r="R134" i="2" s="1"/>
  <c r="L133" i="2"/>
  <c r="L134" i="2" s="1"/>
  <c r="L135" i="2" s="1"/>
  <c r="L136" i="2" s="1"/>
  <c r="K133" i="2"/>
  <c r="J133" i="2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I133" i="2"/>
  <c r="D133" i="2"/>
  <c r="F133" i="2" s="1"/>
  <c r="S132" i="2"/>
  <c r="R132" i="2"/>
  <c r="Q132" i="2"/>
  <c r="G132" i="2"/>
  <c r="F132" i="2"/>
  <c r="E132" i="2"/>
  <c r="B132" i="2"/>
  <c r="B133" i="2" s="1"/>
  <c r="B134" i="2" s="1"/>
  <c r="S131" i="2"/>
  <c r="N131" i="2"/>
  <c r="H131" i="2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B131" i="2"/>
  <c r="S130" i="2"/>
  <c r="K130" i="2"/>
  <c r="K131" i="2" s="1"/>
  <c r="J130" i="2"/>
  <c r="J131" i="2" s="1"/>
  <c r="I130" i="2"/>
  <c r="I131" i="2" s="1"/>
  <c r="H130" i="2"/>
  <c r="G130" i="2"/>
  <c r="B130" i="2"/>
  <c r="S129" i="2"/>
  <c r="R129" i="2"/>
  <c r="M129" i="2"/>
  <c r="Q129" i="2" s="1"/>
  <c r="L129" i="2"/>
  <c r="L130" i="2" s="1"/>
  <c r="L131" i="2" s="1"/>
  <c r="K129" i="2"/>
  <c r="J129" i="2"/>
  <c r="I129" i="2"/>
  <c r="H129" i="2"/>
  <c r="G129" i="2"/>
  <c r="F129" i="2"/>
  <c r="E129" i="2"/>
  <c r="D129" i="2"/>
  <c r="D130" i="2" s="1"/>
  <c r="C129" i="2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B129" i="2"/>
  <c r="S128" i="2"/>
  <c r="R128" i="2"/>
  <c r="Q128" i="2"/>
  <c r="G128" i="2"/>
  <c r="F128" i="2"/>
  <c r="E128" i="2"/>
  <c r="S127" i="2"/>
  <c r="S126" i="2"/>
  <c r="S125" i="2"/>
  <c r="S124" i="2"/>
  <c r="P124" i="2"/>
  <c r="K124" i="2"/>
  <c r="K125" i="2" s="1"/>
  <c r="K126" i="2" s="1"/>
  <c r="K127" i="2" s="1"/>
  <c r="S123" i="2"/>
  <c r="K123" i="2"/>
  <c r="B123" i="2"/>
  <c r="B124" i="2" s="1"/>
  <c r="B125" i="2" s="1"/>
  <c r="B126" i="2" s="1"/>
  <c r="B127" i="2" s="1"/>
  <c r="S122" i="2"/>
  <c r="P122" i="2"/>
  <c r="N122" i="2"/>
  <c r="N123" i="2" s="1"/>
  <c r="N124" i="2" s="1"/>
  <c r="N125" i="2" s="1"/>
  <c r="N126" i="2" s="1"/>
  <c r="N127" i="2" s="1"/>
  <c r="L122" i="2"/>
  <c r="L123" i="2" s="1"/>
  <c r="L124" i="2" s="1"/>
  <c r="L125" i="2" s="1"/>
  <c r="L126" i="2" s="1"/>
  <c r="L127" i="2" s="1"/>
  <c r="S121" i="2"/>
  <c r="N121" i="2"/>
  <c r="L121" i="2"/>
  <c r="K121" i="2"/>
  <c r="K122" i="2" s="1"/>
  <c r="J121" i="2"/>
  <c r="J122" i="2" s="1"/>
  <c r="J123" i="2" s="1"/>
  <c r="J124" i="2" s="1"/>
  <c r="J125" i="2" s="1"/>
  <c r="J126" i="2" s="1"/>
  <c r="J127" i="2" s="1"/>
  <c r="I121" i="2"/>
  <c r="I122" i="2" s="1"/>
  <c r="I123" i="2" s="1"/>
  <c r="I124" i="2" s="1"/>
  <c r="I125" i="2" s="1"/>
  <c r="I126" i="2" s="1"/>
  <c r="I127" i="2" s="1"/>
  <c r="H121" i="2"/>
  <c r="H122" i="2" s="1"/>
  <c r="H123" i="2" s="1"/>
  <c r="H124" i="2" s="1"/>
  <c r="H125" i="2" s="1"/>
  <c r="H126" i="2" s="1"/>
  <c r="H127" i="2" s="1"/>
  <c r="G121" i="2"/>
  <c r="E121" i="2"/>
  <c r="D121" i="2"/>
  <c r="F121" i="2" s="1"/>
  <c r="C121" i="2"/>
  <c r="C122" i="2" s="1"/>
  <c r="C123" i="2" s="1"/>
  <c r="C124" i="2" s="1"/>
  <c r="C125" i="2" s="1"/>
  <c r="C126" i="2" s="1"/>
  <c r="C127" i="2" s="1"/>
  <c r="B121" i="2"/>
  <c r="B122" i="2" s="1"/>
  <c r="S120" i="2"/>
  <c r="G120" i="2"/>
  <c r="F120" i="2"/>
  <c r="E120" i="2"/>
  <c r="S119" i="2"/>
  <c r="K119" i="2"/>
  <c r="S118" i="2"/>
  <c r="S117" i="2"/>
  <c r="S116" i="2"/>
  <c r="K116" i="2"/>
  <c r="K117" i="2" s="1"/>
  <c r="K118" i="2" s="1"/>
  <c r="I116" i="2"/>
  <c r="I117" i="2" s="1"/>
  <c r="I118" i="2" s="1"/>
  <c r="I119" i="2" s="1"/>
  <c r="F116" i="2"/>
  <c r="S115" i="2"/>
  <c r="L115" i="2"/>
  <c r="L116" i="2" s="1"/>
  <c r="L117" i="2" s="1"/>
  <c r="L118" i="2" s="1"/>
  <c r="L119" i="2" s="1"/>
  <c r="K115" i="2"/>
  <c r="J115" i="2"/>
  <c r="J116" i="2" s="1"/>
  <c r="J117" i="2" s="1"/>
  <c r="J118" i="2" s="1"/>
  <c r="J119" i="2" s="1"/>
  <c r="I115" i="2"/>
  <c r="G115" i="2"/>
  <c r="F115" i="2"/>
  <c r="D115" i="2"/>
  <c r="D116" i="2" s="1"/>
  <c r="S114" i="2"/>
  <c r="G114" i="2"/>
  <c r="F114" i="2"/>
  <c r="E114" i="2"/>
  <c r="S113" i="2"/>
  <c r="K113" i="2"/>
  <c r="S112" i="2"/>
  <c r="S111" i="2"/>
  <c r="S110" i="2"/>
  <c r="S109" i="2"/>
  <c r="S108" i="2"/>
  <c r="L108" i="2"/>
  <c r="L109" i="2" s="1"/>
  <c r="L110" i="2" s="1"/>
  <c r="L111" i="2" s="1"/>
  <c r="L112" i="2" s="1"/>
  <c r="L113" i="2" s="1"/>
  <c r="H108" i="2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F108" i="2"/>
  <c r="D108" i="2"/>
  <c r="D109" i="2" s="1"/>
  <c r="G109" i="2" s="1"/>
  <c r="S107" i="2"/>
  <c r="L107" i="2"/>
  <c r="K107" i="2"/>
  <c r="K108" i="2" s="1"/>
  <c r="K109" i="2" s="1"/>
  <c r="K110" i="2" s="1"/>
  <c r="K111" i="2" s="1"/>
  <c r="K112" i="2" s="1"/>
  <c r="J107" i="2"/>
  <c r="J108" i="2" s="1"/>
  <c r="J109" i="2" s="1"/>
  <c r="J110" i="2" s="1"/>
  <c r="J111" i="2" s="1"/>
  <c r="J112" i="2" s="1"/>
  <c r="J113" i="2" s="1"/>
  <c r="I107" i="2"/>
  <c r="I108" i="2" s="1"/>
  <c r="I109" i="2" s="1"/>
  <c r="I110" i="2" s="1"/>
  <c r="I111" i="2" s="1"/>
  <c r="I112" i="2" s="1"/>
  <c r="I113" i="2" s="1"/>
  <c r="H107" i="2"/>
  <c r="G107" i="2"/>
  <c r="E107" i="2"/>
  <c r="D107" i="2"/>
  <c r="F107" i="2" s="1"/>
  <c r="S106" i="2"/>
  <c r="G106" i="2"/>
  <c r="F106" i="2"/>
  <c r="E106" i="2"/>
  <c r="S105" i="2"/>
  <c r="S104" i="2"/>
  <c r="P104" i="2"/>
  <c r="G104" i="2"/>
  <c r="S103" i="2"/>
  <c r="F103" i="2"/>
  <c r="D103" i="2"/>
  <c r="D104" i="2" s="1"/>
  <c r="S102" i="2"/>
  <c r="G102" i="2"/>
  <c r="E102" i="2"/>
  <c r="D102" i="2"/>
  <c r="F102" i="2" s="1"/>
  <c r="S101" i="2"/>
  <c r="G101" i="2"/>
  <c r="F101" i="2"/>
  <c r="E101" i="2"/>
  <c r="S100" i="2"/>
  <c r="K100" i="2"/>
  <c r="K101" i="2" s="1"/>
  <c r="K102" i="2" s="1"/>
  <c r="K103" i="2" s="1"/>
  <c r="K104" i="2" s="1"/>
  <c r="K105" i="2" s="1"/>
  <c r="J100" i="2"/>
  <c r="J101" i="2" s="1"/>
  <c r="J102" i="2" s="1"/>
  <c r="J103" i="2" s="1"/>
  <c r="J104" i="2" s="1"/>
  <c r="J105" i="2" s="1"/>
  <c r="C100" i="2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S99" i="2"/>
  <c r="L99" i="2"/>
  <c r="L100" i="2" s="1"/>
  <c r="L101" i="2" s="1"/>
  <c r="L102" i="2" s="1"/>
  <c r="L103" i="2" s="1"/>
  <c r="L104" i="2" s="1"/>
  <c r="L105" i="2" s="1"/>
  <c r="K99" i="2"/>
  <c r="J99" i="2"/>
  <c r="E99" i="2"/>
  <c r="D99" i="2"/>
  <c r="C99" i="2"/>
  <c r="B99" i="2"/>
  <c r="S98" i="2"/>
  <c r="P98" i="2"/>
  <c r="P99" i="2" s="1"/>
  <c r="L98" i="2"/>
  <c r="K98" i="2"/>
  <c r="J98" i="2"/>
  <c r="G98" i="2"/>
  <c r="F98" i="2"/>
  <c r="D98" i="2"/>
  <c r="E98" i="2" s="1"/>
  <c r="C98" i="2"/>
  <c r="B98" i="2"/>
  <c r="S97" i="2"/>
  <c r="G97" i="2"/>
  <c r="F97" i="2"/>
  <c r="E97" i="2"/>
  <c r="S96" i="2"/>
  <c r="S95" i="2"/>
  <c r="S94" i="2"/>
  <c r="S93" i="2"/>
  <c r="K93" i="2"/>
  <c r="K94" i="2" s="1"/>
  <c r="K95" i="2" s="1"/>
  <c r="K96" i="2" s="1"/>
  <c r="S92" i="2"/>
  <c r="N92" i="2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L92" i="2"/>
  <c r="L93" i="2" s="1"/>
  <c r="L94" i="2" s="1"/>
  <c r="L95" i="2" s="1"/>
  <c r="L96" i="2" s="1"/>
  <c r="D92" i="2"/>
  <c r="S91" i="2"/>
  <c r="G91" i="2"/>
  <c r="E91" i="2"/>
  <c r="S90" i="2"/>
  <c r="R90" i="2"/>
  <c r="N90" i="2"/>
  <c r="N91" i="2" s="1"/>
  <c r="L90" i="2"/>
  <c r="L91" i="2" s="1"/>
  <c r="I90" i="2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H90" i="2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F90" i="2"/>
  <c r="D90" i="2"/>
  <c r="D91" i="2" s="1"/>
  <c r="F91" i="2" s="1"/>
  <c r="S89" i="2"/>
  <c r="Q89" i="2"/>
  <c r="N89" i="2"/>
  <c r="M89" i="2"/>
  <c r="M90" i="2" s="1"/>
  <c r="Q90" i="2" s="1"/>
  <c r="L89" i="2"/>
  <c r="K89" i="2"/>
  <c r="K90" i="2" s="1"/>
  <c r="K91" i="2" s="1"/>
  <c r="K92" i="2" s="1"/>
  <c r="J89" i="2"/>
  <c r="J90" i="2" s="1"/>
  <c r="J91" i="2" s="1"/>
  <c r="J92" i="2" s="1"/>
  <c r="J93" i="2" s="1"/>
  <c r="J94" i="2" s="1"/>
  <c r="J95" i="2" s="1"/>
  <c r="J96" i="2" s="1"/>
  <c r="I89" i="2"/>
  <c r="H89" i="2"/>
  <c r="G89" i="2"/>
  <c r="E89" i="2"/>
  <c r="D89" i="2"/>
  <c r="F89" i="2" s="1"/>
  <c r="S88" i="2"/>
  <c r="R88" i="2"/>
  <c r="Q88" i="2"/>
  <c r="G88" i="2"/>
  <c r="F88" i="2"/>
  <c r="E88" i="2"/>
  <c r="S87" i="2"/>
  <c r="C87" i="2"/>
  <c r="C88" i="2" s="1"/>
  <c r="C89" i="2" s="1"/>
  <c r="C90" i="2" s="1"/>
  <c r="C91" i="2" s="1"/>
  <c r="C92" i="2" s="1"/>
  <c r="C93" i="2" s="1"/>
  <c r="C94" i="2" s="1"/>
  <c r="C95" i="2" s="1"/>
  <c r="C96" i="2" s="1"/>
  <c r="S86" i="2"/>
  <c r="S85" i="2"/>
  <c r="N85" i="2"/>
  <c r="N86" i="2" s="1"/>
  <c r="N87" i="2" s="1"/>
  <c r="C85" i="2"/>
  <c r="C86" i="2" s="1"/>
  <c r="S84" i="2"/>
  <c r="N84" i="2"/>
  <c r="B84" i="2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S83" i="2"/>
  <c r="P83" i="2"/>
  <c r="C83" i="2"/>
  <c r="C84" i="2" s="1"/>
  <c r="B83" i="2"/>
  <c r="S82" i="2"/>
  <c r="S81" i="2"/>
  <c r="S80" i="2"/>
  <c r="S79" i="2"/>
  <c r="S78" i="2"/>
  <c r="J78" i="2"/>
  <c r="J79" i="2" s="1"/>
  <c r="J80" i="2" s="1"/>
  <c r="J81" i="2" s="1"/>
  <c r="J82" i="2" s="1"/>
  <c r="J83" i="2" s="1"/>
  <c r="J84" i="2" s="1"/>
  <c r="J85" i="2" s="1"/>
  <c r="J86" i="2" s="1"/>
  <c r="J87" i="2" s="1"/>
  <c r="S77" i="2"/>
  <c r="L77" i="2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K77" i="2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D77" i="2"/>
  <c r="F77" i="2" s="1"/>
  <c r="C77" i="2"/>
  <c r="C78" i="2" s="1"/>
  <c r="C79" i="2" s="1"/>
  <c r="C80" i="2" s="1"/>
  <c r="C81" i="2" s="1"/>
  <c r="S76" i="2"/>
  <c r="P76" i="2"/>
  <c r="L76" i="2"/>
  <c r="K76" i="2"/>
  <c r="J76" i="2"/>
  <c r="J77" i="2" s="1"/>
  <c r="G76" i="2"/>
  <c r="F76" i="2"/>
  <c r="E76" i="2"/>
  <c r="D76" i="2"/>
  <c r="C76" i="2"/>
  <c r="B76" i="2"/>
  <c r="B77" i="2" s="1"/>
  <c r="B78" i="2" s="1"/>
  <c r="B79" i="2" s="1"/>
  <c r="B80" i="2" s="1"/>
  <c r="B81" i="2" s="1"/>
  <c r="S75" i="2"/>
  <c r="G75" i="2"/>
  <c r="F75" i="2"/>
  <c r="E75" i="2"/>
  <c r="S74" i="2"/>
  <c r="J74" i="2"/>
  <c r="S73" i="2"/>
  <c r="K73" i="2"/>
  <c r="K74" i="2" s="1"/>
  <c r="D73" i="2"/>
  <c r="S72" i="2"/>
  <c r="K72" i="2"/>
  <c r="I72" i="2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G72" i="2"/>
  <c r="E72" i="2"/>
  <c r="S71" i="2"/>
  <c r="L71" i="2"/>
  <c r="L72" i="2" s="1"/>
  <c r="L73" i="2" s="1"/>
  <c r="L74" i="2" s="1"/>
  <c r="K71" i="2"/>
  <c r="J71" i="2"/>
  <c r="J72" i="2" s="1"/>
  <c r="J73" i="2" s="1"/>
  <c r="I71" i="2"/>
  <c r="G71" i="2"/>
  <c r="E71" i="2"/>
  <c r="D71" i="2"/>
  <c r="D72" i="2" s="1"/>
  <c r="F72" i="2" s="1"/>
  <c r="S70" i="2"/>
  <c r="P70" i="2"/>
  <c r="P71" i="2" s="1"/>
  <c r="P72" i="2" s="1"/>
  <c r="P73" i="2" s="1"/>
  <c r="G70" i="2"/>
  <c r="F70" i="2"/>
  <c r="E70" i="2"/>
  <c r="S69" i="2"/>
  <c r="S68" i="2"/>
  <c r="S67" i="2"/>
  <c r="S66" i="2"/>
  <c r="S65" i="2"/>
  <c r="S64" i="2"/>
  <c r="S63" i="2"/>
  <c r="S62" i="2"/>
  <c r="S61" i="2"/>
  <c r="S60" i="2"/>
  <c r="S59" i="2"/>
  <c r="K59" i="2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I59" i="2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S58" i="2"/>
  <c r="L58" i="2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K58" i="2"/>
  <c r="J58" i="2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I58" i="2"/>
  <c r="D58" i="2"/>
  <c r="S57" i="2"/>
  <c r="P57" i="2"/>
  <c r="G57" i="2"/>
  <c r="F57" i="2"/>
  <c r="E57" i="2"/>
  <c r="S56" i="2"/>
  <c r="S55" i="2"/>
  <c r="S54" i="2"/>
  <c r="S53" i="2"/>
  <c r="S52" i="2"/>
  <c r="C52" i="2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S51" i="2"/>
  <c r="K51" i="2"/>
  <c r="K52" i="2" s="1"/>
  <c r="K53" i="2" s="1"/>
  <c r="K54" i="2" s="1"/>
  <c r="K55" i="2" s="1"/>
  <c r="K56" i="2" s="1"/>
  <c r="C51" i="2"/>
  <c r="S50" i="2"/>
  <c r="K50" i="2"/>
  <c r="C50" i="2"/>
  <c r="S49" i="2"/>
  <c r="P49" i="2"/>
  <c r="L49" i="2"/>
  <c r="L50" i="2" s="1"/>
  <c r="L51" i="2" s="1"/>
  <c r="L52" i="2" s="1"/>
  <c r="L53" i="2" s="1"/>
  <c r="L54" i="2" s="1"/>
  <c r="L55" i="2" s="1"/>
  <c r="L56" i="2" s="1"/>
  <c r="K49" i="2"/>
  <c r="J49" i="2"/>
  <c r="J50" i="2" s="1"/>
  <c r="J51" i="2" s="1"/>
  <c r="J52" i="2" s="1"/>
  <c r="J53" i="2" s="1"/>
  <c r="J54" i="2" s="1"/>
  <c r="J55" i="2" s="1"/>
  <c r="J56" i="2" s="1"/>
  <c r="C49" i="2"/>
  <c r="B49" i="2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S48" i="2"/>
  <c r="D48" i="2"/>
  <c r="G48" i="2" s="1"/>
  <c r="S47" i="2"/>
  <c r="L47" i="2"/>
  <c r="J47" i="2"/>
  <c r="G47" i="2"/>
  <c r="E47" i="2"/>
  <c r="D47" i="2"/>
  <c r="F47" i="2" s="1"/>
  <c r="S46" i="2"/>
  <c r="L46" i="2"/>
  <c r="K46" i="2"/>
  <c r="K47" i="2" s="1"/>
  <c r="J46" i="2"/>
  <c r="H46" i="2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G46" i="2"/>
  <c r="F46" i="2"/>
  <c r="E46" i="2"/>
  <c r="D46" i="2"/>
  <c r="S45" i="2"/>
  <c r="P45" i="2"/>
  <c r="P46" i="2" s="1"/>
  <c r="G45" i="2"/>
  <c r="F45" i="2"/>
  <c r="E45" i="2"/>
  <c r="S44" i="2"/>
  <c r="S43" i="2"/>
  <c r="S42" i="2"/>
  <c r="S41" i="2"/>
  <c r="L41" i="2"/>
  <c r="L42" i="2" s="1"/>
  <c r="L43" i="2" s="1"/>
  <c r="L44" i="2" s="1"/>
  <c r="K41" i="2"/>
  <c r="K42" i="2" s="1"/>
  <c r="K43" i="2" s="1"/>
  <c r="K44" i="2" s="1"/>
  <c r="J41" i="2"/>
  <c r="J42" i="2" s="1"/>
  <c r="J43" i="2" s="1"/>
  <c r="J44" i="2" s="1"/>
  <c r="G41" i="2"/>
  <c r="D41" i="2"/>
  <c r="F41" i="2" s="1"/>
  <c r="S40" i="2"/>
  <c r="G40" i="2"/>
  <c r="F40" i="2"/>
  <c r="E40" i="2"/>
  <c r="S39" i="2"/>
  <c r="S38" i="2"/>
  <c r="N38" i="2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J38" i="2"/>
  <c r="J39" i="2" s="1"/>
  <c r="I38" i="2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B38" i="2"/>
  <c r="B39" i="2" s="1"/>
  <c r="B40" i="2" s="1"/>
  <c r="B41" i="2" s="1"/>
  <c r="B42" i="2" s="1"/>
  <c r="B43" i="2" s="1"/>
  <c r="B44" i="2" s="1"/>
  <c r="B45" i="2" s="1"/>
  <c r="B46" i="2" s="1"/>
  <c r="B47" i="2" s="1"/>
  <c r="S37" i="2"/>
  <c r="Q37" i="2"/>
  <c r="P37" i="2"/>
  <c r="N37" i="2"/>
  <c r="M37" i="2"/>
  <c r="M38" i="2" s="1"/>
  <c r="L37" i="2"/>
  <c r="L38" i="2" s="1"/>
  <c r="L39" i="2" s="1"/>
  <c r="K37" i="2"/>
  <c r="K38" i="2" s="1"/>
  <c r="K39" i="2" s="1"/>
  <c r="J37" i="2"/>
  <c r="I37" i="2"/>
  <c r="D37" i="2"/>
  <c r="G37" i="2" s="1"/>
  <c r="C37" i="2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B37" i="2"/>
  <c r="S36" i="2"/>
  <c r="R36" i="2"/>
  <c r="Q36" i="2"/>
  <c r="G36" i="2"/>
  <c r="F36" i="2"/>
  <c r="E36" i="2"/>
  <c r="S35" i="2"/>
  <c r="N35" i="2"/>
  <c r="S34" i="2"/>
  <c r="S33" i="2"/>
  <c r="S32" i="2"/>
  <c r="S31" i="2"/>
  <c r="S30" i="2"/>
  <c r="S29" i="2"/>
  <c r="L29" i="2"/>
  <c r="L30" i="2" s="1"/>
  <c r="L31" i="2" s="1"/>
  <c r="L32" i="2" s="1"/>
  <c r="L33" i="2" s="1"/>
  <c r="L34" i="2" s="1"/>
  <c r="L35" i="2" s="1"/>
  <c r="K29" i="2"/>
  <c r="K30" i="2" s="1"/>
  <c r="K31" i="2" s="1"/>
  <c r="K32" i="2" s="1"/>
  <c r="K33" i="2" s="1"/>
  <c r="K34" i="2" s="1"/>
  <c r="K35" i="2" s="1"/>
  <c r="J29" i="2"/>
  <c r="J30" i="2" s="1"/>
  <c r="J31" i="2" s="1"/>
  <c r="J32" i="2" s="1"/>
  <c r="J33" i="2" s="1"/>
  <c r="J34" i="2" s="1"/>
  <c r="J35" i="2" s="1"/>
  <c r="F29" i="2"/>
  <c r="D29" i="2"/>
  <c r="D30" i="2" s="1"/>
  <c r="S28" i="2"/>
  <c r="G28" i="2"/>
  <c r="F28" i="2"/>
  <c r="E28" i="2"/>
  <c r="S27" i="2"/>
  <c r="S26" i="2"/>
  <c r="S25" i="2"/>
  <c r="S24" i="2"/>
  <c r="J24" i="2"/>
  <c r="J25" i="2" s="1"/>
  <c r="J26" i="2" s="1"/>
  <c r="J27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S23" i="2"/>
  <c r="K23" i="2"/>
  <c r="K24" i="2" s="1"/>
  <c r="K25" i="2" s="1"/>
  <c r="K26" i="2" s="1"/>
  <c r="K27" i="2" s="1"/>
  <c r="J23" i="2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C23" i="2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B23" i="2"/>
  <c r="S22" i="2"/>
  <c r="N22" i="2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M22" i="2"/>
  <c r="R22" i="2" s="1"/>
  <c r="L22" i="2"/>
  <c r="L23" i="2" s="1"/>
  <c r="L24" i="2" s="1"/>
  <c r="L25" i="2" s="1"/>
  <c r="L26" i="2" s="1"/>
  <c r="L27" i="2" s="1"/>
  <c r="K22" i="2"/>
  <c r="J22" i="2"/>
  <c r="I22" i="2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H22" i="2"/>
  <c r="D22" i="2"/>
  <c r="G22" i="2" s="1"/>
  <c r="C22" i="2"/>
  <c r="B22" i="2"/>
  <c r="S21" i="2"/>
  <c r="R21" i="2"/>
  <c r="Q21" i="2"/>
  <c r="G21" i="2"/>
  <c r="F21" i="2"/>
  <c r="E21" i="2"/>
  <c r="S20" i="2"/>
  <c r="S19" i="2"/>
  <c r="S18" i="2"/>
  <c r="S17" i="2"/>
  <c r="S16" i="2"/>
  <c r="P16" i="2"/>
  <c r="S15" i="2"/>
  <c r="K15" i="2"/>
  <c r="K16" i="2" s="1"/>
  <c r="K17" i="2" s="1"/>
  <c r="K18" i="2" s="1"/>
  <c r="K19" i="2" s="1"/>
  <c r="K20" i="2" s="1"/>
  <c r="S14" i="2"/>
  <c r="P14" i="2"/>
  <c r="L14" i="2"/>
  <c r="L15" i="2" s="1"/>
  <c r="L16" i="2" s="1"/>
  <c r="L17" i="2" s="1"/>
  <c r="L18" i="2" s="1"/>
  <c r="L19" i="2" s="1"/>
  <c r="L20" i="2" s="1"/>
  <c r="K14" i="2"/>
  <c r="I14" i="2"/>
  <c r="I15" i="2" s="1"/>
  <c r="I16" i="2" s="1"/>
  <c r="I17" i="2" s="1"/>
  <c r="I18" i="2" s="1"/>
  <c r="I19" i="2" s="1"/>
  <c r="I20" i="2" s="1"/>
  <c r="D14" i="2"/>
  <c r="G14" i="2" s="1"/>
  <c r="S13" i="2"/>
  <c r="L13" i="2"/>
  <c r="K13" i="2"/>
  <c r="J13" i="2"/>
  <c r="J14" i="2" s="1"/>
  <c r="J15" i="2" s="1"/>
  <c r="J16" i="2" s="1"/>
  <c r="J17" i="2" s="1"/>
  <c r="J18" i="2" s="1"/>
  <c r="J19" i="2" s="1"/>
  <c r="J20" i="2" s="1"/>
  <c r="I13" i="2"/>
  <c r="F13" i="2"/>
  <c r="E13" i="2"/>
  <c r="D13" i="2"/>
  <c r="G13" i="2" s="1"/>
  <c r="S12" i="2"/>
  <c r="G12" i="2"/>
  <c r="F12" i="2"/>
  <c r="E12" i="2"/>
  <c r="S11" i="2"/>
  <c r="S10" i="2"/>
  <c r="S9" i="2"/>
  <c r="S8" i="2"/>
  <c r="S2" i="2" s="1"/>
  <c r="S7" i="2"/>
  <c r="P7" i="2"/>
  <c r="S6" i="2"/>
  <c r="S5" i="2"/>
  <c r="M5" i="2"/>
  <c r="R5" i="2" s="1"/>
  <c r="K5" i="2"/>
  <c r="K6" i="2" s="1"/>
  <c r="K7" i="2" s="1"/>
  <c r="K8" i="2" s="1"/>
  <c r="K9" i="2" s="1"/>
  <c r="K10" i="2" s="1"/>
  <c r="K11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S4" i="2"/>
  <c r="R4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M4" i="2"/>
  <c r="Q4" i="2" s="1"/>
  <c r="L4" i="2"/>
  <c r="L5" i="2" s="1"/>
  <c r="L6" i="2" s="1"/>
  <c r="L7" i="2" s="1"/>
  <c r="L8" i="2" s="1"/>
  <c r="L9" i="2" s="1"/>
  <c r="L10" i="2" s="1"/>
  <c r="L11" i="2" s="1"/>
  <c r="K4" i="2"/>
  <c r="J4" i="2"/>
  <c r="J5" i="2" s="1"/>
  <c r="J6" i="2" s="1"/>
  <c r="J7" i="2" s="1"/>
  <c r="J8" i="2" s="1"/>
  <c r="J9" i="2" s="1"/>
  <c r="J10" i="2" s="1"/>
  <c r="J11" i="2" s="1"/>
  <c r="I4" i="2"/>
  <c r="I5" i="2" s="1"/>
  <c r="I6" i="2" s="1"/>
  <c r="I7" i="2" s="1"/>
  <c r="I8" i="2" s="1"/>
  <c r="I9" i="2" s="1"/>
  <c r="I10" i="2" s="1"/>
  <c r="I11" i="2" s="1"/>
  <c r="H4" i="2"/>
  <c r="F4" i="2"/>
  <c r="D4" i="2"/>
  <c r="D5" i="2" s="1"/>
  <c r="C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A4" i="2"/>
  <c r="S3" i="2"/>
  <c r="R3" i="2"/>
  <c r="Q3" i="2"/>
  <c r="G3" i="2"/>
  <c r="F3" i="2"/>
  <c r="E3" i="2"/>
  <c r="A3" i="2"/>
  <c r="T2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D31" i="2" l="1"/>
  <c r="G30" i="2"/>
  <c r="F30" i="2"/>
  <c r="E30" i="2"/>
  <c r="R38" i="2"/>
  <c r="Q38" i="2"/>
  <c r="M39" i="2"/>
  <c r="D6" i="2"/>
  <c r="G5" i="2"/>
  <c r="F5" i="2"/>
  <c r="E5" i="2"/>
  <c r="G4" i="2"/>
  <c r="M6" i="2"/>
  <c r="G29" i="2"/>
  <c r="R37" i="2"/>
  <c r="Q5" i="2"/>
  <c r="G99" i="2"/>
  <c r="D100" i="2"/>
  <c r="F99" i="2"/>
  <c r="D93" i="2"/>
  <c r="E92" i="2"/>
  <c r="A5" i="2"/>
  <c r="E14" i="2"/>
  <c r="E22" i="2"/>
  <c r="D23" i="2"/>
  <c r="D59" i="2"/>
  <c r="E58" i="2"/>
  <c r="G58" i="2"/>
  <c r="D74" i="2"/>
  <c r="F73" i="2"/>
  <c r="F92" i="2"/>
  <c r="A6" i="2"/>
  <c r="F14" i="2"/>
  <c r="D15" i="2"/>
  <c r="F22" i="2"/>
  <c r="M23" i="2"/>
  <c r="E37" i="2"/>
  <c r="E48" i="2"/>
  <c r="F58" i="2"/>
  <c r="E73" i="2"/>
  <c r="E77" i="2"/>
  <c r="G92" i="2"/>
  <c r="A7" i="2"/>
  <c r="Q22" i="2"/>
  <c r="F37" i="2"/>
  <c r="D38" i="2"/>
  <c r="E41" i="2"/>
  <c r="D42" i="2"/>
  <c r="F48" i="2"/>
  <c r="D49" i="2"/>
  <c r="G73" i="2"/>
  <c r="G77" i="2"/>
  <c r="D78" i="2"/>
  <c r="E4" i="2"/>
  <c r="E29" i="2"/>
  <c r="M91" i="2"/>
  <c r="D105" i="2"/>
  <c r="F104" i="2"/>
  <c r="E104" i="2"/>
  <c r="F109" i="2"/>
  <c r="D110" i="2"/>
  <c r="E109" i="2"/>
  <c r="G116" i="2"/>
  <c r="D117" i="2"/>
  <c r="E116" i="2"/>
  <c r="G146" i="2"/>
  <c r="F146" i="2"/>
  <c r="D147" i="2"/>
  <c r="E146" i="2"/>
  <c r="F71" i="2"/>
  <c r="R89" i="2"/>
  <c r="G90" i="2"/>
  <c r="G103" i="2"/>
  <c r="G108" i="2"/>
  <c r="E115" i="2"/>
  <c r="F130" i="2"/>
  <c r="E130" i="2"/>
  <c r="D131" i="2"/>
  <c r="Q134" i="2"/>
  <c r="M135" i="2"/>
  <c r="D135" i="2"/>
  <c r="E134" i="2"/>
  <c r="G134" i="2"/>
  <c r="R145" i="2"/>
  <c r="Q145" i="2"/>
  <c r="M146" i="2"/>
  <c r="D122" i="2"/>
  <c r="E133" i="2"/>
  <c r="G133" i="2"/>
  <c r="Q133" i="2"/>
  <c r="G156" i="2"/>
  <c r="F156" i="2"/>
  <c r="D157" i="2"/>
  <c r="E156" i="2"/>
  <c r="E90" i="2"/>
  <c r="E103" i="2"/>
  <c r="E108" i="2"/>
  <c r="R133" i="2"/>
  <c r="M156" i="2"/>
  <c r="D176" i="2"/>
  <c r="G184" i="2"/>
  <c r="F184" i="2"/>
  <c r="E184" i="2"/>
  <c r="D185" i="2"/>
  <c r="M130" i="2"/>
  <c r="E221" i="2"/>
  <c r="D222" i="2"/>
  <c r="G221" i="2"/>
  <c r="F221" i="2"/>
  <c r="R213" i="2"/>
  <c r="E207" i="2"/>
  <c r="D208" i="2"/>
  <c r="D232" i="2"/>
  <c r="F242" i="2"/>
  <c r="G242" i="2"/>
  <c r="E242" i="2"/>
  <c r="E256" i="2"/>
  <c r="D257" i="2"/>
  <c r="G256" i="2"/>
  <c r="F256" i="2"/>
  <c r="E203" i="2"/>
  <c r="M203" i="2"/>
  <c r="D204" i="2"/>
  <c r="F207" i="2"/>
  <c r="E217" i="2"/>
  <c r="E220" i="2"/>
  <c r="F220" i="2"/>
  <c r="F235" i="2"/>
  <c r="D214" i="2"/>
  <c r="F213" i="2"/>
  <c r="M214" i="2"/>
  <c r="G235" i="2"/>
  <c r="G213" i="2"/>
  <c r="E231" i="2"/>
  <c r="F237" i="2"/>
  <c r="G237" i="2"/>
  <c r="E237" i="2"/>
  <c r="D238" i="2"/>
  <c r="F231" i="2"/>
  <c r="G244" i="2"/>
  <c r="E244" i="2"/>
  <c r="D245" i="2"/>
  <c r="M274" i="2"/>
  <c r="Q273" i="2"/>
  <c r="R273" i="2"/>
  <c r="M258" i="2"/>
  <c r="G272" i="2"/>
  <c r="D273" i="2"/>
  <c r="R288" i="2"/>
  <c r="Q288" i="2"/>
  <c r="M289" i="2"/>
  <c r="R237" i="2"/>
  <c r="M238" i="2"/>
  <c r="R257" i="2"/>
  <c r="Q272" i="2"/>
  <c r="Q237" i="2"/>
  <c r="E272" i="2"/>
  <c r="R272" i="2"/>
  <c r="D288" i="2"/>
  <c r="E287" i="2"/>
  <c r="R244" i="2"/>
  <c r="M245" i="2"/>
  <c r="G249" i="2"/>
  <c r="D250" i="2"/>
  <c r="E249" i="2"/>
  <c r="Q256" i="2"/>
  <c r="R315" i="2"/>
  <c r="D330" i="2"/>
  <c r="G329" i="2"/>
  <c r="F329" i="2"/>
  <c r="F296" i="2"/>
  <c r="E297" i="2"/>
  <c r="M297" i="2"/>
  <c r="D298" i="2"/>
  <c r="R304" i="2"/>
  <c r="M316" i="2"/>
  <c r="Q319" i="2"/>
  <c r="Q296" i="2"/>
  <c r="F297" i="2"/>
  <c r="D307" i="2"/>
  <c r="E306" i="2"/>
  <c r="R323" i="2"/>
  <c r="M324" i="2"/>
  <c r="M305" i="2"/>
  <c r="G306" i="2"/>
  <c r="F313" i="2"/>
  <c r="Q314" i="2"/>
  <c r="R321" i="2"/>
  <c r="R322" i="2"/>
  <c r="E329" i="2"/>
  <c r="D314" i="2"/>
  <c r="R314" i="2"/>
  <c r="Q338" i="2"/>
  <c r="M339" i="2"/>
  <c r="R338" i="2"/>
  <c r="E305" i="2"/>
  <c r="E319" i="2"/>
  <c r="D320" i="2"/>
  <c r="G319" i="2"/>
  <c r="G349" i="2"/>
  <c r="R353" i="2"/>
  <c r="Q353" i="2"/>
  <c r="M330" i="2"/>
  <c r="R337" i="2"/>
  <c r="F344" i="2"/>
  <c r="F346" i="2"/>
  <c r="F348" i="2"/>
  <c r="F353" i="2"/>
  <c r="E353" i="2"/>
  <c r="F352" i="2"/>
  <c r="E312" i="2"/>
  <c r="G352" i="2"/>
  <c r="D355" i="2"/>
  <c r="G354" i="2"/>
  <c r="F354" i="2"/>
  <c r="E354" i="2"/>
  <c r="F339" i="2"/>
  <c r="F343" i="2"/>
  <c r="F345" i="2"/>
  <c r="F347" i="2"/>
  <c r="E349" i="2"/>
  <c r="R351" i="2"/>
  <c r="E338" i="2"/>
  <c r="G339" i="2"/>
  <c r="E342" i="2"/>
  <c r="G343" i="2"/>
  <c r="G345" i="2"/>
  <c r="G347" i="2"/>
  <c r="M354" i="2"/>
  <c r="Q380" i="2"/>
  <c r="M381" i="2"/>
  <c r="D379" i="2"/>
  <c r="D387" i="2"/>
  <c r="E386" i="2"/>
  <c r="F386" i="2"/>
  <c r="Q330" i="2" l="1"/>
  <c r="R330" i="2"/>
  <c r="M331" i="2"/>
  <c r="Q214" i="2"/>
  <c r="M215" i="2"/>
  <c r="R214" i="2"/>
  <c r="D205" i="2"/>
  <c r="E204" i="2"/>
  <c r="F204" i="2"/>
  <c r="G204" i="2"/>
  <c r="F222" i="2"/>
  <c r="E222" i="2"/>
  <c r="D223" i="2"/>
  <c r="G222" i="2"/>
  <c r="R156" i="2"/>
  <c r="Q156" i="2"/>
  <c r="M157" i="2"/>
  <c r="G93" i="2"/>
  <c r="D94" i="2"/>
  <c r="F93" i="2"/>
  <c r="E93" i="2"/>
  <c r="R6" i="2"/>
  <c r="Q6" i="2"/>
  <c r="M7" i="2"/>
  <c r="R339" i="2"/>
  <c r="Q339" i="2"/>
  <c r="M340" i="2"/>
  <c r="Q245" i="2"/>
  <c r="R245" i="2"/>
  <c r="M246" i="2"/>
  <c r="R258" i="2"/>
  <c r="M259" i="2"/>
  <c r="Q258" i="2"/>
  <c r="G238" i="2"/>
  <c r="D239" i="2"/>
  <c r="E238" i="2"/>
  <c r="F238" i="2"/>
  <c r="M204" i="2"/>
  <c r="R203" i="2"/>
  <c r="Q203" i="2"/>
  <c r="G78" i="2"/>
  <c r="F78" i="2"/>
  <c r="D79" i="2"/>
  <c r="E78" i="2"/>
  <c r="E49" i="2"/>
  <c r="F49" i="2"/>
  <c r="G49" i="2"/>
  <c r="D50" i="2"/>
  <c r="G100" i="2"/>
  <c r="F100" i="2"/>
  <c r="E100" i="2"/>
  <c r="M40" i="2"/>
  <c r="R39" i="2"/>
  <c r="Q39" i="2"/>
  <c r="G387" i="2"/>
  <c r="F387" i="2"/>
  <c r="E387" i="2"/>
  <c r="D388" i="2"/>
  <c r="Q238" i="2"/>
  <c r="M239" i="2"/>
  <c r="R238" i="2"/>
  <c r="G214" i="2"/>
  <c r="F214" i="2"/>
  <c r="E214" i="2"/>
  <c r="F232" i="2"/>
  <c r="G232" i="2"/>
  <c r="E232" i="2"/>
  <c r="Q130" i="2"/>
  <c r="M131" i="2"/>
  <c r="R130" i="2"/>
  <c r="G135" i="2"/>
  <c r="D136" i="2"/>
  <c r="F135" i="2"/>
  <c r="E135" i="2"/>
  <c r="G105" i="2"/>
  <c r="F105" i="2"/>
  <c r="E105" i="2"/>
  <c r="F15" i="2"/>
  <c r="D16" i="2"/>
  <c r="E15" i="2"/>
  <c r="G15" i="2"/>
  <c r="G379" i="2"/>
  <c r="D380" i="2"/>
  <c r="E379" i="2"/>
  <c r="F379" i="2"/>
  <c r="M306" i="2"/>
  <c r="R305" i="2"/>
  <c r="Q305" i="2"/>
  <c r="R316" i="2"/>
  <c r="Q316" i="2"/>
  <c r="F330" i="2"/>
  <c r="E330" i="2"/>
  <c r="G330" i="2"/>
  <c r="D331" i="2"/>
  <c r="F208" i="2"/>
  <c r="D209" i="2"/>
  <c r="E208" i="2"/>
  <c r="G208" i="2"/>
  <c r="F185" i="2"/>
  <c r="D186" i="2"/>
  <c r="E185" i="2"/>
  <c r="G185" i="2"/>
  <c r="R135" i="2"/>
  <c r="Q135" i="2"/>
  <c r="M136" i="2"/>
  <c r="G117" i="2"/>
  <c r="F117" i="2"/>
  <c r="E117" i="2"/>
  <c r="D118" i="2"/>
  <c r="M92" i="2"/>
  <c r="Q91" i="2"/>
  <c r="R91" i="2"/>
  <c r="D43" i="2"/>
  <c r="E42" i="2"/>
  <c r="G42" i="2"/>
  <c r="F42" i="2"/>
  <c r="G23" i="2"/>
  <c r="F23" i="2"/>
  <c r="D24" i="2"/>
  <c r="E23" i="2"/>
  <c r="R381" i="2"/>
  <c r="M382" i="2"/>
  <c r="Q381" i="2"/>
  <c r="F314" i="2"/>
  <c r="G314" i="2"/>
  <c r="E314" i="2"/>
  <c r="D315" i="2"/>
  <c r="Q324" i="2"/>
  <c r="R324" i="2"/>
  <c r="M325" i="2"/>
  <c r="G288" i="2"/>
  <c r="D289" i="2"/>
  <c r="F288" i="2"/>
  <c r="E288" i="2"/>
  <c r="R289" i="2"/>
  <c r="Q289" i="2"/>
  <c r="M290" i="2"/>
  <c r="Q274" i="2"/>
  <c r="M275" i="2"/>
  <c r="R274" i="2"/>
  <c r="F122" i="2"/>
  <c r="E122" i="2"/>
  <c r="D123" i="2"/>
  <c r="G122" i="2"/>
  <c r="F59" i="2"/>
  <c r="E59" i="2"/>
  <c r="D60" i="2"/>
  <c r="G59" i="2"/>
  <c r="E320" i="2"/>
  <c r="D321" i="2"/>
  <c r="G320" i="2"/>
  <c r="F320" i="2"/>
  <c r="G298" i="2"/>
  <c r="F298" i="2"/>
  <c r="E298" i="2"/>
  <c r="D299" i="2"/>
  <c r="G245" i="2"/>
  <c r="D246" i="2"/>
  <c r="E245" i="2"/>
  <c r="F245" i="2"/>
  <c r="G257" i="2"/>
  <c r="F257" i="2"/>
  <c r="E257" i="2"/>
  <c r="D258" i="2"/>
  <c r="R146" i="2"/>
  <c r="Q146" i="2"/>
  <c r="M147" i="2"/>
  <c r="F131" i="2"/>
  <c r="E131" i="2"/>
  <c r="G131" i="2"/>
  <c r="D39" i="2"/>
  <c r="E38" i="2"/>
  <c r="G38" i="2"/>
  <c r="F38" i="2"/>
  <c r="G6" i="2"/>
  <c r="F6" i="2"/>
  <c r="D7" i="2"/>
  <c r="E6" i="2"/>
  <c r="R354" i="2"/>
  <c r="M355" i="2"/>
  <c r="Q354" i="2"/>
  <c r="G355" i="2"/>
  <c r="D356" i="2"/>
  <c r="F355" i="2"/>
  <c r="E355" i="2"/>
  <c r="R297" i="2"/>
  <c r="Q297" i="2"/>
  <c r="M298" i="2"/>
  <c r="G157" i="2"/>
  <c r="F157" i="2"/>
  <c r="D158" i="2"/>
  <c r="E157" i="2"/>
  <c r="D111" i="2"/>
  <c r="E110" i="2"/>
  <c r="G110" i="2"/>
  <c r="F110" i="2"/>
  <c r="A8" i="2"/>
  <c r="A10" i="2"/>
  <c r="E307" i="2"/>
  <c r="D308" i="2"/>
  <c r="G307" i="2"/>
  <c r="F307" i="2"/>
  <c r="F250" i="2"/>
  <c r="G250" i="2"/>
  <c r="E250" i="2"/>
  <c r="D251" i="2"/>
  <c r="G273" i="2"/>
  <c r="D274" i="2"/>
  <c r="F273" i="2"/>
  <c r="E273" i="2"/>
  <c r="E176" i="2"/>
  <c r="D177" i="2"/>
  <c r="G176" i="2"/>
  <c r="F176" i="2"/>
  <c r="G147" i="2"/>
  <c r="F147" i="2"/>
  <c r="D148" i="2"/>
  <c r="E147" i="2"/>
  <c r="Q23" i="2"/>
  <c r="M24" i="2"/>
  <c r="R23" i="2"/>
  <c r="F74" i="2"/>
  <c r="G74" i="2"/>
  <c r="E74" i="2"/>
  <c r="A9" i="2"/>
  <c r="G31" i="2"/>
  <c r="F31" i="2"/>
  <c r="D32" i="2"/>
  <c r="E31" i="2"/>
  <c r="G136" i="2" l="1"/>
  <c r="F136" i="2"/>
  <c r="D137" i="2"/>
  <c r="E136" i="2"/>
  <c r="R7" i="2"/>
  <c r="Q7" i="2"/>
  <c r="M8" i="2"/>
  <c r="D224" i="2"/>
  <c r="G223" i="2"/>
  <c r="F223" i="2"/>
  <c r="E223" i="2"/>
  <c r="R215" i="2"/>
  <c r="Q215" i="2"/>
  <c r="M216" i="2"/>
  <c r="M25" i="2"/>
  <c r="Q24" i="2"/>
  <c r="R24" i="2"/>
  <c r="D252" i="2"/>
  <c r="E251" i="2"/>
  <c r="G251" i="2"/>
  <c r="F251" i="2"/>
  <c r="E321" i="2"/>
  <c r="D322" i="2"/>
  <c r="F321" i="2"/>
  <c r="G321" i="2"/>
  <c r="A11" i="2"/>
  <c r="R290" i="2"/>
  <c r="Q290" i="2"/>
  <c r="M291" i="2"/>
  <c r="D187" i="2"/>
  <c r="E186" i="2"/>
  <c r="G186" i="2"/>
  <c r="F186" i="2"/>
  <c r="E16" i="2"/>
  <c r="D17" i="2"/>
  <c r="G16" i="2"/>
  <c r="F16" i="2"/>
  <c r="R204" i="2"/>
  <c r="M205" i="2"/>
  <c r="Q204" i="2"/>
  <c r="M247" i="2"/>
  <c r="R246" i="2"/>
  <c r="Q246" i="2"/>
  <c r="G32" i="2"/>
  <c r="F32" i="2"/>
  <c r="D33" i="2"/>
  <c r="E32" i="2"/>
  <c r="G158" i="2"/>
  <c r="F158" i="2"/>
  <c r="E158" i="2"/>
  <c r="D159" i="2"/>
  <c r="G356" i="2"/>
  <c r="F356" i="2"/>
  <c r="D357" i="2"/>
  <c r="E356" i="2"/>
  <c r="E39" i="2"/>
  <c r="G39" i="2"/>
  <c r="F39" i="2"/>
  <c r="F246" i="2"/>
  <c r="D247" i="2"/>
  <c r="G246" i="2"/>
  <c r="E246" i="2"/>
  <c r="M326" i="2"/>
  <c r="R325" i="2"/>
  <c r="Q325" i="2"/>
  <c r="R382" i="2"/>
  <c r="M383" i="2"/>
  <c r="Q382" i="2"/>
  <c r="G118" i="2"/>
  <c r="F118" i="2"/>
  <c r="D119" i="2"/>
  <c r="E118" i="2"/>
  <c r="G177" i="2"/>
  <c r="D178" i="2"/>
  <c r="F177" i="2"/>
  <c r="E177" i="2"/>
  <c r="F258" i="2"/>
  <c r="D259" i="2"/>
  <c r="G258" i="2"/>
  <c r="E258" i="2"/>
  <c r="G299" i="2"/>
  <c r="F299" i="2"/>
  <c r="E299" i="2"/>
  <c r="D300" i="2"/>
  <c r="G380" i="2"/>
  <c r="F380" i="2"/>
  <c r="D381" i="2"/>
  <c r="E380" i="2"/>
  <c r="F79" i="2"/>
  <c r="D80" i="2"/>
  <c r="E79" i="2"/>
  <c r="G79" i="2"/>
  <c r="R331" i="2"/>
  <c r="Q331" i="2"/>
  <c r="M332" i="2"/>
  <c r="R298" i="2"/>
  <c r="Q298" i="2"/>
  <c r="M299" i="2"/>
  <c r="R355" i="2"/>
  <c r="Q355" i="2"/>
  <c r="M356" i="2"/>
  <c r="F123" i="2"/>
  <c r="E123" i="2"/>
  <c r="D124" i="2"/>
  <c r="G123" i="2"/>
  <c r="D316" i="2"/>
  <c r="E315" i="2"/>
  <c r="G315" i="2"/>
  <c r="F315" i="2"/>
  <c r="R131" i="2"/>
  <c r="Q131" i="2"/>
  <c r="D44" i="2"/>
  <c r="E43" i="2"/>
  <c r="G43" i="2"/>
  <c r="F43" i="2"/>
  <c r="R136" i="2"/>
  <c r="Q136" i="2"/>
  <c r="M137" i="2"/>
  <c r="F239" i="2"/>
  <c r="E239" i="2"/>
  <c r="G239" i="2"/>
  <c r="R340" i="2"/>
  <c r="Q340" i="2"/>
  <c r="M341" i="2"/>
  <c r="R157" i="2"/>
  <c r="Q157" i="2"/>
  <c r="M158" i="2"/>
  <c r="F148" i="2"/>
  <c r="D149" i="2"/>
  <c r="E148" i="2"/>
  <c r="G148" i="2"/>
  <c r="F24" i="2"/>
  <c r="D25" i="2"/>
  <c r="E24" i="2"/>
  <c r="G24" i="2"/>
  <c r="D210" i="2"/>
  <c r="E209" i="2"/>
  <c r="F209" i="2"/>
  <c r="G209" i="2"/>
  <c r="G50" i="2"/>
  <c r="F50" i="2"/>
  <c r="E50" i="2"/>
  <c r="D51" i="2"/>
  <c r="Q239" i="2"/>
  <c r="R239" i="2"/>
  <c r="M240" i="2"/>
  <c r="Q40" i="2"/>
  <c r="M41" i="2"/>
  <c r="R40" i="2"/>
  <c r="F274" i="2"/>
  <c r="G274" i="2"/>
  <c r="E274" i="2"/>
  <c r="D275" i="2"/>
  <c r="G308" i="2"/>
  <c r="F308" i="2"/>
  <c r="E308" i="2"/>
  <c r="D309" i="2"/>
  <c r="G111" i="2"/>
  <c r="D112" i="2"/>
  <c r="F111" i="2"/>
  <c r="E111" i="2"/>
  <c r="G7" i="2"/>
  <c r="D8" i="2"/>
  <c r="F7" i="2"/>
  <c r="E7" i="2"/>
  <c r="D61" i="2"/>
  <c r="E60" i="2"/>
  <c r="G60" i="2"/>
  <c r="F60" i="2"/>
  <c r="G289" i="2"/>
  <c r="F289" i="2"/>
  <c r="D290" i="2"/>
  <c r="E289" i="2"/>
  <c r="G388" i="2"/>
  <c r="F388" i="2"/>
  <c r="E388" i="2"/>
  <c r="D389" i="2"/>
  <c r="G94" i="2"/>
  <c r="E94" i="2"/>
  <c r="F94" i="2"/>
  <c r="D95" i="2"/>
  <c r="G205" i="2"/>
  <c r="F205" i="2"/>
  <c r="E205" i="2"/>
  <c r="Q147" i="2"/>
  <c r="M148" i="2"/>
  <c r="R147" i="2"/>
  <c r="Q275" i="2"/>
  <c r="M276" i="2"/>
  <c r="R275" i="2"/>
  <c r="R92" i="2"/>
  <c r="M93" i="2"/>
  <c r="Q92" i="2"/>
  <c r="G331" i="2"/>
  <c r="F331" i="2"/>
  <c r="E331" i="2"/>
  <c r="D332" i="2"/>
  <c r="M307" i="2"/>
  <c r="R306" i="2"/>
  <c r="Q306" i="2"/>
  <c r="Q259" i="2"/>
  <c r="R259" i="2"/>
  <c r="M260" i="2"/>
  <c r="F61" i="2" l="1"/>
  <c r="E61" i="2"/>
  <c r="D62" i="2"/>
  <c r="G61" i="2"/>
  <c r="F124" i="2"/>
  <c r="E124" i="2"/>
  <c r="D125" i="2"/>
  <c r="G124" i="2"/>
  <c r="R356" i="2"/>
  <c r="Q356" i="2"/>
  <c r="M357" i="2"/>
  <c r="M333" i="2"/>
  <c r="R332" i="2"/>
  <c r="Q332" i="2"/>
  <c r="R158" i="2"/>
  <c r="Q158" i="2"/>
  <c r="M159" i="2"/>
  <c r="R205" i="2"/>
  <c r="M206" i="2"/>
  <c r="Q205" i="2"/>
  <c r="G224" i="2"/>
  <c r="E224" i="2"/>
  <c r="D225" i="2"/>
  <c r="F224" i="2"/>
  <c r="G389" i="2"/>
  <c r="F389" i="2"/>
  <c r="E389" i="2"/>
  <c r="D390" i="2"/>
  <c r="G290" i="2"/>
  <c r="F290" i="2"/>
  <c r="D291" i="2"/>
  <c r="E290" i="2"/>
  <c r="G309" i="2"/>
  <c r="F309" i="2"/>
  <c r="E309" i="2"/>
  <c r="D310" i="2"/>
  <c r="Q137" i="2"/>
  <c r="M138" i="2"/>
  <c r="R137" i="2"/>
  <c r="D81" i="2"/>
  <c r="E80" i="2"/>
  <c r="G80" i="2"/>
  <c r="F80" i="2"/>
  <c r="G119" i="2"/>
  <c r="F119" i="2"/>
  <c r="E119" i="2"/>
  <c r="Q326" i="2"/>
  <c r="R326" i="2"/>
  <c r="D323" i="2"/>
  <c r="E322" i="2"/>
  <c r="G322" i="2"/>
  <c r="F322" i="2"/>
  <c r="M26" i="2"/>
  <c r="R25" i="2"/>
  <c r="Q25" i="2"/>
  <c r="D150" i="2"/>
  <c r="E149" i="2"/>
  <c r="G149" i="2"/>
  <c r="F149" i="2"/>
  <c r="R299" i="2"/>
  <c r="Q299" i="2"/>
  <c r="M300" i="2"/>
  <c r="G357" i="2"/>
  <c r="F357" i="2"/>
  <c r="D358" i="2"/>
  <c r="E357" i="2"/>
  <c r="M342" i="2"/>
  <c r="R341" i="2"/>
  <c r="Q341" i="2"/>
  <c r="D188" i="2"/>
  <c r="G187" i="2"/>
  <c r="E187" i="2"/>
  <c r="F187" i="2"/>
  <c r="M42" i="2"/>
  <c r="R41" i="2"/>
  <c r="Q41" i="2"/>
  <c r="G300" i="2"/>
  <c r="F300" i="2"/>
  <c r="E300" i="2"/>
  <c r="D301" i="2"/>
  <c r="Q247" i="2"/>
  <c r="R247" i="2"/>
  <c r="M248" i="2"/>
  <c r="G252" i="2"/>
  <c r="F252" i="2"/>
  <c r="E252" i="2"/>
  <c r="D253" i="2"/>
  <c r="G44" i="2"/>
  <c r="F44" i="2"/>
  <c r="E44" i="2"/>
  <c r="D26" i="2"/>
  <c r="E25" i="2"/>
  <c r="F25" i="2"/>
  <c r="G25" i="2"/>
  <c r="Q307" i="2"/>
  <c r="M308" i="2"/>
  <c r="R307" i="2"/>
  <c r="G17" i="2"/>
  <c r="F17" i="2"/>
  <c r="D18" i="2"/>
  <c r="E17" i="2"/>
  <c r="Q291" i="2"/>
  <c r="M292" i="2"/>
  <c r="R291" i="2"/>
  <c r="R216" i="2"/>
  <c r="M217" i="2"/>
  <c r="Q216" i="2"/>
  <c r="G8" i="2"/>
  <c r="F8" i="2"/>
  <c r="D9" i="2"/>
  <c r="E8" i="2"/>
  <c r="G259" i="2"/>
  <c r="D260" i="2"/>
  <c r="E259" i="2"/>
  <c r="F259" i="2"/>
  <c r="E247" i="2"/>
  <c r="F247" i="2"/>
  <c r="G247" i="2"/>
  <c r="G95" i="2"/>
  <c r="F95" i="2"/>
  <c r="D96" i="2"/>
  <c r="E95" i="2"/>
  <c r="R93" i="2"/>
  <c r="M94" i="2"/>
  <c r="Q93" i="2"/>
  <c r="Q276" i="2"/>
  <c r="M277" i="2"/>
  <c r="R276" i="2"/>
  <c r="M149" i="2"/>
  <c r="R148" i="2"/>
  <c r="Q148" i="2"/>
  <c r="G381" i="2"/>
  <c r="D382" i="2"/>
  <c r="E381" i="2"/>
  <c r="F381" i="2"/>
  <c r="G178" i="2"/>
  <c r="D179" i="2"/>
  <c r="F178" i="2"/>
  <c r="E178" i="2"/>
  <c r="R8" i="2"/>
  <c r="Q8" i="2"/>
  <c r="M9" i="2"/>
  <c r="G112" i="2"/>
  <c r="F112" i="2"/>
  <c r="E112" i="2"/>
  <c r="D113" i="2"/>
  <c r="R240" i="2"/>
  <c r="M241" i="2"/>
  <c r="Q240" i="2"/>
  <c r="G137" i="2"/>
  <c r="F137" i="2"/>
  <c r="D138" i="2"/>
  <c r="E137" i="2"/>
  <c r="A12" i="2"/>
  <c r="M261" i="2"/>
  <c r="R260" i="2"/>
  <c r="Q260" i="2"/>
  <c r="D333" i="2"/>
  <c r="G332" i="2"/>
  <c r="F332" i="2"/>
  <c r="E332" i="2"/>
  <c r="F51" i="2"/>
  <c r="D52" i="2"/>
  <c r="G51" i="2"/>
  <c r="E51" i="2"/>
  <c r="G33" i="2"/>
  <c r="F33" i="2"/>
  <c r="D34" i="2"/>
  <c r="E33" i="2"/>
  <c r="F275" i="2"/>
  <c r="G275" i="2"/>
  <c r="E275" i="2"/>
  <c r="D276" i="2"/>
  <c r="G210" i="2"/>
  <c r="F210" i="2"/>
  <c r="E210" i="2"/>
  <c r="D211" i="2"/>
  <c r="G316" i="2"/>
  <c r="F316" i="2"/>
  <c r="E316" i="2"/>
  <c r="R383" i="2"/>
  <c r="M384" i="2"/>
  <c r="Q383" i="2"/>
  <c r="G159" i="2"/>
  <c r="F159" i="2"/>
  <c r="D160" i="2"/>
  <c r="E159" i="2"/>
  <c r="G150" i="2" l="1"/>
  <c r="F150" i="2"/>
  <c r="D151" i="2"/>
  <c r="E150" i="2"/>
  <c r="F125" i="2"/>
  <c r="G125" i="2"/>
  <c r="E125" i="2"/>
  <c r="D126" i="2"/>
  <c r="Q342" i="2"/>
  <c r="M343" i="2"/>
  <c r="R342" i="2"/>
  <c r="F358" i="2"/>
  <c r="D359" i="2"/>
  <c r="E358" i="2"/>
  <c r="G358" i="2"/>
  <c r="R300" i="2"/>
  <c r="Q300" i="2"/>
  <c r="M301" i="2"/>
  <c r="D324" i="2"/>
  <c r="G323" i="2"/>
  <c r="F323" i="2"/>
  <c r="E323" i="2"/>
  <c r="D82" i="2"/>
  <c r="F81" i="2"/>
  <c r="G81" i="2"/>
  <c r="E81" i="2"/>
  <c r="G390" i="2"/>
  <c r="F390" i="2"/>
  <c r="E390" i="2"/>
  <c r="D391" i="2"/>
  <c r="F260" i="2"/>
  <c r="D261" i="2"/>
  <c r="G260" i="2"/>
  <c r="E260" i="2"/>
  <c r="G9" i="2"/>
  <c r="F9" i="2"/>
  <c r="E9" i="2"/>
  <c r="D10" i="2"/>
  <c r="M218" i="2"/>
  <c r="R217" i="2"/>
  <c r="Q217" i="2"/>
  <c r="G253" i="2"/>
  <c r="F253" i="2"/>
  <c r="E253" i="2"/>
  <c r="R94" i="2"/>
  <c r="Q94" i="2"/>
  <c r="M95" i="2"/>
  <c r="Q261" i="2"/>
  <c r="M262" i="2"/>
  <c r="R261" i="2"/>
  <c r="G113" i="2"/>
  <c r="F113" i="2"/>
  <c r="E113" i="2"/>
  <c r="G160" i="2"/>
  <c r="F160" i="2"/>
  <c r="D161" i="2"/>
  <c r="E160" i="2"/>
  <c r="E179" i="2"/>
  <c r="D180" i="2"/>
  <c r="G179" i="2"/>
  <c r="F179" i="2"/>
  <c r="R149" i="2"/>
  <c r="Q149" i="2"/>
  <c r="M150" i="2"/>
  <c r="G96" i="2"/>
  <c r="F96" i="2"/>
  <c r="E96" i="2"/>
  <c r="M293" i="2"/>
  <c r="R292" i="2"/>
  <c r="Q292" i="2"/>
  <c r="A13" i="2"/>
  <c r="D27" i="2"/>
  <c r="G26" i="2"/>
  <c r="F26" i="2"/>
  <c r="E26" i="2"/>
  <c r="R248" i="2"/>
  <c r="M249" i="2"/>
  <c r="Q248" i="2"/>
  <c r="F276" i="2"/>
  <c r="G276" i="2"/>
  <c r="E276" i="2"/>
  <c r="D277" i="2"/>
  <c r="Q277" i="2"/>
  <c r="M278" i="2"/>
  <c r="R277" i="2"/>
  <c r="R308" i="2"/>
  <c r="Q308" i="2"/>
  <c r="M309" i="2"/>
  <c r="G34" i="2"/>
  <c r="F34" i="2"/>
  <c r="E34" i="2"/>
  <c r="D35" i="2"/>
  <c r="G52" i="2"/>
  <c r="D53" i="2"/>
  <c r="E52" i="2"/>
  <c r="F52" i="2"/>
  <c r="D334" i="2"/>
  <c r="G333" i="2"/>
  <c r="E333" i="2"/>
  <c r="F333" i="2"/>
  <c r="Q9" i="2"/>
  <c r="M10" i="2"/>
  <c r="M385" i="2"/>
  <c r="R384" i="2"/>
  <c r="Q384" i="2"/>
  <c r="G211" i="2"/>
  <c r="F211" i="2"/>
  <c r="E211" i="2"/>
  <c r="G382" i="2"/>
  <c r="F382" i="2"/>
  <c r="D383" i="2"/>
  <c r="E382" i="2"/>
  <c r="Q241" i="2"/>
  <c r="M242" i="2"/>
  <c r="R241" i="2"/>
  <c r="F138" i="2"/>
  <c r="D139" i="2"/>
  <c r="E138" i="2"/>
  <c r="G138" i="2"/>
  <c r="M43" i="2"/>
  <c r="R42" i="2"/>
  <c r="Q42" i="2"/>
  <c r="M139" i="2"/>
  <c r="R138" i="2"/>
  <c r="Q138" i="2"/>
  <c r="M334" i="2"/>
  <c r="R333" i="2"/>
  <c r="Q333" i="2"/>
  <c r="D189" i="2"/>
  <c r="E188" i="2"/>
  <c r="G188" i="2"/>
  <c r="F188" i="2"/>
  <c r="R206" i="2"/>
  <c r="Q206" i="2"/>
  <c r="M207" i="2"/>
  <c r="Q357" i="2"/>
  <c r="M358" i="2"/>
  <c r="R357" i="2"/>
  <c r="G62" i="2"/>
  <c r="D63" i="2"/>
  <c r="F62" i="2"/>
  <c r="E62" i="2"/>
  <c r="G18" i="2"/>
  <c r="F18" i="2"/>
  <c r="D19" i="2"/>
  <c r="E18" i="2"/>
  <c r="G301" i="2"/>
  <c r="D302" i="2"/>
  <c r="F301" i="2"/>
  <c r="E301" i="2"/>
  <c r="R26" i="2"/>
  <c r="Q26" i="2"/>
  <c r="M27" i="2"/>
  <c r="G291" i="2"/>
  <c r="F291" i="2"/>
  <c r="D292" i="2"/>
  <c r="E291" i="2"/>
  <c r="E310" i="2"/>
  <c r="G310" i="2"/>
  <c r="F310" i="2"/>
  <c r="F225" i="2"/>
  <c r="D226" i="2"/>
  <c r="E225" i="2"/>
  <c r="G225" i="2"/>
  <c r="R159" i="2"/>
  <c r="Q159" i="2"/>
  <c r="M160" i="2"/>
  <c r="G19" i="2" l="1"/>
  <c r="F19" i="2"/>
  <c r="D20" i="2"/>
  <c r="E19" i="2"/>
  <c r="R385" i="2"/>
  <c r="Q385" i="2"/>
  <c r="M386" i="2"/>
  <c r="D190" i="2"/>
  <c r="G189" i="2"/>
  <c r="F189" i="2"/>
  <c r="E189" i="2"/>
  <c r="D140" i="2"/>
  <c r="E139" i="2"/>
  <c r="G139" i="2"/>
  <c r="F139" i="2"/>
  <c r="Q10" i="2"/>
  <c r="M11" i="2"/>
  <c r="R10" i="2"/>
  <c r="F53" i="2"/>
  <c r="E53" i="2"/>
  <c r="G53" i="2"/>
  <c r="D54" i="2"/>
  <c r="R293" i="2"/>
  <c r="Q293" i="2"/>
  <c r="M294" i="2"/>
  <c r="G10" i="2"/>
  <c r="F10" i="2"/>
  <c r="D11" i="2"/>
  <c r="E10" i="2"/>
  <c r="F63" i="2"/>
  <c r="D64" i="2"/>
  <c r="G63" i="2"/>
  <c r="E63" i="2"/>
  <c r="G180" i="2"/>
  <c r="F180" i="2"/>
  <c r="E180" i="2"/>
  <c r="D181" i="2"/>
  <c r="R139" i="2"/>
  <c r="Q139" i="2"/>
  <c r="M140" i="2"/>
  <c r="G35" i="2"/>
  <c r="F35" i="2"/>
  <c r="E35" i="2"/>
  <c r="Q278" i="2"/>
  <c r="M279" i="2"/>
  <c r="R278" i="2"/>
  <c r="Q301" i="2"/>
  <c r="M302" i="2"/>
  <c r="R301" i="2"/>
  <c r="R95" i="2"/>
  <c r="Q95" i="2"/>
  <c r="M96" i="2"/>
  <c r="D325" i="2"/>
  <c r="E324" i="2"/>
  <c r="F324" i="2"/>
  <c r="G324" i="2"/>
  <c r="F302" i="2"/>
  <c r="G302" i="2"/>
  <c r="E302" i="2"/>
  <c r="R334" i="2"/>
  <c r="M335" i="2"/>
  <c r="Q334" i="2"/>
  <c r="A14" i="2"/>
  <c r="G27" i="2"/>
  <c r="F27" i="2"/>
  <c r="E27" i="2"/>
  <c r="D83" i="2"/>
  <c r="E82" i="2"/>
  <c r="G82" i="2"/>
  <c r="F82" i="2"/>
  <c r="M344" i="2"/>
  <c r="R343" i="2"/>
  <c r="Q343" i="2"/>
  <c r="R218" i="2"/>
  <c r="Q218" i="2"/>
  <c r="M219" i="2"/>
  <c r="D360" i="2"/>
  <c r="E359" i="2"/>
  <c r="G359" i="2"/>
  <c r="F359" i="2"/>
  <c r="F292" i="2"/>
  <c r="D293" i="2"/>
  <c r="E292" i="2"/>
  <c r="G292" i="2"/>
  <c r="M359" i="2"/>
  <c r="R358" i="2"/>
  <c r="Q358" i="2"/>
  <c r="M44" i="2"/>
  <c r="R43" i="2"/>
  <c r="Q43" i="2"/>
  <c r="R242" i="2"/>
  <c r="Q242" i="2"/>
  <c r="F277" i="2"/>
  <c r="G277" i="2"/>
  <c r="E277" i="2"/>
  <c r="D278" i="2"/>
  <c r="Q150" i="2"/>
  <c r="M151" i="2"/>
  <c r="R150" i="2"/>
  <c r="G391" i="2"/>
  <c r="F391" i="2"/>
  <c r="E391" i="2"/>
  <c r="D392" i="2"/>
  <c r="D127" i="2"/>
  <c r="E126" i="2"/>
  <c r="G126" i="2"/>
  <c r="F126" i="2"/>
  <c r="G383" i="2"/>
  <c r="F383" i="2"/>
  <c r="D384" i="2"/>
  <c r="E383" i="2"/>
  <c r="R160" i="2"/>
  <c r="Q160" i="2"/>
  <c r="M161" i="2"/>
  <c r="E226" i="2"/>
  <c r="D227" i="2"/>
  <c r="G226" i="2"/>
  <c r="F226" i="2"/>
  <c r="D335" i="2"/>
  <c r="G334" i="2"/>
  <c r="E334" i="2"/>
  <c r="F334" i="2"/>
  <c r="G161" i="2"/>
  <c r="F161" i="2"/>
  <c r="E161" i="2"/>
  <c r="D162" i="2"/>
  <c r="M263" i="2"/>
  <c r="R262" i="2"/>
  <c r="Q262" i="2"/>
  <c r="A15" i="2"/>
  <c r="F151" i="2"/>
  <c r="D152" i="2"/>
  <c r="E151" i="2"/>
  <c r="G151" i="2"/>
  <c r="M28" i="2"/>
  <c r="R27" i="2"/>
  <c r="Q27" i="2"/>
  <c r="Q207" i="2"/>
  <c r="M208" i="2"/>
  <c r="R207" i="2"/>
  <c r="M310" i="2"/>
  <c r="R309" i="2"/>
  <c r="Q309" i="2"/>
  <c r="Q249" i="2"/>
  <c r="R249" i="2"/>
  <c r="M250" i="2"/>
  <c r="D262" i="2"/>
  <c r="E261" i="2"/>
  <c r="G261" i="2"/>
  <c r="F261" i="2"/>
  <c r="G162" i="2" l="1"/>
  <c r="F162" i="2"/>
  <c r="D163" i="2"/>
  <c r="E162" i="2"/>
  <c r="E227" i="2"/>
  <c r="D228" i="2"/>
  <c r="G227" i="2"/>
  <c r="F227" i="2"/>
  <c r="D294" i="2"/>
  <c r="E293" i="2"/>
  <c r="G293" i="2"/>
  <c r="F293" i="2"/>
  <c r="R386" i="2"/>
  <c r="Q386" i="2"/>
  <c r="M387" i="2"/>
  <c r="M29" i="2"/>
  <c r="R28" i="2"/>
  <c r="Q28" i="2"/>
  <c r="G392" i="2"/>
  <c r="F392" i="2"/>
  <c r="E392" i="2"/>
  <c r="D393" i="2"/>
  <c r="M345" i="2"/>
  <c r="R344" i="2"/>
  <c r="Q344" i="2"/>
  <c r="A16" i="2"/>
  <c r="R302" i="2"/>
  <c r="Q302" i="2"/>
  <c r="Q279" i="2"/>
  <c r="M280" i="2"/>
  <c r="R279" i="2"/>
  <c r="F11" i="2"/>
  <c r="E11" i="2"/>
  <c r="G11" i="2"/>
  <c r="D55" i="2"/>
  <c r="E54" i="2"/>
  <c r="G54" i="2"/>
  <c r="F54" i="2"/>
  <c r="R161" i="2"/>
  <c r="Q161" i="2"/>
  <c r="M162" i="2"/>
  <c r="F278" i="2"/>
  <c r="G278" i="2"/>
  <c r="E278" i="2"/>
  <c r="D279" i="2"/>
  <c r="R44" i="2"/>
  <c r="M45" i="2"/>
  <c r="Q44" i="2"/>
  <c r="M251" i="2"/>
  <c r="R250" i="2"/>
  <c r="Q250" i="2"/>
  <c r="G140" i="2"/>
  <c r="F140" i="2"/>
  <c r="D141" i="2"/>
  <c r="E140" i="2"/>
  <c r="G152" i="2"/>
  <c r="E152" i="2"/>
  <c r="F152" i="2"/>
  <c r="G127" i="2"/>
  <c r="F127" i="2"/>
  <c r="E127" i="2"/>
  <c r="R294" i="2"/>
  <c r="Q294" i="2"/>
  <c r="G20" i="2"/>
  <c r="F20" i="2"/>
  <c r="E20" i="2"/>
  <c r="R310" i="2"/>
  <c r="Q310" i="2"/>
  <c r="D263" i="2"/>
  <c r="G262" i="2"/>
  <c r="F262" i="2"/>
  <c r="E262" i="2"/>
  <c r="M209" i="2"/>
  <c r="R208" i="2"/>
  <c r="Q208" i="2"/>
  <c r="G335" i="2"/>
  <c r="E335" i="2"/>
  <c r="F335" i="2"/>
  <c r="M360" i="2"/>
  <c r="R359" i="2"/>
  <c r="Q359" i="2"/>
  <c r="D361" i="2"/>
  <c r="G360" i="2"/>
  <c r="F360" i="2"/>
  <c r="E360" i="2"/>
  <c r="F83" i="2"/>
  <c r="D84" i="2"/>
  <c r="G83" i="2"/>
  <c r="E83" i="2"/>
  <c r="E181" i="2"/>
  <c r="G181" i="2"/>
  <c r="F181" i="2"/>
  <c r="G64" i="2"/>
  <c r="D65" i="2"/>
  <c r="E64" i="2"/>
  <c r="F64" i="2"/>
  <c r="G384" i="2"/>
  <c r="F384" i="2"/>
  <c r="E384" i="2"/>
  <c r="R219" i="2"/>
  <c r="M220" i="2"/>
  <c r="Q219" i="2"/>
  <c r="Q335" i="2"/>
  <c r="R335" i="2"/>
  <c r="D326" i="2"/>
  <c r="G325" i="2"/>
  <c r="F325" i="2"/>
  <c r="E325" i="2"/>
  <c r="Q140" i="2"/>
  <c r="M141" i="2"/>
  <c r="R140" i="2"/>
  <c r="M12" i="2"/>
  <c r="R11" i="2"/>
  <c r="Q11" i="2"/>
  <c r="R263" i="2"/>
  <c r="Q263" i="2"/>
  <c r="M264" i="2"/>
  <c r="R151" i="2"/>
  <c r="M152" i="2"/>
  <c r="Q151" i="2"/>
  <c r="Q96" i="2"/>
  <c r="M97" i="2"/>
  <c r="R96" i="2"/>
  <c r="G190" i="2"/>
  <c r="F190" i="2"/>
  <c r="D191" i="2"/>
  <c r="E190" i="2"/>
  <c r="M98" i="2" l="1"/>
  <c r="R97" i="2"/>
  <c r="Q97" i="2"/>
  <c r="F65" i="2"/>
  <c r="D66" i="2"/>
  <c r="G65" i="2"/>
  <c r="E65" i="2"/>
  <c r="D85" i="2"/>
  <c r="E84" i="2"/>
  <c r="G84" i="2"/>
  <c r="F84" i="2"/>
  <c r="R209" i="2"/>
  <c r="M210" i="2"/>
  <c r="Q209" i="2"/>
  <c r="M252" i="2"/>
  <c r="Q251" i="2"/>
  <c r="R251" i="2"/>
  <c r="Q162" i="2"/>
  <c r="M163" i="2"/>
  <c r="R162" i="2"/>
  <c r="E228" i="2"/>
  <c r="G228" i="2"/>
  <c r="F228" i="2"/>
  <c r="M361" i="2"/>
  <c r="R360" i="2"/>
  <c r="Q360" i="2"/>
  <c r="A17" i="2"/>
  <c r="R12" i="2"/>
  <c r="Q12" i="2"/>
  <c r="M13" i="2"/>
  <c r="R45" i="2"/>
  <c r="Q45" i="2"/>
  <c r="M46" i="2"/>
  <c r="F163" i="2"/>
  <c r="D164" i="2"/>
  <c r="E163" i="2"/>
  <c r="G163" i="2"/>
  <c r="F141" i="2"/>
  <c r="D142" i="2"/>
  <c r="E141" i="2"/>
  <c r="G141" i="2"/>
  <c r="G191" i="2"/>
  <c r="F191" i="2"/>
  <c r="D192" i="2"/>
  <c r="E191" i="2"/>
  <c r="E263" i="2"/>
  <c r="D264" i="2"/>
  <c r="G263" i="2"/>
  <c r="F263" i="2"/>
  <c r="F279" i="2"/>
  <c r="G279" i="2"/>
  <c r="E279" i="2"/>
  <c r="D280" i="2"/>
  <c r="M346" i="2"/>
  <c r="R345" i="2"/>
  <c r="Q345" i="2"/>
  <c r="M281" i="2"/>
  <c r="R280" i="2"/>
  <c r="Q280" i="2"/>
  <c r="G393" i="2"/>
  <c r="F393" i="2"/>
  <c r="E393" i="2"/>
  <c r="D394" i="2"/>
  <c r="G294" i="2"/>
  <c r="F294" i="2"/>
  <c r="E294" i="2"/>
  <c r="R152" i="2"/>
  <c r="Q152" i="2"/>
  <c r="E326" i="2"/>
  <c r="G326" i="2"/>
  <c r="F326" i="2"/>
  <c r="R264" i="2"/>
  <c r="M265" i="2"/>
  <c r="Q264" i="2"/>
  <c r="M142" i="2"/>
  <c r="Q141" i="2"/>
  <c r="R141" i="2"/>
  <c r="G361" i="2"/>
  <c r="D362" i="2"/>
  <c r="F361" i="2"/>
  <c r="E361" i="2"/>
  <c r="M30" i="2"/>
  <c r="R29" i="2"/>
  <c r="Q29" i="2"/>
  <c r="R220" i="2"/>
  <c r="Q220" i="2"/>
  <c r="M221" i="2"/>
  <c r="F55" i="2"/>
  <c r="D56" i="2"/>
  <c r="G55" i="2"/>
  <c r="E55" i="2"/>
  <c r="R387" i="2"/>
  <c r="Q387" i="2"/>
  <c r="M388" i="2"/>
  <c r="R142" i="2" l="1"/>
  <c r="Q142" i="2"/>
  <c r="M143" i="2"/>
  <c r="E164" i="2"/>
  <c r="D165" i="2"/>
  <c r="G164" i="2"/>
  <c r="F164" i="2"/>
  <c r="Q361" i="2"/>
  <c r="R361" i="2"/>
  <c r="M362" i="2"/>
  <c r="D86" i="2"/>
  <c r="F85" i="2"/>
  <c r="E85" i="2"/>
  <c r="G85" i="2"/>
  <c r="R30" i="2"/>
  <c r="Q30" i="2"/>
  <c r="M31" i="2"/>
  <c r="R252" i="2"/>
  <c r="Q252" i="2"/>
  <c r="M253" i="2"/>
  <c r="E56" i="2"/>
  <c r="F56" i="2"/>
  <c r="G56" i="2"/>
  <c r="R265" i="2"/>
  <c r="Q265" i="2"/>
  <c r="M266" i="2"/>
  <c r="M282" i="2"/>
  <c r="R281" i="2"/>
  <c r="Q281" i="2"/>
  <c r="Q46" i="2"/>
  <c r="R46" i="2"/>
  <c r="M47" i="2"/>
  <c r="D67" i="2"/>
  <c r="E66" i="2"/>
  <c r="G66" i="2"/>
  <c r="F66" i="2"/>
  <c r="R221" i="2"/>
  <c r="Q221" i="2"/>
  <c r="M222" i="2"/>
  <c r="D363" i="2"/>
  <c r="G362" i="2"/>
  <c r="F362" i="2"/>
  <c r="E362" i="2"/>
  <c r="D265" i="2"/>
  <c r="G264" i="2"/>
  <c r="F264" i="2"/>
  <c r="E264" i="2"/>
  <c r="D143" i="2"/>
  <c r="E142" i="2"/>
  <c r="G142" i="2"/>
  <c r="F142" i="2"/>
  <c r="R210" i="2"/>
  <c r="Q210" i="2"/>
  <c r="M211" i="2"/>
  <c r="G394" i="2"/>
  <c r="F394" i="2"/>
  <c r="E394" i="2"/>
  <c r="D395" i="2"/>
  <c r="R388" i="2"/>
  <c r="Q388" i="2"/>
  <c r="M389" i="2"/>
  <c r="M347" i="2"/>
  <c r="R346" i="2"/>
  <c r="Q346" i="2"/>
  <c r="R13" i="2"/>
  <c r="Q13" i="2"/>
  <c r="M14" i="2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M164" i="2"/>
  <c r="R163" i="2"/>
  <c r="Q163" i="2"/>
  <c r="F280" i="2"/>
  <c r="D281" i="2"/>
  <c r="G280" i="2"/>
  <c r="E280" i="2"/>
  <c r="F192" i="2"/>
  <c r="E192" i="2"/>
  <c r="G192" i="2"/>
  <c r="D193" i="2"/>
  <c r="R98" i="2"/>
  <c r="Q98" i="2"/>
  <c r="M99" i="2"/>
  <c r="F193" i="2" l="1"/>
  <c r="D194" i="2"/>
  <c r="E193" i="2"/>
  <c r="G193" i="2"/>
  <c r="G143" i="2"/>
  <c r="F143" i="2"/>
  <c r="E143" i="2"/>
  <c r="G363" i="2"/>
  <c r="D364" i="2"/>
  <c r="F363" i="2"/>
  <c r="E363" i="2"/>
  <c r="R47" i="2"/>
  <c r="Q47" i="2"/>
  <c r="M48" i="2"/>
  <c r="M223" i="2"/>
  <c r="R222" i="2"/>
  <c r="Q222" i="2"/>
  <c r="M165" i="2"/>
  <c r="R164" i="2"/>
  <c r="Q164" i="2"/>
  <c r="M348" i="2"/>
  <c r="R347" i="2"/>
  <c r="Q347" i="2"/>
  <c r="Q211" i="2"/>
  <c r="R211" i="2"/>
  <c r="D166" i="2"/>
  <c r="E165" i="2"/>
  <c r="G165" i="2"/>
  <c r="F165" i="2"/>
  <c r="G265" i="2"/>
  <c r="E265" i="2"/>
  <c r="D266" i="2"/>
  <c r="F265" i="2"/>
  <c r="R253" i="2"/>
  <c r="Q253" i="2"/>
  <c r="R99" i="2"/>
  <c r="Q99" i="2"/>
  <c r="M100" i="2"/>
  <c r="Q14" i="2"/>
  <c r="M15" i="2"/>
  <c r="R14" i="2"/>
  <c r="M283" i="2"/>
  <c r="R282" i="2"/>
  <c r="Q282" i="2"/>
  <c r="G86" i="2"/>
  <c r="E86" i="2"/>
  <c r="D87" i="2"/>
  <c r="F86" i="2"/>
  <c r="R143" i="2"/>
  <c r="Q143" i="2"/>
  <c r="E281" i="2"/>
  <c r="G281" i="2"/>
  <c r="D282" i="2"/>
  <c r="F281" i="2"/>
  <c r="G395" i="2"/>
  <c r="F395" i="2"/>
  <c r="E395" i="2"/>
  <c r="D396" i="2"/>
  <c r="R266" i="2"/>
  <c r="Q266" i="2"/>
  <c r="M267" i="2"/>
  <c r="R362" i="2"/>
  <c r="M363" i="2"/>
  <c r="Q362" i="2"/>
  <c r="R389" i="2"/>
  <c r="Q389" i="2"/>
  <c r="M390" i="2"/>
  <c r="F67" i="2"/>
  <c r="E67" i="2"/>
  <c r="D68" i="2"/>
  <c r="G67" i="2"/>
  <c r="R31" i="2"/>
  <c r="Q31" i="2"/>
  <c r="M32" i="2"/>
  <c r="M16" i="2" l="1"/>
  <c r="Q15" i="2"/>
  <c r="R15" i="2"/>
  <c r="G266" i="2"/>
  <c r="F266" i="2"/>
  <c r="D267" i="2"/>
  <c r="E266" i="2"/>
  <c r="R363" i="2"/>
  <c r="Q363" i="2"/>
  <c r="M364" i="2"/>
  <c r="G87" i="2"/>
  <c r="F87" i="2"/>
  <c r="E87" i="2"/>
  <c r="R223" i="2"/>
  <c r="Q223" i="2"/>
  <c r="M224" i="2"/>
  <c r="D69" i="2"/>
  <c r="E68" i="2"/>
  <c r="G68" i="2"/>
  <c r="F68" i="2"/>
  <c r="Q100" i="2"/>
  <c r="M101" i="2"/>
  <c r="R100" i="2"/>
  <c r="M49" i="2"/>
  <c r="R48" i="2"/>
  <c r="Q48" i="2"/>
  <c r="M284" i="2"/>
  <c r="R283" i="2"/>
  <c r="Q283" i="2"/>
  <c r="Q267" i="2"/>
  <c r="M268" i="2"/>
  <c r="R267" i="2"/>
  <c r="E282" i="2"/>
  <c r="D283" i="2"/>
  <c r="F282" i="2"/>
  <c r="G282" i="2"/>
  <c r="M349" i="2"/>
  <c r="R348" i="2"/>
  <c r="Q348" i="2"/>
  <c r="R32" i="2"/>
  <c r="Q32" i="2"/>
  <c r="M33" i="2"/>
  <c r="G396" i="2"/>
  <c r="F396" i="2"/>
  <c r="E396" i="2"/>
  <c r="D167" i="2"/>
  <c r="G166" i="2"/>
  <c r="F166" i="2"/>
  <c r="E166" i="2"/>
  <c r="R390" i="2"/>
  <c r="Q390" i="2"/>
  <c r="M391" i="2"/>
  <c r="D195" i="2"/>
  <c r="E194" i="2"/>
  <c r="G194" i="2"/>
  <c r="F194" i="2"/>
  <c r="R165" i="2"/>
  <c r="Q165" i="2"/>
  <c r="M166" i="2"/>
  <c r="G364" i="2"/>
  <c r="D365" i="2"/>
  <c r="F364" i="2"/>
  <c r="E364" i="2"/>
  <c r="R49" i="2" l="1"/>
  <c r="Q49" i="2"/>
  <c r="M50" i="2"/>
  <c r="Q224" i="2"/>
  <c r="M225" i="2"/>
  <c r="R224" i="2"/>
  <c r="M269" i="2"/>
  <c r="R268" i="2"/>
  <c r="Q268" i="2"/>
  <c r="G167" i="2"/>
  <c r="F167" i="2"/>
  <c r="E167" i="2"/>
  <c r="D168" i="2"/>
  <c r="Q101" i="2"/>
  <c r="M102" i="2"/>
  <c r="R101" i="2"/>
  <c r="G267" i="2"/>
  <c r="F267" i="2"/>
  <c r="D268" i="2"/>
  <c r="E267" i="2"/>
  <c r="R349" i="2"/>
  <c r="Q349" i="2"/>
  <c r="G195" i="2"/>
  <c r="D196" i="2"/>
  <c r="E195" i="2"/>
  <c r="F195" i="2"/>
  <c r="R391" i="2"/>
  <c r="Q391" i="2"/>
  <c r="M392" i="2"/>
  <c r="R284" i="2"/>
  <c r="Q284" i="2"/>
  <c r="R33" i="2"/>
  <c r="Q33" i="2"/>
  <c r="M34" i="2"/>
  <c r="E283" i="2"/>
  <c r="G283" i="2"/>
  <c r="D284" i="2"/>
  <c r="F283" i="2"/>
  <c r="R364" i="2"/>
  <c r="Q364" i="2"/>
  <c r="M365" i="2"/>
  <c r="G365" i="2"/>
  <c r="F365" i="2"/>
  <c r="E365" i="2"/>
  <c r="D366" i="2"/>
  <c r="R166" i="2"/>
  <c r="Q166" i="2"/>
  <c r="M167" i="2"/>
  <c r="F69" i="2"/>
  <c r="E69" i="2"/>
  <c r="G69" i="2"/>
  <c r="R16" i="2"/>
  <c r="Q16" i="2"/>
  <c r="M17" i="2"/>
  <c r="R167" i="2" l="1"/>
  <c r="Q167" i="2"/>
  <c r="M168" i="2"/>
  <c r="G196" i="2"/>
  <c r="F196" i="2"/>
  <c r="E196" i="2"/>
  <c r="D197" i="2"/>
  <c r="M103" i="2"/>
  <c r="R102" i="2"/>
  <c r="Q102" i="2"/>
  <c r="R269" i="2"/>
  <c r="Q269" i="2"/>
  <c r="R17" i="2"/>
  <c r="Q17" i="2"/>
  <c r="M18" i="2"/>
  <c r="G366" i="2"/>
  <c r="F366" i="2"/>
  <c r="D367" i="2"/>
  <c r="E366" i="2"/>
  <c r="E284" i="2"/>
  <c r="G284" i="2"/>
  <c r="F284" i="2"/>
  <c r="R392" i="2"/>
  <c r="Q392" i="2"/>
  <c r="M393" i="2"/>
  <c r="D169" i="2"/>
  <c r="G168" i="2"/>
  <c r="F168" i="2"/>
  <c r="E168" i="2"/>
  <c r="M226" i="2"/>
  <c r="R225" i="2"/>
  <c r="Q225" i="2"/>
  <c r="F268" i="2"/>
  <c r="D269" i="2"/>
  <c r="E268" i="2"/>
  <c r="G268" i="2"/>
  <c r="Q50" i="2"/>
  <c r="M51" i="2"/>
  <c r="R50" i="2"/>
  <c r="R34" i="2"/>
  <c r="Q34" i="2"/>
  <c r="M35" i="2"/>
  <c r="R365" i="2"/>
  <c r="Q365" i="2"/>
  <c r="M366" i="2"/>
  <c r="R18" i="2" l="1"/>
  <c r="Q18" i="2"/>
  <c r="M19" i="2"/>
  <c r="G197" i="2"/>
  <c r="F197" i="2"/>
  <c r="D198" i="2"/>
  <c r="E197" i="2"/>
  <c r="Q103" i="2"/>
  <c r="M104" i="2"/>
  <c r="R103" i="2"/>
  <c r="R51" i="2"/>
  <c r="M52" i="2"/>
  <c r="Q51" i="2"/>
  <c r="M227" i="2"/>
  <c r="Q226" i="2"/>
  <c r="R226" i="2"/>
  <c r="M169" i="2"/>
  <c r="R168" i="2"/>
  <c r="Q168" i="2"/>
  <c r="Q366" i="2"/>
  <c r="M367" i="2"/>
  <c r="R366" i="2"/>
  <c r="R35" i="2"/>
  <c r="Q35" i="2"/>
  <c r="E269" i="2"/>
  <c r="G269" i="2"/>
  <c r="F269" i="2"/>
  <c r="E169" i="2"/>
  <c r="D170" i="2"/>
  <c r="G169" i="2"/>
  <c r="F169" i="2"/>
  <c r="D368" i="2"/>
  <c r="F367" i="2"/>
  <c r="E367" i="2"/>
  <c r="G367" i="2"/>
  <c r="R393" i="2"/>
  <c r="Q393" i="2"/>
  <c r="M394" i="2"/>
  <c r="F368" i="2" l="1"/>
  <c r="E368" i="2"/>
  <c r="D369" i="2"/>
  <c r="G368" i="2"/>
  <c r="M228" i="2"/>
  <c r="R227" i="2"/>
  <c r="Q227" i="2"/>
  <c r="F198" i="2"/>
  <c r="D199" i="2"/>
  <c r="E198" i="2"/>
  <c r="G198" i="2"/>
  <c r="R394" i="2"/>
  <c r="Q394" i="2"/>
  <c r="M395" i="2"/>
  <c r="G170" i="2"/>
  <c r="F170" i="2"/>
  <c r="E170" i="2"/>
  <c r="D171" i="2"/>
  <c r="Q367" i="2"/>
  <c r="R367" i="2"/>
  <c r="M368" i="2"/>
  <c r="Q52" i="2"/>
  <c r="M53" i="2"/>
  <c r="R52" i="2"/>
  <c r="R19" i="2"/>
  <c r="Q19" i="2"/>
  <c r="M20" i="2"/>
  <c r="M170" i="2"/>
  <c r="R169" i="2"/>
  <c r="Q169" i="2"/>
  <c r="R104" i="2"/>
  <c r="M105" i="2"/>
  <c r="Q104" i="2"/>
  <c r="M106" i="2" l="1"/>
  <c r="R105" i="2"/>
  <c r="Q105" i="2"/>
  <c r="M54" i="2"/>
  <c r="R53" i="2"/>
  <c r="Q53" i="2"/>
  <c r="R395" i="2"/>
  <c r="Q395" i="2"/>
  <c r="M396" i="2"/>
  <c r="M369" i="2"/>
  <c r="R368" i="2"/>
  <c r="Q368" i="2"/>
  <c r="M229" i="2"/>
  <c r="R228" i="2"/>
  <c r="Q228" i="2"/>
  <c r="Q170" i="2"/>
  <c r="R170" i="2"/>
  <c r="M171" i="2"/>
  <c r="F171" i="2"/>
  <c r="D172" i="2"/>
  <c r="G171" i="2"/>
  <c r="E171" i="2"/>
  <c r="R20" i="2"/>
  <c r="Q20" i="2"/>
  <c r="D370" i="2"/>
  <c r="F369" i="2"/>
  <c r="G369" i="2"/>
  <c r="E369" i="2"/>
  <c r="E199" i="2"/>
  <c r="D200" i="2"/>
  <c r="F199" i="2"/>
  <c r="G199" i="2"/>
  <c r="E200" i="2" l="1"/>
  <c r="F200" i="2"/>
  <c r="G200" i="2"/>
  <c r="M230" i="2"/>
  <c r="R229" i="2"/>
  <c r="Q229" i="2"/>
  <c r="F172" i="2"/>
  <c r="E172" i="2"/>
  <c r="D173" i="2"/>
  <c r="G172" i="2"/>
  <c r="Q54" i="2"/>
  <c r="R54" i="2"/>
  <c r="M55" i="2"/>
  <c r="Q171" i="2"/>
  <c r="M172" i="2"/>
  <c r="R171" i="2"/>
  <c r="R369" i="2"/>
  <c r="Q369" i="2"/>
  <c r="M370" i="2"/>
  <c r="G370" i="2"/>
  <c r="F370" i="2"/>
  <c r="E370" i="2"/>
  <c r="D371" i="2"/>
  <c r="R396" i="2"/>
  <c r="Q396" i="2"/>
  <c r="Q106" i="2"/>
  <c r="M107" i="2"/>
  <c r="R106" i="2"/>
  <c r="G371" i="2" l="1"/>
  <c r="D372" i="2"/>
  <c r="F371" i="2"/>
  <c r="E371" i="2"/>
  <c r="M173" i="2"/>
  <c r="Q172" i="2"/>
  <c r="R172" i="2"/>
  <c r="R370" i="2"/>
  <c r="Q370" i="2"/>
  <c r="M371" i="2"/>
  <c r="M56" i="2"/>
  <c r="R55" i="2"/>
  <c r="Q55" i="2"/>
  <c r="M108" i="2"/>
  <c r="R107" i="2"/>
  <c r="Q107" i="2"/>
  <c r="Q230" i="2"/>
  <c r="M231" i="2"/>
  <c r="R230" i="2"/>
  <c r="E173" i="2"/>
  <c r="G173" i="2"/>
  <c r="F173" i="2"/>
  <c r="Q108" i="2" l="1"/>
  <c r="M109" i="2"/>
  <c r="R108" i="2"/>
  <c r="R173" i="2"/>
  <c r="M174" i="2"/>
  <c r="Q173" i="2"/>
  <c r="M57" i="2"/>
  <c r="R56" i="2"/>
  <c r="Q56" i="2"/>
  <c r="Q231" i="2"/>
  <c r="M232" i="2"/>
  <c r="R231" i="2"/>
  <c r="Q371" i="2"/>
  <c r="M372" i="2"/>
  <c r="R371" i="2"/>
  <c r="F372" i="2"/>
  <c r="D373" i="2"/>
  <c r="E372" i="2"/>
  <c r="G372" i="2"/>
  <c r="D374" i="2" l="1"/>
  <c r="E373" i="2"/>
  <c r="F373" i="2"/>
  <c r="G373" i="2"/>
  <c r="M58" i="2"/>
  <c r="R57" i="2"/>
  <c r="Q57" i="2"/>
  <c r="M373" i="2"/>
  <c r="Q372" i="2"/>
  <c r="R372" i="2"/>
  <c r="R174" i="2"/>
  <c r="Q174" i="2"/>
  <c r="M175" i="2"/>
  <c r="Q232" i="2"/>
  <c r="M233" i="2"/>
  <c r="R232" i="2"/>
  <c r="M110" i="2"/>
  <c r="R109" i="2"/>
  <c r="Q109" i="2"/>
  <c r="M374" i="2" l="1"/>
  <c r="R373" i="2"/>
  <c r="Q373" i="2"/>
  <c r="M234" i="2"/>
  <c r="R233" i="2"/>
  <c r="Q233" i="2"/>
  <c r="M176" i="2"/>
  <c r="R175" i="2"/>
  <c r="Q175" i="2"/>
  <c r="Q58" i="2"/>
  <c r="M59" i="2"/>
  <c r="R58" i="2"/>
  <c r="R110" i="2"/>
  <c r="Q110" i="2"/>
  <c r="M111" i="2"/>
  <c r="F374" i="2"/>
  <c r="E374" i="2"/>
  <c r="G374" i="2"/>
  <c r="D375" i="2"/>
  <c r="R111" i="2" l="1"/>
  <c r="Q111" i="2"/>
  <c r="M112" i="2"/>
  <c r="R176" i="2"/>
  <c r="M177" i="2"/>
  <c r="Q176" i="2"/>
  <c r="Q234" i="2"/>
  <c r="M235" i="2"/>
  <c r="R234" i="2"/>
  <c r="G375" i="2"/>
  <c r="F375" i="2"/>
  <c r="E375" i="2"/>
  <c r="D376" i="2"/>
  <c r="M60" i="2"/>
  <c r="R59" i="2"/>
  <c r="Q59" i="2"/>
  <c r="M375" i="2"/>
  <c r="R374" i="2"/>
  <c r="Q374" i="2"/>
  <c r="Q235" i="2" l="1"/>
  <c r="R235" i="2"/>
  <c r="M61" i="2"/>
  <c r="R60" i="2"/>
  <c r="Q60" i="2"/>
  <c r="G376" i="2"/>
  <c r="F376" i="2"/>
  <c r="E376" i="2"/>
  <c r="R177" i="2"/>
  <c r="Q177" i="2"/>
  <c r="M178" i="2"/>
  <c r="R112" i="2"/>
  <c r="Q112" i="2"/>
  <c r="M113" i="2"/>
  <c r="M376" i="2"/>
  <c r="R375" i="2"/>
  <c r="Q375" i="2"/>
  <c r="R376" i="2" l="1"/>
  <c r="Q376" i="2"/>
  <c r="R113" i="2"/>
  <c r="Q113" i="2"/>
  <c r="M114" i="2"/>
  <c r="Q178" i="2"/>
  <c r="M179" i="2"/>
  <c r="R178" i="2"/>
  <c r="R61" i="2"/>
  <c r="M62" i="2"/>
  <c r="Q61" i="2"/>
  <c r="R179" i="2" l="1"/>
  <c r="Q179" i="2"/>
  <c r="M180" i="2"/>
  <c r="Q62" i="2"/>
  <c r="R62" i="2"/>
  <c r="M63" i="2"/>
  <c r="M115" i="2"/>
  <c r="R114" i="2"/>
  <c r="Q114" i="2"/>
  <c r="R115" i="2" l="1"/>
  <c r="M116" i="2"/>
  <c r="Q115" i="2"/>
  <c r="R63" i="2"/>
  <c r="M64" i="2"/>
  <c r="Q63" i="2"/>
  <c r="M181" i="2"/>
  <c r="R180" i="2"/>
  <c r="Q180" i="2"/>
  <c r="R181" i="2" l="1"/>
  <c r="Q181" i="2"/>
  <c r="M182" i="2"/>
  <c r="Q64" i="2"/>
  <c r="R64" i="2"/>
  <c r="M65" i="2"/>
  <c r="R116" i="2"/>
  <c r="Q116" i="2"/>
  <c r="M117" i="2"/>
  <c r="M66" i="2" l="1"/>
  <c r="R65" i="2"/>
  <c r="Q65" i="2"/>
  <c r="M183" i="2"/>
  <c r="R182" i="2"/>
  <c r="Q182" i="2"/>
  <c r="R117" i="2"/>
  <c r="Q117" i="2"/>
  <c r="M118" i="2"/>
  <c r="R183" i="2" l="1"/>
  <c r="Q183" i="2"/>
  <c r="M184" i="2"/>
  <c r="R118" i="2"/>
  <c r="Q118" i="2"/>
  <c r="M119" i="2"/>
  <c r="Q66" i="2"/>
  <c r="M67" i="2"/>
  <c r="R66" i="2"/>
  <c r="M68" i="2" l="1"/>
  <c r="R67" i="2"/>
  <c r="Q67" i="2"/>
  <c r="Q119" i="2"/>
  <c r="M120" i="2"/>
  <c r="R119" i="2"/>
  <c r="Q184" i="2"/>
  <c r="M185" i="2"/>
  <c r="R184" i="2"/>
  <c r="Q120" i="2" l="1"/>
  <c r="M121" i="2"/>
  <c r="R120" i="2"/>
  <c r="M186" i="2"/>
  <c r="R185" i="2"/>
  <c r="Q185" i="2"/>
  <c r="M69" i="2"/>
  <c r="R68" i="2"/>
  <c r="Q68" i="2"/>
  <c r="R69" i="2" l="1"/>
  <c r="Q69" i="2"/>
  <c r="M70" i="2"/>
  <c r="R186" i="2"/>
  <c r="M187" i="2"/>
  <c r="Q186" i="2"/>
  <c r="M122" i="2"/>
  <c r="R121" i="2"/>
  <c r="Q121" i="2"/>
  <c r="M188" i="2" l="1"/>
  <c r="R187" i="2"/>
  <c r="M123" i="2"/>
  <c r="R122" i="2"/>
  <c r="Q122" i="2"/>
  <c r="Q70" i="2"/>
  <c r="R70" i="2"/>
  <c r="M71" i="2"/>
  <c r="M72" i="2" l="1"/>
  <c r="R71" i="2"/>
  <c r="Q71" i="2"/>
  <c r="Q123" i="2"/>
  <c r="M124" i="2"/>
  <c r="R123" i="2"/>
  <c r="R188" i="2"/>
  <c r="M189" i="2"/>
  <c r="Q188" i="2"/>
  <c r="Q124" i="2" l="1"/>
  <c r="M125" i="2"/>
  <c r="R124" i="2"/>
  <c r="R189" i="2"/>
  <c r="M190" i="2"/>
  <c r="Q189" i="2"/>
  <c r="Q72" i="2"/>
  <c r="M73" i="2"/>
  <c r="R72" i="2"/>
  <c r="Q73" i="2" l="1"/>
  <c r="M74" i="2"/>
  <c r="R73" i="2"/>
  <c r="R190" i="2"/>
  <c r="Q190" i="2"/>
  <c r="M191" i="2"/>
  <c r="M126" i="2"/>
  <c r="R125" i="2"/>
  <c r="Q125" i="2"/>
  <c r="R126" i="2" l="1"/>
  <c r="Q126" i="2"/>
  <c r="M127" i="2"/>
  <c r="Q191" i="2"/>
  <c r="M192" i="2"/>
  <c r="R191" i="2"/>
  <c r="M75" i="2"/>
  <c r="R74" i="2"/>
  <c r="Q74" i="2"/>
  <c r="Q75" i="2" l="1"/>
  <c r="M76" i="2"/>
  <c r="R75" i="2"/>
  <c r="Q192" i="2"/>
  <c r="M193" i="2"/>
  <c r="R192" i="2"/>
  <c r="R127" i="2"/>
  <c r="Q127" i="2"/>
  <c r="M194" i="2" l="1"/>
  <c r="R193" i="2"/>
  <c r="Q193" i="2"/>
  <c r="Q76" i="2"/>
  <c r="R76" i="2"/>
  <c r="M77" i="2"/>
  <c r="R77" i="2" l="1"/>
  <c r="Q77" i="2"/>
  <c r="M78" i="2"/>
  <c r="R194" i="2"/>
  <c r="M195" i="2"/>
  <c r="Q194" i="2"/>
  <c r="R195" i="2" l="1"/>
  <c r="M196" i="2"/>
  <c r="Q195" i="2"/>
  <c r="Q78" i="2"/>
  <c r="M79" i="2"/>
  <c r="R78" i="2"/>
  <c r="M80" i="2" l="1"/>
  <c r="R79" i="2"/>
  <c r="Q79" i="2"/>
  <c r="R196" i="2"/>
  <c r="Q196" i="2"/>
  <c r="M197" i="2"/>
  <c r="Q197" i="2" l="1"/>
  <c r="M198" i="2"/>
  <c r="R197" i="2"/>
  <c r="Q80" i="2"/>
  <c r="R80" i="2"/>
  <c r="M81" i="2"/>
  <c r="M82" i="2" l="1"/>
  <c r="R81" i="2"/>
  <c r="Q81" i="2"/>
  <c r="M199" i="2"/>
  <c r="Q198" i="2"/>
  <c r="R198" i="2"/>
  <c r="M200" i="2" l="1"/>
  <c r="Q199" i="2"/>
  <c r="R199" i="2"/>
  <c r="Q82" i="2"/>
  <c r="M83" i="2"/>
  <c r="R82" i="2"/>
  <c r="M84" i="2" l="1"/>
  <c r="R83" i="2"/>
  <c r="Q83" i="2"/>
  <c r="R200" i="2"/>
  <c r="Q200" i="2"/>
  <c r="R84" i="2" l="1"/>
  <c r="M85" i="2"/>
  <c r="Q84" i="2"/>
  <c r="R85" i="2" l="1"/>
  <c r="M86" i="2"/>
  <c r="Q85" i="2"/>
  <c r="H7" i="1" l="1"/>
  <c r="R86" i="2"/>
  <c r="Q86" i="2"/>
  <c r="M87" i="2"/>
  <c r="R87" i="2" l="1"/>
  <c r="Q87" i="2"/>
</calcChain>
</file>

<file path=xl/sharedStrings.xml><?xml version="1.0" encoding="utf-8"?>
<sst xmlns="http://schemas.openxmlformats.org/spreadsheetml/2006/main" count="2591" uniqueCount="1797">
  <si>
    <t>Frequency</t>
  </si>
  <si>
    <t>av abund</t>
  </si>
  <si>
    <t>ID</t>
  </si>
  <si>
    <t>Diver</t>
  </si>
  <si>
    <t>Buddy</t>
  </si>
  <si>
    <t>Site No.</t>
  </si>
  <si>
    <t>Site Name</t>
  </si>
  <si>
    <t>Latitude</t>
  </si>
  <si>
    <t>Longitude</t>
  </si>
  <si>
    <t>Date</t>
  </si>
  <si>
    <t>vis</t>
  </si>
  <si>
    <t>Direction</t>
  </si>
  <si>
    <t>Time</t>
  </si>
  <si>
    <t>Depth</t>
  </si>
  <si>
    <t>Method</t>
  </si>
  <si>
    <t>Block</t>
  </si>
  <si>
    <t>Quadrat # (m)</t>
  </si>
  <si>
    <t>Code</t>
  </si>
  <si>
    <t>Species</t>
  </si>
  <si>
    <t>Common name</t>
  </si>
  <si>
    <t>Total</t>
  </si>
  <si>
    <t>Inverts</t>
  </si>
  <si>
    <t>Quadrat</t>
  </si>
  <si>
    <t>0, 1, 2</t>
  </si>
  <si>
    <t>Jasmin Schuster</t>
  </si>
  <si>
    <t>Tom Bird</t>
  </si>
  <si>
    <t>BMSC8</t>
  </si>
  <si>
    <t>NW</t>
  </si>
  <si>
    <t>Pmi</t>
  </si>
  <si>
    <t>Mfra</t>
  </si>
  <si>
    <t>Poc</t>
  </si>
  <si>
    <t>Unidentified star??</t>
  </si>
  <si>
    <t>BMSC6</t>
  </si>
  <si>
    <t>SW</t>
  </si>
  <si>
    <t>Oko</t>
  </si>
  <si>
    <t>Em Lim</t>
  </si>
  <si>
    <t>Isabelle Cote</t>
  </si>
  <si>
    <t>SE</t>
  </si>
  <si>
    <t>poc</t>
  </si>
  <si>
    <t>dim</t>
  </si>
  <si>
    <t>pmi</t>
  </si>
  <si>
    <t>mfra</t>
  </si>
  <si>
    <t>oko</t>
  </si>
  <si>
    <t>BMSC5</t>
  </si>
  <si>
    <t>4/23/2024</t>
  </si>
  <si>
    <t>E</t>
  </si>
  <si>
    <t>Sdr</t>
  </si>
  <si>
    <t>Spu</t>
  </si>
  <si>
    <t>BMSC9</t>
  </si>
  <si>
    <t>Henricia</t>
  </si>
  <si>
    <t>Dim</t>
  </si>
  <si>
    <t>BMSC25</t>
  </si>
  <si>
    <t>S</t>
  </si>
  <si>
    <t>etr</t>
  </si>
  <si>
    <t>phe</t>
  </si>
  <si>
    <t>4/22/2024</t>
  </si>
  <si>
    <t>Claire Attridge</t>
  </si>
  <si>
    <t>BMSC24</t>
  </si>
  <si>
    <t>4/24/2024</t>
  </si>
  <si>
    <t>NE</t>
  </si>
  <si>
    <t>BMSC26</t>
  </si>
  <si>
    <t>nsf</t>
  </si>
  <si>
    <t>sdr</t>
  </si>
  <si>
    <t>BMSC20</t>
  </si>
  <si>
    <t>4/25/2024</t>
  </si>
  <si>
    <t>spu</t>
  </si>
  <si>
    <t>BMSC1</t>
  </si>
  <si>
    <t>BMSC19</t>
  </si>
  <si>
    <t>W</t>
  </si>
  <si>
    <t>Mesocentrotus franciscanus</t>
  </si>
  <si>
    <t>sfo</t>
  </si>
  <si>
    <t>BMSC11</t>
  </si>
  <si>
    <t>4/26/2024</t>
  </si>
  <si>
    <t>BMSC12</t>
  </si>
  <si>
    <t>BMSC10</t>
  </si>
  <si>
    <t>Valesca de Groot</t>
  </si>
  <si>
    <t>BMSC3</t>
  </si>
  <si>
    <t>BMSC4</t>
  </si>
  <si>
    <t>henricia</t>
  </si>
  <si>
    <t>BMSC2</t>
  </si>
  <si>
    <t>N</t>
  </si>
  <si>
    <t>BMSC21</t>
  </si>
  <si>
    <t>BMSC22</t>
  </si>
  <si>
    <t>BMSC13</t>
  </si>
  <si>
    <t>BMSC17</t>
  </si>
  <si>
    <t>BMSC14</t>
  </si>
  <si>
    <t>BMSC16</t>
  </si>
  <si>
    <t>BMSC27</t>
  </si>
  <si>
    <t>BMSC23</t>
  </si>
  <si>
    <t>Species Name</t>
  </si>
  <si>
    <t>Common Name</t>
  </si>
  <si>
    <t>aho</t>
  </si>
  <si>
    <t>Alloclinus holderi</t>
  </si>
  <si>
    <t>Island kelpfish</t>
  </si>
  <si>
    <t>ako</t>
  </si>
  <si>
    <t>Amphistichus koelzi</t>
  </si>
  <si>
    <t>Calico surfperch</t>
  </si>
  <si>
    <t>aoc</t>
  </si>
  <si>
    <t>Anarrhichthys ocellatus</t>
  </si>
  <si>
    <t>Wolf-eel</t>
  </si>
  <si>
    <t>aco</t>
  </si>
  <si>
    <t>Artedius corallinus</t>
  </si>
  <si>
    <t>Coralline sculpin</t>
  </si>
  <si>
    <t>aha</t>
  </si>
  <si>
    <t>Artedius harringtoni</t>
  </si>
  <si>
    <t>Scalyhead sculpin</t>
  </si>
  <si>
    <t>ala</t>
  </si>
  <si>
    <t>Artedius lateralis</t>
  </si>
  <si>
    <t>Smoothhead sculpin</t>
  </si>
  <si>
    <t>asp</t>
  </si>
  <si>
    <t>Atractoscion sp. (nobilis)</t>
  </si>
  <si>
    <t>afl</t>
  </si>
  <si>
    <t>Aulorhynchus flavidus</t>
  </si>
  <si>
    <t>Tube-snout</t>
  </si>
  <si>
    <t>bfr</t>
  </si>
  <si>
    <t>Brachyistius frenatus</t>
  </si>
  <si>
    <t>Kelp perch</t>
  </si>
  <si>
    <t>cpr</t>
  </si>
  <si>
    <t>Caulolatilus princeps</t>
  </si>
  <si>
    <t>Ocean whitefish</t>
  </si>
  <si>
    <t>cve</t>
  </si>
  <si>
    <t>Cephaloscyllium ventriosum</t>
  </si>
  <si>
    <t>Swell shark</t>
  </si>
  <si>
    <t>cpu</t>
  </si>
  <si>
    <t>Chromis punctipinnis</t>
  </si>
  <si>
    <t>Blacksmith chromis</t>
  </si>
  <si>
    <t>cst</t>
  </si>
  <si>
    <t>Citharichthys stigmaeus</t>
  </si>
  <si>
    <t>Speckled sand dab</t>
  </si>
  <si>
    <t>cottidae</t>
  </si>
  <si>
    <t>Cottidae spp.</t>
  </si>
  <si>
    <t>clu</t>
  </si>
  <si>
    <t>Cyclopterus lumpus</t>
  </si>
  <si>
    <t>Lumpfish</t>
  </si>
  <si>
    <t>cag</t>
  </si>
  <si>
    <t>Cymatogaster aggregata</t>
  </si>
  <si>
    <t>Shiner perch</t>
  </si>
  <si>
    <t>eja</t>
  </si>
  <si>
    <t>Embiotoca jacksoni</t>
  </si>
  <si>
    <t>Black perch</t>
  </si>
  <si>
    <t>ela</t>
  </si>
  <si>
    <t>Embiotoca lateralis</t>
  </si>
  <si>
    <t>Striped seaperch</t>
  </si>
  <si>
    <t>eju</t>
  </si>
  <si>
    <t>Eumetopias jubatus</t>
  </si>
  <si>
    <t>Steller sea lion</t>
  </si>
  <si>
    <t>gmo</t>
  </si>
  <si>
    <t>Gadus morhua</t>
  </si>
  <si>
    <t>Atlantic cod</t>
  </si>
  <si>
    <t>gel</t>
  </si>
  <si>
    <t>Gibbonsia elegans</t>
  </si>
  <si>
    <t>Spotted kelpfish</t>
  </si>
  <si>
    <t>gsp</t>
  </si>
  <si>
    <t>Gibbonsia sp. (elegans)</t>
  </si>
  <si>
    <t>gni</t>
  </si>
  <si>
    <t>Girella nigricans</t>
  </si>
  <si>
    <t>Opaleye</t>
  </si>
  <si>
    <t>gsp.</t>
  </si>
  <si>
    <t>Gobiidae sp. [orange]</t>
  </si>
  <si>
    <t>gmor</t>
  </si>
  <si>
    <t>Gymnothorax mordax</t>
  </si>
  <si>
    <t>California moray</t>
  </si>
  <si>
    <t>hse</t>
  </si>
  <si>
    <t>Halichoeres semicinctus</t>
  </si>
  <si>
    <t>Rock wrasse</t>
  </si>
  <si>
    <t>hhe</t>
  </si>
  <si>
    <t>Hemilepidotus hemilepidotus</t>
  </si>
  <si>
    <t>Red Irish lord</t>
  </si>
  <si>
    <t>ham</t>
  </si>
  <si>
    <t>Hemitripterus americanus</t>
  </si>
  <si>
    <t>hfr</t>
  </si>
  <si>
    <t>Heterodontus francisci</t>
  </si>
  <si>
    <t>Bullhead shark</t>
  </si>
  <si>
    <t>hro</t>
  </si>
  <si>
    <t>Heterostichus rostratus</t>
  </si>
  <si>
    <t>Giant kelpfish</t>
  </si>
  <si>
    <t>hde</t>
  </si>
  <si>
    <t>Hexagrammos decagrammus</t>
  </si>
  <si>
    <t>Kelp greenling</t>
  </si>
  <si>
    <t>hst</t>
  </si>
  <si>
    <t>Hexagrammos stelleri</t>
  </si>
  <si>
    <t>Whitespotted greenling</t>
  </si>
  <si>
    <t>hca</t>
  </si>
  <si>
    <t>Hypsurus caryi</t>
  </si>
  <si>
    <t>Rainbow seaperch</t>
  </si>
  <si>
    <t>hru</t>
  </si>
  <si>
    <t>Hypsypops rubicundus</t>
  </si>
  <si>
    <t>Garibaldi damselfish</t>
  </si>
  <si>
    <t>jzo</t>
  </si>
  <si>
    <t>Jordania zonope</t>
  </si>
  <si>
    <t>Longfin sculpin</t>
  </si>
  <si>
    <t>lhi</t>
  </si>
  <si>
    <t>Leiocottus hirundo</t>
  </si>
  <si>
    <t>Lavender sculpin</t>
  </si>
  <si>
    <t>lar</t>
  </si>
  <si>
    <t>Leptocottus armatus</t>
  </si>
  <si>
    <t>Pacific staghorn sculpin</t>
  </si>
  <si>
    <t>lda</t>
  </si>
  <si>
    <t>Lythrypnus dalli</t>
  </si>
  <si>
    <t>Bluebanded goby</t>
  </si>
  <si>
    <t>lze</t>
  </si>
  <si>
    <t>Lythrypnus zebra</t>
  </si>
  <si>
    <t>Zebra goby</t>
  </si>
  <si>
    <t>mvi</t>
  </si>
  <si>
    <t>Mallotus villosus</t>
  </si>
  <si>
    <t>mca</t>
  </si>
  <si>
    <t>Medialuna californiensis</t>
  </si>
  <si>
    <t>Halfmoon</t>
  </si>
  <si>
    <t>mcal</t>
  </si>
  <si>
    <t>Myliobatis californica</t>
  </si>
  <si>
    <t>Bat eagle ray</t>
  </si>
  <si>
    <t>maen</t>
  </si>
  <si>
    <t>Myoxocephalus aenaeus</t>
  </si>
  <si>
    <t>Grubby sculpin</t>
  </si>
  <si>
    <t>msc</t>
  </si>
  <si>
    <t>Myoxocephalus scorpius</t>
  </si>
  <si>
    <t>Shorthorn sculpin</t>
  </si>
  <si>
    <t>myoxocephalus</t>
  </si>
  <si>
    <t>Myoxocephalus spp.</t>
  </si>
  <si>
    <t>neoclinus</t>
  </si>
  <si>
    <t>Neoclinus spp.</t>
  </si>
  <si>
    <t>obi</t>
  </si>
  <si>
    <t>Octopus bimaculatus</t>
  </si>
  <si>
    <t>California two-spot octopus</t>
  </si>
  <si>
    <t>oru</t>
  </si>
  <si>
    <t>Octopus rubescens</t>
  </si>
  <si>
    <t>East pacific red octopus</t>
  </si>
  <si>
    <t>octopus</t>
  </si>
  <si>
    <t>Octopus spp.</t>
  </si>
  <si>
    <t>Octopus</t>
  </si>
  <si>
    <t>oel</t>
  </si>
  <si>
    <t>Ophiodon elongatus</t>
  </si>
  <si>
    <t>Lingcod</t>
  </si>
  <si>
    <t>otr</t>
  </si>
  <si>
    <t>Orthonopias triacis</t>
  </si>
  <si>
    <t>Snubnose sculpin</t>
  </si>
  <si>
    <t>otariidae</t>
  </si>
  <si>
    <t>Otariidae spp.</t>
  </si>
  <si>
    <t>eared seals</t>
  </si>
  <si>
    <t>oca</t>
  </si>
  <si>
    <t>Oxyjulis californica</t>
  </si>
  <si>
    <t>SeÃ±orita</t>
  </si>
  <si>
    <t>opi</t>
  </si>
  <si>
    <t>Oxylebius pictus</t>
  </si>
  <si>
    <t>Painted greenling</t>
  </si>
  <si>
    <t>pcl</t>
  </si>
  <si>
    <t>Paralabrax clathratus</t>
  </si>
  <si>
    <t>Kelp bass</t>
  </si>
  <si>
    <t>pat</t>
  </si>
  <si>
    <t>Phanerodon atripes</t>
  </si>
  <si>
    <t>Sharpnose seaperch</t>
  </si>
  <si>
    <t>pvi</t>
  </si>
  <si>
    <t>Phoca vitulina</t>
  </si>
  <si>
    <t>harbour seal</t>
  </si>
  <si>
    <t>pgu</t>
  </si>
  <si>
    <t>Pholis gunnellus</t>
  </si>
  <si>
    <t>Rock gunnel</t>
  </si>
  <si>
    <t>pla</t>
  </si>
  <si>
    <t>Pholis laeta</t>
  </si>
  <si>
    <t>Crescent gunnel</t>
  </si>
  <si>
    <t>pco</t>
  </si>
  <si>
    <t>Pleuronichthys coenosus</t>
  </si>
  <si>
    <t>C-o sole</t>
  </si>
  <si>
    <t>pam</t>
  </si>
  <si>
    <t>Pseudopleuronectes americanus</t>
  </si>
  <si>
    <t>Winter flounder</t>
  </si>
  <si>
    <t>rto</t>
  </si>
  <si>
    <t>Rhacochilus toxotes</t>
  </si>
  <si>
    <t>Rubberlip seaperch</t>
  </si>
  <si>
    <t>rva</t>
  </si>
  <si>
    <t>Rhacochilus vacca</t>
  </si>
  <si>
    <t>Pile perch</t>
  </si>
  <si>
    <t>rni</t>
  </si>
  <si>
    <t>Rhinogobiops nicholsii</t>
  </si>
  <si>
    <t>Blackeye goby</t>
  </si>
  <si>
    <t>ssa</t>
  </si>
  <si>
    <t>Scomberesox saurus</t>
  </si>
  <si>
    <t>sgu</t>
  </si>
  <si>
    <t>Scorpaena guttata</t>
  </si>
  <si>
    <t>California scorpionfish</t>
  </si>
  <si>
    <t>smar</t>
  </si>
  <si>
    <t>Scorpaenichthys marmoratus</t>
  </si>
  <si>
    <t>Cabezon</t>
  </si>
  <si>
    <t>scyliorhinidae</t>
  </si>
  <si>
    <t>Scyliorhinidae spp.</t>
  </si>
  <si>
    <t>sat</t>
  </si>
  <si>
    <t>Sebastes atrovirens</t>
  </si>
  <si>
    <t>Kelp rockfish</t>
  </si>
  <si>
    <t>sau</t>
  </si>
  <si>
    <t>Sebastes auriculatus</t>
  </si>
  <si>
    <t>Brown rockfish</t>
  </si>
  <si>
    <t>scar</t>
  </si>
  <si>
    <t>Sebastes carnatus</t>
  </si>
  <si>
    <t>Gopher rockfish</t>
  </si>
  <si>
    <t>sca</t>
  </si>
  <si>
    <t>Sebastes caurinus</t>
  </si>
  <si>
    <t>Copper rockfish</t>
  </si>
  <si>
    <t>sch</t>
  </si>
  <si>
    <t>Sebastes chrysomelas</t>
  </si>
  <si>
    <t>Black-and-yellow rockfish</t>
  </si>
  <si>
    <t>sdi</t>
  </si>
  <si>
    <t>Sebastes diaconus</t>
  </si>
  <si>
    <t>Deacon rockfish</t>
  </si>
  <si>
    <t>sfl</t>
  </si>
  <si>
    <t>Sebastes flavidus</t>
  </si>
  <si>
    <t>Yellowtail rockfish</t>
  </si>
  <si>
    <t>sma</t>
  </si>
  <si>
    <t>Sebastes maliger</t>
  </si>
  <si>
    <t>Quillback rockfish</t>
  </si>
  <si>
    <t>sme</t>
  </si>
  <si>
    <t>Sebastes melanops</t>
  </si>
  <si>
    <t>Black rockfish</t>
  </si>
  <si>
    <t>smi</t>
  </si>
  <si>
    <t>Sebastes miniatus</t>
  </si>
  <si>
    <t>Vermilion rockfish</t>
  </si>
  <si>
    <t>smy</t>
  </si>
  <si>
    <t>Sebastes mystinus</t>
  </si>
  <si>
    <t>Blue rockfish</t>
  </si>
  <si>
    <t>sne</t>
  </si>
  <si>
    <t>Sebastes nebulosus</t>
  </si>
  <si>
    <t>China rockfish</t>
  </si>
  <si>
    <t>spa</t>
  </si>
  <si>
    <t>Sebastes paucispinis</t>
  </si>
  <si>
    <t>Bocaccio rockfish</t>
  </si>
  <si>
    <t>spi</t>
  </si>
  <si>
    <t>Sebastes pinniger</t>
  </si>
  <si>
    <t>Canary rockfish</t>
  </si>
  <si>
    <t>sra</t>
  </si>
  <si>
    <t>Sebastes rastrelliger</t>
  </si>
  <si>
    <t>Grass rockfish</t>
  </si>
  <si>
    <t>sse</t>
  </si>
  <si>
    <t>Sebastes serranoides</t>
  </si>
  <si>
    <t>Olive rockfish</t>
  </si>
  <si>
    <t>sser</t>
  </si>
  <si>
    <t>Sebastes serriceps</t>
  </si>
  <si>
    <t>Treefish</t>
  </si>
  <si>
    <t>sebastes</t>
  </si>
  <si>
    <t>Sebastes spp.</t>
  </si>
  <si>
    <t>Unidentified rockfish</t>
  </si>
  <si>
    <t>Semicossyphus pulcher</t>
  </si>
  <si>
    <t>California sheephead</t>
  </si>
  <si>
    <t>snd</t>
  </si>
  <si>
    <t>Survey Not Done</t>
  </si>
  <si>
    <t>sgi</t>
  </si>
  <si>
    <t>Synchirus gilli</t>
  </si>
  <si>
    <t>Manacled sculpin</t>
  </si>
  <si>
    <t>tad</t>
  </si>
  <si>
    <t>Tautogolabrus adspersus</t>
  </si>
  <si>
    <t>Cunner</t>
  </si>
  <si>
    <t>usu</t>
  </si>
  <si>
    <t>Ulvaria subbifurcata</t>
  </si>
  <si>
    <t>Radiated shanny</t>
  </si>
  <si>
    <t>uch</t>
  </si>
  <si>
    <t>Urophycis chuss</t>
  </si>
  <si>
    <t>zam</t>
  </si>
  <si>
    <t>Zoarces americanus</t>
  </si>
  <si>
    <t>Eelpout</t>
  </si>
  <si>
    <t>No species found</t>
  </si>
  <si>
    <t>ahu</t>
  </si>
  <si>
    <t>Acanthodoris hudsoni</t>
  </si>
  <si>
    <t>ana</t>
  </si>
  <si>
    <t>Acanthodoris nanaimoensis</t>
  </si>
  <si>
    <t>Nanaimo horned dorid</t>
  </si>
  <si>
    <t>Acanthodoris sp. [hudsoni]</t>
  </si>
  <si>
    <t>ami</t>
  </si>
  <si>
    <t>Acmaea mitra</t>
  </si>
  <si>
    <t>Whitecap limpet</t>
  </si>
  <si>
    <t>apa</t>
  </si>
  <si>
    <t>Aeolidia papillosa</t>
  </si>
  <si>
    <t>Shag-rug nudibranch</t>
  </si>
  <si>
    <t>acol</t>
  </si>
  <si>
    <t>Amphissa columbiana</t>
  </si>
  <si>
    <t>Wrinkled dove snail</t>
  </si>
  <si>
    <t>amphissa</t>
  </si>
  <si>
    <t>Amphissa spp.</t>
  </si>
  <si>
    <t>Dove shell</t>
  </si>
  <si>
    <t>anisodoris</t>
  </si>
  <si>
    <t>Anisodoris spp.</t>
  </si>
  <si>
    <t>afu</t>
  </si>
  <si>
    <t>Antiopella fusca</t>
  </si>
  <si>
    <t>White-and-orange-tipped nudibranch</t>
  </si>
  <si>
    <t>acal</t>
  </si>
  <si>
    <t>Aplysia californica</t>
  </si>
  <si>
    <t>California seahare</t>
  </si>
  <si>
    <t>Apodichthys flavidus</t>
  </si>
  <si>
    <t>Penpoint gunnel</t>
  </si>
  <si>
    <t>aca</t>
  </si>
  <si>
    <t>Apostichopus californicus</t>
  </si>
  <si>
    <t>California sea cucumber</t>
  </si>
  <si>
    <t>archidoris</t>
  </si>
  <si>
    <t>Archidoris spp.</t>
  </si>
  <si>
    <t>Aru</t>
  </si>
  <si>
    <t>Asterias rubens</t>
  </si>
  <si>
    <t>Common sea star</t>
  </si>
  <si>
    <t>bmi</t>
  </si>
  <si>
    <t>Baptodoris mimetica</t>
  </si>
  <si>
    <t>Mimic dorid</t>
  </si>
  <si>
    <t>bch</t>
  </si>
  <si>
    <t>Berthella chacei</t>
  </si>
  <si>
    <t>White berthella nudibranch</t>
  </si>
  <si>
    <t>bin</t>
  </si>
  <si>
    <t>Bolinopsis infundibulum</t>
  </si>
  <si>
    <t>Common northern comb jelly</t>
  </si>
  <si>
    <t>bun</t>
  </si>
  <si>
    <t>Buccinum undatum</t>
  </si>
  <si>
    <t>Waved whelk</t>
  </si>
  <si>
    <t>Cadlina luteomarginata</t>
  </si>
  <si>
    <t>Yellow-edge cadlina</t>
  </si>
  <si>
    <t>cmo</t>
  </si>
  <si>
    <t>Cadlina modesta</t>
  </si>
  <si>
    <t>Modest cadlina nudibranch</t>
  </si>
  <si>
    <t>can</t>
  </si>
  <si>
    <t>Calliostoma annulatum</t>
  </si>
  <si>
    <t>cli</t>
  </si>
  <si>
    <t>Calliostoma ligatum</t>
  </si>
  <si>
    <t>Blue top shell</t>
  </si>
  <si>
    <t>cir</t>
  </si>
  <si>
    <t>Cancer irroratus</t>
  </si>
  <si>
    <t>Atlantic rock crab</t>
  </si>
  <si>
    <t>Cancer productus</t>
  </si>
  <si>
    <t>Red rock crab</t>
  </si>
  <si>
    <t>cco</t>
  </si>
  <si>
    <t>Centrostephanus coronatus</t>
  </si>
  <si>
    <t>Crowned sea urchin</t>
  </si>
  <si>
    <t>cven</t>
  </si>
  <si>
    <t>cfo</t>
  </si>
  <si>
    <t>Ceratostoma foliatum</t>
  </si>
  <si>
    <t>Leafy hornmouth</t>
  </si>
  <si>
    <t>cha</t>
  </si>
  <si>
    <t>Chlamys hastata</t>
  </si>
  <si>
    <t>Spear scallop</t>
  </si>
  <si>
    <t>cru</t>
  </si>
  <si>
    <t>Chlamys rubida</t>
  </si>
  <si>
    <t>Reddish scallop</t>
  </si>
  <si>
    <t>cver</t>
  </si>
  <si>
    <t>Coryphella verrucosa</t>
  </si>
  <si>
    <t>cgi</t>
  </si>
  <si>
    <t>Crassadoma gigantea</t>
  </si>
  <si>
    <t>Purple-hinged rock scallop</t>
  </si>
  <si>
    <t>cad</t>
  </si>
  <si>
    <t>Crepidula adunca</t>
  </si>
  <si>
    <t>cpa</t>
  </si>
  <si>
    <t>Crossaster papposus</t>
  </si>
  <si>
    <t>Rose seastar</t>
  </si>
  <si>
    <t>csi</t>
  </si>
  <si>
    <t>Cryptolithodes sitchensis</t>
  </si>
  <si>
    <t xml:space="preserve">Umbrella crab </t>
  </si>
  <si>
    <t>cfr</t>
  </si>
  <si>
    <t>Cucumaria frondosa</t>
  </si>
  <si>
    <t>Orange-footed sea cucumber</t>
  </si>
  <si>
    <t>cmi</t>
  </si>
  <si>
    <t>Cucumaria miniata</t>
  </si>
  <si>
    <t>Orange sea cucumber</t>
  </si>
  <si>
    <t>cpi</t>
  </si>
  <si>
    <t>Cucumaria piperata</t>
  </si>
  <si>
    <t>csa</t>
  </si>
  <si>
    <t>Cucumaria salma</t>
  </si>
  <si>
    <t>White sea cucumber</t>
  </si>
  <si>
    <t>clum</t>
  </si>
  <si>
    <t>dfu</t>
  </si>
  <si>
    <t>Dendrodoris fulva</t>
  </si>
  <si>
    <t>Yellow porostome</t>
  </si>
  <si>
    <t>dalb</t>
  </si>
  <si>
    <t>Dendronotus albus</t>
  </si>
  <si>
    <t>White frond-aeolis</t>
  </si>
  <si>
    <t>dfr</t>
  </si>
  <si>
    <t>Dendronotus frondosus</t>
  </si>
  <si>
    <t>dir</t>
  </si>
  <si>
    <t>Dendronotus iris</t>
  </si>
  <si>
    <t>Giant frond-aeolis</t>
  </si>
  <si>
    <t>Dermasterias imbricata</t>
  </si>
  <si>
    <t>Leather star</t>
  </si>
  <si>
    <t>dodo</t>
  </si>
  <si>
    <t>Diaulula odonoghuei</t>
  </si>
  <si>
    <t>Spotted dorid</t>
  </si>
  <si>
    <t>dsa</t>
  </si>
  <si>
    <t>Diaulula sandiegensis</t>
  </si>
  <si>
    <t>Ringed doris</t>
  </si>
  <si>
    <t>das</t>
  </si>
  <si>
    <t>Diodora aspera</t>
  </si>
  <si>
    <t>dal</t>
  </si>
  <si>
    <t>Dirona albolineata</t>
  </si>
  <si>
    <t>White-line dirona</t>
  </si>
  <si>
    <t>dpe</t>
  </si>
  <si>
    <t>Dirona pellucida</t>
  </si>
  <si>
    <t>Golden dirona</t>
  </si>
  <si>
    <t>dmo</t>
  </si>
  <si>
    <t>Doris montereyensis</t>
  </si>
  <si>
    <t>Monterey sea lemon</t>
  </si>
  <si>
    <t>dod</t>
  </si>
  <si>
    <t>Doris odhneri</t>
  </si>
  <si>
    <t>White night doris</t>
  </si>
  <si>
    <t>epa</t>
  </si>
  <si>
    <t>Echinarachnius parma</t>
  </si>
  <si>
    <t>ete</t>
  </si>
  <si>
    <t>Elassochirus tenuimanus</t>
  </si>
  <si>
    <t>Widehand hermitcrab</t>
  </si>
  <si>
    <t>ebi</t>
  </si>
  <si>
    <t>Enophrys bison</t>
  </si>
  <si>
    <t>Buffalo sculpin</t>
  </si>
  <si>
    <t>equ</t>
  </si>
  <si>
    <t>Eupentacta quinquesemita</t>
  </si>
  <si>
    <t>Stiff-footed sea cucumber</t>
  </si>
  <si>
    <t>eupentacta</t>
  </si>
  <si>
    <t>Eupentacta spp.</t>
  </si>
  <si>
    <t>Evasterias troschelii</t>
  </si>
  <si>
    <t>Mottled starfish</t>
  </si>
  <si>
    <t>fse</t>
  </si>
  <si>
    <t>Florometra serratissima</t>
  </si>
  <si>
    <t>Common feather star</t>
  </si>
  <si>
    <t>fusinus</t>
  </si>
  <si>
    <t>Fusinus spp.</t>
  </si>
  <si>
    <t>for</t>
  </si>
  <si>
    <t>Fusitriton oregonensis</t>
  </si>
  <si>
    <t>Oregon triton</t>
  </si>
  <si>
    <t>ghe</t>
  </si>
  <si>
    <t>Geitodoris heathi</t>
  </si>
  <si>
    <t>Heath's dorid</t>
  </si>
  <si>
    <t>gor</t>
  </si>
  <si>
    <t>Glebocarcinus oregonensis</t>
  </si>
  <si>
    <t>hka</t>
  </si>
  <si>
    <t>Haliotis kamtschatkana</t>
  </si>
  <si>
    <t>Pinto abalone</t>
  </si>
  <si>
    <t>Haliotis rufescens</t>
  </si>
  <si>
    <t>Red abalone</t>
  </si>
  <si>
    <t>him</t>
  </si>
  <si>
    <t>Harmothoe imbricata</t>
  </si>
  <si>
    <t>hle</t>
  </si>
  <si>
    <t>Henricia leviuscula</t>
  </si>
  <si>
    <t>Pacific blood star</t>
  </si>
  <si>
    <t>hpu</t>
  </si>
  <si>
    <t>Henricia pumila</t>
  </si>
  <si>
    <t>Dwarf mottled henricia</t>
  </si>
  <si>
    <t>Henricia sp.</t>
  </si>
  <si>
    <t>Unidentified blood star</t>
  </si>
  <si>
    <t>hsa</t>
  </si>
  <si>
    <t>Henricia sanguinolenta</t>
  </si>
  <si>
    <t>Northern henricia</t>
  </si>
  <si>
    <t>hsty</t>
  </si>
  <si>
    <t>Heptacarpus stylus</t>
  </si>
  <si>
    <t>Stiletto shrimp</t>
  </si>
  <si>
    <t>hpa</t>
  </si>
  <si>
    <t>Herbstia parvifrons</t>
  </si>
  <si>
    <t>Crevice spider crab</t>
  </si>
  <si>
    <t>hcr</t>
  </si>
  <si>
    <t>Hermissenda crassicornis</t>
  </si>
  <si>
    <t>Opalescent nudibranch</t>
  </si>
  <si>
    <t>hexagrammos</t>
  </si>
  <si>
    <t>Hexagrammos spp.</t>
  </si>
  <si>
    <t>hsp</t>
  </si>
  <si>
    <t>Hippasteria spinosa</t>
  </si>
  <si>
    <t>Spiny red star</t>
  </si>
  <si>
    <t>Homarus americanus</t>
  </si>
  <si>
    <t>American lobster</t>
  </si>
  <si>
    <t>hco</t>
  </si>
  <si>
    <t>Hyas coarctatus</t>
  </si>
  <si>
    <t>Arctic lyre crab</t>
  </si>
  <si>
    <t>kke</t>
  </si>
  <si>
    <t>Kelletia kelletii</t>
  </si>
  <si>
    <t>Kellet's whelk</t>
  </si>
  <si>
    <t>lgr</t>
  </si>
  <si>
    <t>Lebbeus groenlandicus</t>
  </si>
  <si>
    <t>lhe</t>
  </si>
  <si>
    <t>Leptasterias hexactis</t>
  </si>
  <si>
    <t>Six-rayed star</t>
  </si>
  <si>
    <t>lpo</t>
  </si>
  <si>
    <t>Leptasterias polaris</t>
  </si>
  <si>
    <t>Polar six-rayed star</t>
  </si>
  <si>
    <t>lco</t>
  </si>
  <si>
    <t>Linckia columbiae</t>
  </si>
  <si>
    <t>Fragile star</t>
  </si>
  <si>
    <t>lfl</t>
  </si>
  <si>
    <t>Liparis florae</t>
  </si>
  <si>
    <t>Tidepool snailfish</t>
  </si>
  <si>
    <t>lma</t>
  </si>
  <si>
    <t>Lopholithodes mandtii</t>
  </si>
  <si>
    <t>Puget sound king crab</t>
  </si>
  <si>
    <t>lbe</t>
  </si>
  <si>
    <t>Lophopanopeus bellus</t>
  </si>
  <si>
    <t>Black-clawed crab</t>
  </si>
  <si>
    <t>lsc</t>
  </si>
  <si>
    <t>Lottia scutum</t>
  </si>
  <si>
    <t>Plate limpet</t>
  </si>
  <si>
    <t>majidae</t>
  </si>
  <si>
    <t>Majidae spp.</t>
  </si>
  <si>
    <t>mae</t>
  </si>
  <si>
    <t>Mediaster aequalis</t>
  </si>
  <si>
    <t>Vermillion sea star</t>
  </si>
  <si>
    <t>mun</t>
  </si>
  <si>
    <t>Megastraea undosa</t>
  </si>
  <si>
    <t>Wavy turban snail</t>
  </si>
  <si>
    <t>mcr</t>
  </si>
  <si>
    <t>Megathura crenulata</t>
  </si>
  <si>
    <t>Giant keyhole limpet</t>
  </si>
  <si>
    <t>mle</t>
  </si>
  <si>
    <t>Melibe leonina</t>
  </si>
  <si>
    <t>Hooded nudibranch</t>
  </si>
  <si>
    <t>Red sea urchin</t>
  </si>
  <si>
    <t>mfo</t>
  </si>
  <si>
    <t>Mimulus foliatus</t>
  </si>
  <si>
    <t>Foliate kelp crab</t>
  </si>
  <si>
    <t>mce</t>
  </si>
  <si>
    <t>Mitrocoma cellularia</t>
  </si>
  <si>
    <t>Cross jellyfish</t>
  </si>
  <si>
    <t>mmo</t>
  </si>
  <si>
    <t>Modiolus modiolus</t>
  </si>
  <si>
    <t>Horse mussel</t>
  </si>
  <si>
    <t>nin</t>
  </si>
  <si>
    <t>Navanax inermis</t>
  </si>
  <si>
    <t>California aglaja</t>
  </si>
  <si>
    <t>nle</t>
  </si>
  <si>
    <t>Neverita lewisii</t>
  </si>
  <si>
    <t>Lewis' Moon snail</t>
  </si>
  <si>
    <t>nno</t>
  </si>
  <si>
    <t>Norrisia norrisii</t>
  </si>
  <si>
    <t>Norris top snail</t>
  </si>
  <si>
    <t>nla</t>
  </si>
  <si>
    <t>Nucella lamellosa</t>
  </si>
  <si>
    <t>Frilled dogwinkle</t>
  </si>
  <si>
    <t>obim</t>
  </si>
  <si>
    <t>oma</t>
  </si>
  <si>
    <t>Oligocottus maculosus</t>
  </si>
  <si>
    <t>Tidepool sculpin</t>
  </si>
  <si>
    <t>olivella</t>
  </si>
  <si>
    <t>Olivella spp.</t>
  </si>
  <si>
    <t>Onchidoris bilamellata</t>
  </si>
  <si>
    <t>Rough-mantled doris</t>
  </si>
  <si>
    <t>ogr</t>
  </si>
  <si>
    <t>Oregonia gracilis</t>
  </si>
  <si>
    <t>Graceful decorator crab</t>
  </si>
  <si>
    <t>Orthasterias koehleri</t>
  </si>
  <si>
    <t>Rainbow star</t>
  </si>
  <si>
    <t>pru</t>
  </si>
  <si>
    <t>Pachythyone rubra</t>
  </si>
  <si>
    <t>Red sea cucumber</t>
  </si>
  <si>
    <t>pul</t>
  </si>
  <si>
    <t>Paguristes ulreyi</t>
  </si>
  <si>
    <t>Furry hermit crab</t>
  </si>
  <si>
    <t>pac</t>
  </si>
  <si>
    <t>Pagurus acadianus</t>
  </si>
  <si>
    <t>phem</t>
  </si>
  <si>
    <t>Pagurus hemphilli</t>
  </si>
  <si>
    <t>Maroon hermit</t>
  </si>
  <si>
    <t>hermit</t>
  </si>
  <si>
    <t>Paguroidea spp.</t>
  </si>
  <si>
    <t>Unidentified hermit crab</t>
  </si>
  <si>
    <t>pda</t>
  </si>
  <si>
    <t>Pandalus danae</t>
  </si>
  <si>
    <t>Dock shrimp</t>
  </si>
  <si>
    <t>pin</t>
  </si>
  <si>
    <t>Panulirus interruptus</t>
  </si>
  <si>
    <t>California spiny lobster</t>
  </si>
  <si>
    <t>pca</t>
  </si>
  <si>
    <t>Parastichopus californicus</t>
  </si>
  <si>
    <t>Californian sea cucumber</t>
  </si>
  <si>
    <t>parastichopus</t>
  </si>
  <si>
    <t>Parastichopus spp.</t>
  </si>
  <si>
    <t>Patiria miniata</t>
  </si>
  <si>
    <t>Bat star</t>
  </si>
  <si>
    <t>phi</t>
  </si>
  <si>
    <t>Phidiana hiltoni</t>
  </si>
  <si>
    <t>Pugnaceous aeolis</t>
  </si>
  <si>
    <t>por</t>
  </si>
  <si>
    <t>Pholis ornata</t>
  </si>
  <si>
    <t>Saddleback gunnel</t>
  </si>
  <si>
    <t>pholis</t>
  </si>
  <si>
    <t>Pholis spp.</t>
  </si>
  <si>
    <t>pbr</t>
  </si>
  <si>
    <t>Pisaster brevispinus</t>
  </si>
  <si>
    <t>Giant pink sea star</t>
  </si>
  <si>
    <t>pgig</t>
  </si>
  <si>
    <t>Pisaster giganteus</t>
  </si>
  <si>
    <t>Giant spined star</t>
  </si>
  <si>
    <t>Pisaster ochraceus</t>
  </si>
  <si>
    <t>Purple sea star</t>
  </si>
  <si>
    <t>pma</t>
  </si>
  <si>
    <t>Placopecten magellanicus</t>
  </si>
  <si>
    <t>Giant scallop</t>
  </si>
  <si>
    <t>ptr</t>
  </si>
  <si>
    <t>Polycera tricolor</t>
  </si>
  <si>
    <t>Tricolour nudibranch</t>
  </si>
  <si>
    <t>ppe</t>
  </si>
  <si>
    <t>Polyorchis penicillatus</t>
  </si>
  <si>
    <t>Red-eye jellyfish</t>
  </si>
  <si>
    <t>pgi</t>
  </si>
  <si>
    <t>Pomaulax gibberosus</t>
  </si>
  <si>
    <t>Red turban shell</t>
  </si>
  <si>
    <t>plu</t>
  </si>
  <si>
    <t>Pseudocnus lubrica</t>
  </si>
  <si>
    <t>pte</t>
  </si>
  <si>
    <t>Pteraster tesselatus</t>
  </si>
  <si>
    <t>Slime star</t>
  </si>
  <si>
    <t>pgr</t>
  </si>
  <si>
    <t>Pugettia gracilis</t>
  </si>
  <si>
    <t>Graceful kelp crab</t>
  </si>
  <si>
    <t>ppr</t>
  </si>
  <si>
    <t>Pugettia producta</t>
  </si>
  <si>
    <t>Northern kelp crab</t>
  </si>
  <si>
    <t>pugettia</t>
  </si>
  <si>
    <t>Pugettia spp.</t>
  </si>
  <si>
    <t>Kelp crabs</t>
  </si>
  <si>
    <t>Pycnopodia helianthoides</t>
  </si>
  <si>
    <t>Sunflower star</t>
  </si>
  <si>
    <t>rwo</t>
  </si>
  <si>
    <t>Rhinolithodes wosnessenskii</t>
  </si>
  <si>
    <t>Rhinoceros crab</t>
  </si>
  <si>
    <t>ran</t>
  </si>
  <si>
    <t>Romaleon antennarium</t>
  </si>
  <si>
    <t>California rock crab</t>
  </si>
  <si>
    <t>rbr</t>
  </si>
  <si>
    <t>Romaleon branneri</t>
  </si>
  <si>
    <t>Furrowed rock crab</t>
  </si>
  <si>
    <t>sac</t>
  </si>
  <si>
    <t>Scyra acutifrons</t>
  </si>
  <si>
    <t>Sharpnose crab</t>
  </si>
  <si>
    <t>sda</t>
  </si>
  <si>
    <t>Solaster dawsoni</t>
  </si>
  <si>
    <t>Morning sun star</t>
  </si>
  <si>
    <t>sen</t>
  </si>
  <si>
    <t>Solaster endeca</t>
  </si>
  <si>
    <t>Northern sun star</t>
  </si>
  <si>
    <t>sst</t>
  </si>
  <si>
    <t>Solaster stimpsoni</t>
  </si>
  <si>
    <t>Striped sun star</t>
  </si>
  <si>
    <t>Strongylocentrotus droebachiensis</t>
  </si>
  <si>
    <t>Northern sea urchin</t>
  </si>
  <si>
    <t>Strongylocentrotus purpuratus</t>
  </si>
  <si>
    <t>Purple sea urchin (?)</t>
  </si>
  <si>
    <t>Stylasterias forreri</t>
  </si>
  <si>
    <t>Velcro seastar</t>
  </si>
  <si>
    <t>tei</t>
  </si>
  <si>
    <t>Tegula eiseni</t>
  </si>
  <si>
    <t>Banded tegula</t>
  </si>
  <si>
    <t>tfu</t>
  </si>
  <si>
    <t>Tegula funebralis</t>
  </si>
  <si>
    <t>Black top shell</t>
  </si>
  <si>
    <t>tpu</t>
  </si>
  <si>
    <t>Tegula pulligo</t>
  </si>
  <si>
    <t>Dusky tegula</t>
  </si>
  <si>
    <t>tre</t>
  </si>
  <si>
    <t>Tegula regina</t>
  </si>
  <si>
    <t>Queen tegula</t>
  </si>
  <si>
    <t>tte</t>
  </si>
  <si>
    <t>Testudinalia testudinalis</t>
  </si>
  <si>
    <t>tca</t>
  </si>
  <si>
    <t>Triopha catalinae</t>
  </si>
  <si>
    <t>Sea-clown triopha</t>
  </si>
  <si>
    <t>tmo</t>
  </si>
  <si>
    <t>Triopha modesta</t>
  </si>
  <si>
    <t>Sea clown</t>
  </si>
  <si>
    <t>tfe</t>
  </si>
  <si>
    <t>Tritonia festiva</t>
  </si>
  <si>
    <t>Diamondback tritonia</t>
  </si>
  <si>
    <t>dec</t>
  </si>
  <si>
    <t>Debris - Cloth</t>
  </si>
  <si>
    <t>Any cloth debris</t>
  </si>
  <si>
    <t>dem</t>
  </si>
  <si>
    <t>Debris - Metal</t>
  </si>
  <si>
    <t>Any metal debris</t>
  </si>
  <si>
    <t>deg</t>
  </si>
  <si>
    <t>Debris - Glass</t>
  </si>
  <si>
    <t>Any glass debris</t>
  </si>
  <si>
    <t>dew</t>
  </si>
  <si>
    <t>Debris - Wood</t>
  </si>
  <si>
    <t>Any timber debris &gt; 10cm</t>
  </si>
  <si>
    <t>deo</t>
  </si>
  <si>
    <t>Debris - Other</t>
  </si>
  <si>
    <t>Any debris OTHER THAN fishing gear, made of plastic, cloth, metal, glass or timber</t>
  </si>
  <si>
    <t>dez</t>
  </si>
  <si>
    <t>Debris - Zero</t>
  </si>
  <si>
    <t>No Debris found</t>
  </si>
  <si>
    <t>Survey not done</t>
  </si>
  <si>
    <t>SITE</t>
  </si>
  <si>
    <t>Region</t>
  </si>
  <si>
    <t>BC1</t>
  </si>
  <si>
    <t>Mercury</t>
  </si>
  <si>
    <t>British Columbia</t>
  </si>
  <si>
    <t>BC2</t>
  </si>
  <si>
    <t>Kelpie Point</t>
  </si>
  <si>
    <t>BC3</t>
  </si>
  <si>
    <t>West Beach</t>
  </si>
  <si>
    <t>BC4</t>
  </si>
  <si>
    <t>Triquet</t>
  </si>
  <si>
    <t>BC5</t>
  </si>
  <si>
    <t>North Beach</t>
  </si>
  <si>
    <t>BC6</t>
  </si>
  <si>
    <t>West Beach Nereo</t>
  </si>
  <si>
    <t>BC7</t>
  </si>
  <si>
    <t>Rattenbury</t>
  </si>
  <si>
    <t>BC8</t>
  </si>
  <si>
    <t>Starfish</t>
  </si>
  <si>
    <t>Dodger Channel</t>
  </si>
  <si>
    <t>Vancouver</t>
  </si>
  <si>
    <t>Ross Islets Slug Island</t>
  </si>
  <si>
    <t>Wizard Island South</t>
  </si>
  <si>
    <t>Wizard Island North</t>
  </si>
  <si>
    <t>Effingham West</t>
  </si>
  <si>
    <t>Effingham Archipelago</t>
  </si>
  <si>
    <t>BMSC15</t>
  </si>
  <si>
    <t>Raymond Kelp Rock</t>
  </si>
  <si>
    <t>Faber Islets</t>
  </si>
  <si>
    <t>Wouwer Channel</t>
  </si>
  <si>
    <t>BMSC18</t>
  </si>
  <si>
    <t>Eussen Rock</t>
  </si>
  <si>
    <t>Ed King SW Pyramid</t>
  </si>
  <si>
    <t>Kirby</t>
  </si>
  <si>
    <t>Ed King East</t>
  </si>
  <si>
    <t>Dixon SW</t>
  </si>
  <si>
    <t>Dixon Inside</t>
  </si>
  <si>
    <t>Ohiat</t>
  </si>
  <si>
    <t>Kii xin</t>
  </si>
  <si>
    <t>Taylor Rock</t>
  </si>
  <si>
    <t>Baeria Rocks South Island</t>
  </si>
  <si>
    <t>BMSC7</t>
  </si>
  <si>
    <t>Baeria Rocks North Island Southside</t>
  </si>
  <si>
    <t>Baeria Rocks North Island Northside</t>
  </si>
  <si>
    <t>Eagle Bay</t>
  </si>
  <si>
    <t>NFLD1</t>
  </si>
  <si>
    <t>Middle Cove</t>
  </si>
  <si>
    <t>Newfoundland</t>
  </si>
  <si>
    <t>NFLD10</t>
  </si>
  <si>
    <t>Admirals Cove</t>
  </si>
  <si>
    <t>NFLD11</t>
  </si>
  <si>
    <t>Harbour Main</t>
  </si>
  <si>
    <t>NFLD12</t>
  </si>
  <si>
    <t>Biscayan Cove</t>
  </si>
  <si>
    <t>NFLD13</t>
  </si>
  <si>
    <t>Bauline</t>
  </si>
  <si>
    <t>NFLD2</t>
  </si>
  <si>
    <t>Tappers Cove</t>
  </si>
  <si>
    <t>NFLD3</t>
  </si>
  <si>
    <t>OSC Canyon</t>
  </si>
  <si>
    <t>NFLD4</t>
  </si>
  <si>
    <t>Portugal Cove</t>
  </si>
  <si>
    <t>NFLD5</t>
  </si>
  <si>
    <t>Broad Cove</t>
  </si>
  <si>
    <t>NFLD6</t>
  </si>
  <si>
    <t>Hare Bay</t>
  </si>
  <si>
    <t>NFLD7</t>
  </si>
  <si>
    <t>Sandy Cove Beach</t>
  </si>
  <si>
    <t>NFLD8</t>
  </si>
  <si>
    <t>Wild Cove</t>
  </si>
  <si>
    <t>NFLD9</t>
  </si>
  <si>
    <t>Flatrock</t>
  </si>
  <si>
    <t>USWC10</t>
  </si>
  <si>
    <t>Johnsons Lee South  Sta Rosa CA</t>
  </si>
  <si>
    <t>Channel Islands</t>
  </si>
  <si>
    <t>USWC11</t>
  </si>
  <si>
    <t>Cavern Point  Santa Cruz</t>
  </si>
  <si>
    <t>USWC12</t>
  </si>
  <si>
    <t>Little Scorpion  Santa Cruz</t>
  </si>
  <si>
    <t>USWC13</t>
  </si>
  <si>
    <t>Devils Peak Member  Santa Cruz</t>
  </si>
  <si>
    <t>USWC14</t>
  </si>
  <si>
    <t>Devils Peak Member south  Santa Cruz</t>
  </si>
  <si>
    <t>USWC17</t>
  </si>
  <si>
    <t>Cottam Point  Nanaimo BC</t>
  </si>
  <si>
    <t>USWC18</t>
  </si>
  <si>
    <t>Madrona Point SW  Nainaimo BC</t>
  </si>
  <si>
    <t>USWC19</t>
  </si>
  <si>
    <t>Madrona Point NW  Nainaimo BC</t>
  </si>
  <si>
    <t>USWC2</t>
  </si>
  <si>
    <t>Scorpion Anchorage  Sta Cruz CA</t>
  </si>
  <si>
    <t>USWC20</t>
  </si>
  <si>
    <t>Quathiaski Cove BC</t>
  </si>
  <si>
    <t>USWC21</t>
  </si>
  <si>
    <t>Dolphin Beach East BC</t>
  </si>
  <si>
    <t>USWC22</t>
  </si>
  <si>
    <t>Maple Cove  Vancouver I BC</t>
  </si>
  <si>
    <t>USWC23</t>
  </si>
  <si>
    <t>Kelvin Grove  BC</t>
  </si>
  <si>
    <t>USWC3</t>
  </si>
  <si>
    <t>South Point  Sta Rosa CA</t>
  </si>
  <si>
    <t>USWC4</t>
  </si>
  <si>
    <t>Chickasaw  Sta Rosa CA</t>
  </si>
  <si>
    <t>USWC5</t>
  </si>
  <si>
    <t>Johnson s Lee  Sta Rosa CA</t>
  </si>
  <si>
    <t>USWC6</t>
  </si>
  <si>
    <t>Johnsons Lee North  Sta Rosa CA</t>
  </si>
  <si>
    <t>USWC7</t>
  </si>
  <si>
    <t>Pedro Reef  Santa Cruz</t>
  </si>
  <si>
    <t>USWC8</t>
  </si>
  <si>
    <t>Potato Pasture  Santa Cruz</t>
  </si>
  <si>
    <t>USWC9</t>
  </si>
  <si>
    <t>Hare Rock  San Miguel</t>
  </si>
  <si>
    <t>Aguilar Point</t>
  </si>
  <si>
    <t>Bamfield</t>
  </si>
  <si>
    <t>Swiss Boy</t>
  </si>
  <si>
    <t>Goby Town</t>
  </si>
  <si>
    <t>Hosie South</t>
  </si>
  <si>
    <t>San Jose North Island</t>
  </si>
  <si>
    <t>FAMILY</t>
  </si>
  <si>
    <t>COMMON NAME</t>
  </si>
  <si>
    <t>Agonidae</t>
  </si>
  <si>
    <t>Poachers</t>
  </si>
  <si>
    <t>Ambassidae</t>
  </si>
  <si>
    <t>Glassfishes</t>
  </si>
  <si>
    <t>Anarhichadidae</t>
  </si>
  <si>
    <t>Wolf eels</t>
  </si>
  <si>
    <t>Antennariidae</t>
  </si>
  <si>
    <t>Anglerfishes</t>
  </si>
  <si>
    <t>Aploactinidae</t>
  </si>
  <si>
    <t>Velvetfishes</t>
  </si>
  <si>
    <t>Apogonidae</t>
  </si>
  <si>
    <t>Cardinalfishes</t>
  </si>
  <si>
    <t>Ariidae</t>
  </si>
  <si>
    <t>Catfishes</t>
  </si>
  <si>
    <t>Aulopidae</t>
  </si>
  <si>
    <t>Sergeant bakers</t>
  </si>
  <si>
    <t>Bathymasteridae</t>
  </si>
  <si>
    <t>Ronquils</t>
  </si>
  <si>
    <t>Batrachoididae</t>
  </si>
  <si>
    <t>Frogfishes</t>
  </si>
  <si>
    <t>Blenniidae</t>
  </si>
  <si>
    <t>Blennies</t>
  </si>
  <si>
    <t>Bothidae</t>
  </si>
  <si>
    <t>Lefteye flounder</t>
  </si>
  <si>
    <t>Bovichtidae</t>
  </si>
  <si>
    <t>Thornfish</t>
  </si>
  <si>
    <t>Brachaeluridae</t>
  </si>
  <si>
    <t>Blind sharks</t>
  </si>
  <si>
    <t>Brachionichthyidae</t>
  </si>
  <si>
    <t>Handfishes</t>
  </si>
  <si>
    <t>Bythitidae</t>
  </si>
  <si>
    <t>Blindfishes and cuskeels</t>
  </si>
  <si>
    <t>Callionymidae</t>
  </si>
  <si>
    <t>Dragonets</t>
  </si>
  <si>
    <t>Caracanthidae</t>
  </si>
  <si>
    <t>Crouchers</t>
  </si>
  <si>
    <t>Carapidae</t>
  </si>
  <si>
    <t>Pearlfish</t>
  </si>
  <si>
    <t>Centriscidae</t>
  </si>
  <si>
    <t>Razorfish</t>
  </si>
  <si>
    <t xml:space="preserve">Chaenopsidae </t>
  </si>
  <si>
    <t>Tubeblennies, flagblennies</t>
  </si>
  <si>
    <t>Chironemidae</t>
  </si>
  <si>
    <t>Kelpfishes</t>
  </si>
  <si>
    <t>Cirrhitidae</t>
  </si>
  <si>
    <t>Hawkfishes</t>
  </si>
  <si>
    <t>Clinidae</t>
  </si>
  <si>
    <t>Weedfishes</t>
  </si>
  <si>
    <t>Congridae</t>
  </si>
  <si>
    <t>Conger eels</t>
  </si>
  <si>
    <t>Congrogadidae</t>
  </si>
  <si>
    <t>Eel blennies</t>
  </si>
  <si>
    <t>Cottidae</t>
  </si>
  <si>
    <t>Sculpins</t>
  </si>
  <si>
    <t>Creediidae</t>
  </si>
  <si>
    <t>Sand divers</t>
  </si>
  <si>
    <t>Cryptacanthodidae</t>
  </si>
  <si>
    <t>Wrymouths</t>
  </si>
  <si>
    <t>Cyclopteridae</t>
  </si>
  <si>
    <t>Lumpsucker</t>
  </si>
  <si>
    <t>Cynoglossidae</t>
  </si>
  <si>
    <t>Tonguefish</t>
  </si>
  <si>
    <t>Dasyatidae</t>
  </si>
  <si>
    <t>Stingrays</t>
  </si>
  <si>
    <t>Diodontidae</t>
  </si>
  <si>
    <t>Porcupinefish</t>
  </si>
  <si>
    <t>Eleotridae</t>
  </si>
  <si>
    <t>Gudgeons</t>
  </si>
  <si>
    <t>Gnathanacanthidae</t>
  </si>
  <si>
    <t>Red velvetfish</t>
  </si>
  <si>
    <t>Gobiesocidae</t>
  </si>
  <si>
    <t>Clingfishes</t>
  </si>
  <si>
    <t>Gobiidae</t>
  </si>
  <si>
    <t>Gobies</t>
  </si>
  <si>
    <t>Grammistidae</t>
  </si>
  <si>
    <t>Soapfishes</t>
  </si>
  <si>
    <t>Hemiscylliidae</t>
  </si>
  <si>
    <t>Longtail carpet sharks</t>
  </si>
  <si>
    <t>Heterodontidae</t>
  </si>
  <si>
    <t>Bullhead sharks</t>
  </si>
  <si>
    <t>Holocentridae</t>
  </si>
  <si>
    <t>Squirrel and soldier fishes</t>
  </si>
  <si>
    <t>Hypnidae</t>
  </si>
  <si>
    <t>Coffin rays</t>
  </si>
  <si>
    <t>Labrisomidae</t>
  </si>
  <si>
    <t>Tropical blennies</t>
  </si>
  <si>
    <t>Leptoscopidae</t>
  </si>
  <si>
    <t>Pygmy stargazers</t>
  </si>
  <si>
    <t>Liparidae</t>
  </si>
  <si>
    <t>Snailfishes</t>
  </si>
  <si>
    <t>Lotidae</t>
  </si>
  <si>
    <t>Burbots</t>
  </si>
  <si>
    <t>Monocentridae</t>
  </si>
  <si>
    <t>Pineapplefishes</t>
  </si>
  <si>
    <t>Moridae</t>
  </si>
  <si>
    <t>Beardies</t>
  </si>
  <si>
    <t>Muraenidae</t>
  </si>
  <si>
    <t>Moray eels</t>
  </si>
  <si>
    <t>Nototheniidae</t>
  </si>
  <si>
    <t>Icefishes</t>
  </si>
  <si>
    <t>Ophichthidae</t>
  </si>
  <si>
    <t>Snake and worm eels</t>
  </si>
  <si>
    <t>Ophidiidae</t>
  </si>
  <si>
    <t>Lings</t>
  </si>
  <si>
    <t>Opistognathidae</t>
  </si>
  <si>
    <t>Jawfishes</t>
  </si>
  <si>
    <t>Orectolobidae</t>
  </si>
  <si>
    <t>Wobbegongs</t>
  </si>
  <si>
    <t>Paralichthyidae</t>
  </si>
  <si>
    <t>Large-tooth flounder</t>
  </si>
  <si>
    <t>Parascylliidae</t>
  </si>
  <si>
    <t>Catsharks</t>
  </si>
  <si>
    <t>Pataecidae</t>
  </si>
  <si>
    <t>Prowfishes</t>
  </si>
  <si>
    <t>Pegasidae</t>
  </si>
  <si>
    <t>Seamoths</t>
  </si>
  <si>
    <t>Pempheridae</t>
  </si>
  <si>
    <t>Bullseye</t>
  </si>
  <si>
    <t>Pholidae</t>
  </si>
  <si>
    <t>Gunnels</t>
  </si>
  <si>
    <t>Pinguipedidae</t>
  </si>
  <si>
    <t>Grubfishes</t>
  </si>
  <si>
    <t>Platycephalidae</t>
  </si>
  <si>
    <t>Flatheads</t>
  </si>
  <si>
    <t>*Plesiopidae – excluding Trachinops</t>
  </si>
  <si>
    <t>Longfins</t>
  </si>
  <si>
    <t>Pleuronectidae</t>
  </si>
  <si>
    <t>Righteye flounder</t>
  </si>
  <si>
    <t>Plotosidae</t>
  </si>
  <si>
    <t>Priacanthidae</t>
  </si>
  <si>
    <t>Bigeyes</t>
  </si>
  <si>
    <t>Pseudochromidae</t>
  </si>
  <si>
    <t>Dottybacks</t>
  </si>
  <si>
    <t>Psychrolutidae</t>
  </si>
  <si>
    <t>Fatheads</t>
  </si>
  <si>
    <t>Rajidae</t>
  </si>
  <si>
    <t>Skates</t>
  </si>
  <si>
    <t>Rhinobatidae</t>
  </si>
  <si>
    <t>Shovelnose rays</t>
  </si>
  <si>
    <t>Scorpaenidae</t>
  </si>
  <si>
    <t>Scorpionfish, orbicular velvetfish</t>
  </si>
  <si>
    <t>*Serranidae - excluding “Anthias”, Caesioperca, and Lepidoperca</t>
  </si>
  <si>
    <t>Rockcods &amp; Seaperches</t>
  </si>
  <si>
    <t>Scyliorhinidae</t>
  </si>
  <si>
    <t>Soleidae</t>
  </si>
  <si>
    <t>Soles</t>
  </si>
  <si>
    <t>Solenostomidae</t>
  </si>
  <si>
    <t>Ghostpipefishes</t>
  </si>
  <si>
    <t>Stichaeidae</t>
  </si>
  <si>
    <t>Prickleback</t>
  </si>
  <si>
    <t>Synanceiidae</t>
  </si>
  <si>
    <t>Stonefish</t>
  </si>
  <si>
    <t>Syngnathidae</t>
  </si>
  <si>
    <t>Pipefish &amp; Seahorses</t>
  </si>
  <si>
    <t>Synodontidae</t>
  </si>
  <si>
    <t>Lizardfishes and Sauries</t>
  </si>
  <si>
    <t>Tetrabrachiidae</t>
  </si>
  <si>
    <t>Tetrarogidae</t>
  </si>
  <si>
    <t>Waspfishes</t>
  </si>
  <si>
    <t>Torpedinidae</t>
  </si>
  <si>
    <t>Numbfish</t>
  </si>
  <si>
    <t>Trachichthyidae</t>
  </si>
  <si>
    <t>Roughies</t>
  </si>
  <si>
    <t>Tripterygiidae</t>
  </si>
  <si>
    <t>Threefins</t>
  </si>
  <si>
    <t>Uranoscopidae</t>
  </si>
  <si>
    <t>Stargazers</t>
  </si>
  <si>
    <t>Urolophidae</t>
  </si>
  <si>
    <t>Stingarees</t>
  </si>
  <si>
    <t>Zaproridae</t>
  </si>
  <si>
    <t>Prowfish</t>
  </si>
  <si>
    <t>Zoarcidae</t>
  </si>
  <si>
    <t>Eelpouts</t>
  </si>
  <si>
    <t>INITIALS</t>
  </si>
  <si>
    <t>FULL NAME</t>
  </si>
  <si>
    <t>AA</t>
  </si>
  <si>
    <t>Andrew Altieri</t>
  </si>
  <si>
    <t>AB</t>
  </si>
  <si>
    <t>Arturo Bocos</t>
  </si>
  <si>
    <t>AC</t>
  </si>
  <si>
    <t>Angel Chiriboga</t>
  </si>
  <si>
    <t>ACM</t>
  </si>
  <si>
    <t>Alicia McArdle</t>
  </si>
  <si>
    <t>AD</t>
  </si>
  <si>
    <t>Arturo Dominici</t>
  </si>
  <si>
    <t>AE</t>
  </si>
  <si>
    <t>Anna Edgar</t>
  </si>
  <si>
    <t>AEB</t>
  </si>
  <si>
    <t>Amanda Bates</t>
  </si>
  <si>
    <t>AEF</t>
  </si>
  <si>
    <t>Amelia Fowles</t>
  </si>
  <si>
    <t>AG</t>
  </si>
  <si>
    <t>Allyson Groth</t>
  </si>
  <si>
    <t>AGA</t>
  </si>
  <si>
    <t>Aaron Galloway</t>
  </si>
  <si>
    <t>AGGM</t>
  </si>
  <si>
    <t>Ana Gloria Guzman</t>
  </si>
  <si>
    <t>AI</t>
  </si>
  <si>
    <t>Alejo Irigoyen</t>
  </si>
  <si>
    <t>AJB</t>
  </si>
  <si>
    <t>Tony Brown</t>
  </si>
  <si>
    <t>AJG</t>
  </si>
  <si>
    <t>Andrew Green</t>
  </si>
  <si>
    <t>AJW</t>
  </si>
  <si>
    <t>Alan Wilkins</t>
  </si>
  <si>
    <t>AKB</t>
  </si>
  <si>
    <t>Anna Berthelson</t>
  </si>
  <si>
    <t>AKC</t>
  </si>
  <si>
    <t>Anna Cresswell</t>
  </si>
  <si>
    <t>AL</t>
  </si>
  <si>
    <t>Alexandra Lea</t>
  </si>
  <si>
    <t>ALB</t>
  </si>
  <si>
    <t>Ali Bloomfield</t>
  </si>
  <si>
    <t>ALS</t>
  </si>
  <si>
    <t>Alicia Sutton</t>
  </si>
  <si>
    <t>AML</t>
  </si>
  <si>
    <t>Arwen Mo-Lowry</t>
  </si>
  <si>
    <t>AMM</t>
  </si>
  <si>
    <t>Alberto Moreno Mejias</t>
  </si>
  <si>
    <t>ANB</t>
  </si>
  <si>
    <t>Anthony Bernard</t>
  </si>
  <si>
    <t>AOF</t>
  </si>
  <si>
    <t>Angel Orozco Rodriguez</t>
  </si>
  <si>
    <t>AP</t>
  </si>
  <si>
    <t>Amanda Parr</t>
  </si>
  <si>
    <t>APM</t>
  </si>
  <si>
    <t>Andy Myers</t>
  </si>
  <si>
    <t>APMA</t>
  </si>
  <si>
    <t>Alejandro Perez Matus</t>
  </si>
  <si>
    <t>APSJ</t>
  </si>
  <si>
    <t>Alejandra Pérez San Juan</t>
  </si>
  <si>
    <t>AR</t>
  </si>
  <si>
    <t>Arthur Riedel</t>
  </si>
  <si>
    <t>ARB</t>
  </si>
  <si>
    <t>Adrian Brown</t>
  </si>
  <si>
    <t>AS</t>
  </si>
  <si>
    <t>Ashley Smith</t>
  </si>
  <si>
    <t>ATC</t>
  </si>
  <si>
    <t>Antonia Cooper</t>
  </si>
  <si>
    <t>BCB</t>
  </si>
  <si>
    <t>Belen Calero</t>
  </si>
  <si>
    <t>BF</t>
  </si>
  <si>
    <t>Ben French</t>
  </si>
  <si>
    <t>BGO</t>
  </si>
  <si>
    <t>Belén GO</t>
  </si>
  <si>
    <t>BJC</t>
  </si>
  <si>
    <t>Ben Cashman</t>
  </si>
  <si>
    <t>BJH</t>
  </si>
  <si>
    <t>Brian Hughes</t>
  </si>
  <si>
    <t>BK</t>
  </si>
  <si>
    <t>Brendan Kelaher</t>
  </si>
  <si>
    <t>BKJ</t>
  </si>
  <si>
    <t>Ben Jones</t>
  </si>
  <si>
    <t>BRB</t>
  </si>
  <si>
    <t>Brian Busteed</t>
  </si>
  <si>
    <t>BS</t>
  </si>
  <si>
    <t>Beth Strain</t>
  </si>
  <si>
    <t>BTB</t>
  </si>
  <si>
    <t>Ben Brayford</t>
  </si>
  <si>
    <t>BY</t>
  </si>
  <si>
    <t>Bevan Yiu</t>
  </si>
  <si>
    <t>CAH</t>
  </si>
  <si>
    <t>Camille White</t>
  </si>
  <si>
    <t>CAS</t>
  </si>
  <si>
    <t>Cathie Shorthouse</t>
  </si>
  <si>
    <t>CB</t>
  </si>
  <si>
    <t>Carlota Barañano</t>
  </si>
  <si>
    <t>CBU</t>
  </si>
  <si>
    <t>Claire Butler</t>
  </si>
  <si>
    <t>CD</t>
  </si>
  <si>
    <t>Cecile Decazes</t>
  </si>
  <si>
    <t>CEL</t>
  </si>
  <si>
    <t>Craig Lewis</t>
  </si>
  <si>
    <t>CEQ</t>
  </si>
  <si>
    <t>Catherine Quick</t>
  </si>
  <si>
    <t>CG</t>
  </si>
  <si>
    <t>Carly Giosio</t>
  </si>
  <si>
    <t>CGI</t>
  </si>
  <si>
    <t>Carolina García</t>
  </si>
  <si>
    <t>CH</t>
  </si>
  <si>
    <t>Chelsea Haebich</t>
  </si>
  <si>
    <t>CHB</t>
  </si>
  <si>
    <t>Charlie Bedford</t>
  </si>
  <si>
    <t>CHK</t>
  </si>
  <si>
    <t>Christine Kibele</t>
  </si>
  <si>
    <t>CHS</t>
  </si>
  <si>
    <t>Carla Huete-Stauffer</t>
  </si>
  <si>
    <t>CJM</t>
  </si>
  <si>
    <t>Caroline Mason</t>
  </si>
  <si>
    <t>CJZ</t>
  </si>
  <si>
    <t>Carolina Zagal</t>
  </si>
  <si>
    <t>CK</t>
  </si>
  <si>
    <t>Caitie Kuempel</t>
  </si>
  <si>
    <t>CL</t>
  </si>
  <si>
    <t>Cayne Layton</t>
  </si>
  <si>
    <t>CLG</t>
  </si>
  <si>
    <t>Chris Gillies</t>
  </si>
  <si>
    <t>CMN</t>
  </si>
  <si>
    <t>Chris Nimmo</t>
  </si>
  <si>
    <t>CMP</t>
  </si>
  <si>
    <t>Chris Preston</t>
  </si>
  <si>
    <t>CMW</t>
  </si>
  <si>
    <t>Chris Westley</t>
  </si>
  <si>
    <t>CRH</t>
  </si>
  <si>
    <t>Casey Hambrecht</t>
  </si>
  <si>
    <t>CS</t>
  </si>
  <si>
    <t>Craig Smith</t>
  </si>
  <si>
    <t>CTH</t>
  </si>
  <si>
    <t>Christo Haseldon</t>
  </si>
  <si>
    <t>CTP</t>
  </si>
  <si>
    <t>Cheryl Petty</t>
  </si>
  <si>
    <t>CW</t>
  </si>
  <si>
    <t>Caitlin Woods</t>
  </si>
  <si>
    <t>DAI</t>
  </si>
  <si>
    <t>Dan Ierodiaconou</t>
  </si>
  <si>
    <t>DC</t>
  </si>
  <si>
    <t>Dean Chamberlain</t>
  </si>
  <si>
    <t>DDG</t>
  </si>
  <si>
    <t>Dacil  Diaz Gomez</t>
  </si>
  <si>
    <t>DG</t>
  </si>
  <si>
    <t>David Galvan</t>
  </si>
  <si>
    <t>DH</t>
  </si>
  <si>
    <t>Dave Henke</t>
  </si>
  <si>
    <t>DHP</t>
  </si>
  <si>
    <t>Daniel Hernández Pérez</t>
  </si>
  <si>
    <t>DJ</t>
  </si>
  <si>
    <t>Dane Jones</t>
  </si>
  <si>
    <t>DJA</t>
  </si>
  <si>
    <t>Dave Arthur</t>
  </si>
  <si>
    <t>DJB</t>
  </si>
  <si>
    <t>Danny Brock</t>
  </si>
  <si>
    <t>DJM</t>
  </si>
  <si>
    <t>David Miller</t>
  </si>
  <si>
    <t>DK</t>
  </si>
  <si>
    <t>David Kushner</t>
  </si>
  <si>
    <t>DKA</t>
  </si>
  <si>
    <t>Deb Aston</t>
  </si>
  <si>
    <t>DM</t>
  </si>
  <si>
    <t>David Massih</t>
  </si>
  <si>
    <t>DRD</t>
  </si>
  <si>
    <t>Debbie Dalziel</t>
  </si>
  <si>
    <t>DS</t>
  </si>
  <si>
    <t>Damien Stanford</t>
  </si>
  <si>
    <t>DT</t>
  </si>
  <si>
    <t>Dave Thomas</t>
  </si>
  <si>
    <t>DTL</t>
  </si>
  <si>
    <t>Don Love</t>
  </si>
  <si>
    <t>EAC</t>
  </si>
  <si>
    <t>Ella Clausius</t>
  </si>
  <si>
    <t>EBF</t>
  </si>
  <si>
    <t>Emma Flukes</t>
  </si>
  <si>
    <t>EC</t>
  </si>
  <si>
    <t>Edgar Castaneda</t>
  </si>
  <si>
    <t>ECA</t>
  </si>
  <si>
    <t>Eloise Ashworth</t>
  </si>
  <si>
    <t>ED</t>
  </si>
  <si>
    <t>Emma Daly</t>
  </si>
  <si>
    <t>EFR</t>
  </si>
  <si>
    <t>Eliseo Fica Roca</t>
  </si>
  <si>
    <t>EGL</t>
  </si>
  <si>
    <t>EH</t>
  </si>
  <si>
    <t>Edgar Herrera</t>
  </si>
  <si>
    <t>EL</t>
  </si>
  <si>
    <t>Erick Lopez</t>
  </si>
  <si>
    <t>ELH</t>
  </si>
  <si>
    <t>Emma Henry</t>
  </si>
  <si>
    <t>EM</t>
  </si>
  <si>
    <t>Ellie Marks</t>
  </si>
  <si>
    <t>EP</t>
  </si>
  <si>
    <t>Ed Parnell</t>
  </si>
  <si>
    <t>ERM</t>
  </si>
  <si>
    <t>Eric Mooney</t>
  </si>
  <si>
    <t>ESMK</t>
  </si>
  <si>
    <t>Elaine Kwee</t>
  </si>
  <si>
    <t>ESO</t>
  </si>
  <si>
    <t>Liz Oh</t>
  </si>
  <si>
    <t>ET</t>
  </si>
  <si>
    <t>Emre Turak</t>
  </si>
  <si>
    <t>FELB</t>
  </si>
  <si>
    <t>Fidel Ernesto Lopez Briceno</t>
  </si>
  <si>
    <t>FJ</t>
  </si>
  <si>
    <t>Flora Jennifer</t>
  </si>
  <si>
    <t>FPC</t>
  </si>
  <si>
    <t>Fernando Pinillos</t>
  </si>
  <si>
    <t>FR</t>
  </si>
  <si>
    <t>Fred Rueff</t>
  </si>
  <si>
    <t>GAZ</t>
  </si>
  <si>
    <t>Gonzalo  Apestequia Zamora</t>
  </si>
  <si>
    <t>GC</t>
  </si>
  <si>
    <t>Gwenael Cadiou</t>
  </si>
  <si>
    <t>GER</t>
  </si>
  <si>
    <t>Germán Soler</t>
  </si>
  <si>
    <t>GJE</t>
  </si>
  <si>
    <t>Graham Edgar</t>
  </si>
  <si>
    <t>GJF</t>
  </si>
  <si>
    <t>Grant Flanagan</t>
  </si>
  <si>
    <t>GK</t>
  </si>
  <si>
    <t>Geoff Kelly</t>
  </si>
  <si>
    <t>GMS</t>
  </si>
  <si>
    <t>Garrick Smith</t>
  </si>
  <si>
    <t>GP</t>
  </si>
  <si>
    <t>Grant Pearce</t>
  </si>
  <si>
    <t>GPE</t>
  </si>
  <si>
    <t>Graeme Ewing</t>
  </si>
  <si>
    <t>GR</t>
  </si>
  <si>
    <t>Georgina Ramirez</t>
  </si>
  <si>
    <t>GS</t>
  </si>
  <si>
    <t>Gary Summers</t>
  </si>
  <si>
    <t>GW</t>
  </si>
  <si>
    <t>George Wood</t>
  </si>
  <si>
    <t>GWA</t>
  </si>
  <si>
    <t>Gabby Walley</t>
  </si>
  <si>
    <t>HF</t>
  </si>
  <si>
    <t>Hunter Forbes</t>
  </si>
  <si>
    <t>HIT</t>
  </si>
  <si>
    <t>Hisayo Thornton</t>
  </si>
  <si>
    <t>HJK</t>
  </si>
  <si>
    <t>Heiri Klein</t>
  </si>
  <si>
    <t>HKW</t>
  </si>
  <si>
    <t>Heyonji Wembridge</t>
  </si>
  <si>
    <t>HMC</t>
  </si>
  <si>
    <t>Helen Crawford</t>
  </si>
  <si>
    <t>HND</t>
  </si>
  <si>
    <t>Harriet Davies</t>
  </si>
  <si>
    <t>IF</t>
  </si>
  <si>
    <t>Iona Flett</t>
  </si>
  <si>
    <t>IH</t>
  </si>
  <si>
    <t>Ivan Hinojosa</t>
  </si>
  <si>
    <t>IJB</t>
  </si>
  <si>
    <t>Ian Buchanan</t>
  </si>
  <si>
    <t>IM</t>
  </si>
  <si>
    <t>Irene Martin</t>
  </si>
  <si>
    <t>IMS</t>
  </si>
  <si>
    <t>Isabelle Strachan</t>
  </si>
  <si>
    <t>IRS</t>
  </si>
  <si>
    <t>Irene RS</t>
  </si>
  <si>
    <t>IU</t>
  </si>
  <si>
    <t>Inigo Uriarte</t>
  </si>
  <si>
    <t>IVS</t>
  </si>
  <si>
    <t>Ian Shaw</t>
  </si>
  <si>
    <t>IWB</t>
  </si>
  <si>
    <t>Ian Banks</t>
  </si>
  <si>
    <t>JA</t>
  </si>
  <si>
    <t>Janet Abbott</t>
  </si>
  <si>
    <t>JAB</t>
  </si>
  <si>
    <t>Jenny Bryant</t>
  </si>
  <si>
    <t>JAE</t>
  </si>
  <si>
    <t>Jenny Edwards</t>
  </si>
  <si>
    <t>JAJ</t>
  </si>
  <si>
    <t>John Johnstone</t>
  </si>
  <si>
    <t>JASF</t>
  </si>
  <si>
    <t>José Antonio Sanabria Fernández</t>
  </si>
  <si>
    <t>JB</t>
  </si>
  <si>
    <t>Joshua Batchelor</t>
  </si>
  <si>
    <t>JBB</t>
  </si>
  <si>
    <t>James Brook</t>
  </si>
  <si>
    <t>JBP</t>
  </si>
  <si>
    <t>Jacqui Pocklington</t>
  </si>
  <si>
    <t>JCH</t>
  </si>
  <si>
    <t>Jennifer Hine</t>
  </si>
  <si>
    <t>JDB</t>
  </si>
  <si>
    <t>Jennie Bennett</t>
  </si>
  <si>
    <t>JDK</t>
  </si>
  <si>
    <t>Jared Kibele</t>
  </si>
  <si>
    <t>JE</t>
  </si>
  <si>
    <t>Jane Elek</t>
  </si>
  <si>
    <t>JEH</t>
  </si>
  <si>
    <t>Jennifer Hoskin</t>
  </si>
  <si>
    <t>JEM</t>
  </si>
  <si>
    <t>Jerson Moreno</t>
  </si>
  <si>
    <t>JG</t>
  </si>
  <si>
    <t>Justin Gillian</t>
  </si>
  <si>
    <t>JGR</t>
  </si>
  <si>
    <t>Jane Ruckert</t>
  </si>
  <si>
    <t>JH</t>
  </si>
  <si>
    <t>Jamie Hicks</t>
  </si>
  <si>
    <t>JHIN</t>
  </si>
  <si>
    <t>Jessica Hintzsche</t>
  </si>
  <si>
    <t>JJA</t>
  </si>
  <si>
    <t>Juan José Alvarado</t>
  </si>
  <si>
    <t>JJO</t>
  </si>
  <si>
    <t>Jack O'Connor</t>
  </si>
  <si>
    <t>JK</t>
  </si>
  <si>
    <t>Jude Keyse</t>
  </si>
  <si>
    <t>JLB</t>
  </si>
  <si>
    <t>Janine Baker</t>
  </si>
  <si>
    <t>JLE</t>
  </si>
  <si>
    <t>John Lemburg</t>
  </si>
  <si>
    <t>JLG</t>
  </si>
  <si>
    <t>Jose Luis</t>
  </si>
  <si>
    <t>JLH</t>
  </si>
  <si>
    <t>Jason Hoare</t>
  </si>
  <si>
    <t>JLR</t>
  </si>
  <si>
    <t>Jan Ranson</t>
  </si>
  <si>
    <t>JLT</t>
  </si>
  <si>
    <t>Jennifer Thompson</t>
  </si>
  <si>
    <t>JME</t>
  </si>
  <si>
    <t>Jacob Metzger</t>
  </si>
  <si>
    <t>JML</t>
  </si>
  <si>
    <t>Jordan Logan</t>
  </si>
  <si>
    <t>JMS</t>
  </si>
  <si>
    <t>JPP</t>
  </si>
  <si>
    <t>Jorge Pascual</t>
  </si>
  <si>
    <t>JPR</t>
  </si>
  <si>
    <t>James Robinson</t>
  </si>
  <si>
    <t>JPS</t>
  </si>
  <si>
    <t>Joe Shields</t>
  </si>
  <si>
    <t>JPST</t>
  </si>
  <si>
    <t>Jonathon Stevenson</t>
  </si>
  <si>
    <t>JRA</t>
  </si>
  <si>
    <t>John Allen</t>
  </si>
  <si>
    <t>JS</t>
  </si>
  <si>
    <t>Josh Sprague</t>
  </si>
  <si>
    <t>JSE</t>
  </si>
  <si>
    <t>Janina Seemann</t>
  </si>
  <si>
    <t>JSS</t>
  </si>
  <si>
    <t>Jemina Stuart-Smith</t>
  </si>
  <si>
    <t>JT</t>
  </si>
  <si>
    <t>John Turnbull</t>
  </si>
  <si>
    <t>JV</t>
  </si>
  <si>
    <t>Joe Valentine</t>
  </si>
  <si>
    <t>JVM</t>
  </si>
  <si>
    <t>Josh Moloney</t>
  </si>
  <si>
    <t>JW</t>
  </si>
  <si>
    <t>Jeremy Ward</t>
  </si>
  <si>
    <t>JWG</t>
  </si>
  <si>
    <t>Joe Gabauer</t>
  </si>
  <si>
    <t>JWM</t>
  </si>
  <si>
    <t>Jimmy Maher</t>
  </si>
  <si>
    <t>KC</t>
  </si>
  <si>
    <t>Kate Clements</t>
  </si>
  <si>
    <t>KDS</t>
  </si>
  <si>
    <t>Keith Saunders</t>
  </si>
  <si>
    <t>KF</t>
  </si>
  <si>
    <t>Kate Fraser</t>
  </si>
  <si>
    <t>KGL</t>
  </si>
  <si>
    <t>Kym Lashmar</t>
  </si>
  <si>
    <t>KHVT</t>
  </si>
  <si>
    <t>Kate Tinson</t>
  </si>
  <si>
    <t>KIR</t>
  </si>
  <si>
    <t>Kirsten Rodgers</t>
  </si>
  <si>
    <t>KJS</t>
  </si>
  <si>
    <t>Karl Schimanski</t>
  </si>
  <si>
    <t>KM</t>
  </si>
  <si>
    <t>Kelly Moore</t>
  </si>
  <si>
    <t>KMS</t>
  </si>
  <si>
    <t>Kim Sebo</t>
  </si>
  <si>
    <t>KO</t>
  </si>
  <si>
    <t>Kris O'Keeffe</t>
  </si>
  <si>
    <t>KR</t>
  </si>
  <si>
    <t>Karen Raubenheimer</t>
  </si>
  <si>
    <t>KRC</t>
  </si>
  <si>
    <t>Karen Crawley</t>
  </si>
  <si>
    <t>KRS</t>
  </si>
  <si>
    <t>Kevin Smith</t>
  </si>
  <si>
    <t>KS</t>
  </si>
  <si>
    <t>Kosta Stamoulis</t>
  </si>
  <si>
    <t>KW</t>
  </si>
  <si>
    <t>Kirsty Whitman</t>
  </si>
  <si>
    <t>LA</t>
  </si>
  <si>
    <t>Laura Airoldi</t>
  </si>
  <si>
    <t>LAH</t>
  </si>
  <si>
    <t>Louis Alberto Henríquez</t>
  </si>
  <si>
    <t>LAT</t>
  </si>
  <si>
    <t>Laurel Trebilco</t>
  </si>
  <si>
    <t>LCS</t>
  </si>
  <si>
    <t>Leonie Suter</t>
  </si>
  <si>
    <t>LDB</t>
  </si>
  <si>
    <t>Louise de Beuzeville</t>
  </si>
  <si>
    <t>LDR</t>
  </si>
  <si>
    <t>Lara Denis-Roy</t>
  </si>
  <si>
    <t>LER</t>
  </si>
  <si>
    <t>Lotte Rivers</t>
  </si>
  <si>
    <t>LH</t>
  </si>
  <si>
    <t>Leah Harper</t>
  </si>
  <si>
    <t>LJ</t>
  </si>
  <si>
    <t>Jeremy Lane</t>
  </si>
  <si>
    <t>LL</t>
  </si>
  <si>
    <t>Luigi Laezza</t>
  </si>
  <si>
    <t>LPF</t>
  </si>
  <si>
    <t>Laura Palacin Fernandez</t>
  </si>
  <si>
    <t>LVS</t>
  </si>
  <si>
    <t>Laura Smith</t>
  </si>
  <si>
    <t>LW</t>
  </si>
  <si>
    <t>Lisa west</t>
  </si>
  <si>
    <t>MA</t>
  </si>
  <si>
    <t>Michael Abbott</t>
  </si>
  <si>
    <t>MAK</t>
  </si>
  <si>
    <t>Martine Kinloch</t>
  </si>
  <si>
    <t>MB</t>
  </si>
  <si>
    <t>Michael Brooker</t>
  </si>
  <si>
    <t>MC</t>
  </si>
  <si>
    <t>Michelle Crighton</t>
  </si>
  <si>
    <t>MCA</t>
  </si>
  <si>
    <t>Mauricio Castrejón</t>
  </si>
  <si>
    <t>MCD</t>
  </si>
  <si>
    <t>Marie-Claire Demers</t>
  </si>
  <si>
    <t>MCO</t>
  </si>
  <si>
    <t>Mark Costello</t>
  </si>
  <si>
    <t>MD</t>
  </si>
  <si>
    <t>Madeline Davey</t>
  </si>
  <si>
    <t>ME</t>
  </si>
  <si>
    <t>Maryann Evetts</t>
  </si>
  <si>
    <t>MF</t>
  </si>
  <si>
    <t>Martin Filleul</t>
  </si>
  <si>
    <t>MGI</t>
  </si>
  <si>
    <t>Mike Irvine</t>
  </si>
  <si>
    <t>MGM</t>
  </si>
  <si>
    <t>Martin Mueller</t>
  </si>
  <si>
    <t>MGO</t>
  </si>
  <si>
    <t>Michael Goodison</t>
  </si>
  <si>
    <t>MH</t>
  </si>
  <si>
    <t>Martin Hing</t>
  </si>
  <si>
    <t>MHA</t>
  </si>
  <si>
    <t>Megan Hartog</t>
  </si>
  <si>
    <t>MIC</t>
  </si>
  <si>
    <t>Mishal Cohen</t>
  </si>
  <si>
    <t>MJC</t>
  </si>
  <si>
    <t>Matt Cameron</t>
  </si>
  <si>
    <t>MJJ</t>
  </si>
  <si>
    <t>Michael Jacques</t>
  </si>
  <si>
    <t>MJN</t>
  </si>
  <si>
    <t>Matt Nelson</t>
  </si>
  <si>
    <t>MJS</t>
  </si>
  <si>
    <t>Mike Sugden</t>
  </si>
  <si>
    <t>MKP</t>
  </si>
  <si>
    <t>Martin Puchert</t>
  </si>
  <si>
    <t>ML</t>
  </si>
  <si>
    <t>Meryl Larkin</t>
  </si>
  <si>
    <t>MLD</t>
  </si>
  <si>
    <t>Marlene Davey</t>
  </si>
  <si>
    <t>MLH</t>
  </si>
  <si>
    <t>Matt Hammond</t>
  </si>
  <si>
    <t>MMGD</t>
  </si>
  <si>
    <t>Manuel Maria Gonzalez Duarte</t>
  </si>
  <si>
    <t>MP</t>
  </si>
  <si>
    <t>Marjon Phur</t>
  </si>
  <si>
    <t>MPFL</t>
  </si>
  <si>
    <t>Matthias Liffers</t>
  </si>
  <si>
    <t>MRP</t>
  </si>
  <si>
    <t>Marianne Purton</t>
  </si>
  <si>
    <t>MRV</t>
  </si>
  <si>
    <t>Miriam Reverter Vives</t>
  </si>
  <si>
    <t>MS</t>
  </si>
  <si>
    <t>Margo Smith</t>
  </si>
  <si>
    <t>MSK</t>
  </si>
  <si>
    <t>Mat Skye</t>
  </si>
  <si>
    <t>MT</t>
  </si>
  <si>
    <t>Masa Tatsumi</t>
  </si>
  <si>
    <t>NAD</t>
  </si>
  <si>
    <t>Nicola Davis</t>
  </si>
  <si>
    <t>NAH</t>
  </si>
  <si>
    <t>Nicole Hill</t>
  </si>
  <si>
    <t>NAW</t>
  </si>
  <si>
    <t>Nick Watkins</t>
  </si>
  <si>
    <t>NB</t>
  </si>
  <si>
    <t>Nacor Balanos</t>
  </si>
  <si>
    <t>NDL</t>
  </si>
  <si>
    <t>Natali Lazzari</t>
  </si>
  <si>
    <t>NEB</t>
  </si>
  <si>
    <t>Nestor Bosch</t>
  </si>
  <si>
    <t>NEF</t>
  </si>
  <si>
    <t>Nicki Filby</t>
  </si>
  <si>
    <t>NF</t>
  </si>
  <si>
    <t>Nicola Fraser</t>
  </si>
  <si>
    <t>NH</t>
  </si>
  <si>
    <t>Natasha Hardy</t>
  </si>
  <si>
    <t>NJM</t>
  </si>
  <si>
    <t>Nick Mooney</t>
  </si>
  <si>
    <t>NJV</t>
  </si>
  <si>
    <t>Neil Vaughan</t>
  </si>
  <si>
    <t>NK</t>
  </si>
  <si>
    <t>Nina Kriegisch</t>
  </si>
  <si>
    <t>NKN</t>
  </si>
  <si>
    <t>Nathan Knott</t>
  </si>
  <si>
    <t>NMI</t>
  </si>
  <si>
    <t>Nicole Miller</t>
  </si>
  <si>
    <t>NRO</t>
  </si>
  <si>
    <t>Nuria Rizo Osuna-Moyano</t>
  </si>
  <si>
    <t>NSB</t>
  </si>
  <si>
    <t>Nev Barrett</t>
  </si>
  <si>
    <t>NSM</t>
  </si>
  <si>
    <t>Nestor Sanchez</t>
  </si>
  <si>
    <t>NT</t>
  </si>
  <si>
    <t>Natalia Tirado</t>
  </si>
  <si>
    <t>NTO</t>
  </si>
  <si>
    <t>Nahum Torres</t>
  </si>
  <si>
    <t>OAG</t>
  </si>
  <si>
    <t>Omar Álvarez González</t>
  </si>
  <si>
    <t>OAT</t>
  </si>
  <si>
    <t>Olatz Telleria</t>
  </si>
  <si>
    <t>OB</t>
  </si>
  <si>
    <t>Odalisca Breedy</t>
  </si>
  <si>
    <t>OJ</t>
  </si>
  <si>
    <t>Olivia Johnson</t>
  </si>
  <si>
    <t>PAC</t>
  </si>
  <si>
    <t>Paul Caiger</t>
  </si>
  <si>
    <t>PB</t>
  </si>
  <si>
    <t>Peltier Barahona</t>
  </si>
  <si>
    <t>PBD</t>
  </si>
  <si>
    <t>Paul Day</t>
  </si>
  <si>
    <t>PBS</t>
  </si>
  <si>
    <t>Paul Sharp</t>
  </si>
  <si>
    <t>PC</t>
  </si>
  <si>
    <t>Pip Cohen</t>
  </si>
  <si>
    <t>PEC</t>
  </si>
  <si>
    <t>Paul Carnell</t>
  </si>
  <si>
    <t>PH</t>
  </si>
  <si>
    <t>Peter Hay</t>
  </si>
  <si>
    <t>PHP</t>
  </si>
  <si>
    <t>Peter Pfennig</t>
  </si>
  <si>
    <t>PIP</t>
  </si>
  <si>
    <t>Petko Petkov</t>
  </si>
  <si>
    <t>PJB</t>
  </si>
  <si>
    <t>Pearse Buchanan</t>
  </si>
  <si>
    <t>PJR</t>
  </si>
  <si>
    <t>Peter Reeves</t>
  </si>
  <si>
    <t>PM</t>
  </si>
  <si>
    <t>Peter Mooney</t>
  </si>
  <si>
    <t>PMC</t>
  </si>
  <si>
    <t>Peter McGee</t>
  </si>
  <si>
    <t>PNL</t>
  </si>
  <si>
    <t>Patrick Lewis</t>
  </si>
  <si>
    <t>PRJ</t>
  </si>
  <si>
    <t>Paul Jennings</t>
  </si>
  <si>
    <t>PS</t>
  </si>
  <si>
    <t>Peter Southwood</t>
  </si>
  <si>
    <t>PSW</t>
  </si>
  <si>
    <t>Patrick Smallhorn-West</t>
  </si>
  <si>
    <t>PT</t>
  </si>
  <si>
    <t>Paul Tinkler</t>
  </si>
  <si>
    <t>PVDW</t>
  </si>
  <si>
    <t>Pieter van der Woude</t>
  </si>
  <si>
    <t>PW</t>
  </si>
  <si>
    <t>Paul Wembridge</t>
  </si>
  <si>
    <t>RB</t>
  </si>
  <si>
    <t>Ben Ruttenberg</t>
  </si>
  <si>
    <t>RBM</t>
  </si>
  <si>
    <t>Ron Mawbey</t>
  </si>
  <si>
    <t>RENA</t>
  </si>
  <si>
    <t>Rachel Austin</t>
  </si>
  <si>
    <t>RF</t>
  </si>
  <si>
    <t>Renata Ferrari Legorreta</t>
  </si>
  <si>
    <t>RFS</t>
  </si>
  <si>
    <t>Rita Silver</t>
  </si>
  <si>
    <t>RHE</t>
  </si>
  <si>
    <t>Rogelio Herrera Perez</t>
  </si>
  <si>
    <t>RIH</t>
  </si>
  <si>
    <t>Richard Hughes</t>
  </si>
  <si>
    <t>RJE</t>
  </si>
  <si>
    <t>Bob Edgar</t>
  </si>
  <si>
    <t>RJK</t>
  </si>
  <si>
    <t>Rohan Kaehne</t>
  </si>
  <si>
    <t>RM</t>
  </si>
  <si>
    <t>Rachael Miles</t>
  </si>
  <si>
    <t>RP</t>
  </si>
  <si>
    <t>Roby Pepolas</t>
  </si>
  <si>
    <t>RRE</t>
  </si>
  <si>
    <t>Rodrigo Riera</t>
  </si>
  <si>
    <t>RS</t>
  </si>
  <si>
    <t>Russ Stevens</t>
  </si>
  <si>
    <t>RSS</t>
  </si>
  <si>
    <t>Rick Stuart-Smith</t>
  </si>
  <si>
    <t>RT</t>
  </si>
  <si>
    <t>Rowan Trebilco</t>
  </si>
  <si>
    <t>RV</t>
  </si>
  <si>
    <t>Renate Velzeboer</t>
  </si>
  <si>
    <t>RW</t>
  </si>
  <si>
    <t>Regan Warren</t>
  </si>
  <si>
    <t>RWA</t>
  </si>
  <si>
    <t>Rebecca Watson</t>
  </si>
  <si>
    <t>RWH</t>
  </si>
  <si>
    <t>Ross Whippo</t>
  </si>
  <si>
    <t>SAB</t>
  </si>
  <si>
    <t>Sandra Bessudo</t>
  </si>
  <si>
    <t>SAG</t>
  </si>
  <si>
    <t>Sallyann Gudge</t>
  </si>
  <si>
    <t>SAS</t>
  </si>
  <si>
    <t>Scoresby Sheperd</t>
  </si>
  <si>
    <t>SC</t>
  </si>
  <si>
    <t>San Clarke</t>
  </si>
  <si>
    <t>SCB</t>
  </si>
  <si>
    <t>Sue Baker</t>
  </si>
  <si>
    <t>SCE</t>
  </si>
  <si>
    <t>Sophie Edgar</t>
  </si>
  <si>
    <t>SD</t>
  </si>
  <si>
    <t>Shaun Davis</t>
  </si>
  <si>
    <t>SDL</t>
  </si>
  <si>
    <t>Scott Ling</t>
  </si>
  <si>
    <t>SEB</t>
  </si>
  <si>
    <t>Stuart Banks</t>
  </si>
  <si>
    <t>SG</t>
  </si>
  <si>
    <t>Simon Gartenstein</t>
  </si>
  <si>
    <t>SGG</t>
  </si>
  <si>
    <t>Sam Gaylard</t>
  </si>
  <si>
    <t>SGR</t>
  </si>
  <si>
    <t>Siobhan Gray</t>
  </si>
  <si>
    <t>SGS</t>
  </si>
  <si>
    <t>Sonia Sagrista</t>
  </si>
  <si>
    <t>SH</t>
  </si>
  <si>
    <t>Shane Holland</t>
  </si>
  <si>
    <t>SI</t>
  </si>
  <si>
    <t>Sonia Ibarra</t>
  </si>
  <si>
    <t>SJ</t>
  </si>
  <si>
    <t>Scott Jones</t>
  </si>
  <si>
    <t>SJF</t>
  </si>
  <si>
    <t>Suzanne Fiebig</t>
  </si>
  <si>
    <t>SJK</t>
  </si>
  <si>
    <t>Stuart Kininmonth</t>
  </si>
  <si>
    <t>SJO</t>
  </si>
  <si>
    <t>Sam Owen</t>
  </si>
  <si>
    <t>SJS</t>
  </si>
  <si>
    <t>Spencer Shute</t>
  </si>
  <si>
    <t>SJT</t>
  </si>
  <si>
    <t>Simon Tweed</t>
  </si>
  <si>
    <t>SJW</t>
  </si>
  <si>
    <t>Sue Wragge</t>
  </si>
  <si>
    <t>SK</t>
  </si>
  <si>
    <t>Sam Kruimink</t>
  </si>
  <si>
    <t>SLG</t>
  </si>
  <si>
    <t>Stephen Green</t>
  </si>
  <si>
    <t>SLR</t>
  </si>
  <si>
    <t>Sarah-Lena Reinhardt</t>
  </si>
  <si>
    <t>SLW</t>
  </si>
  <si>
    <t>Sam Wines</t>
  </si>
  <si>
    <t>SM</t>
  </si>
  <si>
    <t>Simon Morley</t>
  </si>
  <si>
    <t>SMP</t>
  </si>
  <si>
    <t>Sophie Powell</t>
  </si>
  <si>
    <t>SP</t>
  </si>
  <si>
    <t>Sarah Payne</t>
  </si>
  <si>
    <t>SPE</t>
  </si>
  <si>
    <t>Shamaram Eichmann</t>
  </si>
  <si>
    <t>SPS</t>
  </si>
  <si>
    <t>Paige Shaw</t>
  </si>
  <si>
    <t>SPUD</t>
  </si>
  <si>
    <t>Justin Hulls</t>
  </si>
  <si>
    <t>SR</t>
  </si>
  <si>
    <t>Simon Reeves</t>
  </si>
  <si>
    <t>SRB</t>
  </si>
  <si>
    <t>Simon Bryars</t>
  </si>
  <si>
    <t>SRC</t>
  </si>
  <si>
    <t>Simon Curtis</t>
  </si>
  <si>
    <t>SRG</t>
  </si>
  <si>
    <t>Sam Griffiths</t>
  </si>
  <si>
    <t>SRT</t>
  </si>
  <si>
    <t>Simon Talbot</t>
  </si>
  <si>
    <t>SS</t>
  </si>
  <si>
    <t>Silke Stuckenbrock</t>
  </si>
  <si>
    <t>SSA</t>
  </si>
  <si>
    <t>Salvador Sanchez</t>
  </si>
  <si>
    <t>STB</t>
  </si>
  <si>
    <t>Steve Benj</t>
  </si>
  <si>
    <t>STN</t>
  </si>
  <si>
    <t>Sue Newson</t>
  </si>
  <si>
    <t>SYB</t>
  </si>
  <si>
    <t>Sylvia Buchanan</t>
  </si>
  <si>
    <t>TAS</t>
  </si>
  <si>
    <t>Terina Saunders</t>
  </si>
  <si>
    <t>TCD</t>
  </si>
  <si>
    <t>Tas Douglass</t>
  </si>
  <si>
    <t>TEF</t>
  </si>
  <si>
    <t>Tim Forster</t>
  </si>
  <si>
    <t>TH</t>
  </si>
  <si>
    <t>Tom Holmes</t>
  </si>
  <si>
    <t>TJ</t>
  </si>
  <si>
    <t>Tyson Jones</t>
  </si>
  <si>
    <t>TJA</t>
  </si>
  <si>
    <t>Tim Alexander</t>
  </si>
  <si>
    <t>TP</t>
  </si>
  <si>
    <t>Tanja Ponudic</t>
  </si>
  <si>
    <t>TPC</t>
  </si>
  <si>
    <t>Tim Crawford</t>
  </si>
  <si>
    <t>TR</t>
  </si>
  <si>
    <t>Thierry Rakotoarivelo</t>
  </si>
  <si>
    <t>TRD</t>
  </si>
  <si>
    <t>Tom Davis</t>
  </si>
  <si>
    <t>TS</t>
  </si>
  <si>
    <t>Tanika Shalders</t>
  </si>
  <si>
    <t>TT</t>
  </si>
  <si>
    <t>Todd Thimios</t>
  </si>
  <si>
    <t>VNP</t>
  </si>
  <si>
    <t>Vic National Parks</t>
  </si>
  <si>
    <t>WCB</t>
  </si>
  <si>
    <t>Bill Barker</t>
  </si>
  <si>
    <t>WEI</t>
  </si>
  <si>
    <t>Eddie Ivers</t>
  </si>
  <si>
    <t>WF</t>
  </si>
  <si>
    <t>Will Figueira</t>
  </si>
  <si>
    <t>WJN</t>
  </si>
  <si>
    <t>Warrick Noble</t>
  </si>
  <si>
    <t>WRH</t>
  </si>
  <si>
    <t>Wendy Hutchison</t>
  </si>
  <si>
    <t>WW</t>
  </si>
  <si>
    <t>Will Wied</t>
  </si>
  <si>
    <t>YMS</t>
  </si>
  <si>
    <t>Yanir Seroussi</t>
  </si>
  <si>
    <t>ZF</t>
  </si>
  <si>
    <t>Zach Foltz</t>
  </si>
  <si>
    <t>* when the pivot table is selected (blue), under the Data tab - press 'Refresh All' to update table as data is populated to check structure.</t>
  </si>
  <si>
    <t>Count of Species</t>
  </si>
  <si>
    <t>Grand Total</t>
  </si>
  <si>
    <t>(blank)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</si>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</sst>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1"/>
        <bgColor theme="1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4" fontId="3" fillId="0" borderId="12" xfId="0" applyNumberFormat="1" applyFont="1" applyBorder="1"/>
    <xf numFmtId="20" fontId="3" fillId="0" borderId="12" xfId="0" applyNumberFormat="1" applyFont="1" applyBorder="1"/>
    <xf numFmtId="0" fontId="3" fillId="0" borderId="15" xfId="0" applyFont="1" applyBorder="1"/>
    <xf numFmtId="0" fontId="1" fillId="0" borderId="16" xfId="0" applyFont="1" applyBorder="1"/>
    <xf numFmtId="0" fontId="1" fillId="0" borderId="0" xfId="0" applyFont="1"/>
    <xf numFmtId="0" fontId="1" fillId="0" borderId="17" xfId="0" applyFont="1" applyBorder="1"/>
    <xf numFmtId="0" fontId="1" fillId="0" borderId="18" xfId="0" applyFont="1" applyBorder="1"/>
    <xf numFmtId="14" fontId="1" fillId="0" borderId="0" xfId="0" applyNumberFormat="1" applyFont="1"/>
    <xf numFmtId="20" fontId="1" fillId="0" borderId="0" xfId="0" applyNumberFormat="1" applyFont="1" applyAlignment="1">
      <alignment horizontal="left"/>
    </xf>
    <xf numFmtId="0" fontId="4" fillId="0" borderId="17" xfId="0" applyFont="1" applyBorder="1"/>
    <xf numFmtId="0" fontId="4" fillId="0" borderId="16" xfId="0" applyFont="1" applyBorder="1"/>
    <xf numFmtId="20" fontId="1" fillId="0" borderId="0" xfId="0" applyNumberFormat="1" applyFont="1"/>
    <xf numFmtId="0" fontId="1" fillId="0" borderId="19" xfId="0" applyFont="1" applyBorder="1"/>
    <xf numFmtId="0" fontId="1" fillId="2" borderId="17" xfId="0" applyFont="1" applyFill="1" applyBorder="1"/>
    <xf numFmtId="164" fontId="1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20" fontId="5" fillId="0" borderId="0" xfId="0" applyNumberFormat="1" applyFont="1" applyAlignment="1">
      <alignment horizontal="right"/>
    </xf>
    <xf numFmtId="0" fontId="1" fillId="3" borderId="17" xfId="0" applyFont="1" applyFill="1" applyBorder="1"/>
    <xf numFmtId="0" fontId="1" fillId="3" borderId="0" xfId="0" applyFont="1" applyFill="1"/>
    <xf numFmtId="0" fontId="1" fillId="3" borderId="16" xfId="0" applyFont="1" applyFill="1" applyBorder="1"/>
    <xf numFmtId="0" fontId="1" fillId="3" borderId="18" xfId="0" applyFont="1" applyFill="1" applyBorder="1"/>
    <xf numFmtId="20" fontId="1" fillId="3" borderId="0" xfId="0" applyNumberFormat="1" applyFont="1" applyFill="1"/>
    <xf numFmtId="0" fontId="1" fillId="3" borderId="19" xfId="0" applyFont="1" applyFill="1" applyBorder="1"/>
    <xf numFmtId="0" fontId="1" fillId="4" borderId="17" xfId="0" applyFont="1" applyFill="1" applyBorder="1"/>
    <xf numFmtId="0" fontId="1" fillId="4" borderId="0" xfId="0" applyFont="1" applyFill="1"/>
    <xf numFmtId="0" fontId="1" fillId="4" borderId="16" xfId="0" applyFont="1" applyFill="1" applyBorder="1"/>
    <xf numFmtId="0" fontId="1" fillId="4" borderId="18" xfId="0" applyFont="1" applyFill="1" applyBorder="1"/>
    <xf numFmtId="14" fontId="1" fillId="4" borderId="0" xfId="0" applyNumberFormat="1" applyFont="1" applyFill="1"/>
    <xf numFmtId="20" fontId="1" fillId="4" borderId="0" xfId="0" applyNumberFormat="1" applyFont="1" applyFill="1"/>
    <xf numFmtId="0" fontId="1" fillId="4" borderId="19" xfId="0" applyFont="1" applyFill="1" applyBorder="1"/>
    <xf numFmtId="0" fontId="1" fillId="5" borderId="17" xfId="0" applyFont="1" applyFill="1" applyBorder="1"/>
    <xf numFmtId="0" fontId="1" fillId="5" borderId="0" xfId="0" applyFont="1" applyFill="1"/>
    <xf numFmtId="0" fontId="1" fillId="5" borderId="16" xfId="0" applyFont="1" applyFill="1" applyBorder="1"/>
    <xf numFmtId="0" fontId="1" fillId="5" borderId="18" xfId="0" applyFont="1" applyFill="1" applyBorder="1"/>
    <xf numFmtId="14" fontId="1" fillId="5" borderId="0" xfId="0" applyNumberFormat="1" applyFont="1" applyFill="1"/>
    <xf numFmtId="20" fontId="1" fillId="5" borderId="0" xfId="0" applyNumberFormat="1" applyFont="1" applyFill="1"/>
    <xf numFmtId="0" fontId="1" fillId="5" borderId="19" xfId="0" applyFont="1" applyFill="1" applyBorder="1"/>
    <xf numFmtId="0" fontId="3" fillId="0" borderId="0" xfId="0" applyFont="1"/>
    <xf numFmtId="0" fontId="5" fillId="0" borderId="0" xfId="0" applyFont="1" applyAlignment="1">
      <alignment horizontal="left"/>
    </xf>
    <xf numFmtId="0" fontId="6" fillId="6" borderId="16" xfId="0" applyFont="1" applyFill="1" applyBorder="1"/>
    <xf numFmtId="0" fontId="1" fillId="0" borderId="0" xfId="0" applyFont="1" applyAlignment="1">
      <alignment vertical="center" wrapText="1"/>
    </xf>
    <xf numFmtId="0" fontId="0" fillId="0" borderId="20" xfId="0" pivotButton="1" applyBorder="1"/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4" fontId="0" fillId="0" borderId="20" xfId="0" applyNumberFormat="1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21" xfId="0" pivotButton="1" applyBorder="1"/>
    <xf numFmtId="0" fontId="0" fillId="0" borderId="32" xfId="0" applyBorder="1"/>
    <xf numFmtId="0" fontId="0" fillId="0" borderId="33" xfId="0" applyBorder="1"/>
    <xf numFmtId="14" fontId="0" fillId="0" borderId="28" xfId="0" applyNumberFormat="1" applyBorder="1"/>
    <xf numFmtId="0" fontId="0" fillId="0" borderId="20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6" xfId="0" applyNumberFormat="1" applyBorder="1"/>
    <xf numFmtId="0" fontId="0" fillId="0" borderId="16" xfId="0" applyNumberFormat="1" applyBorder="1"/>
    <xf numFmtId="0" fontId="0" fillId="0" borderId="27" xfId="0" applyNumberFormat="1" applyBorder="1"/>
    <xf numFmtId="0" fontId="0" fillId="0" borderId="28" xfId="0" applyNumberFormat="1" applyBorder="1"/>
    <xf numFmtId="0" fontId="0" fillId="0" borderId="30" xfId="0" applyNumberFormat="1" applyBorder="1"/>
    <xf numFmtId="0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5679.54100902778" refreshedVersion="8" recordCount="395" xr:uid="{00000000-000A-0000-FFFF-FFFF01000000}">
  <cacheSource type="worksheet">
    <worksheetSource ref="A1:AV396" sheet="DATA"/>
  </cacheSource>
  <cacheFields count="48">
    <cacheField name="ID" numFmtId="0">
      <sharedItems containsString="0" containsBlank="1" containsNumber="1" containsInteger="1" minValue="1" maxValue="394"/>
    </cacheField>
    <cacheField name="Diver" numFmtId="0">
      <sharedItems containsBlank="1" count="7">
        <m/>
        <s v="Jasmin Schuster"/>
        <s v="Em Lim"/>
        <s v="Isabelle Cote"/>
        <s v="Tom Bird"/>
        <s v="Claire Attridge"/>
        <s v="Valesca de Groot"/>
      </sharedItems>
    </cacheField>
    <cacheField name="Buddy" numFmtId="0">
      <sharedItems containsBlank="1"/>
    </cacheField>
    <cacheField name="Site No." numFmtId="0">
      <sharedItems containsBlank="1" count="25">
        <m/>
        <s v="BMSC8"/>
        <s v="BMSC6"/>
        <s v="BMSC5"/>
        <s v="BMSC9"/>
        <s v="BMSC25"/>
        <s v="BMSC24"/>
        <s v="BMSC26"/>
        <s v="BMSC20"/>
        <s v="BMSC1"/>
        <s v="BMSC19"/>
        <s v="BMSC11"/>
        <s v="BMSC12"/>
        <s v="BMSC10"/>
        <s v="BMSC3"/>
        <s v="BMSC4"/>
        <s v="BMSC2"/>
        <s v="BMSC21"/>
        <s v="BMSC22"/>
        <s v="BMSC13"/>
        <s v="BMSC17"/>
        <s v="BMSC14"/>
        <s v="BMSC16"/>
        <s v="BMSC27"/>
        <s v="BMSC23"/>
      </sharedItems>
    </cacheField>
    <cacheField name="Site Name" numFmtId="0">
      <sharedItems containsBlank="1" count="25">
        <m/>
        <s v="Baeria Rocks North Island Northside"/>
        <s v="Baeria Rocks South Island"/>
        <s v="Taylor Rock"/>
        <s v="Eagle Bay"/>
        <s v="Goby Town"/>
        <s v="Swiss Boy"/>
        <s v="Hosie South"/>
        <s v="Ed King East"/>
        <s v="Dodger Channel"/>
        <s v="Ed King SW Pyramid"/>
        <s v="Wizard Island South"/>
        <s v="Wizard Island North"/>
        <s v="Ross Islets Slug Island"/>
        <s v="Ohiat"/>
        <s v="Kii xin"/>
        <s v="Kirby"/>
        <s v="Dixon SW"/>
        <s v="Dixon Inside"/>
        <s v="Effingham West"/>
        <s v="Wouwer Channel"/>
        <s v="Effingham Archipelago"/>
        <s v="Faber Islets"/>
        <s v="San Jose North Island"/>
        <s v="Aguilar Point"/>
      </sharedItems>
    </cacheField>
    <cacheField name="Latitude" numFmtId="0">
      <sharedItems containsString="0" containsBlank="1" containsNumber="1" minValue="48.815116882324197" maxValue="48.955081939697202"/>
    </cacheField>
    <cacheField name="Longitude" numFmtId="0">
      <sharedItems containsString="0" containsBlank="1" containsNumber="1" minValue="-125.36148071289" maxValue="-125.03701700000001"/>
    </cacheField>
    <cacheField name="Date" numFmtId="0">
      <sharedItems containsDate="1" containsBlank="1" containsMixedTypes="1" minDate="2024-04-22T00:00:00" maxDate="2024-05-04T00:00:00" count="15">
        <m/>
        <d v="2024-04-22T00:00:00"/>
        <s v="4/23/2024"/>
        <d v="2024-04-23T00:00:00"/>
        <s v="4/22/2024"/>
        <s v="4/24/2024"/>
        <d v="2024-04-24T00:00:00"/>
        <s v="4/25/2024"/>
        <d v="2024-04-25T00:00:00"/>
        <s v="4/26/2024"/>
        <d v="2024-04-29T00:00:00"/>
        <d v="2024-04-30T00:00:00"/>
        <d v="2024-05-01T00:00:00"/>
        <d v="2024-05-02T00:00:00"/>
        <d v="2024-05-03T00:00:00"/>
      </sharedItems>
    </cacheField>
    <cacheField name="vis" numFmtId="0">
      <sharedItems containsString="0" containsBlank="1" containsNumber="1" minValue="1" maxValue="4"/>
    </cacheField>
    <cacheField name="Direction" numFmtId="0">
      <sharedItems containsBlank="1"/>
    </cacheField>
    <cacheField name="Time" numFmtId="20">
      <sharedItems containsSemiMixedTypes="0" containsNonDate="0" containsDate="1" containsString="0" minDate="1899-12-30T09:29:00" maxDate="1899-12-30T15:10:00"/>
    </cacheField>
    <cacheField name="Depth" numFmtId="0">
      <sharedItems containsString="0" containsBlank="1" containsNumber="1" minValue="3" maxValue="11" count="16">
        <m/>
        <n v="7.5"/>
        <n v="8"/>
        <n v="8.5"/>
        <n v="11"/>
        <n v="6.5"/>
        <n v="6"/>
        <n v="5.5"/>
        <n v="10.5"/>
        <n v="6.7"/>
        <n v="5"/>
        <n v="7"/>
        <n v="4.5"/>
        <n v="4"/>
        <n v="3"/>
        <n v="5.8"/>
      </sharedItems>
    </cacheField>
    <cacheField name="Method" numFmtId="0">
      <sharedItems containsMixedTypes="1" containsNumber="1" containsInteger="1" minValue="2" maxValue="2" count="2">
        <s v="Quadrat"/>
        <n v="2"/>
      </sharedItems>
    </cacheField>
    <cacheField name="Block" numFmtId="0">
      <sharedItems containsMixedTypes="1" containsNumber="1" containsInteger="1" minValue="1" maxValue="2" count="3">
        <s v="0, 1, 2"/>
        <n v="1"/>
        <n v="2"/>
      </sharedItems>
    </cacheField>
    <cacheField name="Quadrat # (m)" numFmtId="0">
      <sharedItems containsString="0" containsBlank="1" containsNumber="1" containsInteger="1" minValue="0" maxValue="48"/>
    </cacheField>
    <cacheField name="Code" numFmtId="0">
      <sharedItems containsBlank="1"/>
    </cacheField>
    <cacheField name="Species" numFmtId="0">
      <sharedItems containsMixedTypes="1" containsNumber="1" containsInteger="1" minValue="2" maxValue="2"/>
    </cacheField>
    <cacheField name="Common name" numFmtId="0">
      <sharedItems containsMixedTypes="1" containsNumber="1" containsInteger="1" minValue="3" maxValue="3"/>
    </cacheField>
    <cacheField name="Total" numFmtId="0">
      <sharedItems containsSemiMixedTypes="0" containsString="0" containsNumber="1" containsInteger="1" minValue="0" maxValue="1524"/>
    </cacheField>
    <cacheField name="Inverts" numFmtId="0">
      <sharedItems containsString="0" containsBlank="1" containsNumber="1" containsInteger="1" minValue="0" maxValue="4"/>
    </cacheField>
    <cacheField name="2.5" numFmtId="0">
      <sharedItems containsString="0" containsBlank="1" containsNumber="1" containsInteger="1" minValue="1" maxValue="6"/>
    </cacheField>
    <cacheField name="5" numFmtId="0">
      <sharedItems containsString="0" containsBlank="1" containsNumber="1" containsInteger="1" minValue="1" maxValue="13"/>
    </cacheField>
    <cacheField name="7.5" numFmtId="0">
      <sharedItems containsString="0" containsBlank="1" containsNumber="1" containsInteger="1" minValue="1" maxValue="8"/>
    </cacheField>
    <cacheField name="10" numFmtId="0">
      <sharedItems containsString="0" containsBlank="1" containsNumber="1" containsInteger="1" minValue="1" maxValue="7"/>
    </cacheField>
    <cacheField name="12.5" numFmtId="0">
      <sharedItems containsString="0" containsBlank="1" containsNumber="1" containsInteger="1" minValue="1" maxValue="5"/>
    </cacheField>
    <cacheField name="15" numFmtId="0">
      <sharedItems containsString="0" containsBlank="1" containsNumber="1" containsInteger="1" minValue="1" maxValue="7"/>
    </cacheField>
    <cacheField name="20" numFmtId="0">
      <sharedItems containsString="0" containsBlank="1" containsNumber="1" containsInteger="1" minValue="1" maxValue="8"/>
    </cacheField>
    <cacheField name="25" numFmtId="0">
      <sharedItems containsString="0" containsBlank="1" containsNumber="1" containsInteger="1" minValue="1" maxValue="10"/>
    </cacheField>
    <cacheField name="30" numFmtId="0">
      <sharedItems containsString="0" containsBlank="1" containsNumber="1" containsInteger="1" minValue="1" maxValue="12"/>
    </cacheField>
    <cacheField name="35" numFmtId="0">
      <sharedItems containsString="0" containsBlank="1" containsNumber="1" containsInteger="1" minValue="1" maxValue="14"/>
    </cacheField>
    <cacheField name="40" numFmtId="0">
      <sharedItems containsString="0" containsBlank="1" containsNumber="1" containsInteger="1" minValue="1" maxValue="16"/>
    </cacheField>
    <cacheField name="50" numFmtId="0">
      <sharedItems containsString="0" containsBlank="1" containsNumber="1" containsInteger="1" minValue="20" maxValue="20"/>
    </cacheField>
    <cacheField name="62.5" numFmtId="0">
      <sharedItems containsString="0" containsBlank="1" containsNumber="1" containsInteger="1" minValue="25" maxValue="25"/>
    </cacheField>
    <cacheField name="75" numFmtId="0">
      <sharedItems containsString="0" containsBlank="1" containsNumber="1" containsInteger="1" minValue="30" maxValue="30"/>
    </cacheField>
    <cacheField name="87.5" numFmtId="0">
      <sharedItems containsString="0" containsBlank="1" containsNumber="1" containsInteger="1" minValue="35" maxValue="35"/>
    </cacheField>
    <cacheField name="100" numFmtId="0">
      <sharedItems containsString="0" containsBlank="1" containsNumber="1" containsInteger="1" minValue="40" maxValue="40"/>
    </cacheField>
    <cacheField name="112.5" numFmtId="0">
      <sharedItems containsString="0" containsBlank="1" containsNumber="1" containsInteger="1" minValue="45" maxValue="45"/>
    </cacheField>
    <cacheField name="125" numFmtId="0">
      <sharedItems containsString="0" containsBlank="1" containsNumber="1" containsInteger="1" minValue="50" maxValue="50"/>
    </cacheField>
    <cacheField name="137.5" numFmtId="0">
      <sharedItems containsString="0" containsBlank="1" containsNumber="1" containsInteger="1" minValue="55" maxValue="55"/>
    </cacheField>
    <cacheField name="150" numFmtId="0">
      <sharedItems containsString="0" containsBlank="1" containsNumber="1" containsInteger="1" minValue="60" maxValue="60"/>
    </cacheField>
    <cacheField name="162.5" numFmtId="0">
      <sharedItems containsString="0" containsBlank="1" containsNumber="1" containsInteger="1" minValue="65" maxValue="65"/>
    </cacheField>
    <cacheField name="175" numFmtId="0">
      <sharedItems containsString="0" containsBlank="1" containsNumber="1" containsInteger="1" minValue="70" maxValue="70"/>
    </cacheField>
    <cacheField name="187.5" numFmtId="0">
      <sharedItems containsString="0" containsBlank="1" containsNumber="1" containsInteger="1" minValue="75" maxValue="75"/>
    </cacheField>
    <cacheField name="200" numFmtId="0">
      <sharedItems containsString="0" containsBlank="1" containsNumber="1" containsInteger="1" minValue="80" maxValue="80"/>
    </cacheField>
    <cacheField name="250" numFmtId="0">
      <sharedItems containsString="0" containsBlank="1" containsNumber="1" containsInteger="1" minValue="100" maxValue="100"/>
    </cacheField>
    <cacheField name="300" numFmtId="0">
      <sharedItems containsString="0" containsBlank="1" containsNumber="1" containsInteger="1" minValue="120" maxValue="120"/>
    </cacheField>
    <cacheField name="350" numFmtId="0">
      <sharedItems containsString="0" containsBlank="1" containsNumber="1" containsInteger="1" minValue="140" maxValue="140"/>
    </cacheField>
    <cacheField name="400" numFmtId="0">
      <sharedItems containsString="0" containsBlank="1" containsNumber="1" containsInteger="1" minValue="160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5679.541010185188" refreshedVersion="8" recordCount="395" xr:uid="{00000000-000A-0000-FFFF-FFFF00000000}">
  <cacheSource type="worksheet">
    <worksheetSource ref="B1:S396" sheet="DATA"/>
  </cacheSource>
  <cacheFields count="18">
    <cacheField name="Diver" numFmtId="0">
      <sharedItems containsBlank="1"/>
    </cacheField>
    <cacheField name="Buddy" numFmtId="0">
      <sharedItems containsBlank="1"/>
    </cacheField>
    <cacheField name="Site No." numFmtId="0">
      <sharedItems containsBlank="1" count="25">
        <m/>
        <s v="BMSC8"/>
        <s v="BMSC6"/>
        <s v="BMSC5"/>
        <s v="BMSC9"/>
        <s v="BMSC25"/>
        <s v="BMSC24"/>
        <s v="BMSC26"/>
        <s v="BMSC20"/>
        <s v="BMSC1"/>
        <s v="BMSC19"/>
        <s v="BMSC11"/>
        <s v="BMSC12"/>
        <s v="BMSC10"/>
        <s v="BMSC3"/>
        <s v="BMSC4"/>
        <s v="BMSC2"/>
        <s v="BMSC21"/>
        <s v="BMSC22"/>
        <s v="BMSC13"/>
        <s v="BMSC17"/>
        <s v="BMSC14"/>
        <s v="BMSC16"/>
        <s v="BMSC27"/>
        <s v="BMSC23"/>
      </sharedItems>
    </cacheField>
    <cacheField name="Site Name" numFmtId="0">
      <sharedItems containsBlank="1"/>
    </cacheField>
    <cacheField name="Latitude" numFmtId="0">
      <sharedItems containsString="0" containsBlank="1" containsNumber="1" minValue="48.815116882324197" maxValue="48.955081939697202"/>
    </cacheField>
    <cacheField name="Longitude" numFmtId="0">
      <sharedItems containsString="0" containsBlank="1" containsNumber="1" minValue="-125.36148071289" maxValue="-125.03701700000001"/>
    </cacheField>
    <cacheField name="Date" numFmtId="0">
      <sharedItems containsDate="1" containsBlank="1" containsMixedTypes="1" minDate="2024-04-22T00:00:00" maxDate="2024-05-04T00:00:00" count="15">
        <m/>
        <d v="2024-04-22T00:00:00"/>
        <s v="4/23/2024"/>
        <d v="2024-04-23T00:00:00"/>
        <s v="4/22/2024"/>
        <s v="4/24/2024"/>
        <d v="2024-04-24T00:00:00"/>
        <s v="4/25/2024"/>
        <d v="2024-04-25T00:00:00"/>
        <s v="4/26/2024"/>
        <d v="2024-04-29T00:00:00"/>
        <d v="2024-04-30T00:00:00"/>
        <d v="2024-05-01T00:00:00"/>
        <d v="2024-05-02T00:00:00"/>
        <d v="2024-05-03T00:00:00"/>
      </sharedItems>
    </cacheField>
    <cacheField name="vis" numFmtId="0">
      <sharedItems containsString="0" containsBlank="1" containsNumber="1" minValue="1" maxValue="4"/>
    </cacheField>
    <cacheField name="Direction" numFmtId="0">
      <sharedItems containsBlank="1"/>
    </cacheField>
    <cacheField name="Time" numFmtId="20">
      <sharedItems containsSemiMixedTypes="0" containsNonDate="0" containsDate="1" containsString="0" minDate="1899-12-30T09:29:00" maxDate="1899-12-30T15:10:00"/>
    </cacheField>
    <cacheField name="Depth" numFmtId="0">
      <sharedItems containsString="0" containsBlank="1" containsNumber="1" minValue="3" maxValue="11" count="16">
        <m/>
        <n v="7.5"/>
        <n v="8"/>
        <n v="8.5"/>
        <n v="11"/>
        <n v="6.5"/>
        <n v="6"/>
        <n v="5.5"/>
        <n v="10.5"/>
        <n v="6.7"/>
        <n v="5"/>
        <n v="7"/>
        <n v="4.5"/>
        <n v="4"/>
        <n v="3"/>
        <n v="5.8"/>
      </sharedItems>
    </cacheField>
    <cacheField name="Method" numFmtId="0">
      <sharedItems containsMixedTypes="1" containsNumber="1" containsInteger="1" minValue="2" maxValue="2" count="2">
        <s v="Quadrat"/>
        <n v="2"/>
      </sharedItems>
    </cacheField>
    <cacheField name="Block" numFmtId="0">
      <sharedItems containsMixedTypes="1" containsNumber="1" containsInteger="1" minValue="1" maxValue="2"/>
    </cacheField>
    <cacheField name="Quadrat # (m)" numFmtId="0">
      <sharedItems containsString="0" containsBlank="1" containsNumber="1" containsInteger="1" minValue="0" maxValue="48"/>
    </cacheField>
    <cacheField name="Code" numFmtId="0">
      <sharedItems containsBlank="1"/>
    </cacheField>
    <cacheField name="Species" numFmtId="0">
      <sharedItems containsMixedTypes="1" containsNumber="1" containsInteger="1" minValue="2" maxValue="2" count="14">
        <n v="2"/>
        <s v="Patiria miniata"/>
        <s v="Mesocentrotus franciscanus"/>
        <s v="Pisaster ochraceus"/>
        <s v="Orthasterias koehleri"/>
        <s v="Dermasterias imbricata"/>
        <s v="Strongylocentrotus droebachiensis"/>
        <s v="Strongylocentrotus purpuratus"/>
        <s v="Henricia sp."/>
        <s v="Evasterias troschelii"/>
        <s v="Pycnopodia helianthoides"/>
        <s v="No species found"/>
        <s v="Stylasterias forreri"/>
        <s v="NOT PRESENT"/>
      </sharedItems>
    </cacheField>
    <cacheField name="Common name" numFmtId="0">
      <sharedItems containsMixedTypes="1" containsNumber="1" containsInteger="1" minValue="3" maxValue="3"/>
    </cacheField>
    <cacheField name="Total" numFmtId="0">
      <sharedItems containsSemiMixedTypes="0" containsString="0" containsNumber="1" containsInteger="1" minValue="0" maxValue="15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m/>
    <x v="0"/>
    <m/>
    <x v="0"/>
    <x v="0"/>
    <m/>
    <m/>
    <x v="0"/>
    <m/>
    <m/>
    <d v="1899-12-30T12:00:00"/>
    <x v="0"/>
    <x v="0"/>
    <x v="0"/>
    <m/>
    <m/>
    <n v="2"/>
    <n v="3"/>
    <n v="1524"/>
    <n v="4"/>
    <n v="1"/>
    <n v="2"/>
    <n v="3"/>
    <n v="4"/>
    <n v="5"/>
    <n v="6"/>
    <n v="8"/>
    <n v="10"/>
    <n v="12"/>
    <n v="14"/>
    <n v="16"/>
    <n v="20"/>
    <n v="25"/>
    <n v="30"/>
    <n v="35"/>
    <n v="40"/>
    <n v="45"/>
    <n v="50"/>
    <n v="55"/>
    <n v="60"/>
    <n v="65"/>
    <n v="70"/>
    <n v="75"/>
    <n v="80"/>
    <n v="100"/>
    <n v="120"/>
    <n v="140"/>
    <n v="160"/>
  </r>
  <r>
    <n v="1"/>
    <x v="1"/>
    <s v="Tom Bird"/>
    <x v="1"/>
    <x v="1"/>
    <n v="48.955081939697202"/>
    <n v="-125.15337371826099"/>
    <x v="1"/>
    <n v="1"/>
    <s v="NW"/>
    <d v="1899-12-30T10:10:00"/>
    <x v="1"/>
    <x v="1"/>
    <x v="1"/>
    <n v="48"/>
    <s v="Pmi"/>
    <s v="Patiria miniata"/>
    <s v="Bat star"/>
    <n v="4"/>
    <n v="0"/>
    <n v="1"/>
    <n v="1"/>
    <n v="2"/>
    <m/>
    <m/>
    <m/>
    <m/>
    <m/>
    <m/>
    <m/>
    <m/>
    <m/>
    <m/>
    <m/>
    <m/>
    <m/>
    <m/>
    <m/>
    <m/>
    <m/>
    <m/>
    <m/>
    <m/>
    <m/>
    <m/>
    <m/>
    <m/>
    <m/>
  </r>
  <r>
    <n v="2"/>
    <x v="1"/>
    <s v="Tom Bird"/>
    <x v="1"/>
    <x v="1"/>
    <n v="48.955081939697202"/>
    <n v="-125.15337371826099"/>
    <x v="1"/>
    <n v="1"/>
    <s v="NW"/>
    <d v="1899-12-30T10:10:00"/>
    <x v="1"/>
    <x v="1"/>
    <x v="1"/>
    <n v="48"/>
    <s v="Mfra"/>
    <s v="Mesocentrotus franciscanus"/>
    <s v="Red sea urch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3"/>
    <x v="1"/>
    <s v="Tom Bird"/>
    <x v="1"/>
    <x v="1"/>
    <n v="48.955081939697202"/>
    <n v="-125.15337371826099"/>
    <x v="1"/>
    <n v="1"/>
    <s v="NW"/>
    <d v="1899-12-30T10:10:00"/>
    <x v="1"/>
    <x v="1"/>
    <x v="1"/>
    <n v="32"/>
    <s v="Mfra"/>
    <s v="Mesocentrotus franciscanus"/>
    <s v="Red sea urchin"/>
    <n v="11"/>
    <n v="0"/>
    <n v="6"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4"/>
    <x v="1"/>
    <s v="Tom Bird"/>
    <x v="1"/>
    <x v="1"/>
    <n v="48.955081939697202"/>
    <n v="-125.15337371826099"/>
    <x v="1"/>
    <n v="1"/>
    <s v="NW"/>
    <d v="1899-12-30T10:10:00"/>
    <x v="1"/>
    <x v="1"/>
    <x v="1"/>
    <n v="32"/>
    <s v="Pmi"/>
    <s v="Patiria miniata"/>
    <s v="Bat star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5"/>
    <x v="1"/>
    <s v="Tom Bird"/>
    <x v="1"/>
    <x v="1"/>
    <n v="48.955081939697202"/>
    <n v="-125.15337371826099"/>
    <x v="1"/>
    <n v="1"/>
    <s v="NW"/>
    <d v="1899-12-30T10:10:00"/>
    <x v="1"/>
    <x v="1"/>
    <x v="1"/>
    <n v="16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6"/>
    <x v="1"/>
    <s v="Tom Bird"/>
    <x v="1"/>
    <x v="1"/>
    <n v="48.955081939697202"/>
    <n v="-125.15337371826099"/>
    <x v="1"/>
    <n v="1"/>
    <s v="NW"/>
    <d v="1899-12-30T10:10:00"/>
    <x v="1"/>
    <x v="1"/>
    <x v="1"/>
    <n v="16"/>
    <s v="Mfra"/>
    <s v="Mesocentrotus franciscanus"/>
    <s v="Red sea urchin"/>
    <n v="8"/>
    <n v="0"/>
    <n v="1"/>
    <n v="6"/>
    <n v="1"/>
    <m/>
    <m/>
    <m/>
    <m/>
    <m/>
    <m/>
    <m/>
    <m/>
    <m/>
    <m/>
    <m/>
    <m/>
    <m/>
    <m/>
    <m/>
    <m/>
    <m/>
    <m/>
    <m/>
    <m/>
    <m/>
    <m/>
    <m/>
    <m/>
    <m/>
  </r>
  <r>
    <n v="7"/>
    <x v="1"/>
    <s v="Tom Bird"/>
    <x v="1"/>
    <x v="1"/>
    <n v="48.955081939697202"/>
    <n v="-125.15337371826099"/>
    <x v="1"/>
    <n v="1"/>
    <s v="NW"/>
    <d v="1899-12-30T10:10:00"/>
    <x v="1"/>
    <x v="1"/>
    <x v="1"/>
    <n v="16"/>
    <s v="Poc"/>
    <s v="Pisaster ochraceus"/>
    <s v="Unidentified star??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8"/>
    <x v="1"/>
    <s v="Tom Bird"/>
    <x v="1"/>
    <x v="1"/>
    <n v="48.955081939697202"/>
    <n v="-125.15337371826099"/>
    <x v="1"/>
    <n v="1"/>
    <s v="NW"/>
    <d v="1899-12-30T10:10:00"/>
    <x v="1"/>
    <x v="1"/>
    <x v="1"/>
    <n v="0"/>
    <s v="Mfra"/>
    <s v="Mesocentrotus franciscanus"/>
    <s v="Red sea urchin"/>
    <n v="5"/>
    <n v="0"/>
    <m/>
    <n v="4"/>
    <n v="1"/>
    <m/>
    <m/>
    <m/>
    <m/>
    <m/>
    <m/>
    <m/>
    <m/>
    <m/>
    <m/>
    <m/>
    <m/>
    <m/>
    <m/>
    <m/>
    <m/>
    <m/>
    <m/>
    <m/>
    <m/>
    <m/>
    <m/>
    <m/>
    <m/>
    <m/>
  </r>
  <r>
    <n v="9"/>
    <x v="1"/>
    <s v="Tom Bird"/>
    <x v="1"/>
    <x v="1"/>
    <n v="48.955081939697202"/>
    <n v="-125.15337371826099"/>
    <x v="1"/>
    <n v="1"/>
    <s v="NW"/>
    <d v="1899-12-30T10:10:00"/>
    <x v="1"/>
    <x v="1"/>
    <x v="1"/>
    <n v="0"/>
    <s v="Pmi"/>
    <s v="Patiria miniata"/>
    <s v="Bat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0"/>
    <x v="1"/>
    <s v="Tom Bird"/>
    <x v="2"/>
    <x v="2"/>
    <n v="48.950233459472599"/>
    <n v="-125.155548095703"/>
    <x v="1"/>
    <n v="1.5"/>
    <s v="SW"/>
    <d v="1899-12-30T12:43:00"/>
    <x v="2"/>
    <x v="1"/>
    <x v="1"/>
    <n v="48"/>
    <s v="Pmi"/>
    <s v="Patiria miniata"/>
    <s v="Bat star"/>
    <n v="3"/>
    <n v="0"/>
    <m/>
    <n v="3"/>
    <m/>
    <m/>
    <m/>
    <m/>
    <m/>
    <m/>
    <m/>
    <m/>
    <m/>
    <m/>
    <m/>
    <m/>
    <m/>
    <m/>
    <m/>
    <m/>
    <m/>
    <m/>
    <m/>
    <m/>
    <m/>
    <m/>
    <m/>
    <m/>
    <m/>
    <m/>
  </r>
  <r>
    <n v="11"/>
    <x v="1"/>
    <s v="Tom Bird"/>
    <x v="2"/>
    <x v="2"/>
    <n v="48.950233459472599"/>
    <n v="-125.155548095703"/>
    <x v="1"/>
    <n v="1.5"/>
    <s v="SW"/>
    <d v="1899-12-30T12:43:00"/>
    <x v="2"/>
    <x v="1"/>
    <x v="1"/>
    <n v="48"/>
    <s v="Mfra"/>
    <s v="Mesocentrotus franciscanus"/>
    <s v="Red sea urchin"/>
    <n v="5"/>
    <n v="0"/>
    <n v="3"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12"/>
    <x v="1"/>
    <s v="Tom Bird"/>
    <x v="2"/>
    <x v="2"/>
    <n v="48.950233459472599"/>
    <n v="-125.155548095703"/>
    <x v="1"/>
    <n v="1.5"/>
    <s v="SW"/>
    <d v="1899-12-30T12:43:00"/>
    <x v="2"/>
    <x v="1"/>
    <x v="1"/>
    <n v="32"/>
    <s v="Mfra"/>
    <s v="Mesocentrotus franciscanus"/>
    <s v="Red sea urchin"/>
    <n v="8"/>
    <n v="0"/>
    <n v="5"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3"/>
    <x v="1"/>
    <s v="Tom Bird"/>
    <x v="2"/>
    <x v="2"/>
    <n v="48.950233459472599"/>
    <n v="-125.155548095703"/>
    <x v="1"/>
    <n v="1.5"/>
    <s v="SW"/>
    <d v="1899-12-30T12:43:00"/>
    <x v="2"/>
    <x v="1"/>
    <x v="1"/>
    <n v="32"/>
    <s v="Pmi"/>
    <s v="Patiria miniata"/>
    <s v="Bat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4"/>
    <x v="1"/>
    <s v="Tom Bird"/>
    <x v="2"/>
    <x v="2"/>
    <n v="48.950233459472599"/>
    <n v="-125.155548095703"/>
    <x v="1"/>
    <n v="1.5"/>
    <s v="SW"/>
    <d v="1899-12-30T12:43:00"/>
    <x v="2"/>
    <x v="1"/>
    <x v="1"/>
    <n v="16"/>
    <s v="Pmi"/>
    <s v="Patiria miniata"/>
    <s v="Bat star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15"/>
    <x v="1"/>
    <s v="Tom Bird"/>
    <x v="2"/>
    <x v="2"/>
    <n v="48.950233459472599"/>
    <n v="-125.155548095703"/>
    <x v="1"/>
    <n v="1.5"/>
    <s v="SW"/>
    <d v="1899-12-30T12:43:00"/>
    <x v="2"/>
    <x v="1"/>
    <x v="1"/>
    <n v="16"/>
    <s v="Mfra"/>
    <s v="Mesocentrotus franciscanus"/>
    <s v="Red sea urchin"/>
    <n v="6"/>
    <m/>
    <n v="4"/>
    <n v="2"/>
    <m/>
    <m/>
    <m/>
    <m/>
    <m/>
    <m/>
    <m/>
    <m/>
    <m/>
    <m/>
    <m/>
    <m/>
    <m/>
    <m/>
    <m/>
    <m/>
    <m/>
    <m/>
    <m/>
    <m/>
    <m/>
    <m/>
    <m/>
    <m/>
    <m/>
    <m/>
  </r>
  <r>
    <n v="16"/>
    <x v="1"/>
    <s v="Tom Bird"/>
    <x v="2"/>
    <x v="2"/>
    <n v="48.950233459472599"/>
    <n v="-125.155548095703"/>
    <x v="1"/>
    <n v="1.5"/>
    <s v="SW"/>
    <d v="1899-12-30T12:43:00"/>
    <x v="2"/>
    <x v="1"/>
    <x v="1"/>
    <n v="16"/>
    <s v="Oko"/>
    <s v="Orthasterias koehleri"/>
    <s v="Rainbow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7"/>
    <x v="1"/>
    <s v="Tom Bird"/>
    <x v="2"/>
    <x v="2"/>
    <n v="48.950233459472599"/>
    <n v="-125.155548095703"/>
    <x v="1"/>
    <n v="1.5"/>
    <s v="SW"/>
    <d v="1899-12-30T12:43:00"/>
    <x v="2"/>
    <x v="1"/>
    <x v="1"/>
    <n v="0"/>
    <s v="Mfra"/>
    <s v="Mesocentrotus franciscanus"/>
    <s v="Red sea urchin"/>
    <n v="10"/>
    <n v="0"/>
    <n v="2"/>
    <n v="8"/>
    <m/>
    <m/>
    <m/>
    <m/>
    <m/>
    <m/>
    <m/>
    <m/>
    <m/>
    <m/>
    <m/>
    <m/>
    <m/>
    <m/>
    <m/>
    <m/>
    <m/>
    <m/>
    <m/>
    <m/>
    <m/>
    <m/>
    <m/>
    <m/>
    <m/>
    <m/>
  </r>
  <r>
    <n v="18"/>
    <x v="1"/>
    <s v="Tom Bird"/>
    <x v="2"/>
    <x v="2"/>
    <n v="48.950233459472599"/>
    <n v="-125.155548095703"/>
    <x v="1"/>
    <n v="1.5"/>
    <s v="SW"/>
    <d v="1899-12-30T12:43:00"/>
    <x v="2"/>
    <x v="1"/>
    <x v="1"/>
    <n v="0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9"/>
    <x v="2"/>
    <s v="Isabelle Cote"/>
    <x v="1"/>
    <x v="1"/>
    <n v="48.955081939697202"/>
    <n v="-125.15337371826099"/>
    <x v="1"/>
    <n v="1.5"/>
    <s v="SE"/>
    <d v="1899-12-30T10:12:00"/>
    <x v="3"/>
    <x v="1"/>
    <x v="2"/>
    <n v="40"/>
    <s v="Poc"/>
    <s v="Pisaster ochraceus"/>
    <s v="Purple sea star"/>
    <n v="8"/>
    <n v="0"/>
    <m/>
    <m/>
    <m/>
    <m/>
    <m/>
    <m/>
    <n v="4"/>
    <m/>
    <m/>
    <n v="3"/>
    <n v="1"/>
    <m/>
    <m/>
    <m/>
    <m/>
    <m/>
    <m/>
    <m/>
    <m/>
    <m/>
    <m/>
    <m/>
    <m/>
    <m/>
    <m/>
    <m/>
    <m/>
    <m/>
  </r>
  <r>
    <n v="20"/>
    <x v="2"/>
    <s v="Isabelle Cote"/>
    <x v="1"/>
    <x v="1"/>
    <n v="48.955081939697202"/>
    <n v="-125.15337371826099"/>
    <x v="1"/>
    <n v="1.5"/>
    <s v="SE"/>
    <d v="1899-12-30T10:12:00"/>
    <x v="3"/>
    <x v="1"/>
    <x v="2"/>
    <n v="40"/>
    <s v="dim"/>
    <s v="Dermasterias imbricata"/>
    <s v="Leath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1"/>
    <x v="2"/>
    <s v="Isabelle Cote"/>
    <x v="1"/>
    <x v="1"/>
    <n v="48.955081939697202"/>
    <n v="-125.15337371826099"/>
    <x v="1"/>
    <n v="1.5"/>
    <s v="SE"/>
    <d v="1899-12-30T10:12:00"/>
    <x v="3"/>
    <x v="1"/>
    <x v="2"/>
    <n v="40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2"/>
    <x v="2"/>
    <s v="Isabelle Cote"/>
    <x v="1"/>
    <x v="1"/>
    <n v="48.955081939697202"/>
    <n v="-125.15337371826099"/>
    <x v="1"/>
    <n v="1.5"/>
    <s v="SE"/>
    <d v="1899-12-30T10:12:00"/>
    <x v="3"/>
    <x v="1"/>
    <x v="2"/>
    <n v="40"/>
    <s v="Mfra"/>
    <s v="Mesocentrotus franciscanus"/>
    <s v="Red sea urchin"/>
    <n v="4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</r>
  <r>
    <n v="23"/>
    <x v="2"/>
    <s v="Isabelle Cote"/>
    <x v="1"/>
    <x v="1"/>
    <n v="48.955081939697202"/>
    <n v="-125.15337371826099"/>
    <x v="1"/>
    <n v="1.5"/>
    <s v="SE"/>
    <d v="1899-12-30T10:12:00"/>
    <x v="3"/>
    <x v="1"/>
    <x v="2"/>
    <n v="24"/>
    <s v="Mfra"/>
    <s v="Mesocentrotus franciscanus"/>
    <s v="Red sea urchin"/>
    <n v="10"/>
    <n v="0"/>
    <n v="3"/>
    <n v="5"/>
    <n v="2"/>
    <m/>
    <m/>
    <m/>
    <m/>
    <m/>
    <m/>
    <m/>
    <m/>
    <m/>
    <m/>
    <m/>
    <m/>
    <m/>
    <m/>
    <m/>
    <m/>
    <m/>
    <m/>
    <m/>
    <m/>
    <m/>
    <m/>
    <m/>
    <m/>
    <m/>
  </r>
  <r>
    <n v="24"/>
    <x v="2"/>
    <s v="Isabelle Cote"/>
    <x v="1"/>
    <x v="1"/>
    <n v="48.955081939697202"/>
    <n v="-125.15337371826099"/>
    <x v="1"/>
    <n v="1.5"/>
    <s v="SE"/>
    <d v="1899-12-30T10:12:00"/>
    <x v="3"/>
    <x v="1"/>
    <x v="2"/>
    <n v="24"/>
    <s v="Poc"/>
    <s v="Pisaster ochraceus"/>
    <s v="Purple sea star"/>
    <n v="2"/>
    <n v="0"/>
    <m/>
    <m/>
    <m/>
    <m/>
    <m/>
    <m/>
    <m/>
    <m/>
    <n v="2"/>
    <m/>
    <m/>
    <m/>
    <m/>
    <m/>
    <m/>
    <m/>
    <m/>
    <m/>
    <m/>
    <m/>
    <m/>
    <m/>
    <m/>
    <m/>
    <m/>
    <m/>
    <m/>
    <m/>
  </r>
  <r>
    <n v="25"/>
    <x v="2"/>
    <s v="Isabelle Cote"/>
    <x v="1"/>
    <x v="1"/>
    <n v="48.955081939697202"/>
    <n v="-125.15337371826099"/>
    <x v="1"/>
    <n v="1.5"/>
    <s v="SE"/>
    <d v="1899-12-30T10:12:00"/>
    <x v="3"/>
    <x v="1"/>
    <x v="2"/>
    <n v="8"/>
    <s v="Mfra"/>
    <s v="Mesocentrotus franciscanus"/>
    <s v="Red sea urchin"/>
    <n v="7"/>
    <n v="0"/>
    <m/>
    <n v="3"/>
    <n v="4"/>
    <m/>
    <m/>
    <m/>
    <m/>
    <m/>
    <m/>
    <m/>
    <m/>
    <m/>
    <m/>
    <m/>
    <m/>
    <m/>
    <m/>
    <m/>
    <m/>
    <m/>
    <m/>
    <m/>
    <m/>
    <m/>
    <m/>
    <m/>
    <m/>
    <m/>
  </r>
  <r>
    <n v="26"/>
    <x v="2"/>
    <s v="Isabelle Cote"/>
    <x v="2"/>
    <x v="2"/>
    <n v="48.950233459472599"/>
    <n v="-125.155548095703"/>
    <x v="1"/>
    <n v="1.5"/>
    <s v="SW"/>
    <d v="1899-12-30T12:45:00"/>
    <x v="4"/>
    <x v="1"/>
    <x v="2"/>
    <n v="40"/>
    <s v="Mfra"/>
    <s v="Mesocentrotus franciscanus"/>
    <s v="Red sea urchin"/>
    <n v="5"/>
    <n v="0"/>
    <n v="3"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27"/>
    <x v="2"/>
    <s v="Isabelle Cote"/>
    <x v="2"/>
    <x v="2"/>
    <n v="48.950233459472599"/>
    <n v="-125.155548095703"/>
    <x v="1"/>
    <n v="1.5"/>
    <s v="SW"/>
    <d v="1899-12-30T12:45:00"/>
    <x v="4"/>
    <x v="1"/>
    <x v="2"/>
    <n v="40"/>
    <s v="Pmi"/>
    <s v="Patiria miniata"/>
    <s v="Bat star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28"/>
    <x v="2"/>
    <s v="Isabelle Cote"/>
    <x v="2"/>
    <x v="2"/>
    <n v="48.950233459472599"/>
    <n v="-125.155548095703"/>
    <x v="1"/>
    <n v="1.5"/>
    <s v="SW"/>
    <d v="1899-12-30T12:45:00"/>
    <x v="4"/>
    <x v="1"/>
    <x v="2"/>
    <n v="24"/>
    <s v="Mfra"/>
    <s v="Mesocentrotus franciscanus"/>
    <s v="Red sea urchin"/>
    <n v="8"/>
    <n v="0"/>
    <n v="1"/>
    <n v="3"/>
    <n v="3"/>
    <n v="1"/>
    <m/>
    <m/>
    <m/>
    <m/>
    <m/>
    <m/>
    <m/>
    <m/>
    <m/>
    <m/>
    <m/>
    <m/>
    <m/>
    <m/>
    <m/>
    <m/>
    <m/>
    <m/>
    <m/>
    <m/>
    <m/>
    <m/>
    <m/>
    <m/>
  </r>
  <r>
    <n v="29"/>
    <x v="2"/>
    <s v="Isabelle Cote"/>
    <x v="2"/>
    <x v="2"/>
    <n v="48.950233459472599"/>
    <n v="-125.155548095703"/>
    <x v="1"/>
    <n v="1.5"/>
    <s v="SW"/>
    <d v="1899-12-30T12:45:00"/>
    <x v="4"/>
    <x v="1"/>
    <x v="2"/>
    <n v="24"/>
    <s v="Pmi"/>
    <s v="Patiria miniata"/>
    <s v="Bat star"/>
    <n v="3"/>
    <n v="0"/>
    <m/>
    <m/>
    <n v="2"/>
    <n v="1"/>
    <m/>
    <m/>
    <m/>
    <m/>
    <m/>
    <m/>
    <m/>
    <m/>
    <m/>
    <m/>
    <m/>
    <m/>
    <m/>
    <m/>
    <m/>
    <m/>
    <m/>
    <m/>
    <m/>
    <m/>
    <m/>
    <m/>
    <m/>
    <m/>
  </r>
  <r>
    <n v="30"/>
    <x v="2"/>
    <s v="Isabelle Cote"/>
    <x v="2"/>
    <x v="2"/>
    <n v="48.950233459472599"/>
    <n v="-125.155548095703"/>
    <x v="1"/>
    <n v="1.5"/>
    <s v="SW"/>
    <d v="1899-12-30T12:45:00"/>
    <x v="4"/>
    <x v="1"/>
    <x v="2"/>
    <n v="8"/>
    <s v="Mfra"/>
    <s v="Mesocentrotus franciscanus"/>
    <s v="Red sea urchin"/>
    <n v="4"/>
    <n v="0"/>
    <n v="1"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31"/>
    <x v="2"/>
    <s v="Isabelle Cote"/>
    <x v="2"/>
    <x v="2"/>
    <n v="48.950233459472599"/>
    <n v="-125.155548095703"/>
    <x v="1"/>
    <n v="1.5"/>
    <s v="SW"/>
    <d v="1899-12-30T12:45:00"/>
    <x v="4"/>
    <x v="1"/>
    <x v="2"/>
    <n v="8"/>
    <s v="Pmi"/>
    <s v="Patiria miniata"/>
    <s v="Bat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2"/>
    <x v="2"/>
    <s v="Isabelle Cote"/>
    <x v="2"/>
    <x v="2"/>
    <n v="48.950233459472599"/>
    <n v="-125.155548095703"/>
    <x v="1"/>
    <n v="1.5"/>
    <s v="SW"/>
    <d v="1899-12-30T12:45:00"/>
    <x v="4"/>
    <x v="1"/>
    <x v="1"/>
    <n v="0"/>
    <s v="Mfra"/>
    <s v="Mesocentrotus franciscanus"/>
    <s v="Red sea urchin"/>
    <n v="8"/>
    <n v="0"/>
    <n v="2"/>
    <n v="3"/>
    <n v="2"/>
    <n v="1"/>
    <m/>
    <m/>
    <m/>
    <m/>
    <m/>
    <m/>
    <m/>
    <m/>
    <m/>
    <m/>
    <m/>
    <m/>
    <m/>
    <m/>
    <m/>
    <m/>
    <m/>
    <m/>
    <m/>
    <m/>
    <m/>
    <m/>
    <m/>
    <m/>
  </r>
  <r>
    <n v="33"/>
    <x v="2"/>
    <s v="Isabelle Cote"/>
    <x v="2"/>
    <x v="2"/>
    <n v="48.950233459472599"/>
    <n v="-125.155548095703"/>
    <x v="1"/>
    <n v="1.5"/>
    <s v="SW"/>
    <d v="1899-12-30T12:45:00"/>
    <x v="4"/>
    <x v="1"/>
    <x v="1"/>
    <n v="0"/>
    <s v="Pmi"/>
    <s v="Patiria miniata"/>
    <s v="Bat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4"/>
    <x v="3"/>
    <s v="Em Lim"/>
    <x v="1"/>
    <x v="1"/>
    <n v="48.955081939697202"/>
    <n v="-125.15337371826099"/>
    <x v="1"/>
    <n v="1.5"/>
    <s v="SE"/>
    <d v="1899-12-30T10:12:00"/>
    <x v="3"/>
    <x v="1"/>
    <x v="1"/>
    <n v="48"/>
    <s v="Mfra"/>
    <s v="Mesocentrotus franciscanus"/>
    <s v="Red sea urchin"/>
    <n v="7"/>
    <n v="0"/>
    <m/>
    <n v="1"/>
    <n v="6"/>
    <m/>
    <m/>
    <m/>
    <m/>
    <m/>
    <m/>
    <m/>
    <m/>
    <m/>
    <m/>
    <m/>
    <m/>
    <m/>
    <m/>
    <m/>
    <m/>
    <m/>
    <m/>
    <m/>
    <m/>
    <m/>
    <m/>
    <m/>
    <m/>
    <m/>
  </r>
  <r>
    <n v="35"/>
    <x v="3"/>
    <s v="Em Lim"/>
    <x v="1"/>
    <x v="1"/>
    <n v="48.955081939697202"/>
    <n v="-125.15337371826099"/>
    <x v="1"/>
    <n v="1.5"/>
    <s v="SE"/>
    <d v="1899-12-30T10:12:00"/>
    <x v="3"/>
    <x v="1"/>
    <x v="1"/>
    <n v="32"/>
    <s v="Mfra"/>
    <s v="Mesocentrotus franciscanus"/>
    <s v="Red sea urchin"/>
    <n v="10"/>
    <n v="0"/>
    <m/>
    <n v="2"/>
    <n v="7"/>
    <n v="1"/>
    <m/>
    <m/>
    <m/>
    <m/>
    <m/>
    <m/>
    <m/>
    <m/>
    <m/>
    <m/>
    <m/>
    <m/>
    <m/>
    <m/>
    <m/>
    <m/>
    <m/>
    <m/>
    <m/>
    <m/>
    <m/>
    <m/>
    <m/>
    <m/>
  </r>
  <r>
    <n v="36"/>
    <x v="3"/>
    <s v="Em Lim"/>
    <x v="1"/>
    <x v="1"/>
    <n v="48.955081939697202"/>
    <n v="-125.15337371826099"/>
    <x v="1"/>
    <n v="1.5"/>
    <s v="SE"/>
    <d v="1899-12-30T10:12:00"/>
    <x v="3"/>
    <x v="1"/>
    <x v="1"/>
    <n v="32"/>
    <s v="Poc"/>
    <s v="Pisaster ochraceus"/>
    <s v="Purple sea star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37"/>
    <x v="3"/>
    <s v="Em Lim"/>
    <x v="1"/>
    <x v="1"/>
    <n v="48.955081939697202"/>
    <n v="-125.15337371826099"/>
    <x v="1"/>
    <n v="1.5"/>
    <s v="SE"/>
    <d v="1899-12-30T10:12:00"/>
    <x v="3"/>
    <x v="1"/>
    <x v="1"/>
    <n v="32"/>
    <s v="Pmi"/>
    <s v="Patiria miniata"/>
    <s v="Bat star"/>
    <n v="3"/>
    <n v="0"/>
    <m/>
    <m/>
    <n v="3"/>
    <m/>
    <m/>
    <m/>
    <m/>
    <m/>
    <m/>
    <m/>
    <m/>
    <m/>
    <m/>
    <m/>
    <m/>
    <m/>
    <m/>
    <m/>
    <m/>
    <m/>
    <m/>
    <m/>
    <m/>
    <m/>
    <m/>
    <m/>
    <m/>
    <m/>
  </r>
  <r>
    <n v="38"/>
    <x v="3"/>
    <s v="Em Lim"/>
    <x v="2"/>
    <x v="2"/>
    <n v="48.950233459472599"/>
    <n v="-125.155548095703"/>
    <x v="1"/>
    <n v="1.5"/>
    <s v="SW"/>
    <d v="1899-12-30T12:45:00"/>
    <x v="4"/>
    <x v="1"/>
    <x v="1"/>
    <n v="48"/>
    <s v="Mfra"/>
    <s v="Mesocentrotus franciscanus"/>
    <s v="Red sea urchin"/>
    <n v="5"/>
    <n v="0"/>
    <m/>
    <n v="2"/>
    <n v="3"/>
    <m/>
    <m/>
    <m/>
    <m/>
    <m/>
    <m/>
    <m/>
    <m/>
    <m/>
    <m/>
    <m/>
    <m/>
    <m/>
    <m/>
    <m/>
    <m/>
    <m/>
    <m/>
    <m/>
    <m/>
    <m/>
    <m/>
    <m/>
    <m/>
    <m/>
  </r>
  <r>
    <n v="39"/>
    <x v="3"/>
    <s v="Em Lim"/>
    <x v="2"/>
    <x v="2"/>
    <n v="48.950233459472599"/>
    <n v="-125.155548095703"/>
    <x v="1"/>
    <n v="1.5"/>
    <s v="SW"/>
    <d v="1899-12-30T12:45:00"/>
    <x v="4"/>
    <x v="1"/>
    <x v="1"/>
    <n v="48"/>
    <s v="Oko"/>
    <s v="Orthasterias koehleri"/>
    <s v="Rainbow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40"/>
    <x v="3"/>
    <s v="Em Lim"/>
    <x v="2"/>
    <x v="2"/>
    <n v="48.950233459472599"/>
    <n v="-125.155548095703"/>
    <x v="1"/>
    <n v="1.5"/>
    <s v="SW"/>
    <d v="1899-12-30T12:45:00"/>
    <x v="4"/>
    <x v="1"/>
    <x v="1"/>
    <n v="32"/>
    <s v="Mfra"/>
    <s v="Mesocentrotus franciscanus"/>
    <s v="Red sea urchin"/>
    <n v="9"/>
    <n v="0"/>
    <n v="1"/>
    <n v="3"/>
    <n v="5"/>
    <m/>
    <m/>
    <m/>
    <m/>
    <m/>
    <m/>
    <m/>
    <m/>
    <m/>
    <m/>
    <m/>
    <m/>
    <m/>
    <m/>
    <m/>
    <m/>
    <m/>
    <m/>
    <m/>
    <m/>
    <m/>
    <m/>
    <m/>
    <m/>
    <m/>
  </r>
  <r>
    <n v="41"/>
    <x v="3"/>
    <s v="Em Lim"/>
    <x v="2"/>
    <x v="2"/>
    <n v="48.950233459472599"/>
    <n v="-125.155548095703"/>
    <x v="1"/>
    <n v="1.5"/>
    <s v="SW"/>
    <d v="1899-12-30T12:45:00"/>
    <x v="4"/>
    <x v="1"/>
    <x v="1"/>
    <n v="32"/>
    <s v="Pmi"/>
    <s v="Patiria miniata"/>
    <s v="Bat star"/>
    <n v="3"/>
    <n v="0"/>
    <m/>
    <n v="2"/>
    <m/>
    <n v="1"/>
    <m/>
    <m/>
    <m/>
    <m/>
    <m/>
    <m/>
    <m/>
    <m/>
    <m/>
    <m/>
    <m/>
    <m/>
    <m/>
    <m/>
    <m/>
    <m/>
    <m/>
    <m/>
    <m/>
    <m/>
    <m/>
    <m/>
    <m/>
    <m/>
  </r>
  <r>
    <n v="42"/>
    <x v="3"/>
    <s v="Em Lim"/>
    <x v="2"/>
    <x v="2"/>
    <n v="48.950233459472599"/>
    <n v="-125.155548095703"/>
    <x v="1"/>
    <n v="1.5"/>
    <s v="SW"/>
    <d v="1899-12-30T12:45:00"/>
    <x v="4"/>
    <x v="1"/>
    <x v="1"/>
    <n v="16"/>
    <s v="Mfra"/>
    <s v="Mesocentrotus franciscanus"/>
    <s v="Red sea urchin"/>
    <n v="2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43"/>
    <x v="3"/>
    <s v="Em Lim"/>
    <x v="3"/>
    <x v="3"/>
    <n v="48.8273315429687"/>
    <n v="-125.196601867675"/>
    <x v="2"/>
    <n v="1.5"/>
    <s v="E"/>
    <d v="1899-12-30T09:50:00"/>
    <x v="5"/>
    <x v="1"/>
    <x v="1"/>
    <n v="48"/>
    <s v="Mfra"/>
    <s v="Mesocentrotus franciscanus"/>
    <s v="Red sea urchin"/>
    <n v="10"/>
    <n v="0"/>
    <m/>
    <n v="1"/>
    <n v="2"/>
    <n v="7"/>
    <m/>
    <m/>
    <m/>
    <m/>
    <m/>
    <m/>
    <m/>
    <m/>
    <m/>
    <m/>
    <m/>
    <m/>
    <m/>
    <m/>
    <m/>
    <m/>
    <m/>
    <m/>
    <m/>
    <m/>
    <m/>
    <m/>
    <m/>
    <m/>
  </r>
  <r>
    <n v="44"/>
    <x v="3"/>
    <s v="Em Lim"/>
    <x v="3"/>
    <x v="3"/>
    <n v="48.8273315429687"/>
    <n v="-125.196601867675"/>
    <x v="2"/>
    <n v="1.5"/>
    <s v="E"/>
    <d v="1899-12-30T09:50:00"/>
    <x v="5"/>
    <x v="1"/>
    <x v="1"/>
    <n v="32"/>
    <s v="Mfra"/>
    <s v="Mesocentrotus franciscanus"/>
    <s v="Red sea urchin"/>
    <n v="13"/>
    <n v="0"/>
    <m/>
    <n v="5"/>
    <n v="4"/>
    <n v="2"/>
    <n v="2"/>
    <m/>
    <m/>
    <m/>
    <m/>
    <m/>
    <m/>
    <m/>
    <m/>
    <m/>
    <m/>
    <m/>
    <m/>
    <m/>
    <m/>
    <m/>
    <m/>
    <m/>
    <m/>
    <m/>
    <m/>
    <m/>
    <m/>
    <m/>
  </r>
  <r>
    <n v="45"/>
    <x v="3"/>
    <s v="Em Lim"/>
    <x v="3"/>
    <x v="3"/>
    <n v="48.8273315429687"/>
    <n v="-125.196601867675"/>
    <x v="2"/>
    <n v="1.5"/>
    <s v="E"/>
    <d v="1899-12-30T09:50:00"/>
    <x v="5"/>
    <x v="1"/>
    <x v="1"/>
    <n v="32"/>
    <s v="dim"/>
    <s v="Dermasterias imbricata"/>
    <s v="Leath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6"/>
    <x v="1"/>
    <s v="Tom Bird"/>
    <x v="3"/>
    <x v="3"/>
    <n v="48.8273315429687"/>
    <n v="-125.196601867675"/>
    <x v="2"/>
    <n v="1.5"/>
    <s v="NW"/>
    <d v="1899-12-30T09:48:00"/>
    <x v="6"/>
    <x v="1"/>
    <x v="1"/>
    <n v="48"/>
    <s v="Mfra"/>
    <s v="Mesocentrotus franciscanus"/>
    <s v="Red sea urchin"/>
    <n v="5"/>
    <n v="0"/>
    <m/>
    <m/>
    <n v="4"/>
    <n v="1"/>
    <m/>
    <m/>
    <m/>
    <m/>
    <m/>
    <m/>
    <m/>
    <m/>
    <m/>
    <m/>
    <m/>
    <m/>
    <m/>
    <m/>
    <m/>
    <m/>
    <m/>
    <m/>
    <m/>
    <m/>
    <m/>
    <m/>
    <m/>
    <m/>
  </r>
  <r>
    <n v="47"/>
    <x v="1"/>
    <s v="Tom Bird"/>
    <x v="3"/>
    <x v="3"/>
    <n v="48.8273315429687"/>
    <n v="-125.196601867675"/>
    <x v="2"/>
    <n v="1.5"/>
    <s v="NW"/>
    <d v="1899-12-30T09:48:00"/>
    <x v="6"/>
    <x v="1"/>
    <x v="1"/>
    <n v="32"/>
    <s v="Mfra"/>
    <s v="Mesocentrotus franciscanus"/>
    <s v="Red sea urchin"/>
    <n v="6"/>
    <n v="0"/>
    <m/>
    <n v="3"/>
    <n v="3"/>
    <m/>
    <m/>
    <m/>
    <m/>
    <m/>
    <m/>
    <m/>
    <m/>
    <m/>
    <m/>
    <m/>
    <m/>
    <m/>
    <m/>
    <m/>
    <m/>
    <m/>
    <m/>
    <m/>
    <m/>
    <m/>
    <m/>
    <m/>
    <m/>
    <m/>
  </r>
  <r>
    <n v="48"/>
    <x v="1"/>
    <s v="Tom Bird"/>
    <x v="3"/>
    <x v="3"/>
    <n v="48.8273315429687"/>
    <n v="-125.196601867675"/>
    <x v="2"/>
    <n v="1.5"/>
    <s v="NW"/>
    <d v="1899-12-30T09:48:00"/>
    <x v="6"/>
    <x v="1"/>
    <x v="1"/>
    <n v="32"/>
    <s v="Sdr"/>
    <s v="Strongylocentrotus droebachiensis"/>
    <s v="Northern sea urch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49"/>
    <x v="1"/>
    <s v="Tom Bird"/>
    <x v="3"/>
    <x v="3"/>
    <n v="48.8273315429687"/>
    <n v="-125.196601867675"/>
    <x v="2"/>
    <n v="1.5"/>
    <s v="NW"/>
    <d v="1899-12-30T09:48:00"/>
    <x v="6"/>
    <x v="1"/>
    <x v="1"/>
    <n v="32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50"/>
    <x v="1"/>
    <s v="Tom Bird"/>
    <x v="3"/>
    <x v="3"/>
    <n v="48.8273315429687"/>
    <n v="-125.196601867675"/>
    <x v="2"/>
    <n v="1.5"/>
    <s v="NW"/>
    <d v="1899-12-30T09:48:00"/>
    <x v="6"/>
    <x v="1"/>
    <x v="1"/>
    <n v="32"/>
    <s v="Oko"/>
    <s v="Orthasterias koehleri"/>
    <s v="Rainbow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51"/>
    <x v="1"/>
    <s v="Tom Bird"/>
    <x v="3"/>
    <x v="3"/>
    <n v="48.8273315429687"/>
    <n v="-125.196601867675"/>
    <x v="2"/>
    <n v="1.5"/>
    <s v="NW"/>
    <d v="1899-12-30T09:48:00"/>
    <x v="6"/>
    <x v="1"/>
    <x v="1"/>
    <n v="16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52"/>
    <x v="1"/>
    <s v="Tom Bird"/>
    <x v="3"/>
    <x v="3"/>
    <n v="48.8273315429687"/>
    <n v="-125.196601867675"/>
    <x v="2"/>
    <n v="1.5"/>
    <s v="NW"/>
    <d v="1899-12-30T09:48:00"/>
    <x v="6"/>
    <x v="1"/>
    <x v="1"/>
    <n v="16"/>
    <s v="Mfra"/>
    <s v="Mesocentrotus franciscanus"/>
    <s v="Red sea urchin"/>
    <n v="13"/>
    <n v="0"/>
    <n v="1"/>
    <n v="3"/>
    <n v="3"/>
    <n v="6"/>
    <m/>
    <m/>
    <m/>
    <m/>
    <m/>
    <m/>
    <m/>
    <m/>
    <m/>
    <m/>
    <m/>
    <m/>
    <m/>
    <m/>
    <m/>
    <m/>
    <m/>
    <m/>
    <m/>
    <m/>
    <m/>
    <m/>
    <m/>
    <m/>
  </r>
  <r>
    <n v="53"/>
    <x v="1"/>
    <s v="Tom Bird"/>
    <x v="3"/>
    <x v="3"/>
    <n v="48.8273315429687"/>
    <n v="-125.196601867675"/>
    <x v="2"/>
    <n v="1.5"/>
    <s v="NW"/>
    <d v="1899-12-30T09:48:00"/>
    <x v="6"/>
    <x v="1"/>
    <x v="1"/>
    <n v="16"/>
    <s v="Spu"/>
    <s v="Strongylocentrotus purpuratus"/>
    <s v="Purple sea urchin (?)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54"/>
    <x v="1"/>
    <s v="Tom Bird"/>
    <x v="3"/>
    <x v="3"/>
    <n v="48.8273315429687"/>
    <n v="-125.196601867675"/>
    <x v="2"/>
    <n v="1.5"/>
    <s v="NW"/>
    <d v="1899-12-30T09:48:00"/>
    <x v="6"/>
    <x v="1"/>
    <x v="1"/>
    <n v="0"/>
    <s v="Mfra"/>
    <s v="Mesocentrotus franciscanus"/>
    <s v="Red sea urchin"/>
    <n v="3"/>
    <n v="0"/>
    <m/>
    <m/>
    <n v="3"/>
    <m/>
    <m/>
    <m/>
    <m/>
    <m/>
    <m/>
    <m/>
    <m/>
    <m/>
    <m/>
    <m/>
    <m/>
    <m/>
    <m/>
    <m/>
    <m/>
    <m/>
    <m/>
    <m/>
    <m/>
    <m/>
    <m/>
    <m/>
    <m/>
    <m/>
  </r>
  <r>
    <n v="55"/>
    <x v="1"/>
    <s v="Tom Bird"/>
    <x v="4"/>
    <x v="4"/>
    <n v="48.834789276122997"/>
    <n v="-125.14702606201099"/>
    <x v="2"/>
    <n v="2"/>
    <s v="SW"/>
    <d v="1899-12-30T12:36:00"/>
    <x v="5"/>
    <x v="1"/>
    <x v="1"/>
    <n v="48"/>
    <s v="Mfra"/>
    <s v="Mesocentrotus franciscanus"/>
    <s v="Red sea urchin"/>
    <n v="4"/>
    <n v="0"/>
    <m/>
    <n v="2"/>
    <n v="2"/>
    <m/>
    <m/>
    <m/>
    <m/>
    <m/>
    <m/>
    <m/>
    <m/>
    <m/>
    <m/>
    <m/>
    <m/>
    <m/>
    <m/>
    <m/>
    <m/>
    <m/>
    <m/>
    <m/>
    <m/>
    <m/>
    <m/>
    <m/>
    <m/>
    <m/>
  </r>
  <r>
    <n v="56"/>
    <x v="1"/>
    <s v="Tom Bird"/>
    <x v="4"/>
    <x v="4"/>
    <n v="48.834789276122997"/>
    <n v="-125.14702606201099"/>
    <x v="2"/>
    <n v="2"/>
    <s v="SW"/>
    <d v="1899-12-30T12:36:00"/>
    <x v="5"/>
    <x v="1"/>
    <x v="1"/>
    <n v="48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57"/>
    <x v="1"/>
    <s v="Tom Bird"/>
    <x v="4"/>
    <x v="4"/>
    <n v="48.834789276122997"/>
    <n v="-125.14702606201099"/>
    <x v="2"/>
    <n v="2"/>
    <s v="SW"/>
    <d v="1899-12-30T12:36:00"/>
    <x v="5"/>
    <x v="1"/>
    <x v="1"/>
    <n v="40"/>
    <s v="Mfra"/>
    <s v="Mesocentrotus franciscanus"/>
    <s v="Red sea urchin"/>
    <n v="5"/>
    <n v="0"/>
    <m/>
    <n v="2"/>
    <n v="1"/>
    <n v="2"/>
    <m/>
    <m/>
    <m/>
    <m/>
    <m/>
    <m/>
    <m/>
    <m/>
    <m/>
    <m/>
    <m/>
    <m/>
    <m/>
    <m/>
    <m/>
    <m/>
    <m/>
    <m/>
    <m/>
    <m/>
    <m/>
    <m/>
    <m/>
    <m/>
  </r>
  <r>
    <n v="58"/>
    <x v="1"/>
    <s v="Tom Bird"/>
    <x v="4"/>
    <x v="4"/>
    <n v="48.834789276122997"/>
    <n v="-125.14702606201099"/>
    <x v="2"/>
    <n v="2"/>
    <s v="SW"/>
    <d v="1899-12-30T12:36:00"/>
    <x v="5"/>
    <x v="1"/>
    <x v="1"/>
    <n v="32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59"/>
    <x v="1"/>
    <s v="Tom Bird"/>
    <x v="4"/>
    <x v="4"/>
    <n v="48.834789276122997"/>
    <n v="-125.14702606201099"/>
    <x v="2"/>
    <n v="2"/>
    <s v="SW"/>
    <d v="1899-12-30T12:36:00"/>
    <x v="5"/>
    <x v="1"/>
    <x v="1"/>
    <n v="24"/>
    <s v="Mfra"/>
    <s v="Mesocentrotus franciscanus"/>
    <s v="Red sea urchin"/>
    <n v="5"/>
    <n v="0"/>
    <m/>
    <m/>
    <n v="5"/>
    <m/>
    <m/>
    <m/>
    <m/>
    <m/>
    <m/>
    <m/>
    <m/>
    <m/>
    <m/>
    <m/>
    <m/>
    <m/>
    <m/>
    <m/>
    <m/>
    <m/>
    <m/>
    <m/>
    <m/>
    <m/>
    <m/>
    <m/>
    <m/>
    <m/>
  </r>
  <r>
    <n v="60"/>
    <x v="1"/>
    <s v="Tom Bird"/>
    <x v="4"/>
    <x v="4"/>
    <n v="48.834789276122997"/>
    <n v="-125.14702606201099"/>
    <x v="2"/>
    <n v="2"/>
    <s v="SW"/>
    <d v="1899-12-30T12:36:00"/>
    <x v="5"/>
    <x v="1"/>
    <x v="1"/>
    <n v="24"/>
    <s v="Poc"/>
    <s v="Pisaster ochraceus"/>
    <s v="Purple sea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61"/>
    <x v="1"/>
    <s v="Tom Bird"/>
    <x v="4"/>
    <x v="4"/>
    <n v="48.834789276122997"/>
    <n v="-125.14702606201099"/>
    <x v="2"/>
    <n v="2"/>
    <s v="SW"/>
    <d v="1899-12-30T12:36:00"/>
    <x v="5"/>
    <x v="1"/>
    <x v="1"/>
    <n v="24"/>
    <s v="Henricia"/>
    <s v="Henricia sp."/>
    <s v="Unidentified blood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62"/>
    <x v="1"/>
    <s v="Tom Bird"/>
    <x v="4"/>
    <x v="4"/>
    <n v="48.834789276122997"/>
    <n v="-125.14702606201099"/>
    <x v="2"/>
    <n v="2"/>
    <s v="SW"/>
    <d v="1899-12-30T12:36:00"/>
    <x v="5"/>
    <x v="1"/>
    <x v="1"/>
    <n v="16"/>
    <s v="Mfra"/>
    <s v="Mesocentrotus franciscanus"/>
    <s v="Red sea urchin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63"/>
    <x v="1"/>
    <s v="Tom Bird"/>
    <x v="4"/>
    <x v="4"/>
    <n v="48.834789276122997"/>
    <n v="-125.14702606201099"/>
    <x v="2"/>
    <n v="2"/>
    <s v="SW"/>
    <d v="1899-12-30T12:36:00"/>
    <x v="5"/>
    <x v="1"/>
    <x v="1"/>
    <n v="16"/>
    <s v="Poc"/>
    <s v="Pisaster ochraceus"/>
    <s v="Purple sea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64"/>
    <x v="1"/>
    <s v="Tom Bird"/>
    <x v="4"/>
    <x v="4"/>
    <n v="48.834789276122997"/>
    <n v="-125.14702606201099"/>
    <x v="2"/>
    <n v="2"/>
    <s v="SW"/>
    <d v="1899-12-30T12:36:00"/>
    <x v="5"/>
    <x v="1"/>
    <x v="1"/>
    <n v="8"/>
    <s v="Mfra"/>
    <s v="Mesocentrotus franciscanus"/>
    <s v="Red sea urchin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65"/>
    <x v="1"/>
    <s v="Tom Bird"/>
    <x v="4"/>
    <x v="4"/>
    <n v="48.834789276122997"/>
    <n v="-125.14702606201099"/>
    <x v="2"/>
    <n v="2"/>
    <s v="SW"/>
    <d v="1899-12-30T12:36:00"/>
    <x v="5"/>
    <x v="1"/>
    <x v="1"/>
    <n v="8"/>
    <s v="dim"/>
    <s v="Dermasterias imbricata"/>
    <s v="Leath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66"/>
    <x v="1"/>
    <s v="Tom Bird"/>
    <x v="4"/>
    <x v="4"/>
    <n v="48.834789276122997"/>
    <n v="-125.14702606201099"/>
    <x v="2"/>
    <n v="2"/>
    <s v="SW"/>
    <d v="1899-12-30T12:36:00"/>
    <x v="5"/>
    <x v="1"/>
    <x v="1"/>
    <n v="8"/>
    <s v="Henricia"/>
    <s v="Henricia sp."/>
    <s v="Unidentified blood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67"/>
    <x v="1"/>
    <s v="Tom Bird"/>
    <x v="4"/>
    <x v="4"/>
    <n v="48.834789276122997"/>
    <n v="-125.14702606201099"/>
    <x v="2"/>
    <n v="2"/>
    <s v="SW"/>
    <d v="1899-12-30T12:36:00"/>
    <x v="5"/>
    <x v="1"/>
    <x v="1"/>
    <n v="0"/>
    <s v="Mfra"/>
    <s v="Mesocentrotus franciscanus"/>
    <s v="Red sea urchin"/>
    <n v="3"/>
    <n v="0"/>
    <m/>
    <n v="1"/>
    <n v="1"/>
    <n v="1"/>
    <m/>
    <m/>
    <m/>
    <m/>
    <m/>
    <m/>
    <m/>
    <m/>
    <m/>
    <m/>
    <m/>
    <m/>
    <m/>
    <m/>
    <m/>
    <m/>
    <m/>
    <m/>
    <m/>
    <m/>
    <m/>
    <m/>
    <m/>
    <m/>
  </r>
  <r>
    <n v="68"/>
    <x v="1"/>
    <s v="Tom Bird"/>
    <x v="5"/>
    <x v="5"/>
    <n v="48.838594999999998"/>
    <n v="-125.135015"/>
    <x v="2"/>
    <n v="3"/>
    <s v="S"/>
    <d v="1899-12-30T14:50:00"/>
    <x v="7"/>
    <x v="1"/>
    <x v="1"/>
    <n v="48"/>
    <s v="Mfra"/>
    <s v="Mesocentrotus franciscanus"/>
    <s v="Red sea urch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69"/>
    <x v="1"/>
    <s v="Tom Bird"/>
    <x v="5"/>
    <x v="5"/>
    <n v="48.838594999999998"/>
    <n v="-125.135015"/>
    <x v="2"/>
    <n v="3"/>
    <s v="S"/>
    <d v="1899-12-30T14:50:00"/>
    <x v="7"/>
    <x v="1"/>
    <x v="1"/>
    <n v="32"/>
    <s v="Mfra"/>
    <s v="Mesocentrotus franciscanus"/>
    <s v="Red sea urchin"/>
    <n v="3"/>
    <n v="0"/>
    <m/>
    <m/>
    <m/>
    <m/>
    <n v="3"/>
    <m/>
    <m/>
    <m/>
    <m/>
    <m/>
    <m/>
    <m/>
    <m/>
    <m/>
    <m/>
    <m/>
    <m/>
    <m/>
    <m/>
    <m/>
    <m/>
    <m/>
    <m/>
    <m/>
    <m/>
    <m/>
    <m/>
    <m/>
  </r>
  <r>
    <n v="70"/>
    <x v="1"/>
    <s v="Tom Bird"/>
    <x v="5"/>
    <x v="5"/>
    <n v="48.838594999999998"/>
    <n v="-125.135015"/>
    <x v="2"/>
    <n v="3"/>
    <s v="S"/>
    <d v="1899-12-30T14:50:00"/>
    <x v="7"/>
    <x v="1"/>
    <x v="1"/>
    <n v="16"/>
    <s v="Mfra"/>
    <s v="Mesocentrotus franciscanus"/>
    <s v="Red sea urchin"/>
    <n v="3"/>
    <n v="0"/>
    <n v="1"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71"/>
    <x v="1"/>
    <s v="Tom Bird"/>
    <x v="5"/>
    <x v="5"/>
    <n v="48.838594999999998"/>
    <n v="-125.135015"/>
    <x v="2"/>
    <n v="3"/>
    <s v="S"/>
    <d v="1899-12-30T14:50:00"/>
    <x v="7"/>
    <x v="1"/>
    <x v="1"/>
    <n v="0"/>
    <s v="Mfra"/>
    <s v="Mesocentrotus franciscanus"/>
    <s v="Red sea urch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72"/>
    <x v="1"/>
    <s v="Tom Bird"/>
    <x v="5"/>
    <x v="5"/>
    <n v="48.838594999999998"/>
    <n v="-125.135015"/>
    <x v="2"/>
    <n v="3"/>
    <s v="S"/>
    <d v="1899-12-30T14:50:00"/>
    <x v="7"/>
    <x v="1"/>
    <x v="1"/>
    <n v="0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73"/>
    <x v="3"/>
    <s v="Em Lim"/>
    <x v="5"/>
    <x v="5"/>
    <n v="48.838594999999998"/>
    <n v="-125.135015"/>
    <x v="2"/>
    <n v="3"/>
    <s v="NW"/>
    <d v="1899-12-30T14:48:00"/>
    <x v="6"/>
    <x v="1"/>
    <x v="1"/>
    <n v="48"/>
    <s v="Mfra"/>
    <s v="Mesocentrotus franciscanus"/>
    <s v="Red sea urchin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74"/>
    <x v="3"/>
    <s v="Em Lim"/>
    <x v="5"/>
    <x v="5"/>
    <n v="48.838594999999998"/>
    <n v="-125.135015"/>
    <x v="2"/>
    <n v="3"/>
    <s v="NW"/>
    <d v="1899-12-30T14:48:00"/>
    <x v="6"/>
    <x v="1"/>
    <x v="1"/>
    <n v="32"/>
    <s v="Mfra"/>
    <s v="Mesocentrotus franciscanus"/>
    <s v="Red sea urchin"/>
    <n v="7"/>
    <n v="0"/>
    <m/>
    <n v="2"/>
    <n v="3"/>
    <n v="1"/>
    <m/>
    <n v="1"/>
    <m/>
    <m/>
    <m/>
    <m/>
    <m/>
    <m/>
    <m/>
    <m/>
    <m/>
    <m/>
    <m/>
    <m/>
    <m/>
    <m/>
    <m/>
    <m/>
    <m/>
    <m/>
    <m/>
    <m/>
    <m/>
    <m/>
  </r>
  <r>
    <n v="75"/>
    <x v="3"/>
    <s v="Em Lim"/>
    <x v="5"/>
    <x v="5"/>
    <n v="48.838594999999998"/>
    <n v="-125.135015"/>
    <x v="2"/>
    <n v="3"/>
    <s v="NW"/>
    <d v="1899-12-30T14:48:00"/>
    <x v="6"/>
    <x v="1"/>
    <x v="1"/>
    <n v="32"/>
    <s v="Oko"/>
    <s v="Orthasterias koehleri"/>
    <s v="Rainbow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76"/>
    <x v="3"/>
    <s v="Em Lim"/>
    <x v="5"/>
    <x v="5"/>
    <n v="48.838594999999998"/>
    <n v="-125.135015"/>
    <x v="2"/>
    <n v="3"/>
    <s v="NW"/>
    <d v="1899-12-30T14:48:00"/>
    <x v="6"/>
    <x v="1"/>
    <x v="1"/>
    <n v="16"/>
    <s v="Mfra"/>
    <s v="Mesocentrotus franciscanus"/>
    <s v="Red sea urchin"/>
    <n v="10"/>
    <n v="0"/>
    <m/>
    <n v="1"/>
    <n v="5"/>
    <n v="1"/>
    <n v="3"/>
    <m/>
    <m/>
    <m/>
    <m/>
    <m/>
    <m/>
    <m/>
    <m/>
    <m/>
    <m/>
    <m/>
    <m/>
    <m/>
    <m/>
    <m/>
    <m/>
    <m/>
    <m/>
    <m/>
    <m/>
    <m/>
    <m/>
    <m/>
  </r>
  <r>
    <n v="77"/>
    <x v="3"/>
    <s v="Em Lim"/>
    <x v="5"/>
    <x v="5"/>
    <n v="48.838594999999998"/>
    <n v="-125.135015"/>
    <x v="2"/>
    <n v="3"/>
    <s v="NW"/>
    <d v="1899-12-30T14:48:00"/>
    <x v="6"/>
    <x v="1"/>
    <x v="1"/>
    <n v="16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78"/>
    <x v="3"/>
    <s v="Em Lim"/>
    <x v="5"/>
    <x v="5"/>
    <n v="48.838594999999998"/>
    <n v="-125.135015"/>
    <x v="2"/>
    <n v="3"/>
    <s v="NW"/>
    <d v="1899-12-30T14:48:00"/>
    <x v="6"/>
    <x v="1"/>
    <x v="1"/>
    <n v="16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79"/>
    <x v="3"/>
    <s v="Em Lim"/>
    <x v="5"/>
    <x v="5"/>
    <n v="48.838594999999998"/>
    <n v="-125.135015"/>
    <x v="2"/>
    <n v="3"/>
    <s v="NW"/>
    <d v="1899-12-30T14:48:00"/>
    <x v="6"/>
    <x v="1"/>
    <x v="1"/>
    <n v="16"/>
    <s v="etr"/>
    <s v="Evasterias troschelii"/>
    <s v="Mottled starfish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80"/>
    <x v="2"/>
    <s v="Isabelle Cote"/>
    <x v="5"/>
    <x v="5"/>
    <n v="48.838594999999998"/>
    <n v="-125.135015"/>
    <x v="2"/>
    <n v="3"/>
    <s v="NW"/>
    <d v="1899-12-30T14:48:00"/>
    <x v="6"/>
    <x v="1"/>
    <x v="1"/>
    <n v="0"/>
    <s v="Mfra"/>
    <s v="Mesocentrotus franciscanus"/>
    <s v="Red sea urchin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81"/>
    <x v="2"/>
    <s v="Isabelle Cote"/>
    <x v="5"/>
    <x v="5"/>
    <n v="48.838594999999998"/>
    <n v="-125.135015"/>
    <x v="2"/>
    <n v="3"/>
    <s v="NW"/>
    <d v="1899-12-30T14:48:00"/>
    <x v="6"/>
    <x v="1"/>
    <x v="2"/>
    <n v="40"/>
    <s v="Mfra"/>
    <s v="Mesocentrotus franciscanus"/>
    <s v="Red sea urchin"/>
    <n v="6"/>
    <n v="0"/>
    <m/>
    <n v="2"/>
    <n v="3"/>
    <n v="1"/>
    <m/>
    <m/>
    <m/>
    <m/>
    <m/>
    <m/>
    <m/>
    <m/>
    <m/>
    <m/>
    <m/>
    <m/>
    <m/>
    <m/>
    <m/>
    <m/>
    <m/>
    <m/>
    <m/>
    <m/>
    <m/>
    <m/>
    <m/>
    <m/>
  </r>
  <r>
    <n v="82"/>
    <x v="2"/>
    <s v="Isabelle Cote"/>
    <x v="5"/>
    <x v="5"/>
    <n v="48.838594999999998"/>
    <n v="-125.135015"/>
    <x v="2"/>
    <n v="3"/>
    <s v="NW"/>
    <d v="1899-12-30T14:48:00"/>
    <x v="6"/>
    <x v="1"/>
    <x v="2"/>
    <n v="40"/>
    <s v="dim"/>
    <s v="Dermasterias imbricata"/>
    <s v="Leath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83"/>
    <x v="2"/>
    <s v="Isabelle Cote"/>
    <x v="5"/>
    <x v="5"/>
    <n v="48.838594999999998"/>
    <n v="-125.135015"/>
    <x v="2"/>
    <n v="3"/>
    <s v="NW"/>
    <d v="1899-12-30T14:48:00"/>
    <x v="6"/>
    <x v="1"/>
    <x v="2"/>
    <n v="40"/>
    <s v="etr"/>
    <s v="Evasterias troschelii"/>
    <s v="Mottled starfish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84"/>
    <x v="2"/>
    <s v="Isabelle Cote"/>
    <x v="5"/>
    <x v="5"/>
    <n v="48.838594999999998"/>
    <n v="-125.135015"/>
    <x v="2"/>
    <n v="3"/>
    <s v="NW"/>
    <d v="1899-12-30T14:48:00"/>
    <x v="6"/>
    <x v="1"/>
    <x v="2"/>
    <n v="24"/>
    <s v="Mfra"/>
    <s v="Mesocentrotus franciscanus"/>
    <s v="Red sea urchin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85"/>
    <x v="2"/>
    <s v="Isabelle Cote"/>
    <x v="5"/>
    <x v="5"/>
    <n v="48.838594999999998"/>
    <n v="-125.135015"/>
    <x v="2"/>
    <n v="3"/>
    <s v="NW"/>
    <d v="1899-12-30T14:48:00"/>
    <x v="6"/>
    <x v="1"/>
    <x v="2"/>
    <n v="8"/>
    <s v="Mfra"/>
    <s v="Mesocentrotus franciscanus"/>
    <s v="Red sea urchin"/>
    <n v="5"/>
    <n v="0"/>
    <n v="1"/>
    <n v="1"/>
    <m/>
    <n v="2"/>
    <n v="1"/>
    <m/>
    <m/>
    <m/>
    <m/>
    <m/>
    <m/>
    <m/>
    <m/>
    <m/>
    <m/>
    <m/>
    <m/>
    <m/>
    <m/>
    <m/>
    <m/>
    <m/>
    <m/>
    <m/>
    <m/>
    <m/>
    <m/>
    <m/>
  </r>
  <r>
    <n v="86"/>
    <x v="2"/>
    <s v="Isabelle Cote"/>
    <x v="3"/>
    <x v="3"/>
    <n v="48.8273315429687"/>
    <n v="-125.196601867675"/>
    <x v="3"/>
    <n v="1.5"/>
    <s v="E"/>
    <d v="1899-12-30T09:50:00"/>
    <x v="5"/>
    <x v="1"/>
    <x v="2"/>
    <n v="40"/>
    <s v="Mfra"/>
    <s v="Mesocentrotus franciscanus"/>
    <s v="Red sea urchin"/>
    <n v="9"/>
    <n v="0"/>
    <m/>
    <n v="3"/>
    <n v="3"/>
    <n v="3"/>
    <m/>
    <m/>
    <m/>
    <m/>
    <m/>
    <m/>
    <m/>
    <m/>
    <m/>
    <m/>
    <m/>
    <m/>
    <m/>
    <m/>
    <m/>
    <m/>
    <m/>
    <m/>
    <m/>
    <m/>
    <m/>
    <m/>
    <m/>
    <m/>
  </r>
  <r>
    <n v="87"/>
    <x v="2"/>
    <s v="Isabelle Cote"/>
    <x v="3"/>
    <x v="3"/>
    <n v="48.8273315429687"/>
    <n v="-125.196601867675"/>
    <x v="3"/>
    <n v="1.5"/>
    <s v="E"/>
    <d v="1899-12-30T09:50:00"/>
    <x v="5"/>
    <x v="1"/>
    <x v="2"/>
    <n v="40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88"/>
    <x v="2"/>
    <s v="Isabelle Cote"/>
    <x v="3"/>
    <x v="3"/>
    <n v="48.8273315429687"/>
    <n v="-125.196601867675"/>
    <x v="3"/>
    <n v="1.5"/>
    <s v="E"/>
    <d v="1899-12-30T09:50:00"/>
    <x v="5"/>
    <x v="1"/>
    <x v="2"/>
    <n v="24"/>
    <s v="Mfra"/>
    <s v="Mesocentrotus franciscanus"/>
    <s v="Red sea urchin"/>
    <n v="7"/>
    <n v="0"/>
    <m/>
    <n v="2"/>
    <n v="4"/>
    <n v="1"/>
    <m/>
    <m/>
    <m/>
    <m/>
    <m/>
    <m/>
    <m/>
    <m/>
    <m/>
    <m/>
    <m/>
    <m/>
    <m/>
    <m/>
    <m/>
    <m/>
    <m/>
    <m/>
    <m/>
    <m/>
    <m/>
    <m/>
    <m/>
    <m/>
  </r>
  <r>
    <n v="89"/>
    <x v="2"/>
    <s v="Isabelle Cote"/>
    <x v="3"/>
    <x v="3"/>
    <n v="48.8273315429687"/>
    <n v="-125.196601867675"/>
    <x v="3"/>
    <n v="1.5"/>
    <s v="E"/>
    <d v="1899-12-30T09:50:00"/>
    <x v="5"/>
    <x v="1"/>
    <x v="2"/>
    <n v="24"/>
    <s v="dim"/>
    <s v="Dermasterias imbricata"/>
    <s v="Leather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90"/>
    <x v="2"/>
    <s v="Isabelle Cote"/>
    <x v="3"/>
    <x v="3"/>
    <n v="48.8273315429687"/>
    <n v="-125.196601867675"/>
    <x v="3"/>
    <n v="1.5"/>
    <s v="E"/>
    <d v="1899-12-30T09:50:00"/>
    <x v="5"/>
    <x v="1"/>
    <x v="2"/>
    <n v="8"/>
    <s v="Mfra"/>
    <s v="Mesocentrotus franciscanus"/>
    <s v="Red sea urchin"/>
    <n v="4"/>
    <n v="0"/>
    <m/>
    <m/>
    <n v="1"/>
    <n v="2"/>
    <n v="1"/>
    <m/>
    <m/>
    <m/>
    <m/>
    <m/>
    <m/>
    <m/>
    <m/>
    <m/>
    <m/>
    <m/>
    <m/>
    <m/>
    <m/>
    <m/>
    <m/>
    <m/>
    <m/>
    <m/>
    <m/>
    <m/>
    <m/>
    <m/>
  </r>
  <r>
    <n v="91"/>
    <x v="2"/>
    <s v="Isabelle Cote"/>
    <x v="3"/>
    <x v="3"/>
    <n v="48.8273315429687"/>
    <n v="-125.196601867675"/>
    <x v="3"/>
    <n v="1.5"/>
    <s v="E"/>
    <d v="1899-12-30T09:50:00"/>
    <x v="5"/>
    <x v="1"/>
    <x v="2"/>
    <n v="8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92"/>
    <x v="2"/>
    <s v="Isabelle Cote"/>
    <x v="3"/>
    <x v="3"/>
    <n v="48.8273315429687"/>
    <n v="-125.196601867675"/>
    <x v="3"/>
    <n v="1.5"/>
    <s v="E"/>
    <d v="1899-12-30T09:50:00"/>
    <x v="5"/>
    <x v="1"/>
    <x v="2"/>
    <n v="8"/>
    <s v="dim"/>
    <s v="Dermasterias imbricata"/>
    <s v="Leath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93"/>
    <x v="2"/>
    <s v="Isabelle Cote"/>
    <x v="3"/>
    <x v="3"/>
    <n v="48.8273315429687"/>
    <n v="-125.196601867675"/>
    <x v="3"/>
    <n v="1.5"/>
    <s v="E"/>
    <d v="1899-12-30T09:50:00"/>
    <x v="5"/>
    <x v="1"/>
    <x v="2"/>
    <n v="0"/>
    <s v="Mfra"/>
    <s v="Mesocentrotus franciscanus"/>
    <s v="Red sea urchin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94"/>
    <x v="2"/>
    <s v="Isabelle Cote"/>
    <x v="3"/>
    <x v="3"/>
    <n v="48.8273315429687"/>
    <n v="-125.196601867675"/>
    <x v="3"/>
    <n v="1.5"/>
    <s v="E"/>
    <d v="1899-12-30T09:50:00"/>
    <x v="5"/>
    <x v="1"/>
    <x v="2"/>
    <n v="16"/>
    <s v="Mfra"/>
    <s v="Mesocentrotus franciscanus"/>
    <s v="Red sea urchin"/>
    <n v="4"/>
    <n v="0"/>
    <m/>
    <m/>
    <n v="1"/>
    <n v="1"/>
    <n v="2"/>
    <m/>
    <m/>
    <m/>
    <m/>
    <m/>
    <m/>
    <m/>
    <m/>
    <m/>
    <m/>
    <m/>
    <m/>
    <m/>
    <m/>
    <m/>
    <m/>
    <m/>
    <m/>
    <m/>
    <m/>
    <m/>
    <m/>
    <m/>
  </r>
  <r>
    <n v="95"/>
    <x v="4"/>
    <s v="Jasmin Schuster"/>
    <x v="3"/>
    <x v="3"/>
    <n v="48.8273315429687"/>
    <n v="-125.196601867675"/>
    <x v="3"/>
    <n v="1.5"/>
    <s v="NW"/>
    <d v="1899-12-30T09:48:00"/>
    <x v="6"/>
    <x v="1"/>
    <x v="2"/>
    <n v="40"/>
    <s v="Mfra"/>
    <s v="Mesocentrotus franciscanus"/>
    <s v="Red sea urchin"/>
    <n v="6"/>
    <n v="0"/>
    <m/>
    <n v="1"/>
    <n v="2"/>
    <n v="3"/>
    <m/>
    <m/>
    <m/>
    <m/>
    <m/>
    <m/>
    <m/>
    <m/>
    <m/>
    <m/>
    <m/>
    <m/>
    <m/>
    <m/>
    <m/>
    <m/>
    <m/>
    <m/>
    <m/>
    <m/>
    <m/>
    <m/>
    <m/>
    <m/>
  </r>
  <r>
    <n v="96"/>
    <x v="4"/>
    <s v="Jasmin Schuster"/>
    <x v="3"/>
    <x v="3"/>
    <n v="48.8273315429687"/>
    <n v="-125.196601867675"/>
    <x v="3"/>
    <n v="1.5"/>
    <s v="NW"/>
    <d v="1899-12-30T09:48:00"/>
    <x v="6"/>
    <x v="1"/>
    <x v="2"/>
    <n v="24"/>
    <s v="Mfra"/>
    <s v="Mesocentrotus franciscanus"/>
    <s v="Red sea urchin"/>
    <n v="9"/>
    <n v="0"/>
    <m/>
    <n v="2"/>
    <n v="4"/>
    <n v="3"/>
    <m/>
    <m/>
    <m/>
    <m/>
    <m/>
    <m/>
    <m/>
    <m/>
    <m/>
    <m/>
    <m/>
    <m/>
    <m/>
    <m/>
    <m/>
    <m/>
    <m/>
    <m/>
    <m/>
    <m/>
    <m/>
    <m/>
    <m/>
    <m/>
  </r>
  <r>
    <n v="97"/>
    <x v="4"/>
    <s v="Jasmin Schuster"/>
    <x v="3"/>
    <x v="3"/>
    <n v="48.8273315429687"/>
    <n v="-125.196601867675"/>
    <x v="3"/>
    <n v="1.5"/>
    <s v="NW"/>
    <d v="1899-12-30T09:48:00"/>
    <x v="6"/>
    <x v="1"/>
    <x v="2"/>
    <n v="8"/>
    <s v="Mfra"/>
    <s v="Mesocentrotus franciscanus"/>
    <s v="Red sea urchin"/>
    <n v="3"/>
    <n v="0"/>
    <m/>
    <m/>
    <n v="3"/>
    <m/>
    <m/>
    <m/>
    <m/>
    <m/>
    <m/>
    <m/>
    <m/>
    <m/>
    <m/>
    <m/>
    <m/>
    <m/>
    <m/>
    <m/>
    <m/>
    <m/>
    <m/>
    <m/>
    <m/>
    <m/>
    <m/>
    <m/>
    <m/>
    <m/>
  </r>
  <r>
    <n v="98"/>
    <x v="4"/>
    <s v="Jasmin Schuster"/>
    <x v="3"/>
    <x v="3"/>
    <n v="48.8273315429687"/>
    <n v="-125.196601867675"/>
    <x v="3"/>
    <n v="1.5"/>
    <s v="NW"/>
    <d v="1899-12-30T09:48:00"/>
    <x v="6"/>
    <x v="1"/>
    <x v="2"/>
    <n v="8"/>
    <s v="phe"/>
    <s v="Pycnopodia helianthoides"/>
    <s v="Sunflower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99"/>
    <x v="4"/>
    <s v="Jasmin Schuster"/>
    <x v="5"/>
    <x v="5"/>
    <n v="48.838594999999998"/>
    <n v="-125.135015"/>
    <x v="3"/>
    <n v="1.5"/>
    <s v="NW"/>
    <d v="1899-12-30T09:48:00"/>
    <x v="6"/>
    <x v="1"/>
    <x v="2"/>
    <n v="40"/>
    <s v="Mfra"/>
    <s v="Mesocentrotus franciscanus"/>
    <s v="Red sea urchin"/>
    <n v="3"/>
    <n v="0"/>
    <m/>
    <n v="1"/>
    <n v="1"/>
    <n v="1"/>
    <m/>
    <m/>
    <m/>
    <m/>
    <m/>
    <m/>
    <m/>
    <m/>
    <m/>
    <m/>
    <m/>
    <m/>
    <m/>
    <m/>
    <m/>
    <m/>
    <m/>
    <m/>
    <m/>
    <m/>
    <m/>
    <m/>
    <m/>
    <m/>
  </r>
  <r>
    <n v="100"/>
    <x v="4"/>
    <s v="Jasmin Schuster"/>
    <x v="5"/>
    <x v="5"/>
    <n v="48.838594999999998"/>
    <n v="-125.135015"/>
    <x v="3"/>
    <n v="1.5"/>
    <s v="NW"/>
    <d v="1899-12-30T09:48:00"/>
    <x v="6"/>
    <x v="1"/>
    <x v="2"/>
    <n v="40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01"/>
    <x v="4"/>
    <s v="Jasmin Schuster"/>
    <x v="5"/>
    <x v="5"/>
    <n v="48.838594999999998"/>
    <n v="-125.135015"/>
    <x v="3"/>
    <n v="1.5"/>
    <s v="NW"/>
    <d v="1899-12-30T09:48:00"/>
    <x v="6"/>
    <x v="1"/>
    <x v="2"/>
    <n v="24"/>
    <s v="Mfra"/>
    <s v="Mesocentrotus franciscanus"/>
    <s v="Red sea urchin"/>
    <n v="4"/>
    <n v="0"/>
    <m/>
    <m/>
    <n v="3"/>
    <m/>
    <n v="1"/>
    <m/>
    <m/>
    <m/>
    <m/>
    <m/>
    <m/>
    <m/>
    <m/>
    <m/>
    <m/>
    <m/>
    <m/>
    <m/>
    <m/>
    <m/>
    <m/>
    <m/>
    <m/>
    <m/>
    <m/>
    <m/>
    <m/>
    <m/>
  </r>
  <r>
    <n v="102"/>
    <x v="4"/>
    <s v="Jasmin Schuster"/>
    <x v="5"/>
    <x v="5"/>
    <n v="48.838594999999998"/>
    <n v="-125.135015"/>
    <x v="3"/>
    <n v="1.5"/>
    <s v="NW"/>
    <d v="1899-12-30T09:48:00"/>
    <x v="6"/>
    <x v="1"/>
    <x v="2"/>
    <n v="8"/>
    <s v="Mfra"/>
    <s v="Mesocentrotus franciscanus"/>
    <s v="Red sea urchin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"/>
    <x v="4"/>
    <s v="Jasmin Schuster"/>
    <x v="5"/>
    <x v="5"/>
    <n v="48.838594999999998"/>
    <n v="-125.135015"/>
    <x v="3"/>
    <n v="1.5"/>
    <s v="NW"/>
    <d v="1899-12-30T09:48:00"/>
    <x v="6"/>
    <x v="1"/>
    <x v="2"/>
    <n v="8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04"/>
    <x v="4"/>
    <s v="Jasmin Schuster"/>
    <x v="1"/>
    <x v="1"/>
    <n v="48.955081939697202"/>
    <n v="-125.15337371826099"/>
    <x v="4"/>
    <n v="1"/>
    <s v="NW"/>
    <d v="1899-12-30T10:10:00"/>
    <x v="1"/>
    <x v="1"/>
    <x v="2"/>
    <n v="40"/>
    <s v="Mfra"/>
    <s v="Mesocentrotus franciscanus"/>
    <s v="Red sea urch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05"/>
    <x v="4"/>
    <s v="Jasmin Schuster"/>
    <x v="1"/>
    <x v="1"/>
    <n v="48.955081939697202"/>
    <n v="-125.15337371826099"/>
    <x v="4"/>
    <n v="1"/>
    <s v="NW"/>
    <d v="1899-12-30T10:10:00"/>
    <x v="1"/>
    <x v="1"/>
    <x v="2"/>
    <n v="40"/>
    <s v="Pmi"/>
    <s v="Patiria miniata"/>
    <s v="Bat star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106"/>
    <x v="4"/>
    <s v="Jasmin Schuster"/>
    <x v="1"/>
    <x v="1"/>
    <n v="48.955081939697202"/>
    <n v="-125.15337371826099"/>
    <x v="4"/>
    <n v="1"/>
    <s v="NW"/>
    <d v="1899-12-30T10:10:00"/>
    <x v="1"/>
    <x v="1"/>
    <x v="2"/>
    <n v="40"/>
    <s v="dim"/>
    <s v="Dermasterias imbricata"/>
    <s v="Leather star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"/>
    <x v="4"/>
    <s v="Jasmin Schuster"/>
    <x v="1"/>
    <x v="1"/>
    <n v="48.955081939697202"/>
    <n v="-125.15337371826099"/>
    <x v="4"/>
    <n v="1"/>
    <s v="NW"/>
    <d v="1899-12-30T10:10:00"/>
    <x v="1"/>
    <x v="1"/>
    <x v="2"/>
    <n v="40"/>
    <s v="Oko"/>
    <s v="Orthasterias koehleri"/>
    <s v="Rainbow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08"/>
    <x v="4"/>
    <s v="Jasmin Schuster"/>
    <x v="1"/>
    <x v="1"/>
    <n v="48.955081939697202"/>
    <n v="-125.15337371826099"/>
    <x v="4"/>
    <n v="1"/>
    <s v="NW"/>
    <d v="1899-12-30T10:10:00"/>
    <x v="1"/>
    <x v="1"/>
    <x v="2"/>
    <n v="24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09"/>
    <x v="4"/>
    <s v="Jasmin Schuster"/>
    <x v="1"/>
    <x v="1"/>
    <n v="48.955081939697202"/>
    <n v="-125.15337371826099"/>
    <x v="4"/>
    <n v="1"/>
    <s v="NW"/>
    <d v="1899-12-30T10:10:00"/>
    <x v="1"/>
    <x v="1"/>
    <x v="2"/>
    <n v="24"/>
    <s v="Mfra"/>
    <s v="Mesocentrotus franciscanus"/>
    <s v="Red sea urchin"/>
    <n v="6"/>
    <n v="0"/>
    <m/>
    <n v="3"/>
    <n v="3"/>
    <m/>
    <m/>
    <m/>
    <m/>
    <m/>
    <m/>
    <m/>
    <m/>
    <m/>
    <m/>
    <m/>
    <m/>
    <m/>
    <m/>
    <m/>
    <m/>
    <m/>
    <m/>
    <m/>
    <m/>
    <m/>
    <m/>
    <m/>
    <m/>
    <m/>
  </r>
  <r>
    <n v="110"/>
    <x v="4"/>
    <s v="Jasmin Schuster"/>
    <x v="1"/>
    <x v="1"/>
    <n v="48.955081939697202"/>
    <n v="-125.15337371826099"/>
    <x v="4"/>
    <n v="1"/>
    <s v="NW"/>
    <d v="1899-12-30T10:10:00"/>
    <x v="1"/>
    <x v="1"/>
    <x v="2"/>
    <n v="8"/>
    <s v="Mfra"/>
    <s v="Mesocentrotus franciscanus"/>
    <s v="Red sea urchin"/>
    <n v="8"/>
    <n v="0"/>
    <n v="1"/>
    <n v="5"/>
    <n v="2"/>
    <m/>
    <m/>
    <m/>
    <m/>
    <m/>
    <m/>
    <m/>
    <m/>
    <m/>
    <m/>
    <m/>
    <m/>
    <m/>
    <m/>
    <m/>
    <m/>
    <m/>
    <m/>
    <m/>
    <m/>
    <m/>
    <m/>
    <m/>
    <m/>
    <m/>
  </r>
  <r>
    <n v="111"/>
    <x v="4"/>
    <s v="Jasmin Schuster"/>
    <x v="1"/>
    <x v="1"/>
    <n v="48.955081939697202"/>
    <n v="-125.15337371826099"/>
    <x v="4"/>
    <n v="1"/>
    <s v="NW"/>
    <d v="1899-12-30T10:10:00"/>
    <x v="1"/>
    <x v="1"/>
    <x v="2"/>
    <n v="8"/>
    <s v="dim"/>
    <s v="Dermasterias imbricata"/>
    <s v="Leath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12"/>
    <x v="4"/>
    <s v="Jasmin Schuster"/>
    <x v="2"/>
    <x v="2"/>
    <n v="48.950233459472599"/>
    <n v="-125.155548095703"/>
    <x v="4"/>
    <n v="1.5"/>
    <s v="SW"/>
    <d v="1899-12-30T12:43:00"/>
    <x v="2"/>
    <x v="1"/>
    <x v="2"/>
    <n v="40"/>
    <s v="Mfra"/>
    <s v="Mesocentrotus franciscanus"/>
    <s v="Red sea urchin"/>
    <n v="10"/>
    <n v="0"/>
    <m/>
    <n v="2"/>
    <n v="8"/>
    <m/>
    <m/>
    <m/>
    <m/>
    <m/>
    <m/>
    <m/>
    <m/>
    <m/>
    <m/>
    <m/>
    <m/>
    <m/>
    <m/>
    <m/>
    <m/>
    <m/>
    <m/>
    <m/>
    <m/>
    <m/>
    <m/>
    <m/>
    <m/>
    <m/>
  </r>
  <r>
    <n v="113"/>
    <x v="4"/>
    <s v="Jasmin Schuster"/>
    <x v="2"/>
    <x v="2"/>
    <n v="48.950233459472599"/>
    <n v="-125.155548095703"/>
    <x v="4"/>
    <n v="1.5"/>
    <s v="SW"/>
    <d v="1899-12-30T12:43:00"/>
    <x v="2"/>
    <x v="1"/>
    <x v="2"/>
    <n v="40"/>
    <s v="Pmi"/>
    <s v="Patiria miniata"/>
    <s v="Bat star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114"/>
    <x v="4"/>
    <s v="Jasmin Schuster"/>
    <x v="2"/>
    <x v="2"/>
    <n v="48.950233459472599"/>
    <n v="-125.155548095703"/>
    <x v="4"/>
    <n v="1.5"/>
    <s v="SW"/>
    <d v="1899-12-30T12:43:00"/>
    <x v="2"/>
    <x v="1"/>
    <x v="2"/>
    <n v="24"/>
    <s v="Mfra"/>
    <s v="Mesocentrotus franciscanus"/>
    <s v="Red sea urchin"/>
    <n v="8"/>
    <n v="0"/>
    <n v="1"/>
    <n v="5"/>
    <n v="2"/>
    <m/>
    <m/>
    <m/>
    <m/>
    <m/>
    <m/>
    <m/>
    <m/>
    <m/>
    <m/>
    <m/>
    <m/>
    <m/>
    <m/>
    <m/>
    <m/>
    <m/>
    <m/>
    <m/>
    <m/>
    <m/>
    <m/>
    <m/>
    <m/>
    <m/>
  </r>
  <r>
    <n v="115"/>
    <x v="4"/>
    <s v="Jasmin Schuster"/>
    <x v="2"/>
    <x v="2"/>
    <n v="48.950233459472599"/>
    <n v="-125.155548095703"/>
    <x v="4"/>
    <n v="1.5"/>
    <s v="SW"/>
    <d v="1899-12-30T12:43:00"/>
    <x v="2"/>
    <x v="1"/>
    <x v="2"/>
    <n v="24"/>
    <s v="Pmi"/>
    <s v="Patiria miniata"/>
    <s v="Bat star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116"/>
    <x v="4"/>
    <s v="Jasmin Schuster"/>
    <x v="2"/>
    <x v="2"/>
    <n v="48.950233459472599"/>
    <n v="-125.155548095703"/>
    <x v="4"/>
    <n v="1.5"/>
    <s v="SW"/>
    <d v="1899-12-30T12:43:00"/>
    <x v="2"/>
    <x v="1"/>
    <x v="2"/>
    <n v="8"/>
    <s v="Mfra"/>
    <s v="Mesocentrotus franciscanus"/>
    <s v="Red sea urchin"/>
    <n v="6"/>
    <n v="0"/>
    <m/>
    <n v="1"/>
    <n v="3"/>
    <n v="2"/>
    <m/>
    <m/>
    <m/>
    <m/>
    <m/>
    <m/>
    <m/>
    <m/>
    <m/>
    <m/>
    <m/>
    <m/>
    <m/>
    <m/>
    <m/>
    <m/>
    <m/>
    <m/>
    <m/>
    <m/>
    <m/>
    <m/>
    <m/>
    <m/>
  </r>
  <r>
    <n v="117"/>
    <x v="4"/>
    <s v="Jasmin Schuster"/>
    <x v="2"/>
    <x v="2"/>
    <n v="48.950233459472599"/>
    <n v="-125.155548095703"/>
    <x v="4"/>
    <n v="1.5"/>
    <s v="SW"/>
    <d v="1899-12-30T12:43:00"/>
    <x v="2"/>
    <x v="1"/>
    <x v="2"/>
    <n v="8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18"/>
    <x v="3"/>
    <s v="Claire Attridge"/>
    <x v="6"/>
    <x v="6"/>
    <n v="48.916072999999997"/>
    <n v="-125.131174"/>
    <x v="5"/>
    <n v="3"/>
    <s v="NE"/>
    <d v="1899-12-30T13:03:00"/>
    <x v="7"/>
    <x v="1"/>
    <x v="1"/>
    <n v="48"/>
    <s v="dim"/>
    <s v="Dermasterias imbricata"/>
    <s v="Leather star"/>
    <n v="2"/>
    <n v="0"/>
    <m/>
    <m/>
    <m/>
    <m/>
    <n v="1"/>
    <m/>
    <n v="1"/>
    <m/>
    <m/>
    <m/>
    <m/>
    <m/>
    <m/>
    <m/>
    <m/>
    <m/>
    <m/>
    <m/>
    <m/>
    <m/>
    <m/>
    <m/>
    <m/>
    <m/>
    <m/>
    <m/>
    <m/>
    <m/>
  </r>
  <r>
    <n v="119"/>
    <x v="3"/>
    <s v="Claire Attridge"/>
    <x v="6"/>
    <x v="6"/>
    <n v="48.916072999999997"/>
    <n v="-125.131174"/>
    <x v="5"/>
    <n v="3"/>
    <s v="NE"/>
    <d v="1899-12-30T13:03:00"/>
    <x v="7"/>
    <x v="1"/>
    <x v="1"/>
    <n v="48"/>
    <s v="Mfra"/>
    <s v="Mesocentrotus franciscanus"/>
    <s v="Red sea urchin"/>
    <n v="4"/>
    <n v="0"/>
    <m/>
    <m/>
    <m/>
    <n v="2"/>
    <m/>
    <n v="1"/>
    <m/>
    <n v="1"/>
    <m/>
    <m/>
    <m/>
    <m/>
    <m/>
    <m/>
    <m/>
    <m/>
    <m/>
    <m/>
    <m/>
    <m/>
    <m/>
    <m/>
    <m/>
    <m/>
    <m/>
    <m/>
    <m/>
    <m/>
  </r>
  <r>
    <n v="120"/>
    <x v="3"/>
    <s v="Claire Attridge"/>
    <x v="6"/>
    <x v="6"/>
    <n v="48.916072999999997"/>
    <n v="-125.131174"/>
    <x v="5"/>
    <n v="3"/>
    <s v="NE"/>
    <d v="1899-12-30T13:03:00"/>
    <x v="7"/>
    <x v="1"/>
    <x v="1"/>
    <n v="32"/>
    <s v="Mfra"/>
    <s v="Mesocentrotus franciscanus"/>
    <s v="Red sea urchin"/>
    <n v="5"/>
    <n v="0"/>
    <m/>
    <m/>
    <m/>
    <n v="1"/>
    <n v="3"/>
    <m/>
    <n v="1"/>
    <m/>
    <m/>
    <m/>
    <m/>
    <m/>
    <m/>
    <m/>
    <m/>
    <m/>
    <m/>
    <m/>
    <m/>
    <m/>
    <m/>
    <m/>
    <m/>
    <m/>
    <m/>
    <m/>
    <m/>
    <m/>
  </r>
  <r>
    <n v="121"/>
    <x v="3"/>
    <s v="Claire Attridge"/>
    <x v="6"/>
    <x v="6"/>
    <n v="48.916072999999997"/>
    <n v="-125.131174"/>
    <x v="5"/>
    <n v="3"/>
    <s v="NE"/>
    <d v="1899-12-30T13:03:00"/>
    <x v="7"/>
    <x v="1"/>
    <x v="1"/>
    <n v="32"/>
    <s v="Pmi"/>
    <s v="Patiria miniata"/>
    <s v="Bat star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122"/>
    <x v="3"/>
    <s v="Claire Attridge"/>
    <x v="6"/>
    <x v="6"/>
    <n v="48.916072999999997"/>
    <n v="-125.131174"/>
    <x v="5"/>
    <n v="3"/>
    <s v="NE"/>
    <d v="1899-12-30T13:03:00"/>
    <x v="7"/>
    <x v="1"/>
    <x v="1"/>
    <n v="16"/>
    <s v="Pmi"/>
    <s v="Patiria miniata"/>
    <s v="Bat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23"/>
    <x v="3"/>
    <s v="Claire Attridge"/>
    <x v="6"/>
    <x v="6"/>
    <n v="48.916072999999997"/>
    <n v="-125.131174"/>
    <x v="5"/>
    <n v="3"/>
    <s v="NE"/>
    <d v="1899-12-30T13:03:00"/>
    <x v="7"/>
    <x v="1"/>
    <x v="1"/>
    <n v="16"/>
    <s v="Poc"/>
    <s v="Pisaster ochraceus"/>
    <s v="Purple sea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24"/>
    <x v="3"/>
    <s v="Claire Attridge"/>
    <x v="6"/>
    <x v="6"/>
    <n v="48.916072999999997"/>
    <n v="-125.131174"/>
    <x v="5"/>
    <n v="3"/>
    <s v="NE"/>
    <d v="1899-12-30T13:03:00"/>
    <x v="7"/>
    <x v="1"/>
    <x v="1"/>
    <n v="16"/>
    <s v="Mfra"/>
    <s v="Mesocentrotus franciscanus"/>
    <s v="Red sea urchin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125"/>
    <x v="3"/>
    <s v="Claire Attridge"/>
    <x v="6"/>
    <x v="6"/>
    <n v="48.916072999999997"/>
    <n v="-125.131174"/>
    <x v="5"/>
    <n v="3"/>
    <s v="NE"/>
    <d v="1899-12-30T13:03:00"/>
    <x v="7"/>
    <x v="1"/>
    <x v="1"/>
    <n v="16"/>
    <s v="dim"/>
    <s v="Dermasterias imbricata"/>
    <s v="Leath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26"/>
    <x v="2"/>
    <s v="Tom Bird"/>
    <x v="7"/>
    <x v="7"/>
    <n v="48.9071"/>
    <n v="-125.03701700000001"/>
    <x v="6"/>
    <n v="1.5"/>
    <s v="SW"/>
    <d v="1899-12-30T10:06:00"/>
    <x v="2"/>
    <x v="1"/>
    <x v="2"/>
    <n v="48"/>
    <s v="Henricia"/>
    <s v="Henricia sp."/>
    <s v="Unidentified blood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27"/>
    <x v="2"/>
    <s v="Tom Bird"/>
    <x v="7"/>
    <x v="7"/>
    <n v="48.9071"/>
    <n v="-125.03701700000001"/>
    <x v="6"/>
    <n v="1.5"/>
    <s v="SW"/>
    <d v="1899-12-30T10:06:00"/>
    <x v="2"/>
    <x v="1"/>
    <x v="2"/>
    <n v="32"/>
    <s v="dim"/>
    <s v="Dermasterias imbricata"/>
    <s v="Leather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28"/>
    <x v="2"/>
    <s v="Tom Bird"/>
    <x v="7"/>
    <x v="7"/>
    <n v="48.9071"/>
    <n v="-125.03701700000001"/>
    <x v="6"/>
    <n v="1.5"/>
    <s v="SW"/>
    <d v="1899-12-30T10:06:00"/>
    <x v="2"/>
    <x v="1"/>
    <x v="2"/>
    <n v="16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29"/>
    <x v="2"/>
    <s v="Tom Bird"/>
    <x v="7"/>
    <x v="7"/>
    <n v="48.9071"/>
    <n v="-125.03701700000001"/>
    <x v="6"/>
    <n v="1.5"/>
    <s v="SW"/>
    <d v="1899-12-30T10:06:00"/>
    <x v="2"/>
    <x v="1"/>
    <x v="2"/>
    <n v="0"/>
    <s v="nsf"/>
    <s v="No species found"/>
    <s v="No specie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"/>
    <x v="2"/>
    <s v="Tom Bird"/>
    <x v="6"/>
    <x v="6"/>
    <n v="48.916072999999997"/>
    <n v="-125.131174"/>
    <x v="6"/>
    <n v="4"/>
    <s v="NE"/>
    <d v="1899-12-30T13:03:00"/>
    <x v="8"/>
    <x v="1"/>
    <x v="1"/>
    <n v="48"/>
    <s v="Mfra"/>
    <s v="Mesocentrotus franciscanus"/>
    <s v="Red sea urchin"/>
    <n v="3"/>
    <n v="0"/>
    <m/>
    <m/>
    <m/>
    <n v="3"/>
    <m/>
    <m/>
    <m/>
    <m/>
    <m/>
    <m/>
    <m/>
    <m/>
    <m/>
    <m/>
    <m/>
    <m/>
    <m/>
    <m/>
    <m/>
    <m/>
    <m/>
    <m/>
    <m/>
    <m/>
    <m/>
    <m/>
    <m/>
    <m/>
  </r>
  <r>
    <n v="131"/>
    <x v="2"/>
    <s v="Tom Bird"/>
    <x v="6"/>
    <x v="6"/>
    <n v="48.916072999999997"/>
    <n v="-125.131174"/>
    <x v="6"/>
    <n v="4"/>
    <s v="NE"/>
    <d v="1899-12-30T13:03:00"/>
    <x v="8"/>
    <x v="1"/>
    <x v="1"/>
    <n v="48"/>
    <s v="Oko"/>
    <s v="Orthasterias koehleri"/>
    <s v="Rainbow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32"/>
    <x v="2"/>
    <s v="Tom Bird"/>
    <x v="6"/>
    <x v="6"/>
    <n v="48.916072999999997"/>
    <n v="-125.131174"/>
    <x v="6"/>
    <n v="4"/>
    <s v="NE"/>
    <d v="1899-12-30T13:03:00"/>
    <x v="8"/>
    <x v="1"/>
    <x v="1"/>
    <n v="40"/>
    <s v="Mfra"/>
    <s v="Mesocentrotus franciscanus"/>
    <s v="Red sea urch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33"/>
    <x v="2"/>
    <s v="Tom Bird"/>
    <x v="6"/>
    <x v="6"/>
    <n v="48.916072999999997"/>
    <n v="-125.131174"/>
    <x v="6"/>
    <n v="4"/>
    <s v="NE"/>
    <d v="1899-12-30T13:03:00"/>
    <x v="8"/>
    <x v="1"/>
    <x v="1"/>
    <n v="40"/>
    <s v="dim"/>
    <s v="Dermasterias imbricata"/>
    <s v="Leath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34"/>
    <x v="2"/>
    <s v="Tom Bird"/>
    <x v="6"/>
    <x v="6"/>
    <n v="48.916072999999997"/>
    <n v="-125.131174"/>
    <x v="6"/>
    <n v="4"/>
    <s v="NE"/>
    <d v="1899-12-30T13:03:00"/>
    <x v="8"/>
    <x v="1"/>
    <x v="1"/>
    <n v="32"/>
    <s v="Mfra"/>
    <s v="Mesocentrotus franciscanus"/>
    <s v="Red sea urchin"/>
    <n v="4"/>
    <n v="0"/>
    <m/>
    <n v="1"/>
    <n v="1"/>
    <n v="2"/>
    <m/>
    <m/>
    <m/>
    <m/>
    <m/>
    <m/>
    <m/>
    <m/>
    <m/>
    <m/>
    <m/>
    <m/>
    <m/>
    <m/>
    <m/>
    <m/>
    <m/>
    <m/>
    <m/>
    <m/>
    <m/>
    <m/>
    <m/>
    <m/>
  </r>
  <r>
    <n v="135"/>
    <x v="2"/>
    <s v="Tom Bird"/>
    <x v="6"/>
    <x v="6"/>
    <n v="48.916072999999997"/>
    <n v="-125.131174"/>
    <x v="6"/>
    <n v="4"/>
    <s v="NE"/>
    <d v="1899-12-30T13:03:00"/>
    <x v="8"/>
    <x v="1"/>
    <x v="1"/>
    <n v="32"/>
    <s v="dim"/>
    <s v="Dermasterias imbricata"/>
    <s v="Leath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36"/>
    <x v="2"/>
    <s v="Tom Bird"/>
    <x v="6"/>
    <x v="6"/>
    <n v="48.916072999999997"/>
    <n v="-125.131174"/>
    <x v="6"/>
    <n v="4"/>
    <s v="NE"/>
    <d v="1899-12-30T13:03:00"/>
    <x v="8"/>
    <x v="1"/>
    <x v="1"/>
    <n v="32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37"/>
    <x v="2"/>
    <s v="Tom Bird"/>
    <x v="6"/>
    <x v="6"/>
    <n v="48.916072999999997"/>
    <n v="-125.131174"/>
    <x v="6"/>
    <n v="4"/>
    <s v="NE"/>
    <d v="1899-12-30T13:03:00"/>
    <x v="8"/>
    <x v="1"/>
    <x v="1"/>
    <n v="24"/>
    <s v="Mfra"/>
    <s v="Mesocentrotus franciscanus"/>
    <s v="Red sea urchin"/>
    <n v="7"/>
    <n v="0"/>
    <m/>
    <m/>
    <n v="3"/>
    <n v="2"/>
    <n v="2"/>
    <m/>
    <m/>
    <m/>
    <m/>
    <m/>
    <m/>
    <m/>
    <m/>
    <m/>
    <m/>
    <m/>
    <m/>
    <m/>
    <m/>
    <m/>
    <m/>
    <m/>
    <m/>
    <m/>
    <m/>
    <m/>
    <m/>
    <m/>
  </r>
  <r>
    <n v="138"/>
    <x v="2"/>
    <s v="Tom Bird"/>
    <x v="6"/>
    <x v="6"/>
    <n v="48.916072999999997"/>
    <n v="-125.131174"/>
    <x v="6"/>
    <n v="4"/>
    <s v="NE"/>
    <d v="1899-12-30T13:03:00"/>
    <x v="8"/>
    <x v="1"/>
    <x v="1"/>
    <n v="24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39"/>
    <x v="2"/>
    <s v="Tom Bird"/>
    <x v="6"/>
    <x v="6"/>
    <n v="48.916072999999997"/>
    <n v="-125.131174"/>
    <x v="6"/>
    <n v="4"/>
    <s v="NE"/>
    <d v="1899-12-30T13:03:00"/>
    <x v="8"/>
    <x v="1"/>
    <x v="1"/>
    <n v="16"/>
    <s v="Mfra"/>
    <s v="Mesocentrotus franciscanus"/>
    <s v="Red sea urchin"/>
    <n v="5"/>
    <n v="0"/>
    <m/>
    <m/>
    <m/>
    <n v="4"/>
    <n v="1"/>
    <m/>
    <m/>
    <m/>
    <m/>
    <m/>
    <m/>
    <m/>
    <m/>
    <m/>
    <m/>
    <m/>
    <m/>
    <m/>
    <m/>
    <m/>
    <m/>
    <m/>
    <m/>
    <m/>
    <m/>
    <m/>
    <m/>
    <m/>
  </r>
  <r>
    <n v="140"/>
    <x v="2"/>
    <s v="Tom Bird"/>
    <x v="6"/>
    <x v="6"/>
    <n v="48.916072999999997"/>
    <n v="-125.131174"/>
    <x v="6"/>
    <n v="4"/>
    <s v="NE"/>
    <d v="1899-12-30T13:03:00"/>
    <x v="8"/>
    <x v="1"/>
    <x v="1"/>
    <n v="8"/>
    <s v="Mfra"/>
    <s v="Mesocentrotus franciscanus"/>
    <s v="Red sea urchin"/>
    <n v="6"/>
    <n v="0"/>
    <m/>
    <n v="2"/>
    <n v="2"/>
    <n v="2"/>
    <m/>
    <m/>
    <m/>
    <m/>
    <m/>
    <m/>
    <m/>
    <m/>
    <m/>
    <m/>
    <m/>
    <m/>
    <m/>
    <m/>
    <m/>
    <m/>
    <m/>
    <m/>
    <m/>
    <m/>
    <m/>
    <m/>
    <m/>
    <m/>
  </r>
  <r>
    <n v="141"/>
    <x v="2"/>
    <s v="Tom Bird"/>
    <x v="6"/>
    <x v="6"/>
    <n v="48.916072999999997"/>
    <n v="-125.131174"/>
    <x v="6"/>
    <n v="4"/>
    <s v="NE"/>
    <d v="1899-12-30T13:03:00"/>
    <x v="8"/>
    <x v="1"/>
    <x v="1"/>
    <n v="0"/>
    <s v="Mfra"/>
    <s v="Mesocentrotus franciscanus"/>
    <s v="Red sea urchin"/>
    <n v="4"/>
    <n v="0"/>
    <m/>
    <m/>
    <m/>
    <n v="2"/>
    <n v="1"/>
    <n v="1"/>
    <m/>
    <m/>
    <m/>
    <m/>
    <m/>
    <m/>
    <m/>
    <m/>
    <m/>
    <m/>
    <m/>
    <m/>
    <m/>
    <m/>
    <m/>
    <m/>
    <m/>
    <m/>
    <m/>
    <m/>
    <m/>
    <m/>
  </r>
  <r>
    <n v="142"/>
    <x v="5"/>
    <s v="Isabelle Cote"/>
    <x v="6"/>
    <x v="6"/>
    <n v="48.916072999999997"/>
    <n v="-125.131174"/>
    <x v="6"/>
    <n v="3"/>
    <s v="NE"/>
    <d v="1899-12-30T13:03:00"/>
    <x v="7"/>
    <x v="1"/>
    <x v="2"/>
    <n v="40"/>
    <s v="Mfra"/>
    <s v="Mesocentrotus franciscanus"/>
    <s v="Red sea urchin"/>
    <n v="5"/>
    <n v="0"/>
    <m/>
    <n v="1"/>
    <n v="2"/>
    <n v="1"/>
    <n v="1"/>
    <m/>
    <m/>
    <m/>
    <m/>
    <m/>
    <m/>
    <m/>
    <m/>
    <m/>
    <m/>
    <m/>
    <m/>
    <m/>
    <m/>
    <m/>
    <m/>
    <m/>
    <m/>
    <m/>
    <m/>
    <m/>
    <m/>
    <m/>
  </r>
  <r>
    <n v="143"/>
    <x v="5"/>
    <s v="Isabelle Cote"/>
    <x v="6"/>
    <x v="6"/>
    <n v="48.916072999999997"/>
    <n v="-125.131174"/>
    <x v="6"/>
    <n v="3"/>
    <s v="NE"/>
    <d v="1899-12-30T13:03:00"/>
    <x v="7"/>
    <x v="1"/>
    <x v="2"/>
    <n v="40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44"/>
    <x v="5"/>
    <s v="Isabelle Cote"/>
    <x v="6"/>
    <x v="6"/>
    <n v="48.916072999999997"/>
    <n v="-125.131174"/>
    <x v="6"/>
    <n v="3"/>
    <s v="NE"/>
    <d v="1899-12-30T13:03:00"/>
    <x v="7"/>
    <x v="1"/>
    <x v="2"/>
    <n v="40"/>
    <s v="Poc"/>
    <s v="Pisaster ochraceus"/>
    <s v="Purple sea star"/>
    <n v="3"/>
    <n v="0"/>
    <m/>
    <m/>
    <m/>
    <m/>
    <m/>
    <n v="1"/>
    <n v="2"/>
    <m/>
    <m/>
    <m/>
    <m/>
    <m/>
    <m/>
    <m/>
    <m/>
    <m/>
    <m/>
    <m/>
    <m/>
    <m/>
    <m/>
    <m/>
    <m/>
    <m/>
    <m/>
    <m/>
    <m/>
    <m/>
  </r>
  <r>
    <n v="145"/>
    <x v="5"/>
    <s v="Isabelle Cote"/>
    <x v="6"/>
    <x v="6"/>
    <n v="48.916072999999997"/>
    <n v="-125.131174"/>
    <x v="6"/>
    <n v="3"/>
    <s v="NE"/>
    <d v="1899-12-30T13:03:00"/>
    <x v="7"/>
    <x v="1"/>
    <x v="2"/>
    <n v="24"/>
    <s v="Mfra"/>
    <s v="Mesocentrotus franciscanus"/>
    <s v="Red sea urchin"/>
    <n v="4"/>
    <n v="0"/>
    <m/>
    <m/>
    <n v="1"/>
    <n v="2"/>
    <n v="1"/>
    <m/>
    <m/>
    <m/>
    <m/>
    <m/>
    <m/>
    <m/>
    <m/>
    <m/>
    <m/>
    <m/>
    <m/>
    <m/>
    <m/>
    <m/>
    <m/>
    <m/>
    <m/>
    <m/>
    <m/>
    <m/>
    <m/>
    <m/>
  </r>
  <r>
    <n v="146"/>
    <x v="5"/>
    <s v="Isabelle Cote"/>
    <x v="6"/>
    <x v="6"/>
    <n v="48.916072999999997"/>
    <n v="-125.131174"/>
    <x v="6"/>
    <n v="3"/>
    <s v="NE"/>
    <d v="1899-12-30T13:03:00"/>
    <x v="7"/>
    <x v="1"/>
    <x v="2"/>
    <n v="24"/>
    <s v="Sdr"/>
    <s v="Strongylocentrotus droebachiensis"/>
    <s v="Northern sea urch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47"/>
    <x v="5"/>
    <s v="Isabelle Cote"/>
    <x v="6"/>
    <x v="6"/>
    <n v="48.916072999999997"/>
    <n v="-125.131174"/>
    <x v="6"/>
    <n v="3"/>
    <s v="NE"/>
    <d v="1899-12-30T13:03:00"/>
    <x v="7"/>
    <x v="1"/>
    <x v="2"/>
    <n v="24"/>
    <s v="Poc"/>
    <s v="Pisaster ochraceus"/>
    <s v="Purple sea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48"/>
    <x v="5"/>
    <s v="Isabelle Cote"/>
    <x v="6"/>
    <x v="6"/>
    <n v="48.916072999999997"/>
    <n v="-125.131174"/>
    <x v="6"/>
    <n v="3"/>
    <s v="NE"/>
    <d v="1899-12-30T13:03:00"/>
    <x v="7"/>
    <x v="1"/>
    <x v="2"/>
    <n v="8"/>
    <s v="Mfra"/>
    <s v="Mesocentrotus franciscanus"/>
    <s v="Red sea urchin"/>
    <n v="4"/>
    <n v="0"/>
    <m/>
    <m/>
    <n v="1"/>
    <n v="1"/>
    <n v="1"/>
    <n v="1"/>
    <m/>
    <m/>
    <m/>
    <m/>
    <m/>
    <m/>
    <m/>
    <m/>
    <m/>
    <m/>
    <m/>
    <m/>
    <m/>
    <m/>
    <m/>
    <m/>
    <m/>
    <m/>
    <m/>
    <m/>
    <m/>
    <m/>
  </r>
  <r>
    <n v="149"/>
    <x v="5"/>
    <s v="Isabelle Cote"/>
    <x v="6"/>
    <x v="6"/>
    <n v="48.916072999999997"/>
    <n v="-125.131174"/>
    <x v="6"/>
    <n v="3"/>
    <s v="NE"/>
    <d v="1899-12-30T13:03:00"/>
    <x v="7"/>
    <x v="1"/>
    <x v="2"/>
    <n v="0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50"/>
    <x v="5"/>
    <s v="Isabelle Cote"/>
    <x v="6"/>
    <x v="6"/>
    <n v="48.916072999999997"/>
    <n v="-125.131174"/>
    <x v="6"/>
    <n v="3"/>
    <s v="NE"/>
    <d v="1899-12-30T13:03:00"/>
    <x v="7"/>
    <x v="1"/>
    <x v="2"/>
    <n v="0"/>
    <s v="Mfra"/>
    <s v="Mesocentrotus franciscanus"/>
    <s v="Red sea urchin"/>
    <n v="3"/>
    <n v="0"/>
    <m/>
    <m/>
    <m/>
    <n v="1"/>
    <n v="2"/>
    <m/>
    <m/>
    <m/>
    <m/>
    <m/>
    <m/>
    <m/>
    <m/>
    <m/>
    <m/>
    <m/>
    <m/>
    <m/>
    <m/>
    <m/>
    <m/>
    <m/>
    <m/>
    <m/>
    <m/>
    <m/>
    <m/>
    <m/>
  </r>
  <r>
    <n v="151"/>
    <x v="4"/>
    <s v="Em Lim"/>
    <x v="6"/>
    <x v="6"/>
    <n v="48.916072999999997"/>
    <n v="-125.131174"/>
    <x v="5"/>
    <n v="4"/>
    <s v="NE"/>
    <d v="1899-12-30T13:03:00"/>
    <x v="8"/>
    <x v="1"/>
    <x v="2"/>
    <n v="40"/>
    <s v="Henricia"/>
    <s v="Henricia s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"/>
    <x v="4"/>
    <s v="Em Lim"/>
    <x v="6"/>
    <x v="6"/>
    <n v="48.916072999999997"/>
    <n v="-125.131174"/>
    <x v="5"/>
    <n v="4"/>
    <s v="NE"/>
    <d v="1899-12-30T13:03:00"/>
    <x v="8"/>
    <x v="1"/>
    <x v="2"/>
    <n v="8"/>
    <s v="dim"/>
    <s v="Dermasterias imbricata"/>
    <s v="Leather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"/>
    <x v="3"/>
    <s v="Tom Bird"/>
    <x v="8"/>
    <x v="8"/>
    <n v="48.835666656494098"/>
    <n v="-125.214797973632"/>
    <x v="7"/>
    <n v="3.5"/>
    <s v="NW"/>
    <d v="1899-12-30T09:58:00"/>
    <x v="9"/>
    <x v="1"/>
    <x v="1"/>
    <n v="0"/>
    <s v="Mfra"/>
    <s v="Mesocentrotus franciscanus"/>
    <s v="Red sea urchin"/>
    <n v="7"/>
    <n v="0"/>
    <m/>
    <m/>
    <n v="3"/>
    <n v="1"/>
    <n v="2"/>
    <n v="1"/>
    <m/>
    <m/>
    <m/>
    <m/>
    <m/>
    <m/>
    <m/>
    <m/>
    <m/>
    <m/>
    <m/>
    <m/>
    <m/>
    <m/>
    <m/>
    <m/>
    <m/>
    <m/>
    <m/>
    <m/>
    <m/>
    <m/>
  </r>
  <r>
    <n v="154"/>
    <x v="3"/>
    <s v="Tom Bird"/>
    <x v="8"/>
    <x v="8"/>
    <n v="48.835666656494098"/>
    <n v="-125.214797973632"/>
    <x v="7"/>
    <n v="3.5"/>
    <s v="NW"/>
    <d v="1899-12-30T09:58:00"/>
    <x v="9"/>
    <x v="1"/>
    <x v="1"/>
    <n v="0"/>
    <s v="Spu"/>
    <s v="Strongylocentrotus purpuratus"/>
    <s v="Purple sea urchin (?)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55"/>
    <x v="3"/>
    <s v="Tom Bird"/>
    <x v="8"/>
    <x v="8"/>
    <n v="48.835666656494098"/>
    <n v="-125.214797973632"/>
    <x v="7"/>
    <n v="3.5"/>
    <s v="NW"/>
    <d v="1899-12-30T09:58:00"/>
    <x v="9"/>
    <x v="1"/>
    <x v="1"/>
    <n v="0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56"/>
    <x v="3"/>
    <s v="Tom Bird"/>
    <x v="8"/>
    <x v="8"/>
    <n v="48.835666656494098"/>
    <n v="-125.214797973632"/>
    <x v="7"/>
    <n v="3.5"/>
    <s v="NW"/>
    <d v="1899-12-30T09:58:00"/>
    <x v="9"/>
    <x v="1"/>
    <x v="2"/>
    <n v="8"/>
    <s v="Mfra"/>
    <s v="Mesocentrotus franciscanus"/>
    <s v="Red sea urchin"/>
    <n v="9"/>
    <n v="0"/>
    <m/>
    <m/>
    <n v="2"/>
    <n v="1"/>
    <n v="3"/>
    <n v="3"/>
    <m/>
    <m/>
    <m/>
    <m/>
    <m/>
    <m/>
    <m/>
    <m/>
    <m/>
    <m/>
    <m/>
    <m/>
    <m/>
    <m/>
    <m/>
    <m/>
    <m/>
    <m/>
    <m/>
    <m/>
    <m/>
    <m/>
  </r>
  <r>
    <n v="157"/>
    <x v="3"/>
    <s v="Tom Bird"/>
    <x v="8"/>
    <x v="8"/>
    <n v="48.835666656494098"/>
    <n v="-125.214797973632"/>
    <x v="7"/>
    <n v="3.5"/>
    <s v="NW"/>
    <d v="1899-12-30T09:58:00"/>
    <x v="9"/>
    <x v="1"/>
    <x v="2"/>
    <n v="8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58"/>
    <x v="3"/>
    <s v="Tom Bird"/>
    <x v="8"/>
    <x v="8"/>
    <n v="48.835666656494098"/>
    <n v="-125.214797973632"/>
    <x v="7"/>
    <n v="3.5"/>
    <s v="NW"/>
    <d v="1899-12-30T09:58:00"/>
    <x v="9"/>
    <x v="1"/>
    <x v="2"/>
    <n v="8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59"/>
    <x v="3"/>
    <s v="Tom Bird"/>
    <x v="8"/>
    <x v="8"/>
    <n v="48.835666656494098"/>
    <n v="-125.214797973632"/>
    <x v="7"/>
    <n v="3.5"/>
    <s v="NW"/>
    <d v="1899-12-30T09:58:00"/>
    <x v="9"/>
    <x v="1"/>
    <x v="1"/>
    <n v="16"/>
    <s v="Mfra"/>
    <s v="Mesocentrotus franciscanus"/>
    <s v="Red sea urchin"/>
    <n v="11"/>
    <n v="0"/>
    <m/>
    <m/>
    <n v="2"/>
    <m/>
    <n v="1"/>
    <n v="7"/>
    <n v="1"/>
    <m/>
    <m/>
    <m/>
    <m/>
    <m/>
    <m/>
    <m/>
    <m/>
    <m/>
    <m/>
    <m/>
    <m/>
    <m/>
    <m/>
    <m/>
    <m/>
    <m/>
    <m/>
    <m/>
    <m/>
    <m/>
  </r>
  <r>
    <n v="160"/>
    <x v="3"/>
    <s v="Tom Bird"/>
    <x v="8"/>
    <x v="8"/>
    <n v="48.835666656494098"/>
    <n v="-125.214797973632"/>
    <x v="7"/>
    <n v="3.5"/>
    <s v="NW"/>
    <d v="1899-12-30T09:58:00"/>
    <x v="9"/>
    <x v="1"/>
    <x v="1"/>
    <n v="16"/>
    <s v="Spu"/>
    <s v="Strongylocentrotus purpuratus"/>
    <s v="Purple sea urchin (?)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61"/>
    <x v="3"/>
    <s v="Tom Bird"/>
    <x v="8"/>
    <x v="8"/>
    <n v="48.835666656494098"/>
    <n v="-125.214797973632"/>
    <x v="7"/>
    <n v="3.5"/>
    <s v="NW"/>
    <d v="1899-12-30T09:58:00"/>
    <x v="9"/>
    <x v="1"/>
    <x v="1"/>
    <n v="16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62"/>
    <x v="3"/>
    <s v="Tom Bird"/>
    <x v="8"/>
    <x v="8"/>
    <n v="48.835666656494098"/>
    <n v="-125.214797973632"/>
    <x v="7"/>
    <n v="3.5"/>
    <s v="NW"/>
    <d v="1899-12-30T09:58:00"/>
    <x v="9"/>
    <x v="1"/>
    <x v="2"/>
    <n v="24"/>
    <s v="Mfra"/>
    <s v="Mesocentrotus franciscanus"/>
    <s v="Red sea urchin"/>
    <n v="8"/>
    <n v="0"/>
    <m/>
    <m/>
    <n v="5"/>
    <m/>
    <n v="1"/>
    <n v="2"/>
    <m/>
    <m/>
    <m/>
    <m/>
    <m/>
    <m/>
    <m/>
    <m/>
    <m/>
    <m/>
    <m/>
    <m/>
    <m/>
    <m/>
    <m/>
    <m/>
    <m/>
    <m/>
    <m/>
    <m/>
    <m/>
    <m/>
  </r>
  <r>
    <n v="163"/>
    <x v="3"/>
    <s v="Tom Bird"/>
    <x v="8"/>
    <x v="8"/>
    <n v="48.835666656494098"/>
    <n v="-125.214797973632"/>
    <x v="7"/>
    <n v="3.5"/>
    <s v="NW"/>
    <d v="1899-12-30T09:58:00"/>
    <x v="9"/>
    <x v="1"/>
    <x v="2"/>
    <n v="24"/>
    <s v="Spu"/>
    <s v="Strongylocentrotus purpuratus"/>
    <s v="Purple sea urchin (?)"/>
    <n v="4"/>
    <n v="0"/>
    <m/>
    <m/>
    <n v="2"/>
    <n v="1"/>
    <n v="1"/>
    <m/>
    <m/>
    <m/>
    <m/>
    <m/>
    <m/>
    <m/>
    <m/>
    <m/>
    <m/>
    <m/>
    <m/>
    <m/>
    <m/>
    <m/>
    <m/>
    <m/>
    <m/>
    <m/>
    <m/>
    <m/>
    <m/>
    <m/>
  </r>
  <r>
    <n v="164"/>
    <x v="3"/>
    <s v="Tom Bird"/>
    <x v="8"/>
    <x v="8"/>
    <n v="48.835666656494098"/>
    <n v="-125.214797973632"/>
    <x v="7"/>
    <n v="3.5"/>
    <s v="NW"/>
    <d v="1899-12-30T09:58:00"/>
    <x v="9"/>
    <x v="1"/>
    <x v="1"/>
    <n v="32"/>
    <s v="Mfra"/>
    <s v="Mesocentrotus franciscanus"/>
    <s v="Red sea urchin"/>
    <n v="9"/>
    <n v="0"/>
    <m/>
    <n v="1"/>
    <n v="2"/>
    <n v="3"/>
    <n v="3"/>
    <m/>
    <m/>
    <m/>
    <m/>
    <m/>
    <m/>
    <m/>
    <m/>
    <m/>
    <m/>
    <m/>
    <m/>
    <m/>
    <m/>
    <m/>
    <m/>
    <m/>
    <m/>
    <m/>
    <m/>
    <m/>
    <m/>
    <m/>
  </r>
  <r>
    <n v="165"/>
    <x v="3"/>
    <s v="Tom Bird"/>
    <x v="8"/>
    <x v="8"/>
    <n v="48.835666656494098"/>
    <n v="-125.214797973632"/>
    <x v="7"/>
    <n v="3.5"/>
    <s v="NW"/>
    <d v="1899-12-30T09:58:00"/>
    <x v="9"/>
    <x v="1"/>
    <x v="1"/>
    <n v="32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66"/>
    <x v="3"/>
    <s v="Tom Bird"/>
    <x v="8"/>
    <x v="8"/>
    <n v="48.835666656494098"/>
    <n v="-125.214797973632"/>
    <x v="7"/>
    <n v="3.5"/>
    <s v="NW"/>
    <d v="1899-12-30T09:58:00"/>
    <x v="9"/>
    <x v="1"/>
    <x v="2"/>
    <n v="40"/>
    <s v="Mfra"/>
    <s v="Mesocentrotus franciscanus"/>
    <s v="Red sea urchin"/>
    <n v="16"/>
    <n v="0"/>
    <m/>
    <n v="3"/>
    <n v="5"/>
    <n v="2"/>
    <n v="5"/>
    <n v="1"/>
    <m/>
    <m/>
    <m/>
    <m/>
    <m/>
    <m/>
    <m/>
    <m/>
    <m/>
    <m/>
    <m/>
    <m/>
    <m/>
    <m/>
    <m/>
    <m/>
    <m/>
    <m/>
    <m/>
    <m/>
    <m/>
    <m/>
  </r>
  <r>
    <n v="167"/>
    <x v="3"/>
    <s v="Tom Bird"/>
    <x v="8"/>
    <x v="8"/>
    <n v="48.835666656494098"/>
    <n v="-125.214797973632"/>
    <x v="7"/>
    <n v="3.5"/>
    <s v="NW"/>
    <d v="1899-12-30T09:58:00"/>
    <x v="9"/>
    <x v="1"/>
    <x v="2"/>
    <n v="40"/>
    <s v="Pmi"/>
    <s v="Patiria miniata"/>
    <s v="Bat star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168"/>
    <x v="3"/>
    <s v="Tom Bird"/>
    <x v="8"/>
    <x v="8"/>
    <n v="48.835666656494098"/>
    <n v="-125.214797973632"/>
    <x v="7"/>
    <n v="3.5"/>
    <s v="NW"/>
    <d v="1899-12-30T09:58:00"/>
    <x v="9"/>
    <x v="1"/>
    <x v="2"/>
    <n v="40"/>
    <s v="Spu"/>
    <s v="Strongylocentrotus purpuratus"/>
    <s v="Purple sea urchin (?)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69"/>
    <x v="3"/>
    <s v="Tom Bird"/>
    <x v="8"/>
    <x v="8"/>
    <n v="48.835666656494098"/>
    <n v="-125.214797973632"/>
    <x v="7"/>
    <n v="3.5"/>
    <s v="NW"/>
    <d v="1899-12-30T09:58:00"/>
    <x v="9"/>
    <x v="1"/>
    <x v="1"/>
    <n v="48"/>
    <s v="Oko"/>
    <s v="Orthasterias koehleri"/>
    <s v="Rainbow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70"/>
    <x v="3"/>
    <s v="Tom Bird"/>
    <x v="8"/>
    <x v="8"/>
    <n v="48.835666656494098"/>
    <n v="-125.214797973632"/>
    <x v="7"/>
    <n v="3.5"/>
    <s v="NW"/>
    <d v="1899-12-30T09:58:00"/>
    <x v="9"/>
    <x v="1"/>
    <x v="1"/>
    <n v="48"/>
    <s v="Mfra"/>
    <s v="Mesocentrotus franciscanus"/>
    <s v="Red sea urchin"/>
    <n v="6"/>
    <n v="0"/>
    <m/>
    <n v="4"/>
    <n v="2"/>
    <m/>
    <m/>
    <m/>
    <m/>
    <m/>
    <m/>
    <m/>
    <m/>
    <m/>
    <m/>
    <m/>
    <m/>
    <m/>
    <m/>
    <m/>
    <m/>
    <m/>
    <m/>
    <m/>
    <m/>
    <m/>
    <m/>
    <m/>
    <m/>
    <m/>
  </r>
  <r>
    <n v="171"/>
    <x v="3"/>
    <s v="Tom Bird"/>
    <x v="8"/>
    <x v="8"/>
    <n v="48.835666656494098"/>
    <n v="-125.214797973632"/>
    <x v="7"/>
    <n v="3.5"/>
    <s v="NW"/>
    <d v="1899-12-30T09:58:00"/>
    <x v="9"/>
    <x v="1"/>
    <x v="1"/>
    <n v="48"/>
    <s v="dim"/>
    <s v="Dermasterias imbricata"/>
    <s v="Leather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72"/>
    <x v="4"/>
    <s v="Isabelle Cote"/>
    <x v="9"/>
    <x v="9"/>
    <n v="48.828948974609297"/>
    <n v="-125.19757080078099"/>
    <x v="7"/>
    <n v="3"/>
    <s v="NE"/>
    <d v="1899-12-30T14:17:00"/>
    <x v="5"/>
    <x v="1"/>
    <x v="2"/>
    <n v="40"/>
    <s v="Mfra"/>
    <s v="Mesocentrotus franciscanus"/>
    <s v="Red sea urchin"/>
    <n v="5"/>
    <n v="0"/>
    <m/>
    <m/>
    <n v="2"/>
    <n v="3"/>
    <m/>
    <m/>
    <m/>
    <m/>
    <m/>
    <m/>
    <m/>
    <m/>
    <m/>
    <m/>
    <m/>
    <m/>
    <m/>
    <m/>
    <m/>
    <m/>
    <m/>
    <m/>
    <m/>
    <m/>
    <m/>
    <m/>
    <m/>
    <m/>
  </r>
  <r>
    <n v="173"/>
    <x v="4"/>
    <s v="Isabelle Cote"/>
    <x v="9"/>
    <x v="9"/>
    <n v="48.828948974609297"/>
    <n v="-125.19757080078099"/>
    <x v="7"/>
    <n v="3"/>
    <s v="NE"/>
    <d v="1899-12-30T14:17:00"/>
    <x v="5"/>
    <x v="1"/>
    <x v="2"/>
    <n v="24"/>
    <s v="Mfra"/>
    <s v="Mesocentrotus franciscanus"/>
    <s v="Red sea urchin"/>
    <n v="5"/>
    <n v="0"/>
    <m/>
    <m/>
    <n v="1"/>
    <n v="3"/>
    <n v="1"/>
    <m/>
    <m/>
    <m/>
    <m/>
    <m/>
    <m/>
    <m/>
    <m/>
    <m/>
    <m/>
    <m/>
    <m/>
    <m/>
    <m/>
    <m/>
    <m/>
    <m/>
    <m/>
    <m/>
    <m/>
    <m/>
    <m/>
    <m/>
  </r>
  <r>
    <n v="174"/>
    <x v="4"/>
    <s v="Isabelle Cote"/>
    <x v="9"/>
    <x v="9"/>
    <n v="48.828948974609297"/>
    <n v="-125.19757080078099"/>
    <x v="7"/>
    <n v="3"/>
    <s v="NE"/>
    <d v="1899-12-30T14:17:00"/>
    <x v="5"/>
    <x v="1"/>
    <x v="2"/>
    <n v="8"/>
    <s v="Mfra"/>
    <s v="Mesocentrotus franciscanus"/>
    <s v="Red sea urchin"/>
    <n v="9"/>
    <n v="0"/>
    <m/>
    <m/>
    <n v="2"/>
    <n v="2"/>
    <n v="2"/>
    <n v="3"/>
    <m/>
    <m/>
    <m/>
    <m/>
    <m/>
    <m/>
    <m/>
    <m/>
    <m/>
    <m/>
    <m/>
    <m/>
    <m/>
    <m/>
    <m/>
    <m/>
    <m/>
    <m/>
    <m/>
    <m/>
    <m/>
    <m/>
  </r>
  <r>
    <n v="175"/>
    <x v="4"/>
    <s v="Isabelle Cote"/>
    <x v="9"/>
    <x v="9"/>
    <n v="48.828948974609297"/>
    <n v="-125.19757080078099"/>
    <x v="7"/>
    <n v="3"/>
    <s v="NE"/>
    <d v="1899-12-30T14:17:00"/>
    <x v="5"/>
    <x v="1"/>
    <x v="1"/>
    <n v="0"/>
    <s v="Pmi"/>
    <s v="Patiria miniata"/>
    <s v="Bat star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176"/>
    <x v="4"/>
    <s v="Isabelle Cote"/>
    <x v="9"/>
    <x v="9"/>
    <n v="48.828948974609297"/>
    <n v="-125.19757080078099"/>
    <x v="7"/>
    <n v="3"/>
    <s v="NE"/>
    <d v="1899-12-30T14:17:00"/>
    <x v="5"/>
    <x v="1"/>
    <x v="1"/>
    <n v="0"/>
    <s v="dim"/>
    <s v="Dermasterias imbricata"/>
    <s v="Leather star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177"/>
    <x v="3"/>
    <s v="Tom Bird"/>
    <x v="9"/>
    <x v="9"/>
    <n v="48.828948974609297"/>
    <n v="-125.19757080078099"/>
    <x v="7"/>
    <n v="3"/>
    <s v="NE"/>
    <d v="1899-12-30T14:17:00"/>
    <x v="5"/>
    <x v="1"/>
    <x v="1"/>
    <n v="48"/>
    <s v="Mfra"/>
    <s v="Mesocentrotus franciscanus"/>
    <s v="Red sea urchin"/>
    <n v="3"/>
    <n v="0"/>
    <m/>
    <m/>
    <m/>
    <n v="1"/>
    <n v="1"/>
    <n v="1"/>
    <m/>
    <m/>
    <m/>
    <m/>
    <m/>
    <m/>
    <m/>
    <m/>
    <m/>
    <m/>
    <m/>
    <m/>
    <m/>
    <m/>
    <m/>
    <m/>
    <m/>
    <m/>
    <m/>
    <m/>
    <m/>
    <m/>
  </r>
  <r>
    <n v="178"/>
    <x v="3"/>
    <s v="Tom Bird"/>
    <x v="9"/>
    <x v="9"/>
    <n v="48.828948974609297"/>
    <n v="-125.19757080078099"/>
    <x v="7"/>
    <n v="3"/>
    <s v="NE"/>
    <d v="1899-12-30T14:17:00"/>
    <x v="5"/>
    <x v="1"/>
    <x v="1"/>
    <n v="32"/>
    <s v="Mfra"/>
    <s v="Mesocentrotus franciscanus"/>
    <s v="Red sea urchin"/>
    <n v="5"/>
    <n v="0"/>
    <m/>
    <n v="1"/>
    <n v="2"/>
    <n v="2"/>
    <m/>
    <m/>
    <m/>
    <m/>
    <m/>
    <m/>
    <m/>
    <m/>
    <m/>
    <m/>
    <m/>
    <m/>
    <m/>
    <m/>
    <m/>
    <m/>
    <m/>
    <m/>
    <m/>
    <m/>
    <m/>
    <m/>
    <m/>
    <m/>
  </r>
  <r>
    <n v="179"/>
    <x v="3"/>
    <s v="Tom Bird"/>
    <x v="9"/>
    <x v="9"/>
    <n v="48.828948974609297"/>
    <n v="-125.19757080078099"/>
    <x v="7"/>
    <n v="3"/>
    <s v="NE"/>
    <d v="1899-12-30T14:17:00"/>
    <x v="5"/>
    <x v="1"/>
    <x v="1"/>
    <n v="16"/>
    <s v="Mfra"/>
    <s v="Mesocentrotus franciscanus"/>
    <s v="Red sea urchin"/>
    <n v="7"/>
    <n v="0"/>
    <m/>
    <m/>
    <n v="2"/>
    <n v="3"/>
    <n v="2"/>
    <m/>
    <m/>
    <m/>
    <m/>
    <m/>
    <m/>
    <m/>
    <m/>
    <m/>
    <m/>
    <m/>
    <m/>
    <m/>
    <m/>
    <m/>
    <m/>
    <m/>
    <m/>
    <m/>
    <m/>
    <m/>
    <m/>
    <m/>
  </r>
  <r>
    <n v="180"/>
    <x v="3"/>
    <s v="Tom Bird"/>
    <x v="10"/>
    <x v="10"/>
    <n v="48.828601837158203"/>
    <n v="-125.221298217773"/>
    <x v="7"/>
    <n v="3"/>
    <s v="W"/>
    <d v="1899-12-30T12:06:00"/>
    <x v="3"/>
    <x v="1"/>
    <x v="1"/>
    <n v="0"/>
    <s v="Pmi"/>
    <s v="Patiria miniata"/>
    <s v="Bat star"/>
    <n v="2"/>
    <n v="0"/>
    <m/>
    <m/>
    <m/>
    <m/>
    <n v="2"/>
    <m/>
    <m/>
    <m/>
    <m/>
    <m/>
    <m/>
    <m/>
    <m/>
    <m/>
    <m/>
    <m/>
    <m/>
    <m/>
    <m/>
    <m/>
    <m/>
    <m/>
    <m/>
    <m/>
    <m/>
    <m/>
    <m/>
    <m/>
  </r>
  <r>
    <n v="181"/>
    <x v="3"/>
    <s v="Tom Bird"/>
    <x v="10"/>
    <x v="10"/>
    <n v="48.828601837158203"/>
    <n v="-125.221298217773"/>
    <x v="7"/>
    <n v="3"/>
    <s v="W"/>
    <d v="1899-12-30T12:06:00"/>
    <x v="3"/>
    <x v="1"/>
    <x v="1"/>
    <n v="0"/>
    <s v="dim"/>
    <s v="Dermasterias imbricata"/>
    <s v="Leath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82"/>
    <x v="3"/>
    <s v="Tom Bird"/>
    <x v="10"/>
    <x v="10"/>
    <n v="48.828601837158203"/>
    <n v="-125.221298217773"/>
    <x v="7"/>
    <n v="3"/>
    <s v="W"/>
    <d v="1899-12-30T12:06:00"/>
    <x v="3"/>
    <x v="1"/>
    <x v="1"/>
    <n v="0"/>
    <s v="Mfra"/>
    <s v="Mesocentrotus franciscanus"/>
    <s v="Red sea urchin"/>
    <n v="6"/>
    <n v="0"/>
    <m/>
    <n v="1"/>
    <n v="2"/>
    <n v="3"/>
    <m/>
    <m/>
    <m/>
    <m/>
    <m/>
    <m/>
    <m/>
    <m/>
    <m/>
    <m/>
    <m/>
    <m/>
    <m/>
    <m/>
    <m/>
    <m/>
    <m/>
    <m/>
    <m/>
    <m/>
    <m/>
    <m/>
    <m/>
    <m/>
  </r>
  <r>
    <n v="183"/>
    <x v="3"/>
    <s v="Tom Bird"/>
    <x v="10"/>
    <x v="10"/>
    <n v="48.828601837158203"/>
    <n v="-125.221298217773"/>
    <x v="7"/>
    <n v="3"/>
    <s v="W"/>
    <d v="1899-12-30T12:06:00"/>
    <x v="3"/>
    <x v="1"/>
    <x v="1"/>
    <n v="0"/>
    <s v="Spu"/>
    <s v="Strongylocentrotus purpuratus"/>
    <s v="Purple sea urchin (?)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84"/>
    <x v="3"/>
    <s v="Tom Bird"/>
    <x v="10"/>
    <x v="10"/>
    <n v="48.828601837158203"/>
    <n v="-125.221298217773"/>
    <x v="7"/>
    <n v="3"/>
    <s v="W"/>
    <d v="1899-12-30T12:06:00"/>
    <x v="3"/>
    <x v="1"/>
    <x v="1"/>
    <n v="0"/>
    <s v="Poc"/>
    <s v="Pisaster ochraceus"/>
    <s v="Purple sea star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85"/>
    <x v="3"/>
    <s v="Tom Bird"/>
    <x v="10"/>
    <x v="10"/>
    <n v="48.828601837158203"/>
    <n v="-125.221298217773"/>
    <x v="7"/>
    <n v="3"/>
    <s v="W"/>
    <d v="1899-12-30T12:06:00"/>
    <x v="3"/>
    <x v="1"/>
    <x v="2"/>
    <n v="8"/>
    <s v="Mfra"/>
    <s v="Mesocentrotus franciscanus"/>
    <s v="Red sea urchin"/>
    <n v="9"/>
    <n v="0"/>
    <m/>
    <m/>
    <n v="3"/>
    <n v="5"/>
    <n v="1"/>
    <m/>
    <m/>
    <m/>
    <m/>
    <m/>
    <m/>
    <m/>
    <m/>
    <m/>
    <m/>
    <m/>
    <m/>
    <m/>
    <m/>
    <m/>
    <m/>
    <m/>
    <m/>
    <m/>
    <m/>
    <m/>
    <m/>
    <m/>
  </r>
  <r>
    <n v="186"/>
    <x v="3"/>
    <s v="Tom Bird"/>
    <x v="10"/>
    <x v="10"/>
    <n v="48.828601837158203"/>
    <n v="-125.221298217773"/>
    <x v="7"/>
    <n v="3"/>
    <s v="W"/>
    <d v="1899-12-30T12:06:00"/>
    <x v="3"/>
    <x v="1"/>
    <x v="2"/>
    <n v="8"/>
    <s v="Poc"/>
    <s v="Pisaster ochraceus"/>
    <s v="Purple sea star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87"/>
    <x v="3"/>
    <s v="Tom Bird"/>
    <x v="10"/>
    <x v="10"/>
    <n v="48.828601837158203"/>
    <n v="-125.221298217773"/>
    <x v="7"/>
    <n v="3"/>
    <s v="W"/>
    <d v="1899-12-30T12:06:00"/>
    <x v="3"/>
    <x v="1"/>
    <x v="1"/>
    <n v="16"/>
    <s v="Mfra"/>
    <s v="Mesocentrotus franciscanus"/>
    <s v="Red sea urchin"/>
    <n v="4"/>
    <n v="0"/>
    <m/>
    <n v="1"/>
    <n v="1"/>
    <n v="2"/>
    <m/>
    <m/>
    <m/>
    <m/>
    <m/>
    <m/>
    <m/>
    <m/>
    <m/>
    <m/>
    <m/>
    <m/>
    <m/>
    <m/>
    <m/>
    <m/>
    <m/>
    <m/>
    <m/>
    <m/>
    <m/>
    <m/>
    <m/>
    <m/>
  </r>
  <r>
    <n v="188"/>
    <x v="3"/>
    <s v="Tom Bird"/>
    <x v="10"/>
    <x v="10"/>
    <n v="48.828601837158203"/>
    <n v="-125.221298217773"/>
    <x v="7"/>
    <n v="3"/>
    <s v="W"/>
    <d v="1899-12-30T12:06:00"/>
    <x v="3"/>
    <x v="1"/>
    <x v="1"/>
    <n v="16"/>
    <s v="Spu"/>
    <s v="Strongylocentrotus purpuratus"/>
    <s v="Purple sea urchin (?)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89"/>
    <x v="3"/>
    <s v="Tom Bird"/>
    <x v="10"/>
    <x v="10"/>
    <n v="48.828601837158203"/>
    <n v="-125.221298217773"/>
    <x v="7"/>
    <n v="3"/>
    <s v="W"/>
    <d v="1899-12-30T12:06:00"/>
    <x v="3"/>
    <x v="1"/>
    <x v="1"/>
    <n v="16"/>
    <s v="Poc"/>
    <s v="Pisaster ochraceus"/>
    <s v="Purple sea star"/>
    <n v="2"/>
    <n v="0"/>
    <m/>
    <m/>
    <m/>
    <m/>
    <m/>
    <m/>
    <m/>
    <n v="1"/>
    <n v="1"/>
    <m/>
    <m/>
    <m/>
    <m/>
    <m/>
    <m/>
    <m/>
    <m/>
    <m/>
    <m/>
    <m/>
    <m/>
    <m/>
    <m/>
    <m/>
    <m/>
    <m/>
    <m/>
    <m/>
  </r>
  <r>
    <n v="190"/>
    <x v="3"/>
    <s v="Tom Bird"/>
    <x v="10"/>
    <x v="10"/>
    <n v="48.828601837158203"/>
    <n v="-125.221298217773"/>
    <x v="7"/>
    <n v="3"/>
    <s v="W"/>
    <d v="1899-12-30T12:06:00"/>
    <x v="3"/>
    <x v="1"/>
    <x v="2"/>
    <n v="24"/>
    <s v="Mfra"/>
    <s v="Mesocentrotus franciscanus"/>
    <s v="Red sea urchin"/>
    <n v="10"/>
    <n v="0"/>
    <m/>
    <n v="2"/>
    <n v="3"/>
    <n v="3"/>
    <n v="2"/>
    <m/>
    <m/>
    <m/>
    <m/>
    <m/>
    <m/>
    <m/>
    <m/>
    <m/>
    <m/>
    <m/>
    <m/>
    <m/>
    <m/>
    <m/>
    <m/>
    <m/>
    <m/>
    <m/>
    <m/>
    <m/>
    <m/>
    <m/>
  </r>
  <r>
    <n v="191"/>
    <x v="3"/>
    <s v="Tom Bird"/>
    <x v="10"/>
    <x v="10"/>
    <n v="48.828601837158203"/>
    <n v="-125.221298217773"/>
    <x v="7"/>
    <n v="3"/>
    <s v="W"/>
    <d v="1899-12-30T12:06:00"/>
    <x v="3"/>
    <x v="1"/>
    <x v="2"/>
    <n v="24"/>
    <s v="Spu"/>
    <s v="Strongylocentrotus purpuratus"/>
    <s v="Purple sea urchin (?)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92"/>
    <x v="3"/>
    <s v="Tom Bird"/>
    <x v="10"/>
    <x v="10"/>
    <n v="48.828601837158203"/>
    <n v="-125.221298217773"/>
    <x v="7"/>
    <n v="3"/>
    <s v="W"/>
    <d v="1899-12-30T12:06:00"/>
    <x v="3"/>
    <x v="1"/>
    <x v="2"/>
    <n v="24"/>
    <s v="Poc"/>
    <s v="Pisaster ochraceus"/>
    <s v="Purple sea star"/>
    <n v="2"/>
    <n v="0"/>
    <m/>
    <m/>
    <m/>
    <m/>
    <m/>
    <m/>
    <n v="1"/>
    <m/>
    <n v="1"/>
    <m/>
    <m/>
    <m/>
    <m/>
    <m/>
    <m/>
    <m/>
    <m/>
    <m/>
    <m/>
    <m/>
    <m/>
    <m/>
    <m/>
    <m/>
    <m/>
    <m/>
    <m/>
    <m/>
  </r>
  <r>
    <n v="193"/>
    <x v="3"/>
    <s v="Tom Bird"/>
    <x v="10"/>
    <x v="10"/>
    <n v="48.828601837158203"/>
    <n v="-125.221298217773"/>
    <x v="7"/>
    <n v="3"/>
    <s v="W"/>
    <d v="1899-12-30T12:06:00"/>
    <x v="3"/>
    <x v="1"/>
    <x v="1"/>
    <n v="32"/>
    <s v="dim"/>
    <s v="Dermasterias imbricata"/>
    <s v="Leather star"/>
    <n v="3"/>
    <n v="0"/>
    <m/>
    <m/>
    <m/>
    <m/>
    <n v="2"/>
    <n v="1"/>
    <m/>
    <m/>
    <m/>
    <m/>
    <m/>
    <m/>
    <m/>
    <m/>
    <m/>
    <m/>
    <m/>
    <m/>
    <m/>
    <m/>
    <m/>
    <m/>
    <m/>
    <m/>
    <m/>
    <m/>
    <m/>
    <m/>
  </r>
  <r>
    <n v="194"/>
    <x v="3"/>
    <s v="Tom Bird"/>
    <x v="10"/>
    <x v="10"/>
    <n v="48.828601837158203"/>
    <n v="-125.221298217773"/>
    <x v="7"/>
    <n v="3"/>
    <s v="W"/>
    <d v="1899-12-30T12:06:00"/>
    <x v="3"/>
    <x v="1"/>
    <x v="1"/>
    <n v="32"/>
    <s v="Poc"/>
    <s v="Pisaster ochraceus"/>
    <s v="Purple sea star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195"/>
    <x v="3"/>
    <s v="Tom Bird"/>
    <x v="10"/>
    <x v="10"/>
    <n v="48.828601837158203"/>
    <n v="-125.221298217773"/>
    <x v="7"/>
    <n v="3"/>
    <s v="W"/>
    <d v="1899-12-30T12:06:00"/>
    <x v="3"/>
    <x v="1"/>
    <x v="1"/>
    <n v="32"/>
    <s v="Mfra"/>
    <s v="Mesocentrotus franciscanus"/>
    <s v="Red sea urchin"/>
    <n v="8"/>
    <n v="0"/>
    <m/>
    <n v="3"/>
    <n v="2"/>
    <n v="1"/>
    <m/>
    <n v="2"/>
    <m/>
    <m/>
    <m/>
    <m/>
    <m/>
    <m/>
    <m/>
    <m/>
    <m/>
    <m/>
    <m/>
    <m/>
    <m/>
    <m/>
    <m/>
    <m/>
    <m/>
    <m/>
    <m/>
    <m/>
    <m/>
    <m/>
  </r>
  <r>
    <n v="196"/>
    <x v="3"/>
    <s v="Tom Bird"/>
    <x v="10"/>
    <x v="10"/>
    <n v="48.828601837158203"/>
    <n v="-125.221298217773"/>
    <x v="7"/>
    <n v="3"/>
    <s v="W"/>
    <d v="1899-12-30T12:06:00"/>
    <x v="3"/>
    <x v="1"/>
    <x v="1"/>
    <n v="32"/>
    <s v="Spu"/>
    <s v="Strongylocentrotus purpuratus"/>
    <s v="Purple sea urchin (?)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97"/>
    <x v="3"/>
    <s v="Tom Bird"/>
    <x v="10"/>
    <x v="10"/>
    <n v="48.828601837158203"/>
    <n v="-125.221298217773"/>
    <x v="7"/>
    <n v="3"/>
    <s v="W"/>
    <d v="1899-12-30T12:06:00"/>
    <x v="3"/>
    <x v="1"/>
    <x v="2"/>
    <n v="40"/>
    <s v="Mfra"/>
    <s v="Mesocentrotus franciscanus"/>
    <s v="Red sea urchin"/>
    <n v="5"/>
    <n v="0"/>
    <m/>
    <n v="1"/>
    <n v="4"/>
    <m/>
    <m/>
    <m/>
    <m/>
    <m/>
    <m/>
    <m/>
    <m/>
    <m/>
    <m/>
    <m/>
    <m/>
    <m/>
    <m/>
    <m/>
    <m/>
    <m/>
    <m/>
    <m/>
    <m/>
    <m/>
    <m/>
    <m/>
    <m/>
    <m/>
  </r>
  <r>
    <n v="198"/>
    <x v="3"/>
    <s v="Tom Bird"/>
    <x v="10"/>
    <x v="10"/>
    <n v="48.828601837158203"/>
    <n v="-125.221298217773"/>
    <x v="7"/>
    <n v="3"/>
    <s v="W"/>
    <d v="1899-12-30T12:06:00"/>
    <x v="3"/>
    <x v="1"/>
    <x v="2"/>
    <n v="48"/>
    <s v="Mfra"/>
    <s v="Mesocentrotus franciscanus"/>
    <s v="Red sea urchin"/>
    <n v="5"/>
    <n v="0"/>
    <m/>
    <n v="1"/>
    <n v="3"/>
    <n v="1"/>
    <m/>
    <m/>
    <m/>
    <m/>
    <m/>
    <m/>
    <m/>
    <m/>
    <m/>
    <m/>
    <m/>
    <m/>
    <m/>
    <m/>
    <m/>
    <m/>
    <m/>
    <m/>
    <m/>
    <m/>
    <m/>
    <m/>
    <m/>
    <m/>
  </r>
  <r>
    <n v="199"/>
    <x v="5"/>
    <s v="Em Lim"/>
    <x v="9"/>
    <x v="9"/>
    <n v="48.828948974609297"/>
    <n v="-125.19757080078099"/>
    <x v="8"/>
    <n v="3"/>
    <s v="NE"/>
    <d v="1899-12-30T14:17:00"/>
    <x v="10"/>
    <x v="1"/>
    <x v="2"/>
    <n v="40"/>
    <s v="Mfra"/>
    <s v="Mesocentrotus franciscanus"/>
    <s v="Red sea urchin"/>
    <n v="4"/>
    <n v="0"/>
    <m/>
    <m/>
    <m/>
    <n v="2"/>
    <n v="2"/>
    <m/>
    <m/>
    <m/>
    <m/>
    <m/>
    <m/>
    <m/>
    <m/>
    <m/>
    <m/>
    <m/>
    <m/>
    <m/>
    <m/>
    <m/>
    <m/>
    <m/>
    <m/>
    <m/>
    <m/>
    <m/>
    <m/>
    <m/>
  </r>
  <r>
    <n v="200"/>
    <x v="5"/>
    <s v="Em Lim"/>
    <x v="9"/>
    <x v="9"/>
    <n v="48.828948974609297"/>
    <n v="-125.19757080078099"/>
    <x v="8"/>
    <n v="3"/>
    <s v="NE"/>
    <d v="1899-12-30T14:17:00"/>
    <x v="10"/>
    <x v="1"/>
    <x v="2"/>
    <n v="24"/>
    <s v="Mfra"/>
    <s v="Mesocentrotus franciscanus"/>
    <s v="Red sea urchin"/>
    <n v="4"/>
    <n v="0"/>
    <m/>
    <m/>
    <m/>
    <n v="3"/>
    <n v="1"/>
    <m/>
    <m/>
    <m/>
    <m/>
    <m/>
    <m/>
    <m/>
    <m/>
    <m/>
    <m/>
    <m/>
    <m/>
    <m/>
    <m/>
    <m/>
    <m/>
    <m/>
    <m/>
    <m/>
    <m/>
    <m/>
    <m/>
    <m/>
  </r>
  <r>
    <n v="201"/>
    <x v="5"/>
    <s v="Em Lim"/>
    <x v="9"/>
    <x v="9"/>
    <n v="48.828948974609297"/>
    <n v="-125.19757080078099"/>
    <x v="8"/>
    <n v="3"/>
    <s v="NE"/>
    <d v="1899-12-30T14:17:00"/>
    <x v="10"/>
    <x v="1"/>
    <x v="2"/>
    <n v="24"/>
    <s v="Poc"/>
    <s v="Pisaster ochraceus"/>
    <s v="Purple sea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202"/>
    <x v="5"/>
    <s v="Em Lim"/>
    <x v="9"/>
    <x v="9"/>
    <n v="48.828948974609297"/>
    <n v="-125.19757080078099"/>
    <x v="8"/>
    <n v="3"/>
    <s v="NE"/>
    <d v="1899-12-30T14:17:00"/>
    <x v="10"/>
    <x v="1"/>
    <x v="2"/>
    <n v="8"/>
    <s v="Mfra"/>
    <s v="Mesocentrotus franciscanus"/>
    <s v="Red sea urchin"/>
    <n v="7"/>
    <n v="0"/>
    <m/>
    <m/>
    <m/>
    <n v="4"/>
    <n v="2"/>
    <n v="1"/>
    <m/>
    <m/>
    <m/>
    <m/>
    <m/>
    <m/>
    <m/>
    <m/>
    <m/>
    <m/>
    <m/>
    <m/>
    <m/>
    <m/>
    <m/>
    <m/>
    <m/>
    <m/>
    <m/>
    <m/>
    <m/>
    <m/>
  </r>
  <r>
    <n v="203"/>
    <x v="5"/>
    <s v="Em Lim"/>
    <x v="9"/>
    <x v="9"/>
    <n v="48.828948974609297"/>
    <n v="-125.19757080078099"/>
    <x v="8"/>
    <n v="3"/>
    <s v="NE"/>
    <d v="1899-12-30T14:17:00"/>
    <x v="10"/>
    <x v="1"/>
    <x v="1"/>
    <n v="0"/>
    <s v="Mfra"/>
    <s v="Mesocentrotus franciscanus"/>
    <s v="Red sea urchin"/>
    <n v="4"/>
    <n v="0"/>
    <m/>
    <m/>
    <m/>
    <n v="1"/>
    <n v="2"/>
    <n v="1"/>
    <m/>
    <m/>
    <m/>
    <m/>
    <m/>
    <m/>
    <m/>
    <m/>
    <m/>
    <m/>
    <m/>
    <m/>
    <m/>
    <m/>
    <m/>
    <m/>
    <m/>
    <m/>
    <m/>
    <m/>
    <m/>
    <m/>
  </r>
  <r>
    <n v="204"/>
    <x v="2"/>
    <s v="Claire Attridge"/>
    <x v="9"/>
    <x v="9"/>
    <n v="48.828948974609297"/>
    <n v="-125.19757080078099"/>
    <x v="8"/>
    <n v="3"/>
    <s v="NE"/>
    <d v="1899-12-30T14:17:00"/>
    <x v="10"/>
    <x v="1"/>
    <x v="1"/>
    <n v="48"/>
    <s v="Mfra"/>
    <s v="Mesocentrotus franciscanus"/>
    <s v="Red sea urchin"/>
    <n v="10"/>
    <n v="0"/>
    <m/>
    <n v="2"/>
    <n v="3"/>
    <n v="4"/>
    <n v="1"/>
    <m/>
    <m/>
    <m/>
    <m/>
    <m/>
    <m/>
    <m/>
    <m/>
    <m/>
    <m/>
    <m/>
    <m/>
    <m/>
    <m/>
    <m/>
    <m/>
    <m/>
    <m/>
    <m/>
    <m/>
    <m/>
    <m/>
    <m/>
  </r>
  <r>
    <n v="205"/>
    <x v="2"/>
    <s v="Claire Attridge"/>
    <x v="9"/>
    <x v="9"/>
    <n v="48.828948974609297"/>
    <n v="-125.19757080078099"/>
    <x v="8"/>
    <n v="3"/>
    <s v="NE"/>
    <d v="1899-12-30T14:17:00"/>
    <x v="10"/>
    <x v="1"/>
    <x v="1"/>
    <n v="32"/>
    <s v="Mfra"/>
    <s v="Mesocentrotus franciscanus"/>
    <s v="Red sea urchin"/>
    <n v="8"/>
    <n v="0"/>
    <m/>
    <m/>
    <n v="3"/>
    <n v="5"/>
    <m/>
    <m/>
    <m/>
    <m/>
    <m/>
    <m/>
    <m/>
    <m/>
    <m/>
    <m/>
    <m/>
    <m/>
    <m/>
    <m/>
    <m/>
    <m/>
    <m/>
    <m/>
    <m/>
    <m/>
    <m/>
    <m/>
    <m/>
    <m/>
  </r>
  <r>
    <n v="206"/>
    <x v="2"/>
    <s v="Claire Attridge"/>
    <x v="9"/>
    <x v="9"/>
    <n v="48.828948974609297"/>
    <n v="-125.19757080078099"/>
    <x v="8"/>
    <n v="3"/>
    <s v="NE"/>
    <d v="1899-12-30T14:17:00"/>
    <x v="10"/>
    <x v="1"/>
    <x v="1"/>
    <n v="16"/>
    <s v="Mfra"/>
    <s v="Mesocentrotus franciscanus"/>
    <s v="Red sea urchin"/>
    <n v="7"/>
    <n v="0"/>
    <m/>
    <n v="2"/>
    <n v="3"/>
    <n v="1"/>
    <n v="1"/>
    <m/>
    <m/>
    <m/>
    <m/>
    <m/>
    <m/>
    <m/>
    <m/>
    <m/>
    <m/>
    <m/>
    <m/>
    <m/>
    <m/>
    <m/>
    <m/>
    <m/>
    <m/>
    <m/>
    <m/>
    <m/>
    <m/>
    <m/>
  </r>
  <r>
    <n v="207"/>
    <x v="2"/>
    <s v="Claire Attridge"/>
    <x v="9"/>
    <x v="9"/>
    <n v="48.828948974609297"/>
    <n v="-125.19757080078099"/>
    <x v="8"/>
    <n v="3"/>
    <s v="NE"/>
    <d v="1899-12-30T14:17:00"/>
    <x v="10"/>
    <x v="1"/>
    <x v="1"/>
    <n v="16"/>
    <s v="Poc"/>
    <s v="Pisaster ochraceus"/>
    <s v="Purple sea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08"/>
    <x v="2"/>
    <s v="Claire Attridge"/>
    <x v="9"/>
    <x v="9"/>
    <n v="48.828948974609297"/>
    <n v="-125.19757080078099"/>
    <x v="8"/>
    <n v="3"/>
    <s v="NE"/>
    <d v="1899-12-30T14:17:00"/>
    <x v="10"/>
    <x v="1"/>
    <x v="1"/>
    <n v="16"/>
    <s v="dim"/>
    <s v="Dermasterias imbricata"/>
    <s v="Leather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09"/>
    <x v="2"/>
    <s v="Claire Attridge"/>
    <x v="9"/>
    <x v="9"/>
    <n v="48.828948974609297"/>
    <n v="-125.19757080078099"/>
    <x v="8"/>
    <n v="3"/>
    <s v="NE"/>
    <d v="1899-12-30T14:17:00"/>
    <x v="10"/>
    <x v="1"/>
    <x v="1"/>
    <n v="16"/>
    <s v="sfo"/>
    <s v="Stylasterias forreri"/>
    <s v="Velcro sea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10"/>
    <x v="3"/>
    <s v="Tom Bird"/>
    <x v="11"/>
    <x v="11"/>
    <n v="48.857467651367102"/>
    <n v="-125.158233642578"/>
    <x v="9"/>
    <n v="1.5"/>
    <s v="SW"/>
    <d v="1899-12-30T11:48:00"/>
    <x v="10"/>
    <x v="1"/>
    <x v="1"/>
    <n v="48"/>
    <s v="Mfra"/>
    <s v="Mesocentrotus franciscanus"/>
    <s v="Red sea urchin"/>
    <n v="22"/>
    <n v="0"/>
    <n v="2"/>
    <n v="13"/>
    <n v="6"/>
    <n v="1"/>
    <m/>
    <m/>
    <m/>
    <m/>
    <m/>
    <m/>
    <m/>
    <m/>
    <m/>
    <m/>
    <m/>
    <m/>
    <m/>
    <m/>
    <m/>
    <m/>
    <m/>
    <m/>
    <m/>
    <m/>
    <m/>
    <m/>
    <m/>
    <m/>
  </r>
  <r>
    <n v="211"/>
    <x v="3"/>
    <s v="Tom Bird"/>
    <x v="11"/>
    <x v="11"/>
    <n v="48.857467651367102"/>
    <n v="-125.158233642578"/>
    <x v="9"/>
    <n v="1.5"/>
    <s v="SW"/>
    <d v="1899-12-30T11:48:00"/>
    <x v="10"/>
    <x v="1"/>
    <x v="1"/>
    <n v="32"/>
    <s v="Mfra"/>
    <s v="Mesocentrotus franciscanus"/>
    <s v="Red sea urchin"/>
    <n v="16"/>
    <n v="0"/>
    <n v="1"/>
    <n v="13"/>
    <n v="2"/>
    <m/>
    <m/>
    <m/>
    <m/>
    <m/>
    <m/>
    <m/>
    <m/>
    <m/>
    <m/>
    <m/>
    <m/>
    <m/>
    <m/>
    <m/>
    <m/>
    <m/>
    <m/>
    <m/>
    <m/>
    <m/>
    <m/>
    <m/>
    <m/>
    <m/>
  </r>
  <r>
    <n v="212"/>
    <x v="3"/>
    <s v="Tom Bird"/>
    <x v="11"/>
    <x v="11"/>
    <n v="48.857467651367102"/>
    <n v="-125.158233642578"/>
    <x v="9"/>
    <n v="1.5"/>
    <s v="SW"/>
    <d v="1899-12-30T11:48:00"/>
    <x v="10"/>
    <x v="1"/>
    <x v="1"/>
    <n v="16"/>
    <s v="Mfra"/>
    <s v="Mesocentrotus franciscanus"/>
    <s v="Red sea urchin"/>
    <n v="11"/>
    <n v="0"/>
    <n v="1"/>
    <n v="6"/>
    <n v="2"/>
    <n v="2"/>
    <m/>
    <m/>
    <m/>
    <m/>
    <m/>
    <m/>
    <m/>
    <m/>
    <m/>
    <m/>
    <m/>
    <m/>
    <m/>
    <m/>
    <m/>
    <m/>
    <m/>
    <m/>
    <m/>
    <m/>
    <m/>
    <m/>
    <m/>
    <m/>
  </r>
  <r>
    <n v="213"/>
    <x v="3"/>
    <s v="Tom Bird"/>
    <x v="12"/>
    <x v="12"/>
    <n v="48.858283996582003"/>
    <n v="-125.160919189453"/>
    <x v="9"/>
    <n v="2"/>
    <s v="SW"/>
    <d v="1899-12-30T09:29:00"/>
    <x v="11"/>
    <x v="1"/>
    <x v="1"/>
    <n v="48"/>
    <s v="Mfra"/>
    <s v="Mesocentrotus franciscanus"/>
    <s v="Red sea urchin"/>
    <n v="9"/>
    <n v="0"/>
    <m/>
    <n v="4"/>
    <n v="1"/>
    <n v="3"/>
    <n v="1"/>
    <m/>
    <m/>
    <m/>
    <m/>
    <m/>
    <m/>
    <m/>
    <m/>
    <m/>
    <m/>
    <m/>
    <m/>
    <m/>
    <m/>
    <m/>
    <m/>
    <m/>
    <m/>
    <m/>
    <m/>
    <m/>
    <m/>
    <m/>
  </r>
  <r>
    <n v="214"/>
    <x v="3"/>
    <s v="Tom Bird"/>
    <x v="12"/>
    <x v="12"/>
    <n v="48.858283996582003"/>
    <n v="-125.160919189453"/>
    <x v="9"/>
    <n v="2"/>
    <s v="SW"/>
    <d v="1899-12-30T09:29:00"/>
    <x v="11"/>
    <x v="1"/>
    <x v="1"/>
    <n v="32"/>
    <s v="Mfra"/>
    <s v="Mesocentrotus franciscanus"/>
    <s v="Red sea urchin"/>
    <n v="6"/>
    <n v="0"/>
    <m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215"/>
    <x v="3"/>
    <s v="Tom Bird"/>
    <x v="12"/>
    <x v="12"/>
    <n v="48.858283996582003"/>
    <n v="-125.160919189453"/>
    <x v="9"/>
    <n v="2"/>
    <s v="SW"/>
    <d v="1899-12-30T09:29:00"/>
    <x v="11"/>
    <x v="1"/>
    <x v="1"/>
    <n v="16"/>
    <s v="Mfra"/>
    <s v="Mesocentrotus franciscanus"/>
    <s v="Red sea urchin"/>
    <n v="3"/>
    <n v="0"/>
    <m/>
    <m/>
    <m/>
    <n v="2"/>
    <n v="1"/>
    <m/>
    <m/>
    <m/>
    <m/>
    <m/>
    <m/>
    <m/>
    <m/>
    <m/>
    <m/>
    <m/>
    <m/>
    <m/>
    <m/>
    <m/>
    <m/>
    <m/>
    <m/>
    <m/>
    <m/>
    <m/>
    <m/>
    <m/>
  </r>
  <r>
    <n v="216"/>
    <x v="3"/>
    <s v="Tom Bird"/>
    <x v="13"/>
    <x v="13"/>
    <n v="48.870517730712798"/>
    <n v="-125.160346984863"/>
    <x v="9"/>
    <n v="2"/>
    <s v="W"/>
    <d v="1899-12-30T14:06:00"/>
    <x v="12"/>
    <x v="1"/>
    <x v="1"/>
    <n v="0"/>
    <s v="Mfra"/>
    <s v="Mesocentrotus franciscanus"/>
    <s v="Red sea urchin"/>
    <n v="6"/>
    <n v="0"/>
    <m/>
    <m/>
    <m/>
    <n v="2"/>
    <n v="3"/>
    <n v="1"/>
    <m/>
    <m/>
    <m/>
    <m/>
    <m/>
    <m/>
    <m/>
    <m/>
    <m/>
    <m/>
    <m/>
    <m/>
    <m/>
    <m/>
    <m/>
    <m/>
    <m/>
    <m/>
    <m/>
    <m/>
    <m/>
    <m/>
  </r>
  <r>
    <n v="217"/>
    <x v="3"/>
    <s v="Tom Bird"/>
    <x v="13"/>
    <x v="13"/>
    <n v="48.870517730712798"/>
    <n v="-125.160346984863"/>
    <x v="9"/>
    <n v="2"/>
    <s v="W"/>
    <d v="1899-12-30T14:06:00"/>
    <x v="12"/>
    <x v="1"/>
    <x v="1"/>
    <n v="0"/>
    <s v="dim"/>
    <s v="Dermasterias imbricata"/>
    <s v="Leather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18"/>
    <x v="3"/>
    <s v="Tom Bird"/>
    <x v="13"/>
    <x v="13"/>
    <n v="48.870517730712798"/>
    <n v="-125.160346984863"/>
    <x v="9"/>
    <n v="2"/>
    <s v="W"/>
    <d v="1899-12-30T14:06:00"/>
    <x v="12"/>
    <x v="1"/>
    <x v="2"/>
    <n v="8"/>
    <s v="Mfra"/>
    <s v="Mesocentrotus franciscanus"/>
    <s v="Red sea urchin"/>
    <n v="5"/>
    <n v="0"/>
    <n v="1"/>
    <m/>
    <n v="1"/>
    <m/>
    <m/>
    <n v="3"/>
    <m/>
    <m/>
    <m/>
    <m/>
    <m/>
    <m/>
    <m/>
    <m/>
    <m/>
    <m/>
    <m/>
    <m/>
    <m/>
    <m/>
    <m/>
    <m/>
    <m/>
    <m/>
    <m/>
    <m/>
    <m/>
    <m/>
  </r>
  <r>
    <n v="219"/>
    <x v="3"/>
    <s v="Tom Bird"/>
    <x v="13"/>
    <x v="13"/>
    <n v="48.870517730712798"/>
    <n v="-125.160346984863"/>
    <x v="9"/>
    <n v="2"/>
    <s v="W"/>
    <d v="1899-12-30T14:06:00"/>
    <x v="12"/>
    <x v="1"/>
    <x v="2"/>
    <n v="8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20"/>
    <x v="3"/>
    <s v="Tom Bird"/>
    <x v="13"/>
    <x v="13"/>
    <n v="48.870517730712798"/>
    <n v="-125.160346984863"/>
    <x v="9"/>
    <n v="2"/>
    <s v="W"/>
    <d v="1899-12-30T14:06:00"/>
    <x v="12"/>
    <x v="1"/>
    <x v="2"/>
    <n v="16"/>
    <s v="Mfra"/>
    <s v="Mesocentrotus franciscanus"/>
    <s v="Red sea urchin"/>
    <n v="3"/>
    <n v="0"/>
    <m/>
    <m/>
    <m/>
    <n v="3"/>
    <m/>
    <m/>
    <m/>
    <m/>
    <m/>
    <m/>
    <m/>
    <m/>
    <m/>
    <m/>
    <m/>
    <m/>
    <m/>
    <m/>
    <m/>
    <m/>
    <m/>
    <m/>
    <m/>
    <m/>
    <m/>
    <m/>
    <m/>
    <m/>
  </r>
  <r>
    <n v="221"/>
    <x v="3"/>
    <s v="Tom Bird"/>
    <x v="13"/>
    <x v="13"/>
    <n v="48.870517730712798"/>
    <n v="-125.160346984863"/>
    <x v="9"/>
    <n v="2"/>
    <s v="W"/>
    <d v="1899-12-30T14:06:00"/>
    <x v="12"/>
    <x v="1"/>
    <x v="2"/>
    <n v="24"/>
    <s v="Mfra"/>
    <s v="Mesocentrotus franciscanus"/>
    <s v="Red sea urchin"/>
    <n v="3"/>
    <n v="0"/>
    <m/>
    <m/>
    <n v="1"/>
    <n v="2"/>
    <m/>
    <m/>
    <m/>
    <m/>
    <m/>
    <m/>
    <m/>
    <m/>
    <m/>
    <m/>
    <m/>
    <m/>
    <m/>
    <m/>
    <m/>
    <m/>
    <m/>
    <m/>
    <m/>
    <m/>
    <m/>
    <m/>
    <m/>
    <m/>
  </r>
  <r>
    <n v="222"/>
    <x v="3"/>
    <s v="Tom Bird"/>
    <x v="13"/>
    <x v="13"/>
    <n v="48.870517730712798"/>
    <n v="-125.160346984863"/>
    <x v="9"/>
    <n v="2"/>
    <s v="W"/>
    <d v="1899-12-30T14:06:00"/>
    <x v="12"/>
    <x v="1"/>
    <x v="2"/>
    <n v="32"/>
    <s v="Mfra"/>
    <s v="Mesocentrotus franciscanus"/>
    <s v="Red sea urchin"/>
    <n v="5"/>
    <n v="0"/>
    <m/>
    <m/>
    <n v="2"/>
    <n v="2"/>
    <n v="1"/>
    <m/>
    <m/>
    <m/>
    <m/>
    <m/>
    <m/>
    <m/>
    <m/>
    <m/>
    <m/>
    <m/>
    <m/>
    <m/>
    <m/>
    <m/>
    <m/>
    <m/>
    <m/>
    <m/>
    <m/>
    <m/>
    <m/>
    <m/>
  </r>
  <r>
    <n v="223"/>
    <x v="3"/>
    <s v="Tom Bird"/>
    <x v="13"/>
    <x v="13"/>
    <n v="48.870517730712798"/>
    <n v="-125.160346984863"/>
    <x v="9"/>
    <n v="2"/>
    <s v="W"/>
    <d v="1899-12-30T14:06:00"/>
    <x v="12"/>
    <x v="1"/>
    <x v="2"/>
    <n v="32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24"/>
    <x v="3"/>
    <s v="Tom Bird"/>
    <x v="13"/>
    <x v="13"/>
    <n v="48.870517730712798"/>
    <n v="-125.160346984863"/>
    <x v="9"/>
    <n v="2"/>
    <s v="W"/>
    <d v="1899-12-30T14:06:00"/>
    <x v="12"/>
    <x v="1"/>
    <x v="2"/>
    <n v="40"/>
    <s v="Mfra"/>
    <s v="Mesocentrotus franciscanus"/>
    <s v="Red sea urch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25"/>
    <x v="3"/>
    <s v="Tom Bird"/>
    <x v="13"/>
    <x v="13"/>
    <n v="48.870517730712798"/>
    <n v="-125.160346984863"/>
    <x v="9"/>
    <n v="2"/>
    <s v="W"/>
    <d v="1899-12-30T14:06:00"/>
    <x v="12"/>
    <x v="1"/>
    <x v="2"/>
    <n v="40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26"/>
    <x v="3"/>
    <s v="Tom Bird"/>
    <x v="13"/>
    <x v="13"/>
    <n v="48.870517730712798"/>
    <n v="-125.160346984863"/>
    <x v="9"/>
    <n v="2"/>
    <s v="W"/>
    <d v="1899-12-30T14:06:00"/>
    <x v="12"/>
    <x v="1"/>
    <x v="2"/>
    <n v="48"/>
    <s v="Mfra"/>
    <s v="Mesocentrotus franciscanus"/>
    <s v="Red sea urchin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227"/>
    <x v="5"/>
    <s v="Em Lim"/>
    <x v="12"/>
    <x v="12"/>
    <n v="48.858283996582003"/>
    <n v="-125.160919189453"/>
    <x v="9"/>
    <n v="2.5"/>
    <s v="NE"/>
    <d v="1899-12-30T09:29:00"/>
    <x v="12"/>
    <x v="1"/>
    <x v="2"/>
    <n v="40"/>
    <s v="Mfra"/>
    <s v="Mesocentrotus franciscanus"/>
    <s v="Red sea urchin"/>
    <n v="7"/>
    <n v="0"/>
    <m/>
    <m/>
    <n v="2"/>
    <n v="4"/>
    <n v="1"/>
    <m/>
    <m/>
    <m/>
    <m/>
    <m/>
    <m/>
    <m/>
    <m/>
    <m/>
    <m/>
    <m/>
    <m/>
    <m/>
    <m/>
    <m/>
    <m/>
    <m/>
    <m/>
    <m/>
    <m/>
    <m/>
    <m/>
    <m/>
  </r>
  <r>
    <n v="228"/>
    <x v="5"/>
    <s v="Em Lim"/>
    <x v="12"/>
    <x v="12"/>
    <n v="48.858283996582003"/>
    <n v="-125.160919189453"/>
    <x v="9"/>
    <n v="2.5"/>
    <s v="NE"/>
    <d v="1899-12-30T09:29:00"/>
    <x v="12"/>
    <x v="1"/>
    <x v="2"/>
    <n v="24"/>
    <s v="Mfra"/>
    <s v="Mesocentrotus franciscanus"/>
    <s v="Red sea urchin"/>
    <n v="7"/>
    <n v="0"/>
    <m/>
    <n v="1"/>
    <m/>
    <n v="2"/>
    <n v="4"/>
    <m/>
    <m/>
    <m/>
    <m/>
    <m/>
    <m/>
    <m/>
    <m/>
    <m/>
    <m/>
    <m/>
    <m/>
    <m/>
    <m/>
    <m/>
    <m/>
    <m/>
    <m/>
    <m/>
    <m/>
    <m/>
    <m/>
    <m/>
  </r>
  <r>
    <n v="229"/>
    <x v="5"/>
    <s v="Em Lim"/>
    <x v="12"/>
    <x v="12"/>
    <n v="48.858283996582003"/>
    <n v="-125.160919189453"/>
    <x v="9"/>
    <n v="2.5"/>
    <s v="NE"/>
    <d v="1899-12-30T09:29:00"/>
    <x v="12"/>
    <x v="1"/>
    <x v="2"/>
    <n v="8"/>
    <s v="Mfra"/>
    <s v="Mesocentrotus franciscanus"/>
    <s v="Red sea urchin"/>
    <n v="7"/>
    <n v="0"/>
    <n v="1"/>
    <m/>
    <n v="2"/>
    <m/>
    <n v="2"/>
    <n v="2"/>
    <m/>
    <m/>
    <m/>
    <m/>
    <m/>
    <m/>
    <m/>
    <m/>
    <m/>
    <m/>
    <m/>
    <m/>
    <m/>
    <m/>
    <m/>
    <m/>
    <m/>
    <m/>
    <m/>
    <m/>
    <m/>
    <m/>
  </r>
  <r>
    <n v="230"/>
    <x v="5"/>
    <s v="Em Lim"/>
    <x v="12"/>
    <x v="12"/>
    <n v="48.858283996582003"/>
    <n v="-125.160919189453"/>
    <x v="9"/>
    <n v="2.5"/>
    <s v="NE"/>
    <d v="1899-12-30T09:29:00"/>
    <x v="12"/>
    <x v="1"/>
    <x v="2"/>
    <n v="0"/>
    <s v="Mfra"/>
    <s v="Mesocentrotus franciscanus"/>
    <s v="Red sea urchin"/>
    <n v="8"/>
    <n v="0"/>
    <m/>
    <m/>
    <n v="1"/>
    <n v="4"/>
    <n v="2"/>
    <n v="1"/>
    <m/>
    <m/>
    <m/>
    <m/>
    <m/>
    <m/>
    <m/>
    <m/>
    <m/>
    <m/>
    <m/>
    <m/>
    <m/>
    <m/>
    <m/>
    <m/>
    <m/>
    <m/>
    <m/>
    <m/>
    <m/>
    <m/>
  </r>
  <r>
    <n v="231"/>
    <x v="5"/>
    <s v="Em Lim"/>
    <x v="11"/>
    <x v="11"/>
    <n v="48.857467651367102"/>
    <n v="-125.158233642578"/>
    <x v="9"/>
    <n v="1.5"/>
    <s v="SW"/>
    <d v="1899-12-30T11:48:00"/>
    <x v="1"/>
    <x v="1"/>
    <x v="2"/>
    <n v="40"/>
    <s v="Mfra"/>
    <s v="Mesocentrotus franciscanus"/>
    <s v="Red sea urchin"/>
    <n v="11"/>
    <n v="0"/>
    <n v="3"/>
    <n v="5"/>
    <n v="3"/>
    <m/>
    <m/>
    <m/>
    <m/>
    <m/>
    <m/>
    <m/>
    <m/>
    <m/>
    <m/>
    <m/>
    <m/>
    <m/>
    <m/>
    <m/>
    <m/>
    <m/>
    <m/>
    <m/>
    <m/>
    <m/>
    <m/>
    <m/>
    <m/>
    <m/>
  </r>
  <r>
    <n v="232"/>
    <x v="5"/>
    <s v="Em Lim"/>
    <x v="11"/>
    <x v="11"/>
    <n v="48.857467651367102"/>
    <n v="-125.158233642578"/>
    <x v="9"/>
    <n v="1.5"/>
    <s v="SW"/>
    <d v="1899-12-30T11:48:00"/>
    <x v="1"/>
    <x v="1"/>
    <x v="2"/>
    <n v="8"/>
    <s v="Mfra"/>
    <s v="Mesocentrotus franciscanus"/>
    <s v="Red sea urchin"/>
    <n v="2"/>
    <n v="0"/>
    <m/>
    <m/>
    <m/>
    <n v="2"/>
    <m/>
    <m/>
    <m/>
    <m/>
    <m/>
    <m/>
    <m/>
    <m/>
    <m/>
    <m/>
    <m/>
    <m/>
    <m/>
    <m/>
    <m/>
    <m/>
    <m/>
    <m/>
    <m/>
    <m/>
    <m/>
    <m/>
    <m/>
    <m/>
  </r>
  <r>
    <n v="233"/>
    <x v="5"/>
    <s v="Em Lim"/>
    <x v="11"/>
    <x v="11"/>
    <n v="48.857467651367102"/>
    <n v="-125.158233642578"/>
    <x v="9"/>
    <n v="1.5"/>
    <s v="SW"/>
    <d v="1899-12-30T11:48:00"/>
    <x v="1"/>
    <x v="1"/>
    <x v="2"/>
    <n v="0"/>
    <s v="Mfra"/>
    <s v="Mesocentrotus franciscanus"/>
    <s v="Red sea urchin"/>
    <n v="10"/>
    <n v="0"/>
    <n v="1"/>
    <n v="2"/>
    <n v="2"/>
    <n v="4"/>
    <n v="1"/>
    <m/>
    <m/>
    <m/>
    <m/>
    <m/>
    <m/>
    <m/>
    <m/>
    <m/>
    <m/>
    <m/>
    <m/>
    <m/>
    <m/>
    <m/>
    <m/>
    <m/>
    <m/>
    <m/>
    <m/>
    <m/>
    <m/>
    <m/>
  </r>
  <r>
    <n v="234"/>
    <x v="2"/>
    <s v="Claire Attridge"/>
    <x v="12"/>
    <x v="12"/>
    <n v="48.858283996582003"/>
    <n v="-125.160919189453"/>
    <x v="9"/>
    <n v="2.5"/>
    <s v="NE"/>
    <d v="1899-12-30T09:29:00"/>
    <x v="12"/>
    <x v="1"/>
    <x v="1"/>
    <n v="48"/>
    <s v="Mfra"/>
    <s v="Mesocentrotus franciscanus"/>
    <s v="Red sea urchin"/>
    <n v="10"/>
    <n v="0"/>
    <m/>
    <n v="4"/>
    <n v="1"/>
    <n v="3"/>
    <n v="2"/>
    <m/>
    <m/>
    <m/>
    <m/>
    <m/>
    <m/>
    <m/>
    <m/>
    <m/>
    <m/>
    <m/>
    <m/>
    <m/>
    <m/>
    <m/>
    <m/>
    <m/>
    <m/>
    <m/>
    <m/>
    <m/>
    <m/>
    <m/>
  </r>
  <r>
    <n v="235"/>
    <x v="2"/>
    <s v="Claire Attridge"/>
    <x v="12"/>
    <x v="12"/>
    <n v="48.858283996582003"/>
    <n v="-125.160919189453"/>
    <x v="9"/>
    <n v="2.5"/>
    <s v="NE"/>
    <d v="1899-12-30T09:29:00"/>
    <x v="12"/>
    <x v="1"/>
    <x v="1"/>
    <n v="48"/>
    <s v="Pmi"/>
    <s v="Patiria miniata"/>
    <s v="Bat star"/>
    <n v="3"/>
    <n v="0"/>
    <m/>
    <m/>
    <m/>
    <n v="1"/>
    <n v="1"/>
    <n v="1"/>
    <m/>
    <m/>
    <m/>
    <m/>
    <m/>
    <m/>
    <m/>
    <m/>
    <m/>
    <m/>
    <m/>
    <m/>
    <m/>
    <m/>
    <m/>
    <m/>
    <m/>
    <m/>
    <m/>
    <m/>
    <m/>
    <m/>
  </r>
  <r>
    <n v="236"/>
    <x v="2"/>
    <s v="Claire Attridge"/>
    <x v="12"/>
    <x v="12"/>
    <n v="48.858283996582003"/>
    <n v="-125.160919189453"/>
    <x v="9"/>
    <n v="2.5"/>
    <s v="NE"/>
    <d v="1899-12-30T09:29:00"/>
    <x v="12"/>
    <x v="1"/>
    <x v="1"/>
    <n v="32"/>
    <s v="Mfra"/>
    <s v="Mesocentrotus franciscanus"/>
    <s v="Red sea urchin"/>
    <n v="12"/>
    <n v="0"/>
    <m/>
    <n v="2"/>
    <n v="5"/>
    <n v="3"/>
    <n v="2"/>
    <m/>
    <m/>
    <m/>
    <m/>
    <m/>
    <m/>
    <m/>
    <m/>
    <m/>
    <m/>
    <m/>
    <m/>
    <m/>
    <m/>
    <m/>
    <m/>
    <m/>
    <m/>
    <m/>
    <m/>
    <m/>
    <m/>
    <m/>
  </r>
  <r>
    <n v="237"/>
    <x v="2"/>
    <s v="Claire Attridge"/>
    <x v="12"/>
    <x v="12"/>
    <n v="48.858283996582003"/>
    <n v="-125.160919189453"/>
    <x v="9"/>
    <n v="2.5"/>
    <s v="NE"/>
    <d v="1899-12-30T09:29:00"/>
    <x v="12"/>
    <x v="1"/>
    <x v="1"/>
    <n v="16"/>
    <s v="Mfra"/>
    <s v="Mesocentrotus franciscanus"/>
    <s v="Red sea urchin"/>
    <n v="11"/>
    <n v="0"/>
    <m/>
    <n v="2"/>
    <n v="5"/>
    <n v="4"/>
    <m/>
    <m/>
    <m/>
    <m/>
    <m/>
    <m/>
    <m/>
    <m/>
    <m/>
    <m/>
    <m/>
    <m/>
    <m/>
    <m/>
    <m/>
    <m/>
    <m/>
    <m/>
    <m/>
    <m/>
    <m/>
    <m/>
    <m/>
    <m/>
  </r>
  <r>
    <n v="238"/>
    <x v="2"/>
    <s v="Claire Attridge"/>
    <x v="11"/>
    <x v="11"/>
    <n v="48.857467651367102"/>
    <n v="-125.158233642578"/>
    <x v="9"/>
    <n v="1.5"/>
    <s v="SW"/>
    <d v="1899-12-30T11:48:00"/>
    <x v="1"/>
    <x v="1"/>
    <x v="1"/>
    <n v="48"/>
    <s v="Mfra"/>
    <s v="Mesocentrotus franciscanus"/>
    <s v="Red sea urchin"/>
    <n v="8"/>
    <n v="0"/>
    <m/>
    <n v="2"/>
    <n v="5"/>
    <n v="1"/>
    <m/>
    <m/>
    <m/>
    <m/>
    <m/>
    <m/>
    <m/>
    <m/>
    <m/>
    <m/>
    <m/>
    <m/>
    <m/>
    <m/>
    <m/>
    <m/>
    <m/>
    <m/>
    <m/>
    <m/>
    <m/>
    <m/>
    <m/>
    <m/>
  </r>
  <r>
    <n v="239"/>
    <x v="2"/>
    <s v="Claire Attridge"/>
    <x v="11"/>
    <x v="11"/>
    <n v="48.857467651367102"/>
    <n v="-125.158233642578"/>
    <x v="9"/>
    <n v="1.5"/>
    <s v="SW"/>
    <d v="1899-12-30T11:48:00"/>
    <x v="1"/>
    <x v="1"/>
    <x v="1"/>
    <n v="32"/>
    <s v="Mfra"/>
    <s v="Mesocentrotus franciscanus"/>
    <s v="Red sea urchin"/>
    <n v="15"/>
    <n v="0"/>
    <n v="3"/>
    <n v="10"/>
    <n v="2"/>
    <m/>
    <m/>
    <m/>
    <m/>
    <m/>
    <m/>
    <m/>
    <m/>
    <m/>
    <m/>
    <m/>
    <m/>
    <m/>
    <m/>
    <m/>
    <m/>
    <m/>
    <m/>
    <m/>
    <m/>
    <m/>
    <m/>
    <m/>
    <m/>
    <m/>
  </r>
  <r>
    <n v="240"/>
    <x v="2"/>
    <s v="Claire Attridge"/>
    <x v="11"/>
    <x v="11"/>
    <n v="48.857467651367102"/>
    <n v="-125.158233642578"/>
    <x v="9"/>
    <n v="1.5"/>
    <s v="SW"/>
    <d v="1899-12-30T11:48:00"/>
    <x v="1"/>
    <x v="1"/>
    <x v="1"/>
    <n v="16"/>
    <s v="Mfra"/>
    <s v="Mesocentrotus franciscanus"/>
    <s v="Red sea urchin"/>
    <n v="8"/>
    <n v="0"/>
    <m/>
    <n v="4"/>
    <n v="3"/>
    <n v="1"/>
    <m/>
    <m/>
    <m/>
    <m/>
    <m/>
    <m/>
    <m/>
    <m/>
    <m/>
    <m/>
    <m/>
    <m/>
    <m/>
    <m/>
    <m/>
    <m/>
    <m/>
    <m/>
    <m/>
    <m/>
    <m/>
    <m/>
    <m/>
    <m/>
  </r>
  <r>
    <n v="241"/>
    <x v="4"/>
    <s v="Isabelle Cote"/>
    <x v="11"/>
    <x v="11"/>
    <n v="48.857467651367102"/>
    <n v="-125.158233642578"/>
    <x v="9"/>
    <n v="1.5"/>
    <s v="SW"/>
    <d v="1899-12-30T11:48:00"/>
    <x v="10"/>
    <x v="1"/>
    <x v="2"/>
    <n v="40"/>
    <s v="Mfra"/>
    <s v="Mesocentrotus franciscanus"/>
    <s v="Red sea urchin"/>
    <n v="10"/>
    <n v="0"/>
    <n v="3"/>
    <n v="5"/>
    <n v="1"/>
    <n v="1"/>
    <m/>
    <m/>
    <m/>
    <m/>
    <m/>
    <m/>
    <m/>
    <m/>
    <m/>
    <m/>
    <m/>
    <m/>
    <m/>
    <m/>
    <m/>
    <m/>
    <m/>
    <m/>
    <m/>
    <m/>
    <m/>
    <m/>
    <m/>
    <m/>
  </r>
  <r>
    <n v="242"/>
    <x v="4"/>
    <s v="Isabelle Cote"/>
    <x v="11"/>
    <x v="11"/>
    <n v="48.857467651367102"/>
    <n v="-125.158233642578"/>
    <x v="9"/>
    <n v="1.5"/>
    <s v="SW"/>
    <d v="1899-12-30T11:48:00"/>
    <x v="10"/>
    <x v="1"/>
    <x v="2"/>
    <n v="40"/>
    <s v="dim"/>
    <s v="Dermasterias imbricata"/>
    <s v="Leather star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243"/>
    <x v="4"/>
    <s v="Isabelle Cote"/>
    <x v="11"/>
    <x v="11"/>
    <n v="48.857467651367102"/>
    <n v="-125.158233642578"/>
    <x v="9"/>
    <n v="1.5"/>
    <s v="SW"/>
    <d v="1899-12-30T11:48:00"/>
    <x v="10"/>
    <x v="1"/>
    <x v="2"/>
    <n v="24"/>
    <s v="Mfra"/>
    <s v="Mesocentrotus franciscanus"/>
    <s v="Red sea urchin"/>
    <n v="11"/>
    <n v="0"/>
    <m/>
    <n v="2"/>
    <n v="3"/>
    <n v="1"/>
    <n v="2"/>
    <n v="1"/>
    <n v="2"/>
    <m/>
    <m/>
    <m/>
    <m/>
    <m/>
    <m/>
    <m/>
    <m/>
    <m/>
    <m/>
    <m/>
    <m/>
    <m/>
    <m/>
    <m/>
    <m/>
    <m/>
    <m/>
    <m/>
    <m/>
    <m/>
  </r>
  <r>
    <n v="244"/>
    <x v="4"/>
    <s v="Isabelle Cote"/>
    <x v="11"/>
    <x v="11"/>
    <n v="48.857467651367102"/>
    <n v="-125.158233642578"/>
    <x v="9"/>
    <n v="1.5"/>
    <s v="SW"/>
    <d v="1899-12-30T11:48:00"/>
    <x v="10"/>
    <x v="1"/>
    <x v="2"/>
    <n v="8"/>
    <s v="Mfra"/>
    <s v="Mesocentrotus franciscanus"/>
    <s v="Red sea urchin"/>
    <n v="10"/>
    <n v="0"/>
    <m/>
    <n v="2"/>
    <n v="4"/>
    <n v="1"/>
    <n v="1"/>
    <n v="1"/>
    <n v="1"/>
    <m/>
    <m/>
    <m/>
    <m/>
    <m/>
    <m/>
    <m/>
    <m/>
    <m/>
    <m/>
    <m/>
    <m/>
    <m/>
    <m/>
    <m/>
    <m/>
    <m/>
    <m/>
    <m/>
    <m/>
    <m/>
  </r>
  <r>
    <n v="245"/>
    <x v="4"/>
    <s v="Isabelle Cote"/>
    <x v="11"/>
    <x v="11"/>
    <n v="48.857467651367102"/>
    <n v="-125.158233642578"/>
    <x v="9"/>
    <n v="1.5"/>
    <s v="SW"/>
    <d v="1899-12-30T11:48:00"/>
    <x v="10"/>
    <x v="1"/>
    <x v="2"/>
    <n v="0"/>
    <s v="Mfra"/>
    <s v="Mesocentrotus franciscanus"/>
    <s v="Red sea urchin"/>
    <n v="16"/>
    <n v="0"/>
    <n v="4"/>
    <n v="2"/>
    <n v="3"/>
    <n v="4"/>
    <n v="2"/>
    <n v="1"/>
    <m/>
    <m/>
    <m/>
    <m/>
    <m/>
    <m/>
    <m/>
    <m/>
    <m/>
    <m/>
    <m/>
    <m/>
    <m/>
    <m/>
    <m/>
    <m/>
    <m/>
    <m/>
    <m/>
    <m/>
    <m/>
    <m/>
  </r>
  <r>
    <n v="246"/>
    <x v="4"/>
    <s v="Isabelle Cote"/>
    <x v="12"/>
    <x v="12"/>
    <n v="48.858283996582003"/>
    <n v="-125.160919189453"/>
    <x v="9"/>
    <n v="2"/>
    <s v="SW"/>
    <d v="1899-12-30T09:29:00"/>
    <x v="11"/>
    <x v="1"/>
    <x v="2"/>
    <n v="40"/>
    <s v="Mfra"/>
    <s v="Mesocentrotus franciscanus"/>
    <s v="Red sea urchin"/>
    <n v="4"/>
    <n v="0"/>
    <m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247"/>
    <x v="4"/>
    <s v="Isabelle Cote"/>
    <x v="12"/>
    <x v="12"/>
    <n v="48.858283996582003"/>
    <n v="-125.160919189453"/>
    <x v="9"/>
    <n v="2"/>
    <s v="SW"/>
    <d v="1899-12-30T09:29:00"/>
    <x v="11"/>
    <x v="1"/>
    <x v="2"/>
    <n v="40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48"/>
    <x v="4"/>
    <s v="Isabelle Cote"/>
    <x v="12"/>
    <x v="12"/>
    <n v="48.858283996582003"/>
    <n v="-125.160919189453"/>
    <x v="9"/>
    <n v="2"/>
    <s v="SW"/>
    <d v="1899-12-30T09:29:00"/>
    <x v="11"/>
    <x v="1"/>
    <x v="2"/>
    <n v="24"/>
    <s v="Mfra"/>
    <s v="Mesocentrotus franciscanus"/>
    <s v="Red sea urchin"/>
    <n v="4"/>
    <n v="0"/>
    <m/>
    <n v="4"/>
    <m/>
    <m/>
    <m/>
    <m/>
    <m/>
    <m/>
    <m/>
    <m/>
    <m/>
    <m/>
    <m/>
    <m/>
    <m/>
    <m/>
    <m/>
    <m/>
    <m/>
    <m/>
    <m/>
    <m/>
    <m/>
    <m/>
    <m/>
    <m/>
    <m/>
    <m/>
  </r>
  <r>
    <n v="249"/>
    <x v="4"/>
    <s v="Isabelle Cote"/>
    <x v="12"/>
    <x v="12"/>
    <n v="48.858283996582003"/>
    <n v="-125.160919189453"/>
    <x v="9"/>
    <n v="2"/>
    <s v="SW"/>
    <d v="1899-12-30T09:29:00"/>
    <x v="11"/>
    <x v="1"/>
    <x v="2"/>
    <n v="8"/>
    <s v="Mfra"/>
    <s v="Mesocentrotus franciscanus"/>
    <s v="Red sea urchin"/>
    <n v="8"/>
    <n v="0"/>
    <m/>
    <n v="3"/>
    <n v="3"/>
    <n v="2"/>
    <m/>
    <m/>
    <m/>
    <m/>
    <m/>
    <m/>
    <m/>
    <m/>
    <m/>
    <m/>
    <m/>
    <m/>
    <m/>
    <m/>
    <m/>
    <m/>
    <m/>
    <m/>
    <m/>
    <m/>
    <m/>
    <m/>
    <m/>
    <m/>
  </r>
  <r>
    <n v="250"/>
    <x v="4"/>
    <s v="Isabelle Cote"/>
    <x v="12"/>
    <x v="12"/>
    <n v="48.858283996582003"/>
    <n v="-125.160919189453"/>
    <x v="9"/>
    <n v="2"/>
    <s v="SW"/>
    <d v="1899-12-30T09:29:00"/>
    <x v="11"/>
    <x v="1"/>
    <x v="2"/>
    <n v="8"/>
    <s v="Henricia"/>
    <s v="Henricia sp."/>
    <s v="Unidentified blood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251"/>
    <x v="4"/>
    <s v="Isabelle Cote"/>
    <x v="12"/>
    <x v="12"/>
    <n v="48.858283996582003"/>
    <n v="-125.160919189453"/>
    <x v="9"/>
    <n v="2"/>
    <s v="SW"/>
    <d v="1899-12-30T09:29:00"/>
    <x v="11"/>
    <x v="1"/>
    <x v="2"/>
    <n v="0"/>
    <s v="Mfra"/>
    <s v="Mesocentrotus franciscanus"/>
    <s v="Red sea urchin"/>
    <n v="9"/>
    <n v="0"/>
    <n v="1"/>
    <n v="6"/>
    <n v="2"/>
    <m/>
    <m/>
    <m/>
    <m/>
    <m/>
    <m/>
    <m/>
    <m/>
    <m/>
    <m/>
    <m/>
    <m/>
    <m/>
    <m/>
    <m/>
    <m/>
    <m/>
    <m/>
    <m/>
    <m/>
    <m/>
    <m/>
    <m/>
    <m/>
    <m/>
  </r>
  <r>
    <n v="252"/>
    <x v="6"/>
    <s v="Em Lim"/>
    <x v="14"/>
    <x v="14"/>
    <n v="48.855583190917898"/>
    <n v="-125.183799743652"/>
    <x v="10"/>
    <n v="3.5"/>
    <s v="W"/>
    <d v="1899-12-30T12:23:00"/>
    <x v="6"/>
    <x v="1"/>
    <x v="2"/>
    <n v="0"/>
    <s v="Mfra"/>
    <s v="Mesocentrotus franciscanus"/>
    <s v="Red sea urchin"/>
    <n v="11"/>
    <n v="0"/>
    <m/>
    <n v="9"/>
    <n v="2"/>
    <m/>
    <m/>
    <m/>
    <m/>
    <m/>
    <m/>
    <m/>
    <m/>
    <m/>
    <m/>
    <m/>
    <m/>
    <m/>
    <m/>
    <m/>
    <m/>
    <m/>
    <m/>
    <m/>
    <m/>
    <m/>
    <m/>
    <m/>
    <m/>
    <m/>
  </r>
  <r>
    <n v="253"/>
    <x v="6"/>
    <s v="Em Lim"/>
    <x v="14"/>
    <x v="14"/>
    <n v="48.855583190917898"/>
    <n v="-125.183799743652"/>
    <x v="10"/>
    <n v="3.5"/>
    <s v="W"/>
    <d v="1899-12-30T12:23:00"/>
    <x v="6"/>
    <x v="1"/>
    <x v="2"/>
    <n v="16"/>
    <s v="Mfra"/>
    <s v="Mesocentrotus franciscanus"/>
    <s v="Red sea urchin"/>
    <n v="11"/>
    <n v="0"/>
    <m/>
    <n v="9"/>
    <n v="2"/>
    <m/>
    <m/>
    <m/>
    <m/>
    <m/>
    <m/>
    <m/>
    <m/>
    <m/>
    <m/>
    <m/>
    <m/>
    <m/>
    <m/>
    <m/>
    <m/>
    <m/>
    <m/>
    <m/>
    <m/>
    <m/>
    <m/>
    <m/>
    <m/>
    <m/>
  </r>
  <r>
    <n v="254"/>
    <x v="6"/>
    <s v="Em Lim"/>
    <x v="14"/>
    <x v="14"/>
    <n v="48.855583190917898"/>
    <n v="-125.183799743652"/>
    <x v="10"/>
    <n v="3.5"/>
    <s v="W"/>
    <d v="1899-12-30T12:23:00"/>
    <x v="6"/>
    <x v="1"/>
    <x v="2"/>
    <n v="16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55"/>
    <x v="6"/>
    <s v="Em Lim"/>
    <x v="14"/>
    <x v="14"/>
    <n v="48.855583190917898"/>
    <n v="-125.183799743652"/>
    <x v="10"/>
    <n v="3.5"/>
    <s v="W"/>
    <d v="1899-12-30T12:23:00"/>
    <x v="6"/>
    <x v="1"/>
    <x v="2"/>
    <n v="32"/>
    <s v="Mfra"/>
    <s v="Mesocentrotus franciscanus"/>
    <s v="Red sea urch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256"/>
    <x v="6"/>
    <s v="Em Lim"/>
    <x v="14"/>
    <x v="14"/>
    <n v="48.855583190917898"/>
    <n v="-125.183799743652"/>
    <x v="10"/>
    <n v="3.5"/>
    <s v="W"/>
    <d v="1899-12-30T12:23:00"/>
    <x v="6"/>
    <x v="1"/>
    <x v="2"/>
    <n v="32"/>
    <s v="Pmi"/>
    <s v="Patiria miniata"/>
    <s v="Bat star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257"/>
    <x v="6"/>
    <s v="Em Lim"/>
    <x v="14"/>
    <x v="14"/>
    <n v="48.855583190917898"/>
    <n v="-125.183799743652"/>
    <x v="10"/>
    <n v="3.5"/>
    <s v="W"/>
    <d v="1899-12-30T12:23:00"/>
    <x v="6"/>
    <x v="1"/>
    <x v="2"/>
    <n v="48"/>
    <s v="Mfra"/>
    <s v="Mesocentrotus franciscanus"/>
    <s v="Red sea urchin"/>
    <n v="10"/>
    <n v="0"/>
    <m/>
    <n v="9"/>
    <n v="1"/>
    <m/>
    <m/>
    <m/>
    <m/>
    <m/>
    <m/>
    <m/>
    <m/>
    <m/>
    <m/>
    <m/>
    <m/>
    <m/>
    <m/>
    <m/>
    <m/>
    <m/>
    <m/>
    <m/>
    <m/>
    <m/>
    <m/>
    <m/>
    <m/>
    <m/>
  </r>
  <r>
    <n v="258"/>
    <x v="6"/>
    <s v="Em Lim"/>
    <x v="14"/>
    <x v="14"/>
    <n v="48.855583190917898"/>
    <n v="-125.183799743652"/>
    <x v="10"/>
    <n v="3.5"/>
    <s v="W"/>
    <d v="1899-12-30T12:23:00"/>
    <x v="6"/>
    <x v="1"/>
    <x v="2"/>
    <n v="48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59"/>
    <x v="6"/>
    <s v="Em Lim"/>
    <x v="14"/>
    <x v="14"/>
    <n v="48.855583190917898"/>
    <n v="-125.183799743652"/>
    <x v="10"/>
    <n v="3.5"/>
    <s v="W"/>
    <d v="1899-12-30T12:23:00"/>
    <x v="6"/>
    <x v="1"/>
    <x v="2"/>
    <n v="8"/>
    <s v="Mfra"/>
    <s v="Mesocentrotus franciscanus"/>
    <s v="Red sea urchin"/>
    <n v="5"/>
    <n v="0"/>
    <n v="1"/>
    <n v="3"/>
    <m/>
    <n v="1"/>
    <m/>
    <m/>
    <m/>
    <m/>
    <m/>
    <m/>
    <m/>
    <m/>
    <m/>
    <m/>
    <m/>
    <m/>
    <m/>
    <m/>
    <m/>
    <m/>
    <m/>
    <m/>
    <m/>
    <m/>
    <m/>
    <m/>
    <m/>
    <m/>
  </r>
  <r>
    <n v="260"/>
    <x v="6"/>
    <s v="Em Lim"/>
    <x v="14"/>
    <x v="14"/>
    <n v="48.855583190917898"/>
    <n v="-125.183799743652"/>
    <x v="10"/>
    <n v="3.5"/>
    <s v="W"/>
    <d v="1899-12-30T12:23:00"/>
    <x v="6"/>
    <x v="1"/>
    <x v="2"/>
    <n v="8"/>
    <s v="Spu"/>
    <s v="Strongylocentrotus purpuratus"/>
    <s v="Purple sea urchin (?)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261"/>
    <x v="6"/>
    <s v="Em Lim"/>
    <x v="14"/>
    <x v="14"/>
    <n v="48.855583190917898"/>
    <n v="-125.183799743652"/>
    <x v="10"/>
    <n v="3.5"/>
    <s v="W"/>
    <d v="1899-12-30T12:23:00"/>
    <x v="6"/>
    <x v="1"/>
    <x v="2"/>
    <n v="8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62"/>
    <x v="6"/>
    <s v="Em Lim"/>
    <x v="14"/>
    <x v="14"/>
    <n v="48.855583190917898"/>
    <n v="-125.183799743652"/>
    <x v="10"/>
    <n v="3.5"/>
    <s v="W"/>
    <d v="1899-12-30T12:23:00"/>
    <x v="6"/>
    <x v="1"/>
    <x v="2"/>
    <n v="24"/>
    <s v="Mfra"/>
    <s v="Mesocentrotus franciscanus"/>
    <s v="Red sea urch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63"/>
    <x v="6"/>
    <s v="Em Lim"/>
    <x v="14"/>
    <x v="14"/>
    <n v="48.855583190917898"/>
    <n v="-125.183799743652"/>
    <x v="10"/>
    <n v="3.5"/>
    <s v="W"/>
    <d v="1899-12-30T12:23:00"/>
    <x v="6"/>
    <x v="1"/>
    <x v="2"/>
    <n v="24"/>
    <s v="Pmi"/>
    <s v="Patiria miniata"/>
    <s v="Bat star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264"/>
    <x v="6"/>
    <s v="Em Lim"/>
    <x v="14"/>
    <x v="14"/>
    <n v="48.855583190917898"/>
    <n v="-125.183799743652"/>
    <x v="10"/>
    <n v="3.5"/>
    <s v="W"/>
    <d v="1899-12-30T12:23:00"/>
    <x v="6"/>
    <x v="1"/>
    <x v="2"/>
    <n v="24"/>
    <s v="dim"/>
    <s v="Dermasterias imbricata"/>
    <s v="Leath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65"/>
    <x v="6"/>
    <s v="Em Lim"/>
    <x v="14"/>
    <x v="14"/>
    <n v="48.855583190917898"/>
    <n v="-125.183799743652"/>
    <x v="10"/>
    <n v="3.5"/>
    <s v="W"/>
    <d v="1899-12-30T12:23:00"/>
    <x v="6"/>
    <x v="1"/>
    <x v="2"/>
    <n v="24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66"/>
    <x v="6"/>
    <s v="Em Lim"/>
    <x v="14"/>
    <x v="14"/>
    <n v="48.855583190917898"/>
    <n v="-125.183799743652"/>
    <x v="10"/>
    <n v="3.5"/>
    <s v="W"/>
    <d v="1899-12-30T12:23:00"/>
    <x v="6"/>
    <x v="1"/>
    <x v="2"/>
    <n v="40"/>
    <s v="Mfra"/>
    <s v="Mesocentrotus franciscanus"/>
    <s v="Red sea urchin"/>
    <n v="6"/>
    <n v="0"/>
    <m/>
    <n v="4"/>
    <n v="2"/>
    <m/>
    <m/>
    <m/>
    <m/>
    <m/>
    <m/>
    <m/>
    <m/>
    <m/>
    <m/>
    <m/>
    <m/>
    <m/>
    <m/>
    <m/>
    <m/>
    <m/>
    <m/>
    <m/>
    <m/>
    <m/>
    <m/>
    <m/>
    <m/>
    <m/>
  </r>
  <r>
    <n v="267"/>
    <x v="6"/>
    <s v="Em Lim"/>
    <x v="14"/>
    <x v="14"/>
    <n v="48.855583190917898"/>
    <n v="-125.183799743652"/>
    <x v="10"/>
    <n v="3.5"/>
    <s v="W"/>
    <d v="1899-12-30T12:23:00"/>
    <x v="6"/>
    <x v="1"/>
    <x v="2"/>
    <n v="40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68"/>
    <x v="2"/>
    <s v="Claire Attridge"/>
    <x v="15"/>
    <x v="15"/>
    <n v="48.815116882324197"/>
    <n v="-125.175331115722"/>
    <x v="10"/>
    <n v="3"/>
    <s v="NE"/>
    <d v="1899-12-30T10:09:00"/>
    <x v="3"/>
    <x v="1"/>
    <x v="1"/>
    <n v="48"/>
    <s v="Mfra"/>
    <s v="Mesocentrotus franciscanus"/>
    <s v="Red sea urchin"/>
    <n v="4"/>
    <n v="0"/>
    <m/>
    <n v="1"/>
    <n v="2"/>
    <n v="1"/>
    <m/>
    <m/>
    <m/>
    <m/>
    <m/>
    <m/>
    <m/>
    <m/>
    <m/>
    <m/>
    <m/>
    <m/>
    <m/>
    <m/>
    <m/>
    <m/>
    <m/>
    <m/>
    <m/>
    <m/>
    <m/>
    <m/>
    <m/>
    <m/>
  </r>
  <r>
    <n v="269"/>
    <x v="2"/>
    <s v="Claire Attridge"/>
    <x v="15"/>
    <x v="15"/>
    <n v="48.815116882324197"/>
    <n v="-125.175331115722"/>
    <x v="10"/>
    <n v="3"/>
    <s v="NE"/>
    <d v="1899-12-30T10:09:00"/>
    <x v="3"/>
    <x v="1"/>
    <x v="1"/>
    <n v="48"/>
    <s v="Poc"/>
    <s v="Pisaster ochraceus"/>
    <s v="Purple sea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70"/>
    <x v="2"/>
    <s v="Claire Attridge"/>
    <x v="15"/>
    <x v="15"/>
    <n v="48.815116882324197"/>
    <n v="-125.175331115722"/>
    <x v="10"/>
    <n v="3"/>
    <s v="NE"/>
    <d v="1899-12-30T10:09:00"/>
    <x v="3"/>
    <x v="1"/>
    <x v="2"/>
    <n v="40"/>
    <s v="Mfra"/>
    <s v="Mesocentrotus franciscanus"/>
    <s v="Red sea urchin"/>
    <n v="3"/>
    <n v="0"/>
    <m/>
    <m/>
    <n v="2"/>
    <n v="1"/>
    <m/>
    <m/>
    <m/>
    <m/>
    <m/>
    <m/>
    <m/>
    <m/>
    <m/>
    <m/>
    <m/>
    <m/>
    <m/>
    <m/>
    <m/>
    <m/>
    <m/>
    <m/>
    <m/>
    <m/>
    <m/>
    <m/>
    <m/>
    <m/>
  </r>
  <r>
    <n v="271"/>
    <x v="2"/>
    <s v="Claire Attridge"/>
    <x v="15"/>
    <x v="15"/>
    <n v="48.815116882324197"/>
    <n v="-125.175331115722"/>
    <x v="10"/>
    <n v="3"/>
    <s v="NE"/>
    <d v="1899-12-30T10:09:00"/>
    <x v="3"/>
    <x v="1"/>
    <x v="2"/>
    <n v="40"/>
    <s v="dim"/>
    <s v="Dermasterias imbricata"/>
    <s v="Leather star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272"/>
    <x v="2"/>
    <s v="Claire Attridge"/>
    <x v="15"/>
    <x v="15"/>
    <n v="48.815116882324197"/>
    <n v="-125.175331115722"/>
    <x v="10"/>
    <n v="3"/>
    <s v="NE"/>
    <d v="1899-12-30T10:09:00"/>
    <x v="3"/>
    <x v="1"/>
    <x v="1"/>
    <n v="32"/>
    <s v="Mfra"/>
    <s v="Mesocentrotus franciscanus"/>
    <s v="Red sea urchin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273"/>
    <x v="2"/>
    <s v="Claire Attridge"/>
    <x v="15"/>
    <x v="15"/>
    <n v="48.815116882324197"/>
    <n v="-125.175331115722"/>
    <x v="10"/>
    <n v="3"/>
    <s v="NE"/>
    <d v="1899-12-30T10:09:00"/>
    <x v="3"/>
    <x v="1"/>
    <x v="1"/>
    <n v="32"/>
    <s v="Poc"/>
    <s v="Pisaster ochraceus"/>
    <s v="Purple sea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74"/>
    <x v="2"/>
    <s v="Claire Attridge"/>
    <x v="15"/>
    <x v="15"/>
    <n v="48.815116882324197"/>
    <n v="-125.175331115722"/>
    <x v="10"/>
    <n v="3"/>
    <s v="NE"/>
    <d v="1899-12-30T10:09:00"/>
    <x v="3"/>
    <x v="1"/>
    <x v="1"/>
    <n v="32"/>
    <s v="Henricia"/>
    <s v="Henricia sp."/>
    <s v="Unidentified blood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75"/>
    <x v="2"/>
    <s v="Claire Attridge"/>
    <x v="15"/>
    <x v="15"/>
    <n v="48.815116882324197"/>
    <n v="-125.175331115722"/>
    <x v="10"/>
    <n v="3"/>
    <s v="NE"/>
    <d v="1899-12-30T10:09:00"/>
    <x v="3"/>
    <x v="1"/>
    <x v="1"/>
    <n v="32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76"/>
    <x v="2"/>
    <s v="Claire Attridge"/>
    <x v="15"/>
    <x v="15"/>
    <n v="48.815116882324197"/>
    <n v="-125.175331115722"/>
    <x v="10"/>
    <n v="3"/>
    <s v="NE"/>
    <d v="1899-12-30T10:09:00"/>
    <x v="3"/>
    <x v="1"/>
    <x v="2"/>
    <n v="24"/>
    <s v="Mfra"/>
    <s v="Mesocentrotus franciscanus"/>
    <s v="Red sea urchin"/>
    <n v="6"/>
    <n v="0"/>
    <m/>
    <m/>
    <n v="1"/>
    <n v="3"/>
    <n v="2"/>
    <m/>
    <m/>
    <m/>
    <m/>
    <m/>
    <m/>
    <m/>
    <m/>
    <m/>
    <m/>
    <m/>
    <m/>
    <m/>
    <m/>
    <m/>
    <m/>
    <m/>
    <m/>
    <m/>
    <m/>
    <m/>
    <m/>
    <m/>
  </r>
  <r>
    <n v="277"/>
    <x v="2"/>
    <s v="Claire Attridge"/>
    <x v="15"/>
    <x v="15"/>
    <n v="48.815116882324197"/>
    <n v="-125.175331115722"/>
    <x v="10"/>
    <n v="3"/>
    <s v="NE"/>
    <d v="1899-12-30T10:09:00"/>
    <x v="3"/>
    <x v="1"/>
    <x v="2"/>
    <n v="24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78"/>
    <x v="2"/>
    <s v="Claire Attridge"/>
    <x v="15"/>
    <x v="15"/>
    <n v="48.815116882324197"/>
    <n v="-125.175331115722"/>
    <x v="10"/>
    <n v="3"/>
    <s v="NE"/>
    <d v="1899-12-30T10:09:00"/>
    <x v="3"/>
    <x v="1"/>
    <x v="2"/>
    <n v="16"/>
    <s v="Mfra"/>
    <s v="Mesocentrotus franciscanus"/>
    <s v="Red sea urchin"/>
    <n v="7"/>
    <n v="0"/>
    <m/>
    <m/>
    <n v="2"/>
    <n v="2"/>
    <n v="2"/>
    <n v="1"/>
    <m/>
    <m/>
    <m/>
    <m/>
    <m/>
    <m/>
    <m/>
    <m/>
    <m/>
    <m/>
    <m/>
    <m/>
    <m/>
    <m/>
    <m/>
    <m/>
    <m/>
    <m/>
    <m/>
    <m/>
    <m/>
    <m/>
  </r>
  <r>
    <n v="279"/>
    <x v="2"/>
    <s v="Claire Attridge"/>
    <x v="15"/>
    <x v="15"/>
    <n v="48.815116882324197"/>
    <n v="-125.175331115722"/>
    <x v="10"/>
    <n v="3"/>
    <s v="NE"/>
    <d v="1899-12-30T10:09:00"/>
    <x v="3"/>
    <x v="1"/>
    <x v="2"/>
    <n v="8"/>
    <s v="Mfra"/>
    <s v="Mesocentrotus franciscanus"/>
    <s v="Red sea urchin"/>
    <n v="4"/>
    <n v="0"/>
    <m/>
    <n v="1"/>
    <n v="1"/>
    <n v="2"/>
    <m/>
    <m/>
    <m/>
    <m/>
    <m/>
    <m/>
    <m/>
    <m/>
    <m/>
    <m/>
    <m/>
    <m/>
    <m/>
    <m/>
    <m/>
    <m/>
    <m/>
    <m/>
    <m/>
    <m/>
    <m/>
    <m/>
    <m/>
    <m/>
  </r>
  <r>
    <n v="280"/>
    <x v="2"/>
    <s v="Claire Attridge"/>
    <x v="15"/>
    <x v="15"/>
    <n v="48.815116882324197"/>
    <n v="-125.175331115722"/>
    <x v="10"/>
    <n v="3"/>
    <s v="NE"/>
    <d v="1899-12-30T10:09:00"/>
    <x v="3"/>
    <x v="1"/>
    <x v="2"/>
    <n v="8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81"/>
    <x v="2"/>
    <s v="Claire Attridge"/>
    <x v="15"/>
    <x v="15"/>
    <n v="48.815116882324197"/>
    <n v="-125.175331115722"/>
    <x v="10"/>
    <n v="3"/>
    <s v="NE"/>
    <d v="1899-12-30T10:09:00"/>
    <x v="3"/>
    <x v="1"/>
    <x v="1"/>
    <n v="0"/>
    <s v="Mfra"/>
    <s v="Mesocentrotus franciscanus"/>
    <s v="Red sea urchin"/>
    <n v="7"/>
    <n v="0"/>
    <m/>
    <n v="2"/>
    <n v="4"/>
    <n v="1"/>
    <m/>
    <m/>
    <m/>
    <m/>
    <m/>
    <m/>
    <m/>
    <m/>
    <m/>
    <m/>
    <m/>
    <m/>
    <m/>
    <m/>
    <m/>
    <m/>
    <m/>
    <m/>
    <m/>
    <m/>
    <m/>
    <m/>
    <m/>
    <m/>
  </r>
  <r>
    <n v="282"/>
    <x v="2"/>
    <s v="Claire Attridge"/>
    <x v="15"/>
    <x v="15"/>
    <n v="48.815116882324197"/>
    <n v="-125.175331115722"/>
    <x v="10"/>
    <n v="3"/>
    <s v="NE"/>
    <d v="1899-12-30T10:09:00"/>
    <x v="3"/>
    <x v="1"/>
    <x v="1"/>
    <n v="0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83"/>
    <x v="5"/>
    <s v="Em Lim"/>
    <x v="16"/>
    <x v="16"/>
    <n v="48.850399017333899"/>
    <n v="-125.198768615722"/>
    <x v="10"/>
    <n v="3.5"/>
    <s v="N"/>
    <d v="1899-12-30T14:51:00"/>
    <x v="13"/>
    <x v="1"/>
    <x v="2"/>
    <n v="0"/>
    <s v="Mfra"/>
    <s v="Mesocentrotus franciscanus"/>
    <s v="Red sea urchin"/>
    <n v="6"/>
    <n v="0"/>
    <m/>
    <n v="2"/>
    <n v="3"/>
    <n v="1"/>
    <m/>
    <m/>
    <m/>
    <m/>
    <m/>
    <m/>
    <m/>
    <m/>
    <m/>
    <m/>
    <m/>
    <m/>
    <m/>
    <m/>
    <m/>
    <m/>
    <m/>
    <m/>
    <m/>
    <m/>
    <m/>
    <m/>
    <m/>
    <m/>
  </r>
  <r>
    <n v="284"/>
    <x v="5"/>
    <s v="Em Lim"/>
    <x v="16"/>
    <x v="16"/>
    <n v="48.850399017333899"/>
    <n v="-125.198768615722"/>
    <x v="10"/>
    <n v="3.5"/>
    <s v="N"/>
    <d v="1899-12-30T14:51:00"/>
    <x v="13"/>
    <x v="1"/>
    <x v="2"/>
    <n v="8"/>
    <s v="Mfra"/>
    <s v="Mesocentrotus franciscanus"/>
    <s v="Red sea urchin"/>
    <n v="6"/>
    <n v="0"/>
    <m/>
    <n v="2"/>
    <n v="4"/>
    <m/>
    <m/>
    <m/>
    <m/>
    <m/>
    <m/>
    <m/>
    <m/>
    <m/>
    <m/>
    <m/>
    <m/>
    <m/>
    <m/>
    <m/>
    <m/>
    <m/>
    <m/>
    <m/>
    <m/>
    <m/>
    <m/>
    <m/>
    <m/>
    <m/>
  </r>
  <r>
    <n v="285"/>
    <x v="5"/>
    <s v="Em Lim"/>
    <x v="16"/>
    <x v="16"/>
    <n v="48.850399017333899"/>
    <n v="-125.198768615722"/>
    <x v="10"/>
    <n v="3.5"/>
    <s v="N"/>
    <d v="1899-12-30T14:51:00"/>
    <x v="13"/>
    <x v="1"/>
    <x v="2"/>
    <n v="16"/>
    <s v="Mfra"/>
    <s v="Mesocentrotus franciscanus"/>
    <s v="Red sea urchin"/>
    <n v="7"/>
    <n v="0"/>
    <m/>
    <n v="1"/>
    <n v="4"/>
    <n v="2"/>
    <m/>
    <m/>
    <m/>
    <m/>
    <m/>
    <m/>
    <m/>
    <m/>
    <m/>
    <m/>
    <m/>
    <m/>
    <m/>
    <m/>
    <m/>
    <m/>
    <m/>
    <m/>
    <m/>
    <m/>
    <m/>
    <m/>
    <m/>
    <m/>
  </r>
  <r>
    <n v="286"/>
    <x v="5"/>
    <s v="Em Lim"/>
    <x v="16"/>
    <x v="16"/>
    <n v="48.850399017333899"/>
    <n v="-125.198768615722"/>
    <x v="10"/>
    <n v="3.5"/>
    <s v="N"/>
    <d v="1899-12-30T14:51:00"/>
    <x v="13"/>
    <x v="1"/>
    <x v="2"/>
    <n v="16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87"/>
    <x v="5"/>
    <s v="Em Lim"/>
    <x v="16"/>
    <x v="16"/>
    <n v="48.850399017333899"/>
    <n v="-125.198768615722"/>
    <x v="10"/>
    <n v="3.5"/>
    <s v="N"/>
    <d v="1899-12-30T14:51:00"/>
    <x v="13"/>
    <x v="1"/>
    <x v="2"/>
    <n v="24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88"/>
    <x v="5"/>
    <s v="Em Lim"/>
    <x v="16"/>
    <x v="16"/>
    <n v="48.850399017333899"/>
    <n v="-125.198768615722"/>
    <x v="10"/>
    <n v="3.5"/>
    <s v="N"/>
    <d v="1899-12-30T14:51:00"/>
    <x v="13"/>
    <x v="1"/>
    <x v="2"/>
    <n v="32"/>
    <s v="Mfra"/>
    <s v="Mesocentrotus franciscanus"/>
    <s v="Red sea urchin"/>
    <n v="6"/>
    <n v="0"/>
    <m/>
    <m/>
    <n v="2"/>
    <n v="3"/>
    <n v="1"/>
    <m/>
    <m/>
    <m/>
    <m/>
    <m/>
    <m/>
    <m/>
    <m/>
    <m/>
    <m/>
    <m/>
    <m/>
    <m/>
    <m/>
    <m/>
    <m/>
    <m/>
    <m/>
    <m/>
    <m/>
    <m/>
    <m/>
    <m/>
  </r>
  <r>
    <n v="289"/>
    <x v="5"/>
    <s v="Em Lim"/>
    <x v="16"/>
    <x v="16"/>
    <n v="48.850399017333899"/>
    <n v="-125.198768615722"/>
    <x v="10"/>
    <n v="3.5"/>
    <s v="N"/>
    <d v="1899-12-30T14:51:00"/>
    <x v="13"/>
    <x v="1"/>
    <x v="2"/>
    <n v="32"/>
    <s v="Oko"/>
    <s v="Orthasterias koehleri"/>
    <s v="Rainbow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90"/>
    <x v="5"/>
    <s v="Em Lim"/>
    <x v="16"/>
    <x v="16"/>
    <n v="48.850399017333899"/>
    <n v="-125.198768615722"/>
    <x v="10"/>
    <n v="3.5"/>
    <s v="N"/>
    <d v="1899-12-30T14:51:00"/>
    <x v="13"/>
    <x v="1"/>
    <x v="2"/>
    <n v="32"/>
    <s v="dim"/>
    <s v="Dermasterias imbricata"/>
    <s v="Leather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91"/>
    <x v="5"/>
    <s v="Em Lim"/>
    <x v="16"/>
    <x v="16"/>
    <n v="48.850399017333899"/>
    <n v="-125.198768615722"/>
    <x v="10"/>
    <n v="3.5"/>
    <s v="N"/>
    <d v="1899-12-30T14:51:00"/>
    <x v="13"/>
    <x v="1"/>
    <x v="2"/>
    <n v="40"/>
    <s v="Mfra"/>
    <s v="Mesocentrotus franciscanus"/>
    <s v="Red sea urchin"/>
    <n v="4"/>
    <n v="0"/>
    <m/>
    <m/>
    <n v="3"/>
    <n v="1"/>
    <m/>
    <m/>
    <m/>
    <m/>
    <m/>
    <m/>
    <m/>
    <m/>
    <m/>
    <m/>
    <m/>
    <m/>
    <m/>
    <m/>
    <m/>
    <m/>
    <m/>
    <m/>
    <m/>
    <m/>
    <m/>
    <m/>
    <m/>
    <m/>
  </r>
  <r>
    <n v="292"/>
    <x v="5"/>
    <s v="Em Lim"/>
    <x v="16"/>
    <x v="16"/>
    <n v="48.850399017333899"/>
    <n v="-125.198768615722"/>
    <x v="10"/>
    <n v="3.5"/>
    <s v="N"/>
    <d v="1899-12-30T14:51:00"/>
    <x v="13"/>
    <x v="1"/>
    <x v="2"/>
    <n v="48"/>
    <s v="Mfra"/>
    <s v="Mesocentrotus franciscanus"/>
    <s v="Red sea urchin"/>
    <n v="4"/>
    <n v="0"/>
    <m/>
    <n v="1"/>
    <n v="1"/>
    <n v="2"/>
    <m/>
    <m/>
    <m/>
    <m/>
    <m/>
    <m/>
    <m/>
    <m/>
    <m/>
    <m/>
    <m/>
    <m/>
    <m/>
    <m/>
    <m/>
    <m/>
    <m/>
    <m/>
    <m/>
    <m/>
    <m/>
    <m/>
    <m/>
    <m/>
  </r>
  <r>
    <n v="293"/>
    <x v="6"/>
    <s v="Em Lim"/>
    <x v="17"/>
    <x v="17"/>
    <n v="48.85205078125"/>
    <n v="-125.123565673828"/>
    <x v="11"/>
    <n v="3.5"/>
    <s v="E"/>
    <d v="1899-12-30T09:41:00"/>
    <x v="5"/>
    <x v="1"/>
    <x v="2"/>
    <n v="0"/>
    <s v="Mfra"/>
    <s v="Mesocentrotus franciscanus"/>
    <s v="Red sea urchin"/>
    <n v="14"/>
    <n v="0"/>
    <n v="3"/>
    <n v="7"/>
    <n v="2"/>
    <n v="2"/>
    <m/>
    <m/>
    <m/>
    <m/>
    <m/>
    <m/>
    <m/>
    <m/>
    <m/>
    <m/>
    <m/>
    <m/>
    <m/>
    <m/>
    <m/>
    <m/>
    <m/>
    <m/>
    <m/>
    <m/>
    <m/>
    <m/>
    <m/>
    <m/>
  </r>
  <r>
    <n v="294"/>
    <x v="6"/>
    <s v="Em Lim"/>
    <x v="17"/>
    <x v="17"/>
    <n v="48.85205078125"/>
    <n v="-125.123565673828"/>
    <x v="11"/>
    <n v="3.5"/>
    <s v="E"/>
    <d v="1899-12-30T09:41:00"/>
    <x v="5"/>
    <x v="1"/>
    <x v="2"/>
    <n v="16"/>
    <s v="Mfra"/>
    <s v="Mesocentrotus franciscanus"/>
    <s v="Red sea urchin"/>
    <n v="7"/>
    <n v="0"/>
    <n v="2"/>
    <n v="5"/>
    <m/>
    <m/>
    <m/>
    <m/>
    <m/>
    <m/>
    <m/>
    <m/>
    <m/>
    <m/>
    <m/>
    <m/>
    <m/>
    <m/>
    <m/>
    <m/>
    <m/>
    <m/>
    <m/>
    <m/>
    <m/>
    <m/>
    <m/>
    <m/>
    <m/>
    <m/>
  </r>
  <r>
    <n v="295"/>
    <x v="6"/>
    <s v="Em Lim"/>
    <x v="17"/>
    <x v="17"/>
    <n v="48.85205078125"/>
    <n v="-125.123565673828"/>
    <x v="11"/>
    <n v="3.5"/>
    <s v="E"/>
    <d v="1899-12-30T09:41:00"/>
    <x v="5"/>
    <x v="1"/>
    <x v="2"/>
    <n v="32"/>
    <s v="Mfra"/>
    <s v="Mesocentrotus franciscanus"/>
    <s v="Red sea urchin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6"/>
    <x v="6"/>
    <s v="Em Lim"/>
    <x v="17"/>
    <x v="17"/>
    <n v="48.85205078125"/>
    <n v="-125.123565673828"/>
    <x v="11"/>
    <n v="3.5"/>
    <s v="E"/>
    <d v="1899-12-30T09:41:00"/>
    <x v="5"/>
    <x v="1"/>
    <x v="2"/>
    <n v="48"/>
    <s v="Mfra"/>
    <s v="Mesocentrotus franciscanus"/>
    <s v="Red sea urchin"/>
    <n v="6"/>
    <n v="0"/>
    <m/>
    <n v="4"/>
    <n v="2"/>
    <m/>
    <m/>
    <m/>
    <m/>
    <m/>
    <m/>
    <m/>
    <m/>
    <m/>
    <m/>
    <m/>
    <m/>
    <m/>
    <m/>
    <m/>
    <m/>
    <m/>
    <m/>
    <m/>
    <m/>
    <m/>
    <m/>
    <m/>
    <m/>
    <m/>
  </r>
  <r>
    <n v="297"/>
    <x v="6"/>
    <s v="Em Lim"/>
    <x v="17"/>
    <x v="17"/>
    <n v="48.85205078125"/>
    <n v="-125.123565673828"/>
    <x v="11"/>
    <n v="3.5"/>
    <s v="E"/>
    <d v="1899-12-30T09:41:00"/>
    <x v="5"/>
    <x v="1"/>
    <x v="2"/>
    <n v="8"/>
    <s v="Mfra"/>
    <s v="Mesocentrotus franciscanus"/>
    <s v="Red sea urchin"/>
    <n v="7"/>
    <n v="0"/>
    <m/>
    <n v="4"/>
    <n v="3"/>
    <m/>
    <m/>
    <m/>
    <m/>
    <m/>
    <m/>
    <m/>
    <m/>
    <m/>
    <m/>
    <m/>
    <m/>
    <m/>
    <m/>
    <m/>
    <m/>
    <m/>
    <m/>
    <m/>
    <m/>
    <m/>
    <m/>
    <m/>
    <m/>
    <m/>
  </r>
  <r>
    <n v="298"/>
    <x v="6"/>
    <s v="Em Lim"/>
    <x v="17"/>
    <x v="17"/>
    <n v="48.85205078125"/>
    <n v="-125.123565673828"/>
    <x v="11"/>
    <n v="3.5"/>
    <s v="E"/>
    <d v="1899-12-30T09:41:00"/>
    <x v="5"/>
    <x v="1"/>
    <x v="2"/>
    <n v="24"/>
    <s v="Mfra"/>
    <s v="Mesocentrotus franciscanus"/>
    <s v="Red sea urchin"/>
    <n v="11"/>
    <n v="0"/>
    <n v="1"/>
    <n v="4"/>
    <n v="6"/>
    <m/>
    <m/>
    <m/>
    <m/>
    <m/>
    <m/>
    <m/>
    <m/>
    <m/>
    <m/>
    <m/>
    <m/>
    <m/>
    <m/>
    <m/>
    <m/>
    <m/>
    <m/>
    <m/>
    <m/>
    <m/>
    <m/>
    <m/>
    <m/>
    <m/>
  </r>
  <r>
    <n v="299"/>
    <x v="6"/>
    <s v="Em Lim"/>
    <x v="17"/>
    <x v="17"/>
    <n v="48.85205078125"/>
    <n v="-125.123565673828"/>
    <x v="11"/>
    <n v="3.5"/>
    <s v="E"/>
    <d v="1899-12-30T09:41:00"/>
    <x v="5"/>
    <x v="1"/>
    <x v="2"/>
    <n v="24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00"/>
    <x v="6"/>
    <s v="Em Lim"/>
    <x v="17"/>
    <x v="17"/>
    <n v="48.85205078125"/>
    <n v="-125.123565673828"/>
    <x v="11"/>
    <n v="3.5"/>
    <s v="E"/>
    <d v="1899-12-30T09:41:00"/>
    <x v="5"/>
    <x v="1"/>
    <x v="2"/>
    <n v="40"/>
    <s v="Mfra"/>
    <s v="Mesocentrotus franciscanus"/>
    <s v="Red sea urchin"/>
    <n v="6"/>
    <n v="0"/>
    <n v="1"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301"/>
    <x v="5"/>
    <s v="Em Lim"/>
    <x v="18"/>
    <x v="18"/>
    <n v="48.8542671203613"/>
    <n v="-125.11703491210901"/>
    <x v="11"/>
    <n v="2"/>
    <s v="E"/>
    <d v="1899-12-30T11:53:00"/>
    <x v="7"/>
    <x v="1"/>
    <x v="2"/>
    <n v="0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302"/>
    <x v="5"/>
    <s v="Em Lim"/>
    <x v="18"/>
    <x v="18"/>
    <n v="48.8542671203613"/>
    <n v="-125.11703491210901"/>
    <x v="11"/>
    <n v="2"/>
    <s v="E"/>
    <d v="1899-12-30T11:53:00"/>
    <x v="7"/>
    <x v="1"/>
    <x v="2"/>
    <n v="8"/>
    <s v="Pmi"/>
    <s v="Patiria miniata"/>
    <s v="Bat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303"/>
    <x v="5"/>
    <s v="Em Lim"/>
    <x v="18"/>
    <x v="18"/>
    <n v="48.8542671203613"/>
    <n v="-125.11703491210901"/>
    <x v="11"/>
    <n v="2"/>
    <s v="E"/>
    <d v="1899-12-30T11:53:00"/>
    <x v="7"/>
    <x v="1"/>
    <x v="2"/>
    <n v="16"/>
    <s v="Mfra"/>
    <s v="Mesocentrotus franciscanus"/>
    <s v="Red sea urchin"/>
    <n v="3"/>
    <n v="0"/>
    <m/>
    <m/>
    <m/>
    <n v="1"/>
    <n v="1"/>
    <n v="1"/>
    <m/>
    <m/>
    <m/>
    <m/>
    <m/>
    <m/>
    <m/>
    <m/>
    <m/>
    <m/>
    <m/>
    <m/>
    <m/>
    <m/>
    <m/>
    <m/>
    <m/>
    <m/>
    <m/>
    <m/>
    <m/>
    <m/>
  </r>
  <r>
    <n v="304"/>
    <x v="5"/>
    <s v="Em Lim"/>
    <x v="18"/>
    <x v="18"/>
    <n v="48.8542671203613"/>
    <n v="-125.11703491210901"/>
    <x v="11"/>
    <n v="2"/>
    <s v="E"/>
    <d v="1899-12-30T11:53:00"/>
    <x v="7"/>
    <x v="1"/>
    <x v="2"/>
    <n v="24"/>
    <s v="dim"/>
    <s v="Dermasterias imbricata"/>
    <s v="Leather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05"/>
    <x v="5"/>
    <s v="Em Lim"/>
    <x v="18"/>
    <x v="18"/>
    <n v="48.8542671203613"/>
    <n v="-125.11703491210901"/>
    <x v="11"/>
    <n v="2"/>
    <s v="E"/>
    <d v="1899-12-30T11:53:00"/>
    <x v="7"/>
    <x v="1"/>
    <x v="2"/>
    <n v="32"/>
    <s v="Mfra"/>
    <s v="Mesocentrotus franciscanus"/>
    <s v="Red sea urchin"/>
    <n v="4"/>
    <n v="0"/>
    <m/>
    <n v="1"/>
    <m/>
    <n v="1"/>
    <n v="2"/>
    <m/>
    <m/>
    <m/>
    <m/>
    <m/>
    <m/>
    <m/>
    <m/>
    <m/>
    <m/>
    <m/>
    <m/>
    <m/>
    <m/>
    <m/>
    <m/>
    <m/>
    <m/>
    <m/>
    <m/>
    <m/>
    <m/>
    <m/>
  </r>
  <r>
    <n v="306"/>
    <x v="5"/>
    <s v="Em Lim"/>
    <x v="18"/>
    <x v="18"/>
    <n v="48.8542671203613"/>
    <n v="-125.11703491210901"/>
    <x v="11"/>
    <n v="2"/>
    <s v="E"/>
    <d v="1899-12-30T11:53:00"/>
    <x v="7"/>
    <x v="1"/>
    <x v="2"/>
    <n v="40"/>
    <s v="Mfra"/>
    <s v="Mesocentrotus franciscanus"/>
    <s v="Red sea urchin"/>
    <n v="5"/>
    <n v="0"/>
    <m/>
    <n v="1"/>
    <n v="3"/>
    <n v="1"/>
    <m/>
    <m/>
    <m/>
    <m/>
    <m/>
    <m/>
    <m/>
    <m/>
    <m/>
    <m/>
    <m/>
    <m/>
    <m/>
    <m/>
    <m/>
    <m/>
    <m/>
    <m/>
    <m/>
    <m/>
    <m/>
    <m/>
    <m/>
    <m/>
  </r>
  <r>
    <n v="307"/>
    <x v="5"/>
    <s v="Em Lim"/>
    <x v="18"/>
    <x v="18"/>
    <n v="48.8542671203613"/>
    <n v="-125.11703491210901"/>
    <x v="11"/>
    <n v="2"/>
    <s v="E"/>
    <d v="1899-12-30T11:53:00"/>
    <x v="7"/>
    <x v="1"/>
    <x v="2"/>
    <n v="48"/>
    <s v="Mfra"/>
    <s v="Mesocentrotus franciscanus"/>
    <s v="Red sea urchin"/>
    <n v="4"/>
    <n v="0"/>
    <m/>
    <n v="1"/>
    <n v="2"/>
    <m/>
    <n v="1"/>
    <m/>
    <m/>
    <m/>
    <m/>
    <m/>
    <m/>
    <m/>
    <m/>
    <m/>
    <m/>
    <m/>
    <m/>
    <m/>
    <m/>
    <m/>
    <m/>
    <m/>
    <m/>
    <m/>
    <m/>
    <m/>
    <m/>
    <m/>
  </r>
  <r>
    <n v="308"/>
    <x v="5"/>
    <s v="Em Lim"/>
    <x v="18"/>
    <x v="18"/>
    <n v="48.8542671203613"/>
    <n v="-125.11703491210901"/>
    <x v="11"/>
    <n v="2"/>
    <s v="E"/>
    <d v="1899-12-30T11:53:00"/>
    <x v="7"/>
    <x v="1"/>
    <x v="2"/>
    <n v="48"/>
    <s v="etr"/>
    <s v="Evasterias troschelii"/>
    <s v="Mottled starfish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309"/>
    <x v="6"/>
    <s v="Em Lim"/>
    <x v="19"/>
    <x v="19"/>
    <n v="48.865032196044901"/>
    <n v="-125.313720703125"/>
    <x v="12"/>
    <n v="3"/>
    <s v="W"/>
    <d v="1899-12-30T14:53:00"/>
    <x v="14"/>
    <x v="1"/>
    <x v="2"/>
    <n v="8"/>
    <s v="Mfra"/>
    <s v="Mesocentrotus franciscanus"/>
    <s v="Red sea urchin"/>
    <n v="8"/>
    <n v="0"/>
    <n v="3"/>
    <n v="2"/>
    <m/>
    <n v="3"/>
    <m/>
    <m/>
    <m/>
    <m/>
    <m/>
    <m/>
    <m/>
    <m/>
    <m/>
    <m/>
    <m/>
    <m/>
    <m/>
    <m/>
    <m/>
    <m/>
    <m/>
    <m/>
    <m/>
    <m/>
    <m/>
    <m/>
    <m/>
    <m/>
  </r>
  <r>
    <n v="310"/>
    <x v="6"/>
    <s v="Em Lim"/>
    <x v="19"/>
    <x v="19"/>
    <n v="48.865032196044901"/>
    <n v="-125.313720703125"/>
    <x v="12"/>
    <n v="3"/>
    <s v="W"/>
    <d v="1899-12-30T14:53:00"/>
    <x v="14"/>
    <x v="1"/>
    <x v="2"/>
    <n v="8"/>
    <s v="Pmi"/>
    <s v="Patiria miniata"/>
    <s v="Bat star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11"/>
    <x v="6"/>
    <s v="Em Lim"/>
    <x v="19"/>
    <x v="19"/>
    <n v="48.865032196044901"/>
    <n v="-125.313720703125"/>
    <x v="12"/>
    <n v="3"/>
    <s v="W"/>
    <d v="1899-12-30T14:53:00"/>
    <x v="14"/>
    <x v="1"/>
    <x v="2"/>
    <n v="24"/>
    <s v="Mfra"/>
    <s v="Mesocentrotus franciscanus"/>
    <s v="Red sea urchin"/>
    <n v="12"/>
    <n v="0"/>
    <n v="3"/>
    <n v="6"/>
    <n v="1"/>
    <n v="2"/>
    <m/>
    <m/>
    <m/>
    <m/>
    <m/>
    <m/>
    <m/>
    <m/>
    <m/>
    <m/>
    <m/>
    <m/>
    <m/>
    <m/>
    <m/>
    <m/>
    <m/>
    <m/>
    <m/>
    <m/>
    <m/>
    <m/>
    <m/>
    <m/>
  </r>
  <r>
    <n v="312"/>
    <x v="6"/>
    <s v="Em Lim"/>
    <x v="19"/>
    <x v="19"/>
    <n v="48.865032196044901"/>
    <n v="-125.313720703125"/>
    <x v="12"/>
    <n v="3"/>
    <s v="W"/>
    <d v="1899-12-30T14:53:00"/>
    <x v="14"/>
    <x v="1"/>
    <x v="2"/>
    <n v="24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13"/>
    <x v="6"/>
    <s v="Em Lim"/>
    <x v="19"/>
    <x v="19"/>
    <n v="48.865032196044901"/>
    <n v="-125.313720703125"/>
    <x v="12"/>
    <n v="3"/>
    <s v="W"/>
    <d v="1899-12-30T14:53:00"/>
    <x v="14"/>
    <x v="1"/>
    <x v="2"/>
    <n v="40"/>
    <s v="Mfra"/>
    <s v="Mesocentrotus franciscanus"/>
    <s v="Red sea urchin"/>
    <n v="10"/>
    <n v="0"/>
    <n v="1"/>
    <n v="3"/>
    <n v="4"/>
    <n v="2"/>
    <m/>
    <m/>
    <m/>
    <m/>
    <m/>
    <m/>
    <m/>
    <m/>
    <m/>
    <m/>
    <m/>
    <m/>
    <m/>
    <m/>
    <m/>
    <m/>
    <m/>
    <m/>
    <m/>
    <m/>
    <m/>
    <m/>
    <m/>
    <m/>
  </r>
  <r>
    <n v="314"/>
    <x v="6"/>
    <s v="Em Lim"/>
    <x v="19"/>
    <x v="19"/>
    <n v="48.865032196044901"/>
    <n v="-125.313720703125"/>
    <x v="12"/>
    <n v="3"/>
    <s v="W"/>
    <d v="1899-12-30T14:53:00"/>
    <x v="14"/>
    <x v="1"/>
    <x v="2"/>
    <n v="40"/>
    <s v="Pmi"/>
    <s v="Patiria miniata"/>
    <s v="Bat star"/>
    <n v="6"/>
    <n v="0"/>
    <m/>
    <n v="2"/>
    <n v="3"/>
    <n v="1"/>
    <m/>
    <m/>
    <m/>
    <m/>
    <m/>
    <m/>
    <m/>
    <m/>
    <m/>
    <m/>
    <m/>
    <m/>
    <m/>
    <m/>
    <m/>
    <m/>
    <m/>
    <m/>
    <m/>
    <m/>
    <m/>
    <m/>
    <m/>
    <m/>
  </r>
  <r>
    <n v="315"/>
    <x v="2"/>
    <s v="Jasmin Schuster"/>
    <x v="20"/>
    <x v="20"/>
    <n v="48.865482330322202"/>
    <n v="-125.36148071289"/>
    <x v="13"/>
    <n v="2.5"/>
    <s v="NE"/>
    <d v="1899-12-30T15:10:00"/>
    <x v="15"/>
    <x v="1"/>
    <x v="1"/>
    <n v="0"/>
    <s v="Mfra"/>
    <s v="Mesocentrotus franciscanus"/>
    <s v="Red sea urchin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16"/>
    <x v="2"/>
    <s v="Jasmin Schuster"/>
    <x v="20"/>
    <x v="20"/>
    <n v="48.865482330322202"/>
    <n v="-125.36148071289"/>
    <x v="13"/>
    <n v="2.5"/>
    <s v="NE"/>
    <d v="1899-12-30T15:10:00"/>
    <x v="15"/>
    <x v="1"/>
    <x v="1"/>
    <n v="0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17"/>
    <x v="2"/>
    <s v="Jasmin Schuster"/>
    <x v="20"/>
    <x v="20"/>
    <n v="48.865482330322202"/>
    <n v="-125.36148071289"/>
    <x v="13"/>
    <n v="2.5"/>
    <s v="NE"/>
    <d v="1899-12-30T15:10:00"/>
    <x v="15"/>
    <x v="1"/>
    <x v="2"/>
    <n v="8"/>
    <s v="Mfra"/>
    <s v="Mesocentrotus franciscanus"/>
    <s v="Red sea urch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18"/>
    <x v="2"/>
    <s v="Jasmin Schuster"/>
    <x v="20"/>
    <x v="20"/>
    <n v="48.865482330322202"/>
    <n v="-125.36148071289"/>
    <x v="13"/>
    <n v="2.5"/>
    <s v="NE"/>
    <d v="1899-12-30T15:10:00"/>
    <x v="15"/>
    <x v="1"/>
    <x v="2"/>
    <n v="8"/>
    <s v="Pmi"/>
    <s v="Patiria miniata"/>
    <s v="Bat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19"/>
    <x v="2"/>
    <s v="Jasmin Schuster"/>
    <x v="20"/>
    <x v="20"/>
    <n v="48.865482330322202"/>
    <n v="-125.36148071289"/>
    <x v="13"/>
    <n v="2.5"/>
    <s v="NE"/>
    <d v="1899-12-30T15:10:00"/>
    <x v="15"/>
    <x v="1"/>
    <x v="1"/>
    <n v="16"/>
    <s v="Mfra"/>
    <s v="Mesocentrotus franciscanus"/>
    <s v="Red sea urchin"/>
    <n v="4"/>
    <n v="0"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</r>
  <r>
    <n v="320"/>
    <x v="2"/>
    <s v="Jasmin Schuster"/>
    <x v="20"/>
    <x v="20"/>
    <n v="48.865482330322202"/>
    <n v="-125.36148071289"/>
    <x v="13"/>
    <n v="2.5"/>
    <s v="NE"/>
    <d v="1899-12-30T15:10:00"/>
    <x v="15"/>
    <x v="1"/>
    <x v="2"/>
    <n v="24"/>
    <s v="Mfra"/>
    <s v="Mesocentrotus franciscanus"/>
    <s v="Red sea urch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21"/>
    <x v="2"/>
    <s v="Jasmin Schuster"/>
    <x v="20"/>
    <x v="20"/>
    <n v="48.865482330322202"/>
    <n v="-125.36148071289"/>
    <x v="13"/>
    <n v="2.5"/>
    <s v="NE"/>
    <d v="1899-12-30T15:10:00"/>
    <x v="15"/>
    <x v="1"/>
    <x v="1"/>
    <n v="32"/>
    <s v="Mfra"/>
    <s v="Mesocentrotus franciscanus"/>
    <s v="Red sea urchin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22"/>
    <x v="2"/>
    <s v="Jasmin Schuster"/>
    <x v="20"/>
    <x v="20"/>
    <n v="48.865482330322202"/>
    <n v="-125.36148071289"/>
    <x v="13"/>
    <n v="2.5"/>
    <s v="NE"/>
    <d v="1899-12-30T15:10:00"/>
    <x v="15"/>
    <x v="1"/>
    <x v="1"/>
    <n v="32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23"/>
    <x v="2"/>
    <s v="Jasmin Schuster"/>
    <x v="20"/>
    <x v="20"/>
    <n v="48.865482330322202"/>
    <n v="-125.36148071289"/>
    <x v="13"/>
    <n v="2.5"/>
    <s v="NE"/>
    <d v="1899-12-30T15:10:00"/>
    <x v="15"/>
    <x v="1"/>
    <x v="2"/>
    <n v="40"/>
    <s v="Mfra"/>
    <s v="Mesocentrotus franciscanus"/>
    <s v="Red sea urchin"/>
    <n v="5"/>
    <n v="0"/>
    <m/>
    <m/>
    <n v="2"/>
    <n v="2"/>
    <n v="1"/>
    <m/>
    <m/>
    <m/>
    <m/>
    <m/>
    <m/>
    <m/>
    <m/>
    <m/>
    <m/>
    <m/>
    <m/>
    <m/>
    <m/>
    <m/>
    <m/>
    <m/>
    <m/>
    <m/>
    <m/>
    <m/>
    <m/>
    <m/>
  </r>
  <r>
    <n v="324"/>
    <x v="2"/>
    <s v="Jasmin Schuster"/>
    <x v="20"/>
    <x v="20"/>
    <n v="48.865482330322202"/>
    <n v="-125.36148071289"/>
    <x v="13"/>
    <n v="2.5"/>
    <s v="NE"/>
    <d v="1899-12-30T15:10:00"/>
    <x v="15"/>
    <x v="1"/>
    <x v="1"/>
    <n v="48"/>
    <s v="Mfra"/>
    <s v="Mesocentrotus franciscanus"/>
    <s v="Red sea urch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25"/>
    <x v="2"/>
    <s v="Valesca de Groot"/>
    <x v="19"/>
    <x v="19"/>
    <n v="48.865032196044901"/>
    <n v="-125.313720703125"/>
    <x v="12"/>
    <n v="3"/>
    <s v="W"/>
    <d v="1899-12-30T14:53:00"/>
    <x v="14"/>
    <x v="1"/>
    <x v="2"/>
    <n v="48"/>
    <s v="Mfra"/>
    <s v="Mesocentrotus franciscanus"/>
    <s v="Red sea urchin"/>
    <n v="9"/>
    <n v="0"/>
    <n v="2"/>
    <n v="2"/>
    <n v="3"/>
    <n v="1"/>
    <n v="1"/>
    <m/>
    <m/>
    <m/>
    <m/>
    <m/>
    <m/>
    <m/>
    <m/>
    <m/>
    <m/>
    <m/>
    <m/>
    <m/>
    <m/>
    <m/>
    <m/>
    <m/>
    <m/>
    <m/>
    <m/>
    <m/>
    <m/>
    <m/>
  </r>
  <r>
    <n v="326"/>
    <x v="2"/>
    <s v="Valesca de Groot"/>
    <x v="19"/>
    <x v="19"/>
    <n v="48.865032196044901"/>
    <n v="-125.313720703125"/>
    <x v="12"/>
    <n v="3"/>
    <s v="W"/>
    <d v="1899-12-30T14:53:00"/>
    <x v="14"/>
    <x v="1"/>
    <x v="2"/>
    <n v="48"/>
    <s v="Oko"/>
    <s v="Orthasterias koehleri"/>
    <s v="Rainbow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27"/>
    <x v="2"/>
    <s v="Valesca de Groot"/>
    <x v="19"/>
    <x v="19"/>
    <n v="48.865032196044901"/>
    <n v="-125.313720703125"/>
    <x v="12"/>
    <n v="3"/>
    <s v="W"/>
    <d v="1899-12-30T14:53:00"/>
    <x v="14"/>
    <x v="1"/>
    <x v="2"/>
    <n v="48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28"/>
    <x v="2"/>
    <s v="Valesca de Groot"/>
    <x v="19"/>
    <x v="19"/>
    <n v="48.865032196044901"/>
    <n v="-125.313720703125"/>
    <x v="12"/>
    <n v="3"/>
    <s v="W"/>
    <d v="1899-12-30T14:53:00"/>
    <x v="14"/>
    <x v="1"/>
    <x v="2"/>
    <n v="32"/>
    <s v="Mfra"/>
    <s v="Mesocentrotus franciscanus"/>
    <s v="Red sea urchin"/>
    <n v="11"/>
    <n v="0"/>
    <n v="2"/>
    <n v="2"/>
    <n v="3"/>
    <n v="3"/>
    <n v="1"/>
    <m/>
    <m/>
    <m/>
    <m/>
    <m/>
    <m/>
    <m/>
    <m/>
    <m/>
    <m/>
    <m/>
    <m/>
    <m/>
    <m/>
    <m/>
    <m/>
    <m/>
    <m/>
    <m/>
    <m/>
    <m/>
    <m/>
    <m/>
  </r>
  <r>
    <n v="329"/>
    <x v="2"/>
    <s v="Valesca de Groot"/>
    <x v="19"/>
    <x v="19"/>
    <n v="48.865032196044901"/>
    <n v="-125.313720703125"/>
    <x v="12"/>
    <n v="3"/>
    <s v="W"/>
    <d v="1899-12-30T14:53:00"/>
    <x v="14"/>
    <x v="1"/>
    <x v="2"/>
    <n v="32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30"/>
    <x v="2"/>
    <s v="Valesca de Groot"/>
    <x v="19"/>
    <x v="19"/>
    <n v="48.865032196044901"/>
    <n v="-125.313720703125"/>
    <x v="12"/>
    <n v="3"/>
    <s v="W"/>
    <d v="1899-12-30T14:53:00"/>
    <x v="14"/>
    <x v="1"/>
    <x v="2"/>
    <n v="16"/>
    <s v="Mfra"/>
    <s v="Mesocentrotus franciscanus"/>
    <s v="Red sea urchin"/>
    <n v="10"/>
    <n v="0"/>
    <n v="2"/>
    <n v="1"/>
    <n v="2"/>
    <n v="4"/>
    <n v="1"/>
    <m/>
    <m/>
    <m/>
    <m/>
    <m/>
    <m/>
    <m/>
    <m/>
    <m/>
    <m/>
    <m/>
    <m/>
    <m/>
    <m/>
    <m/>
    <m/>
    <m/>
    <m/>
    <m/>
    <m/>
    <m/>
    <m/>
    <m/>
  </r>
  <r>
    <n v="331"/>
    <x v="2"/>
    <s v="Valesca de Groot"/>
    <x v="19"/>
    <x v="19"/>
    <n v="48.865032196044901"/>
    <n v="-125.313720703125"/>
    <x v="12"/>
    <n v="3"/>
    <s v="W"/>
    <d v="1899-12-30T14:53:00"/>
    <x v="14"/>
    <x v="1"/>
    <x v="2"/>
    <n v="16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32"/>
    <x v="2"/>
    <s v="Valesca de Groot"/>
    <x v="19"/>
    <x v="19"/>
    <n v="48.865032196044901"/>
    <n v="-125.313720703125"/>
    <x v="12"/>
    <n v="3"/>
    <s v="W"/>
    <d v="1899-12-30T14:53:00"/>
    <x v="14"/>
    <x v="1"/>
    <x v="2"/>
    <n v="0"/>
    <s v="Mfra"/>
    <s v="Mesocentrotus franciscanus"/>
    <s v="Red sea urch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33"/>
    <x v="2"/>
    <s v="Valesca de Groot"/>
    <x v="19"/>
    <x v="19"/>
    <n v="48.865032196044901"/>
    <n v="-125.313720703125"/>
    <x v="12"/>
    <n v="3"/>
    <s v="W"/>
    <d v="1899-12-30T14:53:00"/>
    <x v="14"/>
    <x v="1"/>
    <x v="2"/>
    <n v="0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34"/>
    <x v="2"/>
    <s v="Valesca de Groot"/>
    <x v="21"/>
    <x v="21"/>
    <n v="48.879081726074197"/>
    <n v="-125.297401428222"/>
    <x v="12"/>
    <n v="4"/>
    <s v="SE"/>
    <d v="1899-12-30T09:49:00"/>
    <x v="6"/>
    <x v="1"/>
    <x v="1"/>
    <n v="48"/>
    <s v="Mfra"/>
    <s v="Mesocentrotus franciscanus"/>
    <s v="Red sea urch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335"/>
    <x v="2"/>
    <s v="Valesca de Groot"/>
    <x v="21"/>
    <x v="21"/>
    <n v="48.879081726074197"/>
    <n v="-125.297401428222"/>
    <x v="12"/>
    <n v="4"/>
    <s v="SE"/>
    <d v="1899-12-30T09:49:00"/>
    <x v="6"/>
    <x v="1"/>
    <x v="1"/>
    <n v="48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336"/>
    <x v="2"/>
    <s v="Valesca de Groot"/>
    <x v="21"/>
    <x v="21"/>
    <n v="48.879081726074197"/>
    <n v="-125.297401428222"/>
    <x v="12"/>
    <n v="4"/>
    <s v="SE"/>
    <d v="1899-12-30T09:49:00"/>
    <x v="6"/>
    <x v="1"/>
    <x v="2"/>
    <n v="40"/>
    <s v="Mfra"/>
    <s v="Mesocentrotus franciscanus"/>
    <s v="Red sea urchin"/>
    <n v="3"/>
    <n v="0"/>
    <m/>
    <n v="1"/>
    <n v="2"/>
    <m/>
    <m/>
    <m/>
    <m/>
    <m/>
    <m/>
    <m/>
    <m/>
    <m/>
    <m/>
    <m/>
    <m/>
    <m/>
    <m/>
    <m/>
    <m/>
    <m/>
    <m/>
    <m/>
    <m/>
    <m/>
    <m/>
    <m/>
    <m/>
    <m/>
  </r>
  <r>
    <n v="337"/>
    <x v="2"/>
    <s v="Valesca de Groot"/>
    <x v="21"/>
    <x v="21"/>
    <n v="48.879081726074197"/>
    <n v="-125.297401428222"/>
    <x v="12"/>
    <n v="4"/>
    <s v="SE"/>
    <d v="1899-12-30T09:49:00"/>
    <x v="6"/>
    <x v="1"/>
    <x v="2"/>
    <n v="40"/>
    <s v="Oko"/>
    <s v="Orthasterias koehleri"/>
    <s v="Rainbow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38"/>
    <x v="2"/>
    <s v="Valesca de Groot"/>
    <x v="21"/>
    <x v="21"/>
    <n v="48.879081726074197"/>
    <n v="-125.297401428222"/>
    <x v="12"/>
    <n v="4"/>
    <s v="SE"/>
    <d v="1899-12-30T09:49:00"/>
    <x v="6"/>
    <x v="1"/>
    <x v="2"/>
    <n v="40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339"/>
    <x v="2"/>
    <s v="Valesca de Groot"/>
    <x v="21"/>
    <x v="21"/>
    <n v="48.879081726074197"/>
    <n v="-125.297401428222"/>
    <x v="12"/>
    <n v="4"/>
    <s v="SE"/>
    <d v="1899-12-30T09:49:00"/>
    <x v="6"/>
    <x v="1"/>
    <x v="1"/>
    <n v="32"/>
    <s v="Mfra"/>
    <s v="Mesocentrotus franciscanus"/>
    <s v="Red sea urchin"/>
    <n v="8"/>
    <n v="0"/>
    <m/>
    <n v="7"/>
    <n v="1"/>
    <m/>
    <m/>
    <m/>
    <m/>
    <m/>
    <m/>
    <m/>
    <m/>
    <m/>
    <m/>
    <m/>
    <m/>
    <m/>
    <m/>
    <m/>
    <m/>
    <m/>
    <m/>
    <m/>
    <m/>
    <m/>
    <m/>
    <m/>
    <m/>
    <m/>
  </r>
  <r>
    <n v="340"/>
    <x v="2"/>
    <s v="Valesca de Groot"/>
    <x v="21"/>
    <x v="21"/>
    <n v="48.879081726074197"/>
    <n v="-125.297401428222"/>
    <x v="12"/>
    <n v="4"/>
    <s v="SE"/>
    <d v="1899-12-30T09:49:00"/>
    <x v="6"/>
    <x v="1"/>
    <x v="1"/>
    <n v="32"/>
    <s v="dim"/>
    <s v="Dermasterias imbricata"/>
    <s v="Leather star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341"/>
    <x v="2"/>
    <s v="Valesca de Groot"/>
    <x v="21"/>
    <x v="21"/>
    <n v="48.879081726074197"/>
    <n v="-125.297401428222"/>
    <x v="12"/>
    <n v="4"/>
    <s v="SE"/>
    <d v="1899-12-30T09:49:00"/>
    <x v="6"/>
    <x v="1"/>
    <x v="2"/>
    <n v="24"/>
    <s v="Mfra"/>
    <s v="Mesocentrotus franciscanus"/>
    <s v="Red sea urchin"/>
    <n v="7"/>
    <n v="0"/>
    <n v="2"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342"/>
    <x v="2"/>
    <s v="Valesca de Groot"/>
    <x v="21"/>
    <x v="21"/>
    <n v="48.879081726074197"/>
    <n v="-125.297401428222"/>
    <x v="12"/>
    <n v="4"/>
    <s v="SE"/>
    <d v="1899-12-30T09:49:00"/>
    <x v="6"/>
    <x v="1"/>
    <x v="2"/>
    <n v="24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43"/>
    <x v="2"/>
    <s v="Valesca de Groot"/>
    <x v="21"/>
    <x v="21"/>
    <n v="48.879081726074197"/>
    <n v="-125.297401428222"/>
    <x v="12"/>
    <n v="4"/>
    <s v="SE"/>
    <d v="1899-12-30T09:49:00"/>
    <x v="6"/>
    <x v="1"/>
    <x v="1"/>
    <n v="16"/>
    <s v="Mfra"/>
    <s v="Mesocentrotus franciscanus"/>
    <s v="Red sea urchin"/>
    <n v="5"/>
    <n v="0"/>
    <n v="1"/>
    <n v="2"/>
    <n v="2"/>
    <m/>
    <m/>
    <m/>
    <m/>
    <m/>
    <m/>
    <m/>
    <m/>
    <m/>
    <m/>
    <m/>
    <m/>
    <m/>
    <m/>
    <m/>
    <m/>
    <m/>
    <m/>
    <m/>
    <m/>
    <m/>
    <m/>
    <m/>
    <m/>
    <m/>
  </r>
  <r>
    <n v="344"/>
    <x v="2"/>
    <s v="Valesca de Groot"/>
    <x v="21"/>
    <x v="21"/>
    <n v="48.879081726074197"/>
    <n v="-125.297401428222"/>
    <x v="12"/>
    <n v="4"/>
    <s v="SE"/>
    <d v="1899-12-30T09:49:00"/>
    <x v="6"/>
    <x v="1"/>
    <x v="1"/>
    <n v="16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45"/>
    <x v="2"/>
    <s v="Valesca de Groot"/>
    <x v="21"/>
    <x v="21"/>
    <n v="48.879081726074197"/>
    <n v="-125.297401428222"/>
    <x v="12"/>
    <n v="4"/>
    <s v="SE"/>
    <d v="1899-12-30T09:49:00"/>
    <x v="6"/>
    <x v="1"/>
    <x v="2"/>
    <n v="8"/>
    <s v="Mfra"/>
    <s v="Mesocentrotus franciscanus"/>
    <s v="Red sea urchin"/>
    <n v="6"/>
    <n v="0"/>
    <m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346"/>
    <x v="2"/>
    <s v="Valesca de Groot"/>
    <x v="21"/>
    <x v="21"/>
    <n v="48.879081726074197"/>
    <n v="-125.297401428222"/>
    <x v="12"/>
    <n v="4"/>
    <s v="SE"/>
    <d v="1899-12-30T09:49:00"/>
    <x v="6"/>
    <x v="1"/>
    <x v="2"/>
    <n v="0"/>
    <s v="Mfra"/>
    <s v="Mesocentrotus franciscanus"/>
    <s v="Red sea urch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47"/>
    <x v="2"/>
    <s v="Valesca de Groot"/>
    <x v="21"/>
    <x v="21"/>
    <n v="48.879081726074197"/>
    <n v="-125.297401428222"/>
    <x v="12"/>
    <n v="4"/>
    <s v="SE"/>
    <d v="1899-12-30T09:49:00"/>
    <x v="6"/>
    <x v="1"/>
    <x v="2"/>
    <n v="0"/>
    <s v="Pmi"/>
    <s v="Patiria miniata"/>
    <s v="Bat star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48"/>
    <x v="6"/>
    <s v="Em Lim"/>
    <x v="22"/>
    <x v="22"/>
    <n v="48.890701293945298"/>
    <n v="-125.300498962402"/>
    <x v="13"/>
    <n v="3"/>
    <s v="NW"/>
    <d v="1899-12-30T09:50:00"/>
    <x v="1"/>
    <x v="1"/>
    <x v="2"/>
    <n v="0"/>
    <s v="Mfra"/>
    <s v="Mesocentrotus franciscanus"/>
    <s v="Red sea urchin"/>
    <n v="6"/>
    <n v="0"/>
    <n v="2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349"/>
    <x v="6"/>
    <s v="Em Lim"/>
    <x v="22"/>
    <x v="22"/>
    <n v="48.890701293945298"/>
    <n v="-125.300498962402"/>
    <x v="13"/>
    <n v="3"/>
    <s v="NW"/>
    <d v="1899-12-30T09:50:00"/>
    <x v="1"/>
    <x v="1"/>
    <x v="2"/>
    <n v="0"/>
    <s v="Pmi"/>
    <s v="Patiria miniata"/>
    <s v="Bat star"/>
    <n v="3"/>
    <n v="0"/>
    <m/>
    <n v="1"/>
    <n v="1"/>
    <n v="1"/>
    <m/>
    <m/>
    <m/>
    <m/>
    <m/>
    <m/>
    <m/>
    <m/>
    <m/>
    <m/>
    <m/>
    <m/>
    <m/>
    <m/>
    <m/>
    <m/>
    <m/>
    <m/>
    <m/>
    <m/>
    <m/>
    <m/>
    <m/>
    <m/>
  </r>
  <r>
    <n v="350"/>
    <x v="6"/>
    <s v="Em Lim"/>
    <x v="22"/>
    <x v="22"/>
    <n v="48.890701293945298"/>
    <n v="-125.300498962402"/>
    <x v="13"/>
    <n v="3"/>
    <s v="NW"/>
    <d v="1899-12-30T09:50:00"/>
    <x v="1"/>
    <x v="1"/>
    <x v="2"/>
    <n v="0"/>
    <s v="Oko"/>
    <s v="Orthasterias koehleri"/>
    <s v="Rainbow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51"/>
    <x v="6"/>
    <s v="Em Lim"/>
    <x v="22"/>
    <x v="22"/>
    <n v="48.890701293945298"/>
    <n v="-125.300498962402"/>
    <x v="13"/>
    <n v="3"/>
    <s v="NW"/>
    <d v="1899-12-30T09:50:00"/>
    <x v="1"/>
    <x v="1"/>
    <x v="2"/>
    <n v="16"/>
    <s v="Mfra"/>
    <s v="Mesocentrotus franciscanus"/>
    <s v="Red sea urchin"/>
    <n v="6"/>
    <n v="0"/>
    <n v="2"/>
    <n v="2"/>
    <n v="2"/>
    <m/>
    <m/>
    <m/>
    <m/>
    <m/>
    <m/>
    <m/>
    <m/>
    <m/>
    <m/>
    <m/>
    <m/>
    <m/>
    <m/>
    <m/>
    <m/>
    <m/>
    <m/>
    <m/>
    <m/>
    <m/>
    <m/>
    <m/>
    <m/>
    <m/>
  </r>
  <r>
    <n v="352"/>
    <x v="6"/>
    <s v="Em Lim"/>
    <x v="22"/>
    <x v="22"/>
    <n v="48.890701293945298"/>
    <n v="-125.300498962402"/>
    <x v="13"/>
    <n v="3"/>
    <s v="NW"/>
    <d v="1899-12-30T09:50:00"/>
    <x v="1"/>
    <x v="1"/>
    <x v="2"/>
    <n v="16"/>
    <s v="Pmi"/>
    <s v="Patiria miniata"/>
    <s v="Bat star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353"/>
    <x v="6"/>
    <s v="Em Lim"/>
    <x v="22"/>
    <x v="22"/>
    <n v="48.890701293945298"/>
    <n v="-125.300498962402"/>
    <x v="13"/>
    <n v="3"/>
    <s v="NW"/>
    <d v="1899-12-30T09:50:00"/>
    <x v="1"/>
    <x v="1"/>
    <x v="2"/>
    <n v="16"/>
    <s v="Oko"/>
    <s v="Orthasterias koehleri"/>
    <s v="Rainbow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54"/>
    <x v="6"/>
    <s v="Em Lim"/>
    <x v="22"/>
    <x v="22"/>
    <n v="48.890701293945298"/>
    <n v="-125.300498962402"/>
    <x v="13"/>
    <n v="3"/>
    <s v="NW"/>
    <d v="1899-12-30T09:50:00"/>
    <x v="1"/>
    <x v="1"/>
    <x v="2"/>
    <n v="32"/>
    <s v="Mfra"/>
    <s v="Mesocentrotus franciscanus"/>
    <s v="Red sea urchin"/>
    <n v="3"/>
    <n v="0"/>
    <m/>
    <n v="1"/>
    <n v="2"/>
    <m/>
    <m/>
    <m/>
    <m/>
    <m/>
    <m/>
    <m/>
    <m/>
    <m/>
    <m/>
    <m/>
    <m/>
    <m/>
    <m/>
    <m/>
    <m/>
    <m/>
    <m/>
    <m/>
    <m/>
    <m/>
    <m/>
    <m/>
    <m/>
    <m/>
  </r>
  <r>
    <n v="355"/>
    <x v="6"/>
    <s v="Em Lim"/>
    <x v="22"/>
    <x v="22"/>
    <n v="48.890701293945298"/>
    <n v="-125.300498962402"/>
    <x v="13"/>
    <n v="3"/>
    <s v="NW"/>
    <d v="1899-12-30T09:50:00"/>
    <x v="1"/>
    <x v="1"/>
    <x v="2"/>
    <n v="48"/>
    <s v="Mfra"/>
    <s v="Mesocentrotus franciscanus"/>
    <s v="Red sea urchin"/>
    <n v="4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</r>
  <r>
    <n v="356"/>
    <x v="6"/>
    <s v="Em Lim"/>
    <x v="22"/>
    <x v="22"/>
    <n v="48.890701293945298"/>
    <n v="-125.300498962402"/>
    <x v="13"/>
    <n v="3"/>
    <s v="NW"/>
    <d v="1899-12-30T09:50:00"/>
    <x v="1"/>
    <x v="1"/>
    <x v="2"/>
    <n v="8"/>
    <s v="Pmi"/>
    <s v="Patiria miniata"/>
    <s v="Bat star"/>
    <n v="3"/>
    <n v="0"/>
    <n v="1"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57"/>
    <x v="6"/>
    <s v="Em Lim"/>
    <x v="22"/>
    <x v="22"/>
    <n v="48.890701293945298"/>
    <n v="-125.300498962402"/>
    <x v="13"/>
    <n v="3"/>
    <s v="NW"/>
    <d v="1899-12-30T09:50:00"/>
    <x v="1"/>
    <x v="1"/>
    <x v="2"/>
    <n v="8"/>
    <s v="Mfra"/>
    <s v="Mesocentrotus franciscanus"/>
    <s v="Red sea urch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358"/>
    <x v="6"/>
    <s v="Em Lim"/>
    <x v="22"/>
    <x v="22"/>
    <n v="48.890701293945298"/>
    <n v="-125.300498962402"/>
    <x v="13"/>
    <n v="3"/>
    <s v="NW"/>
    <d v="1899-12-30T09:50:00"/>
    <x v="1"/>
    <x v="1"/>
    <x v="2"/>
    <n v="24"/>
    <s v="Mfra"/>
    <s v="Mesocentrotus franciscanus"/>
    <s v="Red sea urchin"/>
    <n v="4"/>
    <n v="0"/>
    <n v="2"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359"/>
    <x v="6"/>
    <s v="Em Lim"/>
    <x v="22"/>
    <x v="22"/>
    <n v="48.890701293945298"/>
    <n v="-125.300498962402"/>
    <x v="13"/>
    <n v="3"/>
    <s v="NW"/>
    <d v="1899-12-30T09:50:00"/>
    <x v="1"/>
    <x v="1"/>
    <x v="2"/>
    <n v="24"/>
    <s v="Pmi"/>
    <s v="Patiria miniata"/>
    <s v="Bat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60"/>
    <x v="6"/>
    <s v="Em Lim"/>
    <x v="22"/>
    <x v="22"/>
    <n v="48.890701293945298"/>
    <n v="-125.300498962402"/>
    <x v="13"/>
    <n v="3"/>
    <s v="NW"/>
    <d v="1899-12-30T09:50:00"/>
    <x v="1"/>
    <x v="1"/>
    <x v="2"/>
    <n v="40"/>
    <s v="Mfra"/>
    <s v="Mesocentrotus franciscanus"/>
    <s v="Red sea urchin"/>
    <n v="4"/>
    <n v="0"/>
    <n v="1"/>
    <n v="1"/>
    <m/>
    <n v="2"/>
    <m/>
    <m/>
    <m/>
    <m/>
    <m/>
    <m/>
    <m/>
    <m/>
    <m/>
    <m/>
    <m/>
    <m/>
    <m/>
    <m/>
    <m/>
    <m/>
    <m/>
    <m/>
    <m/>
    <m/>
    <m/>
    <m/>
    <m/>
    <m/>
  </r>
  <r>
    <n v="361"/>
    <x v="6"/>
    <s v="Em Lim"/>
    <x v="22"/>
    <x v="22"/>
    <n v="48.890701293945298"/>
    <n v="-125.300498962402"/>
    <x v="13"/>
    <n v="3"/>
    <s v="SW"/>
    <d v="1899-12-30T11:39:00"/>
    <x v="1"/>
    <x v="1"/>
    <x v="2"/>
    <n v="0"/>
    <s v="Mfra"/>
    <s v="Mesocentrotus franciscanus"/>
    <s v="Red sea urchin"/>
    <n v="5"/>
    <n v="0"/>
    <n v="1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362"/>
    <x v="6"/>
    <s v="Em Lim"/>
    <x v="22"/>
    <x v="22"/>
    <n v="48.890701293945298"/>
    <n v="-125.300498962402"/>
    <x v="13"/>
    <n v="3"/>
    <s v="SW"/>
    <d v="1899-12-30T11:39:00"/>
    <x v="1"/>
    <x v="1"/>
    <x v="2"/>
    <n v="16"/>
    <s v="Mfra"/>
    <s v="Mesocentrotus franciscanus"/>
    <s v="Red sea urchin"/>
    <n v="3"/>
    <n v="0"/>
    <n v="2"/>
    <n v="1"/>
    <m/>
    <m/>
    <m/>
    <m/>
    <m/>
    <m/>
    <m/>
    <m/>
    <m/>
    <m/>
    <m/>
    <m/>
    <m/>
    <m/>
    <m/>
    <m/>
    <m/>
    <m/>
    <m/>
    <m/>
    <m/>
    <m/>
    <m/>
    <m/>
    <m/>
    <m/>
  </r>
  <r>
    <n v="363"/>
    <x v="6"/>
    <s v="Em Lim"/>
    <x v="22"/>
    <x v="22"/>
    <n v="48.890701293945298"/>
    <n v="-125.300498962402"/>
    <x v="13"/>
    <n v="3"/>
    <s v="SW"/>
    <d v="1899-12-30T11:39:00"/>
    <x v="1"/>
    <x v="1"/>
    <x v="2"/>
    <n v="16"/>
    <s v="Sdr"/>
    <s v="Strongylocentrotus droebachiensis"/>
    <s v="Northern sea urch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364"/>
    <x v="6"/>
    <s v="Em Lim"/>
    <x v="22"/>
    <x v="22"/>
    <n v="48.890701293945298"/>
    <n v="-125.300498962402"/>
    <x v="13"/>
    <n v="3"/>
    <s v="SW"/>
    <d v="1899-12-30T11:39:00"/>
    <x v="1"/>
    <x v="1"/>
    <x v="2"/>
    <n v="32"/>
    <s v="Mfra"/>
    <s v="Mesocentrotus franciscanus"/>
    <s v="Red sea urchin"/>
    <n v="3"/>
    <n v="0"/>
    <m/>
    <n v="3"/>
    <m/>
    <m/>
    <m/>
    <m/>
    <m/>
    <m/>
    <m/>
    <m/>
    <m/>
    <m/>
    <m/>
    <m/>
    <m/>
    <m/>
    <m/>
    <m/>
    <m/>
    <m/>
    <m/>
    <m/>
    <m/>
    <m/>
    <m/>
    <m/>
    <m/>
    <m/>
  </r>
  <r>
    <n v="365"/>
    <x v="6"/>
    <s v="Em Lim"/>
    <x v="22"/>
    <x v="22"/>
    <n v="48.890701293945298"/>
    <n v="-125.300498962402"/>
    <x v="13"/>
    <n v="3"/>
    <s v="SW"/>
    <d v="1899-12-30T11:39:00"/>
    <x v="1"/>
    <x v="1"/>
    <x v="2"/>
    <n v="40"/>
    <s v="Mfra"/>
    <s v="Mesocentrotus franciscanus"/>
    <s v="Red sea urchin"/>
    <n v="3"/>
    <n v="0"/>
    <n v="2"/>
    <n v="1"/>
    <m/>
    <m/>
    <m/>
    <m/>
    <m/>
    <m/>
    <m/>
    <m/>
    <m/>
    <m/>
    <m/>
    <m/>
    <m/>
    <m/>
    <m/>
    <m/>
    <m/>
    <m/>
    <m/>
    <m/>
    <m/>
    <m/>
    <m/>
    <m/>
    <m/>
    <m/>
  </r>
  <r>
    <n v="366"/>
    <x v="6"/>
    <s v="Em Lim"/>
    <x v="22"/>
    <x v="22"/>
    <n v="48.890701293945298"/>
    <n v="-125.300498962402"/>
    <x v="13"/>
    <n v="3"/>
    <s v="SW"/>
    <d v="1899-12-30T11:39:00"/>
    <x v="1"/>
    <x v="1"/>
    <x v="2"/>
    <n v="40"/>
    <s v="Sdr"/>
    <s v="Strongylocentrotus droebachiensis"/>
    <s v="Northern sea urch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367"/>
    <x v="6"/>
    <s v="Em Lim"/>
    <x v="22"/>
    <x v="22"/>
    <n v="48.890701293945298"/>
    <n v="-125.300498962402"/>
    <x v="13"/>
    <n v="3"/>
    <s v="SW"/>
    <d v="1899-12-30T11:39:00"/>
    <x v="1"/>
    <x v="1"/>
    <x v="2"/>
    <n v="8"/>
    <s v="Sdr"/>
    <s v="Strongylocentrotus droebachiensis"/>
    <s v="Northern sea urch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68"/>
    <x v="6"/>
    <s v="Em Lim"/>
    <x v="22"/>
    <x v="22"/>
    <n v="48.890701293945298"/>
    <n v="-125.300498962402"/>
    <x v="13"/>
    <n v="3"/>
    <s v="SW"/>
    <d v="1899-12-30T11:39:00"/>
    <x v="1"/>
    <x v="1"/>
    <x v="2"/>
    <n v="8"/>
    <s v="Mfra"/>
    <s v="Mesocentrotus franciscanus"/>
    <s v="Red sea urchin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369"/>
    <x v="6"/>
    <s v="Em Lim"/>
    <x v="22"/>
    <x v="22"/>
    <n v="48.890701293945298"/>
    <n v="-125.300498962402"/>
    <x v="13"/>
    <n v="3"/>
    <s v="SW"/>
    <d v="1899-12-30T11:39:00"/>
    <x v="1"/>
    <x v="1"/>
    <x v="2"/>
    <n v="24"/>
    <s v="Mfra"/>
    <s v="Mesocentrotus franciscanus"/>
    <s v="Red sea urchin"/>
    <n v="5"/>
    <n v="0"/>
    <n v="4"/>
    <n v="1"/>
    <m/>
    <m/>
    <m/>
    <m/>
    <m/>
    <m/>
    <m/>
    <m/>
    <m/>
    <m/>
    <m/>
    <m/>
    <m/>
    <m/>
    <m/>
    <m/>
    <m/>
    <m/>
    <m/>
    <m/>
    <m/>
    <m/>
    <m/>
    <m/>
    <m/>
    <m/>
  </r>
  <r>
    <n v="370"/>
    <x v="6"/>
    <s v="Em Lim"/>
    <x v="22"/>
    <x v="22"/>
    <n v="48.890701293945298"/>
    <n v="-125.300498962402"/>
    <x v="13"/>
    <n v="3"/>
    <s v="SW"/>
    <d v="1899-12-30T11:39:00"/>
    <x v="1"/>
    <x v="1"/>
    <x v="2"/>
    <n v="24"/>
    <s v="Sdr"/>
    <s v="Strongylocentrotus droebachiensis"/>
    <s v="Northern sea urch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371"/>
    <x v="6"/>
    <s v="Em Lim"/>
    <x v="22"/>
    <x v="22"/>
    <n v="48.890701293945298"/>
    <n v="-125.300498962402"/>
    <x v="13"/>
    <n v="3"/>
    <s v="SW"/>
    <d v="1899-12-30T11:39:00"/>
    <x v="1"/>
    <x v="1"/>
    <x v="2"/>
    <n v="24"/>
    <s v="dim"/>
    <s v="Dermasterias imbricata"/>
    <s v="Leath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72"/>
    <x v="6"/>
    <s v="Em Lim"/>
    <x v="22"/>
    <x v="22"/>
    <n v="48.890701293945298"/>
    <n v="-125.300498962402"/>
    <x v="13"/>
    <n v="3"/>
    <s v="SW"/>
    <d v="1899-12-30T11:39:00"/>
    <x v="1"/>
    <x v="1"/>
    <x v="2"/>
    <n v="40"/>
    <s v="Mfra"/>
    <s v="Mesocentrotus franciscanus"/>
    <s v="Red sea urchin"/>
    <n v="5"/>
    <n v="0"/>
    <n v="2"/>
    <n v="3"/>
    <m/>
    <m/>
    <m/>
    <m/>
    <m/>
    <m/>
    <m/>
    <m/>
    <m/>
    <m/>
    <m/>
    <m/>
    <m/>
    <m/>
    <m/>
    <m/>
    <m/>
    <m/>
    <m/>
    <m/>
    <m/>
    <m/>
    <m/>
    <m/>
    <m/>
    <m/>
  </r>
  <r>
    <n v="373"/>
    <x v="6"/>
    <s v="Em Lim"/>
    <x v="22"/>
    <x v="22"/>
    <n v="48.890701293945298"/>
    <n v="-125.300498962402"/>
    <x v="13"/>
    <n v="3"/>
    <s v="SW"/>
    <d v="1899-12-30T11:39:00"/>
    <x v="1"/>
    <x v="1"/>
    <x v="2"/>
    <n v="40"/>
    <s v="Sdr"/>
    <s v="Strongylocentrotus droebachiensis"/>
    <s v="Northern sea urchin"/>
    <n v="2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374"/>
    <x v="6"/>
    <s v="Em Lim"/>
    <x v="22"/>
    <x v="22"/>
    <n v="48.890701293945298"/>
    <n v="-125.300498962402"/>
    <x v="13"/>
    <n v="3"/>
    <s v="SW"/>
    <d v="1899-12-30T11:39:00"/>
    <x v="1"/>
    <x v="1"/>
    <x v="2"/>
    <n v="40"/>
    <s v="Henricia"/>
    <s v="Henricia sp."/>
    <s v="Unidentified blood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75"/>
    <x v="2"/>
    <s v="Valesca de Groot"/>
    <x v="23"/>
    <x v="23"/>
    <n v="48.901183000000003"/>
    <n v="-125.060433"/>
    <x v="14"/>
    <n v="3"/>
    <s v="NW"/>
    <d v="1899-12-30T10:25:00"/>
    <x v="3"/>
    <x v="1"/>
    <x v="1"/>
    <n v="48"/>
    <s v="Mfra"/>
    <s v="Mesocentrotus franciscanus"/>
    <s v="Red sea urchin"/>
    <n v="5"/>
    <n v="0"/>
    <m/>
    <m/>
    <n v="5"/>
    <m/>
    <m/>
    <m/>
    <m/>
    <m/>
    <m/>
    <m/>
    <m/>
    <m/>
    <m/>
    <m/>
    <m/>
    <m/>
    <m/>
    <m/>
    <m/>
    <m/>
    <m/>
    <m/>
    <m/>
    <m/>
    <m/>
    <m/>
    <m/>
    <m/>
  </r>
  <r>
    <n v="376"/>
    <x v="2"/>
    <s v="Valesca de Groot"/>
    <x v="23"/>
    <x v="23"/>
    <n v="48.901183000000003"/>
    <n v="-125.060433"/>
    <x v="14"/>
    <n v="3"/>
    <s v="NW"/>
    <d v="1899-12-30T10:25:00"/>
    <x v="3"/>
    <x v="1"/>
    <x v="2"/>
    <n v="40"/>
    <s v="Mfra"/>
    <s v="Mesocentrotus franciscanus"/>
    <s v="Red sea urchin"/>
    <n v="3"/>
    <n v="0"/>
    <m/>
    <m/>
    <n v="3"/>
    <m/>
    <m/>
    <m/>
    <m/>
    <m/>
    <m/>
    <m/>
    <m/>
    <m/>
    <m/>
    <m/>
    <m/>
    <m/>
    <m/>
    <m/>
    <m/>
    <m/>
    <m/>
    <m/>
    <m/>
    <m/>
    <m/>
    <m/>
    <m/>
    <m/>
  </r>
  <r>
    <n v="377"/>
    <x v="2"/>
    <s v="Valesca de Groot"/>
    <x v="23"/>
    <x v="23"/>
    <n v="48.901183000000003"/>
    <n v="-125.060433"/>
    <x v="14"/>
    <n v="3"/>
    <s v="NW"/>
    <d v="1899-12-30T10:25:00"/>
    <x v="3"/>
    <x v="1"/>
    <x v="1"/>
    <n v="32"/>
    <s v="Mfra"/>
    <s v="Mesocentrotus franciscanus"/>
    <s v="Red sea urchin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78"/>
    <x v="2"/>
    <s v="Valesca de Groot"/>
    <x v="23"/>
    <x v="23"/>
    <n v="48.901183000000003"/>
    <n v="-125.060433"/>
    <x v="14"/>
    <n v="3"/>
    <s v="NW"/>
    <d v="1899-12-30T10:25:00"/>
    <x v="3"/>
    <x v="1"/>
    <x v="2"/>
    <n v="24"/>
    <s v="Mfra"/>
    <s v="NOT PRESENT"/>
    <s v="NOT PRESENT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379"/>
    <x v="2"/>
    <s v="Valesca de Groot"/>
    <x v="23"/>
    <x v="23"/>
    <n v="48.901183000000003"/>
    <n v="-125.060433"/>
    <x v="14"/>
    <n v="3"/>
    <s v="NW"/>
    <d v="1899-12-30T10:25:00"/>
    <x v="3"/>
    <x v="1"/>
    <x v="1"/>
    <n v="16"/>
    <s v="Mfra"/>
    <s v="Mesocentrotus franciscanus"/>
    <s v="Red sea urchin"/>
    <n v="4"/>
    <n v="0"/>
    <m/>
    <n v="1"/>
    <n v="1"/>
    <n v="1"/>
    <n v="1"/>
    <m/>
    <m/>
    <m/>
    <m/>
    <m/>
    <m/>
    <m/>
    <m/>
    <m/>
    <m/>
    <m/>
    <m/>
    <m/>
    <m/>
    <m/>
    <m/>
    <m/>
    <m/>
    <m/>
    <m/>
    <m/>
    <m/>
    <m/>
  </r>
  <r>
    <n v="380"/>
    <x v="2"/>
    <s v="Valesca de Groot"/>
    <x v="23"/>
    <x v="23"/>
    <n v="48.901183000000003"/>
    <n v="-125.060433"/>
    <x v="14"/>
    <n v="3"/>
    <s v="NW"/>
    <d v="1899-12-30T10:25:00"/>
    <x v="3"/>
    <x v="1"/>
    <x v="2"/>
    <n v="8"/>
    <s v="Mfra"/>
    <s v="Mesocentrotus franciscanus"/>
    <s v="Red sea urchin"/>
    <n v="7"/>
    <n v="0"/>
    <n v="2"/>
    <n v="2"/>
    <n v="3"/>
    <m/>
    <m/>
    <m/>
    <m/>
    <m/>
    <m/>
    <m/>
    <m/>
    <m/>
    <m/>
    <m/>
    <m/>
    <m/>
    <m/>
    <m/>
    <m/>
    <m/>
    <m/>
    <m/>
    <m/>
    <m/>
    <m/>
    <m/>
    <m/>
    <m/>
  </r>
  <r>
    <n v="381"/>
    <x v="2"/>
    <s v="Valesca de Groot"/>
    <x v="23"/>
    <x v="23"/>
    <n v="48.901183000000003"/>
    <n v="-125.060433"/>
    <x v="14"/>
    <n v="3"/>
    <s v="NW"/>
    <d v="1899-12-30T10:25:00"/>
    <x v="3"/>
    <x v="1"/>
    <x v="2"/>
    <n v="8"/>
    <s v="Sdr"/>
    <s v="Strongylocentrotus droebachiensis"/>
    <s v="Northern sea urch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82"/>
    <x v="2"/>
    <s v="Valesca de Groot"/>
    <x v="23"/>
    <x v="23"/>
    <n v="48.901183000000003"/>
    <n v="-125.060433"/>
    <x v="14"/>
    <n v="3"/>
    <s v="NW"/>
    <d v="1899-12-30T10:25:00"/>
    <x v="3"/>
    <x v="1"/>
    <x v="1"/>
    <n v="0"/>
    <s v="nsf"/>
    <s v="No species found"/>
    <s v="No specie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3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48"/>
    <s v="Mfra"/>
    <s v="Mesocentrotus franciscanus"/>
    <s v="Red sea urchin"/>
    <n v="5"/>
    <n v="0"/>
    <m/>
    <n v="1"/>
    <n v="3"/>
    <n v="1"/>
    <m/>
    <m/>
    <m/>
    <m/>
    <m/>
    <m/>
    <m/>
    <m/>
    <m/>
    <m/>
    <m/>
    <m/>
    <m/>
    <m/>
    <m/>
    <m/>
    <m/>
    <m/>
    <m/>
    <m/>
    <m/>
    <m/>
    <m/>
    <m/>
  </r>
  <r>
    <n v="384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48"/>
    <s v="Pmi"/>
    <s v="Patiria miniata"/>
    <s v="Bat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85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40"/>
    <s v="Mfra"/>
    <s v="Mesocentrotus franciscanus"/>
    <s v="Red sea urchin"/>
    <n v="7"/>
    <n v="0"/>
    <m/>
    <n v="3"/>
    <n v="3"/>
    <n v="1"/>
    <m/>
    <m/>
    <m/>
    <m/>
    <m/>
    <m/>
    <m/>
    <m/>
    <m/>
    <m/>
    <m/>
    <m/>
    <m/>
    <m/>
    <m/>
    <m/>
    <m/>
    <m/>
    <m/>
    <m/>
    <m/>
    <m/>
    <m/>
    <m/>
  </r>
  <r>
    <n v="386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32"/>
    <s v="Mfra"/>
    <s v="Mesocentrotus franciscanus"/>
    <s v="Red sea urchin"/>
    <n v="9"/>
    <n v="0"/>
    <m/>
    <n v="3"/>
    <n v="6"/>
    <m/>
    <m/>
    <m/>
    <m/>
    <m/>
    <m/>
    <m/>
    <m/>
    <m/>
    <m/>
    <m/>
    <m/>
    <m/>
    <m/>
    <m/>
    <m/>
    <m/>
    <m/>
    <m/>
    <m/>
    <m/>
    <m/>
    <m/>
    <m/>
    <m/>
  </r>
  <r>
    <n v="387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24"/>
    <s v="Mfra"/>
    <s v="Mesocentrotus franciscanus"/>
    <s v="Red sea urchin"/>
    <n v="9"/>
    <n v="0"/>
    <m/>
    <n v="3"/>
    <n v="4"/>
    <n v="2"/>
    <m/>
    <m/>
    <m/>
    <m/>
    <m/>
    <m/>
    <m/>
    <m/>
    <m/>
    <m/>
    <m/>
    <m/>
    <m/>
    <m/>
    <m/>
    <m/>
    <m/>
    <m/>
    <m/>
    <m/>
    <m/>
    <m/>
    <m/>
    <m/>
  </r>
  <r>
    <n v="388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24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89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24"/>
    <s v="dim"/>
    <s v="Dermasterias imbricata"/>
    <s v="Leather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90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16"/>
    <s v="Mfra"/>
    <s v="Mesocentrotus franciscanus"/>
    <s v="Red sea urchin"/>
    <n v="5"/>
    <n v="0"/>
    <m/>
    <n v="1"/>
    <n v="2"/>
    <n v="1"/>
    <n v="1"/>
    <m/>
    <m/>
    <m/>
    <m/>
    <m/>
    <m/>
    <m/>
    <m/>
    <m/>
    <m/>
    <m/>
    <m/>
    <m/>
    <m/>
    <m/>
    <m/>
    <m/>
    <m/>
    <m/>
    <m/>
    <m/>
    <m/>
    <m/>
  </r>
  <r>
    <n v="391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8"/>
    <s v="Mfra"/>
    <s v="Mesocentrotus franciscanus"/>
    <s v="Red sea urchin"/>
    <n v="6"/>
    <n v="0"/>
    <m/>
    <m/>
    <n v="5"/>
    <n v="1"/>
    <m/>
    <m/>
    <m/>
    <m/>
    <m/>
    <m/>
    <m/>
    <m/>
    <m/>
    <m/>
    <m/>
    <m/>
    <m/>
    <m/>
    <m/>
    <m/>
    <m/>
    <m/>
    <m/>
    <m/>
    <m/>
    <m/>
    <m/>
    <m/>
  </r>
  <r>
    <n v="392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8"/>
    <s v="Pmi"/>
    <s v="Patiria miniata"/>
    <s v="Bat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393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0"/>
    <s v="Mfra"/>
    <s v="Mesocentrotus franciscanus"/>
    <s v="Red sea urchin"/>
    <n v="5"/>
    <n v="0"/>
    <m/>
    <n v="2"/>
    <n v="2"/>
    <n v="1"/>
    <m/>
    <m/>
    <m/>
    <m/>
    <m/>
    <m/>
    <m/>
    <m/>
    <m/>
    <m/>
    <m/>
    <m/>
    <m/>
    <m/>
    <m/>
    <m/>
    <m/>
    <m/>
    <m/>
    <m/>
    <m/>
    <m/>
    <m/>
    <m/>
  </r>
  <r>
    <n v="394"/>
    <x v="2"/>
    <s v="Valesca de Groot"/>
    <x v="24"/>
    <x v="24"/>
    <n v="48.837589000000001"/>
    <n v="-125.14414499999999"/>
    <x v="14"/>
    <n v="2.5"/>
    <s v="NE"/>
    <d v="1899-12-30T12:50:00"/>
    <x v="9"/>
    <x v="1"/>
    <x v="1"/>
    <n v="0"/>
    <s v="Pmi"/>
    <s v="Patiria miniata"/>
    <s v="Bat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m/>
    <m/>
    <x v="0"/>
    <m/>
    <m/>
    <m/>
    <x v="0"/>
    <m/>
    <m/>
    <d v="1899-12-30T12:00:00"/>
    <x v="0"/>
    <x v="0"/>
    <s v="0, 1, 2"/>
    <m/>
    <m/>
    <x v="0"/>
    <n v="3"/>
    <n v="1524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48"/>
    <s v="Pmi"/>
    <x v="1"/>
    <s v="Bat star"/>
    <n v="4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48"/>
    <s v="Mfra"/>
    <x v="2"/>
    <s v="Red sea urchin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32"/>
    <s v="Mfra"/>
    <x v="2"/>
    <s v="Red sea urchin"/>
    <n v="11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32"/>
    <s v="Pmi"/>
    <x v="1"/>
    <s v="Bat star"/>
    <n v="2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16"/>
    <s v="Pmi"/>
    <x v="1"/>
    <s v="Bat star"/>
    <n v="1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16"/>
    <s v="Mfra"/>
    <x v="2"/>
    <s v="Red sea urchin"/>
    <n v="8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16"/>
    <s v="Poc"/>
    <x v="3"/>
    <s v="Unidentified star??"/>
    <n v="1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0"/>
    <s v="Mfra"/>
    <x v="2"/>
    <s v="Red sea urchin"/>
    <n v="5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x v="1"/>
    <x v="1"/>
    <n v="1"/>
    <n v="0"/>
    <s v="Pmi"/>
    <x v="1"/>
    <s v="Bat star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48"/>
    <s v="Pmi"/>
    <x v="1"/>
    <s v="Bat star"/>
    <n v="3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48"/>
    <s v="Mfra"/>
    <x v="2"/>
    <s v="Red sea urchin"/>
    <n v="5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32"/>
    <s v="Mfra"/>
    <x v="2"/>
    <s v="Red sea urchin"/>
    <n v="8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32"/>
    <s v="Pmi"/>
    <x v="1"/>
    <s v="Bat star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16"/>
    <s v="Pmi"/>
    <x v="1"/>
    <s v="Bat star"/>
    <n v="2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16"/>
    <s v="Mfra"/>
    <x v="2"/>
    <s v="Red sea urchin"/>
    <n v="6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16"/>
    <s v="Oko"/>
    <x v="4"/>
    <s v="Rainbow star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0"/>
    <s v="Mfra"/>
    <x v="2"/>
    <s v="Red sea urchin"/>
    <n v="10"/>
  </r>
  <r>
    <s v="Jasmin Schuster"/>
    <s v="Tom Bird"/>
    <x v="2"/>
    <s v="Baeria Rocks South Island"/>
    <n v="48.950233459472599"/>
    <n v="-125.155548095703"/>
    <x v="1"/>
    <n v="1.5"/>
    <s v="SW"/>
    <d v="1899-12-30T12:43:00"/>
    <x v="2"/>
    <x v="1"/>
    <n v="1"/>
    <n v="0"/>
    <s v="Pmi"/>
    <x v="1"/>
    <s v="Bat star"/>
    <n v="1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40"/>
    <s v="Poc"/>
    <x v="3"/>
    <s v="Purple sea star"/>
    <n v="8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40"/>
    <s v="dim"/>
    <x v="5"/>
    <s v="Leather star"/>
    <n v="1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40"/>
    <s v="Pmi"/>
    <x v="1"/>
    <s v="Bat star"/>
    <n v="1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40"/>
    <s v="Mfra"/>
    <x v="2"/>
    <s v="Red sea urchin"/>
    <n v="4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24"/>
    <s v="Mfra"/>
    <x v="2"/>
    <s v="Red sea urchin"/>
    <n v="10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24"/>
    <s v="Poc"/>
    <x v="3"/>
    <s v="Purple sea star"/>
    <n v="2"/>
  </r>
  <r>
    <s v="Em Lim"/>
    <s v="Isabelle Cote"/>
    <x v="1"/>
    <s v="Baeria Rocks North Island Northside"/>
    <n v="48.955081939697202"/>
    <n v="-125.15337371826099"/>
    <x v="1"/>
    <n v="1.5"/>
    <s v="SE"/>
    <d v="1899-12-30T10:12:00"/>
    <x v="3"/>
    <x v="1"/>
    <n v="2"/>
    <n v="8"/>
    <s v="Mfra"/>
    <x v="2"/>
    <s v="Red sea urchin"/>
    <n v="7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2"/>
    <n v="40"/>
    <s v="Mfra"/>
    <x v="2"/>
    <s v="Red sea urchin"/>
    <n v="5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2"/>
    <n v="40"/>
    <s v="Pmi"/>
    <x v="1"/>
    <s v="Bat star"/>
    <n v="3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2"/>
    <n v="24"/>
    <s v="Mfra"/>
    <x v="2"/>
    <s v="Red sea urchin"/>
    <n v="8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2"/>
    <n v="24"/>
    <s v="Pmi"/>
    <x v="1"/>
    <s v="Bat star"/>
    <n v="3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2"/>
    <n v="8"/>
    <s v="Mfra"/>
    <x v="2"/>
    <s v="Red sea urchin"/>
    <n v="4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2"/>
    <n v="8"/>
    <s v="Pmi"/>
    <x v="1"/>
    <s v="Bat star"/>
    <n v="1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1"/>
    <n v="0"/>
    <s v="Mfra"/>
    <x v="2"/>
    <s v="Red sea urchin"/>
    <n v="8"/>
  </r>
  <r>
    <s v="Em Lim"/>
    <s v="Isabelle Cote"/>
    <x v="2"/>
    <s v="Baeria Rocks South Island"/>
    <n v="48.950233459472599"/>
    <n v="-125.155548095703"/>
    <x v="1"/>
    <n v="1.5"/>
    <s v="SW"/>
    <d v="1899-12-30T12:45:00"/>
    <x v="4"/>
    <x v="1"/>
    <n v="1"/>
    <n v="0"/>
    <s v="Pmi"/>
    <x v="1"/>
    <s v="Bat star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x v="3"/>
    <x v="1"/>
    <n v="1"/>
    <n v="48"/>
    <s v="Mfra"/>
    <x v="2"/>
    <s v="Red sea urchin"/>
    <n v="7"/>
  </r>
  <r>
    <s v="Isabelle Cote"/>
    <s v="Em Lim"/>
    <x v="1"/>
    <s v="Baeria Rocks North Island Northside"/>
    <n v="48.955081939697202"/>
    <n v="-125.15337371826099"/>
    <x v="1"/>
    <n v="1.5"/>
    <s v="SE"/>
    <d v="1899-12-30T10:12:00"/>
    <x v="3"/>
    <x v="1"/>
    <n v="1"/>
    <n v="32"/>
    <s v="Mfra"/>
    <x v="2"/>
    <s v="Red sea urchin"/>
    <n v="10"/>
  </r>
  <r>
    <s v="Isabelle Cote"/>
    <s v="Em Lim"/>
    <x v="1"/>
    <s v="Baeria Rocks North Island Northside"/>
    <n v="48.955081939697202"/>
    <n v="-125.15337371826099"/>
    <x v="1"/>
    <n v="1.5"/>
    <s v="SE"/>
    <d v="1899-12-30T10:12:00"/>
    <x v="3"/>
    <x v="1"/>
    <n v="1"/>
    <n v="32"/>
    <s v="Poc"/>
    <x v="3"/>
    <s v="Purple sea star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x v="3"/>
    <x v="1"/>
    <n v="1"/>
    <n v="32"/>
    <s v="Pmi"/>
    <x v="1"/>
    <s v="Bat star"/>
    <n v="3"/>
  </r>
  <r>
    <s v="Isabelle Cote"/>
    <s v="Em Lim"/>
    <x v="2"/>
    <s v="Baeria Rocks South Island"/>
    <n v="48.950233459472599"/>
    <n v="-125.155548095703"/>
    <x v="1"/>
    <n v="1.5"/>
    <s v="SW"/>
    <d v="1899-12-30T12:45:00"/>
    <x v="4"/>
    <x v="1"/>
    <n v="1"/>
    <n v="48"/>
    <s v="Mfra"/>
    <x v="2"/>
    <s v="Red sea urchin"/>
    <n v="5"/>
  </r>
  <r>
    <s v="Isabelle Cote"/>
    <s v="Em Lim"/>
    <x v="2"/>
    <s v="Baeria Rocks South Island"/>
    <n v="48.950233459472599"/>
    <n v="-125.155548095703"/>
    <x v="1"/>
    <n v="1.5"/>
    <s v="SW"/>
    <d v="1899-12-30T12:45:00"/>
    <x v="4"/>
    <x v="1"/>
    <n v="1"/>
    <n v="48"/>
    <s v="Oko"/>
    <x v="4"/>
    <s v="Rainbow star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x v="4"/>
    <x v="1"/>
    <n v="1"/>
    <n v="32"/>
    <s v="Mfra"/>
    <x v="2"/>
    <s v="Red sea urchin"/>
    <n v="9"/>
  </r>
  <r>
    <s v="Isabelle Cote"/>
    <s v="Em Lim"/>
    <x v="2"/>
    <s v="Baeria Rocks South Island"/>
    <n v="48.950233459472599"/>
    <n v="-125.155548095703"/>
    <x v="1"/>
    <n v="1.5"/>
    <s v="SW"/>
    <d v="1899-12-30T12:45:00"/>
    <x v="4"/>
    <x v="1"/>
    <n v="1"/>
    <n v="32"/>
    <s v="Pmi"/>
    <x v="1"/>
    <s v="Bat star"/>
    <n v="3"/>
  </r>
  <r>
    <s v="Isabelle Cote"/>
    <s v="Em Lim"/>
    <x v="2"/>
    <s v="Baeria Rocks South Island"/>
    <n v="48.950233459472599"/>
    <n v="-125.155548095703"/>
    <x v="1"/>
    <n v="1.5"/>
    <s v="SW"/>
    <d v="1899-12-30T12:45:00"/>
    <x v="4"/>
    <x v="1"/>
    <n v="1"/>
    <n v="16"/>
    <s v="Mfra"/>
    <x v="2"/>
    <s v="Red sea urchin"/>
    <n v="2"/>
  </r>
  <r>
    <s v="Isabelle Cote"/>
    <s v="Em Lim"/>
    <x v="3"/>
    <s v="Taylor Rock"/>
    <n v="48.8273315429687"/>
    <n v="-125.196601867675"/>
    <x v="2"/>
    <n v="1.5"/>
    <s v="E"/>
    <d v="1899-12-30T09:50:00"/>
    <x v="5"/>
    <x v="1"/>
    <n v="1"/>
    <n v="48"/>
    <s v="Mfra"/>
    <x v="2"/>
    <s v="Red sea urchin"/>
    <n v="10"/>
  </r>
  <r>
    <s v="Isabelle Cote"/>
    <s v="Em Lim"/>
    <x v="3"/>
    <s v="Taylor Rock"/>
    <n v="48.8273315429687"/>
    <n v="-125.196601867675"/>
    <x v="2"/>
    <n v="1.5"/>
    <s v="E"/>
    <d v="1899-12-30T09:50:00"/>
    <x v="5"/>
    <x v="1"/>
    <n v="1"/>
    <n v="32"/>
    <s v="Mfra"/>
    <x v="2"/>
    <s v="Red sea urchin"/>
    <n v="13"/>
  </r>
  <r>
    <s v="Isabelle Cote"/>
    <s v="Em Lim"/>
    <x v="3"/>
    <s v="Taylor Rock"/>
    <n v="48.8273315429687"/>
    <n v="-125.196601867675"/>
    <x v="2"/>
    <n v="1.5"/>
    <s v="E"/>
    <d v="1899-12-30T09:50:00"/>
    <x v="5"/>
    <x v="1"/>
    <n v="1"/>
    <n v="32"/>
    <s v="dim"/>
    <x v="5"/>
    <s v="Leather star"/>
    <n v="1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48"/>
    <s v="Mfra"/>
    <x v="2"/>
    <s v="Red sea urchin"/>
    <n v="5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32"/>
    <s v="Mfra"/>
    <x v="2"/>
    <s v="Red sea urchin"/>
    <n v="6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32"/>
    <s v="Sdr"/>
    <x v="6"/>
    <s v="Northern sea urchin"/>
    <n v="1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32"/>
    <s v="Pmi"/>
    <x v="1"/>
    <s v="Bat star"/>
    <n v="1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32"/>
    <s v="Oko"/>
    <x v="4"/>
    <s v="Rainbow star"/>
    <n v="1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16"/>
    <s v="Pmi"/>
    <x v="1"/>
    <s v="Bat star"/>
    <n v="1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16"/>
    <s v="Mfra"/>
    <x v="2"/>
    <s v="Red sea urchin"/>
    <n v="13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16"/>
    <s v="Spu"/>
    <x v="7"/>
    <s v="Purple sea urchin (?)"/>
    <n v="1"/>
  </r>
  <r>
    <s v="Jasmin Schuster"/>
    <s v="Tom Bird"/>
    <x v="3"/>
    <s v="Taylor Rock"/>
    <n v="48.8273315429687"/>
    <n v="-125.196601867675"/>
    <x v="2"/>
    <n v="1.5"/>
    <s v="NW"/>
    <d v="1899-12-30T09:48:00"/>
    <x v="6"/>
    <x v="1"/>
    <n v="1"/>
    <n v="0"/>
    <s v="Mfra"/>
    <x v="2"/>
    <s v="Red sea urchin"/>
    <n v="3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48"/>
    <s v="Mfra"/>
    <x v="2"/>
    <s v="Red sea urchin"/>
    <n v="4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48"/>
    <s v="Pmi"/>
    <x v="1"/>
    <s v="Bat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40"/>
    <s v="Mfra"/>
    <x v="2"/>
    <s v="Red sea urchin"/>
    <n v="5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32"/>
    <s v="Pmi"/>
    <x v="1"/>
    <s v="Bat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24"/>
    <s v="Mfra"/>
    <x v="2"/>
    <s v="Red sea urchin"/>
    <n v="5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24"/>
    <s v="Poc"/>
    <x v="3"/>
    <s v="Purple sea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24"/>
    <s v="Henricia"/>
    <x v="8"/>
    <s v="Unidentified blood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16"/>
    <s v="Mfra"/>
    <x v="2"/>
    <s v="Red sea urchin"/>
    <n v="2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16"/>
    <s v="Poc"/>
    <x v="3"/>
    <s v="Purple sea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8"/>
    <s v="Mfra"/>
    <x v="2"/>
    <s v="Red sea urchin"/>
    <n v="2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8"/>
    <s v="dim"/>
    <x v="5"/>
    <s v="Leather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8"/>
    <s v="Henricia"/>
    <x v="8"/>
    <s v="Unidentified blood star"/>
    <n v="1"/>
  </r>
  <r>
    <s v="Jasmin Schuster"/>
    <s v="Tom Bird"/>
    <x v="4"/>
    <s v="Eagle Bay"/>
    <n v="48.834789276122997"/>
    <n v="-125.14702606201099"/>
    <x v="2"/>
    <n v="2"/>
    <s v="SW"/>
    <d v="1899-12-30T12:36:00"/>
    <x v="5"/>
    <x v="1"/>
    <n v="1"/>
    <n v="0"/>
    <s v="Mfra"/>
    <x v="2"/>
    <s v="Red sea urchin"/>
    <n v="3"/>
  </r>
  <r>
    <s v="Jasmin Schuster"/>
    <s v="Tom Bird"/>
    <x v="5"/>
    <s v="Goby Town"/>
    <n v="48.838594999999998"/>
    <n v="-125.135015"/>
    <x v="2"/>
    <n v="3"/>
    <s v="S"/>
    <d v="1899-12-30T14:50:00"/>
    <x v="7"/>
    <x v="1"/>
    <n v="1"/>
    <n v="48"/>
    <s v="Mfra"/>
    <x v="2"/>
    <s v="Red sea urchin"/>
    <n v="3"/>
  </r>
  <r>
    <s v="Jasmin Schuster"/>
    <s v="Tom Bird"/>
    <x v="5"/>
    <s v="Goby Town"/>
    <n v="48.838594999999998"/>
    <n v="-125.135015"/>
    <x v="2"/>
    <n v="3"/>
    <s v="S"/>
    <d v="1899-12-30T14:50:00"/>
    <x v="7"/>
    <x v="1"/>
    <n v="1"/>
    <n v="32"/>
    <s v="Mfra"/>
    <x v="2"/>
    <s v="Red sea urchin"/>
    <n v="3"/>
  </r>
  <r>
    <s v="Jasmin Schuster"/>
    <s v="Tom Bird"/>
    <x v="5"/>
    <s v="Goby Town"/>
    <n v="48.838594999999998"/>
    <n v="-125.135015"/>
    <x v="2"/>
    <n v="3"/>
    <s v="S"/>
    <d v="1899-12-30T14:50:00"/>
    <x v="7"/>
    <x v="1"/>
    <n v="1"/>
    <n v="16"/>
    <s v="Mfra"/>
    <x v="2"/>
    <s v="Red sea urchin"/>
    <n v="3"/>
  </r>
  <r>
    <s v="Jasmin Schuster"/>
    <s v="Tom Bird"/>
    <x v="5"/>
    <s v="Goby Town"/>
    <n v="48.838594999999998"/>
    <n v="-125.135015"/>
    <x v="2"/>
    <n v="3"/>
    <s v="S"/>
    <d v="1899-12-30T14:50:00"/>
    <x v="7"/>
    <x v="1"/>
    <n v="1"/>
    <n v="0"/>
    <s v="Mfra"/>
    <x v="2"/>
    <s v="Red sea urchin"/>
    <n v="3"/>
  </r>
  <r>
    <s v="Jasmin Schuster"/>
    <s v="Tom Bird"/>
    <x v="5"/>
    <s v="Goby Town"/>
    <n v="48.838594999999998"/>
    <n v="-125.135015"/>
    <x v="2"/>
    <n v="3"/>
    <s v="S"/>
    <d v="1899-12-30T14:50:00"/>
    <x v="7"/>
    <x v="1"/>
    <n v="1"/>
    <n v="0"/>
    <s v="Pmi"/>
    <x v="1"/>
    <s v="Bat star"/>
    <n v="1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48"/>
    <s v="Mfra"/>
    <x v="2"/>
    <s v="Red sea urchin"/>
    <n v="2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32"/>
    <s v="Mfra"/>
    <x v="2"/>
    <s v="Red sea urchin"/>
    <n v="7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32"/>
    <s v="Oko"/>
    <x v="4"/>
    <s v="Rainbow star"/>
    <n v="1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16"/>
    <s v="Mfra"/>
    <x v="2"/>
    <s v="Red sea urchin"/>
    <n v="10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16"/>
    <s v="Pmi"/>
    <x v="1"/>
    <s v="Bat star"/>
    <n v="1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16"/>
    <s v="dim"/>
    <x v="5"/>
    <s v="Leather star"/>
    <n v="1"/>
  </r>
  <r>
    <s v="Isabelle Cote"/>
    <s v="Em Lim"/>
    <x v="5"/>
    <s v="Goby Town"/>
    <n v="48.838594999999998"/>
    <n v="-125.135015"/>
    <x v="2"/>
    <n v="3"/>
    <s v="NW"/>
    <d v="1899-12-30T14:48:00"/>
    <x v="6"/>
    <x v="1"/>
    <n v="1"/>
    <n v="16"/>
    <s v="etr"/>
    <x v="9"/>
    <s v="Mottled starfish"/>
    <n v="1"/>
  </r>
  <r>
    <s v="Em Lim"/>
    <s v="Isabelle Cote"/>
    <x v="5"/>
    <s v="Goby Town"/>
    <n v="48.838594999999998"/>
    <n v="-125.135015"/>
    <x v="2"/>
    <n v="3"/>
    <s v="NW"/>
    <d v="1899-12-30T14:48:00"/>
    <x v="6"/>
    <x v="1"/>
    <n v="1"/>
    <n v="0"/>
    <s v="Mfra"/>
    <x v="2"/>
    <s v="Red sea urchin"/>
    <n v="2"/>
  </r>
  <r>
    <s v="Em Lim"/>
    <s v="Isabelle Cote"/>
    <x v="5"/>
    <s v="Goby Town"/>
    <n v="48.838594999999998"/>
    <n v="-125.135015"/>
    <x v="2"/>
    <n v="3"/>
    <s v="NW"/>
    <d v="1899-12-30T14:48:00"/>
    <x v="6"/>
    <x v="1"/>
    <n v="2"/>
    <n v="40"/>
    <s v="Mfra"/>
    <x v="2"/>
    <s v="Red sea urchin"/>
    <n v="6"/>
  </r>
  <r>
    <s v="Em Lim"/>
    <s v="Isabelle Cote"/>
    <x v="5"/>
    <s v="Goby Town"/>
    <n v="48.838594999999998"/>
    <n v="-125.135015"/>
    <x v="2"/>
    <n v="3"/>
    <s v="NW"/>
    <d v="1899-12-30T14:48:00"/>
    <x v="6"/>
    <x v="1"/>
    <n v="2"/>
    <n v="40"/>
    <s v="dim"/>
    <x v="5"/>
    <s v="Leather star"/>
    <n v="1"/>
  </r>
  <r>
    <s v="Em Lim"/>
    <s v="Isabelle Cote"/>
    <x v="5"/>
    <s v="Goby Town"/>
    <n v="48.838594999999998"/>
    <n v="-125.135015"/>
    <x v="2"/>
    <n v="3"/>
    <s v="NW"/>
    <d v="1899-12-30T14:48:00"/>
    <x v="6"/>
    <x v="1"/>
    <n v="2"/>
    <n v="40"/>
    <s v="etr"/>
    <x v="9"/>
    <s v="Mottled starfish"/>
    <n v="1"/>
  </r>
  <r>
    <s v="Em Lim"/>
    <s v="Isabelle Cote"/>
    <x v="5"/>
    <s v="Goby Town"/>
    <n v="48.838594999999998"/>
    <n v="-125.135015"/>
    <x v="2"/>
    <n v="3"/>
    <s v="NW"/>
    <d v="1899-12-30T14:48:00"/>
    <x v="6"/>
    <x v="1"/>
    <n v="2"/>
    <n v="24"/>
    <s v="Mfra"/>
    <x v="2"/>
    <s v="Red sea urchin"/>
    <n v="1"/>
  </r>
  <r>
    <s v="Em Lim"/>
    <s v="Isabelle Cote"/>
    <x v="5"/>
    <s v="Goby Town"/>
    <n v="48.838594999999998"/>
    <n v="-125.135015"/>
    <x v="2"/>
    <n v="3"/>
    <s v="NW"/>
    <d v="1899-12-30T14:48:00"/>
    <x v="6"/>
    <x v="1"/>
    <n v="2"/>
    <n v="8"/>
    <s v="Mfra"/>
    <x v="2"/>
    <s v="Red sea urchin"/>
    <n v="5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40"/>
    <s v="Mfra"/>
    <x v="2"/>
    <s v="Red sea urchin"/>
    <n v="9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40"/>
    <s v="Oko"/>
    <x v="4"/>
    <s v="Rainbow star"/>
    <n v="1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24"/>
    <s v="Mfra"/>
    <x v="2"/>
    <s v="Red sea urchin"/>
    <n v="7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24"/>
    <s v="dim"/>
    <x v="5"/>
    <s v="Leather star"/>
    <n v="1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8"/>
    <s v="Mfra"/>
    <x v="2"/>
    <s v="Red sea urchin"/>
    <n v="4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8"/>
    <s v="Pmi"/>
    <x v="1"/>
    <s v="Bat star"/>
    <n v="1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8"/>
    <s v="dim"/>
    <x v="5"/>
    <s v="Leather star"/>
    <n v="1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0"/>
    <s v="Mfra"/>
    <x v="2"/>
    <s v="Red sea urchin"/>
    <n v="2"/>
  </r>
  <r>
    <s v="Em Lim"/>
    <s v="Isabelle Cote"/>
    <x v="3"/>
    <s v="Taylor Rock"/>
    <n v="48.8273315429687"/>
    <n v="-125.196601867675"/>
    <x v="3"/>
    <n v="1.5"/>
    <s v="E"/>
    <d v="1899-12-30T09:50:00"/>
    <x v="5"/>
    <x v="1"/>
    <n v="2"/>
    <n v="16"/>
    <s v="Mfra"/>
    <x v="2"/>
    <s v="Red sea urchin"/>
    <n v="4"/>
  </r>
  <r>
    <s v="Tom Bird"/>
    <s v="Jasmin Schuster"/>
    <x v="3"/>
    <s v="Taylor Rock"/>
    <n v="48.8273315429687"/>
    <n v="-125.196601867675"/>
    <x v="3"/>
    <n v="1.5"/>
    <s v="NW"/>
    <d v="1899-12-30T09:48:00"/>
    <x v="6"/>
    <x v="1"/>
    <n v="2"/>
    <n v="40"/>
    <s v="Mfra"/>
    <x v="2"/>
    <s v="Red sea urchin"/>
    <n v="6"/>
  </r>
  <r>
    <s v="Tom Bird"/>
    <s v="Jasmin Schuster"/>
    <x v="3"/>
    <s v="Taylor Rock"/>
    <n v="48.8273315429687"/>
    <n v="-125.196601867675"/>
    <x v="3"/>
    <n v="1.5"/>
    <s v="NW"/>
    <d v="1899-12-30T09:48:00"/>
    <x v="6"/>
    <x v="1"/>
    <n v="2"/>
    <n v="24"/>
    <s v="Mfra"/>
    <x v="2"/>
    <s v="Red sea urchin"/>
    <n v="9"/>
  </r>
  <r>
    <s v="Tom Bird"/>
    <s v="Jasmin Schuster"/>
    <x v="3"/>
    <s v="Taylor Rock"/>
    <n v="48.8273315429687"/>
    <n v="-125.196601867675"/>
    <x v="3"/>
    <n v="1.5"/>
    <s v="NW"/>
    <d v="1899-12-30T09:48:00"/>
    <x v="6"/>
    <x v="1"/>
    <n v="2"/>
    <n v="8"/>
    <s v="Mfra"/>
    <x v="2"/>
    <s v="Red sea urchin"/>
    <n v="3"/>
  </r>
  <r>
    <s v="Tom Bird"/>
    <s v="Jasmin Schuster"/>
    <x v="3"/>
    <s v="Taylor Rock"/>
    <n v="48.8273315429687"/>
    <n v="-125.196601867675"/>
    <x v="3"/>
    <n v="1.5"/>
    <s v="NW"/>
    <d v="1899-12-30T09:48:00"/>
    <x v="6"/>
    <x v="1"/>
    <n v="2"/>
    <n v="8"/>
    <s v="phe"/>
    <x v="10"/>
    <s v="Sunflower star"/>
    <n v="1"/>
  </r>
  <r>
    <s v="Tom Bird"/>
    <s v="Jasmin Schuster"/>
    <x v="5"/>
    <s v="Goby Town"/>
    <n v="48.838594999999998"/>
    <n v="-125.135015"/>
    <x v="3"/>
    <n v="1.5"/>
    <s v="NW"/>
    <d v="1899-12-30T09:48:00"/>
    <x v="6"/>
    <x v="1"/>
    <n v="2"/>
    <n v="40"/>
    <s v="Mfra"/>
    <x v="2"/>
    <s v="Red sea urchin"/>
    <n v="3"/>
  </r>
  <r>
    <s v="Tom Bird"/>
    <s v="Jasmin Schuster"/>
    <x v="5"/>
    <s v="Goby Town"/>
    <n v="48.838594999999998"/>
    <n v="-125.135015"/>
    <x v="3"/>
    <n v="1.5"/>
    <s v="NW"/>
    <d v="1899-12-30T09:48:00"/>
    <x v="6"/>
    <x v="1"/>
    <n v="2"/>
    <n v="40"/>
    <s v="Pmi"/>
    <x v="1"/>
    <s v="Bat star"/>
    <n v="1"/>
  </r>
  <r>
    <s v="Tom Bird"/>
    <s v="Jasmin Schuster"/>
    <x v="5"/>
    <s v="Goby Town"/>
    <n v="48.838594999999998"/>
    <n v="-125.135015"/>
    <x v="3"/>
    <n v="1.5"/>
    <s v="NW"/>
    <d v="1899-12-30T09:48:00"/>
    <x v="6"/>
    <x v="1"/>
    <n v="2"/>
    <n v="24"/>
    <s v="Mfra"/>
    <x v="2"/>
    <s v="Red sea urchin"/>
    <n v="4"/>
  </r>
  <r>
    <s v="Tom Bird"/>
    <s v="Jasmin Schuster"/>
    <x v="5"/>
    <s v="Goby Town"/>
    <n v="48.838594999999998"/>
    <n v="-125.135015"/>
    <x v="3"/>
    <n v="1.5"/>
    <s v="NW"/>
    <d v="1899-12-30T09:48:00"/>
    <x v="6"/>
    <x v="1"/>
    <n v="2"/>
    <n v="8"/>
    <s v="Mfra"/>
    <x v="2"/>
    <s v="Red sea urchin"/>
    <n v="0"/>
  </r>
  <r>
    <s v="Tom Bird"/>
    <s v="Jasmin Schuster"/>
    <x v="5"/>
    <s v="Goby Town"/>
    <n v="48.838594999999998"/>
    <n v="-125.135015"/>
    <x v="3"/>
    <n v="1.5"/>
    <s v="NW"/>
    <d v="1899-12-30T09:48:00"/>
    <x v="6"/>
    <x v="1"/>
    <n v="2"/>
    <n v="8"/>
    <s v="Pmi"/>
    <x v="1"/>
    <s v="Bat star"/>
    <n v="1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40"/>
    <s v="Mfra"/>
    <x v="2"/>
    <s v="Red sea urchin"/>
    <n v="3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40"/>
    <s v="Pmi"/>
    <x v="1"/>
    <s v="Bat star"/>
    <n v="2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40"/>
    <s v="dim"/>
    <x v="5"/>
    <s v="Leather star"/>
    <n v="0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40"/>
    <s v="Oko"/>
    <x v="4"/>
    <s v="Rainbow star"/>
    <n v="1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24"/>
    <s v="Pmi"/>
    <x v="1"/>
    <s v="Bat star"/>
    <n v="1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24"/>
    <s v="Mfra"/>
    <x v="2"/>
    <s v="Red sea urchin"/>
    <n v="6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8"/>
    <s v="Mfra"/>
    <x v="2"/>
    <s v="Red sea urchin"/>
    <n v="8"/>
  </r>
  <r>
    <s v="Tom Bird"/>
    <s v="Jasmin Schuster"/>
    <x v="1"/>
    <s v="Baeria Rocks North Island Northside"/>
    <n v="48.955081939697202"/>
    <n v="-125.15337371826099"/>
    <x v="4"/>
    <n v="1"/>
    <s v="NW"/>
    <d v="1899-12-30T10:10:00"/>
    <x v="1"/>
    <x v="1"/>
    <n v="2"/>
    <n v="8"/>
    <s v="dim"/>
    <x v="5"/>
    <s v="Leather star"/>
    <n v="1"/>
  </r>
  <r>
    <s v="Tom Bird"/>
    <s v="Jasmin Schuster"/>
    <x v="2"/>
    <s v="Baeria Rocks South Island"/>
    <n v="48.950233459472599"/>
    <n v="-125.155548095703"/>
    <x v="4"/>
    <n v="1.5"/>
    <s v="SW"/>
    <d v="1899-12-30T12:43:00"/>
    <x v="2"/>
    <x v="1"/>
    <n v="2"/>
    <n v="40"/>
    <s v="Mfra"/>
    <x v="2"/>
    <s v="Red sea urchin"/>
    <n v="10"/>
  </r>
  <r>
    <s v="Tom Bird"/>
    <s v="Jasmin Schuster"/>
    <x v="2"/>
    <s v="Baeria Rocks South Island"/>
    <n v="48.950233459472599"/>
    <n v="-125.155548095703"/>
    <x v="4"/>
    <n v="1.5"/>
    <s v="SW"/>
    <d v="1899-12-30T12:43:00"/>
    <x v="2"/>
    <x v="1"/>
    <n v="2"/>
    <n v="40"/>
    <s v="Pmi"/>
    <x v="1"/>
    <s v="Bat star"/>
    <n v="2"/>
  </r>
  <r>
    <s v="Tom Bird"/>
    <s v="Jasmin Schuster"/>
    <x v="2"/>
    <s v="Baeria Rocks South Island"/>
    <n v="48.950233459472599"/>
    <n v="-125.155548095703"/>
    <x v="4"/>
    <n v="1.5"/>
    <s v="SW"/>
    <d v="1899-12-30T12:43:00"/>
    <x v="2"/>
    <x v="1"/>
    <n v="2"/>
    <n v="24"/>
    <s v="Mfra"/>
    <x v="2"/>
    <s v="Red sea urchin"/>
    <n v="8"/>
  </r>
  <r>
    <s v="Tom Bird"/>
    <s v="Jasmin Schuster"/>
    <x v="2"/>
    <s v="Baeria Rocks South Island"/>
    <n v="48.950233459472599"/>
    <n v="-125.155548095703"/>
    <x v="4"/>
    <n v="1.5"/>
    <s v="SW"/>
    <d v="1899-12-30T12:43:00"/>
    <x v="2"/>
    <x v="1"/>
    <n v="2"/>
    <n v="24"/>
    <s v="Pmi"/>
    <x v="1"/>
    <s v="Bat star"/>
    <n v="2"/>
  </r>
  <r>
    <s v="Tom Bird"/>
    <s v="Jasmin Schuster"/>
    <x v="2"/>
    <s v="Baeria Rocks South Island"/>
    <n v="48.950233459472599"/>
    <n v="-125.155548095703"/>
    <x v="4"/>
    <n v="1.5"/>
    <s v="SW"/>
    <d v="1899-12-30T12:43:00"/>
    <x v="2"/>
    <x v="1"/>
    <n v="2"/>
    <n v="8"/>
    <s v="Mfra"/>
    <x v="2"/>
    <s v="Red sea urchin"/>
    <n v="6"/>
  </r>
  <r>
    <s v="Tom Bird"/>
    <s v="Jasmin Schuster"/>
    <x v="2"/>
    <s v="Baeria Rocks South Island"/>
    <n v="48.950233459472599"/>
    <n v="-125.155548095703"/>
    <x v="4"/>
    <n v="1.5"/>
    <s v="SW"/>
    <d v="1899-12-30T12:43:00"/>
    <x v="2"/>
    <x v="1"/>
    <n v="2"/>
    <n v="8"/>
    <s v="Pmi"/>
    <x v="1"/>
    <s v="Bat star"/>
    <n v="1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48"/>
    <s v="dim"/>
    <x v="5"/>
    <s v="Leather star"/>
    <n v="2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48"/>
    <s v="Mfra"/>
    <x v="2"/>
    <s v="Red sea urchin"/>
    <n v="4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32"/>
    <s v="Mfra"/>
    <x v="2"/>
    <s v="Red sea urchin"/>
    <n v="5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32"/>
    <s v="Pmi"/>
    <x v="1"/>
    <s v="Bat star"/>
    <n v="2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16"/>
    <s v="Pmi"/>
    <x v="1"/>
    <s v="Bat star"/>
    <n v="1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16"/>
    <s v="Poc"/>
    <x v="3"/>
    <s v="Purple sea star"/>
    <n v="1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16"/>
    <s v="Mfra"/>
    <x v="2"/>
    <s v="Red sea urchin"/>
    <n v="2"/>
  </r>
  <r>
    <s v="Isabelle Cote"/>
    <s v="Claire Attridge"/>
    <x v="6"/>
    <s v="Swiss Boy"/>
    <n v="48.916072999999997"/>
    <n v="-125.131174"/>
    <x v="5"/>
    <n v="3"/>
    <s v="NE"/>
    <d v="1899-12-30T13:03:00"/>
    <x v="7"/>
    <x v="1"/>
    <n v="1"/>
    <n v="16"/>
    <s v="dim"/>
    <x v="5"/>
    <s v="Leather star"/>
    <n v="1"/>
  </r>
  <r>
    <s v="Em Lim"/>
    <s v="Tom Bird"/>
    <x v="7"/>
    <s v="Hosie South"/>
    <n v="48.9071"/>
    <n v="-125.03701700000001"/>
    <x v="6"/>
    <n v="1.5"/>
    <s v="SW"/>
    <d v="1899-12-30T10:06:00"/>
    <x v="2"/>
    <x v="1"/>
    <n v="2"/>
    <n v="48"/>
    <s v="Henricia"/>
    <x v="8"/>
    <s v="Unidentified blood star"/>
    <n v="1"/>
  </r>
  <r>
    <s v="Em Lim"/>
    <s v="Tom Bird"/>
    <x v="7"/>
    <s v="Hosie South"/>
    <n v="48.9071"/>
    <n v="-125.03701700000001"/>
    <x v="6"/>
    <n v="1.5"/>
    <s v="SW"/>
    <d v="1899-12-30T10:06:00"/>
    <x v="2"/>
    <x v="1"/>
    <n v="2"/>
    <n v="32"/>
    <s v="dim"/>
    <x v="5"/>
    <s v="Leather star"/>
    <n v="1"/>
  </r>
  <r>
    <s v="Em Lim"/>
    <s v="Tom Bird"/>
    <x v="7"/>
    <s v="Hosie South"/>
    <n v="48.9071"/>
    <n v="-125.03701700000001"/>
    <x v="6"/>
    <n v="1.5"/>
    <s v="SW"/>
    <d v="1899-12-30T10:06:00"/>
    <x v="2"/>
    <x v="1"/>
    <n v="2"/>
    <n v="16"/>
    <s v="phe"/>
    <x v="10"/>
    <s v="Sunflower star"/>
    <n v="1"/>
  </r>
  <r>
    <s v="Em Lim"/>
    <s v="Tom Bird"/>
    <x v="7"/>
    <s v="Hosie South"/>
    <n v="48.9071"/>
    <n v="-125.03701700000001"/>
    <x v="6"/>
    <n v="1.5"/>
    <s v="SW"/>
    <d v="1899-12-30T10:06:00"/>
    <x v="2"/>
    <x v="1"/>
    <n v="2"/>
    <n v="0"/>
    <s v="nsf"/>
    <x v="11"/>
    <s v="No species found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48"/>
    <s v="Mfra"/>
    <x v="2"/>
    <s v="Red sea urchin"/>
    <n v="3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48"/>
    <s v="Oko"/>
    <x v="4"/>
    <s v="Rainbow star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40"/>
    <s v="Mfra"/>
    <x v="2"/>
    <s v="Red sea urchin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40"/>
    <s v="dim"/>
    <x v="5"/>
    <s v="Leather star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32"/>
    <s v="Mfra"/>
    <x v="2"/>
    <s v="Red sea urchin"/>
    <n v="4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32"/>
    <s v="dim"/>
    <x v="5"/>
    <s v="Leather star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32"/>
    <s v="Pmi"/>
    <x v="1"/>
    <s v="Bat star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24"/>
    <s v="Mfra"/>
    <x v="2"/>
    <s v="Red sea urchin"/>
    <n v="7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24"/>
    <s v="Pmi"/>
    <x v="1"/>
    <s v="Bat star"/>
    <n v="1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16"/>
    <s v="Mfra"/>
    <x v="2"/>
    <s v="Red sea urchin"/>
    <n v="5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8"/>
    <s v="Mfra"/>
    <x v="2"/>
    <s v="Red sea urchin"/>
    <n v="6"/>
  </r>
  <r>
    <s v="Em Lim"/>
    <s v="Tom Bird"/>
    <x v="6"/>
    <s v="Swiss Boy"/>
    <n v="48.916072999999997"/>
    <n v="-125.131174"/>
    <x v="6"/>
    <n v="4"/>
    <s v="NE"/>
    <d v="1899-12-30T13:03:00"/>
    <x v="8"/>
    <x v="1"/>
    <n v="1"/>
    <n v="0"/>
    <s v="Mfra"/>
    <x v="2"/>
    <s v="Red sea urchin"/>
    <n v="4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40"/>
    <s v="Mfra"/>
    <x v="2"/>
    <s v="Red sea urchin"/>
    <n v="5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40"/>
    <s v="Pmi"/>
    <x v="1"/>
    <s v="Bat star"/>
    <n v="1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40"/>
    <s v="Poc"/>
    <x v="3"/>
    <s v="Purple sea star"/>
    <n v="3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24"/>
    <s v="Mfra"/>
    <x v="2"/>
    <s v="Red sea urchin"/>
    <n v="4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24"/>
    <s v="Sdr"/>
    <x v="6"/>
    <s v="Northern sea urchin"/>
    <n v="1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24"/>
    <s v="Poc"/>
    <x v="3"/>
    <s v="Purple sea star"/>
    <n v="1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8"/>
    <s v="Mfra"/>
    <x v="2"/>
    <s v="Red sea urchin"/>
    <n v="4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0"/>
    <s v="dim"/>
    <x v="5"/>
    <s v="Leather star"/>
    <n v="1"/>
  </r>
  <r>
    <s v="Claire Attridge"/>
    <s v="Isabelle Cote"/>
    <x v="6"/>
    <s v="Swiss Boy"/>
    <n v="48.916072999999997"/>
    <n v="-125.131174"/>
    <x v="6"/>
    <n v="3"/>
    <s v="NE"/>
    <d v="1899-12-30T13:03:00"/>
    <x v="7"/>
    <x v="1"/>
    <n v="2"/>
    <n v="0"/>
    <s v="Mfra"/>
    <x v="2"/>
    <s v="Red sea urchin"/>
    <n v="3"/>
  </r>
  <r>
    <s v="Tom Bird"/>
    <s v="Em Lim"/>
    <x v="6"/>
    <s v="Swiss Boy"/>
    <n v="48.916072999999997"/>
    <n v="-125.131174"/>
    <x v="5"/>
    <n v="4"/>
    <s v="NE"/>
    <d v="1899-12-30T13:03:00"/>
    <x v="8"/>
    <x v="1"/>
    <n v="2"/>
    <n v="40"/>
    <s v="Henricia"/>
    <x v="8"/>
    <s v="Unidentified blood star"/>
    <n v="1"/>
  </r>
  <r>
    <s v="Tom Bird"/>
    <s v="Em Lim"/>
    <x v="6"/>
    <s v="Swiss Boy"/>
    <n v="48.916072999999997"/>
    <n v="-125.131174"/>
    <x v="5"/>
    <n v="4"/>
    <s v="NE"/>
    <d v="1899-12-30T13:03:00"/>
    <x v="8"/>
    <x v="1"/>
    <n v="2"/>
    <n v="8"/>
    <s v="dim"/>
    <x v="5"/>
    <s v="Leather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0"/>
    <s v="Mfra"/>
    <x v="2"/>
    <s v="Red sea urchin"/>
    <n v="7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0"/>
    <s v="Spu"/>
    <x v="7"/>
    <s v="Purple sea urchin (?)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0"/>
    <s v="dim"/>
    <x v="5"/>
    <s v="Leather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8"/>
    <s v="Mfra"/>
    <x v="2"/>
    <s v="Red sea urchin"/>
    <n v="9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8"/>
    <s v="Pmi"/>
    <x v="1"/>
    <s v="Bat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8"/>
    <s v="Oko"/>
    <x v="4"/>
    <s v="Rainbow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16"/>
    <s v="Mfra"/>
    <x v="2"/>
    <s v="Red sea urchin"/>
    <n v="1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16"/>
    <s v="Spu"/>
    <x v="7"/>
    <s v="Purple sea urchin (?)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16"/>
    <s v="Pmi"/>
    <x v="1"/>
    <s v="Bat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24"/>
    <s v="Mfra"/>
    <x v="2"/>
    <s v="Red sea urchin"/>
    <n v="8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24"/>
    <s v="Spu"/>
    <x v="7"/>
    <s v="Purple sea urchin (?)"/>
    <n v="4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32"/>
    <s v="Mfra"/>
    <x v="2"/>
    <s v="Red sea urchin"/>
    <n v="9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32"/>
    <s v="Pmi"/>
    <x v="1"/>
    <s v="Bat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40"/>
    <s v="Mfra"/>
    <x v="2"/>
    <s v="Red sea urchin"/>
    <n v="16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40"/>
    <s v="Pmi"/>
    <x v="1"/>
    <s v="Bat star"/>
    <n v="2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2"/>
    <n v="40"/>
    <s v="Spu"/>
    <x v="7"/>
    <s v="Purple sea urchin (?)"/>
    <n v="2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48"/>
    <s v="Oko"/>
    <x v="4"/>
    <s v="Rainbow star"/>
    <n v="1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48"/>
    <s v="Mfra"/>
    <x v="2"/>
    <s v="Red sea urchin"/>
    <n v="6"/>
  </r>
  <r>
    <s v="Isabelle Cote"/>
    <s v="Tom Bird"/>
    <x v="8"/>
    <s v="Ed King East"/>
    <n v="48.835666656494098"/>
    <n v="-125.214797973632"/>
    <x v="7"/>
    <n v="3.5"/>
    <s v="NW"/>
    <d v="1899-12-30T09:58:00"/>
    <x v="9"/>
    <x v="1"/>
    <n v="1"/>
    <n v="48"/>
    <s v="dim"/>
    <x v="5"/>
    <s v="Leather star"/>
    <n v="1"/>
  </r>
  <r>
    <s v="Tom Bird"/>
    <s v="Isabelle Cote"/>
    <x v="9"/>
    <s v="Dodger Channel"/>
    <n v="48.828948974609297"/>
    <n v="-125.19757080078099"/>
    <x v="7"/>
    <n v="3"/>
    <s v="NE"/>
    <d v="1899-12-30T14:17:00"/>
    <x v="5"/>
    <x v="1"/>
    <n v="2"/>
    <n v="40"/>
    <s v="Mfra"/>
    <x v="2"/>
    <s v="Red sea urchin"/>
    <n v="5"/>
  </r>
  <r>
    <s v="Tom Bird"/>
    <s v="Isabelle Cote"/>
    <x v="9"/>
    <s v="Dodger Channel"/>
    <n v="48.828948974609297"/>
    <n v="-125.19757080078099"/>
    <x v="7"/>
    <n v="3"/>
    <s v="NE"/>
    <d v="1899-12-30T14:17:00"/>
    <x v="5"/>
    <x v="1"/>
    <n v="2"/>
    <n v="24"/>
    <s v="Mfra"/>
    <x v="2"/>
    <s v="Red sea urchin"/>
    <n v="5"/>
  </r>
  <r>
    <s v="Tom Bird"/>
    <s v="Isabelle Cote"/>
    <x v="9"/>
    <s v="Dodger Channel"/>
    <n v="48.828948974609297"/>
    <n v="-125.19757080078099"/>
    <x v="7"/>
    <n v="3"/>
    <s v="NE"/>
    <d v="1899-12-30T14:17:00"/>
    <x v="5"/>
    <x v="1"/>
    <n v="2"/>
    <n v="8"/>
    <s v="Mfra"/>
    <x v="2"/>
    <s v="Red sea urchin"/>
    <n v="9"/>
  </r>
  <r>
    <s v="Tom Bird"/>
    <s v="Isabelle Cote"/>
    <x v="9"/>
    <s v="Dodger Channel"/>
    <n v="48.828948974609297"/>
    <n v="-125.19757080078099"/>
    <x v="7"/>
    <n v="3"/>
    <s v="NE"/>
    <d v="1899-12-30T14:17:00"/>
    <x v="5"/>
    <x v="1"/>
    <n v="1"/>
    <n v="0"/>
    <s v="Pmi"/>
    <x v="1"/>
    <s v="Bat star"/>
    <n v="2"/>
  </r>
  <r>
    <s v="Tom Bird"/>
    <s v="Isabelle Cote"/>
    <x v="9"/>
    <s v="Dodger Channel"/>
    <n v="48.828948974609297"/>
    <n v="-125.19757080078099"/>
    <x v="7"/>
    <n v="3"/>
    <s v="NE"/>
    <d v="1899-12-30T14:17:00"/>
    <x v="5"/>
    <x v="1"/>
    <n v="1"/>
    <n v="0"/>
    <s v="dim"/>
    <x v="5"/>
    <s v="Leather star"/>
    <n v="2"/>
  </r>
  <r>
    <s v="Isabelle Cote"/>
    <s v="Tom Bird"/>
    <x v="9"/>
    <s v="Dodger Channel"/>
    <n v="48.828948974609297"/>
    <n v="-125.19757080078099"/>
    <x v="7"/>
    <n v="3"/>
    <s v="NE"/>
    <d v="1899-12-30T14:17:00"/>
    <x v="5"/>
    <x v="1"/>
    <n v="1"/>
    <n v="48"/>
    <s v="Mfra"/>
    <x v="2"/>
    <s v="Red sea urchin"/>
    <n v="3"/>
  </r>
  <r>
    <s v="Isabelle Cote"/>
    <s v="Tom Bird"/>
    <x v="9"/>
    <s v="Dodger Channel"/>
    <n v="48.828948974609297"/>
    <n v="-125.19757080078099"/>
    <x v="7"/>
    <n v="3"/>
    <s v="NE"/>
    <d v="1899-12-30T14:17:00"/>
    <x v="5"/>
    <x v="1"/>
    <n v="1"/>
    <n v="32"/>
    <s v="Mfra"/>
    <x v="2"/>
    <s v="Red sea urchin"/>
    <n v="5"/>
  </r>
  <r>
    <s v="Isabelle Cote"/>
    <s v="Tom Bird"/>
    <x v="9"/>
    <s v="Dodger Channel"/>
    <n v="48.828948974609297"/>
    <n v="-125.19757080078099"/>
    <x v="7"/>
    <n v="3"/>
    <s v="NE"/>
    <d v="1899-12-30T14:17:00"/>
    <x v="5"/>
    <x v="1"/>
    <n v="1"/>
    <n v="16"/>
    <s v="Mfra"/>
    <x v="2"/>
    <s v="Red sea urchin"/>
    <n v="7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0"/>
    <s v="Pmi"/>
    <x v="1"/>
    <s v="Bat star"/>
    <n v="2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0"/>
    <s v="dim"/>
    <x v="5"/>
    <s v="Leather star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0"/>
    <s v="Mfra"/>
    <x v="2"/>
    <s v="Red sea urchin"/>
    <n v="6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0"/>
    <s v="Spu"/>
    <x v="7"/>
    <s v="Purple sea urchin (?)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0"/>
    <s v="Poc"/>
    <x v="3"/>
    <s v="Purple sea star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8"/>
    <s v="Mfra"/>
    <x v="2"/>
    <s v="Red sea urchin"/>
    <n v="9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8"/>
    <s v="Poc"/>
    <x v="3"/>
    <s v="Purple sea star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16"/>
    <s v="Mfra"/>
    <x v="2"/>
    <s v="Red sea urchin"/>
    <n v="4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16"/>
    <s v="Spu"/>
    <x v="7"/>
    <s v="Purple sea urchin (?)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16"/>
    <s v="Poc"/>
    <x v="3"/>
    <s v="Purple sea star"/>
    <n v="2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24"/>
    <s v="Mfra"/>
    <x v="2"/>
    <s v="Red sea urchin"/>
    <n v="10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24"/>
    <s v="Spu"/>
    <x v="7"/>
    <s v="Purple sea urchin (?)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24"/>
    <s v="Poc"/>
    <x v="3"/>
    <s v="Purple sea star"/>
    <n v="2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32"/>
    <s v="dim"/>
    <x v="5"/>
    <s v="Leather star"/>
    <n v="3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32"/>
    <s v="Poc"/>
    <x v="3"/>
    <s v="Purple sea star"/>
    <n v="2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32"/>
    <s v="Mfra"/>
    <x v="2"/>
    <s v="Red sea urchin"/>
    <n v="8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1"/>
    <n v="32"/>
    <s v="Spu"/>
    <x v="7"/>
    <s v="Purple sea urchin (?)"/>
    <n v="1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40"/>
    <s v="Mfra"/>
    <x v="2"/>
    <s v="Red sea urchin"/>
    <n v="5"/>
  </r>
  <r>
    <s v="Isabelle Cote"/>
    <s v="Tom Bird"/>
    <x v="10"/>
    <s v="Ed King SW Pyramid"/>
    <n v="48.828601837158203"/>
    <n v="-125.221298217773"/>
    <x v="7"/>
    <n v="3"/>
    <s v="W"/>
    <d v="1899-12-30T12:06:00"/>
    <x v="3"/>
    <x v="1"/>
    <n v="2"/>
    <n v="48"/>
    <s v="Mfra"/>
    <x v="2"/>
    <s v="Red sea urchin"/>
    <n v="5"/>
  </r>
  <r>
    <s v="Claire Attridge"/>
    <s v="Em Lim"/>
    <x v="9"/>
    <s v="Dodger Channel"/>
    <n v="48.828948974609297"/>
    <n v="-125.19757080078099"/>
    <x v="8"/>
    <n v="3"/>
    <s v="NE"/>
    <d v="1899-12-30T14:17:00"/>
    <x v="10"/>
    <x v="1"/>
    <n v="2"/>
    <n v="40"/>
    <s v="Mfra"/>
    <x v="2"/>
    <s v="Red sea urchin"/>
    <n v="4"/>
  </r>
  <r>
    <s v="Claire Attridge"/>
    <s v="Em Lim"/>
    <x v="9"/>
    <s v="Dodger Channel"/>
    <n v="48.828948974609297"/>
    <n v="-125.19757080078099"/>
    <x v="8"/>
    <n v="3"/>
    <s v="NE"/>
    <d v="1899-12-30T14:17:00"/>
    <x v="10"/>
    <x v="1"/>
    <n v="2"/>
    <n v="24"/>
    <s v="Mfra"/>
    <x v="2"/>
    <s v="Red sea urchin"/>
    <n v="4"/>
  </r>
  <r>
    <s v="Claire Attridge"/>
    <s v="Em Lim"/>
    <x v="9"/>
    <s v="Dodger Channel"/>
    <n v="48.828948974609297"/>
    <n v="-125.19757080078099"/>
    <x v="8"/>
    <n v="3"/>
    <s v="NE"/>
    <d v="1899-12-30T14:17:00"/>
    <x v="10"/>
    <x v="1"/>
    <n v="2"/>
    <n v="24"/>
    <s v="Poc"/>
    <x v="3"/>
    <s v="Purple sea star"/>
    <n v="1"/>
  </r>
  <r>
    <s v="Claire Attridge"/>
    <s v="Em Lim"/>
    <x v="9"/>
    <s v="Dodger Channel"/>
    <n v="48.828948974609297"/>
    <n v="-125.19757080078099"/>
    <x v="8"/>
    <n v="3"/>
    <s v="NE"/>
    <d v="1899-12-30T14:17:00"/>
    <x v="10"/>
    <x v="1"/>
    <n v="2"/>
    <n v="8"/>
    <s v="Mfra"/>
    <x v="2"/>
    <s v="Red sea urchin"/>
    <n v="7"/>
  </r>
  <r>
    <s v="Claire Attridge"/>
    <s v="Em Lim"/>
    <x v="9"/>
    <s v="Dodger Channel"/>
    <n v="48.828948974609297"/>
    <n v="-125.19757080078099"/>
    <x v="8"/>
    <n v="3"/>
    <s v="NE"/>
    <d v="1899-12-30T14:17:00"/>
    <x v="10"/>
    <x v="1"/>
    <n v="1"/>
    <n v="0"/>
    <s v="Mfra"/>
    <x v="2"/>
    <s v="Red sea urchin"/>
    <n v="4"/>
  </r>
  <r>
    <s v="Em Lim"/>
    <s v="Claire Attridge"/>
    <x v="9"/>
    <s v="Dodger Channel"/>
    <n v="48.828948974609297"/>
    <n v="-125.19757080078099"/>
    <x v="8"/>
    <n v="3"/>
    <s v="NE"/>
    <d v="1899-12-30T14:17:00"/>
    <x v="10"/>
    <x v="1"/>
    <n v="1"/>
    <n v="48"/>
    <s v="Mfra"/>
    <x v="2"/>
    <s v="Red sea urchin"/>
    <n v="10"/>
  </r>
  <r>
    <s v="Em Lim"/>
    <s v="Claire Attridge"/>
    <x v="9"/>
    <s v="Dodger Channel"/>
    <n v="48.828948974609297"/>
    <n v="-125.19757080078099"/>
    <x v="8"/>
    <n v="3"/>
    <s v="NE"/>
    <d v="1899-12-30T14:17:00"/>
    <x v="10"/>
    <x v="1"/>
    <n v="1"/>
    <n v="32"/>
    <s v="Mfra"/>
    <x v="2"/>
    <s v="Red sea urchin"/>
    <n v="8"/>
  </r>
  <r>
    <s v="Em Lim"/>
    <s v="Claire Attridge"/>
    <x v="9"/>
    <s v="Dodger Channel"/>
    <n v="48.828948974609297"/>
    <n v="-125.19757080078099"/>
    <x v="8"/>
    <n v="3"/>
    <s v="NE"/>
    <d v="1899-12-30T14:17:00"/>
    <x v="10"/>
    <x v="1"/>
    <n v="1"/>
    <n v="16"/>
    <s v="Mfra"/>
    <x v="2"/>
    <s v="Red sea urchin"/>
    <n v="7"/>
  </r>
  <r>
    <s v="Em Lim"/>
    <s v="Claire Attridge"/>
    <x v="9"/>
    <s v="Dodger Channel"/>
    <n v="48.828948974609297"/>
    <n v="-125.19757080078099"/>
    <x v="8"/>
    <n v="3"/>
    <s v="NE"/>
    <d v="1899-12-30T14:17:00"/>
    <x v="10"/>
    <x v="1"/>
    <n v="1"/>
    <n v="16"/>
    <s v="Poc"/>
    <x v="3"/>
    <s v="Purple sea star"/>
    <n v="1"/>
  </r>
  <r>
    <s v="Em Lim"/>
    <s v="Claire Attridge"/>
    <x v="9"/>
    <s v="Dodger Channel"/>
    <n v="48.828948974609297"/>
    <n v="-125.19757080078099"/>
    <x v="8"/>
    <n v="3"/>
    <s v="NE"/>
    <d v="1899-12-30T14:17:00"/>
    <x v="10"/>
    <x v="1"/>
    <n v="1"/>
    <n v="16"/>
    <s v="dim"/>
    <x v="5"/>
    <s v="Leather star"/>
    <n v="1"/>
  </r>
  <r>
    <s v="Em Lim"/>
    <s v="Claire Attridge"/>
    <x v="9"/>
    <s v="Dodger Channel"/>
    <n v="48.828948974609297"/>
    <n v="-125.19757080078099"/>
    <x v="8"/>
    <n v="3"/>
    <s v="NE"/>
    <d v="1899-12-30T14:17:00"/>
    <x v="10"/>
    <x v="1"/>
    <n v="1"/>
    <n v="16"/>
    <s v="sfo"/>
    <x v="12"/>
    <s v="Velcro seastar"/>
    <n v="1"/>
  </r>
  <r>
    <s v="Isabelle Cote"/>
    <s v="Tom Bird"/>
    <x v="11"/>
    <s v="Wizard Island South"/>
    <n v="48.857467651367102"/>
    <n v="-125.158233642578"/>
    <x v="9"/>
    <n v="1.5"/>
    <s v="SW"/>
    <d v="1899-12-30T11:48:00"/>
    <x v="10"/>
    <x v="1"/>
    <n v="1"/>
    <n v="48"/>
    <s v="Mfra"/>
    <x v="2"/>
    <s v="Red sea urchin"/>
    <n v="22"/>
  </r>
  <r>
    <s v="Isabelle Cote"/>
    <s v="Tom Bird"/>
    <x v="11"/>
    <s v="Wizard Island South"/>
    <n v="48.857467651367102"/>
    <n v="-125.158233642578"/>
    <x v="9"/>
    <n v="1.5"/>
    <s v="SW"/>
    <d v="1899-12-30T11:48:00"/>
    <x v="10"/>
    <x v="1"/>
    <n v="1"/>
    <n v="32"/>
    <s v="Mfra"/>
    <x v="2"/>
    <s v="Red sea urchin"/>
    <n v="16"/>
  </r>
  <r>
    <s v="Isabelle Cote"/>
    <s v="Tom Bird"/>
    <x v="11"/>
    <s v="Wizard Island South"/>
    <n v="48.857467651367102"/>
    <n v="-125.158233642578"/>
    <x v="9"/>
    <n v="1.5"/>
    <s v="SW"/>
    <d v="1899-12-30T11:48:00"/>
    <x v="10"/>
    <x v="1"/>
    <n v="1"/>
    <n v="16"/>
    <s v="Mfra"/>
    <x v="2"/>
    <s v="Red sea urchin"/>
    <n v="11"/>
  </r>
  <r>
    <s v="Isabelle Cote"/>
    <s v="Tom Bird"/>
    <x v="12"/>
    <s v="Wizard Island North"/>
    <n v="48.858283996582003"/>
    <n v="-125.160919189453"/>
    <x v="9"/>
    <n v="2"/>
    <s v="SW"/>
    <d v="1899-12-30T09:29:00"/>
    <x v="11"/>
    <x v="1"/>
    <n v="1"/>
    <n v="48"/>
    <s v="Mfra"/>
    <x v="2"/>
    <s v="Red sea urchin"/>
    <n v="9"/>
  </r>
  <r>
    <s v="Isabelle Cote"/>
    <s v="Tom Bird"/>
    <x v="12"/>
    <s v="Wizard Island North"/>
    <n v="48.858283996582003"/>
    <n v="-125.160919189453"/>
    <x v="9"/>
    <n v="2"/>
    <s v="SW"/>
    <d v="1899-12-30T09:29:00"/>
    <x v="11"/>
    <x v="1"/>
    <n v="1"/>
    <n v="32"/>
    <s v="Mfra"/>
    <x v="2"/>
    <s v="Red sea urchin"/>
    <n v="6"/>
  </r>
  <r>
    <s v="Isabelle Cote"/>
    <s v="Tom Bird"/>
    <x v="12"/>
    <s v="Wizard Island North"/>
    <n v="48.858283996582003"/>
    <n v="-125.160919189453"/>
    <x v="9"/>
    <n v="2"/>
    <s v="SW"/>
    <d v="1899-12-30T09:29:00"/>
    <x v="11"/>
    <x v="1"/>
    <n v="1"/>
    <n v="16"/>
    <s v="Mfra"/>
    <x v="2"/>
    <s v="Red sea urchin"/>
    <n v="3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1"/>
    <n v="0"/>
    <s v="Mfra"/>
    <x v="2"/>
    <s v="Red sea urchin"/>
    <n v="6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1"/>
    <n v="0"/>
    <s v="dim"/>
    <x v="5"/>
    <s v="Leather star"/>
    <n v="1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8"/>
    <s v="Mfra"/>
    <x v="2"/>
    <s v="Red sea urchin"/>
    <n v="5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8"/>
    <s v="Pmi"/>
    <x v="1"/>
    <s v="Bat star"/>
    <n v="1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16"/>
    <s v="Mfra"/>
    <x v="2"/>
    <s v="Red sea urchin"/>
    <n v="3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24"/>
    <s v="Mfra"/>
    <x v="2"/>
    <s v="Red sea urchin"/>
    <n v="3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32"/>
    <s v="Mfra"/>
    <x v="2"/>
    <s v="Red sea urchin"/>
    <n v="5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32"/>
    <s v="Pmi"/>
    <x v="1"/>
    <s v="Bat star"/>
    <n v="1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40"/>
    <s v="Mfra"/>
    <x v="2"/>
    <s v="Red sea urchin"/>
    <n v="1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40"/>
    <s v="Pmi"/>
    <x v="1"/>
    <s v="Bat star"/>
    <n v="1"/>
  </r>
  <r>
    <s v="Isabelle Cote"/>
    <s v="Tom Bird"/>
    <x v="13"/>
    <s v="Ross Islets Slug Island"/>
    <n v="48.870517730712798"/>
    <n v="-125.160346984863"/>
    <x v="9"/>
    <n v="2"/>
    <s v="W"/>
    <d v="1899-12-30T14:06:00"/>
    <x v="12"/>
    <x v="1"/>
    <n v="2"/>
    <n v="48"/>
    <s v="Mfra"/>
    <x v="2"/>
    <s v="Red sea urchin"/>
    <n v="2"/>
  </r>
  <r>
    <s v="Claire Attridge"/>
    <s v="Em Lim"/>
    <x v="12"/>
    <s v="Wizard Island North"/>
    <n v="48.858283996582003"/>
    <n v="-125.160919189453"/>
    <x v="9"/>
    <n v="2.5"/>
    <s v="NE"/>
    <d v="1899-12-30T09:29:00"/>
    <x v="12"/>
    <x v="1"/>
    <n v="2"/>
    <n v="40"/>
    <s v="Mfra"/>
    <x v="2"/>
    <s v="Red sea urchin"/>
    <n v="7"/>
  </r>
  <r>
    <s v="Claire Attridge"/>
    <s v="Em Lim"/>
    <x v="12"/>
    <s v="Wizard Island North"/>
    <n v="48.858283996582003"/>
    <n v="-125.160919189453"/>
    <x v="9"/>
    <n v="2.5"/>
    <s v="NE"/>
    <d v="1899-12-30T09:29:00"/>
    <x v="12"/>
    <x v="1"/>
    <n v="2"/>
    <n v="24"/>
    <s v="Mfra"/>
    <x v="2"/>
    <s v="Red sea urchin"/>
    <n v="7"/>
  </r>
  <r>
    <s v="Claire Attridge"/>
    <s v="Em Lim"/>
    <x v="12"/>
    <s v="Wizard Island North"/>
    <n v="48.858283996582003"/>
    <n v="-125.160919189453"/>
    <x v="9"/>
    <n v="2.5"/>
    <s v="NE"/>
    <d v="1899-12-30T09:29:00"/>
    <x v="12"/>
    <x v="1"/>
    <n v="2"/>
    <n v="8"/>
    <s v="Mfra"/>
    <x v="2"/>
    <s v="Red sea urchin"/>
    <n v="7"/>
  </r>
  <r>
    <s v="Claire Attridge"/>
    <s v="Em Lim"/>
    <x v="12"/>
    <s v="Wizard Island North"/>
    <n v="48.858283996582003"/>
    <n v="-125.160919189453"/>
    <x v="9"/>
    <n v="2.5"/>
    <s v="NE"/>
    <d v="1899-12-30T09:29:00"/>
    <x v="12"/>
    <x v="1"/>
    <n v="2"/>
    <n v="0"/>
    <s v="Mfra"/>
    <x v="2"/>
    <s v="Red sea urchin"/>
    <n v="8"/>
  </r>
  <r>
    <s v="Claire Attridge"/>
    <s v="Em Lim"/>
    <x v="11"/>
    <s v="Wizard Island South"/>
    <n v="48.857467651367102"/>
    <n v="-125.158233642578"/>
    <x v="9"/>
    <n v="1.5"/>
    <s v="SW"/>
    <d v="1899-12-30T11:48:00"/>
    <x v="1"/>
    <x v="1"/>
    <n v="2"/>
    <n v="40"/>
    <s v="Mfra"/>
    <x v="2"/>
    <s v="Red sea urchin"/>
    <n v="11"/>
  </r>
  <r>
    <s v="Claire Attridge"/>
    <s v="Em Lim"/>
    <x v="11"/>
    <s v="Wizard Island South"/>
    <n v="48.857467651367102"/>
    <n v="-125.158233642578"/>
    <x v="9"/>
    <n v="1.5"/>
    <s v="SW"/>
    <d v="1899-12-30T11:48:00"/>
    <x v="1"/>
    <x v="1"/>
    <n v="2"/>
    <n v="8"/>
    <s v="Mfra"/>
    <x v="2"/>
    <s v="Red sea urchin"/>
    <n v="2"/>
  </r>
  <r>
    <s v="Claire Attridge"/>
    <s v="Em Lim"/>
    <x v="11"/>
    <s v="Wizard Island South"/>
    <n v="48.857467651367102"/>
    <n v="-125.158233642578"/>
    <x v="9"/>
    <n v="1.5"/>
    <s v="SW"/>
    <d v="1899-12-30T11:48:00"/>
    <x v="1"/>
    <x v="1"/>
    <n v="2"/>
    <n v="0"/>
    <s v="Mfra"/>
    <x v="2"/>
    <s v="Red sea urchin"/>
    <n v="10"/>
  </r>
  <r>
    <s v="Em Lim"/>
    <s v="Claire Attridge"/>
    <x v="12"/>
    <s v="Wizard Island North"/>
    <n v="48.858283996582003"/>
    <n v="-125.160919189453"/>
    <x v="9"/>
    <n v="2.5"/>
    <s v="NE"/>
    <d v="1899-12-30T09:29:00"/>
    <x v="12"/>
    <x v="1"/>
    <n v="1"/>
    <n v="48"/>
    <s v="Mfra"/>
    <x v="2"/>
    <s v="Red sea urchin"/>
    <n v="10"/>
  </r>
  <r>
    <s v="Em Lim"/>
    <s v="Claire Attridge"/>
    <x v="12"/>
    <s v="Wizard Island North"/>
    <n v="48.858283996582003"/>
    <n v="-125.160919189453"/>
    <x v="9"/>
    <n v="2.5"/>
    <s v="NE"/>
    <d v="1899-12-30T09:29:00"/>
    <x v="12"/>
    <x v="1"/>
    <n v="1"/>
    <n v="48"/>
    <s v="Pmi"/>
    <x v="1"/>
    <s v="Bat star"/>
    <n v="3"/>
  </r>
  <r>
    <s v="Em Lim"/>
    <s v="Claire Attridge"/>
    <x v="12"/>
    <s v="Wizard Island North"/>
    <n v="48.858283996582003"/>
    <n v="-125.160919189453"/>
    <x v="9"/>
    <n v="2.5"/>
    <s v="NE"/>
    <d v="1899-12-30T09:29:00"/>
    <x v="12"/>
    <x v="1"/>
    <n v="1"/>
    <n v="32"/>
    <s v="Mfra"/>
    <x v="2"/>
    <s v="Red sea urchin"/>
    <n v="12"/>
  </r>
  <r>
    <s v="Em Lim"/>
    <s v="Claire Attridge"/>
    <x v="12"/>
    <s v="Wizard Island North"/>
    <n v="48.858283996582003"/>
    <n v="-125.160919189453"/>
    <x v="9"/>
    <n v="2.5"/>
    <s v="NE"/>
    <d v="1899-12-30T09:29:00"/>
    <x v="12"/>
    <x v="1"/>
    <n v="1"/>
    <n v="16"/>
    <s v="Mfra"/>
    <x v="2"/>
    <s v="Red sea urchin"/>
    <n v="11"/>
  </r>
  <r>
    <s v="Em Lim"/>
    <s v="Claire Attridge"/>
    <x v="11"/>
    <s v="Wizard Island South"/>
    <n v="48.857467651367102"/>
    <n v="-125.158233642578"/>
    <x v="9"/>
    <n v="1.5"/>
    <s v="SW"/>
    <d v="1899-12-30T11:48:00"/>
    <x v="1"/>
    <x v="1"/>
    <n v="1"/>
    <n v="48"/>
    <s v="Mfra"/>
    <x v="2"/>
    <s v="Red sea urchin"/>
    <n v="8"/>
  </r>
  <r>
    <s v="Em Lim"/>
    <s v="Claire Attridge"/>
    <x v="11"/>
    <s v="Wizard Island South"/>
    <n v="48.857467651367102"/>
    <n v="-125.158233642578"/>
    <x v="9"/>
    <n v="1.5"/>
    <s v="SW"/>
    <d v="1899-12-30T11:48:00"/>
    <x v="1"/>
    <x v="1"/>
    <n v="1"/>
    <n v="32"/>
    <s v="Mfra"/>
    <x v="2"/>
    <s v="Red sea urchin"/>
    <n v="15"/>
  </r>
  <r>
    <s v="Em Lim"/>
    <s v="Claire Attridge"/>
    <x v="11"/>
    <s v="Wizard Island South"/>
    <n v="48.857467651367102"/>
    <n v="-125.158233642578"/>
    <x v="9"/>
    <n v="1.5"/>
    <s v="SW"/>
    <d v="1899-12-30T11:48:00"/>
    <x v="1"/>
    <x v="1"/>
    <n v="1"/>
    <n v="16"/>
    <s v="Mfra"/>
    <x v="2"/>
    <s v="Red sea urchin"/>
    <n v="8"/>
  </r>
  <r>
    <s v="Tom Bird"/>
    <s v="Isabelle Cote"/>
    <x v="11"/>
    <s v="Wizard Island South"/>
    <n v="48.857467651367102"/>
    <n v="-125.158233642578"/>
    <x v="9"/>
    <n v="1.5"/>
    <s v="SW"/>
    <d v="1899-12-30T11:48:00"/>
    <x v="10"/>
    <x v="1"/>
    <n v="2"/>
    <n v="40"/>
    <s v="Mfra"/>
    <x v="2"/>
    <s v="Red sea urchin"/>
    <n v="10"/>
  </r>
  <r>
    <s v="Tom Bird"/>
    <s v="Isabelle Cote"/>
    <x v="11"/>
    <s v="Wizard Island South"/>
    <n v="48.857467651367102"/>
    <n v="-125.158233642578"/>
    <x v="9"/>
    <n v="1.5"/>
    <s v="SW"/>
    <d v="1899-12-30T11:48:00"/>
    <x v="10"/>
    <x v="1"/>
    <n v="2"/>
    <n v="40"/>
    <s v="dim"/>
    <x v="5"/>
    <s v="Leather star"/>
    <n v="2"/>
  </r>
  <r>
    <s v="Tom Bird"/>
    <s v="Isabelle Cote"/>
    <x v="11"/>
    <s v="Wizard Island South"/>
    <n v="48.857467651367102"/>
    <n v="-125.158233642578"/>
    <x v="9"/>
    <n v="1.5"/>
    <s v="SW"/>
    <d v="1899-12-30T11:48:00"/>
    <x v="10"/>
    <x v="1"/>
    <n v="2"/>
    <n v="24"/>
    <s v="Mfra"/>
    <x v="2"/>
    <s v="Red sea urchin"/>
    <n v="11"/>
  </r>
  <r>
    <s v="Tom Bird"/>
    <s v="Isabelle Cote"/>
    <x v="11"/>
    <s v="Wizard Island South"/>
    <n v="48.857467651367102"/>
    <n v="-125.158233642578"/>
    <x v="9"/>
    <n v="1.5"/>
    <s v="SW"/>
    <d v="1899-12-30T11:48:00"/>
    <x v="10"/>
    <x v="1"/>
    <n v="2"/>
    <n v="8"/>
    <s v="Mfra"/>
    <x v="2"/>
    <s v="Red sea urchin"/>
    <n v="10"/>
  </r>
  <r>
    <s v="Tom Bird"/>
    <s v="Isabelle Cote"/>
    <x v="11"/>
    <s v="Wizard Island South"/>
    <n v="48.857467651367102"/>
    <n v="-125.158233642578"/>
    <x v="9"/>
    <n v="1.5"/>
    <s v="SW"/>
    <d v="1899-12-30T11:48:00"/>
    <x v="10"/>
    <x v="1"/>
    <n v="2"/>
    <n v="0"/>
    <s v="Mfra"/>
    <x v="2"/>
    <s v="Red sea urchin"/>
    <n v="16"/>
  </r>
  <r>
    <s v="Tom Bird"/>
    <s v="Isabelle Cote"/>
    <x v="12"/>
    <s v="Wizard Island North"/>
    <n v="48.858283996582003"/>
    <n v="-125.160919189453"/>
    <x v="9"/>
    <n v="2"/>
    <s v="SW"/>
    <d v="1899-12-30T09:29:00"/>
    <x v="11"/>
    <x v="1"/>
    <n v="2"/>
    <n v="40"/>
    <s v="Mfra"/>
    <x v="2"/>
    <s v="Red sea urchin"/>
    <n v="4"/>
  </r>
  <r>
    <s v="Tom Bird"/>
    <s v="Isabelle Cote"/>
    <x v="12"/>
    <s v="Wizard Island North"/>
    <n v="48.858283996582003"/>
    <n v="-125.160919189453"/>
    <x v="9"/>
    <n v="2"/>
    <s v="SW"/>
    <d v="1899-12-30T09:29:00"/>
    <x v="11"/>
    <x v="1"/>
    <n v="2"/>
    <n v="40"/>
    <s v="Pmi"/>
    <x v="1"/>
    <s v="Bat star"/>
    <n v="1"/>
  </r>
  <r>
    <s v="Tom Bird"/>
    <s v="Isabelle Cote"/>
    <x v="12"/>
    <s v="Wizard Island North"/>
    <n v="48.858283996582003"/>
    <n v="-125.160919189453"/>
    <x v="9"/>
    <n v="2"/>
    <s v="SW"/>
    <d v="1899-12-30T09:29:00"/>
    <x v="11"/>
    <x v="1"/>
    <n v="2"/>
    <n v="24"/>
    <s v="Mfra"/>
    <x v="2"/>
    <s v="Red sea urchin"/>
    <n v="4"/>
  </r>
  <r>
    <s v="Tom Bird"/>
    <s v="Isabelle Cote"/>
    <x v="12"/>
    <s v="Wizard Island North"/>
    <n v="48.858283996582003"/>
    <n v="-125.160919189453"/>
    <x v="9"/>
    <n v="2"/>
    <s v="SW"/>
    <d v="1899-12-30T09:29:00"/>
    <x v="11"/>
    <x v="1"/>
    <n v="2"/>
    <n v="8"/>
    <s v="Mfra"/>
    <x v="2"/>
    <s v="Red sea urchin"/>
    <n v="8"/>
  </r>
  <r>
    <s v="Tom Bird"/>
    <s v="Isabelle Cote"/>
    <x v="12"/>
    <s v="Wizard Island North"/>
    <n v="48.858283996582003"/>
    <n v="-125.160919189453"/>
    <x v="9"/>
    <n v="2"/>
    <s v="SW"/>
    <d v="1899-12-30T09:29:00"/>
    <x v="11"/>
    <x v="1"/>
    <n v="2"/>
    <n v="8"/>
    <s v="Henricia"/>
    <x v="8"/>
    <s v="Unidentified blood star"/>
    <n v="1"/>
  </r>
  <r>
    <s v="Tom Bird"/>
    <s v="Isabelle Cote"/>
    <x v="12"/>
    <s v="Wizard Island North"/>
    <n v="48.858283996582003"/>
    <n v="-125.160919189453"/>
    <x v="9"/>
    <n v="2"/>
    <s v="SW"/>
    <d v="1899-12-30T09:29:00"/>
    <x v="11"/>
    <x v="1"/>
    <n v="2"/>
    <n v="0"/>
    <s v="Mfra"/>
    <x v="2"/>
    <s v="Red sea urchin"/>
    <n v="9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0"/>
    <s v="Mfra"/>
    <x v="2"/>
    <s v="Red sea urchin"/>
    <n v="1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16"/>
    <s v="Mfra"/>
    <x v="2"/>
    <s v="Red sea urchin"/>
    <n v="1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16"/>
    <s v="Pmi"/>
    <x v="1"/>
    <s v="Bat star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32"/>
    <s v="Mfra"/>
    <x v="2"/>
    <s v="Red sea urchin"/>
    <n v="2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32"/>
    <s v="Pmi"/>
    <x v="1"/>
    <s v="Bat star"/>
    <n v="2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48"/>
    <s v="Mfra"/>
    <x v="2"/>
    <s v="Red sea urchin"/>
    <n v="10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48"/>
    <s v="Oko"/>
    <x v="4"/>
    <s v="Rainbow star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8"/>
    <s v="Mfra"/>
    <x v="2"/>
    <s v="Red sea urchin"/>
    <n v="5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8"/>
    <s v="Spu"/>
    <x v="7"/>
    <s v="Purple sea urchin (?)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8"/>
    <s v="Oko"/>
    <x v="4"/>
    <s v="Rainbow star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24"/>
    <s v="Mfra"/>
    <x v="2"/>
    <s v="Red sea urchin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24"/>
    <s v="Pmi"/>
    <x v="1"/>
    <s v="Bat star"/>
    <n v="2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24"/>
    <s v="dim"/>
    <x v="5"/>
    <s v="Leather star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24"/>
    <s v="Oko"/>
    <x v="4"/>
    <s v="Rainbow star"/>
    <n v="1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40"/>
    <s v="Mfra"/>
    <x v="2"/>
    <s v="Red sea urchin"/>
    <n v="6"/>
  </r>
  <r>
    <s v="Valesca de Groot"/>
    <s v="Em Lim"/>
    <x v="14"/>
    <s v="Ohiat"/>
    <n v="48.855583190917898"/>
    <n v="-125.183799743652"/>
    <x v="10"/>
    <n v="3.5"/>
    <s v="W"/>
    <d v="1899-12-30T12:23:00"/>
    <x v="6"/>
    <x v="1"/>
    <n v="2"/>
    <n v="40"/>
    <s v="Pmi"/>
    <x v="1"/>
    <s v="Bat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48"/>
    <s v="Mfra"/>
    <x v="2"/>
    <s v="Red sea urchin"/>
    <n v="4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48"/>
    <s v="Poc"/>
    <x v="3"/>
    <s v="Purple sea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40"/>
    <s v="Mfra"/>
    <x v="2"/>
    <s v="Red sea urchin"/>
    <n v="3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40"/>
    <s v="dim"/>
    <x v="5"/>
    <s v="Leather star"/>
    <n v="2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32"/>
    <s v="Mfra"/>
    <x v="2"/>
    <s v="Red sea urchin"/>
    <n v="2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32"/>
    <s v="Poc"/>
    <x v="3"/>
    <s v="Purple sea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32"/>
    <s v="Henricia"/>
    <x v="8"/>
    <s v="Unidentified blood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32"/>
    <s v="dim"/>
    <x v="5"/>
    <s v="Leather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24"/>
    <s v="Mfra"/>
    <x v="2"/>
    <s v="Red sea urchin"/>
    <n v="6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24"/>
    <s v="Pmi"/>
    <x v="1"/>
    <s v="Bat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16"/>
    <s v="Mfra"/>
    <x v="2"/>
    <s v="Red sea urchin"/>
    <n v="7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8"/>
    <s v="Mfra"/>
    <x v="2"/>
    <s v="Red sea urchin"/>
    <n v="4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2"/>
    <n v="8"/>
    <s v="Oko"/>
    <x v="4"/>
    <s v="Rainbow star"/>
    <n v="1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0"/>
    <s v="Mfra"/>
    <x v="2"/>
    <s v="Red sea urchin"/>
    <n v="7"/>
  </r>
  <r>
    <s v="Em Lim"/>
    <s v="Claire Attridge"/>
    <x v="15"/>
    <s v="Kii xin"/>
    <n v="48.815116882324197"/>
    <n v="-125.175331115722"/>
    <x v="10"/>
    <n v="3"/>
    <s v="NE"/>
    <d v="1899-12-30T10:09:00"/>
    <x v="3"/>
    <x v="1"/>
    <n v="1"/>
    <n v="0"/>
    <s v="dim"/>
    <x v="5"/>
    <s v="Leather star"/>
    <n v="1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0"/>
    <s v="Mfra"/>
    <x v="2"/>
    <s v="Red sea urchin"/>
    <n v="6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8"/>
    <s v="Mfra"/>
    <x v="2"/>
    <s v="Red sea urchin"/>
    <n v="6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16"/>
    <s v="Mfra"/>
    <x v="2"/>
    <s v="Red sea urchin"/>
    <n v="7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16"/>
    <s v="Pmi"/>
    <x v="1"/>
    <s v="Bat star"/>
    <n v="1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24"/>
    <s v="Pmi"/>
    <x v="1"/>
    <s v="Bat star"/>
    <n v="1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32"/>
    <s v="Mfra"/>
    <x v="2"/>
    <s v="Red sea urchin"/>
    <n v="6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32"/>
    <s v="Oko"/>
    <x v="4"/>
    <s v="Rainbow star"/>
    <n v="1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32"/>
    <s v="dim"/>
    <x v="5"/>
    <s v="Leather star"/>
    <n v="1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40"/>
    <s v="Mfra"/>
    <x v="2"/>
    <s v="Red sea urchin"/>
    <n v="4"/>
  </r>
  <r>
    <s v="Claire Attridge"/>
    <s v="Em Lim"/>
    <x v="16"/>
    <s v="Kirby"/>
    <n v="48.850399017333899"/>
    <n v="-125.198768615722"/>
    <x v="10"/>
    <n v="3.5"/>
    <s v="N"/>
    <d v="1899-12-30T14:51:00"/>
    <x v="13"/>
    <x v="1"/>
    <n v="2"/>
    <n v="48"/>
    <s v="Mfra"/>
    <x v="2"/>
    <s v="Red sea urchin"/>
    <n v="4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0"/>
    <s v="Mfra"/>
    <x v="2"/>
    <s v="Red sea urchin"/>
    <n v="14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16"/>
    <s v="Mfra"/>
    <x v="2"/>
    <s v="Red sea urchin"/>
    <n v="7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32"/>
    <s v="Mfra"/>
    <x v="2"/>
    <s v="Red sea urchin"/>
    <n v="0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48"/>
    <s v="Mfra"/>
    <x v="2"/>
    <s v="Red sea urchin"/>
    <n v="6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8"/>
    <s v="Mfra"/>
    <x v="2"/>
    <s v="Red sea urchin"/>
    <n v="7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24"/>
    <s v="Mfra"/>
    <x v="2"/>
    <s v="Red sea urchin"/>
    <n v="11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24"/>
    <s v="dim"/>
    <x v="5"/>
    <s v="Leather star"/>
    <n v="1"/>
  </r>
  <r>
    <s v="Valesca de Groot"/>
    <s v="Em Lim"/>
    <x v="17"/>
    <s v="Dixon SW"/>
    <n v="48.85205078125"/>
    <n v="-125.123565673828"/>
    <x v="11"/>
    <n v="3.5"/>
    <s v="E"/>
    <d v="1899-12-30T09:41:00"/>
    <x v="5"/>
    <x v="1"/>
    <n v="2"/>
    <n v="40"/>
    <s v="Mfra"/>
    <x v="2"/>
    <s v="Red sea urchin"/>
    <n v="6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0"/>
    <s v="Pmi"/>
    <x v="1"/>
    <s v="Bat star"/>
    <n v="1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8"/>
    <s v="Pmi"/>
    <x v="1"/>
    <s v="Bat star"/>
    <n v="1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16"/>
    <s v="Mfra"/>
    <x v="2"/>
    <s v="Red sea urchin"/>
    <n v="3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24"/>
    <s v="dim"/>
    <x v="5"/>
    <s v="Leather star"/>
    <n v="1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32"/>
    <s v="Mfra"/>
    <x v="2"/>
    <s v="Red sea urchin"/>
    <n v="4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40"/>
    <s v="Mfra"/>
    <x v="2"/>
    <s v="Red sea urchin"/>
    <n v="5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48"/>
    <s v="Mfra"/>
    <x v="2"/>
    <s v="Red sea urchin"/>
    <n v="4"/>
  </r>
  <r>
    <s v="Claire Attridge"/>
    <s v="Em Lim"/>
    <x v="18"/>
    <s v="Dixon Inside"/>
    <n v="48.8542671203613"/>
    <n v="-125.11703491210901"/>
    <x v="11"/>
    <n v="2"/>
    <s v="E"/>
    <d v="1899-12-30T11:53:00"/>
    <x v="7"/>
    <x v="1"/>
    <n v="2"/>
    <n v="48"/>
    <s v="etr"/>
    <x v="9"/>
    <s v="Mottled starfish"/>
    <n v="1"/>
  </r>
  <r>
    <s v="Valesca de Groot"/>
    <s v="Em Lim"/>
    <x v="19"/>
    <s v="Effingham West"/>
    <n v="48.865032196044901"/>
    <n v="-125.313720703125"/>
    <x v="12"/>
    <n v="3"/>
    <s v="W"/>
    <d v="1899-12-30T14:53:00"/>
    <x v="14"/>
    <x v="1"/>
    <n v="2"/>
    <n v="8"/>
    <s v="Mfra"/>
    <x v="2"/>
    <s v="Red sea urchin"/>
    <n v="8"/>
  </r>
  <r>
    <s v="Valesca de Groot"/>
    <s v="Em Lim"/>
    <x v="19"/>
    <s v="Effingham West"/>
    <n v="48.865032196044901"/>
    <n v="-125.313720703125"/>
    <x v="12"/>
    <n v="3"/>
    <s v="W"/>
    <d v="1899-12-30T14:53:00"/>
    <x v="14"/>
    <x v="1"/>
    <n v="2"/>
    <n v="8"/>
    <s v="Pmi"/>
    <x v="1"/>
    <s v="Bat star"/>
    <n v="2"/>
  </r>
  <r>
    <s v="Valesca de Groot"/>
    <s v="Em Lim"/>
    <x v="19"/>
    <s v="Effingham West"/>
    <n v="48.865032196044901"/>
    <n v="-125.313720703125"/>
    <x v="12"/>
    <n v="3"/>
    <s v="W"/>
    <d v="1899-12-30T14:53:00"/>
    <x v="14"/>
    <x v="1"/>
    <n v="2"/>
    <n v="24"/>
    <s v="Mfra"/>
    <x v="2"/>
    <s v="Red sea urchin"/>
    <n v="12"/>
  </r>
  <r>
    <s v="Valesca de Groot"/>
    <s v="Em Lim"/>
    <x v="19"/>
    <s v="Effingham West"/>
    <n v="48.865032196044901"/>
    <n v="-125.313720703125"/>
    <x v="12"/>
    <n v="3"/>
    <s v="W"/>
    <d v="1899-12-30T14:53:00"/>
    <x v="14"/>
    <x v="1"/>
    <n v="2"/>
    <n v="24"/>
    <s v="Pmi"/>
    <x v="1"/>
    <s v="Bat star"/>
    <n v="1"/>
  </r>
  <r>
    <s v="Valesca de Groot"/>
    <s v="Em Lim"/>
    <x v="19"/>
    <s v="Effingham West"/>
    <n v="48.865032196044901"/>
    <n v="-125.313720703125"/>
    <x v="12"/>
    <n v="3"/>
    <s v="W"/>
    <d v="1899-12-30T14:53:00"/>
    <x v="14"/>
    <x v="1"/>
    <n v="2"/>
    <n v="40"/>
    <s v="Mfra"/>
    <x v="2"/>
    <s v="Red sea urchin"/>
    <n v="10"/>
  </r>
  <r>
    <s v="Valesca de Groot"/>
    <s v="Em Lim"/>
    <x v="19"/>
    <s v="Effingham West"/>
    <n v="48.865032196044901"/>
    <n v="-125.313720703125"/>
    <x v="12"/>
    <n v="3"/>
    <s v="W"/>
    <d v="1899-12-30T14:53:00"/>
    <x v="14"/>
    <x v="1"/>
    <n v="2"/>
    <n v="40"/>
    <s v="Pmi"/>
    <x v="1"/>
    <s v="Bat star"/>
    <n v="6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1"/>
    <n v="0"/>
    <s v="Mfra"/>
    <x v="2"/>
    <s v="Red sea urchin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1"/>
    <n v="0"/>
    <s v="Pmi"/>
    <x v="1"/>
    <s v="Bat star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2"/>
    <n v="8"/>
    <s v="Mfra"/>
    <x v="2"/>
    <s v="Red sea urchin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2"/>
    <n v="8"/>
    <s v="Pmi"/>
    <x v="1"/>
    <s v="Bat star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1"/>
    <n v="16"/>
    <s v="Mfra"/>
    <x v="2"/>
    <s v="Red sea urchin"/>
    <n v="4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2"/>
    <n v="24"/>
    <s v="Mfra"/>
    <x v="2"/>
    <s v="Red sea urchin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1"/>
    <n v="32"/>
    <s v="Mfra"/>
    <x v="2"/>
    <s v="Red sea urchin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1"/>
    <n v="32"/>
    <s v="Pmi"/>
    <x v="1"/>
    <s v="Bat star"/>
    <n v="1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2"/>
    <n v="40"/>
    <s v="Mfra"/>
    <x v="2"/>
    <s v="Red sea urchin"/>
    <n v="5"/>
  </r>
  <r>
    <s v="Em Lim"/>
    <s v="Jasmin Schuster"/>
    <x v="20"/>
    <s v="Wouwer Channel"/>
    <n v="48.865482330322202"/>
    <n v="-125.36148071289"/>
    <x v="13"/>
    <n v="2.5"/>
    <s v="NE"/>
    <d v="1899-12-30T15:10:00"/>
    <x v="15"/>
    <x v="1"/>
    <n v="1"/>
    <n v="48"/>
    <s v="Mfra"/>
    <x v="2"/>
    <s v="Red sea urchin"/>
    <n v="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48"/>
    <s v="Mfra"/>
    <x v="2"/>
    <s v="Red sea urchin"/>
    <n v="9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48"/>
    <s v="Oko"/>
    <x v="4"/>
    <s v="Rainbow star"/>
    <n v="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48"/>
    <s v="Pmi"/>
    <x v="1"/>
    <s v="Bat star"/>
    <n v="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32"/>
    <s v="Mfra"/>
    <x v="2"/>
    <s v="Red sea urchin"/>
    <n v="1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32"/>
    <s v="Pmi"/>
    <x v="1"/>
    <s v="Bat star"/>
    <n v="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16"/>
    <s v="Mfra"/>
    <x v="2"/>
    <s v="Red sea urchin"/>
    <n v="10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16"/>
    <s v="Pmi"/>
    <x v="1"/>
    <s v="Bat star"/>
    <n v="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0"/>
    <s v="Mfra"/>
    <x v="2"/>
    <s v="Red sea urchin"/>
    <n v="1"/>
  </r>
  <r>
    <s v="Em Lim"/>
    <s v="Valesca de Groot"/>
    <x v="19"/>
    <s v="Effingham West"/>
    <n v="48.865032196044901"/>
    <n v="-125.313720703125"/>
    <x v="12"/>
    <n v="3"/>
    <s v="W"/>
    <d v="1899-12-30T14:53:00"/>
    <x v="14"/>
    <x v="1"/>
    <n v="2"/>
    <n v="0"/>
    <s v="Pmi"/>
    <x v="1"/>
    <s v="Bat star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1"/>
    <n v="48"/>
    <s v="Mfra"/>
    <x v="2"/>
    <s v="Red sea urchin"/>
    <n v="2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1"/>
    <n v="48"/>
    <s v="Pmi"/>
    <x v="1"/>
    <s v="Bat star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40"/>
    <s v="Mfra"/>
    <x v="2"/>
    <s v="Red sea urchin"/>
    <n v="3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40"/>
    <s v="Oko"/>
    <x v="4"/>
    <s v="Rainbow star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40"/>
    <s v="Pmi"/>
    <x v="1"/>
    <s v="Bat star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1"/>
    <n v="32"/>
    <s v="Mfra"/>
    <x v="2"/>
    <s v="Red sea urchin"/>
    <n v="8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1"/>
    <n v="32"/>
    <s v="dim"/>
    <x v="5"/>
    <s v="Leather star"/>
    <n v="2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24"/>
    <s v="Mfra"/>
    <x v="2"/>
    <s v="Red sea urchin"/>
    <n v="7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24"/>
    <s v="Pmi"/>
    <x v="1"/>
    <s v="Bat star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1"/>
    <n v="16"/>
    <s v="Mfra"/>
    <x v="2"/>
    <s v="Red sea urchin"/>
    <n v="5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1"/>
    <n v="16"/>
    <s v="Pmi"/>
    <x v="1"/>
    <s v="Bat star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8"/>
    <s v="Mfra"/>
    <x v="2"/>
    <s v="Red sea urchin"/>
    <n v="6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0"/>
    <s v="Mfra"/>
    <x v="2"/>
    <s v="Red sea urchin"/>
    <n v="1"/>
  </r>
  <r>
    <s v="Em Lim"/>
    <s v="Valesca de Groot"/>
    <x v="21"/>
    <s v="Effingham Archipelago"/>
    <n v="48.879081726074197"/>
    <n v="-125.297401428222"/>
    <x v="12"/>
    <n v="4"/>
    <s v="SE"/>
    <d v="1899-12-30T09:49:00"/>
    <x v="6"/>
    <x v="1"/>
    <n v="2"/>
    <n v="0"/>
    <s v="Pmi"/>
    <x v="1"/>
    <s v="Bat star"/>
    <n v="2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0"/>
    <s v="Mfra"/>
    <x v="2"/>
    <s v="Red sea urchin"/>
    <n v="6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0"/>
    <s v="Pmi"/>
    <x v="1"/>
    <s v="Bat star"/>
    <n v="3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0"/>
    <s v="Oko"/>
    <x v="4"/>
    <s v="Rainbow star"/>
    <n v="1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16"/>
    <s v="Mfra"/>
    <x v="2"/>
    <s v="Red sea urchin"/>
    <n v="6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16"/>
    <s v="Pmi"/>
    <x v="1"/>
    <s v="Bat star"/>
    <n v="2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16"/>
    <s v="Oko"/>
    <x v="4"/>
    <s v="Rainbow star"/>
    <n v="1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32"/>
    <s v="Mfra"/>
    <x v="2"/>
    <s v="Red sea urchin"/>
    <n v="3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48"/>
    <s v="Mfra"/>
    <x v="2"/>
    <s v="Red sea urchin"/>
    <n v="4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8"/>
    <s v="Pmi"/>
    <x v="1"/>
    <s v="Bat star"/>
    <n v="3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8"/>
    <s v="Mfra"/>
    <x v="2"/>
    <s v="Red sea urchin"/>
    <n v="3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24"/>
    <s v="Mfra"/>
    <x v="2"/>
    <s v="Red sea urchin"/>
    <n v="4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24"/>
    <s v="Pmi"/>
    <x v="1"/>
    <s v="Bat star"/>
    <n v="1"/>
  </r>
  <r>
    <s v="Valesca de Groot"/>
    <s v="Em Lim"/>
    <x v="22"/>
    <s v="Faber Islets"/>
    <n v="48.890701293945298"/>
    <n v="-125.300498962402"/>
    <x v="13"/>
    <n v="3"/>
    <s v="NW"/>
    <d v="1899-12-30T09:50:00"/>
    <x v="1"/>
    <x v="1"/>
    <n v="2"/>
    <n v="40"/>
    <s v="Mfra"/>
    <x v="2"/>
    <s v="Red sea urchin"/>
    <n v="4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0"/>
    <s v="Mfra"/>
    <x v="2"/>
    <s v="Red sea urchin"/>
    <n v="5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16"/>
    <s v="Mfra"/>
    <x v="2"/>
    <s v="Red sea urchin"/>
    <n v="3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16"/>
    <s v="Sdr"/>
    <x v="6"/>
    <s v="Northern sea urchin"/>
    <n v="1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32"/>
    <s v="Mfra"/>
    <x v="2"/>
    <s v="Red sea urchin"/>
    <n v="3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40"/>
    <s v="Mfra"/>
    <x v="2"/>
    <s v="Red sea urchin"/>
    <n v="3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40"/>
    <s v="Sdr"/>
    <x v="6"/>
    <s v="Northern sea urchin"/>
    <n v="1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8"/>
    <s v="Sdr"/>
    <x v="6"/>
    <s v="Northern sea urchin"/>
    <n v="1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8"/>
    <s v="Mfra"/>
    <x v="2"/>
    <s v="Red sea urchin"/>
    <n v="2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24"/>
    <s v="Mfra"/>
    <x v="2"/>
    <s v="Red sea urchin"/>
    <n v="5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24"/>
    <s v="Sdr"/>
    <x v="6"/>
    <s v="Northern sea urchin"/>
    <n v="1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24"/>
    <s v="dim"/>
    <x v="5"/>
    <s v="Leather star"/>
    <n v="1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40"/>
    <s v="Mfra"/>
    <x v="2"/>
    <s v="Red sea urchin"/>
    <n v="5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40"/>
    <s v="Sdr"/>
    <x v="6"/>
    <s v="Northern sea urchin"/>
    <n v="2"/>
  </r>
  <r>
    <s v="Valesca de Groot"/>
    <s v="Em Lim"/>
    <x v="22"/>
    <s v="Faber Islets"/>
    <n v="48.890701293945298"/>
    <n v="-125.300498962402"/>
    <x v="13"/>
    <n v="3"/>
    <s v="SW"/>
    <d v="1899-12-30T11:39:00"/>
    <x v="1"/>
    <x v="1"/>
    <n v="2"/>
    <n v="40"/>
    <s v="Henricia"/>
    <x v="8"/>
    <s v="Unidentified blood star"/>
    <n v="1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1"/>
    <n v="48"/>
    <s v="Mfra"/>
    <x v="2"/>
    <s v="Red sea urchin"/>
    <n v="5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2"/>
    <n v="40"/>
    <s v="Mfra"/>
    <x v="2"/>
    <s v="Red sea urchin"/>
    <n v="3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1"/>
    <n v="32"/>
    <s v="Mfra"/>
    <x v="2"/>
    <s v="Red sea urchin"/>
    <n v="2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2"/>
    <n v="24"/>
    <s v="Mfra"/>
    <x v="13"/>
    <s v="NOT PRESENT"/>
    <n v="2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1"/>
    <n v="16"/>
    <s v="Mfra"/>
    <x v="2"/>
    <s v="Red sea urchin"/>
    <n v="4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2"/>
    <n v="8"/>
    <s v="Mfra"/>
    <x v="2"/>
    <s v="Red sea urchin"/>
    <n v="7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2"/>
    <n v="8"/>
    <s v="Sdr"/>
    <x v="6"/>
    <s v="Northern sea urchin"/>
    <n v="1"/>
  </r>
  <r>
    <s v="Em Lim"/>
    <s v="Valesca de Groot"/>
    <x v="23"/>
    <s v="San Jose North Island"/>
    <n v="48.901183000000003"/>
    <n v="-125.060433"/>
    <x v="14"/>
    <n v="3"/>
    <s v="NW"/>
    <d v="1899-12-30T10:25:00"/>
    <x v="3"/>
    <x v="1"/>
    <n v="1"/>
    <n v="0"/>
    <s v="nsf"/>
    <x v="11"/>
    <s v="No species found"/>
    <n v="1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48"/>
    <s v="Mfra"/>
    <x v="2"/>
    <s v="Red sea urchin"/>
    <n v="5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48"/>
    <s v="Pmi"/>
    <x v="1"/>
    <s v="Bat star"/>
    <n v="1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40"/>
    <s v="Mfra"/>
    <x v="2"/>
    <s v="Red sea urchin"/>
    <n v="7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32"/>
    <s v="Mfra"/>
    <x v="2"/>
    <s v="Red sea urchin"/>
    <n v="9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24"/>
    <s v="Mfra"/>
    <x v="2"/>
    <s v="Red sea urchin"/>
    <n v="9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24"/>
    <s v="Pmi"/>
    <x v="1"/>
    <s v="Bat star"/>
    <n v="1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24"/>
    <s v="dim"/>
    <x v="5"/>
    <s v="Leather star"/>
    <n v="1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16"/>
    <s v="Mfra"/>
    <x v="2"/>
    <s v="Red sea urchin"/>
    <n v="5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8"/>
    <s v="Mfra"/>
    <x v="2"/>
    <s v="Red sea urchin"/>
    <n v="6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8"/>
    <s v="Pmi"/>
    <x v="1"/>
    <s v="Bat star"/>
    <n v="1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0"/>
    <s v="Mfra"/>
    <x v="2"/>
    <s v="Red sea urchin"/>
    <n v="5"/>
  </r>
  <r>
    <s v="Em Lim"/>
    <s v="Valesca de Groot"/>
    <x v="24"/>
    <s v="Aguilar Point"/>
    <n v="48.837589000000001"/>
    <n v="-125.14414499999999"/>
    <x v="14"/>
    <n v="2.5"/>
    <s v="NE"/>
    <d v="1899-12-30T12:50:00"/>
    <x v="9"/>
    <x v="1"/>
    <n v="1"/>
    <n v="0"/>
    <s v="Pmi"/>
    <x v="1"/>
    <s v="Bat sta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UMMARY" cacheId="99" applyNumberFormats="0" applyBorderFormats="0" applyFontFormats="0" applyPatternFormats="0" applyAlignmentFormats="0" applyWidthHeightFormats="0" dataCaption="" updatedVersion="8" compact="0" compactData="0">
  <location ref="A3:AQ4" firstHeaderRow="1" firstDataRow="4" firstDataCol="2"/>
  <pivotFields count="18">
    <pivotField name="Diver" compact="0" outline="0" multipleItemSelectionAllowed="1" showAll="0"/>
    <pivotField name="Buddy" compact="0" outline="0" multipleItemSelectionAllowed="1" showAll="0"/>
    <pivotField name="Site No." axis="axisCol" compact="0" outline="0" multipleItemSelectionAllowed="1" showAll="0" sortType="ascending" defaultSubtotal="0">
      <items count="25">
        <item x="9"/>
        <item x="13"/>
        <item x="11"/>
        <item x="12"/>
        <item x="19"/>
        <item x="21"/>
        <item x="22"/>
        <item x="20"/>
        <item x="10"/>
        <item x="16"/>
        <item x="8"/>
        <item x="17"/>
        <item x="18"/>
        <item x="24"/>
        <item x="6"/>
        <item x="5"/>
        <item x="7"/>
        <item x="23"/>
        <item x="14"/>
        <item x="15"/>
        <item x="3"/>
        <item x="2"/>
        <item x="1"/>
        <item x="4"/>
        <item x="0"/>
      </items>
    </pivotField>
    <pivotField name="Site Name" compact="0" outline="0" multipleItemSelectionAllowed="1" showAll="0"/>
    <pivotField name="Latitude" compact="0" outline="0" multipleItemSelectionAllowed="1" showAll="0"/>
    <pivotField name="Longitude" compact="0" outline="0" multipleItemSelectionAllowed="1" showAll="0"/>
    <pivotField name="Date" axis="axisCol" compact="0" outline="0" multipleItemSelectionAllowed="1" showAll="0" sortType="ascending" defaultSubtotal="0">
      <items count="15">
        <item x="4"/>
        <item x="2"/>
        <item x="5"/>
        <item x="7"/>
        <item x="9"/>
        <item x="1"/>
        <item x="3"/>
        <item x="6"/>
        <item x="8"/>
        <item x="10"/>
        <item x="11"/>
        <item x="12"/>
        <item x="13"/>
        <item x="14"/>
        <item x="0"/>
      </items>
    </pivotField>
    <pivotField name="vis" compact="0" outline="0" multipleItemSelectionAllowed="1" showAll="0"/>
    <pivotField name="Direction" compact="0" outline="0" multipleItemSelectionAllowed="1" showAll="0"/>
    <pivotField name="Time" compact="0" numFmtId="20" outline="0" multipleItemSelectionAllowed="1" showAll="0"/>
    <pivotField name="Depth" axis="axisCol" compact="0" outline="0" multipleItemSelectionAllowed="1" showAll="0" sortType="ascending">
      <items count="17">
        <item x="14"/>
        <item x="13"/>
        <item x="12"/>
        <item x="10"/>
        <item x="7"/>
        <item x="15"/>
        <item x="6"/>
        <item x="5"/>
        <item x="9"/>
        <item x="11"/>
        <item x="1"/>
        <item x="2"/>
        <item x="3"/>
        <item x="8"/>
        <item x="4"/>
        <item x="0"/>
        <item t="default"/>
      </items>
    </pivotField>
    <pivotField name="Method" axis="axisRow" compact="0" outline="0" multipleItemSelectionAllowed="1" showAll="0" sortType="ascending" defaultSubtotal="0">
      <items count="2">
        <item x="1"/>
        <item x="0"/>
      </items>
    </pivotField>
    <pivotField name="Block" compact="0" outline="0" multipleItemSelectionAllowed="1" showAll="0"/>
    <pivotField name="Quadrat # (m)" compact="0" outline="0" multipleItemSelectionAllowed="1" showAll="0"/>
    <pivotField name="Code" compact="0" outline="0" multipleItemSelectionAllowed="1" showAll="0"/>
    <pivotField name="Species" axis="axisRow" compact="0" outline="0" multipleItemSelectionAllowed="1" showAll="0" sortType="ascending">
      <items count="15">
        <item x="0"/>
        <item x="5"/>
        <item x="9"/>
        <item x="8"/>
        <item x="2"/>
        <item x="11"/>
        <item x="13"/>
        <item x="4"/>
        <item x="1"/>
        <item x="3"/>
        <item x="10"/>
        <item x="6"/>
        <item x="7"/>
        <item x="12"/>
        <item t="default"/>
      </items>
    </pivotField>
    <pivotField name="Common name" compact="0" outline="0" multipleItemSelectionAllowed="1" showAll="0"/>
    <pivotField name="Total" dataField="1" compact="0" outline="0" multipleItemSelectionAllowed="1" showAll="0"/>
  </pivotFields>
  <rowFields count="2">
    <field x="11"/>
    <field x="15"/>
  </rowFields>
  <rowItems count="1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  <x/>
    </i>
    <i t="grand">
      <x/>
    </i>
  </rowItems>
  <colFields count="3">
    <field x="6"/>
    <field x="2"/>
    <field x="10"/>
  </colFields>
  <colItems count="41">
    <i>
      <x/>
      <x v="21"/>
      <x v="11"/>
    </i>
    <i r="1">
      <x v="22"/>
      <x v="10"/>
    </i>
    <i>
      <x v="1"/>
      <x v="15"/>
      <x v="4"/>
    </i>
    <i r="2">
      <x v="6"/>
    </i>
    <i r="1">
      <x v="20"/>
      <x v="6"/>
    </i>
    <i r="2">
      <x v="7"/>
    </i>
    <i r="1">
      <x v="23"/>
      <x v="7"/>
    </i>
    <i>
      <x v="2"/>
      <x v="14"/>
      <x v="4"/>
    </i>
    <i r="2">
      <x v="13"/>
    </i>
    <i>
      <x v="3"/>
      <x/>
      <x v="7"/>
    </i>
    <i r="1">
      <x v="8"/>
      <x v="12"/>
    </i>
    <i r="1">
      <x v="10"/>
      <x v="8"/>
    </i>
    <i>
      <x v="4"/>
      <x v="1"/>
      <x v="2"/>
    </i>
    <i r="1">
      <x v="2"/>
      <x v="3"/>
    </i>
    <i r="2">
      <x v="10"/>
    </i>
    <i r="1">
      <x v="3"/>
      <x v="2"/>
    </i>
    <i r="2">
      <x v="9"/>
    </i>
    <i>
      <x v="5"/>
      <x v="21"/>
      <x v="11"/>
    </i>
    <i r="2">
      <x v="14"/>
    </i>
    <i r="1">
      <x v="22"/>
      <x v="10"/>
    </i>
    <i r="2">
      <x v="12"/>
    </i>
    <i>
      <x v="6"/>
      <x v="15"/>
      <x v="6"/>
    </i>
    <i r="1">
      <x v="20"/>
      <x v="6"/>
    </i>
    <i r="2">
      <x v="7"/>
    </i>
    <i>
      <x v="7"/>
      <x v="14"/>
      <x v="4"/>
    </i>
    <i r="2">
      <x v="13"/>
    </i>
    <i r="1">
      <x v="16"/>
      <x v="11"/>
    </i>
    <i>
      <x v="8"/>
      <x/>
      <x v="3"/>
    </i>
    <i>
      <x v="9"/>
      <x v="9"/>
      <x v="1"/>
    </i>
    <i r="1">
      <x v="18"/>
      <x v="6"/>
    </i>
    <i r="1">
      <x v="19"/>
      <x v="12"/>
    </i>
    <i>
      <x v="10"/>
      <x v="11"/>
      <x v="7"/>
    </i>
    <i r="1">
      <x v="12"/>
      <x v="4"/>
    </i>
    <i>
      <x v="11"/>
      <x v="4"/>
      <x/>
    </i>
    <i r="1">
      <x v="5"/>
      <x v="6"/>
    </i>
    <i>
      <x v="12"/>
      <x v="6"/>
      <x v="10"/>
    </i>
    <i r="1">
      <x v="7"/>
      <x v="5"/>
    </i>
    <i>
      <x v="13"/>
      <x v="13"/>
      <x v="8"/>
    </i>
    <i r="1">
      <x v="17"/>
      <x v="12"/>
    </i>
    <i>
      <x v="14"/>
      <x v="24"/>
      <x v="15"/>
    </i>
    <i t="grand">
      <x/>
    </i>
  </colItems>
  <dataFields count="1">
    <dataField name="Sum of Total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Pivot data check" cacheId="91" applyNumberFormats="0" applyBorderFormats="0" applyFontFormats="0" applyPatternFormats="0" applyAlignmentFormats="0" applyWidthHeightFormats="0" dataCaption="" updatedVersion="8" compact="0" compactData="0">
  <location ref="A3:N61" firstHeaderRow="1" firstDataRow="2" firstDataCol="6"/>
  <pivotFields count="48">
    <pivotField name="ID" compact="0" outline="0" multipleItemSelectionAllowed="1" showAll="0"/>
    <pivotField name="Diver" axis="axisCol" compact="0" outline="0" multipleItemSelectionAllowed="1" showAll="0" sortType="ascending">
      <items count="8">
        <item x="5"/>
        <item x="2"/>
        <item x="3"/>
        <item x="1"/>
        <item x="4"/>
        <item x="6"/>
        <item x="0"/>
        <item t="default"/>
      </items>
    </pivotField>
    <pivotField name="Buddy" compact="0" outline="0" multipleItemSelectionAllowed="1" showAll="0"/>
    <pivotField name="Site No." axis="axisRow" compact="0" outline="0" multipleItemSelectionAllowed="1" showAll="0" sortType="ascending" defaultSubtotal="0">
      <items count="25">
        <item x="9"/>
        <item x="13"/>
        <item x="11"/>
        <item x="12"/>
        <item x="19"/>
        <item x="21"/>
        <item x="22"/>
        <item x="20"/>
        <item x="10"/>
        <item x="16"/>
        <item x="8"/>
        <item x="17"/>
        <item x="18"/>
        <item x="24"/>
        <item x="6"/>
        <item x="5"/>
        <item x="7"/>
        <item x="23"/>
        <item x="14"/>
        <item x="15"/>
        <item x="3"/>
        <item x="2"/>
        <item x="1"/>
        <item x="4"/>
        <item x="0"/>
      </items>
    </pivotField>
    <pivotField name="Site Name" axis="axisRow" compact="0" outline="0" multipleItemSelectionAllowed="1" showAll="0" sortType="ascending" defaultSubtotal="0">
      <items count="25">
        <item x="24"/>
        <item x="1"/>
        <item x="2"/>
        <item x="18"/>
        <item x="17"/>
        <item x="9"/>
        <item x="4"/>
        <item x="8"/>
        <item x="10"/>
        <item x="21"/>
        <item x="19"/>
        <item x="22"/>
        <item x="5"/>
        <item x="7"/>
        <item x="15"/>
        <item x="16"/>
        <item x="14"/>
        <item x="13"/>
        <item x="23"/>
        <item x="6"/>
        <item x="3"/>
        <item x="12"/>
        <item x="11"/>
        <item x="20"/>
        <item x="0"/>
      </items>
    </pivotField>
    <pivotField name="Latitude" compact="0" outline="0" multipleItemSelectionAllowed="1" showAll="0"/>
    <pivotField name="Longitude" compact="0" outline="0" multipleItemSelectionAllowed="1" showAll="0"/>
    <pivotField name="Date" axis="axisRow" compact="0" outline="0" multipleItemSelectionAllowed="1" showAll="0" sortType="ascending" defaultSubtotal="0">
      <items count="15">
        <item x="4"/>
        <item x="2"/>
        <item x="5"/>
        <item x="7"/>
        <item x="9"/>
        <item x="1"/>
        <item x="3"/>
        <item x="6"/>
        <item x="8"/>
        <item x="10"/>
        <item x="11"/>
        <item x="12"/>
        <item x="13"/>
        <item x="14"/>
        <item x="0"/>
      </items>
    </pivotField>
    <pivotField name="vis" compact="0" outline="0" multipleItemSelectionAllowed="1" showAll="0"/>
    <pivotField name="Direction" compact="0" outline="0" multipleItemSelectionAllowed="1" showAll="0"/>
    <pivotField name="Time" compact="0" numFmtId="20" outline="0" multipleItemSelectionAllowed="1" showAll="0"/>
    <pivotField name="Depth" axis="axisRow" compact="0" outline="0" multipleItemSelectionAllowed="1" showAll="0" sortType="ascending" defaultSubtotal="0">
      <items count="16">
        <item x="14"/>
        <item x="13"/>
        <item x="12"/>
        <item x="10"/>
        <item x="7"/>
        <item x="15"/>
        <item x="6"/>
        <item x="5"/>
        <item x="9"/>
        <item x="11"/>
        <item x="1"/>
        <item x="2"/>
        <item x="3"/>
        <item x="8"/>
        <item x="4"/>
        <item x="0"/>
      </items>
    </pivotField>
    <pivotField name="Method" axis="axisRow" compact="0" outline="0" multipleItemSelectionAllowed="1" showAll="0" sortType="ascending" defaultSubtotal="0">
      <items count="2">
        <item x="1"/>
        <item x="0"/>
      </items>
    </pivotField>
    <pivotField name="Block" axis="axisRow" compact="0" outline="0" multipleItemSelectionAllowed="1" showAll="0" sortType="ascending">
      <items count="4">
        <item x="1"/>
        <item x="2"/>
        <item x="0"/>
        <item t="default"/>
      </items>
    </pivotField>
    <pivotField name="Quadrat # (m)" compact="0" outline="0" multipleItemSelectionAllowed="1" showAll="0"/>
    <pivotField name="Code" compact="0" outline="0" multipleItemSelectionAllowed="1" showAll="0"/>
    <pivotField name="Species" dataField="1" compact="0" outline="0" multipleItemSelectionAllowed="1" showAll="0"/>
    <pivotField name="Common name" compact="0" outline="0" multipleItemSelectionAllowed="1" showAll="0"/>
    <pivotField name="Total" compact="0" outline="0" multipleItemSelectionAllowed="1" showAll="0"/>
    <pivotField name="Inverts" compact="0" outline="0" multipleItemSelectionAllowed="1" showAll="0"/>
    <pivotField name="2.5" compact="0" outline="0" multipleItemSelectionAllowed="1" showAll="0"/>
    <pivotField name="5" compact="0" outline="0" multipleItemSelectionAllowed="1" showAll="0"/>
    <pivotField name="7.5" compact="0" outline="0" multipleItemSelectionAllowed="1" showAll="0"/>
    <pivotField name="10" compact="0" outline="0" multipleItemSelectionAllowed="1" showAll="0"/>
    <pivotField name="12.5" compact="0" outline="0" multipleItemSelectionAllowed="1" showAll="0"/>
    <pivotField name="15" compact="0" outline="0" multipleItemSelectionAllowed="1" showAll="0"/>
    <pivotField name="20" compact="0" outline="0" multipleItemSelectionAllowed="1" showAll="0"/>
    <pivotField name="25" compact="0" outline="0" multipleItemSelectionAllowed="1" showAll="0"/>
    <pivotField name="30" compact="0" outline="0" multipleItemSelectionAllowed="1" showAll="0"/>
    <pivotField name="35" compact="0" outline="0" multipleItemSelectionAllowed="1" showAll="0"/>
    <pivotField name="40" compact="0" outline="0" multipleItemSelectionAllowed="1" showAll="0"/>
    <pivotField name="50" compact="0" outline="0" multipleItemSelectionAllowed="1" showAll="0"/>
    <pivotField name="62.5" compact="0" outline="0" multipleItemSelectionAllowed="1" showAll="0"/>
    <pivotField name="75" compact="0" outline="0" multipleItemSelectionAllowed="1" showAll="0"/>
    <pivotField name="87.5" compact="0" outline="0" multipleItemSelectionAllowed="1" showAll="0"/>
    <pivotField name="100" compact="0" outline="0" multipleItemSelectionAllowed="1" showAll="0"/>
    <pivotField name="112.5" compact="0" outline="0" multipleItemSelectionAllowed="1" showAll="0"/>
    <pivotField name="125" compact="0" outline="0" multipleItemSelectionAllowed="1" showAll="0"/>
    <pivotField name="137.5" compact="0" outline="0" multipleItemSelectionAllowed="1" showAll="0"/>
    <pivotField name="150" compact="0" outline="0" multipleItemSelectionAllowed="1" showAll="0"/>
    <pivotField name="162.5" compact="0" outline="0" multipleItemSelectionAllowed="1" showAll="0"/>
    <pivotField name="175" compact="0" outline="0" multipleItemSelectionAllowed="1" showAll="0"/>
    <pivotField name="187.5" compact="0" outline="0" multipleItemSelectionAllowed="1" showAll="0"/>
    <pivotField name="200" compact="0" outline="0" multipleItemSelectionAllowed="1" showAll="0"/>
    <pivotField name="250" compact="0" outline="0" multipleItemSelectionAllowed="1" showAll="0"/>
    <pivotField name="300" compact="0" outline="0" multipleItemSelectionAllowed="1" showAll="0"/>
    <pivotField name="350" compact="0" outline="0" multipleItemSelectionAllowed="1" showAll="0"/>
    <pivotField name="400" compact="0" outline="0" multipleItemSelectionAllowed="1" showAll="0"/>
  </pivotFields>
  <rowFields count="6">
    <field x="3"/>
    <field x="4"/>
    <field x="7"/>
    <field x="11"/>
    <field x="12"/>
    <field x="13"/>
  </rowFields>
  <rowItems count="57">
    <i>
      <x/>
      <x v="5"/>
      <x v="3"/>
      <x v="7"/>
      <x/>
      <x/>
    </i>
    <i r="5">
      <x v="1"/>
    </i>
    <i r="2">
      <x v="8"/>
      <x v="3"/>
      <x/>
      <x/>
    </i>
    <i r="5">
      <x v="1"/>
    </i>
    <i>
      <x v="1"/>
      <x v="17"/>
      <x v="4"/>
      <x v="2"/>
      <x/>
      <x/>
    </i>
    <i r="5">
      <x v="1"/>
    </i>
    <i>
      <x v="2"/>
      <x v="22"/>
      <x v="4"/>
      <x v="3"/>
      <x/>
      <x/>
    </i>
    <i r="5">
      <x v="1"/>
    </i>
    <i r="3">
      <x v="10"/>
      <x/>
      <x/>
    </i>
    <i r="5">
      <x v="1"/>
    </i>
    <i>
      <x v="3"/>
      <x v="21"/>
      <x v="4"/>
      <x v="2"/>
      <x/>
      <x/>
    </i>
    <i r="5">
      <x v="1"/>
    </i>
    <i r="3">
      <x v="9"/>
      <x/>
      <x/>
    </i>
    <i r="5">
      <x v="1"/>
    </i>
    <i>
      <x v="4"/>
      <x v="10"/>
      <x v="11"/>
      <x/>
      <x/>
      <x v="1"/>
    </i>
    <i>
      <x v="5"/>
      <x v="9"/>
      <x v="11"/>
      <x v="6"/>
      <x/>
      <x/>
    </i>
    <i r="5">
      <x v="1"/>
    </i>
    <i>
      <x v="6"/>
      <x v="11"/>
      <x v="12"/>
      <x v="10"/>
      <x/>
      <x v="1"/>
    </i>
    <i>
      <x v="7"/>
      <x v="23"/>
      <x v="12"/>
      <x v="5"/>
      <x/>
      <x/>
    </i>
    <i r="5">
      <x v="1"/>
    </i>
    <i>
      <x v="8"/>
      <x v="8"/>
      <x v="3"/>
      <x v="12"/>
      <x/>
      <x/>
    </i>
    <i r="5">
      <x v="1"/>
    </i>
    <i>
      <x v="9"/>
      <x v="15"/>
      <x v="9"/>
      <x v="1"/>
      <x/>
      <x v="1"/>
    </i>
    <i>
      <x v="10"/>
      <x v="7"/>
      <x v="3"/>
      <x v="8"/>
      <x/>
      <x/>
    </i>
    <i r="5">
      <x v="1"/>
    </i>
    <i>
      <x v="11"/>
      <x v="4"/>
      <x v="10"/>
      <x v="7"/>
      <x/>
      <x v="1"/>
    </i>
    <i>
      <x v="12"/>
      <x v="3"/>
      <x v="10"/>
      <x v="4"/>
      <x/>
      <x v="1"/>
    </i>
    <i>
      <x v="13"/>
      <x/>
      <x v="13"/>
      <x v="8"/>
      <x/>
      <x/>
    </i>
    <i>
      <x v="14"/>
      <x v="19"/>
      <x v="2"/>
      <x v="4"/>
      <x/>
      <x/>
    </i>
    <i r="3">
      <x v="13"/>
      <x/>
      <x v="1"/>
    </i>
    <i r="2">
      <x v="7"/>
      <x v="4"/>
      <x/>
      <x v="1"/>
    </i>
    <i r="3">
      <x v="13"/>
      <x/>
      <x/>
    </i>
    <i>
      <x v="15"/>
      <x v="12"/>
      <x v="1"/>
      <x v="4"/>
      <x/>
      <x/>
    </i>
    <i r="3">
      <x v="6"/>
      <x/>
      <x/>
    </i>
    <i r="5">
      <x v="1"/>
    </i>
    <i r="2">
      <x v="6"/>
      <x v="6"/>
      <x/>
      <x v="1"/>
    </i>
    <i>
      <x v="16"/>
      <x v="13"/>
      <x v="7"/>
      <x v="11"/>
      <x/>
      <x v="1"/>
    </i>
    <i>
      <x v="17"/>
      <x v="18"/>
      <x v="13"/>
      <x v="12"/>
      <x/>
      <x/>
    </i>
    <i r="5">
      <x v="1"/>
    </i>
    <i>
      <x v="18"/>
      <x v="16"/>
      <x v="9"/>
      <x v="6"/>
      <x/>
      <x v="1"/>
    </i>
    <i>
      <x v="19"/>
      <x v="14"/>
      <x v="9"/>
      <x v="12"/>
      <x/>
      <x/>
    </i>
    <i r="5">
      <x v="1"/>
    </i>
    <i>
      <x v="20"/>
      <x v="20"/>
      <x v="1"/>
      <x v="6"/>
      <x/>
      <x/>
    </i>
    <i r="3">
      <x v="7"/>
      <x/>
      <x/>
    </i>
    <i r="2">
      <x v="6"/>
      <x v="6"/>
      <x/>
      <x v="1"/>
    </i>
    <i r="3">
      <x v="7"/>
      <x/>
      <x v="1"/>
    </i>
    <i>
      <x v="21"/>
      <x v="2"/>
      <x/>
      <x v="11"/>
      <x/>
      <x v="1"/>
    </i>
    <i r="2">
      <x v="5"/>
      <x v="11"/>
      <x/>
      <x/>
    </i>
    <i r="3">
      <x v="14"/>
      <x/>
      <x/>
    </i>
    <i r="5">
      <x v="1"/>
    </i>
    <i>
      <x v="22"/>
      <x v="1"/>
      <x/>
      <x v="10"/>
      <x/>
      <x v="1"/>
    </i>
    <i r="2">
      <x v="5"/>
      <x v="10"/>
      <x/>
      <x/>
    </i>
    <i r="3">
      <x v="12"/>
      <x/>
      <x/>
    </i>
    <i r="5">
      <x v="1"/>
    </i>
    <i>
      <x v="23"/>
      <x v="6"/>
      <x v="1"/>
      <x v="7"/>
      <x/>
      <x/>
    </i>
    <i>
      <x v="24"/>
      <x v="24"/>
      <x v="14"/>
      <x v="15"/>
      <x v="1"/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pecies" fld="1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workbookViewId="0"/>
  </sheetViews>
  <sheetFormatPr baseColWidth="10" defaultColWidth="12.6640625" defaultRowHeight="15" customHeight="1"/>
  <cols>
    <col min="1" max="2" width="25.1640625" customWidth="1"/>
    <col min="3" max="4" width="12.1640625" customWidth="1"/>
    <col min="5" max="5" width="10.5" customWidth="1"/>
    <col min="6" max="6" width="11.1640625" customWidth="1"/>
    <col min="7" max="7" width="10.5" customWidth="1"/>
    <col min="8" max="8" width="11.1640625" customWidth="1"/>
    <col min="9" max="26" width="8.83203125" customWidth="1"/>
  </cols>
  <sheetData>
    <row r="1" spans="1:43" ht="12.75" customHeight="1"/>
    <row r="2" spans="1:43" ht="12.75" customHeight="1"/>
    <row r="3" spans="1:43" ht="12.75" customHeight="1">
      <c r="A3" s="59" t="s">
        <v>1796</v>
      </c>
      <c r="B3" s="60"/>
      <c r="C3" s="59" t="s">
        <v>9</v>
      </c>
      <c r="D3" s="71" t="s">
        <v>5</v>
      </c>
      <c r="E3" s="71" t="s">
        <v>13</v>
      </c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1"/>
    </row>
    <row r="4" spans="1:43" ht="12.75" customHeight="1">
      <c r="A4" s="72"/>
      <c r="B4" s="73"/>
      <c r="C4" s="68" t="s">
        <v>55</v>
      </c>
      <c r="D4" s="69"/>
      <c r="E4" s="68" t="s">
        <v>44</v>
      </c>
      <c r="F4" s="69"/>
      <c r="G4" s="69"/>
      <c r="H4" s="69"/>
      <c r="I4" s="69"/>
      <c r="J4" s="68" t="s">
        <v>58</v>
      </c>
      <c r="K4" s="69"/>
      <c r="L4" s="68" t="s">
        <v>64</v>
      </c>
      <c r="M4" s="69"/>
      <c r="N4" s="69"/>
      <c r="O4" s="68" t="s">
        <v>72</v>
      </c>
      <c r="P4" s="69"/>
      <c r="Q4" s="69"/>
      <c r="R4" s="69"/>
      <c r="S4" s="69"/>
      <c r="T4" s="74">
        <v>45404</v>
      </c>
      <c r="U4" s="69"/>
      <c r="V4" s="69"/>
      <c r="W4" s="69"/>
      <c r="X4" s="74">
        <v>45405</v>
      </c>
      <c r="Y4" s="69"/>
      <c r="Z4" s="69"/>
      <c r="AA4" s="74">
        <v>45406</v>
      </c>
      <c r="AB4" s="69"/>
      <c r="AC4" s="69"/>
      <c r="AD4" s="74">
        <v>45407</v>
      </c>
      <c r="AE4" s="74">
        <v>45411</v>
      </c>
      <c r="AF4" s="69"/>
      <c r="AG4" s="69"/>
      <c r="AH4" s="74">
        <v>45412</v>
      </c>
      <c r="AI4" s="69"/>
      <c r="AJ4" s="74">
        <v>45413</v>
      </c>
      <c r="AK4" s="69"/>
      <c r="AL4" s="74">
        <v>45414</v>
      </c>
      <c r="AM4" s="69"/>
      <c r="AN4" s="74">
        <v>45415</v>
      </c>
      <c r="AO4" s="69"/>
      <c r="AP4" s="68" t="s">
        <v>1795</v>
      </c>
      <c r="AQ4" s="70" t="s">
        <v>1794</v>
      </c>
    </row>
    <row r="5" spans="1:43" ht="12.75" customHeight="1">
      <c r="A5" s="3"/>
      <c r="B5" s="4"/>
      <c r="C5" s="1"/>
      <c r="D5" s="1"/>
      <c r="E5" s="6"/>
    </row>
    <row r="6" spans="1:43" ht="12.75" customHeight="1">
      <c r="A6" s="1"/>
      <c r="B6" s="1"/>
      <c r="C6" s="1"/>
      <c r="D6" s="1"/>
      <c r="E6" s="6"/>
      <c r="F6" s="7" t="s">
        <v>0</v>
      </c>
      <c r="G6" s="7" t="s">
        <v>1</v>
      </c>
    </row>
    <row r="7" spans="1:43" ht="12.75" customHeight="1">
      <c r="A7" s="1"/>
      <c r="B7" s="1"/>
      <c r="C7" s="1"/>
      <c r="D7" s="1"/>
      <c r="E7" s="5"/>
      <c r="F7" s="2">
        <f t="shared" ref="F7:F46" si="0">COUNT(C7:D7)</f>
        <v>0</v>
      </c>
      <c r="G7" s="2" t="e">
        <f t="shared" ref="G7:G46" si="1">AVERAGE(C7:D7)</f>
        <v>#DIV/0!</v>
      </c>
      <c r="H7" s="2">
        <f>COUNTIFS(DATA!Q:Q,SUMMARY!B7,DATA!S:S,1)</f>
        <v>0</v>
      </c>
    </row>
    <row r="8" spans="1:43" ht="12.75" customHeight="1">
      <c r="A8" s="3"/>
      <c r="B8" s="8"/>
      <c r="C8" s="8"/>
      <c r="D8" s="8"/>
      <c r="E8" s="7"/>
      <c r="F8" s="2">
        <f t="shared" si="0"/>
        <v>0</v>
      </c>
      <c r="G8" s="2" t="e">
        <f t="shared" si="1"/>
        <v>#DIV/0!</v>
      </c>
    </row>
    <row r="9" spans="1:43" ht="12.75" customHeight="1">
      <c r="A9" s="3"/>
      <c r="B9" s="8"/>
      <c r="C9" s="8"/>
      <c r="D9" s="8"/>
      <c r="E9" s="7"/>
      <c r="F9" s="2">
        <f t="shared" si="0"/>
        <v>0</v>
      </c>
      <c r="G9" s="2" t="e">
        <f t="shared" si="1"/>
        <v>#DIV/0!</v>
      </c>
    </row>
    <row r="10" spans="1:43" ht="12.75" customHeight="1">
      <c r="A10" s="3"/>
      <c r="B10" s="8"/>
      <c r="C10" s="8"/>
      <c r="D10" s="8"/>
      <c r="E10" s="7"/>
      <c r="F10" s="2">
        <f t="shared" si="0"/>
        <v>0</v>
      </c>
      <c r="G10" s="2" t="e">
        <f t="shared" si="1"/>
        <v>#DIV/0!</v>
      </c>
    </row>
    <row r="11" spans="1:43" ht="12.75" customHeight="1">
      <c r="A11" s="3"/>
      <c r="B11" s="8"/>
      <c r="C11" s="8"/>
      <c r="D11" s="8"/>
      <c r="E11" s="7"/>
      <c r="F11" s="2">
        <f t="shared" si="0"/>
        <v>0</v>
      </c>
      <c r="G11" s="2" t="e">
        <f t="shared" si="1"/>
        <v>#DIV/0!</v>
      </c>
    </row>
    <row r="12" spans="1:43" ht="12.75" customHeight="1">
      <c r="A12" s="3"/>
      <c r="B12" s="8"/>
      <c r="C12" s="8"/>
      <c r="D12" s="8"/>
      <c r="E12" s="7"/>
      <c r="F12" s="2">
        <f t="shared" si="0"/>
        <v>0</v>
      </c>
      <c r="G12" s="2" t="e">
        <f t="shared" si="1"/>
        <v>#DIV/0!</v>
      </c>
    </row>
    <row r="13" spans="1:43" ht="12.75" customHeight="1">
      <c r="A13" s="3"/>
      <c r="B13" s="8"/>
      <c r="C13" s="8"/>
      <c r="D13" s="8"/>
      <c r="E13" s="7"/>
      <c r="F13" s="2">
        <f t="shared" si="0"/>
        <v>0</v>
      </c>
      <c r="G13" s="2" t="e">
        <f t="shared" si="1"/>
        <v>#DIV/0!</v>
      </c>
    </row>
    <row r="14" spans="1:43" ht="12.75" customHeight="1">
      <c r="A14" s="3"/>
      <c r="B14" s="8"/>
      <c r="C14" s="8"/>
      <c r="D14" s="8"/>
      <c r="E14" s="7"/>
      <c r="F14" s="2">
        <f t="shared" si="0"/>
        <v>0</v>
      </c>
      <c r="G14" s="2" t="e">
        <f t="shared" si="1"/>
        <v>#DIV/0!</v>
      </c>
    </row>
    <row r="15" spans="1:43" ht="12.75" customHeight="1">
      <c r="A15" s="3"/>
      <c r="B15" s="8"/>
      <c r="C15" s="8"/>
      <c r="D15" s="8"/>
      <c r="E15" s="7"/>
      <c r="F15" s="2">
        <f t="shared" si="0"/>
        <v>0</v>
      </c>
      <c r="G15" s="2" t="e">
        <f t="shared" si="1"/>
        <v>#DIV/0!</v>
      </c>
    </row>
    <row r="16" spans="1:43" ht="12.75" customHeight="1">
      <c r="A16" s="3"/>
      <c r="B16" s="8"/>
      <c r="C16" s="8"/>
      <c r="D16" s="8"/>
      <c r="E16" s="7"/>
      <c r="F16" s="2">
        <f t="shared" si="0"/>
        <v>0</v>
      </c>
      <c r="G16" s="2" t="e">
        <f t="shared" si="1"/>
        <v>#DIV/0!</v>
      </c>
    </row>
    <row r="17" spans="1:7" ht="12.75" customHeight="1">
      <c r="A17" s="3"/>
      <c r="B17" s="8"/>
      <c r="C17" s="8"/>
      <c r="D17" s="8"/>
      <c r="E17" s="7"/>
      <c r="F17" s="2">
        <f t="shared" si="0"/>
        <v>0</v>
      </c>
      <c r="G17" s="2" t="e">
        <f t="shared" si="1"/>
        <v>#DIV/0!</v>
      </c>
    </row>
    <row r="18" spans="1:7" ht="12.75" customHeight="1">
      <c r="A18" s="3"/>
      <c r="B18" s="8"/>
      <c r="C18" s="8"/>
      <c r="D18" s="8"/>
      <c r="E18" s="7"/>
      <c r="F18" s="2">
        <f t="shared" si="0"/>
        <v>0</v>
      </c>
      <c r="G18" s="2" t="e">
        <f t="shared" si="1"/>
        <v>#DIV/0!</v>
      </c>
    </row>
    <row r="19" spans="1:7" ht="12.75" customHeight="1">
      <c r="A19" s="3"/>
      <c r="B19" s="8"/>
      <c r="C19" s="8"/>
      <c r="D19" s="8"/>
      <c r="E19" s="7"/>
      <c r="F19" s="2">
        <f t="shared" si="0"/>
        <v>0</v>
      </c>
      <c r="G19" s="2" t="e">
        <f t="shared" si="1"/>
        <v>#DIV/0!</v>
      </c>
    </row>
    <row r="20" spans="1:7" ht="12.75" customHeight="1">
      <c r="A20" s="3"/>
      <c r="B20" s="8"/>
      <c r="C20" s="8"/>
      <c r="D20" s="8"/>
      <c r="E20" s="7"/>
      <c r="F20" s="2">
        <f t="shared" si="0"/>
        <v>0</v>
      </c>
      <c r="G20" s="2" t="e">
        <f t="shared" si="1"/>
        <v>#DIV/0!</v>
      </c>
    </row>
    <row r="21" spans="1:7" ht="12.75" customHeight="1">
      <c r="A21" s="3"/>
      <c r="B21" s="8"/>
      <c r="C21" s="8"/>
      <c r="D21" s="8"/>
      <c r="E21" s="7"/>
      <c r="F21" s="2">
        <f t="shared" si="0"/>
        <v>0</v>
      </c>
      <c r="G21" s="2" t="e">
        <f t="shared" si="1"/>
        <v>#DIV/0!</v>
      </c>
    </row>
    <row r="22" spans="1:7" ht="12.75" customHeight="1">
      <c r="A22" s="3"/>
      <c r="B22" s="8"/>
      <c r="C22" s="8"/>
      <c r="D22" s="8"/>
      <c r="E22" s="7"/>
      <c r="F22" s="2">
        <f t="shared" si="0"/>
        <v>0</v>
      </c>
      <c r="G22" s="2" t="e">
        <f t="shared" si="1"/>
        <v>#DIV/0!</v>
      </c>
    </row>
    <row r="23" spans="1:7" ht="12.75" customHeight="1">
      <c r="A23" s="3"/>
      <c r="B23" s="8"/>
      <c r="C23" s="8"/>
      <c r="D23" s="8"/>
      <c r="E23" s="7"/>
      <c r="F23" s="2">
        <f t="shared" si="0"/>
        <v>0</v>
      </c>
      <c r="G23" s="2" t="e">
        <f t="shared" si="1"/>
        <v>#DIV/0!</v>
      </c>
    </row>
    <row r="24" spans="1:7" ht="12.75" customHeight="1">
      <c r="A24" s="3"/>
      <c r="B24" s="8"/>
      <c r="C24" s="8"/>
      <c r="D24" s="8"/>
      <c r="E24" s="7"/>
      <c r="F24" s="2">
        <f t="shared" si="0"/>
        <v>0</v>
      </c>
      <c r="G24" s="2" t="e">
        <f t="shared" si="1"/>
        <v>#DIV/0!</v>
      </c>
    </row>
    <row r="25" spans="1:7" ht="12.75" customHeight="1">
      <c r="A25" s="3"/>
      <c r="B25" s="8"/>
      <c r="C25" s="8"/>
      <c r="D25" s="8"/>
      <c r="E25" s="7"/>
      <c r="F25" s="2">
        <f t="shared" si="0"/>
        <v>0</v>
      </c>
      <c r="G25" s="2" t="e">
        <f t="shared" si="1"/>
        <v>#DIV/0!</v>
      </c>
    </row>
    <row r="26" spans="1:7" ht="12.75" customHeight="1">
      <c r="A26" s="3"/>
      <c r="B26" s="8"/>
      <c r="C26" s="8"/>
      <c r="D26" s="8"/>
      <c r="E26" s="7"/>
      <c r="F26" s="2">
        <f t="shared" si="0"/>
        <v>0</v>
      </c>
      <c r="G26" s="2" t="e">
        <f t="shared" si="1"/>
        <v>#DIV/0!</v>
      </c>
    </row>
    <row r="27" spans="1:7" ht="12.75" customHeight="1">
      <c r="A27" s="3"/>
      <c r="B27" s="8"/>
      <c r="C27" s="8"/>
      <c r="D27" s="8"/>
      <c r="E27" s="7"/>
      <c r="F27" s="2">
        <f t="shared" si="0"/>
        <v>0</v>
      </c>
      <c r="G27" s="2" t="e">
        <f t="shared" si="1"/>
        <v>#DIV/0!</v>
      </c>
    </row>
    <row r="28" spans="1:7" ht="12.75" customHeight="1">
      <c r="A28" s="3"/>
      <c r="B28" s="8"/>
      <c r="C28" s="8"/>
      <c r="D28" s="8"/>
      <c r="E28" s="7"/>
      <c r="F28" s="2">
        <f t="shared" si="0"/>
        <v>0</v>
      </c>
      <c r="G28" s="2" t="e">
        <f t="shared" si="1"/>
        <v>#DIV/0!</v>
      </c>
    </row>
    <row r="29" spans="1:7" ht="12.75" customHeight="1">
      <c r="A29" s="3"/>
      <c r="B29" s="8"/>
      <c r="C29" s="8"/>
      <c r="D29" s="8"/>
      <c r="E29" s="7"/>
      <c r="F29" s="2">
        <f t="shared" si="0"/>
        <v>0</v>
      </c>
      <c r="G29" s="2" t="e">
        <f t="shared" si="1"/>
        <v>#DIV/0!</v>
      </c>
    </row>
    <row r="30" spans="1:7" ht="12.75" customHeight="1">
      <c r="A30" s="3"/>
      <c r="B30" s="8"/>
      <c r="C30" s="8"/>
      <c r="D30" s="8"/>
      <c r="E30" s="7"/>
      <c r="F30" s="2">
        <f t="shared" si="0"/>
        <v>0</v>
      </c>
      <c r="G30" s="2" t="e">
        <f t="shared" si="1"/>
        <v>#DIV/0!</v>
      </c>
    </row>
    <row r="31" spans="1:7" ht="12.75" customHeight="1">
      <c r="A31" s="3"/>
      <c r="B31" s="8"/>
      <c r="C31" s="8"/>
      <c r="D31" s="8"/>
      <c r="E31" s="7"/>
      <c r="F31" s="2">
        <f t="shared" si="0"/>
        <v>0</v>
      </c>
      <c r="G31" s="2" t="e">
        <f t="shared" si="1"/>
        <v>#DIV/0!</v>
      </c>
    </row>
    <row r="32" spans="1:7" ht="12.75" customHeight="1">
      <c r="A32" s="3"/>
      <c r="B32" s="8"/>
      <c r="C32" s="8"/>
      <c r="D32" s="8"/>
      <c r="E32" s="7"/>
      <c r="F32" s="2">
        <f t="shared" si="0"/>
        <v>0</v>
      </c>
      <c r="G32" s="2" t="e">
        <f t="shared" si="1"/>
        <v>#DIV/0!</v>
      </c>
    </row>
    <row r="33" spans="1:7" ht="12.75" customHeight="1">
      <c r="A33" s="3"/>
      <c r="B33" s="8"/>
      <c r="C33" s="8"/>
      <c r="D33" s="8"/>
      <c r="E33" s="7"/>
      <c r="F33" s="2">
        <f t="shared" si="0"/>
        <v>0</v>
      </c>
      <c r="G33" s="2" t="e">
        <f t="shared" si="1"/>
        <v>#DIV/0!</v>
      </c>
    </row>
    <row r="34" spans="1:7" ht="12.75" customHeight="1">
      <c r="A34" s="3"/>
      <c r="B34" s="8"/>
      <c r="C34" s="8"/>
      <c r="D34" s="8"/>
      <c r="E34" s="7"/>
      <c r="F34" s="2">
        <f t="shared" si="0"/>
        <v>0</v>
      </c>
      <c r="G34" s="2" t="e">
        <f t="shared" si="1"/>
        <v>#DIV/0!</v>
      </c>
    </row>
    <row r="35" spans="1:7" ht="12.75" customHeight="1">
      <c r="A35" s="1"/>
      <c r="B35" s="1"/>
      <c r="C35" s="1"/>
      <c r="D35" s="1"/>
      <c r="E35" s="5"/>
      <c r="F35" s="2">
        <f t="shared" si="0"/>
        <v>0</v>
      </c>
      <c r="G35" s="2" t="e">
        <f t="shared" si="1"/>
        <v>#DIV/0!</v>
      </c>
    </row>
    <row r="36" spans="1:7" ht="12.75" customHeight="1">
      <c r="A36" s="3"/>
      <c r="B36" s="8"/>
      <c r="C36" s="8"/>
      <c r="D36" s="8"/>
      <c r="E36" s="7"/>
      <c r="F36" s="2">
        <f t="shared" si="0"/>
        <v>0</v>
      </c>
      <c r="G36" s="2" t="e">
        <f t="shared" si="1"/>
        <v>#DIV/0!</v>
      </c>
    </row>
    <row r="37" spans="1:7" ht="12.75" customHeight="1">
      <c r="A37" s="3"/>
      <c r="B37" s="8"/>
      <c r="C37" s="8"/>
      <c r="D37" s="8"/>
      <c r="E37" s="7"/>
      <c r="F37" s="2">
        <f t="shared" si="0"/>
        <v>0</v>
      </c>
      <c r="G37" s="2" t="e">
        <f t="shared" si="1"/>
        <v>#DIV/0!</v>
      </c>
    </row>
    <row r="38" spans="1:7" ht="12.75" customHeight="1">
      <c r="A38" s="3"/>
      <c r="B38" s="8"/>
      <c r="C38" s="8"/>
      <c r="D38" s="8"/>
      <c r="E38" s="7"/>
      <c r="F38" s="2">
        <f t="shared" si="0"/>
        <v>0</v>
      </c>
      <c r="G38" s="2" t="e">
        <f t="shared" si="1"/>
        <v>#DIV/0!</v>
      </c>
    </row>
    <row r="39" spans="1:7" ht="12.75" customHeight="1">
      <c r="A39" s="3"/>
      <c r="B39" s="8"/>
      <c r="C39" s="8"/>
      <c r="D39" s="8"/>
      <c r="E39" s="7"/>
      <c r="F39" s="2">
        <f t="shared" si="0"/>
        <v>0</v>
      </c>
      <c r="G39" s="2" t="e">
        <f t="shared" si="1"/>
        <v>#DIV/0!</v>
      </c>
    </row>
    <row r="40" spans="1:7" ht="12.75" customHeight="1">
      <c r="A40" s="3"/>
      <c r="B40" s="8"/>
      <c r="C40" s="8"/>
      <c r="D40" s="8"/>
      <c r="E40" s="7"/>
      <c r="F40" s="2">
        <f t="shared" si="0"/>
        <v>0</v>
      </c>
      <c r="G40" s="2" t="e">
        <f t="shared" si="1"/>
        <v>#DIV/0!</v>
      </c>
    </row>
    <row r="41" spans="1:7" ht="12.75" customHeight="1">
      <c r="A41" s="3"/>
      <c r="B41" s="8"/>
      <c r="C41" s="8"/>
      <c r="D41" s="8"/>
      <c r="E41" s="7"/>
      <c r="F41" s="2">
        <f t="shared" si="0"/>
        <v>0</v>
      </c>
      <c r="G41" s="2" t="e">
        <f t="shared" si="1"/>
        <v>#DIV/0!</v>
      </c>
    </row>
    <row r="42" spans="1:7" ht="12.75" customHeight="1">
      <c r="A42" s="3"/>
      <c r="B42" s="8"/>
      <c r="C42" s="8"/>
      <c r="D42" s="8"/>
      <c r="E42" s="7"/>
      <c r="F42" s="2">
        <f t="shared" si="0"/>
        <v>0</v>
      </c>
      <c r="G42" s="2" t="e">
        <f t="shared" si="1"/>
        <v>#DIV/0!</v>
      </c>
    </row>
    <row r="43" spans="1:7" ht="12.75" customHeight="1">
      <c r="A43" s="3"/>
      <c r="B43" s="8"/>
      <c r="C43" s="8"/>
      <c r="D43" s="8"/>
      <c r="E43" s="7"/>
      <c r="F43" s="2">
        <f t="shared" si="0"/>
        <v>0</v>
      </c>
      <c r="G43" s="2" t="e">
        <f t="shared" si="1"/>
        <v>#DIV/0!</v>
      </c>
    </row>
    <row r="44" spans="1:7" ht="12.75" customHeight="1">
      <c r="A44" s="1"/>
      <c r="B44" s="1"/>
      <c r="C44" s="1"/>
      <c r="D44" s="1"/>
      <c r="E44" s="5"/>
      <c r="F44" s="2">
        <f t="shared" si="0"/>
        <v>0</v>
      </c>
      <c r="G44" s="2" t="e">
        <f t="shared" si="1"/>
        <v>#DIV/0!</v>
      </c>
    </row>
    <row r="45" spans="1:7" ht="12.75" customHeight="1">
      <c r="A45" s="1"/>
      <c r="B45" s="1"/>
      <c r="C45" s="1"/>
      <c r="D45" s="1"/>
      <c r="E45" s="5"/>
      <c r="F45" s="2">
        <f t="shared" si="0"/>
        <v>0</v>
      </c>
      <c r="G45" s="2" t="e">
        <f t="shared" si="1"/>
        <v>#DIV/0!</v>
      </c>
    </row>
    <row r="46" spans="1:7" ht="12.75" customHeight="1">
      <c r="A46" s="9"/>
      <c r="B46" s="10"/>
      <c r="C46" s="9"/>
      <c r="D46" s="9"/>
      <c r="E46" s="11"/>
      <c r="F46" s="2">
        <f t="shared" si="0"/>
        <v>0</v>
      </c>
      <c r="G46" s="2" t="e">
        <f t="shared" si="1"/>
        <v>#DIV/0!</v>
      </c>
    </row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289"/>
  <sheetViews>
    <sheetView tabSelected="1" topLeftCell="J1" workbookViewId="0">
      <pane ySplit="2" topLeftCell="A3" activePane="bottomLeft" state="frozen"/>
      <selection pane="bottomLeft" activeCell="E108" sqref="E108"/>
    </sheetView>
  </sheetViews>
  <sheetFormatPr baseColWidth="10" defaultColWidth="12.6640625" defaultRowHeight="15" customHeight="1"/>
  <cols>
    <col min="1" max="1" width="2.83203125" customWidth="1"/>
    <col min="2" max="2" width="6.5" customWidth="1"/>
    <col min="3" max="3" width="7.5" customWidth="1"/>
    <col min="4" max="4" width="8.1640625" customWidth="1"/>
    <col min="5" max="5" width="10.5" customWidth="1"/>
    <col min="6" max="6" width="8.5" customWidth="1"/>
    <col min="7" max="7" width="10.1640625" customWidth="1"/>
    <col min="8" max="8" width="10.5" customWidth="1"/>
    <col min="9" max="9" width="3.6640625" customWidth="1"/>
    <col min="10" max="10" width="6.33203125" customWidth="1"/>
    <col min="11" max="11" width="7.83203125" customWidth="1"/>
    <col min="12" max="12" width="5.1640625" customWidth="1"/>
    <col min="13" max="13" width="7" customWidth="1"/>
    <col min="14" max="14" width="8.5" customWidth="1"/>
    <col min="15" max="15" width="11.83203125" customWidth="1"/>
    <col min="16" max="16" width="6.5" customWidth="1"/>
    <col min="17" max="17" width="20.33203125" customWidth="1"/>
    <col min="18" max="18" width="16" customWidth="1"/>
    <col min="19" max="19" width="7.1640625" customWidth="1"/>
    <col min="20" max="20" width="6.6640625" customWidth="1"/>
    <col min="21" max="21" width="4" customWidth="1"/>
    <col min="22" max="22" width="4.6640625" customWidth="1"/>
    <col min="23" max="23" width="4" customWidth="1"/>
    <col min="24" max="24" width="4.33203125" customWidth="1"/>
    <col min="25" max="25" width="5" customWidth="1"/>
    <col min="26" max="26" width="4" customWidth="1"/>
    <col min="27" max="32" width="3" customWidth="1"/>
    <col min="33" max="33" width="5" customWidth="1"/>
    <col min="34" max="34" width="3" customWidth="1"/>
    <col min="35" max="35" width="5" customWidth="1"/>
    <col min="36" max="36" width="4" customWidth="1"/>
    <col min="37" max="37" width="6" customWidth="1"/>
    <col min="38" max="38" width="4" customWidth="1"/>
    <col min="39" max="39" width="6" customWidth="1"/>
    <col min="40" max="40" width="4" customWidth="1"/>
    <col min="41" max="41" width="6" customWidth="1"/>
    <col min="42" max="42" width="4" customWidth="1"/>
    <col min="43" max="43" width="6" customWidth="1"/>
    <col min="44" max="48" width="4" customWidth="1"/>
    <col min="49" max="68" width="9.1640625" customWidth="1"/>
  </cols>
  <sheetData>
    <row r="1" spans="1:68" ht="12.75" customHeight="1">
      <c r="A1" s="12" t="s">
        <v>2</v>
      </c>
      <c r="B1" s="13" t="s">
        <v>3</v>
      </c>
      <c r="C1" s="13" t="s">
        <v>4</v>
      </c>
      <c r="D1" s="13" t="s">
        <v>5</v>
      </c>
      <c r="E1" s="12" t="s">
        <v>6</v>
      </c>
      <c r="F1" s="14" t="s">
        <v>7</v>
      </c>
      <c r="G1" s="15" t="s">
        <v>8</v>
      </c>
      <c r="H1" s="16" t="s">
        <v>9</v>
      </c>
      <c r="I1" s="13" t="s">
        <v>10</v>
      </c>
      <c r="J1" s="13" t="s">
        <v>11</v>
      </c>
      <c r="K1" s="17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2" t="s">
        <v>18</v>
      </c>
      <c r="R1" s="14" t="s">
        <v>19</v>
      </c>
      <c r="S1" s="18" t="s">
        <v>20</v>
      </c>
      <c r="T1" s="13" t="s">
        <v>21</v>
      </c>
      <c r="U1" s="13">
        <f t="shared" ref="U1:AR1" si="0">2.5*U2</f>
        <v>2.5</v>
      </c>
      <c r="V1" s="13">
        <f t="shared" si="0"/>
        <v>5</v>
      </c>
      <c r="W1" s="13">
        <f t="shared" si="0"/>
        <v>7.5</v>
      </c>
      <c r="X1" s="13">
        <f t="shared" si="0"/>
        <v>10</v>
      </c>
      <c r="Y1" s="13">
        <f t="shared" si="0"/>
        <v>12.5</v>
      </c>
      <c r="Z1" s="13">
        <f t="shared" si="0"/>
        <v>15</v>
      </c>
      <c r="AA1" s="13">
        <f t="shared" si="0"/>
        <v>20</v>
      </c>
      <c r="AB1" s="13">
        <f t="shared" si="0"/>
        <v>25</v>
      </c>
      <c r="AC1" s="13">
        <f t="shared" si="0"/>
        <v>30</v>
      </c>
      <c r="AD1" s="13">
        <f t="shared" si="0"/>
        <v>35</v>
      </c>
      <c r="AE1" s="13">
        <f t="shared" si="0"/>
        <v>40</v>
      </c>
      <c r="AF1" s="13">
        <f t="shared" si="0"/>
        <v>50</v>
      </c>
      <c r="AG1" s="13">
        <f t="shared" si="0"/>
        <v>62.5</v>
      </c>
      <c r="AH1" s="13">
        <f t="shared" si="0"/>
        <v>75</v>
      </c>
      <c r="AI1" s="13">
        <f t="shared" si="0"/>
        <v>87.5</v>
      </c>
      <c r="AJ1" s="13">
        <f t="shared" si="0"/>
        <v>100</v>
      </c>
      <c r="AK1" s="13">
        <f t="shared" si="0"/>
        <v>112.5</v>
      </c>
      <c r="AL1" s="13">
        <f t="shared" si="0"/>
        <v>125</v>
      </c>
      <c r="AM1" s="13">
        <f t="shared" si="0"/>
        <v>137.5</v>
      </c>
      <c r="AN1" s="13">
        <f t="shared" si="0"/>
        <v>150</v>
      </c>
      <c r="AO1" s="13">
        <f t="shared" si="0"/>
        <v>162.5</v>
      </c>
      <c r="AP1" s="13">
        <f t="shared" si="0"/>
        <v>175</v>
      </c>
      <c r="AQ1" s="13">
        <f t="shared" si="0"/>
        <v>187.5</v>
      </c>
      <c r="AR1" s="13">
        <f t="shared" si="0"/>
        <v>200</v>
      </c>
      <c r="AS1" s="13">
        <v>250</v>
      </c>
      <c r="AT1" s="13">
        <v>300</v>
      </c>
      <c r="AU1" s="13">
        <v>350</v>
      </c>
      <c r="AV1" s="13">
        <v>400</v>
      </c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</row>
    <row r="2" spans="1:68" ht="12.75" customHeight="1">
      <c r="A2" s="19"/>
      <c r="B2" s="20"/>
      <c r="C2" s="20"/>
      <c r="D2" s="20"/>
      <c r="E2" s="21"/>
      <c r="F2" s="19"/>
      <c r="G2" s="22"/>
      <c r="H2" s="23"/>
      <c r="I2" s="20"/>
      <c r="J2" s="20"/>
      <c r="K2" s="24">
        <v>0.5</v>
      </c>
      <c r="L2" s="20"/>
      <c r="M2" s="20" t="s">
        <v>22</v>
      </c>
      <c r="N2" s="20" t="s">
        <v>23</v>
      </c>
      <c r="O2" s="20"/>
      <c r="P2" s="20"/>
      <c r="Q2" s="25">
        <v>2</v>
      </c>
      <c r="R2" s="26">
        <v>3</v>
      </c>
      <c r="S2" s="22">
        <f t="shared" ref="S2:T2" si="1">SUM(S3:S10820)</f>
        <v>1524</v>
      </c>
      <c r="T2" s="20">
        <f t="shared" si="1"/>
        <v>4</v>
      </c>
      <c r="U2" s="20">
        <v>1</v>
      </c>
      <c r="V2" s="20">
        <v>2</v>
      </c>
      <c r="W2" s="20">
        <v>3</v>
      </c>
      <c r="X2" s="20">
        <v>4</v>
      </c>
      <c r="Y2" s="20">
        <v>5</v>
      </c>
      <c r="Z2" s="20">
        <v>6</v>
      </c>
      <c r="AA2" s="20">
        <v>8</v>
      </c>
      <c r="AB2" s="20">
        <v>10</v>
      </c>
      <c r="AC2" s="20">
        <v>12</v>
      </c>
      <c r="AD2" s="20">
        <v>14</v>
      </c>
      <c r="AE2" s="20">
        <v>16</v>
      </c>
      <c r="AF2" s="20">
        <v>20</v>
      </c>
      <c r="AG2" s="20">
        <v>25</v>
      </c>
      <c r="AH2" s="20">
        <v>30</v>
      </c>
      <c r="AI2" s="20">
        <v>35</v>
      </c>
      <c r="AJ2" s="20">
        <v>40</v>
      </c>
      <c r="AK2" s="20">
        <v>45</v>
      </c>
      <c r="AL2" s="20">
        <v>50</v>
      </c>
      <c r="AM2" s="20">
        <v>55</v>
      </c>
      <c r="AN2" s="20">
        <v>60</v>
      </c>
      <c r="AO2" s="20">
        <v>65</v>
      </c>
      <c r="AP2" s="20">
        <v>70</v>
      </c>
      <c r="AQ2" s="20">
        <v>75</v>
      </c>
      <c r="AR2" s="20">
        <v>80</v>
      </c>
      <c r="AS2" s="20">
        <v>100</v>
      </c>
      <c r="AT2" s="20">
        <v>120</v>
      </c>
      <c r="AU2" s="20">
        <v>140</v>
      </c>
      <c r="AV2" s="20">
        <v>160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ht="12.75" customHeight="1">
      <c r="A3" s="21">
        <f t="shared" ref="A3:A257" si="2">MAX($A$1:$A2)+1</f>
        <v>1</v>
      </c>
      <c r="B3" s="20" t="s">
        <v>24</v>
      </c>
      <c r="C3" s="20" t="s">
        <v>25</v>
      </c>
      <c r="D3" s="20" t="s">
        <v>26</v>
      </c>
      <c r="E3" s="21" t="str">
        <f>IF(ISERROR(VLOOKUP($D3,SITES!$A:$E,2,FALSE)),"",VLOOKUP($D3,SITES!$A:$E,2,FALSE))</f>
        <v>Baeria Rocks North Island Northside</v>
      </c>
      <c r="F3" s="19">
        <f>IF(ISERROR(VLOOKUP($D3,SITES!$A:$E,3,FALSE)),"",VLOOKUP($D3,SITES!$A:$E,3,FALSE))</f>
        <v>48.955081939697202</v>
      </c>
      <c r="G3" s="22">
        <f>IF(ISERROR(VLOOKUP($D3,SITES!$A:$E,4,FALSE)),"",VLOOKUP($D3,SITES!$A:$E,4,FALSE))</f>
        <v>-125.15337371826099</v>
      </c>
      <c r="H3" s="23">
        <v>45404</v>
      </c>
      <c r="I3" s="20">
        <v>1</v>
      </c>
      <c r="J3" s="20" t="s">
        <v>27</v>
      </c>
      <c r="K3" s="27">
        <v>0.4236111111111111</v>
      </c>
      <c r="L3" s="20">
        <v>7.5</v>
      </c>
      <c r="M3" s="20">
        <v>2</v>
      </c>
      <c r="N3" s="20">
        <v>1</v>
      </c>
      <c r="O3" s="20">
        <v>48</v>
      </c>
      <c r="P3" s="20" t="s">
        <v>28</v>
      </c>
      <c r="Q3" s="21" t="str">
        <f>IF($M3=1,IF(ISERROR(VLOOKUP($P3,'M1'!$A:$C,Q$2,FALSE)),"NOT PRESENT",VLOOKUP($P3,'M1'!$A:$C,Q$2,FALSE)),IF($M3=2,IF(ISERROR(VLOOKUP(DATA!$P3,'M2'!$A:$C,Q$2,FALSE)),"NOT PRESENT",VLOOKUP(DATA!$P3,'M2'!$A:$C,Q$2,FALSE)),IF($M3=0,IF(ISERROR(VLOOKUP($P3,'M1'!$A:$C,Q$2,FALSE)),IF(ISERROR(VLOOKUP(DATA!$P3,'M2'!$A:$C,Q$2,FALSE)),"NOT PRESENT",VLOOKUP(DATA!$P3,'M2'!$A:$C,Q$2,FALSE)),VLOOKUP($P3,'M1'!$A:$C,Q$2,FALSE)),"SPECIFY METHOD")))</f>
        <v>Patiria miniata</v>
      </c>
      <c r="R3" s="21" t="str">
        <f>IF($M3=1,IF(ISERROR(VLOOKUP($P3,'M1'!$A:$C,R$2,FALSE)),"NOT PRESENT",VLOOKUP($P3,'M1'!$A:$C,R$2,FALSE)),IF($M3=2,IF(ISERROR(VLOOKUP(DATA!$P3,'M2'!$A:$C,R$2,FALSE)),"NOT PRESENT",VLOOKUP(DATA!$P3,'M2'!$A:$C,R$2,FALSE)),IF($M3=0,IF(ISERROR(VLOOKUP($P3,'M1'!$A:$C,R$2,FALSE)),IF(ISERROR(VLOOKUP(DATA!$P3,'M2'!$A:$C,R$2,FALSE)),"NOT PRESENT",VLOOKUP(DATA!$P3,'M2'!$A:$C,R$2,FALSE)),VLOOKUP($P3,'M1'!$A:$C,R$2,FALSE)),"SPECIFY METHOD")))</f>
        <v>Bat star</v>
      </c>
      <c r="S3" s="28">
        <f t="shared" ref="S3:S257" si="3">SUM(T3:AV3)</f>
        <v>4</v>
      </c>
      <c r="T3" s="20">
        <v>0</v>
      </c>
      <c r="U3" s="20">
        <v>1</v>
      </c>
      <c r="V3" s="20">
        <v>1</v>
      </c>
      <c r="W3" s="20">
        <v>2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</row>
    <row r="4" spans="1:68" ht="12.75" customHeight="1">
      <c r="A4" s="21">
        <f t="shared" si="2"/>
        <v>2</v>
      </c>
      <c r="B4" s="20" t="str">
        <f t="shared" ref="B4:D4" si="4">IF(ISERROR(B3),IF(ISERROR(B2),IF(ISERROR(B1),"BLANK",B1),B2),B3)</f>
        <v>Jasmin Schuster</v>
      </c>
      <c r="C4" s="20" t="str">
        <f t="shared" si="4"/>
        <v>Tom Bird</v>
      </c>
      <c r="D4" s="20" t="str">
        <f t="shared" si="4"/>
        <v>BMSC8</v>
      </c>
      <c r="E4" s="21" t="str">
        <f>IF(ISERROR(VLOOKUP($D4,SITES!$A:$E,2,FALSE)),"",VLOOKUP($D4,SITES!$A:$E,2,FALSE))</f>
        <v>Baeria Rocks North Island Northside</v>
      </c>
      <c r="F4" s="19">
        <f>IF(ISERROR(VLOOKUP($D4,SITES!$A:$E,3,FALSE)),"",VLOOKUP($D4,SITES!$A:$E,3,FALSE))</f>
        <v>48.955081939697202</v>
      </c>
      <c r="G4" s="22">
        <f>IF(ISERROR(VLOOKUP($D4,SITES!$A:$E,4,FALSE)),"",VLOOKUP($D4,SITES!$A:$E,4,FALSE))</f>
        <v>-125.15337371826099</v>
      </c>
      <c r="H4" s="23">
        <f t="shared" ref="H4:N4" si="5">IF(ISERROR(H3),IF(ISERROR(H2),IF(ISERROR(H1),"BLANK",H1),H2),H3)</f>
        <v>45404</v>
      </c>
      <c r="I4" s="20">
        <f t="shared" si="5"/>
        <v>1</v>
      </c>
      <c r="J4" s="20" t="str">
        <f t="shared" si="5"/>
        <v>NW</v>
      </c>
      <c r="K4" s="27">
        <f t="shared" si="5"/>
        <v>0.4236111111111111</v>
      </c>
      <c r="L4" s="20">
        <f t="shared" si="5"/>
        <v>7.5</v>
      </c>
      <c r="M4" s="20">
        <f t="shared" si="5"/>
        <v>2</v>
      </c>
      <c r="N4" s="20">
        <f t="shared" si="5"/>
        <v>1</v>
      </c>
      <c r="O4" s="20">
        <v>48</v>
      </c>
      <c r="P4" s="20" t="s">
        <v>29</v>
      </c>
      <c r="Q4" s="21" t="str">
        <f>IF($M4=1,IF(ISERROR(VLOOKUP($P4,'M1'!$A:$C,Q$2,FALSE)),"NOT PRESENT",VLOOKUP($P4,'M1'!$A:$C,Q$2,FALSE)),IF($M4=2,IF(ISERROR(VLOOKUP(DATA!$P4,'M2'!$A:$C,Q$2,FALSE)),"NOT PRESENT",VLOOKUP(DATA!$P4,'M2'!$A:$C,Q$2,FALSE)),IF($M4=0,IF(ISERROR(VLOOKUP($P4,'M1'!$A:$C,Q$2,FALSE)),IF(ISERROR(VLOOKUP(DATA!$P4,'M2'!$A:$C,Q$2,FALSE)),"NOT PRESENT",VLOOKUP(DATA!$P4,'M2'!$A:$C,Q$2,FALSE)),VLOOKUP($P4,'M1'!$A:$C,Q$2,FALSE)),"SPECIFY METHOD")))</f>
        <v>Mesocentrotus franciscanus</v>
      </c>
      <c r="R4" s="21" t="str">
        <f>IF($M4=1,IF(ISERROR(VLOOKUP($P4,'M1'!$A:$C,R$2,FALSE)),"NOT PRESENT",VLOOKUP($P4,'M1'!$A:$C,R$2,FALSE)),IF($M4=2,IF(ISERROR(VLOOKUP(DATA!$P4,'M2'!$A:$C,R$2,FALSE)),"NOT PRESENT",VLOOKUP(DATA!$P4,'M2'!$A:$C,R$2,FALSE)),IF($M4=0,IF(ISERROR(VLOOKUP($P4,'M1'!$A:$C,R$2,FALSE)),IF(ISERROR(VLOOKUP(DATA!$P4,'M2'!$A:$C,R$2,FALSE)),"NOT PRESENT",VLOOKUP(DATA!$P4,'M2'!$A:$C,R$2,FALSE)),VLOOKUP($P4,'M1'!$A:$C,R$2,FALSE)),"SPECIFY METHOD")))</f>
        <v>Red sea urchin</v>
      </c>
      <c r="S4" s="28">
        <f t="shared" si="3"/>
        <v>3</v>
      </c>
      <c r="T4" s="20">
        <v>0</v>
      </c>
      <c r="U4" s="20">
        <v>1</v>
      </c>
      <c r="V4" s="20">
        <v>2</v>
      </c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</row>
    <row r="5" spans="1:68" ht="12.75" customHeight="1">
      <c r="A5" s="21">
        <f t="shared" si="2"/>
        <v>3</v>
      </c>
      <c r="B5" s="20" t="str">
        <f t="shared" ref="B5:D5" si="6">IF(ISERROR(B4),IF(ISERROR(B3),IF(ISERROR(B2),"BLANK",B2),B3),B4)</f>
        <v>Jasmin Schuster</v>
      </c>
      <c r="C5" s="20" t="str">
        <f t="shared" si="6"/>
        <v>Tom Bird</v>
      </c>
      <c r="D5" s="20" t="str">
        <f t="shared" si="6"/>
        <v>BMSC8</v>
      </c>
      <c r="E5" s="21" t="str">
        <f>IF(ISERROR(VLOOKUP($D5,SITES!$A:$E,2,FALSE)),"",VLOOKUP($D5,SITES!$A:$E,2,FALSE))</f>
        <v>Baeria Rocks North Island Northside</v>
      </c>
      <c r="F5" s="19">
        <f>IF(ISERROR(VLOOKUP($D5,SITES!$A:$E,3,FALSE)),"",VLOOKUP($D5,SITES!$A:$E,3,FALSE))</f>
        <v>48.955081939697202</v>
      </c>
      <c r="G5" s="22">
        <f>IF(ISERROR(VLOOKUP($D5,SITES!$A:$E,4,FALSE)),"",VLOOKUP($D5,SITES!$A:$E,4,FALSE))</f>
        <v>-125.15337371826099</v>
      </c>
      <c r="H5" s="23">
        <f t="shared" ref="H5:N5" si="7">IF(ISERROR(H4),IF(ISERROR(H3),IF(ISERROR(H2),"BLANK",H2),H3),H4)</f>
        <v>45404</v>
      </c>
      <c r="I5" s="20">
        <f t="shared" si="7"/>
        <v>1</v>
      </c>
      <c r="J5" s="20" t="str">
        <f t="shared" si="7"/>
        <v>NW</v>
      </c>
      <c r="K5" s="27">
        <f t="shared" si="7"/>
        <v>0.4236111111111111</v>
      </c>
      <c r="L5" s="20">
        <f t="shared" si="7"/>
        <v>7.5</v>
      </c>
      <c r="M5" s="20">
        <f t="shared" si="7"/>
        <v>2</v>
      </c>
      <c r="N5" s="20">
        <f t="shared" si="7"/>
        <v>1</v>
      </c>
      <c r="O5" s="20">
        <v>32</v>
      </c>
      <c r="P5" s="20" t="s">
        <v>29</v>
      </c>
      <c r="Q5" s="21" t="str">
        <f>IF($M5=1,IF(ISERROR(VLOOKUP($P5,'M1'!$A:$C,Q$2,FALSE)),"NOT PRESENT",VLOOKUP($P5,'M1'!$A:$C,Q$2,FALSE)),IF($M5=2,IF(ISERROR(VLOOKUP(DATA!$P5,'M2'!$A:$C,Q$2,FALSE)),"NOT PRESENT",VLOOKUP(DATA!$P5,'M2'!$A:$C,Q$2,FALSE)),IF($M5=0,IF(ISERROR(VLOOKUP($P5,'M1'!$A:$C,Q$2,FALSE)),IF(ISERROR(VLOOKUP(DATA!$P5,'M2'!$A:$C,Q$2,FALSE)),"NOT PRESENT",VLOOKUP(DATA!$P5,'M2'!$A:$C,Q$2,FALSE)),VLOOKUP($P5,'M1'!$A:$C,Q$2,FALSE)),"SPECIFY METHOD")))</f>
        <v>Mesocentrotus franciscanus</v>
      </c>
      <c r="R5" s="21" t="str">
        <f>IF($M5=1,IF(ISERROR(VLOOKUP($P5,'M1'!$A:$C,R$2,FALSE)),"NOT PRESENT",VLOOKUP($P5,'M1'!$A:$C,R$2,FALSE)),IF($M5=2,IF(ISERROR(VLOOKUP(DATA!$P5,'M2'!$A:$C,R$2,FALSE)),"NOT PRESENT",VLOOKUP(DATA!$P5,'M2'!$A:$C,R$2,FALSE)),IF($M5=0,IF(ISERROR(VLOOKUP($P5,'M1'!$A:$C,R$2,FALSE)),IF(ISERROR(VLOOKUP(DATA!$P5,'M2'!$A:$C,R$2,FALSE)),"NOT PRESENT",VLOOKUP(DATA!$P5,'M2'!$A:$C,R$2,FALSE)),VLOOKUP($P5,'M1'!$A:$C,R$2,FALSE)),"SPECIFY METHOD")))</f>
        <v>Red sea urchin</v>
      </c>
      <c r="S5" s="28">
        <f t="shared" si="3"/>
        <v>11</v>
      </c>
      <c r="T5" s="20">
        <v>0</v>
      </c>
      <c r="U5" s="20">
        <v>6</v>
      </c>
      <c r="V5" s="20">
        <v>3</v>
      </c>
      <c r="W5" s="20">
        <v>2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2.75" customHeight="1">
      <c r="A6" s="21">
        <f t="shared" si="2"/>
        <v>4</v>
      </c>
      <c r="B6" s="20" t="str">
        <f t="shared" ref="B6:D6" si="8">IF(ISERROR(B5),IF(ISERROR(B4),IF(ISERROR(B3),"BLANK",B3),B4),B5)</f>
        <v>Jasmin Schuster</v>
      </c>
      <c r="C6" s="20" t="str">
        <f t="shared" si="8"/>
        <v>Tom Bird</v>
      </c>
      <c r="D6" s="20" t="str">
        <f t="shared" si="8"/>
        <v>BMSC8</v>
      </c>
      <c r="E6" s="21" t="str">
        <f>IF(ISERROR(VLOOKUP($D6,SITES!$A:$E,2,FALSE)),"",VLOOKUP($D6,SITES!$A:$E,2,FALSE))</f>
        <v>Baeria Rocks North Island Northside</v>
      </c>
      <c r="F6" s="19">
        <f>IF(ISERROR(VLOOKUP($D6,SITES!$A:$E,3,FALSE)),"",VLOOKUP($D6,SITES!$A:$E,3,FALSE))</f>
        <v>48.955081939697202</v>
      </c>
      <c r="G6" s="22">
        <f>IF(ISERROR(VLOOKUP($D6,SITES!$A:$E,4,FALSE)),"",VLOOKUP($D6,SITES!$A:$E,4,FALSE))</f>
        <v>-125.15337371826099</v>
      </c>
      <c r="H6" s="23">
        <f t="shared" ref="H6:N6" si="9">IF(ISERROR(H5),IF(ISERROR(H4),IF(ISERROR(H3),"BLANK",H3),H4),H5)</f>
        <v>45404</v>
      </c>
      <c r="I6" s="20">
        <f t="shared" si="9"/>
        <v>1</v>
      </c>
      <c r="J6" s="20" t="str">
        <f t="shared" si="9"/>
        <v>NW</v>
      </c>
      <c r="K6" s="27">
        <f t="shared" si="9"/>
        <v>0.4236111111111111</v>
      </c>
      <c r="L6" s="20">
        <f t="shared" si="9"/>
        <v>7.5</v>
      </c>
      <c r="M6" s="20">
        <f t="shared" si="9"/>
        <v>2</v>
      </c>
      <c r="N6" s="20">
        <f t="shared" si="9"/>
        <v>1</v>
      </c>
      <c r="O6" s="20">
        <v>32</v>
      </c>
      <c r="P6" s="20" t="s">
        <v>28</v>
      </c>
      <c r="Q6" s="21" t="str">
        <f>IF($M6=1,IF(ISERROR(VLOOKUP($P6,'M1'!$A:$C,Q$2,FALSE)),"NOT PRESENT",VLOOKUP($P6,'M1'!$A:$C,Q$2,FALSE)),IF($M6=2,IF(ISERROR(VLOOKUP(DATA!$P6,'M2'!$A:$C,Q$2,FALSE)),"NOT PRESENT",VLOOKUP(DATA!$P6,'M2'!$A:$C,Q$2,FALSE)),IF($M6=0,IF(ISERROR(VLOOKUP($P6,'M1'!$A:$C,Q$2,FALSE)),IF(ISERROR(VLOOKUP(DATA!$P6,'M2'!$A:$C,Q$2,FALSE)),"NOT PRESENT",VLOOKUP(DATA!$P6,'M2'!$A:$C,Q$2,FALSE)),VLOOKUP($P6,'M1'!$A:$C,Q$2,FALSE)),"SPECIFY METHOD")))</f>
        <v>Patiria miniata</v>
      </c>
      <c r="R6" s="21" t="str">
        <f>IF($M6=1,IF(ISERROR(VLOOKUP($P6,'M1'!$A:$C,R$2,FALSE)),"NOT PRESENT",VLOOKUP($P6,'M1'!$A:$C,R$2,FALSE)),IF($M6=2,IF(ISERROR(VLOOKUP(DATA!$P6,'M2'!$A:$C,R$2,FALSE)),"NOT PRESENT",VLOOKUP(DATA!$P6,'M2'!$A:$C,R$2,FALSE)),IF($M6=0,IF(ISERROR(VLOOKUP($P6,'M1'!$A:$C,R$2,FALSE)),IF(ISERROR(VLOOKUP(DATA!$P6,'M2'!$A:$C,R$2,FALSE)),"NOT PRESENT",VLOOKUP(DATA!$P6,'M2'!$A:$C,R$2,FALSE)),VLOOKUP($P6,'M1'!$A:$C,R$2,FALSE)),"SPECIFY METHOD")))</f>
        <v>Bat star</v>
      </c>
      <c r="S6" s="28">
        <f t="shared" si="3"/>
        <v>2</v>
      </c>
      <c r="T6" s="20">
        <v>0</v>
      </c>
      <c r="U6" s="20">
        <v>2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ht="12.75" customHeight="1">
      <c r="A7" s="21">
        <f t="shared" si="2"/>
        <v>5</v>
      </c>
      <c r="B7" s="20" t="str">
        <f t="shared" ref="B7:D7" si="10">IF(ISERROR(B6),IF(ISERROR(B5),IF(ISERROR(B4),"BLANK",B4),B5),B6)</f>
        <v>Jasmin Schuster</v>
      </c>
      <c r="C7" s="20" t="str">
        <f t="shared" si="10"/>
        <v>Tom Bird</v>
      </c>
      <c r="D7" s="20" t="str">
        <f t="shared" si="10"/>
        <v>BMSC8</v>
      </c>
      <c r="E7" s="21" t="str">
        <f>IF(ISERROR(VLOOKUP($D7,SITES!$A:$E,2,FALSE)),"",VLOOKUP($D7,SITES!$A:$E,2,FALSE))</f>
        <v>Baeria Rocks North Island Northside</v>
      </c>
      <c r="F7" s="19">
        <f>IF(ISERROR(VLOOKUP($D7,SITES!$A:$E,3,FALSE)),"",VLOOKUP($D7,SITES!$A:$E,3,FALSE))</f>
        <v>48.955081939697202</v>
      </c>
      <c r="G7" s="22">
        <f>IF(ISERROR(VLOOKUP($D7,SITES!$A:$E,4,FALSE)),"",VLOOKUP($D7,SITES!$A:$E,4,FALSE))</f>
        <v>-125.15337371826099</v>
      </c>
      <c r="H7" s="23">
        <f t="shared" ref="H7:N7" si="11">IF(ISERROR(H6),IF(ISERROR(H5),IF(ISERROR(H4),"BLANK",H4),H5),H6)</f>
        <v>45404</v>
      </c>
      <c r="I7" s="20">
        <f t="shared" si="11"/>
        <v>1</v>
      </c>
      <c r="J7" s="20" t="str">
        <f t="shared" si="11"/>
        <v>NW</v>
      </c>
      <c r="K7" s="27">
        <f t="shared" si="11"/>
        <v>0.4236111111111111</v>
      </c>
      <c r="L7" s="20">
        <f t="shared" si="11"/>
        <v>7.5</v>
      </c>
      <c r="M7" s="20">
        <f t="shared" si="11"/>
        <v>2</v>
      </c>
      <c r="N7" s="20">
        <f t="shared" si="11"/>
        <v>1</v>
      </c>
      <c r="O7" s="20">
        <v>16</v>
      </c>
      <c r="P7" s="20" t="str">
        <f>IF(ISERROR(P6),IF(ISERROR(P5),IF(ISERROR(P4),"BLANK",P4),P5),P6)</f>
        <v>Pmi</v>
      </c>
      <c r="Q7" s="21" t="str">
        <f>IF($M7=1,IF(ISERROR(VLOOKUP($P7,'M1'!$A:$C,Q$2,FALSE)),"NOT PRESENT",VLOOKUP($P7,'M1'!$A:$C,Q$2,FALSE)),IF($M7=2,IF(ISERROR(VLOOKUP(DATA!$P7,'M2'!$A:$C,Q$2,FALSE)),"NOT PRESENT",VLOOKUP(DATA!$P7,'M2'!$A:$C,Q$2,FALSE)),IF($M7=0,IF(ISERROR(VLOOKUP($P7,'M1'!$A:$C,Q$2,FALSE)),IF(ISERROR(VLOOKUP(DATA!$P7,'M2'!$A:$C,Q$2,FALSE)),"NOT PRESENT",VLOOKUP(DATA!$P7,'M2'!$A:$C,Q$2,FALSE)),VLOOKUP($P7,'M1'!$A:$C,Q$2,FALSE)),"SPECIFY METHOD")))</f>
        <v>Patiria miniata</v>
      </c>
      <c r="R7" s="21" t="str">
        <f>IF($M7=1,IF(ISERROR(VLOOKUP($P7,'M1'!$A:$C,R$2,FALSE)),"NOT PRESENT",VLOOKUP($P7,'M1'!$A:$C,R$2,FALSE)),IF($M7=2,IF(ISERROR(VLOOKUP(DATA!$P7,'M2'!$A:$C,R$2,FALSE)),"NOT PRESENT",VLOOKUP(DATA!$P7,'M2'!$A:$C,R$2,FALSE)),IF($M7=0,IF(ISERROR(VLOOKUP($P7,'M1'!$A:$C,R$2,FALSE)),IF(ISERROR(VLOOKUP(DATA!$P7,'M2'!$A:$C,R$2,FALSE)),"NOT PRESENT",VLOOKUP(DATA!$P7,'M2'!$A:$C,R$2,FALSE)),VLOOKUP($P7,'M1'!$A:$C,R$2,FALSE)),"SPECIFY METHOD")))</f>
        <v>Bat star</v>
      </c>
      <c r="S7" s="28">
        <f t="shared" si="3"/>
        <v>1</v>
      </c>
      <c r="T7" s="20">
        <v>0</v>
      </c>
      <c r="U7" s="20"/>
      <c r="V7" s="20"/>
      <c r="W7" s="20">
        <v>1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2.75" customHeight="1">
      <c r="A8" s="21">
        <f t="shared" si="2"/>
        <v>6</v>
      </c>
      <c r="B8" s="20" t="str">
        <f t="shared" ref="B8:D8" si="12">IF(ISERROR(B7),IF(ISERROR(B6),IF(ISERROR(B5),"BLANK",B5),B6),B7)</f>
        <v>Jasmin Schuster</v>
      </c>
      <c r="C8" s="20" t="str">
        <f t="shared" si="12"/>
        <v>Tom Bird</v>
      </c>
      <c r="D8" s="20" t="str">
        <f t="shared" si="12"/>
        <v>BMSC8</v>
      </c>
      <c r="E8" s="21" t="str">
        <f>IF(ISERROR(VLOOKUP($D8,SITES!$A:$E,2,FALSE)),"",VLOOKUP($D8,SITES!$A:$E,2,FALSE))</f>
        <v>Baeria Rocks North Island Northside</v>
      </c>
      <c r="F8" s="19">
        <f>IF(ISERROR(VLOOKUP($D8,SITES!$A:$E,3,FALSE)),"",VLOOKUP($D8,SITES!$A:$E,3,FALSE))</f>
        <v>48.955081939697202</v>
      </c>
      <c r="G8" s="22">
        <f>IF(ISERROR(VLOOKUP($D8,SITES!$A:$E,4,FALSE)),"",VLOOKUP($D8,SITES!$A:$E,4,FALSE))</f>
        <v>-125.15337371826099</v>
      </c>
      <c r="H8" s="23">
        <f t="shared" ref="H8:N8" si="13">IF(ISERROR(H7),IF(ISERROR(H6),IF(ISERROR(H5),"BLANK",H5),H6),H7)</f>
        <v>45404</v>
      </c>
      <c r="I8" s="20">
        <f t="shared" si="13"/>
        <v>1</v>
      </c>
      <c r="J8" s="20" t="str">
        <f t="shared" si="13"/>
        <v>NW</v>
      </c>
      <c r="K8" s="27">
        <f t="shared" si="13"/>
        <v>0.4236111111111111</v>
      </c>
      <c r="L8" s="20">
        <f t="shared" si="13"/>
        <v>7.5</v>
      </c>
      <c r="M8" s="20">
        <f t="shared" si="13"/>
        <v>2</v>
      </c>
      <c r="N8" s="20">
        <f t="shared" si="13"/>
        <v>1</v>
      </c>
      <c r="O8" s="20">
        <v>16</v>
      </c>
      <c r="P8" s="20" t="s">
        <v>29</v>
      </c>
      <c r="Q8" s="21" t="str">
        <f>IF($M8=1,IF(ISERROR(VLOOKUP($P8,'M1'!$A:$C,Q$2,FALSE)),"NOT PRESENT",VLOOKUP($P8,'M1'!$A:$C,Q$2,FALSE)),IF($M8=2,IF(ISERROR(VLOOKUP(DATA!$P8,'M2'!$A:$C,Q$2,FALSE)),"NOT PRESENT",VLOOKUP(DATA!$P8,'M2'!$A:$C,Q$2,FALSE)),IF($M8=0,IF(ISERROR(VLOOKUP($P8,'M1'!$A:$C,Q$2,FALSE)),IF(ISERROR(VLOOKUP(DATA!$P8,'M2'!$A:$C,Q$2,FALSE)),"NOT PRESENT",VLOOKUP(DATA!$P8,'M2'!$A:$C,Q$2,FALSE)),VLOOKUP($P8,'M1'!$A:$C,Q$2,FALSE)),"SPECIFY METHOD")))</f>
        <v>Mesocentrotus franciscanus</v>
      </c>
      <c r="R8" s="21" t="str">
        <f>IF($M8=1,IF(ISERROR(VLOOKUP($P8,'M1'!$A:$C,R$2,FALSE)),"NOT PRESENT",VLOOKUP($P8,'M1'!$A:$C,R$2,FALSE)),IF($M8=2,IF(ISERROR(VLOOKUP(DATA!$P8,'M2'!$A:$C,R$2,FALSE)),"NOT PRESENT",VLOOKUP(DATA!$P8,'M2'!$A:$C,R$2,FALSE)),IF($M8=0,IF(ISERROR(VLOOKUP($P8,'M1'!$A:$C,R$2,FALSE)),IF(ISERROR(VLOOKUP(DATA!$P8,'M2'!$A:$C,R$2,FALSE)),"NOT PRESENT",VLOOKUP(DATA!$P8,'M2'!$A:$C,R$2,FALSE)),VLOOKUP($P8,'M1'!$A:$C,R$2,FALSE)),"SPECIFY METHOD")))</f>
        <v>Red sea urchin</v>
      </c>
      <c r="S8" s="28">
        <f t="shared" si="3"/>
        <v>8</v>
      </c>
      <c r="T8" s="20">
        <v>0</v>
      </c>
      <c r="U8" s="20">
        <v>1</v>
      </c>
      <c r="V8" s="20">
        <v>6</v>
      </c>
      <c r="W8" s="20">
        <v>1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ht="12.75" customHeight="1">
      <c r="A9" s="21">
        <f t="shared" si="2"/>
        <v>7</v>
      </c>
      <c r="B9" s="20" t="str">
        <f t="shared" ref="B9:D9" si="14">IF(ISERROR(B8),IF(ISERROR(B7),IF(ISERROR(B6),"BLANK",B6),B7),B8)</f>
        <v>Jasmin Schuster</v>
      </c>
      <c r="C9" s="20" t="str">
        <f t="shared" si="14"/>
        <v>Tom Bird</v>
      </c>
      <c r="D9" s="20" t="str">
        <f t="shared" si="14"/>
        <v>BMSC8</v>
      </c>
      <c r="E9" s="21" t="str">
        <f>IF(ISERROR(VLOOKUP($D9,SITES!$A:$E,2,FALSE)),"",VLOOKUP($D9,SITES!$A:$E,2,FALSE))</f>
        <v>Baeria Rocks North Island Northside</v>
      </c>
      <c r="F9" s="19">
        <f>IF(ISERROR(VLOOKUP($D9,SITES!$A:$E,3,FALSE)),"",VLOOKUP($D9,SITES!$A:$E,3,FALSE))</f>
        <v>48.955081939697202</v>
      </c>
      <c r="G9" s="22">
        <f>IF(ISERROR(VLOOKUP($D9,SITES!$A:$E,4,FALSE)),"",VLOOKUP($D9,SITES!$A:$E,4,FALSE))</f>
        <v>-125.15337371826099</v>
      </c>
      <c r="H9" s="23">
        <f t="shared" ref="H9:N9" si="15">IF(ISERROR(H8),IF(ISERROR(H7),IF(ISERROR(H6),"BLANK",H6),H7),H8)</f>
        <v>45404</v>
      </c>
      <c r="I9" s="20">
        <f t="shared" si="15"/>
        <v>1</v>
      </c>
      <c r="J9" s="20" t="str">
        <f t="shared" si="15"/>
        <v>NW</v>
      </c>
      <c r="K9" s="27">
        <f t="shared" si="15"/>
        <v>0.4236111111111111</v>
      </c>
      <c r="L9" s="20">
        <f t="shared" si="15"/>
        <v>7.5</v>
      </c>
      <c r="M9" s="20">
        <f t="shared" si="15"/>
        <v>2</v>
      </c>
      <c r="N9" s="20">
        <f t="shared" si="15"/>
        <v>1</v>
      </c>
      <c r="O9" s="20">
        <v>16</v>
      </c>
      <c r="P9" s="20" t="s">
        <v>30</v>
      </c>
      <c r="Q9" s="21" t="str">
        <f>IF($M9=1,IF(ISERROR(VLOOKUP($P9,'M1'!$A:$C,Q$2,FALSE)),"NOT PRESENT",VLOOKUP($P9,'M1'!$A:$C,Q$2,FALSE)),IF($M9=2,IF(ISERROR(VLOOKUP(DATA!$P9,'M2'!$A:$C,Q$2,FALSE)),"NOT PRESENT",VLOOKUP(DATA!$P9,'M2'!$A:$C,Q$2,FALSE)),IF($M9=0,IF(ISERROR(VLOOKUP($P9,'M1'!$A:$C,Q$2,FALSE)),IF(ISERROR(VLOOKUP(DATA!$P9,'M2'!$A:$C,Q$2,FALSE)),"NOT PRESENT",VLOOKUP(DATA!$P9,'M2'!$A:$C,Q$2,FALSE)),VLOOKUP($P9,'M1'!$A:$C,Q$2,FALSE)),"SPECIFY METHOD")))</f>
        <v>Pisaster ochraceus</v>
      </c>
      <c r="R9" s="29" t="s">
        <v>31</v>
      </c>
      <c r="S9" s="28">
        <f t="shared" si="3"/>
        <v>1</v>
      </c>
      <c r="T9" s="20">
        <v>0</v>
      </c>
      <c r="U9" s="20">
        <v>1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</row>
    <row r="10" spans="1:68" ht="12.75" customHeight="1">
      <c r="A10" s="21">
        <f t="shared" si="2"/>
        <v>8</v>
      </c>
      <c r="B10" s="20" t="str">
        <f t="shared" ref="B10:D10" si="16">IF(ISERROR(B9),IF(ISERROR(B8),IF(ISERROR(B7),"BLANK",B7),B8),B9)</f>
        <v>Jasmin Schuster</v>
      </c>
      <c r="C10" s="20" t="str">
        <f t="shared" si="16"/>
        <v>Tom Bird</v>
      </c>
      <c r="D10" s="20" t="str">
        <f t="shared" si="16"/>
        <v>BMSC8</v>
      </c>
      <c r="E10" s="21" t="str">
        <f>IF(ISERROR(VLOOKUP($D10,SITES!$A:$E,2,FALSE)),"",VLOOKUP($D10,SITES!$A:$E,2,FALSE))</f>
        <v>Baeria Rocks North Island Northside</v>
      </c>
      <c r="F10" s="19">
        <f>IF(ISERROR(VLOOKUP($D10,SITES!$A:$E,3,FALSE)),"",VLOOKUP($D10,SITES!$A:$E,3,FALSE))</f>
        <v>48.955081939697202</v>
      </c>
      <c r="G10" s="22">
        <f>IF(ISERROR(VLOOKUP($D10,SITES!$A:$E,4,FALSE)),"",VLOOKUP($D10,SITES!$A:$E,4,FALSE))</f>
        <v>-125.15337371826099</v>
      </c>
      <c r="H10" s="23">
        <f t="shared" ref="H10:N10" si="17">IF(ISERROR(H9),IF(ISERROR(H8),IF(ISERROR(H7),"BLANK",H7),H8),H9)</f>
        <v>45404</v>
      </c>
      <c r="I10" s="20">
        <f t="shared" si="17"/>
        <v>1</v>
      </c>
      <c r="J10" s="20" t="str">
        <f t="shared" si="17"/>
        <v>NW</v>
      </c>
      <c r="K10" s="27">
        <f t="shared" si="17"/>
        <v>0.4236111111111111</v>
      </c>
      <c r="L10" s="20">
        <f t="shared" si="17"/>
        <v>7.5</v>
      </c>
      <c r="M10" s="20">
        <f t="shared" si="17"/>
        <v>2</v>
      </c>
      <c r="N10" s="20">
        <f t="shared" si="17"/>
        <v>1</v>
      </c>
      <c r="O10" s="20">
        <v>0</v>
      </c>
      <c r="P10" s="20" t="s">
        <v>29</v>
      </c>
      <c r="Q10" s="21" t="str">
        <f>IF($M10=1,IF(ISERROR(VLOOKUP($P10,'M1'!$A:$C,Q$2,FALSE)),"NOT PRESENT",VLOOKUP($P10,'M1'!$A:$C,Q$2,FALSE)),IF($M10=2,IF(ISERROR(VLOOKUP(DATA!$P10,'M2'!$A:$C,Q$2,FALSE)),"NOT PRESENT",VLOOKUP(DATA!$P10,'M2'!$A:$C,Q$2,FALSE)),IF($M10=0,IF(ISERROR(VLOOKUP($P10,'M1'!$A:$C,Q$2,FALSE)),IF(ISERROR(VLOOKUP(DATA!$P10,'M2'!$A:$C,Q$2,FALSE)),"NOT PRESENT",VLOOKUP(DATA!$P10,'M2'!$A:$C,Q$2,FALSE)),VLOOKUP($P10,'M1'!$A:$C,Q$2,FALSE)),"SPECIFY METHOD")))</f>
        <v>Mesocentrotus franciscanus</v>
      </c>
      <c r="R10" s="21" t="str">
        <f>IF($M10=1,IF(ISERROR(VLOOKUP($P10,'M1'!$A:$C,R$2,FALSE)),"NOT PRESENT",VLOOKUP($P10,'M1'!$A:$C,R$2,FALSE)),IF($M10=2,IF(ISERROR(VLOOKUP(DATA!$P10,'M2'!$A:$C,R$2,FALSE)),"NOT PRESENT",VLOOKUP(DATA!$P10,'M2'!$A:$C,R$2,FALSE)),IF($M10=0,IF(ISERROR(VLOOKUP($P10,'M1'!$A:$C,R$2,FALSE)),IF(ISERROR(VLOOKUP(DATA!$P10,'M2'!$A:$C,R$2,FALSE)),"NOT PRESENT",VLOOKUP(DATA!$P10,'M2'!$A:$C,R$2,FALSE)),VLOOKUP($P10,'M1'!$A:$C,R$2,FALSE)),"SPECIFY METHOD")))</f>
        <v>Red sea urchin</v>
      </c>
      <c r="S10" s="28">
        <f t="shared" si="3"/>
        <v>5</v>
      </c>
      <c r="T10" s="20">
        <v>0</v>
      </c>
      <c r="U10" s="20"/>
      <c r="V10" s="20">
        <v>4</v>
      </c>
      <c r="W10" s="20">
        <v>1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2.75" customHeight="1">
      <c r="A11" s="21">
        <f t="shared" si="2"/>
        <v>9</v>
      </c>
      <c r="B11" s="20" t="str">
        <f t="shared" ref="B11:D11" si="18">IF(ISERROR(B10),IF(ISERROR(B9),IF(ISERROR(B8),"BLANK",B8),B9),B10)</f>
        <v>Jasmin Schuster</v>
      </c>
      <c r="C11" s="20" t="str">
        <f t="shared" si="18"/>
        <v>Tom Bird</v>
      </c>
      <c r="D11" s="20" t="str">
        <f t="shared" si="18"/>
        <v>BMSC8</v>
      </c>
      <c r="E11" s="21" t="str">
        <f>IF(ISERROR(VLOOKUP($D11,SITES!$A:$E,2,FALSE)),"",VLOOKUP($D11,SITES!$A:$E,2,FALSE))</f>
        <v>Baeria Rocks North Island Northside</v>
      </c>
      <c r="F11" s="19">
        <f>IF(ISERROR(VLOOKUP($D11,SITES!$A:$E,3,FALSE)),"",VLOOKUP($D11,SITES!$A:$E,3,FALSE))</f>
        <v>48.955081939697202</v>
      </c>
      <c r="G11" s="22">
        <f>IF(ISERROR(VLOOKUP($D11,SITES!$A:$E,4,FALSE)),"",VLOOKUP($D11,SITES!$A:$E,4,FALSE))</f>
        <v>-125.15337371826099</v>
      </c>
      <c r="H11" s="23">
        <f t="shared" ref="H11:N11" si="19">IF(ISERROR(H10),IF(ISERROR(H9),IF(ISERROR(H8),"BLANK",H8),H9),H10)</f>
        <v>45404</v>
      </c>
      <c r="I11" s="20">
        <f t="shared" si="19"/>
        <v>1</v>
      </c>
      <c r="J11" s="20" t="str">
        <f t="shared" si="19"/>
        <v>NW</v>
      </c>
      <c r="K11" s="27">
        <f t="shared" si="19"/>
        <v>0.4236111111111111</v>
      </c>
      <c r="L11" s="20">
        <f t="shared" si="19"/>
        <v>7.5</v>
      </c>
      <c r="M11" s="20">
        <f t="shared" si="19"/>
        <v>2</v>
      </c>
      <c r="N11" s="20">
        <f t="shared" si="19"/>
        <v>1</v>
      </c>
      <c r="O11" s="20">
        <v>0</v>
      </c>
      <c r="P11" s="20" t="s">
        <v>28</v>
      </c>
      <c r="Q11" s="21" t="str">
        <f>IF($M11=1,IF(ISERROR(VLOOKUP($P11,'M1'!$A:$C,Q$2,FALSE)),"NOT PRESENT",VLOOKUP($P11,'M1'!$A:$C,Q$2,FALSE)),IF($M11=2,IF(ISERROR(VLOOKUP(DATA!$P11,'M2'!$A:$C,Q$2,FALSE)),"NOT PRESENT",VLOOKUP(DATA!$P11,'M2'!$A:$C,Q$2,FALSE)),IF($M11=0,IF(ISERROR(VLOOKUP($P11,'M1'!$A:$C,Q$2,FALSE)),IF(ISERROR(VLOOKUP(DATA!$P11,'M2'!$A:$C,Q$2,FALSE)),"NOT PRESENT",VLOOKUP(DATA!$P11,'M2'!$A:$C,Q$2,FALSE)),VLOOKUP($P11,'M1'!$A:$C,Q$2,FALSE)),"SPECIFY METHOD")))</f>
        <v>Patiria miniata</v>
      </c>
      <c r="R11" s="21" t="str">
        <f>IF($M11=1,IF(ISERROR(VLOOKUP($P11,'M1'!$A:$C,R$2,FALSE)),"NOT PRESENT",VLOOKUP($P11,'M1'!$A:$C,R$2,FALSE)),IF($M11=2,IF(ISERROR(VLOOKUP(DATA!$P11,'M2'!$A:$C,R$2,FALSE)),"NOT PRESENT",VLOOKUP(DATA!$P11,'M2'!$A:$C,R$2,FALSE)),IF($M11=0,IF(ISERROR(VLOOKUP($P11,'M1'!$A:$C,R$2,FALSE)),IF(ISERROR(VLOOKUP(DATA!$P11,'M2'!$A:$C,R$2,FALSE)),"NOT PRESENT",VLOOKUP(DATA!$P11,'M2'!$A:$C,R$2,FALSE)),VLOOKUP($P11,'M1'!$A:$C,R$2,FALSE)),"SPECIFY METHOD")))</f>
        <v>Bat star</v>
      </c>
      <c r="S11" s="28">
        <f t="shared" si="3"/>
        <v>1</v>
      </c>
      <c r="T11" s="20">
        <v>0</v>
      </c>
      <c r="U11" s="20">
        <v>1</v>
      </c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 ht="12.75" customHeight="1">
      <c r="A12" s="21">
        <f t="shared" si="2"/>
        <v>10</v>
      </c>
      <c r="B12" s="20" t="str">
        <f t="shared" ref="B12:C12" si="20">IF(ISERROR(B11),IF(ISERROR(B10),IF(ISERROR(B9),"BLANK",B9),B10),B11)</f>
        <v>Jasmin Schuster</v>
      </c>
      <c r="C12" s="20" t="str">
        <f t="shared" si="20"/>
        <v>Tom Bird</v>
      </c>
      <c r="D12" s="20" t="s">
        <v>32</v>
      </c>
      <c r="E12" s="21" t="str">
        <f>IF(ISERROR(VLOOKUP($D12,SITES!$A:$E,2,FALSE)),"",VLOOKUP($D12,SITES!$A:$E,2,FALSE))</f>
        <v>Baeria Rocks South Island</v>
      </c>
      <c r="F12" s="19">
        <f>IF(ISERROR(VLOOKUP($D12,SITES!$A:$E,3,FALSE)),"",VLOOKUP($D12,SITES!$A:$E,3,FALSE))</f>
        <v>48.950233459472599</v>
      </c>
      <c r="G12" s="22">
        <f>IF(ISERROR(VLOOKUP($D12,SITES!$A:$E,4,FALSE)),"",VLOOKUP($D12,SITES!$A:$E,4,FALSE))</f>
        <v>-125.155548095703</v>
      </c>
      <c r="H12" s="23">
        <f t="shared" ref="H12:H17" si="21">IF(ISERROR(H11),IF(ISERROR(H10),IF(ISERROR(H9),"BLANK",H9),H10),H11)</f>
        <v>45404</v>
      </c>
      <c r="I12" s="20">
        <v>1.5</v>
      </c>
      <c r="J12" s="20" t="s">
        <v>33</v>
      </c>
      <c r="K12" s="27">
        <v>0.52986111111111112</v>
      </c>
      <c r="L12" s="20">
        <v>8</v>
      </c>
      <c r="M12" s="20">
        <f t="shared" ref="M12:N12" si="22">IF(ISERROR(M11),IF(ISERROR(M10),IF(ISERROR(M9),"BLANK",M9),M10),M11)</f>
        <v>2</v>
      </c>
      <c r="N12" s="20">
        <f t="shared" si="22"/>
        <v>1</v>
      </c>
      <c r="O12" s="20">
        <v>48</v>
      </c>
      <c r="P12" s="20" t="s">
        <v>28</v>
      </c>
      <c r="Q12" s="21" t="str">
        <f>IF($M12=1,IF(ISERROR(VLOOKUP($P12,'M1'!$A:$C,Q$2,FALSE)),"NOT PRESENT",VLOOKUP($P12,'M1'!$A:$C,Q$2,FALSE)),IF($M12=2,IF(ISERROR(VLOOKUP(DATA!$P12,'M2'!$A:$C,Q$2,FALSE)),"NOT PRESENT",VLOOKUP(DATA!$P12,'M2'!$A:$C,Q$2,FALSE)),IF($M12=0,IF(ISERROR(VLOOKUP($P12,'M1'!$A:$C,Q$2,FALSE)),IF(ISERROR(VLOOKUP(DATA!$P12,'M2'!$A:$C,Q$2,FALSE)),"NOT PRESENT",VLOOKUP(DATA!$P12,'M2'!$A:$C,Q$2,FALSE)),VLOOKUP($P12,'M1'!$A:$C,Q$2,FALSE)),"SPECIFY METHOD")))</f>
        <v>Patiria miniata</v>
      </c>
      <c r="R12" s="21" t="str">
        <f>IF($M12=1,IF(ISERROR(VLOOKUP($P12,'M1'!$A:$C,R$2,FALSE)),"NOT PRESENT",VLOOKUP($P12,'M1'!$A:$C,R$2,FALSE)),IF($M12=2,IF(ISERROR(VLOOKUP(DATA!$P12,'M2'!$A:$C,R$2,FALSE)),"NOT PRESENT",VLOOKUP(DATA!$P12,'M2'!$A:$C,R$2,FALSE)),IF($M12=0,IF(ISERROR(VLOOKUP($P12,'M1'!$A:$C,R$2,FALSE)),IF(ISERROR(VLOOKUP(DATA!$P12,'M2'!$A:$C,R$2,FALSE)),"NOT PRESENT",VLOOKUP(DATA!$P12,'M2'!$A:$C,R$2,FALSE)),VLOOKUP($P12,'M1'!$A:$C,R$2,FALSE)),"SPECIFY METHOD")))</f>
        <v>Bat star</v>
      </c>
      <c r="S12" s="28">
        <f t="shared" si="3"/>
        <v>3</v>
      </c>
      <c r="T12" s="20">
        <v>0</v>
      </c>
      <c r="U12" s="20"/>
      <c r="V12" s="20">
        <v>3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</row>
    <row r="13" spans="1:68" ht="12.75" customHeight="1">
      <c r="A13" s="21">
        <f t="shared" si="2"/>
        <v>11</v>
      </c>
      <c r="B13" s="20" t="str">
        <f t="shared" ref="B13:D13" si="23">IF(ISERROR(B12),IF(ISERROR(B11),IF(ISERROR(B10),"BLANK",B10),B11),B12)</f>
        <v>Jasmin Schuster</v>
      </c>
      <c r="C13" s="20" t="str">
        <f t="shared" si="23"/>
        <v>Tom Bird</v>
      </c>
      <c r="D13" s="20" t="str">
        <f t="shared" si="23"/>
        <v>BMSC6</v>
      </c>
      <c r="E13" s="21" t="str">
        <f>IF(ISERROR(VLOOKUP($D13,SITES!$A:$E,2,FALSE)),"",VLOOKUP($D13,SITES!$A:$E,2,FALSE))</f>
        <v>Baeria Rocks South Island</v>
      </c>
      <c r="F13" s="19">
        <f>IF(ISERROR(VLOOKUP($D13,SITES!$A:$E,3,FALSE)),"",VLOOKUP($D13,SITES!$A:$E,3,FALSE))</f>
        <v>48.950233459472599</v>
      </c>
      <c r="G13" s="22">
        <f>IF(ISERROR(VLOOKUP($D13,SITES!$A:$E,4,FALSE)),"",VLOOKUP($D13,SITES!$A:$E,4,FALSE))</f>
        <v>-125.155548095703</v>
      </c>
      <c r="H13" s="23">
        <f t="shared" si="21"/>
        <v>45404</v>
      </c>
      <c r="I13" s="20">
        <f t="shared" ref="I13:N13" si="24">IF(ISERROR(I12),IF(ISERROR(I11),IF(ISERROR(I10),"BLANK",I10),I11),I12)</f>
        <v>1.5</v>
      </c>
      <c r="J13" s="20" t="str">
        <f t="shared" si="24"/>
        <v>SW</v>
      </c>
      <c r="K13" s="27">
        <f t="shared" si="24"/>
        <v>0.52986111111111112</v>
      </c>
      <c r="L13" s="20">
        <f t="shared" si="24"/>
        <v>8</v>
      </c>
      <c r="M13" s="20">
        <f t="shared" si="24"/>
        <v>2</v>
      </c>
      <c r="N13" s="20">
        <f t="shared" si="24"/>
        <v>1</v>
      </c>
      <c r="O13" s="20">
        <v>48</v>
      </c>
      <c r="P13" s="20" t="s">
        <v>29</v>
      </c>
      <c r="Q13" s="21" t="str">
        <f>IF($M13=1,IF(ISERROR(VLOOKUP($P13,'M1'!$A:$C,Q$2,FALSE)),"NOT PRESENT",VLOOKUP($P13,'M1'!$A:$C,Q$2,FALSE)),IF($M13=2,IF(ISERROR(VLOOKUP(DATA!$P13,'M2'!$A:$C,Q$2,FALSE)),"NOT PRESENT",VLOOKUP(DATA!$P13,'M2'!$A:$C,Q$2,FALSE)),IF($M13=0,IF(ISERROR(VLOOKUP($P13,'M1'!$A:$C,Q$2,FALSE)),IF(ISERROR(VLOOKUP(DATA!$P13,'M2'!$A:$C,Q$2,FALSE)),"NOT PRESENT",VLOOKUP(DATA!$P13,'M2'!$A:$C,Q$2,FALSE)),VLOOKUP($P13,'M1'!$A:$C,Q$2,FALSE)),"SPECIFY METHOD")))</f>
        <v>Mesocentrotus franciscanus</v>
      </c>
      <c r="R13" s="21" t="str">
        <f>IF($M13=1,IF(ISERROR(VLOOKUP($P13,'M1'!$A:$C,R$2,FALSE)),"NOT PRESENT",VLOOKUP($P13,'M1'!$A:$C,R$2,FALSE)),IF($M13=2,IF(ISERROR(VLOOKUP(DATA!$P13,'M2'!$A:$C,R$2,FALSE)),"NOT PRESENT",VLOOKUP(DATA!$P13,'M2'!$A:$C,R$2,FALSE)),IF($M13=0,IF(ISERROR(VLOOKUP($P13,'M1'!$A:$C,R$2,FALSE)),IF(ISERROR(VLOOKUP(DATA!$P13,'M2'!$A:$C,R$2,FALSE)),"NOT PRESENT",VLOOKUP(DATA!$P13,'M2'!$A:$C,R$2,FALSE)),VLOOKUP($P13,'M1'!$A:$C,R$2,FALSE)),"SPECIFY METHOD")))</f>
        <v>Red sea urchin</v>
      </c>
      <c r="S13" s="28">
        <f t="shared" si="3"/>
        <v>5</v>
      </c>
      <c r="T13" s="20">
        <v>0</v>
      </c>
      <c r="U13" s="20">
        <v>3</v>
      </c>
      <c r="V13" s="20">
        <v>1</v>
      </c>
      <c r="W13" s="20">
        <v>1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</row>
    <row r="14" spans="1:68" ht="12.75" customHeight="1">
      <c r="A14" s="21">
        <f t="shared" si="2"/>
        <v>12</v>
      </c>
      <c r="B14" s="20" t="str">
        <f t="shared" ref="B14:D14" si="25">IF(ISERROR(B13),IF(ISERROR(B12),IF(ISERROR(B11),"BLANK",B11),B12),B13)</f>
        <v>Jasmin Schuster</v>
      </c>
      <c r="C14" s="20" t="str">
        <f t="shared" si="25"/>
        <v>Tom Bird</v>
      </c>
      <c r="D14" s="20" t="str">
        <f t="shared" si="25"/>
        <v>BMSC6</v>
      </c>
      <c r="E14" s="21" t="str">
        <f>IF(ISERROR(VLOOKUP($D14,SITES!$A:$E,2,FALSE)),"",VLOOKUP($D14,SITES!$A:$E,2,FALSE))</f>
        <v>Baeria Rocks South Island</v>
      </c>
      <c r="F14" s="19">
        <f>IF(ISERROR(VLOOKUP($D14,SITES!$A:$E,3,FALSE)),"",VLOOKUP($D14,SITES!$A:$E,3,FALSE))</f>
        <v>48.950233459472599</v>
      </c>
      <c r="G14" s="22">
        <f>IF(ISERROR(VLOOKUP($D14,SITES!$A:$E,4,FALSE)),"",VLOOKUP($D14,SITES!$A:$E,4,FALSE))</f>
        <v>-125.155548095703</v>
      </c>
      <c r="H14" s="23">
        <f t="shared" si="21"/>
        <v>45404</v>
      </c>
      <c r="I14" s="20">
        <f t="shared" ref="I14:N14" si="26">IF(ISERROR(I13),IF(ISERROR(I12),IF(ISERROR(I11),"BLANK",I11),I12),I13)</f>
        <v>1.5</v>
      </c>
      <c r="J14" s="20" t="str">
        <f t="shared" si="26"/>
        <v>SW</v>
      </c>
      <c r="K14" s="27">
        <f t="shared" si="26"/>
        <v>0.52986111111111112</v>
      </c>
      <c r="L14" s="20">
        <f t="shared" si="26"/>
        <v>8</v>
      </c>
      <c r="M14" s="20">
        <f t="shared" si="26"/>
        <v>2</v>
      </c>
      <c r="N14" s="20">
        <f t="shared" si="26"/>
        <v>1</v>
      </c>
      <c r="O14" s="20">
        <v>32</v>
      </c>
      <c r="P14" s="20" t="str">
        <f>IF(ISERROR(P13),IF(ISERROR(P12),IF(ISERROR(P11),"BLANK",P11),P12),P13)</f>
        <v>Mfra</v>
      </c>
      <c r="Q14" s="21" t="str">
        <f>IF($M14=1,IF(ISERROR(VLOOKUP($P14,'M1'!$A:$C,Q$2,FALSE)),"NOT PRESENT",VLOOKUP($P14,'M1'!$A:$C,Q$2,FALSE)),IF($M14=2,IF(ISERROR(VLOOKUP(DATA!$P14,'M2'!$A:$C,Q$2,FALSE)),"NOT PRESENT",VLOOKUP(DATA!$P14,'M2'!$A:$C,Q$2,FALSE)),IF($M14=0,IF(ISERROR(VLOOKUP($P14,'M1'!$A:$C,Q$2,FALSE)),IF(ISERROR(VLOOKUP(DATA!$P14,'M2'!$A:$C,Q$2,FALSE)),"NOT PRESENT",VLOOKUP(DATA!$P14,'M2'!$A:$C,Q$2,FALSE)),VLOOKUP($P14,'M1'!$A:$C,Q$2,FALSE)),"SPECIFY METHOD")))</f>
        <v>Mesocentrotus franciscanus</v>
      </c>
      <c r="R14" s="21" t="str">
        <f>IF($M14=1,IF(ISERROR(VLOOKUP($P14,'M1'!$A:$C,R$2,FALSE)),"NOT PRESENT",VLOOKUP($P14,'M1'!$A:$C,R$2,FALSE)),IF($M14=2,IF(ISERROR(VLOOKUP(DATA!$P14,'M2'!$A:$C,R$2,FALSE)),"NOT PRESENT",VLOOKUP(DATA!$P14,'M2'!$A:$C,R$2,FALSE)),IF($M14=0,IF(ISERROR(VLOOKUP($P14,'M1'!$A:$C,R$2,FALSE)),IF(ISERROR(VLOOKUP(DATA!$P14,'M2'!$A:$C,R$2,FALSE)),"NOT PRESENT",VLOOKUP(DATA!$P14,'M2'!$A:$C,R$2,FALSE)),VLOOKUP($P14,'M1'!$A:$C,R$2,FALSE)),"SPECIFY METHOD")))</f>
        <v>Red sea urchin</v>
      </c>
      <c r="S14" s="28">
        <f t="shared" si="3"/>
        <v>8</v>
      </c>
      <c r="T14" s="20">
        <v>0</v>
      </c>
      <c r="U14" s="20">
        <v>5</v>
      </c>
      <c r="V14" s="20">
        <v>2</v>
      </c>
      <c r="W14" s="20">
        <v>1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</row>
    <row r="15" spans="1:68" ht="12.75" customHeight="1">
      <c r="A15" s="21">
        <f t="shared" si="2"/>
        <v>13</v>
      </c>
      <c r="B15" s="20" t="str">
        <f t="shared" ref="B15:D15" si="27">IF(ISERROR(B14),IF(ISERROR(B13),IF(ISERROR(B12),"BLANK",B12),B13),B14)</f>
        <v>Jasmin Schuster</v>
      </c>
      <c r="C15" s="20" t="str">
        <f t="shared" si="27"/>
        <v>Tom Bird</v>
      </c>
      <c r="D15" s="20" t="str">
        <f t="shared" si="27"/>
        <v>BMSC6</v>
      </c>
      <c r="E15" s="21" t="str">
        <f>IF(ISERROR(VLOOKUP($D15,SITES!$A:$E,2,FALSE)),"",VLOOKUP($D15,SITES!$A:$E,2,FALSE))</f>
        <v>Baeria Rocks South Island</v>
      </c>
      <c r="F15" s="19">
        <f>IF(ISERROR(VLOOKUP($D15,SITES!$A:$E,3,FALSE)),"",VLOOKUP($D15,SITES!$A:$E,3,FALSE))</f>
        <v>48.950233459472599</v>
      </c>
      <c r="G15" s="22">
        <f>IF(ISERROR(VLOOKUP($D15,SITES!$A:$E,4,FALSE)),"",VLOOKUP($D15,SITES!$A:$E,4,FALSE))</f>
        <v>-125.155548095703</v>
      </c>
      <c r="H15" s="23">
        <f t="shared" si="21"/>
        <v>45404</v>
      </c>
      <c r="I15" s="20">
        <f t="shared" ref="I15:N15" si="28">IF(ISERROR(I14),IF(ISERROR(I13),IF(ISERROR(I12),"BLANK",I12),I13),I14)</f>
        <v>1.5</v>
      </c>
      <c r="J15" s="20" t="str">
        <f t="shared" si="28"/>
        <v>SW</v>
      </c>
      <c r="K15" s="27">
        <f t="shared" si="28"/>
        <v>0.52986111111111112</v>
      </c>
      <c r="L15" s="20">
        <f t="shared" si="28"/>
        <v>8</v>
      </c>
      <c r="M15" s="20">
        <f t="shared" si="28"/>
        <v>2</v>
      </c>
      <c r="N15" s="20">
        <f t="shared" si="28"/>
        <v>1</v>
      </c>
      <c r="O15" s="20">
        <v>32</v>
      </c>
      <c r="P15" s="20" t="s">
        <v>28</v>
      </c>
      <c r="Q15" s="21" t="str">
        <f>IF($M15=1,IF(ISERROR(VLOOKUP($P15,'M1'!$A:$C,Q$2,FALSE)),"NOT PRESENT",VLOOKUP($P15,'M1'!$A:$C,Q$2,FALSE)),IF($M15=2,IF(ISERROR(VLOOKUP(DATA!$P15,'M2'!$A:$C,Q$2,FALSE)),"NOT PRESENT",VLOOKUP(DATA!$P15,'M2'!$A:$C,Q$2,FALSE)),IF($M15=0,IF(ISERROR(VLOOKUP($P15,'M1'!$A:$C,Q$2,FALSE)),IF(ISERROR(VLOOKUP(DATA!$P15,'M2'!$A:$C,Q$2,FALSE)),"NOT PRESENT",VLOOKUP(DATA!$P15,'M2'!$A:$C,Q$2,FALSE)),VLOOKUP($P15,'M1'!$A:$C,Q$2,FALSE)),"SPECIFY METHOD")))</f>
        <v>Patiria miniata</v>
      </c>
      <c r="R15" s="21" t="str">
        <f>IF($M15=1,IF(ISERROR(VLOOKUP($P15,'M1'!$A:$C,R$2,FALSE)),"NOT PRESENT",VLOOKUP($P15,'M1'!$A:$C,R$2,FALSE)),IF($M15=2,IF(ISERROR(VLOOKUP(DATA!$P15,'M2'!$A:$C,R$2,FALSE)),"NOT PRESENT",VLOOKUP(DATA!$P15,'M2'!$A:$C,R$2,FALSE)),IF($M15=0,IF(ISERROR(VLOOKUP($P15,'M1'!$A:$C,R$2,FALSE)),IF(ISERROR(VLOOKUP(DATA!$P15,'M2'!$A:$C,R$2,FALSE)),"NOT PRESENT",VLOOKUP(DATA!$P15,'M2'!$A:$C,R$2,FALSE)),VLOOKUP($P15,'M1'!$A:$C,R$2,FALSE)),"SPECIFY METHOD")))</f>
        <v>Bat star</v>
      </c>
      <c r="S15" s="28">
        <f t="shared" si="3"/>
        <v>1</v>
      </c>
      <c r="T15" s="20">
        <v>0</v>
      </c>
      <c r="U15" s="20"/>
      <c r="V15" s="20">
        <v>1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</row>
    <row r="16" spans="1:68" ht="12.75" customHeight="1">
      <c r="A16" s="21">
        <f t="shared" si="2"/>
        <v>14</v>
      </c>
      <c r="B16" s="20" t="str">
        <f t="shared" ref="B16:D16" si="29">IF(ISERROR(B15),IF(ISERROR(B14),IF(ISERROR(B13),"BLANK",B13),B14),B15)</f>
        <v>Jasmin Schuster</v>
      </c>
      <c r="C16" s="20" t="str">
        <f t="shared" si="29"/>
        <v>Tom Bird</v>
      </c>
      <c r="D16" s="20" t="str">
        <f t="shared" si="29"/>
        <v>BMSC6</v>
      </c>
      <c r="E16" s="21" t="str">
        <f>IF(ISERROR(VLOOKUP($D16,SITES!$A:$E,2,FALSE)),"",VLOOKUP($D16,SITES!$A:$E,2,FALSE))</f>
        <v>Baeria Rocks South Island</v>
      </c>
      <c r="F16" s="19">
        <f>IF(ISERROR(VLOOKUP($D16,SITES!$A:$E,3,FALSE)),"",VLOOKUP($D16,SITES!$A:$E,3,FALSE))</f>
        <v>48.950233459472599</v>
      </c>
      <c r="G16" s="22">
        <f>IF(ISERROR(VLOOKUP($D16,SITES!$A:$E,4,FALSE)),"",VLOOKUP($D16,SITES!$A:$E,4,FALSE))</f>
        <v>-125.155548095703</v>
      </c>
      <c r="H16" s="23">
        <f t="shared" si="21"/>
        <v>45404</v>
      </c>
      <c r="I16" s="20">
        <f t="shared" ref="I16:N16" si="30">IF(ISERROR(I15),IF(ISERROR(I14),IF(ISERROR(I13),"BLANK",I13),I14),I15)</f>
        <v>1.5</v>
      </c>
      <c r="J16" s="20" t="str">
        <f t="shared" si="30"/>
        <v>SW</v>
      </c>
      <c r="K16" s="27">
        <f t="shared" si="30"/>
        <v>0.52986111111111112</v>
      </c>
      <c r="L16" s="20">
        <f t="shared" si="30"/>
        <v>8</v>
      </c>
      <c r="M16" s="20">
        <f t="shared" si="30"/>
        <v>2</v>
      </c>
      <c r="N16" s="20">
        <f t="shared" si="30"/>
        <v>1</v>
      </c>
      <c r="O16" s="20">
        <v>16</v>
      </c>
      <c r="P16" s="20" t="str">
        <f>IF(ISERROR(P15),IF(ISERROR(P14),IF(ISERROR(P13),"BLANK",P13),P14),P15)</f>
        <v>Pmi</v>
      </c>
      <c r="Q16" s="21" t="str">
        <f>IF($M16=1,IF(ISERROR(VLOOKUP($P16,'M1'!$A:$C,Q$2,FALSE)),"NOT PRESENT",VLOOKUP($P16,'M1'!$A:$C,Q$2,FALSE)),IF($M16=2,IF(ISERROR(VLOOKUP(DATA!$P16,'M2'!$A:$C,Q$2,FALSE)),"NOT PRESENT",VLOOKUP(DATA!$P16,'M2'!$A:$C,Q$2,FALSE)),IF($M16=0,IF(ISERROR(VLOOKUP($P16,'M1'!$A:$C,Q$2,FALSE)),IF(ISERROR(VLOOKUP(DATA!$P16,'M2'!$A:$C,Q$2,FALSE)),"NOT PRESENT",VLOOKUP(DATA!$P16,'M2'!$A:$C,Q$2,FALSE)),VLOOKUP($P16,'M1'!$A:$C,Q$2,FALSE)),"SPECIFY METHOD")))</f>
        <v>Patiria miniata</v>
      </c>
      <c r="R16" s="21" t="str">
        <f>IF($M16=1,IF(ISERROR(VLOOKUP($P16,'M1'!$A:$C,R$2,FALSE)),"NOT PRESENT",VLOOKUP($P16,'M1'!$A:$C,R$2,FALSE)),IF($M16=2,IF(ISERROR(VLOOKUP(DATA!$P16,'M2'!$A:$C,R$2,FALSE)),"NOT PRESENT",VLOOKUP(DATA!$P16,'M2'!$A:$C,R$2,FALSE)),IF($M16=0,IF(ISERROR(VLOOKUP($P16,'M1'!$A:$C,R$2,FALSE)),IF(ISERROR(VLOOKUP(DATA!$P16,'M2'!$A:$C,R$2,FALSE)),"NOT PRESENT",VLOOKUP(DATA!$P16,'M2'!$A:$C,R$2,FALSE)),VLOOKUP($P16,'M1'!$A:$C,R$2,FALSE)),"SPECIFY METHOD")))</f>
        <v>Bat star</v>
      </c>
      <c r="S16" s="28">
        <f t="shared" si="3"/>
        <v>2</v>
      </c>
      <c r="T16" s="20">
        <v>0</v>
      </c>
      <c r="U16" s="20"/>
      <c r="V16" s="20">
        <v>2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</row>
    <row r="17" spans="1:68" ht="12.75" customHeight="1">
      <c r="A17" s="21">
        <f t="shared" si="2"/>
        <v>15</v>
      </c>
      <c r="B17" s="20" t="str">
        <f t="shared" ref="B17:D17" si="31">IF(ISERROR(B16),IF(ISERROR(B15),IF(ISERROR(B14),"BLANK",B14),B15),B16)</f>
        <v>Jasmin Schuster</v>
      </c>
      <c r="C17" s="20" t="str">
        <f t="shared" si="31"/>
        <v>Tom Bird</v>
      </c>
      <c r="D17" s="20" t="str">
        <f t="shared" si="31"/>
        <v>BMSC6</v>
      </c>
      <c r="E17" s="21" t="str">
        <f>IF(ISERROR(VLOOKUP($D17,SITES!$A:$E,2,FALSE)),"",VLOOKUP($D17,SITES!$A:$E,2,FALSE))</f>
        <v>Baeria Rocks South Island</v>
      </c>
      <c r="F17" s="19">
        <f>IF(ISERROR(VLOOKUP($D17,SITES!$A:$E,3,FALSE)),"",VLOOKUP($D17,SITES!$A:$E,3,FALSE))</f>
        <v>48.950233459472599</v>
      </c>
      <c r="G17" s="22">
        <f>IF(ISERROR(VLOOKUP($D17,SITES!$A:$E,4,FALSE)),"",VLOOKUP($D17,SITES!$A:$E,4,FALSE))</f>
        <v>-125.155548095703</v>
      </c>
      <c r="H17" s="23">
        <f t="shared" si="21"/>
        <v>45404</v>
      </c>
      <c r="I17" s="20">
        <f t="shared" ref="I17:N17" si="32">IF(ISERROR(I16),IF(ISERROR(I15),IF(ISERROR(I14),"BLANK",I14),I15),I16)</f>
        <v>1.5</v>
      </c>
      <c r="J17" s="20" t="str">
        <f t="shared" si="32"/>
        <v>SW</v>
      </c>
      <c r="K17" s="27">
        <f t="shared" si="32"/>
        <v>0.52986111111111112</v>
      </c>
      <c r="L17" s="20">
        <f t="shared" si="32"/>
        <v>8</v>
      </c>
      <c r="M17" s="20">
        <f t="shared" si="32"/>
        <v>2</v>
      </c>
      <c r="N17" s="20">
        <f t="shared" si="32"/>
        <v>1</v>
      </c>
      <c r="O17" s="20">
        <v>16</v>
      </c>
      <c r="P17" s="20" t="s">
        <v>29</v>
      </c>
      <c r="Q17" s="21" t="str">
        <f>IF($M17=1,IF(ISERROR(VLOOKUP($P17,'M1'!$A:$C,Q$2,FALSE)),"NOT PRESENT",VLOOKUP($P17,'M1'!$A:$C,Q$2,FALSE)),IF($M17=2,IF(ISERROR(VLOOKUP(DATA!$P17,'M2'!$A:$C,Q$2,FALSE)),"NOT PRESENT",VLOOKUP(DATA!$P17,'M2'!$A:$C,Q$2,FALSE)),IF($M17=0,IF(ISERROR(VLOOKUP($P17,'M1'!$A:$C,Q$2,FALSE)),IF(ISERROR(VLOOKUP(DATA!$P17,'M2'!$A:$C,Q$2,FALSE)),"NOT PRESENT",VLOOKUP(DATA!$P17,'M2'!$A:$C,Q$2,FALSE)),VLOOKUP($P17,'M1'!$A:$C,Q$2,FALSE)),"SPECIFY METHOD")))</f>
        <v>Mesocentrotus franciscanus</v>
      </c>
      <c r="R17" s="21" t="str">
        <f>IF($M17=1,IF(ISERROR(VLOOKUP($P17,'M1'!$A:$C,R$2,FALSE)),"NOT PRESENT",VLOOKUP($P17,'M1'!$A:$C,R$2,FALSE)),IF($M17=2,IF(ISERROR(VLOOKUP(DATA!$P17,'M2'!$A:$C,R$2,FALSE)),"NOT PRESENT",VLOOKUP(DATA!$P17,'M2'!$A:$C,R$2,FALSE)),IF($M17=0,IF(ISERROR(VLOOKUP($P17,'M1'!$A:$C,R$2,FALSE)),IF(ISERROR(VLOOKUP(DATA!$P17,'M2'!$A:$C,R$2,FALSE)),"NOT PRESENT",VLOOKUP(DATA!$P17,'M2'!$A:$C,R$2,FALSE)),VLOOKUP($P17,'M1'!$A:$C,R$2,FALSE)),"SPECIFY METHOD")))</f>
        <v>Red sea urchin</v>
      </c>
      <c r="S17" s="28">
        <f t="shared" si="3"/>
        <v>6</v>
      </c>
      <c r="T17" s="20"/>
      <c r="U17" s="20">
        <v>4</v>
      </c>
      <c r="V17" s="20">
        <v>2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</row>
    <row r="18" spans="1:68" ht="12.75" customHeight="1">
      <c r="A18" s="21">
        <f t="shared" si="2"/>
        <v>16</v>
      </c>
      <c r="B18" s="20" t="str">
        <f t="shared" ref="B18:D18" si="33">IF(ISERROR(#REF!),IF(ISERROR(B17),IF(ISERROR(B16),"BLANK",B16),B17),#REF!)</f>
        <v>Jasmin Schuster</v>
      </c>
      <c r="C18" s="20" t="str">
        <f t="shared" si="33"/>
        <v>Tom Bird</v>
      </c>
      <c r="D18" s="20" t="str">
        <f t="shared" si="33"/>
        <v>BMSC6</v>
      </c>
      <c r="E18" s="21" t="str">
        <f>IF(ISERROR(VLOOKUP($D18,SITES!$A:$E,2,FALSE)),"",VLOOKUP($D18,SITES!$A:$E,2,FALSE))</f>
        <v>Baeria Rocks South Island</v>
      </c>
      <c r="F18" s="19">
        <f>IF(ISERROR(VLOOKUP($D18,SITES!$A:$E,3,FALSE)),"",VLOOKUP($D18,SITES!$A:$E,3,FALSE))</f>
        <v>48.950233459472599</v>
      </c>
      <c r="G18" s="22">
        <f>IF(ISERROR(VLOOKUP($D18,SITES!$A:$E,4,FALSE)),"",VLOOKUP($D18,SITES!$A:$E,4,FALSE))</f>
        <v>-125.155548095703</v>
      </c>
      <c r="H18" s="23">
        <f t="shared" ref="H18:N18" si="34">IF(ISERROR(#REF!),IF(ISERROR(H17),IF(ISERROR(H16),"BLANK",H16),H17),#REF!)</f>
        <v>45404</v>
      </c>
      <c r="I18" s="20">
        <f t="shared" si="34"/>
        <v>1.5</v>
      </c>
      <c r="J18" s="20" t="str">
        <f t="shared" si="34"/>
        <v>SW</v>
      </c>
      <c r="K18" s="27">
        <f t="shared" si="34"/>
        <v>0.52986111111111112</v>
      </c>
      <c r="L18" s="20">
        <f t="shared" si="34"/>
        <v>8</v>
      </c>
      <c r="M18" s="20">
        <f t="shared" si="34"/>
        <v>2</v>
      </c>
      <c r="N18" s="20">
        <f t="shared" si="34"/>
        <v>1</v>
      </c>
      <c r="O18" s="20">
        <v>16</v>
      </c>
      <c r="P18" s="20" t="s">
        <v>34</v>
      </c>
      <c r="Q18" s="21" t="str">
        <f>IF($M18=1,IF(ISERROR(VLOOKUP($P18,'M1'!$A:$C,Q$2,FALSE)),"NOT PRESENT",VLOOKUP($P18,'M1'!$A:$C,Q$2,FALSE)),IF($M18=2,IF(ISERROR(VLOOKUP(DATA!$P18,'M2'!$A:$C,Q$2,FALSE)),"NOT PRESENT",VLOOKUP(DATA!$P18,'M2'!$A:$C,Q$2,FALSE)),IF($M18=0,IF(ISERROR(VLOOKUP($P18,'M1'!$A:$C,Q$2,FALSE)),IF(ISERROR(VLOOKUP(DATA!$P18,'M2'!$A:$C,Q$2,FALSE)),"NOT PRESENT",VLOOKUP(DATA!$P18,'M2'!$A:$C,Q$2,FALSE)),VLOOKUP($P18,'M1'!$A:$C,Q$2,FALSE)),"SPECIFY METHOD")))</f>
        <v>Orthasterias koehleri</v>
      </c>
      <c r="R18" s="21" t="str">
        <f>IF($M18=1,IF(ISERROR(VLOOKUP($P18,'M1'!$A:$C,R$2,FALSE)),"NOT PRESENT",VLOOKUP($P18,'M1'!$A:$C,R$2,FALSE)),IF($M18=2,IF(ISERROR(VLOOKUP(DATA!$P18,'M2'!$A:$C,R$2,FALSE)),"NOT PRESENT",VLOOKUP(DATA!$P18,'M2'!$A:$C,R$2,FALSE)),IF($M18=0,IF(ISERROR(VLOOKUP($P18,'M1'!$A:$C,R$2,FALSE)),IF(ISERROR(VLOOKUP(DATA!$P18,'M2'!$A:$C,R$2,FALSE)),"NOT PRESENT",VLOOKUP(DATA!$P18,'M2'!$A:$C,R$2,FALSE)),VLOOKUP($P18,'M1'!$A:$C,R$2,FALSE)),"SPECIFY METHOD")))</f>
        <v>Rainbow star</v>
      </c>
      <c r="S18" s="28">
        <f t="shared" si="3"/>
        <v>1</v>
      </c>
      <c r="T18" s="20">
        <v>0</v>
      </c>
      <c r="U18" s="20"/>
      <c r="V18" s="20">
        <v>1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</row>
    <row r="19" spans="1:68" ht="12.75" customHeight="1">
      <c r="A19" s="21">
        <f t="shared" si="2"/>
        <v>17</v>
      </c>
      <c r="B19" s="20" t="str">
        <f t="shared" ref="B19:D19" si="35">IF(ISERROR(B18),IF(ISERROR(#REF!),IF(ISERROR(B17),"BLANK",B17),#REF!),B18)</f>
        <v>Jasmin Schuster</v>
      </c>
      <c r="C19" s="20" t="str">
        <f t="shared" si="35"/>
        <v>Tom Bird</v>
      </c>
      <c r="D19" s="20" t="str">
        <f t="shared" si="35"/>
        <v>BMSC6</v>
      </c>
      <c r="E19" s="21" t="str">
        <f>IF(ISERROR(VLOOKUP($D19,SITES!$A:$E,2,FALSE)),"",VLOOKUP($D19,SITES!$A:$E,2,FALSE))</f>
        <v>Baeria Rocks South Island</v>
      </c>
      <c r="F19" s="19">
        <f>IF(ISERROR(VLOOKUP($D19,SITES!$A:$E,3,FALSE)),"",VLOOKUP($D19,SITES!$A:$E,3,FALSE))</f>
        <v>48.950233459472599</v>
      </c>
      <c r="G19" s="22">
        <f>IF(ISERROR(VLOOKUP($D19,SITES!$A:$E,4,FALSE)),"",VLOOKUP($D19,SITES!$A:$E,4,FALSE))</f>
        <v>-125.155548095703</v>
      </c>
      <c r="H19" s="23">
        <f t="shared" ref="H19:N19" si="36">IF(ISERROR(H18),IF(ISERROR(#REF!),IF(ISERROR(H17),"BLANK",H17),#REF!),H18)</f>
        <v>45404</v>
      </c>
      <c r="I19" s="20">
        <f t="shared" si="36"/>
        <v>1.5</v>
      </c>
      <c r="J19" s="20" t="str">
        <f t="shared" si="36"/>
        <v>SW</v>
      </c>
      <c r="K19" s="27">
        <f t="shared" si="36"/>
        <v>0.52986111111111112</v>
      </c>
      <c r="L19" s="20">
        <f t="shared" si="36"/>
        <v>8</v>
      </c>
      <c r="M19" s="20">
        <f t="shared" si="36"/>
        <v>2</v>
      </c>
      <c r="N19" s="20">
        <f t="shared" si="36"/>
        <v>1</v>
      </c>
      <c r="O19" s="20">
        <v>0</v>
      </c>
      <c r="P19" s="20" t="s">
        <v>29</v>
      </c>
      <c r="Q19" s="21" t="str">
        <f>IF($M19=1,IF(ISERROR(VLOOKUP($P19,'M1'!$A:$C,Q$2,FALSE)),"NOT PRESENT",VLOOKUP($P19,'M1'!$A:$C,Q$2,FALSE)),IF($M19=2,IF(ISERROR(VLOOKUP(DATA!$P19,'M2'!$A:$C,Q$2,FALSE)),"NOT PRESENT",VLOOKUP(DATA!$P19,'M2'!$A:$C,Q$2,FALSE)),IF($M19=0,IF(ISERROR(VLOOKUP($P19,'M1'!$A:$C,Q$2,FALSE)),IF(ISERROR(VLOOKUP(DATA!$P19,'M2'!$A:$C,Q$2,FALSE)),"NOT PRESENT",VLOOKUP(DATA!$P19,'M2'!$A:$C,Q$2,FALSE)),VLOOKUP($P19,'M1'!$A:$C,Q$2,FALSE)),"SPECIFY METHOD")))</f>
        <v>Mesocentrotus franciscanus</v>
      </c>
      <c r="R19" s="21" t="str">
        <f>IF($M19=1,IF(ISERROR(VLOOKUP($P19,'M1'!$A:$C,R$2,FALSE)),"NOT PRESENT",VLOOKUP($P19,'M1'!$A:$C,R$2,FALSE)),IF($M19=2,IF(ISERROR(VLOOKUP(DATA!$P19,'M2'!$A:$C,R$2,FALSE)),"NOT PRESENT",VLOOKUP(DATA!$P19,'M2'!$A:$C,R$2,FALSE)),IF($M19=0,IF(ISERROR(VLOOKUP($P19,'M1'!$A:$C,R$2,FALSE)),IF(ISERROR(VLOOKUP(DATA!$P19,'M2'!$A:$C,R$2,FALSE)),"NOT PRESENT",VLOOKUP(DATA!$P19,'M2'!$A:$C,R$2,FALSE)),VLOOKUP($P19,'M1'!$A:$C,R$2,FALSE)),"SPECIFY METHOD")))</f>
        <v>Red sea urchin</v>
      </c>
      <c r="S19" s="28">
        <f t="shared" si="3"/>
        <v>10</v>
      </c>
      <c r="T19" s="20">
        <v>0</v>
      </c>
      <c r="U19" s="20">
        <v>2</v>
      </c>
      <c r="V19" s="20">
        <v>8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</row>
    <row r="20" spans="1:68" ht="12.75" customHeight="1">
      <c r="A20" s="21">
        <f t="shared" si="2"/>
        <v>18</v>
      </c>
      <c r="B20" s="20" t="str">
        <f t="shared" ref="B20:D20" si="37">IF(ISERROR(B19),IF(ISERROR(B18),IF(ISERROR(#REF!),"BLANK",#REF!),B18),B19)</f>
        <v>Jasmin Schuster</v>
      </c>
      <c r="C20" s="20" t="str">
        <f t="shared" si="37"/>
        <v>Tom Bird</v>
      </c>
      <c r="D20" s="20" t="str">
        <f t="shared" si="37"/>
        <v>BMSC6</v>
      </c>
      <c r="E20" s="21" t="str">
        <f>IF(ISERROR(VLOOKUP($D20,SITES!$A:$E,2,FALSE)),"",VLOOKUP($D20,SITES!$A:$E,2,FALSE))</f>
        <v>Baeria Rocks South Island</v>
      </c>
      <c r="F20" s="19">
        <f>IF(ISERROR(VLOOKUP($D20,SITES!$A:$E,3,FALSE)),"",VLOOKUP($D20,SITES!$A:$E,3,FALSE))</f>
        <v>48.950233459472599</v>
      </c>
      <c r="G20" s="22">
        <f>IF(ISERROR(VLOOKUP($D20,SITES!$A:$E,4,FALSE)),"",VLOOKUP($D20,SITES!$A:$E,4,FALSE))</f>
        <v>-125.155548095703</v>
      </c>
      <c r="H20" s="23">
        <f t="shared" ref="H20:N20" si="38">IF(ISERROR(H19),IF(ISERROR(H18),IF(ISERROR(#REF!),"BLANK",#REF!),H18),H19)</f>
        <v>45404</v>
      </c>
      <c r="I20" s="20">
        <f t="shared" si="38"/>
        <v>1.5</v>
      </c>
      <c r="J20" s="20" t="str">
        <f t="shared" si="38"/>
        <v>SW</v>
      </c>
      <c r="K20" s="27">
        <f t="shared" si="38"/>
        <v>0.52986111111111112</v>
      </c>
      <c r="L20" s="20">
        <f t="shared" si="38"/>
        <v>8</v>
      </c>
      <c r="M20" s="20">
        <f t="shared" si="38"/>
        <v>2</v>
      </c>
      <c r="N20" s="20">
        <f t="shared" si="38"/>
        <v>1</v>
      </c>
      <c r="O20" s="20">
        <v>0</v>
      </c>
      <c r="P20" s="20" t="s">
        <v>28</v>
      </c>
      <c r="Q20" s="21" t="str">
        <f>IF($M20=1,IF(ISERROR(VLOOKUP($P20,'M1'!$A:$C,Q$2,FALSE)),"NOT PRESENT",VLOOKUP($P20,'M1'!$A:$C,Q$2,FALSE)),IF($M20=2,IF(ISERROR(VLOOKUP(DATA!$P20,'M2'!$A:$C,Q$2,FALSE)),"NOT PRESENT",VLOOKUP(DATA!$P20,'M2'!$A:$C,Q$2,FALSE)),IF($M20=0,IF(ISERROR(VLOOKUP($P20,'M1'!$A:$C,Q$2,FALSE)),IF(ISERROR(VLOOKUP(DATA!$P20,'M2'!$A:$C,Q$2,FALSE)),"NOT PRESENT",VLOOKUP(DATA!$P20,'M2'!$A:$C,Q$2,FALSE)),VLOOKUP($P20,'M1'!$A:$C,Q$2,FALSE)),"SPECIFY METHOD")))</f>
        <v>Patiria miniata</v>
      </c>
      <c r="R20" s="21" t="str">
        <f>IF($M20=1,IF(ISERROR(VLOOKUP($P20,'M1'!$A:$C,R$2,FALSE)),"NOT PRESENT",VLOOKUP($P20,'M1'!$A:$C,R$2,FALSE)),IF($M20=2,IF(ISERROR(VLOOKUP(DATA!$P20,'M2'!$A:$C,R$2,FALSE)),"NOT PRESENT",VLOOKUP(DATA!$P20,'M2'!$A:$C,R$2,FALSE)),IF($M20=0,IF(ISERROR(VLOOKUP($P20,'M1'!$A:$C,R$2,FALSE)),IF(ISERROR(VLOOKUP(DATA!$P20,'M2'!$A:$C,R$2,FALSE)),"NOT PRESENT",VLOOKUP(DATA!$P20,'M2'!$A:$C,R$2,FALSE)),VLOOKUP($P20,'M1'!$A:$C,R$2,FALSE)),"SPECIFY METHOD")))</f>
        <v>Bat star</v>
      </c>
      <c r="S20" s="28">
        <f t="shared" si="3"/>
        <v>1</v>
      </c>
      <c r="T20" s="20">
        <v>0</v>
      </c>
      <c r="U20" s="20"/>
      <c r="V20" s="20"/>
      <c r="W20" s="20"/>
      <c r="X20" s="20">
        <v>1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</row>
    <row r="21" spans="1:68" ht="12.75" customHeight="1">
      <c r="A21" s="21">
        <f t="shared" si="2"/>
        <v>19</v>
      </c>
      <c r="B21" s="20" t="s">
        <v>35</v>
      </c>
      <c r="C21" s="20" t="s">
        <v>36</v>
      </c>
      <c r="D21" s="20" t="s">
        <v>26</v>
      </c>
      <c r="E21" s="21" t="str">
        <f>IF(ISERROR(VLOOKUP($D21,SITES!$A:$E,2,FALSE)),"",VLOOKUP($D21,SITES!$A:$E,2,FALSE))</f>
        <v>Baeria Rocks North Island Northside</v>
      </c>
      <c r="F21" s="19">
        <f>IF(ISERROR(VLOOKUP($D21,SITES!$A:$E,3,FALSE)),"",VLOOKUP($D21,SITES!$A:$E,3,FALSE))</f>
        <v>48.955081939697202</v>
      </c>
      <c r="G21" s="22">
        <f>IF(ISERROR(VLOOKUP($D21,SITES!$A:$E,4,FALSE)),"",VLOOKUP($D21,SITES!$A:$E,4,FALSE))</f>
        <v>-125.15337371826099</v>
      </c>
      <c r="H21" s="30">
        <v>45404</v>
      </c>
      <c r="I21" s="20">
        <v>1.5</v>
      </c>
      <c r="J21" s="20" t="s">
        <v>37</v>
      </c>
      <c r="K21" s="27">
        <v>0.42499999999999999</v>
      </c>
      <c r="L21" s="20">
        <v>8.5</v>
      </c>
      <c r="M21" s="20">
        <v>2</v>
      </c>
      <c r="N21" s="20">
        <v>2</v>
      </c>
      <c r="O21" s="20">
        <v>40</v>
      </c>
      <c r="P21" s="20" t="s">
        <v>38</v>
      </c>
      <c r="Q21" s="21" t="str">
        <f>IF($M21=1,IF(ISERROR(VLOOKUP($P21,'M1'!$A:$C,Q$2,FALSE)),"NOT PRESENT",VLOOKUP($P21,'M1'!$A:$C,Q$2,FALSE)),IF($M21=2,IF(ISERROR(VLOOKUP(DATA!$P21,'M2'!$A:$C,Q$2,FALSE)),"NOT PRESENT",VLOOKUP(DATA!$P21,'M2'!$A:$C,Q$2,FALSE)),IF($M21=0,IF(ISERROR(VLOOKUP($P21,'M1'!$A:$C,Q$2,FALSE)),IF(ISERROR(VLOOKUP(DATA!$P21,'M2'!$A:$C,Q$2,FALSE)),"NOT PRESENT",VLOOKUP(DATA!$P21,'M2'!$A:$C,Q$2,FALSE)),VLOOKUP($P21,'M1'!$A:$C,Q$2,FALSE)),"SPECIFY METHOD")))</f>
        <v>Pisaster ochraceus</v>
      </c>
      <c r="R21" s="21" t="str">
        <f>IF($M21=1,IF(ISERROR(VLOOKUP($P21,'M1'!$A:$C,R$2,FALSE)),"NOT PRESENT",VLOOKUP($P21,'M1'!$A:$C,R$2,FALSE)),IF($M21=2,IF(ISERROR(VLOOKUP(DATA!$P21,'M2'!$A:$C,R$2,FALSE)),"NOT PRESENT",VLOOKUP(DATA!$P21,'M2'!$A:$C,R$2,FALSE)),IF($M21=0,IF(ISERROR(VLOOKUP($P21,'M1'!$A:$C,R$2,FALSE)),IF(ISERROR(VLOOKUP(DATA!$P21,'M2'!$A:$C,R$2,FALSE)),"NOT PRESENT",VLOOKUP(DATA!$P21,'M2'!$A:$C,R$2,FALSE)),VLOOKUP($P21,'M1'!$A:$C,R$2,FALSE)),"SPECIFY METHOD")))</f>
        <v>Purple sea star</v>
      </c>
      <c r="S21" s="28">
        <f t="shared" si="3"/>
        <v>8</v>
      </c>
      <c r="T21" s="20">
        <v>0</v>
      </c>
      <c r="U21" s="20"/>
      <c r="V21" s="20"/>
      <c r="W21" s="20"/>
      <c r="X21" s="20"/>
      <c r="Y21" s="20"/>
      <c r="Z21" s="20"/>
      <c r="AA21" s="20">
        <v>4</v>
      </c>
      <c r="AB21" s="20"/>
      <c r="AC21" s="20"/>
      <c r="AD21" s="20">
        <v>3</v>
      </c>
      <c r="AE21" s="20">
        <v>1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</row>
    <row r="22" spans="1:68" ht="12.75" customHeight="1">
      <c r="A22" s="21">
        <f t="shared" si="2"/>
        <v>20</v>
      </c>
      <c r="B22" s="20" t="str">
        <f t="shared" ref="B22:D22" si="39">IF(ISERROR(B21),IF(ISERROR(#REF!),IF(ISERROR(B20),"BLANK",B20),#REF!),B21)</f>
        <v>Em Lim</v>
      </c>
      <c r="C22" s="20" t="str">
        <f t="shared" si="39"/>
        <v>Isabelle Cote</v>
      </c>
      <c r="D22" s="20" t="str">
        <f t="shared" si="39"/>
        <v>BMSC8</v>
      </c>
      <c r="E22" s="21" t="str">
        <f>IF(ISERROR(VLOOKUP($D22,SITES!$A:$E,2,FALSE)),"",VLOOKUP($D22,SITES!$A:$E,2,FALSE))</f>
        <v>Baeria Rocks North Island Northside</v>
      </c>
      <c r="F22" s="19">
        <f>IF(ISERROR(VLOOKUP($D22,SITES!$A:$E,3,FALSE)),"",VLOOKUP($D22,SITES!$A:$E,3,FALSE))</f>
        <v>48.955081939697202</v>
      </c>
      <c r="G22" s="22">
        <f>IF(ISERROR(VLOOKUP($D22,SITES!$A:$E,4,FALSE)),"",VLOOKUP($D22,SITES!$A:$E,4,FALSE))</f>
        <v>-125.15337371826099</v>
      </c>
      <c r="H22" s="23">
        <f t="shared" ref="H22:N22" si="40">IF(ISERROR(H21),IF(ISERROR(#REF!),IF(ISERROR(H20),"BLANK",H20),#REF!),H21)</f>
        <v>45404</v>
      </c>
      <c r="I22" s="20">
        <f t="shared" si="40"/>
        <v>1.5</v>
      </c>
      <c r="J22" s="20" t="str">
        <f t="shared" si="40"/>
        <v>SE</v>
      </c>
      <c r="K22" s="27">
        <f t="shared" si="40"/>
        <v>0.42499999999999999</v>
      </c>
      <c r="L22" s="20">
        <f t="shared" si="40"/>
        <v>8.5</v>
      </c>
      <c r="M22" s="20">
        <f t="shared" si="40"/>
        <v>2</v>
      </c>
      <c r="N22" s="20">
        <f t="shared" si="40"/>
        <v>2</v>
      </c>
      <c r="O22" s="20">
        <v>40</v>
      </c>
      <c r="P22" s="20" t="s">
        <v>39</v>
      </c>
      <c r="Q22" s="21" t="str">
        <f>IF($M22=1,IF(ISERROR(VLOOKUP($P22,'M1'!$A:$C,Q$2,FALSE)),"NOT PRESENT",VLOOKUP($P22,'M1'!$A:$C,Q$2,FALSE)),IF($M22=2,IF(ISERROR(VLOOKUP(DATA!$P22,'M2'!$A:$C,Q$2,FALSE)),"NOT PRESENT",VLOOKUP(DATA!$P22,'M2'!$A:$C,Q$2,FALSE)),IF($M22=0,IF(ISERROR(VLOOKUP($P22,'M1'!$A:$C,Q$2,FALSE)),IF(ISERROR(VLOOKUP(DATA!$P22,'M2'!$A:$C,Q$2,FALSE)),"NOT PRESENT",VLOOKUP(DATA!$P22,'M2'!$A:$C,Q$2,FALSE)),VLOOKUP($P22,'M1'!$A:$C,Q$2,FALSE)),"SPECIFY METHOD")))</f>
        <v>Dermasterias imbricata</v>
      </c>
      <c r="R22" s="21" t="str">
        <f>IF($M22=1,IF(ISERROR(VLOOKUP($P22,'M1'!$A:$C,R$2,FALSE)),"NOT PRESENT",VLOOKUP($P22,'M1'!$A:$C,R$2,FALSE)),IF($M22=2,IF(ISERROR(VLOOKUP(DATA!$P22,'M2'!$A:$C,R$2,FALSE)),"NOT PRESENT",VLOOKUP(DATA!$P22,'M2'!$A:$C,R$2,FALSE)),IF($M22=0,IF(ISERROR(VLOOKUP($P22,'M1'!$A:$C,R$2,FALSE)),IF(ISERROR(VLOOKUP(DATA!$P22,'M2'!$A:$C,R$2,FALSE)),"NOT PRESENT",VLOOKUP(DATA!$P22,'M2'!$A:$C,R$2,FALSE)),VLOOKUP($P22,'M1'!$A:$C,R$2,FALSE)),"SPECIFY METHOD")))</f>
        <v>Leather star</v>
      </c>
      <c r="S22" s="28">
        <f t="shared" si="3"/>
        <v>1</v>
      </c>
      <c r="T22" s="20">
        <v>0</v>
      </c>
      <c r="U22" s="20"/>
      <c r="V22" s="20"/>
      <c r="W22" s="20"/>
      <c r="X22" s="20"/>
      <c r="Y22" s="20"/>
      <c r="Z22" s="20">
        <v>1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</row>
    <row r="23" spans="1:68" ht="12.75" customHeight="1">
      <c r="A23" s="21">
        <f t="shared" si="2"/>
        <v>21</v>
      </c>
      <c r="B23" s="20" t="str">
        <f t="shared" ref="B23:D23" si="41">IF(ISERROR(B22),IF(ISERROR(B21),IF(ISERROR(#REF!),"BLANK",#REF!),B21),B22)</f>
        <v>Em Lim</v>
      </c>
      <c r="C23" s="20" t="str">
        <f t="shared" si="41"/>
        <v>Isabelle Cote</v>
      </c>
      <c r="D23" s="20" t="str">
        <f t="shared" si="41"/>
        <v>BMSC8</v>
      </c>
      <c r="E23" s="21" t="str">
        <f>IF(ISERROR(VLOOKUP($D23,SITES!$A:$E,2,FALSE)),"",VLOOKUP($D23,SITES!$A:$E,2,FALSE))</f>
        <v>Baeria Rocks North Island Northside</v>
      </c>
      <c r="F23" s="19">
        <f>IF(ISERROR(VLOOKUP($D23,SITES!$A:$E,3,FALSE)),"",VLOOKUP($D23,SITES!$A:$E,3,FALSE))</f>
        <v>48.955081939697202</v>
      </c>
      <c r="G23" s="22">
        <f>IF(ISERROR(VLOOKUP($D23,SITES!$A:$E,4,FALSE)),"",VLOOKUP($D23,SITES!$A:$E,4,FALSE))</f>
        <v>-125.15337371826099</v>
      </c>
      <c r="H23" s="23">
        <f t="shared" ref="H23:N23" si="42">IF(ISERROR(H22),IF(ISERROR(H21),IF(ISERROR(#REF!),"BLANK",#REF!),H21),H22)</f>
        <v>45404</v>
      </c>
      <c r="I23" s="20">
        <f t="shared" si="42"/>
        <v>1.5</v>
      </c>
      <c r="J23" s="20" t="str">
        <f t="shared" si="42"/>
        <v>SE</v>
      </c>
      <c r="K23" s="27">
        <f t="shared" si="42"/>
        <v>0.42499999999999999</v>
      </c>
      <c r="L23" s="20">
        <f t="shared" si="42"/>
        <v>8.5</v>
      </c>
      <c r="M23" s="20">
        <f t="shared" si="42"/>
        <v>2</v>
      </c>
      <c r="N23" s="20">
        <f t="shared" si="42"/>
        <v>2</v>
      </c>
      <c r="O23" s="20">
        <v>40</v>
      </c>
      <c r="P23" s="20" t="s">
        <v>40</v>
      </c>
      <c r="Q23" s="21" t="str">
        <f>IF($M23=1,IF(ISERROR(VLOOKUP($P23,'M1'!$A:$C,Q$2,FALSE)),"NOT PRESENT",VLOOKUP($P23,'M1'!$A:$C,Q$2,FALSE)),IF($M23=2,IF(ISERROR(VLOOKUP(DATA!$P23,'M2'!$A:$C,Q$2,FALSE)),"NOT PRESENT",VLOOKUP(DATA!$P23,'M2'!$A:$C,Q$2,FALSE)),IF($M23=0,IF(ISERROR(VLOOKUP($P23,'M1'!$A:$C,Q$2,FALSE)),IF(ISERROR(VLOOKUP(DATA!$P23,'M2'!$A:$C,Q$2,FALSE)),"NOT PRESENT",VLOOKUP(DATA!$P23,'M2'!$A:$C,Q$2,FALSE)),VLOOKUP($P23,'M1'!$A:$C,Q$2,FALSE)),"SPECIFY METHOD")))</f>
        <v>Patiria miniata</v>
      </c>
      <c r="R23" s="21" t="str">
        <f>IF($M23=1,IF(ISERROR(VLOOKUP($P23,'M1'!$A:$C,R$2,FALSE)),"NOT PRESENT",VLOOKUP($P23,'M1'!$A:$C,R$2,FALSE)),IF($M23=2,IF(ISERROR(VLOOKUP(DATA!$P23,'M2'!$A:$C,R$2,FALSE)),"NOT PRESENT",VLOOKUP(DATA!$P23,'M2'!$A:$C,R$2,FALSE)),IF($M23=0,IF(ISERROR(VLOOKUP($P23,'M1'!$A:$C,R$2,FALSE)),IF(ISERROR(VLOOKUP(DATA!$P23,'M2'!$A:$C,R$2,FALSE)),"NOT PRESENT",VLOOKUP(DATA!$P23,'M2'!$A:$C,R$2,FALSE)),VLOOKUP($P23,'M1'!$A:$C,R$2,FALSE)),"SPECIFY METHOD")))</f>
        <v>Bat star</v>
      </c>
      <c r="S23" s="28">
        <f t="shared" si="3"/>
        <v>1</v>
      </c>
      <c r="T23" s="20">
        <v>0</v>
      </c>
      <c r="U23" s="20"/>
      <c r="V23" s="20"/>
      <c r="W23" s="20"/>
      <c r="X23" s="20"/>
      <c r="Y23" s="20"/>
      <c r="Z23" s="20">
        <v>1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</row>
    <row r="24" spans="1:68" ht="12.75" customHeight="1">
      <c r="A24" s="21">
        <f t="shared" si="2"/>
        <v>22</v>
      </c>
      <c r="B24" s="20" t="str">
        <f t="shared" ref="B24:D24" si="43">IF(ISERROR(B23),IF(ISERROR(B22),IF(ISERROR(B21),"BLANK",B21),B22),B23)</f>
        <v>Em Lim</v>
      </c>
      <c r="C24" s="20" t="str">
        <f t="shared" si="43"/>
        <v>Isabelle Cote</v>
      </c>
      <c r="D24" s="20" t="str">
        <f t="shared" si="43"/>
        <v>BMSC8</v>
      </c>
      <c r="E24" s="21" t="str">
        <f>IF(ISERROR(VLOOKUP($D24,SITES!$A:$E,2,FALSE)),"",VLOOKUP($D24,SITES!$A:$E,2,FALSE))</f>
        <v>Baeria Rocks North Island Northside</v>
      </c>
      <c r="F24" s="19">
        <f>IF(ISERROR(VLOOKUP($D24,SITES!$A:$E,3,FALSE)),"",VLOOKUP($D24,SITES!$A:$E,3,FALSE))</f>
        <v>48.955081939697202</v>
      </c>
      <c r="G24" s="22">
        <f>IF(ISERROR(VLOOKUP($D24,SITES!$A:$E,4,FALSE)),"",VLOOKUP($D24,SITES!$A:$E,4,FALSE))</f>
        <v>-125.15337371826099</v>
      </c>
      <c r="H24" s="23">
        <f t="shared" ref="H24:N24" si="44">IF(ISERROR(H23),IF(ISERROR(H22),IF(ISERROR(H21),"BLANK",H21),H22),H23)</f>
        <v>45404</v>
      </c>
      <c r="I24" s="20">
        <f t="shared" si="44"/>
        <v>1.5</v>
      </c>
      <c r="J24" s="20" t="str">
        <f t="shared" si="44"/>
        <v>SE</v>
      </c>
      <c r="K24" s="27">
        <f t="shared" si="44"/>
        <v>0.42499999999999999</v>
      </c>
      <c r="L24" s="20">
        <f t="shared" si="44"/>
        <v>8.5</v>
      </c>
      <c r="M24" s="20">
        <f t="shared" si="44"/>
        <v>2</v>
      </c>
      <c r="N24" s="20">
        <f t="shared" si="44"/>
        <v>2</v>
      </c>
      <c r="O24" s="20">
        <v>40</v>
      </c>
      <c r="P24" s="20" t="s">
        <v>41</v>
      </c>
      <c r="Q24" s="21" t="str">
        <f>IF($M24=1,IF(ISERROR(VLOOKUP($P24,'M1'!$A:$C,Q$2,FALSE)),"NOT PRESENT",VLOOKUP($P24,'M1'!$A:$C,Q$2,FALSE)),IF($M24=2,IF(ISERROR(VLOOKUP(DATA!$P24,'M2'!$A:$C,Q$2,FALSE)),"NOT PRESENT",VLOOKUP(DATA!$P24,'M2'!$A:$C,Q$2,FALSE)),IF($M24=0,IF(ISERROR(VLOOKUP($P24,'M1'!$A:$C,Q$2,FALSE)),IF(ISERROR(VLOOKUP(DATA!$P24,'M2'!$A:$C,Q$2,FALSE)),"NOT PRESENT",VLOOKUP(DATA!$P24,'M2'!$A:$C,Q$2,FALSE)),VLOOKUP($P24,'M1'!$A:$C,Q$2,FALSE)),"SPECIFY METHOD")))</f>
        <v>Mesocentrotus franciscanus</v>
      </c>
      <c r="R24" s="21" t="str">
        <f>IF($M24=1,IF(ISERROR(VLOOKUP($P24,'M1'!$A:$C,R$2,FALSE)),"NOT PRESENT",VLOOKUP($P24,'M1'!$A:$C,R$2,FALSE)),IF($M24=2,IF(ISERROR(VLOOKUP(DATA!$P24,'M2'!$A:$C,R$2,FALSE)),"NOT PRESENT",VLOOKUP(DATA!$P24,'M2'!$A:$C,R$2,FALSE)),IF($M24=0,IF(ISERROR(VLOOKUP($P24,'M1'!$A:$C,R$2,FALSE)),IF(ISERROR(VLOOKUP(DATA!$P24,'M2'!$A:$C,R$2,FALSE)),"NOT PRESENT",VLOOKUP(DATA!$P24,'M2'!$A:$C,R$2,FALSE)),VLOOKUP($P24,'M1'!$A:$C,R$2,FALSE)),"SPECIFY METHOD")))</f>
        <v>Red sea urchin</v>
      </c>
      <c r="S24" s="28">
        <f t="shared" si="3"/>
        <v>4</v>
      </c>
      <c r="T24" s="20">
        <v>0</v>
      </c>
      <c r="U24" s="20">
        <v>2</v>
      </c>
      <c r="V24" s="20">
        <v>2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</row>
    <row r="25" spans="1:68" ht="12.75" customHeight="1">
      <c r="A25" s="21">
        <f t="shared" si="2"/>
        <v>23</v>
      </c>
      <c r="B25" s="20" t="str">
        <f t="shared" ref="B25:D25" si="45">IF(ISERROR(B24),IF(ISERROR(B23),IF(ISERROR(B22),"BLANK",B22),B23),B24)</f>
        <v>Em Lim</v>
      </c>
      <c r="C25" s="20" t="str">
        <f t="shared" si="45"/>
        <v>Isabelle Cote</v>
      </c>
      <c r="D25" s="20" t="str">
        <f t="shared" si="45"/>
        <v>BMSC8</v>
      </c>
      <c r="E25" s="21" t="str">
        <f>IF(ISERROR(VLOOKUP($D25,SITES!$A:$E,2,FALSE)),"",VLOOKUP($D25,SITES!$A:$E,2,FALSE))</f>
        <v>Baeria Rocks North Island Northside</v>
      </c>
      <c r="F25" s="19">
        <f>IF(ISERROR(VLOOKUP($D25,SITES!$A:$E,3,FALSE)),"",VLOOKUP($D25,SITES!$A:$E,3,FALSE))</f>
        <v>48.955081939697202</v>
      </c>
      <c r="G25" s="22">
        <f>IF(ISERROR(VLOOKUP($D25,SITES!$A:$E,4,FALSE)),"",VLOOKUP($D25,SITES!$A:$E,4,FALSE))</f>
        <v>-125.15337371826099</v>
      </c>
      <c r="H25" s="23">
        <f t="shared" ref="H25:N25" si="46">IF(ISERROR(H24),IF(ISERROR(H23),IF(ISERROR(H22),"BLANK",H22),H23),H24)</f>
        <v>45404</v>
      </c>
      <c r="I25" s="20">
        <f t="shared" si="46"/>
        <v>1.5</v>
      </c>
      <c r="J25" s="20" t="str">
        <f t="shared" si="46"/>
        <v>SE</v>
      </c>
      <c r="K25" s="27">
        <f t="shared" si="46"/>
        <v>0.42499999999999999</v>
      </c>
      <c r="L25" s="20">
        <f t="shared" si="46"/>
        <v>8.5</v>
      </c>
      <c r="M25" s="20">
        <f t="shared" si="46"/>
        <v>2</v>
      </c>
      <c r="N25" s="20">
        <f t="shared" si="46"/>
        <v>2</v>
      </c>
      <c r="O25" s="20">
        <v>24</v>
      </c>
      <c r="P25" s="20" t="s">
        <v>41</v>
      </c>
      <c r="Q25" s="21" t="str">
        <f>IF($M25=1,IF(ISERROR(VLOOKUP($P25,'M1'!$A:$C,Q$2,FALSE)),"NOT PRESENT",VLOOKUP($P25,'M1'!$A:$C,Q$2,FALSE)),IF($M25=2,IF(ISERROR(VLOOKUP(DATA!$P25,'M2'!$A:$C,Q$2,FALSE)),"NOT PRESENT",VLOOKUP(DATA!$P25,'M2'!$A:$C,Q$2,FALSE)),IF($M25=0,IF(ISERROR(VLOOKUP($P25,'M1'!$A:$C,Q$2,FALSE)),IF(ISERROR(VLOOKUP(DATA!$P25,'M2'!$A:$C,Q$2,FALSE)),"NOT PRESENT",VLOOKUP(DATA!$P25,'M2'!$A:$C,Q$2,FALSE)),VLOOKUP($P25,'M1'!$A:$C,Q$2,FALSE)),"SPECIFY METHOD")))</f>
        <v>Mesocentrotus franciscanus</v>
      </c>
      <c r="R25" s="21" t="str">
        <f>IF($M25=1,IF(ISERROR(VLOOKUP($P25,'M1'!$A:$C,R$2,FALSE)),"NOT PRESENT",VLOOKUP($P25,'M1'!$A:$C,R$2,FALSE)),IF($M25=2,IF(ISERROR(VLOOKUP(DATA!$P25,'M2'!$A:$C,R$2,FALSE)),"NOT PRESENT",VLOOKUP(DATA!$P25,'M2'!$A:$C,R$2,FALSE)),IF($M25=0,IF(ISERROR(VLOOKUP($P25,'M1'!$A:$C,R$2,FALSE)),IF(ISERROR(VLOOKUP(DATA!$P25,'M2'!$A:$C,R$2,FALSE)),"NOT PRESENT",VLOOKUP(DATA!$P25,'M2'!$A:$C,R$2,FALSE)),VLOOKUP($P25,'M1'!$A:$C,R$2,FALSE)),"SPECIFY METHOD")))</f>
        <v>Red sea urchin</v>
      </c>
      <c r="S25" s="28">
        <f t="shared" si="3"/>
        <v>10</v>
      </c>
      <c r="T25" s="20">
        <v>0</v>
      </c>
      <c r="U25" s="20">
        <v>3</v>
      </c>
      <c r="V25" s="20">
        <v>5</v>
      </c>
      <c r="W25" s="20">
        <v>2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</row>
    <row r="26" spans="1:68" ht="12.75" customHeight="1">
      <c r="A26" s="21">
        <f t="shared" si="2"/>
        <v>24</v>
      </c>
      <c r="B26" s="20" t="str">
        <f t="shared" ref="B26:D26" si="47">IF(ISERROR(B25),IF(ISERROR(B24),IF(ISERROR(B23),"BLANK",B23),B24),B25)</f>
        <v>Em Lim</v>
      </c>
      <c r="C26" s="20" t="str">
        <f t="shared" si="47"/>
        <v>Isabelle Cote</v>
      </c>
      <c r="D26" s="20" t="str">
        <f t="shared" si="47"/>
        <v>BMSC8</v>
      </c>
      <c r="E26" s="21" t="str">
        <f>IF(ISERROR(VLOOKUP($D26,SITES!$A:$E,2,FALSE)),"",VLOOKUP($D26,SITES!$A:$E,2,FALSE))</f>
        <v>Baeria Rocks North Island Northside</v>
      </c>
      <c r="F26" s="19">
        <f>IF(ISERROR(VLOOKUP($D26,SITES!$A:$E,3,FALSE)),"",VLOOKUP($D26,SITES!$A:$E,3,FALSE))</f>
        <v>48.955081939697202</v>
      </c>
      <c r="G26" s="22">
        <f>IF(ISERROR(VLOOKUP($D26,SITES!$A:$E,4,FALSE)),"",VLOOKUP($D26,SITES!$A:$E,4,FALSE))</f>
        <v>-125.15337371826099</v>
      </c>
      <c r="H26" s="23">
        <f t="shared" ref="H26:N26" si="48">IF(ISERROR(H25),IF(ISERROR(H24),IF(ISERROR(H23),"BLANK",H23),H24),H25)</f>
        <v>45404</v>
      </c>
      <c r="I26" s="20">
        <f t="shared" si="48"/>
        <v>1.5</v>
      </c>
      <c r="J26" s="20" t="str">
        <f t="shared" si="48"/>
        <v>SE</v>
      </c>
      <c r="K26" s="27">
        <f t="shared" si="48"/>
        <v>0.42499999999999999</v>
      </c>
      <c r="L26" s="20">
        <f t="shared" si="48"/>
        <v>8.5</v>
      </c>
      <c r="M26" s="20">
        <f t="shared" si="48"/>
        <v>2</v>
      </c>
      <c r="N26" s="20">
        <f t="shared" si="48"/>
        <v>2</v>
      </c>
      <c r="O26" s="20">
        <v>24</v>
      </c>
      <c r="P26" s="20" t="s">
        <v>38</v>
      </c>
      <c r="Q26" s="21" t="str">
        <f>IF($M26=1,IF(ISERROR(VLOOKUP($P26,'M1'!$A:$C,Q$2,FALSE)),"NOT PRESENT",VLOOKUP($P26,'M1'!$A:$C,Q$2,FALSE)),IF($M26=2,IF(ISERROR(VLOOKUP(DATA!$P26,'M2'!$A:$C,Q$2,FALSE)),"NOT PRESENT",VLOOKUP(DATA!$P26,'M2'!$A:$C,Q$2,FALSE)),IF($M26=0,IF(ISERROR(VLOOKUP($P26,'M1'!$A:$C,Q$2,FALSE)),IF(ISERROR(VLOOKUP(DATA!$P26,'M2'!$A:$C,Q$2,FALSE)),"NOT PRESENT",VLOOKUP(DATA!$P26,'M2'!$A:$C,Q$2,FALSE)),VLOOKUP($P26,'M1'!$A:$C,Q$2,FALSE)),"SPECIFY METHOD")))</f>
        <v>Pisaster ochraceus</v>
      </c>
      <c r="R26" s="21" t="str">
        <f>IF($M26=1,IF(ISERROR(VLOOKUP($P26,'M1'!$A:$C,R$2,FALSE)),"NOT PRESENT",VLOOKUP($P26,'M1'!$A:$C,R$2,FALSE)),IF($M26=2,IF(ISERROR(VLOOKUP(DATA!$P26,'M2'!$A:$C,R$2,FALSE)),"NOT PRESENT",VLOOKUP(DATA!$P26,'M2'!$A:$C,R$2,FALSE)),IF($M26=0,IF(ISERROR(VLOOKUP($P26,'M1'!$A:$C,R$2,FALSE)),IF(ISERROR(VLOOKUP(DATA!$P26,'M2'!$A:$C,R$2,FALSE)),"NOT PRESENT",VLOOKUP(DATA!$P26,'M2'!$A:$C,R$2,FALSE)),VLOOKUP($P26,'M1'!$A:$C,R$2,FALSE)),"SPECIFY METHOD")))</f>
        <v>Purple sea star</v>
      </c>
      <c r="S26" s="28">
        <f t="shared" si="3"/>
        <v>2</v>
      </c>
      <c r="T26" s="20">
        <v>0</v>
      </c>
      <c r="U26" s="20"/>
      <c r="V26" s="20"/>
      <c r="W26" s="20"/>
      <c r="X26" s="20"/>
      <c r="Y26" s="20"/>
      <c r="Z26" s="20"/>
      <c r="AA26" s="20"/>
      <c r="AB26" s="20"/>
      <c r="AC26" s="20">
        <v>2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</row>
    <row r="27" spans="1:68" ht="12.75" customHeight="1">
      <c r="A27" s="21">
        <f t="shared" si="2"/>
        <v>25</v>
      </c>
      <c r="B27" s="20" t="str">
        <f t="shared" ref="B27:D27" si="49">IF(ISERROR(B26),IF(ISERROR(B25),IF(ISERROR(B24),"BLANK",B24),B25),B26)</f>
        <v>Em Lim</v>
      </c>
      <c r="C27" s="20" t="str">
        <f t="shared" si="49"/>
        <v>Isabelle Cote</v>
      </c>
      <c r="D27" s="20" t="str">
        <f t="shared" si="49"/>
        <v>BMSC8</v>
      </c>
      <c r="E27" s="21" t="str">
        <f>IF(ISERROR(VLOOKUP($D27,SITES!$A:$E,2,FALSE)),"",VLOOKUP($D27,SITES!$A:$E,2,FALSE))</f>
        <v>Baeria Rocks North Island Northside</v>
      </c>
      <c r="F27" s="19">
        <f>IF(ISERROR(VLOOKUP($D27,SITES!$A:$E,3,FALSE)),"",VLOOKUP($D27,SITES!$A:$E,3,FALSE))</f>
        <v>48.955081939697202</v>
      </c>
      <c r="G27" s="22">
        <f>IF(ISERROR(VLOOKUP($D27,SITES!$A:$E,4,FALSE)),"",VLOOKUP($D27,SITES!$A:$E,4,FALSE))</f>
        <v>-125.15337371826099</v>
      </c>
      <c r="H27" s="23">
        <f t="shared" ref="H27:N27" si="50">IF(ISERROR(H26),IF(ISERROR(H25),IF(ISERROR(H24),"BLANK",H24),H25),H26)</f>
        <v>45404</v>
      </c>
      <c r="I27" s="20">
        <f t="shared" si="50"/>
        <v>1.5</v>
      </c>
      <c r="J27" s="20" t="str">
        <f t="shared" si="50"/>
        <v>SE</v>
      </c>
      <c r="K27" s="27">
        <f t="shared" si="50"/>
        <v>0.42499999999999999</v>
      </c>
      <c r="L27" s="20">
        <f t="shared" si="50"/>
        <v>8.5</v>
      </c>
      <c r="M27" s="20">
        <f t="shared" si="50"/>
        <v>2</v>
      </c>
      <c r="N27" s="20">
        <f t="shared" si="50"/>
        <v>2</v>
      </c>
      <c r="O27" s="20">
        <v>8</v>
      </c>
      <c r="P27" s="20" t="s">
        <v>41</v>
      </c>
      <c r="Q27" s="21" t="str">
        <f>IF($M27=1,IF(ISERROR(VLOOKUP($P27,'M1'!$A:$C,Q$2,FALSE)),"NOT PRESENT",VLOOKUP($P27,'M1'!$A:$C,Q$2,FALSE)),IF($M27=2,IF(ISERROR(VLOOKUP(DATA!$P27,'M2'!$A:$C,Q$2,FALSE)),"NOT PRESENT",VLOOKUP(DATA!$P27,'M2'!$A:$C,Q$2,FALSE)),IF($M27=0,IF(ISERROR(VLOOKUP($P27,'M1'!$A:$C,Q$2,FALSE)),IF(ISERROR(VLOOKUP(DATA!$P27,'M2'!$A:$C,Q$2,FALSE)),"NOT PRESENT",VLOOKUP(DATA!$P27,'M2'!$A:$C,Q$2,FALSE)),VLOOKUP($P27,'M1'!$A:$C,Q$2,FALSE)),"SPECIFY METHOD")))</f>
        <v>Mesocentrotus franciscanus</v>
      </c>
      <c r="R27" s="21" t="str">
        <f>IF($M27=1,IF(ISERROR(VLOOKUP($P27,'M1'!$A:$C,R$2,FALSE)),"NOT PRESENT",VLOOKUP($P27,'M1'!$A:$C,R$2,FALSE)),IF($M27=2,IF(ISERROR(VLOOKUP(DATA!$P27,'M2'!$A:$C,R$2,FALSE)),"NOT PRESENT",VLOOKUP(DATA!$P27,'M2'!$A:$C,R$2,FALSE)),IF($M27=0,IF(ISERROR(VLOOKUP($P27,'M1'!$A:$C,R$2,FALSE)),IF(ISERROR(VLOOKUP(DATA!$P27,'M2'!$A:$C,R$2,FALSE)),"NOT PRESENT",VLOOKUP(DATA!$P27,'M2'!$A:$C,R$2,FALSE)),VLOOKUP($P27,'M1'!$A:$C,R$2,FALSE)),"SPECIFY METHOD")))</f>
        <v>Red sea urchin</v>
      </c>
      <c r="S27" s="28">
        <f t="shared" si="3"/>
        <v>7</v>
      </c>
      <c r="T27" s="20">
        <v>0</v>
      </c>
      <c r="U27" s="20"/>
      <c r="V27" s="20">
        <v>3</v>
      </c>
      <c r="W27" s="20">
        <v>4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</row>
    <row r="28" spans="1:68" ht="12.75" customHeight="1">
      <c r="A28" s="21">
        <f t="shared" si="2"/>
        <v>26</v>
      </c>
      <c r="B28" s="20" t="str">
        <f t="shared" ref="B28:C28" si="51">IF(ISERROR(B27),IF(ISERROR(B26),IF(ISERROR(B25),"BLANK",B25),B26),B27)</f>
        <v>Em Lim</v>
      </c>
      <c r="C28" s="20" t="str">
        <f t="shared" si="51"/>
        <v>Isabelle Cote</v>
      </c>
      <c r="D28" s="20" t="s">
        <v>32</v>
      </c>
      <c r="E28" s="21" t="str">
        <f>IF(ISERROR(VLOOKUP($D28,SITES!$A:$E,2,FALSE)),"",VLOOKUP($D28,SITES!$A:$E,2,FALSE))</f>
        <v>Baeria Rocks South Island</v>
      </c>
      <c r="F28" s="19">
        <f>IF(ISERROR(VLOOKUP($D28,SITES!$A:$E,3,FALSE)),"",VLOOKUP($D28,SITES!$A:$E,3,FALSE))</f>
        <v>48.950233459472599</v>
      </c>
      <c r="G28" s="22">
        <f>IF(ISERROR(VLOOKUP($D28,SITES!$A:$E,4,FALSE)),"",VLOOKUP($D28,SITES!$A:$E,4,FALSE))</f>
        <v>-125.155548095703</v>
      </c>
      <c r="H28" s="23">
        <f t="shared" ref="H28:I28" si="52">IF(ISERROR(H27),IF(ISERROR(H26),IF(ISERROR(H25),"BLANK",H25),H26),H27)</f>
        <v>45404</v>
      </c>
      <c r="I28" s="20">
        <f t="shared" si="52"/>
        <v>1.5</v>
      </c>
      <c r="J28" s="20" t="s">
        <v>33</v>
      </c>
      <c r="K28" s="27">
        <v>0.53125</v>
      </c>
      <c r="L28" s="20">
        <v>11</v>
      </c>
      <c r="M28" s="20">
        <f t="shared" ref="M28:N28" si="53">IF(ISERROR(M27),IF(ISERROR(M26),IF(ISERROR(M25),"BLANK",M25),M26),M27)</f>
        <v>2</v>
      </c>
      <c r="N28" s="20">
        <f t="shared" si="53"/>
        <v>2</v>
      </c>
      <c r="O28" s="20">
        <v>40</v>
      </c>
      <c r="P28" s="20" t="s">
        <v>41</v>
      </c>
      <c r="Q28" s="21" t="str">
        <f>IF($M28=1,IF(ISERROR(VLOOKUP($P28,'M1'!$A:$C,Q$2,FALSE)),"NOT PRESENT",VLOOKUP($P28,'M1'!$A:$C,Q$2,FALSE)),IF($M28=2,IF(ISERROR(VLOOKUP(DATA!$P28,'M2'!$A:$C,Q$2,FALSE)),"NOT PRESENT",VLOOKUP(DATA!$P28,'M2'!$A:$C,Q$2,FALSE)),IF($M28=0,IF(ISERROR(VLOOKUP($P28,'M1'!$A:$C,Q$2,FALSE)),IF(ISERROR(VLOOKUP(DATA!$P28,'M2'!$A:$C,Q$2,FALSE)),"NOT PRESENT",VLOOKUP(DATA!$P28,'M2'!$A:$C,Q$2,FALSE)),VLOOKUP($P28,'M1'!$A:$C,Q$2,FALSE)),"SPECIFY METHOD")))</f>
        <v>Mesocentrotus franciscanus</v>
      </c>
      <c r="R28" s="21" t="str">
        <f>IF($M28=1,IF(ISERROR(VLOOKUP($P28,'M1'!$A:$C,R$2,FALSE)),"NOT PRESENT",VLOOKUP($P28,'M1'!$A:$C,R$2,FALSE)),IF($M28=2,IF(ISERROR(VLOOKUP(DATA!$P28,'M2'!$A:$C,R$2,FALSE)),"NOT PRESENT",VLOOKUP(DATA!$P28,'M2'!$A:$C,R$2,FALSE)),IF($M28=0,IF(ISERROR(VLOOKUP($P28,'M1'!$A:$C,R$2,FALSE)),IF(ISERROR(VLOOKUP(DATA!$P28,'M2'!$A:$C,R$2,FALSE)),"NOT PRESENT",VLOOKUP(DATA!$P28,'M2'!$A:$C,R$2,FALSE)),VLOOKUP($P28,'M1'!$A:$C,R$2,FALSE)),"SPECIFY METHOD")))</f>
        <v>Red sea urchin</v>
      </c>
      <c r="S28" s="28">
        <f t="shared" si="3"/>
        <v>5</v>
      </c>
      <c r="T28" s="20">
        <v>0</v>
      </c>
      <c r="U28" s="20">
        <v>3</v>
      </c>
      <c r="V28" s="20">
        <v>1</v>
      </c>
      <c r="W28" s="20">
        <v>1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</row>
    <row r="29" spans="1:68" ht="12.75" customHeight="1">
      <c r="A29" s="21">
        <f t="shared" si="2"/>
        <v>27</v>
      </c>
      <c r="B29" s="20" t="str">
        <f t="shared" ref="B29:D29" si="54">IF(ISERROR(B28),IF(ISERROR(B27),IF(ISERROR(B26),"BLANK",B26),B27),B28)</f>
        <v>Em Lim</v>
      </c>
      <c r="C29" s="20" t="str">
        <f t="shared" si="54"/>
        <v>Isabelle Cote</v>
      </c>
      <c r="D29" s="20" t="str">
        <f t="shared" si="54"/>
        <v>BMSC6</v>
      </c>
      <c r="E29" s="21" t="str">
        <f>IF(ISERROR(VLOOKUP($D29,SITES!$A:$E,2,FALSE)),"",VLOOKUP($D29,SITES!$A:$E,2,FALSE))</f>
        <v>Baeria Rocks South Island</v>
      </c>
      <c r="F29" s="19">
        <f>IF(ISERROR(VLOOKUP($D29,SITES!$A:$E,3,FALSE)),"",VLOOKUP($D29,SITES!$A:$E,3,FALSE))</f>
        <v>48.950233459472599</v>
      </c>
      <c r="G29" s="22">
        <f>IF(ISERROR(VLOOKUP($D29,SITES!$A:$E,4,FALSE)),"",VLOOKUP($D29,SITES!$A:$E,4,FALSE))</f>
        <v>-125.155548095703</v>
      </c>
      <c r="H29" s="23">
        <f t="shared" ref="H29:N29" si="55">IF(ISERROR(H28),IF(ISERROR(H27),IF(ISERROR(H26),"BLANK",H26),H27),H28)</f>
        <v>45404</v>
      </c>
      <c r="I29" s="20">
        <f t="shared" si="55"/>
        <v>1.5</v>
      </c>
      <c r="J29" s="20" t="str">
        <f t="shared" si="55"/>
        <v>SW</v>
      </c>
      <c r="K29" s="27">
        <f t="shared" si="55"/>
        <v>0.53125</v>
      </c>
      <c r="L29" s="20">
        <f t="shared" si="55"/>
        <v>11</v>
      </c>
      <c r="M29" s="20">
        <f t="shared" si="55"/>
        <v>2</v>
      </c>
      <c r="N29" s="20">
        <f t="shared" si="55"/>
        <v>2</v>
      </c>
      <c r="O29" s="20">
        <v>40</v>
      </c>
      <c r="P29" s="20" t="s">
        <v>40</v>
      </c>
      <c r="Q29" s="21" t="str">
        <f>IF($M29=1,IF(ISERROR(VLOOKUP($P29,'M1'!$A:$C,Q$2,FALSE)),"NOT PRESENT",VLOOKUP($P29,'M1'!$A:$C,Q$2,FALSE)),IF($M29=2,IF(ISERROR(VLOOKUP(DATA!$P29,'M2'!$A:$C,Q$2,FALSE)),"NOT PRESENT",VLOOKUP(DATA!$P29,'M2'!$A:$C,Q$2,FALSE)),IF($M29=0,IF(ISERROR(VLOOKUP($P29,'M1'!$A:$C,Q$2,FALSE)),IF(ISERROR(VLOOKUP(DATA!$P29,'M2'!$A:$C,Q$2,FALSE)),"NOT PRESENT",VLOOKUP(DATA!$P29,'M2'!$A:$C,Q$2,FALSE)),VLOOKUP($P29,'M1'!$A:$C,Q$2,FALSE)),"SPECIFY METHOD")))</f>
        <v>Patiria miniata</v>
      </c>
      <c r="R29" s="21" t="str">
        <f>IF($M29=1,IF(ISERROR(VLOOKUP($P29,'M1'!$A:$C,R$2,FALSE)),"NOT PRESENT",VLOOKUP($P29,'M1'!$A:$C,R$2,FALSE)),IF($M29=2,IF(ISERROR(VLOOKUP(DATA!$P29,'M2'!$A:$C,R$2,FALSE)),"NOT PRESENT",VLOOKUP(DATA!$P29,'M2'!$A:$C,R$2,FALSE)),IF($M29=0,IF(ISERROR(VLOOKUP($P29,'M1'!$A:$C,R$2,FALSE)),IF(ISERROR(VLOOKUP(DATA!$P29,'M2'!$A:$C,R$2,FALSE)),"NOT PRESENT",VLOOKUP(DATA!$P29,'M2'!$A:$C,R$2,FALSE)),VLOOKUP($P29,'M1'!$A:$C,R$2,FALSE)),"SPECIFY METHOD")))</f>
        <v>Bat star</v>
      </c>
      <c r="S29" s="28">
        <f t="shared" si="3"/>
        <v>3</v>
      </c>
      <c r="T29" s="20">
        <v>0</v>
      </c>
      <c r="U29" s="20"/>
      <c r="V29" s="20">
        <v>2</v>
      </c>
      <c r="W29" s="20">
        <v>1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</row>
    <row r="30" spans="1:68" ht="12.75" customHeight="1">
      <c r="A30" s="21">
        <f t="shared" si="2"/>
        <v>28</v>
      </c>
      <c r="B30" s="20" t="str">
        <f t="shared" ref="B30:D30" si="56">IF(ISERROR(B29),IF(ISERROR(B28),IF(ISERROR(B27),"BLANK",B27),B28),B29)</f>
        <v>Em Lim</v>
      </c>
      <c r="C30" s="20" t="str">
        <f t="shared" si="56"/>
        <v>Isabelle Cote</v>
      </c>
      <c r="D30" s="20" t="str">
        <f t="shared" si="56"/>
        <v>BMSC6</v>
      </c>
      <c r="E30" s="21" t="str">
        <f>IF(ISERROR(VLOOKUP($D30,SITES!$A:$E,2,FALSE)),"",VLOOKUP($D30,SITES!$A:$E,2,FALSE))</f>
        <v>Baeria Rocks South Island</v>
      </c>
      <c r="F30" s="19">
        <f>IF(ISERROR(VLOOKUP($D30,SITES!$A:$E,3,FALSE)),"",VLOOKUP($D30,SITES!$A:$E,3,FALSE))</f>
        <v>48.950233459472599</v>
      </c>
      <c r="G30" s="22">
        <f>IF(ISERROR(VLOOKUP($D30,SITES!$A:$E,4,FALSE)),"",VLOOKUP($D30,SITES!$A:$E,4,FALSE))</f>
        <v>-125.155548095703</v>
      </c>
      <c r="H30" s="23">
        <f t="shared" ref="H30:N30" si="57">IF(ISERROR(H29),IF(ISERROR(H28),IF(ISERROR(H27),"BLANK",H27),H28),H29)</f>
        <v>45404</v>
      </c>
      <c r="I30" s="20">
        <f t="shared" si="57"/>
        <v>1.5</v>
      </c>
      <c r="J30" s="20" t="str">
        <f t="shared" si="57"/>
        <v>SW</v>
      </c>
      <c r="K30" s="27">
        <f t="shared" si="57"/>
        <v>0.53125</v>
      </c>
      <c r="L30" s="20">
        <f t="shared" si="57"/>
        <v>11</v>
      </c>
      <c r="M30" s="20">
        <f t="shared" si="57"/>
        <v>2</v>
      </c>
      <c r="N30" s="20">
        <f t="shared" si="57"/>
        <v>2</v>
      </c>
      <c r="O30" s="20">
        <v>24</v>
      </c>
      <c r="P30" s="20" t="s">
        <v>41</v>
      </c>
      <c r="Q30" s="21" t="str">
        <f>IF($M30=1,IF(ISERROR(VLOOKUP($P30,'M1'!$A:$C,Q$2,FALSE)),"NOT PRESENT",VLOOKUP($P30,'M1'!$A:$C,Q$2,FALSE)),IF($M30=2,IF(ISERROR(VLOOKUP(DATA!$P30,'M2'!$A:$C,Q$2,FALSE)),"NOT PRESENT",VLOOKUP(DATA!$P30,'M2'!$A:$C,Q$2,FALSE)),IF($M30=0,IF(ISERROR(VLOOKUP($P30,'M1'!$A:$C,Q$2,FALSE)),IF(ISERROR(VLOOKUP(DATA!$P30,'M2'!$A:$C,Q$2,FALSE)),"NOT PRESENT",VLOOKUP(DATA!$P30,'M2'!$A:$C,Q$2,FALSE)),VLOOKUP($P30,'M1'!$A:$C,Q$2,FALSE)),"SPECIFY METHOD")))</f>
        <v>Mesocentrotus franciscanus</v>
      </c>
      <c r="R30" s="21" t="str">
        <f>IF($M30=1,IF(ISERROR(VLOOKUP($P30,'M1'!$A:$C,R$2,FALSE)),"NOT PRESENT",VLOOKUP($P30,'M1'!$A:$C,R$2,FALSE)),IF($M30=2,IF(ISERROR(VLOOKUP(DATA!$P30,'M2'!$A:$C,R$2,FALSE)),"NOT PRESENT",VLOOKUP(DATA!$P30,'M2'!$A:$C,R$2,FALSE)),IF($M30=0,IF(ISERROR(VLOOKUP($P30,'M1'!$A:$C,R$2,FALSE)),IF(ISERROR(VLOOKUP(DATA!$P30,'M2'!$A:$C,R$2,FALSE)),"NOT PRESENT",VLOOKUP(DATA!$P30,'M2'!$A:$C,R$2,FALSE)),VLOOKUP($P30,'M1'!$A:$C,R$2,FALSE)),"SPECIFY METHOD")))</f>
        <v>Red sea urchin</v>
      </c>
      <c r="S30" s="28">
        <f t="shared" si="3"/>
        <v>8</v>
      </c>
      <c r="T30" s="20">
        <v>0</v>
      </c>
      <c r="U30" s="20">
        <v>1</v>
      </c>
      <c r="V30" s="20">
        <v>3</v>
      </c>
      <c r="W30" s="20">
        <v>3</v>
      </c>
      <c r="X30" s="20">
        <v>1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</row>
    <row r="31" spans="1:68" ht="12.75" customHeight="1">
      <c r="A31" s="21">
        <f t="shared" si="2"/>
        <v>29</v>
      </c>
      <c r="B31" s="20" t="str">
        <f t="shared" ref="B31:D31" si="58">IF(ISERROR(B30),IF(ISERROR(B29),IF(ISERROR(B28),"BLANK",B28),B29),B30)</f>
        <v>Em Lim</v>
      </c>
      <c r="C31" s="20" t="str">
        <f t="shared" si="58"/>
        <v>Isabelle Cote</v>
      </c>
      <c r="D31" s="20" t="str">
        <f t="shared" si="58"/>
        <v>BMSC6</v>
      </c>
      <c r="E31" s="21" t="str">
        <f>IF(ISERROR(VLOOKUP($D31,SITES!$A:$E,2,FALSE)),"",VLOOKUP($D31,SITES!$A:$E,2,FALSE))</f>
        <v>Baeria Rocks South Island</v>
      </c>
      <c r="F31" s="19">
        <f>IF(ISERROR(VLOOKUP($D31,SITES!$A:$E,3,FALSE)),"",VLOOKUP($D31,SITES!$A:$E,3,FALSE))</f>
        <v>48.950233459472599</v>
      </c>
      <c r="G31" s="22">
        <f>IF(ISERROR(VLOOKUP($D31,SITES!$A:$E,4,FALSE)),"",VLOOKUP($D31,SITES!$A:$E,4,FALSE))</f>
        <v>-125.155548095703</v>
      </c>
      <c r="H31" s="23">
        <f t="shared" ref="H31:N31" si="59">IF(ISERROR(H30),IF(ISERROR(H29),IF(ISERROR(H28),"BLANK",H28),H29),H30)</f>
        <v>45404</v>
      </c>
      <c r="I31" s="20">
        <f t="shared" si="59"/>
        <v>1.5</v>
      </c>
      <c r="J31" s="20" t="str">
        <f t="shared" si="59"/>
        <v>SW</v>
      </c>
      <c r="K31" s="27">
        <f t="shared" si="59"/>
        <v>0.53125</v>
      </c>
      <c r="L31" s="20">
        <f t="shared" si="59"/>
        <v>11</v>
      </c>
      <c r="M31" s="20">
        <f t="shared" si="59"/>
        <v>2</v>
      </c>
      <c r="N31" s="20">
        <f t="shared" si="59"/>
        <v>2</v>
      </c>
      <c r="O31" s="20">
        <v>24</v>
      </c>
      <c r="P31" s="20" t="s">
        <v>40</v>
      </c>
      <c r="Q31" s="21" t="str">
        <f>IF($M31=1,IF(ISERROR(VLOOKUP($P31,'M1'!$A:$C,Q$2,FALSE)),"NOT PRESENT",VLOOKUP($P31,'M1'!$A:$C,Q$2,FALSE)),IF($M31=2,IF(ISERROR(VLOOKUP(DATA!$P31,'M2'!$A:$C,Q$2,FALSE)),"NOT PRESENT",VLOOKUP(DATA!$P31,'M2'!$A:$C,Q$2,FALSE)),IF($M31=0,IF(ISERROR(VLOOKUP($P31,'M1'!$A:$C,Q$2,FALSE)),IF(ISERROR(VLOOKUP(DATA!$P31,'M2'!$A:$C,Q$2,FALSE)),"NOT PRESENT",VLOOKUP(DATA!$P31,'M2'!$A:$C,Q$2,FALSE)),VLOOKUP($P31,'M1'!$A:$C,Q$2,FALSE)),"SPECIFY METHOD")))</f>
        <v>Patiria miniata</v>
      </c>
      <c r="R31" s="21" t="str">
        <f>IF($M31=1,IF(ISERROR(VLOOKUP($P31,'M1'!$A:$C,R$2,FALSE)),"NOT PRESENT",VLOOKUP($P31,'M1'!$A:$C,R$2,FALSE)),IF($M31=2,IF(ISERROR(VLOOKUP(DATA!$P31,'M2'!$A:$C,R$2,FALSE)),"NOT PRESENT",VLOOKUP(DATA!$P31,'M2'!$A:$C,R$2,FALSE)),IF($M31=0,IF(ISERROR(VLOOKUP($P31,'M1'!$A:$C,R$2,FALSE)),IF(ISERROR(VLOOKUP(DATA!$P31,'M2'!$A:$C,R$2,FALSE)),"NOT PRESENT",VLOOKUP(DATA!$P31,'M2'!$A:$C,R$2,FALSE)),VLOOKUP($P31,'M1'!$A:$C,R$2,FALSE)),"SPECIFY METHOD")))</f>
        <v>Bat star</v>
      </c>
      <c r="S31" s="28">
        <f t="shared" si="3"/>
        <v>3</v>
      </c>
      <c r="T31" s="20">
        <v>0</v>
      </c>
      <c r="U31" s="20"/>
      <c r="V31" s="20"/>
      <c r="W31" s="20">
        <v>2</v>
      </c>
      <c r="X31" s="20">
        <v>1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</row>
    <row r="32" spans="1:68" ht="12.75" customHeight="1">
      <c r="A32" s="21">
        <f t="shared" si="2"/>
        <v>30</v>
      </c>
      <c r="B32" s="20" t="str">
        <f t="shared" ref="B32:D32" si="60">IF(ISERROR(B31),IF(ISERROR(B30),IF(ISERROR(B29),"BLANK",B29),B30),B31)</f>
        <v>Em Lim</v>
      </c>
      <c r="C32" s="20" t="str">
        <f t="shared" si="60"/>
        <v>Isabelle Cote</v>
      </c>
      <c r="D32" s="20" t="str">
        <f t="shared" si="60"/>
        <v>BMSC6</v>
      </c>
      <c r="E32" s="21" t="str">
        <f>IF(ISERROR(VLOOKUP($D32,SITES!$A:$E,2,FALSE)),"",VLOOKUP($D32,SITES!$A:$E,2,FALSE))</f>
        <v>Baeria Rocks South Island</v>
      </c>
      <c r="F32" s="19">
        <f>IF(ISERROR(VLOOKUP($D32,SITES!$A:$E,3,FALSE)),"",VLOOKUP($D32,SITES!$A:$E,3,FALSE))</f>
        <v>48.950233459472599</v>
      </c>
      <c r="G32" s="22">
        <f>IF(ISERROR(VLOOKUP($D32,SITES!$A:$E,4,FALSE)),"",VLOOKUP($D32,SITES!$A:$E,4,FALSE))</f>
        <v>-125.155548095703</v>
      </c>
      <c r="H32" s="23">
        <f t="shared" ref="H32:N32" si="61">IF(ISERROR(H31),IF(ISERROR(H30),IF(ISERROR(H29),"BLANK",H29),H30),H31)</f>
        <v>45404</v>
      </c>
      <c r="I32" s="20">
        <f t="shared" si="61"/>
        <v>1.5</v>
      </c>
      <c r="J32" s="20" t="str">
        <f t="shared" si="61"/>
        <v>SW</v>
      </c>
      <c r="K32" s="27">
        <f t="shared" si="61"/>
        <v>0.53125</v>
      </c>
      <c r="L32" s="20">
        <f t="shared" si="61"/>
        <v>11</v>
      </c>
      <c r="M32" s="20">
        <f t="shared" si="61"/>
        <v>2</v>
      </c>
      <c r="N32" s="20">
        <f t="shared" si="61"/>
        <v>2</v>
      </c>
      <c r="O32" s="20">
        <v>8</v>
      </c>
      <c r="P32" s="20" t="s">
        <v>41</v>
      </c>
      <c r="Q32" s="21" t="str">
        <f>IF($M32=1,IF(ISERROR(VLOOKUP($P32,'M1'!$A:$C,Q$2,FALSE)),"NOT PRESENT",VLOOKUP($P32,'M1'!$A:$C,Q$2,FALSE)),IF($M32=2,IF(ISERROR(VLOOKUP(DATA!$P32,'M2'!$A:$C,Q$2,FALSE)),"NOT PRESENT",VLOOKUP(DATA!$P32,'M2'!$A:$C,Q$2,FALSE)),IF($M32=0,IF(ISERROR(VLOOKUP($P32,'M1'!$A:$C,Q$2,FALSE)),IF(ISERROR(VLOOKUP(DATA!$P32,'M2'!$A:$C,Q$2,FALSE)),"NOT PRESENT",VLOOKUP(DATA!$P32,'M2'!$A:$C,Q$2,FALSE)),VLOOKUP($P32,'M1'!$A:$C,Q$2,FALSE)),"SPECIFY METHOD")))</f>
        <v>Mesocentrotus franciscanus</v>
      </c>
      <c r="R32" s="21" t="str">
        <f>IF($M32=1,IF(ISERROR(VLOOKUP($P32,'M1'!$A:$C,R$2,FALSE)),"NOT PRESENT",VLOOKUP($P32,'M1'!$A:$C,R$2,FALSE)),IF($M32=2,IF(ISERROR(VLOOKUP(DATA!$P32,'M2'!$A:$C,R$2,FALSE)),"NOT PRESENT",VLOOKUP(DATA!$P32,'M2'!$A:$C,R$2,FALSE)),IF($M32=0,IF(ISERROR(VLOOKUP($P32,'M1'!$A:$C,R$2,FALSE)),IF(ISERROR(VLOOKUP(DATA!$P32,'M2'!$A:$C,R$2,FALSE)),"NOT PRESENT",VLOOKUP(DATA!$P32,'M2'!$A:$C,R$2,FALSE)),VLOOKUP($P32,'M1'!$A:$C,R$2,FALSE)),"SPECIFY METHOD")))</f>
        <v>Red sea urchin</v>
      </c>
      <c r="S32" s="28">
        <f t="shared" si="3"/>
        <v>4</v>
      </c>
      <c r="T32" s="20">
        <v>0</v>
      </c>
      <c r="U32" s="20">
        <v>1</v>
      </c>
      <c r="V32" s="20">
        <v>2</v>
      </c>
      <c r="W32" s="20">
        <v>1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</row>
    <row r="33" spans="1:68" ht="12.75" customHeight="1">
      <c r="A33" s="21">
        <f t="shared" si="2"/>
        <v>31</v>
      </c>
      <c r="B33" s="20" t="str">
        <f t="shared" ref="B33:D33" si="62">IF(ISERROR(B32),IF(ISERROR(B31),IF(ISERROR(B30),"BLANK",B30),B31),B32)</f>
        <v>Em Lim</v>
      </c>
      <c r="C33" s="20" t="str">
        <f t="shared" si="62"/>
        <v>Isabelle Cote</v>
      </c>
      <c r="D33" s="20" t="str">
        <f t="shared" si="62"/>
        <v>BMSC6</v>
      </c>
      <c r="E33" s="21" t="str">
        <f>IF(ISERROR(VLOOKUP($D33,SITES!$A:$E,2,FALSE)),"",VLOOKUP($D33,SITES!$A:$E,2,FALSE))</f>
        <v>Baeria Rocks South Island</v>
      </c>
      <c r="F33" s="19">
        <f>IF(ISERROR(VLOOKUP($D33,SITES!$A:$E,3,FALSE)),"",VLOOKUP($D33,SITES!$A:$E,3,FALSE))</f>
        <v>48.950233459472599</v>
      </c>
      <c r="G33" s="22">
        <f>IF(ISERROR(VLOOKUP($D33,SITES!$A:$E,4,FALSE)),"",VLOOKUP($D33,SITES!$A:$E,4,FALSE))</f>
        <v>-125.155548095703</v>
      </c>
      <c r="H33" s="23">
        <f t="shared" ref="H33:N33" si="63">IF(ISERROR(H32),IF(ISERROR(H31),IF(ISERROR(H30),"BLANK",H30),H31),H32)</f>
        <v>45404</v>
      </c>
      <c r="I33" s="20">
        <f t="shared" si="63"/>
        <v>1.5</v>
      </c>
      <c r="J33" s="20" t="str">
        <f t="shared" si="63"/>
        <v>SW</v>
      </c>
      <c r="K33" s="27">
        <f t="shared" si="63"/>
        <v>0.53125</v>
      </c>
      <c r="L33" s="20">
        <f t="shared" si="63"/>
        <v>11</v>
      </c>
      <c r="M33" s="20">
        <f t="shared" si="63"/>
        <v>2</v>
      </c>
      <c r="N33" s="20">
        <f t="shared" si="63"/>
        <v>2</v>
      </c>
      <c r="O33" s="20">
        <v>8</v>
      </c>
      <c r="P33" s="20" t="s">
        <v>40</v>
      </c>
      <c r="Q33" s="21" t="str">
        <f>IF($M33=1,IF(ISERROR(VLOOKUP($P33,'M1'!$A:$C,Q$2,FALSE)),"NOT PRESENT",VLOOKUP($P33,'M1'!$A:$C,Q$2,FALSE)),IF($M33=2,IF(ISERROR(VLOOKUP(DATA!$P33,'M2'!$A:$C,Q$2,FALSE)),"NOT PRESENT",VLOOKUP(DATA!$P33,'M2'!$A:$C,Q$2,FALSE)),IF($M33=0,IF(ISERROR(VLOOKUP($P33,'M1'!$A:$C,Q$2,FALSE)),IF(ISERROR(VLOOKUP(DATA!$P33,'M2'!$A:$C,Q$2,FALSE)),"NOT PRESENT",VLOOKUP(DATA!$P33,'M2'!$A:$C,Q$2,FALSE)),VLOOKUP($P33,'M1'!$A:$C,Q$2,FALSE)),"SPECIFY METHOD")))</f>
        <v>Patiria miniata</v>
      </c>
      <c r="R33" s="21" t="str">
        <f>IF($M33=1,IF(ISERROR(VLOOKUP($P33,'M1'!$A:$C,R$2,FALSE)),"NOT PRESENT",VLOOKUP($P33,'M1'!$A:$C,R$2,FALSE)),IF($M33=2,IF(ISERROR(VLOOKUP(DATA!$P33,'M2'!$A:$C,R$2,FALSE)),"NOT PRESENT",VLOOKUP(DATA!$P33,'M2'!$A:$C,R$2,FALSE)),IF($M33=0,IF(ISERROR(VLOOKUP($P33,'M1'!$A:$C,R$2,FALSE)),IF(ISERROR(VLOOKUP(DATA!$P33,'M2'!$A:$C,R$2,FALSE)),"NOT PRESENT",VLOOKUP(DATA!$P33,'M2'!$A:$C,R$2,FALSE)),VLOOKUP($P33,'M1'!$A:$C,R$2,FALSE)),"SPECIFY METHOD")))</f>
        <v>Bat star</v>
      </c>
      <c r="S33" s="28">
        <f t="shared" si="3"/>
        <v>1</v>
      </c>
      <c r="T33" s="20">
        <v>0</v>
      </c>
      <c r="U33" s="20"/>
      <c r="V33" s="20">
        <v>1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</row>
    <row r="34" spans="1:68" ht="12.75" customHeight="1">
      <c r="A34" s="21">
        <f t="shared" si="2"/>
        <v>32</v>
      </c>
      <c r="B34" s="20" t="str">
        <f t="shared" ref="B34:D34" si="64">IF(ISERROR(B33),IF(ISERROR(B32),IF(ISERROR(B31),"BLANK",B31),B32),B33)</f>
        <v>Em Lim</v>
      </c>
      <c r="C34" s="20" t="str">
        <f t="shared" si="64"/>
        <v>Isabelle Cote</v>
      </c>
      <c r="D34" s="20" t="str">
        <f t="shared" si="64"/>
        <v>BMSC6</v>
      </c>
      <c r="E34" s="21" t="str">
        <f>IF(ISERROR(VLOOKUP($D34,SITES!$A:$E,2,FALSE)),"",VLOOKUP($D34,SITES!$A:$E,2,FALSE))</f>
        <v>Baeria Rocks South Island</v>
      </c>
      <c r="F34" s="19">
        <f>IF(ISERROR(VLOOKUP($D34,SITES!$A:$E,3,FALSE)),"",VLOOKUP($D34,SITES!$A:$E,3,FALSE))</f>
        <v>48.950233459472599</v>
      </c>
      <c r="G34" s="22">
        <f>IF(ISERROR(VLOOKUP($D34,SITES!$A:$E,4,FALSE)),"",VLOOKUP($D34,SITES!$A:$E,4,FALSE))</f>
        <v>-125.155548095703</v>
      </c>
      <c r="H34" s="23">
        <f t="shared" ref="H34:M34" si="65">IF(ISERROR(H33),IF(ISERROR(H32),IF(ISERROR(H31),"BLANK",H31),H32),H33)</f>
        <v>45404</v>
      </c>
      <c r="I34" s="20">
        <f t="shared" si="65"/>
        <v>1.5</v>
      </c>
      <c r="J34" s="20" t="str">
        <f t="shared" si="65"/>
        <v>SW</v>
      </c>
      <c r="K34" s="27">
        <f t="shared" si="65"/>
        <v>0.53125</v>
      </c>
      <c r="L34" s="20">
        <f t="shared" si="65"/>
        <v>11</v>
      </c>
      <c r="M34" s="20">
        <f t="shared" si="65"/>
        <v>2</v>
      </c>
      <c r="N34" s="20">
        <v>1</v>
      </c>
      <c r="O34" s="20">
        <v>0</v>
      </c>
      <c r="P34" s="20" t="s">
        <v>41</v>
      </c>
      <c r="Q34" s="21" t="str">
        <f>IF($M34=1,IF(ISERROR(VLOOKUP($P34,'M1'!$A:$C,Q$2,FALSE)),"NOT PRESENT",VLOOKUP($P34,'M1'!$A:$C,Q$2,FALSE)),IF($M34=2,IF(ISERROR(VLOOKUP(DATA!$P34,'M2'!$A:$C,Q$2,FALSE)),"NOT PRESENT",VLOOKUP(DATA!$P34,'M2'!$A:$C,Q$2,FALSE)),IF($M34=0,IF(ISERROR(VLOOKUP($P34,'M1'!$A:$C,Q$2,FALSE)),IF(ISERROR(VLOOKUP(DATA!$P34,'M2'!$A:$C,Q$2,FALSE)),"NOT PRESENT",VLOOKUP(DATA!$P34,'M2'!$A:$C,Q$2,FALSE)),VLOOKUP($P34,'M1'!$A:$C,Q$2,FALSE)),"SPECIFY METHOD")))</f>
        <v>Mesocentrotus franciscanus</v>
      </c>
      <c r="R34" s="21" t="str">
        <f>IF($M34=1,IF(ISERROR(VLOOKUP($P34,'M1'!$A:$C,R$2,FALSE)),"NOT PRESENT",VLOOKUP($P34,'M1'!$A:$C,R$2,FALSE)),IF($M34=2,IF(ISERROR(VLOOKUP(DATA!$P34,'M2'!$A:$C,R$2,FALSE)),"NOT PRESENT",VLOOKUP(DATA!$P34,'M2'!$A:$C,R$2,FALSE)),IF($M34=0,IF(ISERROR(VLOOKUP($P34,'M1'!$A:$C,R$2,FALSE)),IF(ISERROR(VLOOKUP(DATA!$P34,'M2'!$A:$C,R$2,FALSE)),"NOT PRESENT",VLOOKUP(DATA!$P34,'M2'!$A:$C,R$2,FALSE)),VLOOKUP($P34,'M1'!$A:$C,R$2,FALSE)),"SPECIFY METHOD")))</f>
        <v>Red sea urchin</v>
      </c>
      <c r="S34" s="28">
        <f t="shared" si="3"/>
        <v>8</v>
      </c>
      <c r="T34" s="20">
        <v>0</v>
      </c>
      <c r="U34" s="20">
        <v>2</v>
      </c>
      <c r="V34" s="20">
        <v>3</v>
      </c>
      <c r="W34" s="20">
        <v>2</v>
      </c>
      <c r="X34" s="20">
        <v>1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</row>
    <row r="35" spans="1:68" ht="12.75" customHeight="1">
      <c r="A35" s="21">
        <f t="shared" si="2"/>
        <v>33</v>
      </c>
      <c r="B35" s="20" t="str">
        <f t="shared" ref="B35:D35" si="66">IF(ISERROR(B34),IF(ISERROR(B33),IF(ISERROR(B32),"BLANK",B32),B33),B34)</f>
        <v>Em Lim</v>
      </c>
      <c r="C35" s="20" t="str">
        <f t="shared" si="66"/>
        <v>Isabelle Cote</v>
      </c>
      <c r="D35" s="20" t="str">
        <f t="shared" si="66"/>
        <v>BMSC6</v>
      </c>
      <c r="E35" s="21" t="str">
        <f>IF(ISERROR(VLOOKUP($D35,SITES!$A:$E,2,FALSE)),"",VLOOKUP($D35,SITES!$A:$E,2,FALSE))</f>
        <v>Baeria Rocks South Island</v>
      </c>
      <c r="F35" s="19">
        <f>IF(ISERROR(VLOOKUP($D35,SITES!$A:$E,3,FALSE)),"",VLOOKUP($D35,SITES!$A:$E,3,FALSE))</f>
        <v>48.950233459472599</v>
      </c>
      <c r="G35" s="22">
        <f>IF(ISERROR(VLOOKUP($D35,SITES!$A:$E,4,FALSE)),"",VLOOKUP($D35,SITES!$A:$E,4,FALSE))</f>
        <v>-125.155548095703</v>
      </c>
      <c r="H35" s="23">
        <f t="shared" ref="H35:N35" si="67">IF(ISERROR(H34),IF(ISERROR(H33),IF(ISERROR(H32),"BLANK",H32),H33),H34)</f>
        <v>45404</v>
      </c>
      <c r="I35" s="20">
        <f t="shared" si="67"/>
        <v>1.5</v>
      </c>
      <c r="J35" s="20" t="str">
        <f t="shared" si="67"/>
        <v>SW</v>
      </c>
      <c r="K35" s="27">
        <f t="shared" si="67"/>
        <v>0.53125</v>
      </c>
      <c r="L35" s="20">
        <f t="shared" si="67"/>
        <v>11</v>
      </c>
      <c r="M35" s="20">
        <f t="shared" si="67"/>
        <v>2</v>
      </c>
      <c r="N35" s="20">
        <f t="shared" si="67"/>
        <v>1</v>
      </c>
      <c r="O35" s="20">
        <v>0</v>
      </c>
      <c r="P35" s="20" t="s">
        <v>40</v>
      </c>
      <c r="Q35" s="21" t="str">
        <f>IF($M35=1,IF(ISERROR(VLOOKUP($P35,'M1'!$A:$C,Q$2,FALSE)),"NOT PRESENT",VLOOKUP($P35,'M1'!$A:$C,Q$2,FALSE)),IF($M35=2,IF(ISERROR(VLOOKUP(DATA!$P35,'M2'!$A:$C,Q$2,FALSE)),"NOT PRESENT",VLOOKUP(DATA!$P35,'M2'!$A:$C,Q$2,FALSE)),IF($M35=0,IF(ISERROR(VLOOKUP($P35,'M1'!$A:$C,Q$2,FALSE)),IF(ISERROR(VLOOKUP(DATA!$P35,'M2'!$A:$C,Q$2,FALSE)),"NOT PRESENT",VLOOKUP(DATA!$P35,'M2'!$A:$C,Q$2,FALSE)),VLOOKUP($P35,'M1'!$A:$C,Q$2,FALSE)),"SPECIFY METHOD")))</f>
        <v>Patiria miniata</v>
      </c>
      <c r="R35" s="21" t="str">
        <f>IF($M35=1,IF(ISERROR(VLOOKUP($P35,'M1'!$A:$C,R$2,FALSE)),"NOT PRESENT",VLOOKUP($P35,'M1'!$A:$C,R$2,FALSE)),IF($M35=2,IF(ISERROR(VLOOKUP(DATA!$P35,'M2'!$A:$C,R$2,FALSE)),"NOT PRESENT",VLOOKUP(DATA!$P35,'M2'!$A:$C,R$2,FALSE)),IF($M35=0,IF(ISERROR(VLOOKUP($P35,'M1'!$A:$C,R$2,FALSE)),IF(ISERROR(VLOOKUP(DATA!$P35,'M2'!$A:$C,R$2,FALSE)),"NOT PRESENT",VLOOKUP(DATA!$P35,'M2'!$A:$C,R$2,FALSE)),VLOOKUP($P35,'M1'!$A:$C,R$2,FALSE)),"SPECIFY METHOD")))</f>
        <v>Bat star</v>
      </c>
      <c r="S35" s="28">
        <f t="shared" si="3"/>
        <v>1</v>
      </c>
      <c r="T35" s="20">
        <v>0</v>
      </c>
      <c r="U35" s="20"/>
      <c r="V35" s="20">
        <v>1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</row>
    <row r="36" spans="1:68" ht="12.75" customHeight="1">
      <c r="A36" s="21">
        <f t="shared" si="2"/>
        <v>34</v>
      </c>
      <c r="B36" s="20" t="s">
        <v>36</v>
      </c>
      <c r="C36" s="20" t="s">
        <v>35</v>
      </c>
      <c r="D36" s="20" t="s">
        <v>26</v>
      </c>
      <c r="E36" s="21" t="str">
        <f>IF(ISERROR(VLOOKUP($D36,SITES!$A:$E,2,FALSE)),"",VLOOKUP($D36,SITES!$A:$E,2,FALSE))</f>
        <v>Baeria Rocks North Island Northside</v>
      </c>
      <c r="F36" s="19">
        <f>IF(ISERROR(VLOOKUP($D36,SITES!$A:$E,3,FALSE)),"",VLOOKUP($D36,SITES!$A:$E,3,FALSE))</f>
        <v>48.955081939697202</v>
      </c>
      <c r="G36" s="22">
        <f>IF(ISERROR(VLOOKUP($D36,SITES!$A:$E,4,FALSE)),"",VLOOKUP($D36,SITES!$A:$E,4,FALSE))</f>
        <v>-125.15337371826099</v>
      </c>
      <c r="H36" s="23">
        <f t="shared" ref="H36:H44" si="68">IF(ISERROR(H35),IF(ISERROR(H34),IF(ISERROR(H33),"BLANK",H33),H34),H35)</f>
        <v>45404</v>
      </c>
      <c r="I36" s="20">
        <v>1.5</v>
      </c>
      <c r="J36" s="20" t="s">
        <v>37</v>
      </c>
      <c r="K36" s="27">
        <v>0.42499999999999999</v>
      </c>
      <c r="L36" s="20">
        <v>8.5</v>
      </c>
      <c r="M36" s="20">
        <v>2</v>
      </c>
      <c r="N36" s="20">
        <v>1</v>
      </c>
      <c r="O36" s="20">
        <v>48</v>
      </c>
      <c r="P36" s="20" t="s">
        <v>41</v>
      </c>
      <c r="Q36" s="21" t="str">
        <f>IF($M36=1,IF(ISERROR(VLOOKUP($P36,'M1'!$A:$C,Q$2,FALSE)),"NOT PRESENT",VLOOKUP($P36,'M1'!$A:$C,Q$2,FALSE)),IF($M36=2,IF(ISERROR(VLOOKUP(DATA!$P36,'M2'!$A:$C,Q$2,FALSE)),"NOT PRESENT",VLOOKUP(DATA!$P36,'M2'!$A:$C,Q$2,FALSE)),IF($M36=0,IF(ISERROR(VLOOKUP($P36,'M1'!$A:$C,Q$2,FALSE)),IF(ISERROR(VLOOKUP(DATA!$P36,'M2'!$A:$C,Q$2,FALSE)),"NOT PRESENT",VLOOKUP(DATA!$P36,'M2'!$A:$C,Q$2,FALSE)),VLOOKUP($P36,'M1'!$A:$C,Q$2,FALSE)),"SPECIFY METHOD")))</f>
        <v>Mesocentrotus franciscanus</v>
      </c>
      <c r="R36" s="21" t="str">
        <f>IF($M36=1,IF(ISERROR(VLOOKUP($P36,'M1'!$A:$C,R$2,FALSE)),"NOT PRESENT",VLOOKUP($P36,'M1'!$A:$C,R$2,FALSE)),IF($M36=2,IF(ISERROR(VLOOKUP(DATA!$P36,'M2'!$A:$C,R$2,FALSE)),"NOT PRESENT",VLOOKUP(DATA!$P36,'M2'!$A:$C,R$2,FALSE)),IF($M36=0,IF(ISERROR(VLOOKUP($P36,'M1'!$A:$C,R$2,FALSE)),IF(ISERROR(VLOOKUP(DATA!$P36,'M2'!$A:$C,R$2,FALSE)),"NOT PRESENT",VLOOKUP(DATA!$P36,'M2'!$A:$C,R$2,FALSE)),VLOOKUP($P36,'M1'!$A:$C,R$2,FALSE)),"SPECIFY METHOD")))</f>
        <v>Red sea urchin</v>
      </c>
      <c r="S36" s="28">
        <f t="shared" si="3"/>
        <v>7</v>
      </c>
      <c r="T36" s="20">
        <v>0</v>
      </c>
      <c r="U36" s="20"/>
      <c r="V36" s="20">
        <v>1</v>
      </c>
      <c r="W36" s="20">
        <v>6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</row>
    <row r="37" spans="1:68" ht="12.75" customHeight="1">
      <c r="A37" s="21">
        <f t="shared" si="2"/>
        <v>35</v>
      </c>
      <c r="B37" s="20" t="str">
        <f t="shared" ref="B37:D37" si="69">IF(ISERROR(B36),IF(ISERROR(B35),IF(ISERROR(B34),"BLANK",B34),B35),B36)</f>
        <v>Isabelle Cote</v>
      </c>
      <c r="C37" s="20" t="str">
        <f t="shared" si="69"/>
        <v>Em Lim</v>
      </c>
      <c r="D37" s="20" t="str">
        <f t="shared" si="69"/>
        <v>BMSC8</v>
      </c>
      <c r="E37" s="21" t="str">
        <f>IF(ISERROR(VLOOKUP($D37,SITES!$A:$E,2,FALSE)),"",VLOOKUP($D37,SITES!$A:$E,2,FALSE))</f>
        <v>Baeria Rocks North Island Northside</v>
      </c>
      <c r="F37" s="19">
        <f>IF(ISERROR(VLOOKUP($D37,SITES!$A:$E,3,FALSE)),"",VLOOKUP($D37,SITES!$A:$E,3,FALSE))</f>
        <v>48.955081939697202</v>
      </c>
      <c r="G37" s="22">
        <f>IF(ISERROR(VLOOKUP($D37,SITES!$A:$E,4,FALSE)),"",VLOOKUP($D37,SITES!$A:$E,4,FALSE))</f>
        <v>-125.15337371826099</v>
      </c>
      <c r="H37" s="23">
        <f t="shared" si="68"/>
        <v>45404</v>
      </c>
      <c r="I37" s="20">
        <f t="shared" ref="I37:N37" si="70">IF(ISERROR(I36),IF(ISERROR(I35),IF(ISERROR(I34),"BLANK",I34),I35),I36)</f>
        <v>1.5</v>
      </c>
      <c r="J37" s="20" t="str">
        <f t="shared" si="70"/>
        <v>SE</v>
      </c>
      <c r="K37" s="27">
        <f t="shared" si="70"/>
        <v>0.42499999999999999</v>
      </c>
      <c r="L37" s="20">
        <f t="shared" si="70"/>
        <v>8.5</v>
      </c>
      <c r="M37" s="20">
        <f t="shared" si="70"/>
        <v>2</v>
      </c>
      <c r="N37" s="20">
        <f t="shared" si="70"/>
        <v>1</v>
      </c>
      <c r="O37" s="20">
        <v>32</v>
      </c>
      <c r="P37" s="20" t="str">
        <f>IF(ISERROR(P36),IF(ISERROR(P35),IF(ISERROR(P34),"BLANK",P34),P35),P36)</f>
        <v>mfra</v>
      </c>
      <c r="Q37" s="21" t="str">
        <f>IF($M37=1,IF(ISERROR(VLOOKUP($P37,'M1'!$A:$C,Q$2,FALSE)),"NOT PRESENT",VLOOKUP($P37,'M1'!$A:$C,Q$2,FALSE)),IF($M37=2,IF(ISERROR(VLOOKUP(DATA!$P37,'M2'!$A:$C,Q$2,FALSE)),"NOT PRESENT",VLOOKUP(DATA!$P37,'M2'!$A:$C,Q$2,FALSE)),IF($M37=0,IF(ISERROR(VLOOKUP($P37,'M1'!$A:$C,Q$2,FALSE)),IF(ISERROR(VLOOKUP(DATA!$P37,'M2'!$A:$C,Q$2,FALSE)),"NOT PRESENT",VLOOKUP(DATA!$P37,'M2'!$A:$C,Q$2,FALSE)),VLOOKUP($P37,'M1'!$A:$C,Q$2,FALSE)),"SPECIFY METHOD")))</f>
        <v>Mesocentrotus franciscanus</v>
      </c>
      <c r="R37" s="21" t="str">
        <f>IF($M37=1,IF(ISERROR(VLOOKUP($P37,'M1'!$A:$C,R$2,FALSE)),"NOT PRESENT",VLOOKUP($P37,'M1'!$A:$C,R$2,FALSE)),IF($M37=2,IF(ISERROR(VLOOKUP(DATA!$P37,'M2'!$A:$C,R$2,FALSE)),"NOT PRESENT",VLOOKUP(DATA!$P37,'M2'!$A:$C,R$2,FALSE)),IF($M37=0,IF(ISERROR(VLOOKUP($P37,'M1'!$A:$C,R$2,FALSE)),IF(ISERROR(VLOOKUP(DATA!$P37,'M2'!$A:$C,R$2,FALSE)),"NOT PRESENT",VLOOKUP(DATA!$P37,'M2'!$A:$C,R$2,FALSE)),VLOOKUP($P37,'M1'!$A:$C,R$2,FALSE)),"SPECIFY METHOD")))</f>
        <v>Red sea urchin</v>
      </c>
      <c r="S37" s="28">
        <f t="shared" si="3"/>
        <v>10</v>
      </c>
      <c r="T37" s="20">
        <v>0</v>
      </c>
      <c r="U37" s="20"/>
      <c r="V37" s="20">
        <v>2</v>
      </c>
      <c r="W37" s="20">
        <v>7</v>
      </c>
      <c r="X37" s="20">
        <v>1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</row>
    <row r="38" spans="1:68" ht="12.75" customHeight="1">
      <c r="A38" s="21">
        <f t="shared" si="2"/>
        <v>36</v>
      </c>
      <c r="B38" s="20" t="str">
        <f t="shared" ref="B38:D38" si="71">IF(ISERROR(B37),IF(ISERROR(B36),IF(ISERROR(B35),"BLANK",B35),B36),B37)</f>
        <v>Isabelle Cote</v>
      </c>
      <c r="C38" s="20" t="str">
        <f t="shared" si="71"/>
        <v>Em Lim</v>
      </c>
      <c r="D38" s="20" t="str">
        <f t="shared" si="71"/>
        <v>BMSC8</v>
      </c>
      <c r="E38" s="21" t="str">
        <f>IF(ISERROR(VLOOKUP($D38,SITES!$A:$E,2,FALSE)),"",VLOOKUP($D38,SITES!$A:$E,2,FALSE))</f>
        <v>Baeria Rocks North Island Northside</v>
      </c>
      <c r="F38" s="19">
        <f>IF(ISERROR(VLOOKUP($D38,SITES!$A:$E,3,FALSE)),"",VLOOKUP($D38,SITES!$A:$E,3,FALSE))</f>
        <v>48.955081939697202</v>
      </c>
      <c r="G38" s="22">
        <f>IF(ISERROR(VLOOKUP($D38,SITES!$A:$E,4,FALSE)),"",VLOOKUP($D38,SITES!$A:$E,4,FALSE))</f>
        <v>-125.15337371826099</v>
      </c>
      <c r="H38" s="23">
        <f t="shared" si="68"/>
        <v>45404</v>
      </c>
      <c r="I38" s="20">
        <f t="shared" ref="I38:N38" si="72">IF(ISERROR(I37),IF(ISERROR(I36),IF(ISERROR(I35),"BLANK",I35),I36),I37)</f>
        <v>1.5</v>
      </c>
      <c r="J38" s="20" t="str">
        <f t="shared" si="72"/>
        <v>SE</v>
      </c>
      <c r="K38" s="27">
        <f t="shared" si="72"/>
        <v>0.42499999999999999</v>
      </c>
      <c r="L38" s="20">
        <f t="shared" si="72"/>
        <v>8.5</v>
      </c>
      <c r="M38" s="20">
        <f t="shared" si="72"/>
        <v>2</v>
      </c>
      <c r="N38" s="20">
        <f t="shared" si="72"/>
        <v>1</v>
      </c>
      <c r="O38" s="20">
        <v>32</v>
      </c>
      <c r="P38" s="20" t="s">
        <v>38</v>
      </c>
      <c r="Q38" s="21" t="str">
        <f>IF($M38=1,IF(ISERROR(VLOOKUP($P38,'M1'!$A:$C,Q$2,FALSE)),"NOT PRESENT",VLOOKUP($P38,'M1'!$A:$C,Q$2,FALSE)),IF($M38=2,IF(ISERROR(VLOOKUP(DATA!$P38,'M2'!$A:$C,Q$2,FALSE)),"NOT PRESENT",VLOOKUP(DATA!$P38,'M2'!$A:$C,Q$2,FALSE)),IF($M38=0,IF(ISERROR(VLOOKUP($P38,'M1'!$A:$C,Q$2,FALSE)),IF(ISERROR(VLOOKUP(DATA!$P38,'M2'!$A:$C,Q$2,FALSE)),"NOT PRESENT",VLOOKUP(DATA!$P38,'M2'!$A:$C,Q$2,FALSE)),VLOOKUP($P38,'M1'!$A:$C,Q$2,FALSE)),"SPECIFY METHOD")))</f>
        <v>Pisaster ochraceus</v>
      </c>
      <c r="R38" s="21" t="str">
        <f>IF($M38=1,IF(ISERROR(VLOOKUP($P38,'M1'!$A:$C,R$2,FALSE)),"NOT PRESENT",VLOOKUP($P38,'M1'!$A:$C,R$2,FALSE)),IF($M38=2,IF(ISERROR(VLOOKUP(DATA!$P38,'M2'!$A:$C,R$2,FALSE)),"NOT PRESENT",VLOOKUP(DATA!$P38,'M2'!$A:$C,R$2,FALSE)),IF($M38=0,IF(ISERROR(VLOOKUP($P38,'M1'!$A:$C,R$2,FALSE)),IF(ISERROR(VLOOKUP(DATA!$P38,'M2'!$A:$C,R$2,FALSE)),"NOT PRESENT",VLOOKUP(DATA!$P38,'M2'!$A:$C,R$2,FALSE)),VLOOKUP($P38,'M1'!$A:$C,R$2,FALSE)),"SPECIFY METHOD")))</f>
        <v>Purple sea star</v>
      </c>
      <c r="S38" s="28">
        <f t="shared" si="3"/>
        <v>1</v>
      </c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20"/>
      <c r="AD38" s="20">
        <v>1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</row>
    <row r="39" spans="1:68" ht="12.75" customHeight="1">
      <c r="A39" s="21">
        <f t="shared" si="2"/>
        <v>37</v>
      </c>
      <c r="B39" s="20" t="str">
        <f t="shared" ref="B39:D39" si="73">IF(ISERROR(B38),IF(ISERROR(B37),IF(ISERROR(B36),"BLANK",B36),B37),B38)</f>
        <v>Isabelle Cote</v>
      </c>
      <c r="C39" s="20" t="str">
        <f t="shared" si="73"/>
        <v>Em Lim</v>
      </c>
      <c r="D39" s="20" t="str">
        <f t="shared" si="73"/>
        <v>BMSC8</v>
      </c>
      <c r="E39" s="21" t="str">
        <f>IF(ISERROR(VLOOKUP($D39,SITES!$A:$E,2,FALSE)),"",VLOOKUP($D39,SITES!$A:$E,2,FALSE))</f>
        <v>Baeria Rocks North Island Northside</v>
      </c>
      <c r="F39" s="19">
        <f>IF(ISERROR(VLOOKUP($D39,SITES!$A:$E,3,FALSE)),"",VLOOKUP($D39,SITES!$A:$E,3,FALSE))</f>
        <v>48.955081939697202</v>
      </c>
      <c r="G39" s="22">
        <f>IF(ISERROR(VLOOKUP($D39,SITES!$A:$E,4,FALSE)),"",VLOOKUP($D39,SITES!$A:$E,4,FALSE))</f>
        <v>-125.15337371826099</v>
      </c>
      <c r="H39" s="23">
        <f t="shared" si="68"/>
        <v>45404</v>
      </c>
      <c r="I39" s="20">
        <f t="shared" ref="I39:N39" si="74">IF(ISERROR(I38),IF(ISERROR(I37),IF(ISERROR(I36),"BLANK",I36),I37),I38)</f>
        <v>1.5</v>
      </c>
      <c r="J39" s="20" t="str">
        <f t="shared" si="74"/>
        <v>SE</v>
      </c>
      <c r="K39" s="27">
        <f t="shared" si="74"/>
        <v>0.42499999999999999</v>
      </c>
      <c r="L39" s="20">
        <f t="shared" si="74"/>
        <v>8.5</v>
      </c>
      <c r="M39" s="20">
        <f t="shared" si="74"/>
        <v>2</v>
      </c>
      <c r="N39" s="20">
        <f t="shared" si="74"/>
        <v>1</v>
      </c>
      <c r="O39" s="20">
        <v>32</v>
      </c>
      <c r="P39" s="20" t="s">
        <v>40</v>
      </c>
      <c r="Q39" s="21" t="str">
        <f>IF($M39=1,IF(ISERROR(VLOOKUP($P39,'M1'!$A:$C,Q$2,FALSE)),"NOT PRESENT",VLOOKUP($P39,'M1'!$A:$C,Q$2,FALSE)),IF($M39=2,IF(ISERROR(VLOOKUP(DATA!$P39,'M2'!$A:$C,Q$2,FALSE)),"NOT PRESENT",VLOOKUP(DATA!$P39,'M2'!$A:$C,Q$2,FALSE)),IF($M39=0,IF(ISERROR(VLOOKUP($P39,'M1'!$A:$C,Q$2,FALSE)),IF(ISERROR(VLOOKUP(DATA!$P39,'M2'!$A:$C,Q$2,FALSE)),"NOT PRESENT",VLOOKUP(DATA!$P39,'M2'!$A:$C,Q$2,FALSE)),VLOOKUP($P39,'M1'!$A:$C,Q$2,FALSE)),"SPECIFY METHOD")))</f>
        <v>Patiria miniata</v>
      </c>
      <c r="R39" s="21" t="str">
        <f>IF($M39=1,IF(ISERROR(VLOOKUP($P39,'M1'!$A:$C,R$2,FALSE)),"NOT PRESENT",VLOOKUP($P39,'M1'!$A:$C,R$2,FALSE)),IF($M39=2,IF(ISERROR(VLOOKUP(DATA!$P39,'M2'!$A:$C,R$2,FALSE)),"NOT PRESENT",VLOOKUP(DATA!$P39,'M2'!$A:$C,R$2,FALSE)),IF($M39=0,IF(ISERROR(VLOOKUP($P39,'M1'!$A:$C,R$2,FALSE)),IF(ISERROR(VLOOKUP(DATA!$P39,'M2'!$A:$C,R$2,FALSE)),"NOT PRESENT",VLOOKUP(DATA!$P39,'M2'!$A:$C,R$2,FALSE)),VLOOKUP($P39,'M1'!$A:$C,R$2,FALSE)),"SPECIFY METHOD")))</f>
        <v>Bat star</v>
      </c>
      <c r="S39" s="28">
        <f t="shared" si="3"/>
        <v>3</v>
      </c>
      <c r="T39" s="20">
        <v>0</v>
      </c>
      <c r="U39" s="20"/>
      <c r="V39" s="20"/>
      <c r="W39" s="20">
        <v>3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</row>
    <row r="40" spans="1:68" ht="12.75" customHeight="1">
      <c r="A40" s="21">
        <f t="shared" si="2"/>
        <v>38</v>
      </c>
      <c r="B40" s="20" t="str">
        <f t="shared" ref="B40:C40" si="75">IF(ISERROR(B39),IF(ISERROR(B38),IF(ISERROR(B37),"BLANK",B37),B38),B39)</f>
        <v>Isabelle Cote</v>
      </c>
      <c r="C40" s="20" t="str">
        <f t="shared" si="75"/>
        <v>Em Lim</v>
      </c>
      <c r="D40" s="20" t="s">
        <v>32</v>
      </c>
      <c r="E40" s="21" t="str">
        <f>IF(ISERROR(VLOOKUP($D40,SITES!$A:$E,2,FALSE)),"",VLOOKUP($D40,SITES!$A:$E,2,FALSE))</f>
        <v>Baeria Rocks South Island</v>
      </c>
      <c r="F40" s="19">
        <f>IF(ISERROR(VLOOKUP($D40,SITES!$A:$E,3,FALSE)),"",VLOOKUP($D40,SITES!$A:$E,3,FALSE))</f>
        <v>48.950233459472599</v>
      </c>
      <c r="G40" s="22">
        <f>IF(ISERROR(VLOOKUP($D40,SITES!$A:$E,4,FALSE)),"",VLOOKUP($D40,SITES!$A:$E,4,FALSE))</f>
        <v>-125.155548095703</v>
      </c>
      <c r="H40" s="23">
        <f t="shared" si="68"/>
        <v>45404</v>
      </c>
      <c r="I40" s="20">
        <f t="shared" ref="I40:I45" si="76">IF(ISERROR(I39),IF(ISERROR(I38),IF(ISERROR(I37),"BLANK",I37),I38),I39)</f>
        <v>1.5</v>
      </c>
      <c r="J40" s="20" t="s">
        <v>33</v>
      </c>
      <c r="K40" s="27">
        <v>0.53125</v>
      </c>
      <c r="L40" s="20">
        <v>11</v>
      </c>
      <c r="M40" s="20">
        <f t="shared" ref="M40:N40" si="77">IF(ISERROR(M39),IF(ISERROR(M38),IF(ISERROR(M37),"BLANK",M37),M38),M39)</f>
        <v>2</v>
      </c>
      <c r="N40" s="20">
        <f t="shared" si="77"/>
        <v>1</v>
      </c>
      <c r="O40" s="20">
        <v>48</v>
      </c>
      <c r="P40" s="20" t="s">
        <v>41</v>
      </c>
      <c r="Q40" s="21" t="str">
        <f>IF($M40=1,IF(ISERROR(VLOOKUP($P40,'M1'!$A:$C,Q$2,FALSE)),"NOT PRESENT",VLOOKUP($P40,'M1'!$A:$C,Q$2,FALSE)),IF($M40=2,IF(ISERROR(VLOOKUP(DATA!$P40,'M2'!$A:$C,Q$2,FALSE)),"NOT PRESENT",VLOOKUP(DATA!$P40,'M2'!$A:$C,Q$2,FALSE)),IF($M40=0,IF(ISERROR(VLOOKUP($P40,'M1'!$A:$C,Q$2,FALSE)),IF(ISERROR(VLOOKUP(DATA!$P40,'M2'!$A:$C,Q$2,FALSE)),"NOT PRESENT",VLOOKUP(DATA!$P40,'M2'!$A:$C,Q$2,FALSE)),VLOOKUP($P40,'M1'!$A:$C,Q$2,FALSE)),"SPECIFY METHOD")))</f>
        <v>Mesocentrotus franciscanus</v>
      </c>
      <c r="R40" s="21" t="str">
        <f>IF($M40=1,IF(ISERROR(VLOOKUP($P40,'M1'!$A:$C,R$2,FALSE)),"NOT PRESENT",VLOOKUP($P40,'M1'!$A:$C,R$2,FALSE)),IF($M40=2,IF(ISERROR(VLOOKUP(DATA!$P40,'M2'!$A:$C,R$2,FALSE)),"NOT PRESENT",VLOOKUP(DATA!$P40,'M2'!$A:$C,R$2,FALSE)),IF($M40=0,IF(ISERROR(VLOOKUP($P40,'M1'!$A:$C,R$2,FALSE)),IF(ISERROR(VLOOKUP(DATA!$P40,'M2'!$A:$C,R$2,FALSE)),"NOT PRESENT",VLOOKUP(DATA!$P40,'M2'!$A:$C,R$2,FALSE)),VLOOKUP($P40,'M1'!$A:$C,R$2,FALSE)),"SPECIFY METHOD")))</f>
        <v>Red sea urchin</v>
      </c>
      <c r="S40" s="28">
        <f t="shared" si="3"/>
        <v>5</v>
      </c>
      <c r="T40" s="20">
        <v>0</v>
      </c>
      <c r="U40" s="20"/>
      <c r="V40" s="20">
        <v>2</v>
      </c>
      <c r="W40" s="20">
        <v>3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</row>
    <row r="41" spans="1:68" ht="12.75" customHeight="1">
      <c r="A41" s="21">
        <f t="shared" si="2"/>
        <v>39</v>
      </c>
      <c r="B41" s="20" t="str">
        <f t="shared" ref="B41:D41" si="78">IF(ISERROR(B40),IF(ISERROR(B39),IF(ISERROR(B38),"BLANK",B38),B39),B40)</f>
        <v>Isabelle Cote</v>
      </c>
      <c r="C41" s="20" t="str">
        <f t="shared" si="78"/>
        <v>Em Lim</v>
      </c>
      <c r="D41" s="20" t="str">
        <f t="shared" si="78"/>
        <v>BMSC6</v>
      </c>
      <c r="E41" s="21" t="str">
        <f>IF(ISERROR(VLOOKUP($D41,SITES!$A:$E,2,FALSE)),"",VLOOKUP($D41,SITES!$A:$E,2,FALSE))</f>
        <v>Baeria Rocks South Island</v>
      </c>
      <c r="F41" s="19">
        <f>IF(ISERROR(VLOOKUP($D41,SITES!$A:$E,3,FALSE)),"",VLOOKUP($D41,SITES!$A:$E,3,FALSE))</f>
        <v>48.950233459472599</v>
      </c>
      <c r="G41" s="22">
        <f>IF(ISERROR(VLOOKUP($D41,SITES!$A:$E,4,FALSE)),"",VLOOKUP($D41,SITES!$A:$E,4,FALSE))</f>
        <v>-125.155548095703</v>
      </c>
      <c r="H41" s="23">
        <f t="shared" si="68"/>
        <v>45404</v>
      </c>
      <c r="I41" s="20">
        <f t="shared" si="76"/>
        <v>1.5</v>
      </c>
      <c r="J41" s="20" t="str">
        <f t="shared" ref="J41:N41" si="79">IF(ISERROR(J40),IF(ISERROR(J39),IF(ISERROR(J38),"BLANK",J38),J39),J40)</f>
        <v>SW</v>
      </c>
      <c r="K41" s="27">
        <f t="shared" si="79"/>
        <v>0.53125</v>
      </c>
      <c r="L41" s="20">
        <f t="shared" si="79"/>
        <v>11</v>
      </c>
      <c r="M41" s="20">
        <f t="shared" si="79"/>
        <v>2</v>
      </c>
      <c r="N41" s="20">
        <f t="shared" si="79"/>
        <v>1</v>
      </c>
      <c r="O41" s="20">
        <v>48</v>
      </c>
      <c r="P41" s="20" t="s">
        <v>42</v>
      </c>
      <c r="Q41" s="21" t="str">
        <f>IF($M41=1,IF(ISERROR(VLOOKUP($P41,'M1'!$A:$C,Q$2,FALSE)),"NOT PRESENT",VLOOKUP($P41,'M1'!$A:$C,Q$2,FALSE)),IF($M41=2,IF(ISERROR(VLOOKUP(DATA!$P41,'M2'!$A:$C,Q$2,FALSE)),"NOT PRESENT",VLOOKUP(DATA!$P41,'M2'!$A:$C,Q$2,FALSE)),IF($M41=0,IF(ISERROR(VLOOKUP($P41,'M1'!$A:$C,Q$2,FALSE)),IF(ISERROR(VLOOKUP(DATA!$P41,'M2'!$A:$C,Q$2,FALSE)),"NOT PRESENT",VLOOKUP(DATA!$P41,'M2'!$A:$C,Q$2,FALSE)),VLOOKUP($P41,'M1'!$A:$C,Q$2,FALSE)),"SPECIFY METHOD")))</f>
        <v>Orthasterias koehleri</v>
      </c>
      <c r="R41" s="21" t="str">
        <f>IF($M41=1,IF(ISERROR(VLOOKUP($P41,'M1'!$A:$C,R$2,FALSE)),"NOT PRESENT",VLOOKUP($P41,'M1'!$A:$C,R$2,FALSE)),IF($M41=2,IF(ISERROR(VLOOKUP(DATA!$P41,'M2'!$A:$C,R$2,FALSE)),"NOT PRESENT",VLOOKUP(DATA!$P41,'M2'!$A:$C,R$2,FALSE)),IF($M41=0,IF(ISERROR(VLOOKUP($P41,'M1'!$A:$C,R$2,FALSE)),IF(ISERROR(VLOOKUP(DATA!$P41,'M2'!$A:$C,R$2,FALSE)),"NOT PRESENT",VLOOKUP(DATA!$P41,'M2'!$A:$C,R$2,FALSE)),VLOOKUP($P41,'M1'!$A:$C,R$2,FALSE)),"SPECIFY METHOD")))</f>
        <v>Rainbow star</v>
      </c>
      <c r="S41" s="28">
        <f t="shared" si="3"/>
        <v>1</v>
      </c>
      <c r="T41" s="20">
        <v>0</v>
      </c>
      <c r="U41" s="20"/>
      <c r="V41" s="20"/>
      <c r="W41" s="20"/>
      <c r="X41" s="20">
        <v>1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</row>
    <row r="42" spans="1:68" ht="12.75" customHeight="1">
      <c r="A42" s="21">
        <f t="shared" si="2"/>
        <v>40</v>
      </c>
      <c r="B42" s="20" t="str">
        <f t="shared" ref="B42:D42" si="80">IF(ISERROR(B41),IF(ISERROR(B40),IF(ISERROR(B39),"BLANK",B39),B40),B41)</f>
        <v>Isabelle Cote</v>
      </c>
      <c r="C42" s="20" t="str">
        <f t="shared" si="80"/>
        <v>Em Lim</v>
      </c>
      <c r="D42" s="20" t="str">
        <f t="shared" si="80"/>
        <v>BMSC6</v>
      </c>
      <c r="E42" s="21" t="str">
        <f>IF(ISERROR(VLOOKUP($D42,SITES!$A:$E,2,FALSE)),"",VLOOKUP($D42,SITES!$A:$E,2,FALSE))</f>
        <v>Baeria Rocks South Island</v>
      </c>
      <c r="F42" s="19">
        <f>IF(ISERROR(VLOOKUP($D42,SITES!$A:$E,3,FALSE)),"",VLOOKUP($D42,SITES!$A:$E,3,FALSE))</f>
        <v>48.950233459472599</v>
      </c>
      <c r="G42" s="22">
        <f>IF(ISERROR(VLOOKUP($D42,SITES!$A:$E,4,FALSE)),"",VLOOKUP($D42,SITES!$A:$E,4,FALSE))</f>
        <v>-125.155548095703</v>
      </c>
      <c r="H42" s="23">
        <f t="shared" si="68"/>
        <v>45404</v>
      </c>
      <c r="I42" s="20">
        <f t="shared" si="76"/>
        <v>1.5</v>
      </c>
      <c r="J42" s="20" t="str">
        <f t="shared" ref="J42:N42" si="81">IF(ISERROR(J41),IF(ISERROR(J40),IF(ISERROR(J39),"BLANK",J39),J40),J41)</f>
        <v>SW</v>
      </c>
      <c r="K42" s="27">
        <f t="shared" si="81"/>
        <v>0.53125</v>
      </c>
      <c r="L42" s="20">
        <f t="shared" si="81"/>
        <v>11</v>
      </c>
      <c r="M42" s="20">
        <f t="shared" si="81"/>
        <v>2</v>
      </c>
      <c r="N42" s="20">
        <f t="shared" si="81"/>
        <v>1</v>
      </c>
      <c r="O42" s="20">
        <v>32</v>
      </c>
      <c r="P42" s="20" t="s">
        <v>41</v>
      </c>
      <c r="Q42" s="21" t="str">
        <f>IF($M42=1,IF(ISERROR(VLOOKUP($P42,'M1'!$A:$C,Q$2,FALSE)),"NOT PRESENT",VLOOKUP($P42,'M1'!$A:$C,Q$2,FALSE)),IF($M42=2,IF(ISERROR(VLOOKUP(DATA!$P42,'M2'!$A:$C,Q$2,FALSE)),"NOT PRESENT",VLOOKUP(DATA!$P42,'M2'!$A:$C,Q$2,FALSE)),IF($M42=0,IF(ISERROR(VLOOKUP($P42,'M1'!$A:$C,Q$2,FALSE)),IF(ISERROR(VLOOKUP(DATA!$P42,'M2'!$A:$C,Q$2,FALSE)),"NOT PRESENT",VLOOKUP(DATA!$P42,'M2'!$A:$C,Q$2,FALSE)),VLOOKUP($P42,'M1'!$A:$C,Q$2,FALSE)),"SPECIFY METHOD")))</f>
        <v>Mesocentrotus franciscanus</v>
      </c>
      <c r="R42" s="21" t="str">
        <f>IF($M42=1,IF(ISERROR(VLOOKUP($P42,'M1'!$A:$C,R$2,FALSE)),"NOT PRESENT",VLOOKUP($P42,'M1'!$A:$C,R$2,FALSE)),IF($M42=2,IF(ISERROR(VLOOKUP(DATA!$P42,'M2'!$A:$C,R$2,FALSE)),"NOT PRESENT",VLOOKUP(DATA!$P42,'M2'!$A:$C,R$2,FALSE)),IF($M42=0,IF(ISERROR(VLOOKUP($P42,'M1'!$A:$C,R$2,FALSE)),IF(ISERROR(VLOOKUP(DATA!$P42,'M2'!$A:$C,R$2,FALSE)),"NOT PRESENT",VLOOKUP(DATA!$P42,'M2'!$A:$C,R$2,FALSE)),VLOOKUP($P42,'M1'!$A:$C,R$2,FALSE)),"SPECIFY METHOD")))</f>
        <v>Red sea urchin</v>
      </c>
      <c r="S42" s="28">
        <f t="shared" si="3"/>
        <v>9</v>
      </c>
      <c r="T42" s="20">
        <v>0</v>
      </c>
      <c r="U42" s="20">
        <v>1</v>
      </c>
      <c r="V42" s="20">
        <v>3</v>
      </c>
      <c r="W42" s="20">
        <v>5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</row>
    <row r="43" spans="1:68" ht="12.75" customHeight="1">
      <c r="A43" s="21">
        <f t="shared" si="2"/>
        <v>41</v>
      </c>
      <c r="B43" s="20" t="str">
        <f t="shared" ref="B43:D43" si="82">IF(ISERROR(B42),IF(ISERROR(B41),IF(ISERROR(B40),"BLANK",B40),B41),B42)</f>
        <v>Isabelle Cote</v>
      </c>
      <c r="C43" s="20" t="str">
        <f t="shared" si="82"/>
        <v>Em Lim</v>
      </c>
      <c r="D43" s="20" t="str">
        <f t="shared" si="82"/>
        <v>BMSC6</v>
      </c>
      <c r="E43" s="21" t="str">
        <f>IF(ISERROR(VLOOKUP($D43,SITES!$A:$E,2,FALSE)),"",VLOOKUP($D43,SITES!$A:$E,2,FALSE))</f>
        <v>Baeria Rocks South Island</v>
      </c>
      <c r="F43" s="19">
        <f>IF(ISERROR(VLOOKUP($D43,SITES!$A:$E,3,FALSE)),"",VLOOKUP($D43,SITES!$A:$E,3,FALSE))</f>
        <v>48.950233459472599</v>
      </c>
      <c r="G43" s="22">
        <f>IF(ISERROR(VLOOKUP($D43,SITES!$A:$E,4,FALSE)),"",VLOOKUP($D43,SITES!$A:$E,4,FALSE))</f>
        <v>-125.155548095703</v>
      </c>
      <c r="H43" s="23">
        <f t="shared" si="68"/>
        <v>45404</v>
      </c>
      <c r="I43" s="20">
        <f t="shared" si="76"/>
        <v>1.5</v>
      </c>
      <c r="J43" s="20" t="str">
        <f t="shared" ref="J43:N43" si="83">IF(ISERROR(J42),IF(ISERROR(J41),IF(ISERROR(J40),"BLANK",J40),J41),J42)</f>
        <v>SW</v>
      </c>
      <c r="K43" s="27">
        <f t="shared" si="83"/>
        <v>0.53125</v>
      </c>
      <c r="L43" s="20">
        <f t="shared" si="83"/>
        <v>11</v>
      </c>
      <c r="M43" s="20">
        <f t="shared" si="83"/>
        <v>2</v>
      </c>
      <c r="N43" s="20">
        <f t="shared" si="83"/>
        <v>1</v>
      </c>
      <c r="O43" s="20">
        <v>32</v>
      </c>
      <c r="P43" s="20" t="s">
        <v>40</v>
      </c>
      <c r="Q43" s="21" t="str">
        <f>IF($M43=1,IF(ISERROR(VLOOKUP($P43,'M1'!$A:$C,Q$2,FALSE)),"NOT PRESENT",VLOOKUP($P43,'M1'!$A:$C,Q$2,FALSE)),IF($M43=2,IF(ISERROR(VLOOKUP(DATA!$P43,'M2'!$A:$C,Q$2,FALSE)),"NOT PRESENT",VLOOKUP(DATA!$P43,'M2'!$A:$C,Q$2,FALSE)),IF($M43=0,IF(ISERROR(VLOOKUP($P43,'M1'!$A:$C,Q$2,FALSE)),IF(ISERROR(VLOOKUP(DATA!$P43,'M2'!$A:$C,Q$2,FALSE)),"NOT PRESENT",VLOOKUP(DATA!$P43,'M2'!$A:$C,Q$2,FALSE)),VLOOKUP($P43,'M1'!$A:$C,Q$2,FALSE)),"SPECIFY METHOD")))</f>
        <v>Patiria miniata</v>
      </c>
      <c r="R43" s="21" t="str">
        <f>IF($M43=1,IF(ISERROR(VLOOKUP($P43,'M1'!$A:$C,R$2,FALSE)),"NOT PRESENT",VLOOKUP($P43,'M1'!$A:$C,R$2,FALSE)),IF($M43=2,IF(ISERROR(VLOOKUP(DATA!$P43,'M2'!$A:$C,R$2,FALSE)),"NOT PRESENT",VLOOKUP(DATA!$P43,'M2'!$A:$C,R$2,FALSE)),IF($M43=0,IF(ISERROR(VLOOKUP($P43,'M1'!$A:$C,R$2,FALSE)),IF(ISERROR(VLOOKUP(DATA!$P43,'M2'!$A:$C,R$2,FALSE)),"NOT PRESENT",VLOOKUP(DATA!$P43,'M2'!$A:$C,R$2,FALSE)),VLOOKUP($P43,'M1'!$A:$C,R$2,FALSE)),"SPECIFY METHOD")))</f>
        <v>Bat star</v>
      </c>
      <c r="S43" s="28">
        <f t="shared" si="3"/>
        <v>3</v>
      </c>
      <c r="T43" s="20">
        <v>0</v>
      </c>
      <c r="U43" s="20"/>
      <c r="V43" s="20">
        <v>2</v>
      </c>
      <c r="W43" s="20"/>
      <c r="X43" s="20">
        <v>1</v>
      </c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</row>
    <row r="44" spans="1:68" ht="12.75" customHeight="1">
      <c r="A44" s="21">
        <f t="shared" si="2"/>
        <v>42</v>
      </c>
      <c r="B44" s="20" t="str">
        <f t="shared" ref="B44:D44" si="84">IF(ISERROR(B43),IF(ISERROR(B42),IF(ISERROR(B41),"BLANK",B41),B42),B43)</f>
        <v>Isabelle Cote</v>
      </c>
      <c r="C44" s="20" t="str">
        <f t="shared" si="84"/>
        <v>Em Lim</v>
      </c>
      <c r="D44" s="20" t="str">
        <f t="shared" si="84"/>
        <v>BMSC6</v>
      </c>
      <c r="E44" s="21" t="str">
        <f>IF(ISERROR(VLOOKUP($D44,SITES!$A:$E,2,FALSE)),"",VLOOKUP($D44,SITES!$A:$E,2,FALSE))</f>
        <v>Baeria Rocks South Island</v>
      </c>
      <c r="F44" s="19">
        <f>IF(ISERROR(VLOOKUP($D44,SITES!$A:$E,3,FALSE)),"",VLOOKUP($D44,SITES!$A:$E,3,FALSE))</f>
        <v>48.950233459472599</v>
      </c>
      <c r="G44" s="22">
        <f>IF(ISERROR(VLOOKUP($D44,SITES!$A:$E,4,FALSE)),"",VLOOKUP($D44,SITES!$A:$E,4,FALSE))</f>
        <v>-125.155548095703</v>
      </c>
      <c r="H44" s="23">
        <f t="shared" si="68"/>
        <v>45404</v>
      </c>
      <c r="I44" s="20">
        <f t="shared" si="76"/>
        <v>1.5</v>
      </c>
      <c r="J44" s="20" t="str">
        <f t="shared" ref="J44:N44" si="85">IF(ISERROR(J43),IF(ISERROR(J42),IF(ISERROR(J41),"BLANK",J41),J42),J43)</f>
        <v>SW</v>
      </c>
      <c r="K44" s="27">
        <f t="shared" si="85"/>
        <v>0.53125</v>
      </c>
      <c r="L44" s="20">
        <f t="shared" si="85"/>
        <v>11</v>
      </c>
      <c r="M44" s="20">
        <f t="shared" si="85"/>
        <v>2</v>
      </c>
      <c r="N44" s="20">
        <f t="shared" si="85"/>
        <v>1</v>
      </c>
      <c r="O44" s="20">
        <v>16</v>
      </c>
      <c r="P44" s="20" t="s">
        <v>41</v>
      </c>
      <c r="Q44" s="21" t="str">
        <f>IF($M44=1,IF(ISERROR(VLOOKUP($P44,'M1'!$A:$C,Q$2,FALSE)),"NOT PRESENT",VLOOKUP($P44,'M1'!$A:$C,Q$2,FALSE)),IF($M44=2,IF(ISERROR(VLOOKUP(DATA!$P44,'M2'!$A:$C,Q$2,FALSE)),"NOT PRESENT",VLOOKUP(DATA!$P44,'M2'!$A:$C,Q$2,FALSE)),IF($M44=0,IF(ISERROR(VLOOKUP($P44,'M1'!$A:$C,Q$2,FALSE)),IF(ISERROR(VLOOKUP(DATA!$P44,'M2'!$A:$C,Q$2,FALSE)),"NOT PRESENT",VLOOKUP(DATA!$P44,'M2'!$A:$C,Q$2,FALSE)),VLOOKUP($P44,'M1'!$A:$C,Q$2,FALSE)),"SPECIFY METHOD")))</f>
        <v>Mesocentrotus franciscanus</v>
      </c>
      <c r="R44" s="21" t="str">
        <f>IF($M44=1,IF(ISERROR(VLOOKUP($P44,'M1'!$A:$C,R$2,FALSE)),"NOT PRESENT",VLOOKUP($P44,'M1'!$A:$C,R$2,FALSE)),IF($M44=2,IF(ISERROR(VLOOKUP(DATA!$P44,'M2'!$A:$C,R$2,FALSE)),"NOT PRESENT",VLOOKUP(DATA!$P44,'M2'!$A:$C,R$2,FALSE)),IF($M44=0,IF(ISERROR(VLOOKUP($P44,'M1'!$A:$C,R$2,FALSE)),IF(ISERROR(VLOOKUP(DATA!$P44,'M2'!$A:$C,R$2,FALSE)),"NOT PRESENT",VLOOKUP(DATA!$P44,'M2'!$A:$C,R$2,FALSE)),VLOOKUP($P44,'M1'!$A:$C,R$2,FALSE)),"SPECIFY METHOD")))</f>
        <v>Red sea urchin</v>
      </c>
      <c r="S44" s="28">
        <f t="shared" si="3"/>
        <v>2</v>
      </c>
      <c r="T44" s="20">
        <v>0</v>
      </c>
      <c r="U44" s="20">
        <v>1</v>
      </c>
      <c r="V44" s="20">
        <v>1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</row>
    <row r="45" spans="1:68" ht="12.75" customHeight="1">
      <c r="A45" s="21">
        <f t="shared" si="2"/>
        <v>43</v>
      </c>
      <c r="B45" s="20" t="str">
        <f t="shared" ref="B45:C45" si="86">IF(ISERROR(B44),IF(ISERROR(B43),IF(ISERROR(B42),"BLANK",B42),B43),B44)</f>
        <v>Isabelle Cote</v>
      </c>
      <c r="C45" s="20" t="str">
        <f t="shared" si="86"/>
        <v>Em Lim</v>
      </c>
      <c r="D45" s="20" t="s">
        <v>43</v>
      </c>
      <c r="E45" s="21" t="str">
        <f>IF(ISERROR(VLOOKUP($D45,SITES!$A:$E,2,FALSE)),"",VLOOKUP($D45,SITES!$A:$E,2,FALSE))</f>
        <v>Taylor Rock</v>
      </c>
      <c r="F45" s="19">
        <f>IF(ISERROR(VLOOKUP($D45,SITES!$A:$E,3,FALSE)),"",VLOOKUP($D45,SITES!$A:$E,3,FALSE))</f>
        <v>48.8273315429687</v>
      </c>
      <c r="G45" s="22">
        <f>IF(ISERROR(VLOOKUP($D45,SITES!$A:$E,4,FALSE)),"",VLOOKUP($D45,SITES!$A:$E,4,FALSE))</f>
        <v>-125.196601867675</v>
      </c>
      <c r="H45" s="20" t="s">
        <v>44</v>
      </c>
      <c r="I45" s="20">
        <f t="shared" si="76"/>
        <v>1.5</v>
      </c>
      <c r="J45" s="20" t="s">
        <v>45</v>
      </c>
      <c r="K45" s="27">
        <v>0.40972222222222221</v>
      </c>
      <c r="L45" s="20">
        <v>6.5</v>
      </c>
      <c r="M45" s="20">
        <f t="shared" ref="M45:N45" si="87">IF(ISERROR(M44),IF(ISERROR(M43),IF(ISERROR(M42),"BLANK",M42),M43),M44)</f>
        <v>2</v>
      </c>
      <c r="N45" s="20">
        <f t="shared" si="87"/>
        <v>1</v>
      </c>
      <c r="O45" s="20">
        <v>48</v>
      </c>
      <c r="P45" s="20" t="str">
        <f t="shared" ref="P45:P46" si="88">IF(ISERROR(P44),IF(ISERROR(P43),IF(ISERROR(P42),"BLANK",P42),P43),P44)</f>
        <v>mfra</v>
      </c>
      <c r="Q45" s="21" t="str">
        <f>IF($M45=1,IF(ISERROR(VLOOKUP($P45,'M1'!$A:$C,Q$2,FALSE)),"NOT PRESENT",VLOOKUP($P45,'M1'!$A:$C,Q$2,FALSE)),IF($M45=2,IF(ISERROR(VLOOKUP(DATA!$P45,'M2'!$A:$C,Q$2,FALSE)),"NOT PRESENT",VLOOKUP(DATA!$P45,'M2'!$A:$C,Q$2,FALSE)),IF($M45=0,IF(ISERROR(VLOOKUP($P45,'M1'!$A:$C,Q$2,FALSE)),IF(ISERROR(VLOOKUP(DATA!$P45,'M2'!$A:$C,Q$2,FALSE)),"NOT PRESENT",VLOOKUP(DATA!$P45,'M2'!$A:$C,Q$2,FALSE)),VLOOKUP($P45,'M1'!$A:$C,Q$2,FALSE)),"SPECIFY METHOD")))</f>
        <v>Mesocentrotus franciscanus</v>
      </c>
      <c r="R45" s="21" t="str">
        <f>IF($M45=1,IF(ISERROR(VLOOKUP($P45,'M1'!$A:$C,R$2,FALSE)),"NOT PRESENT",VLOOKUP($P45,'M1'!$A:$C,R$2,FALSE)),IF($M45=2,IF(ISERROR(VLOOKUP(DATA!$P45,'M2'!$A:$C,R$2,FALSE)),"NOT PRESENT",VLOOKUP(DATA!$P45,'M2'!$A:$C,R$2,FALSE)),IF($M45=0,IF(ISERROR(VLOOKUP($P45,'M1'!$A:$C,R$2,FALSE)),IF(ISERROR(VLOOKUP(DATA!$P45,'M2'!$A:$C,R$2,FALSE)),"NOT PRESENT",VLOOKUP(DATA!$P45,'M2'!$A:$C,R$2,FALSE)),VLOOKUP($P45,'M1'!$A:$C,R$2,FALSE)),"SPECIFY METHOD")))</f>
        <v>Red sea urchin</v>
      </c>
      <c r="S45" s="28">
        <f t="shared" si="3"/>
        <v>10</v>
      </c>
      <c r="T45" s="20">
        <v>0</v>
      </c>
      <c r="U45" s="20"/>
      <c r="V45" s="20">
        <v>1</v>
      </c>
      <c r="W45" s="20">
        <v>2</v>
      </c>
      <c r="X45" s="20">
        <v>7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</row>
    <row r="46" spans="1:68" ht="12.75" customHeight="1">
      <c r="A46" s="21">
        <f t="shared" si="2"/>
        <v>44</v>
      </c>
      <c r="B46" s="20" t="str">
        <f t="shared" ref="B46:D46" si="89">IF(ISERROR(B45),IF(ISERROR(B44),IF(ISERROR(B43),"BLANK",B43),B44),B45)</f>
        <v>Isabelle Cote</v>
      </c>
      <c r="C46" s="20" t="str">
        <f t="shared" si="89"/>
        <v>Em Lim</v>
      </c>
      <c r="D46" s="20" t="str">
        <f t="shared" si="89"/>
        <v>BMSC5</v>
      </c>
      <c r="E46" s="21" t="str">
        <f>IF(ISERROR(VLOOKUP($D46,SITES!$A:$E,2,FALSE)),"",VLOOKUP($D46,SITES!$A:$E,2,FALSE))</f>
        <v>Taylor Rock</v>
      </c>
      <c r="F46" s="19">
        <f>IF(ISERROR(VLOOKUP($D46,SITES!$A:$E,3,FALSE)),"",VLOOKUP($D46,SITES!$A:$E,3,FALSE))</f>
        <v>48.8273315429687</v>
      </c>
      <c r="G46" s="22">
        <f>IF(ISERROR(VLOOKUP($D46,SITES!$A:$E,4,FALSE)),"",VLOOKUP($D46,SITES!$A:$E,4,FALSE))</f>
        <v>-125.196601867675</v>
      </c>
      <c r="H46" s="23" t="str">
        <f t="shared" ref="H46:N46" si="90">IF(ISERROR(H45),IF(ISERROR(H44),IF(ISERROR(H43),"BLANK",H43),H44),H45)</f>
        <v>4/23/2024</v>
      </c>
      <c r="I46" s="20">
        <f t="shared" si="90"/>
        <v>1.5</v>
      </c>
      <c r="J46" s="20" t="str">
        <f t="shared" si="90"/>
        <v>E</v>
      </c>
      <c r="K46" s="27">
        <f t="shared" si="90"/>
        <v>0.40972222222222221</v>
      </c>
      <c r="L46" s="20">
        <f t="shared" si="90"/>
        <v>6.5</v>
      </c>
      <c r="M46" s="20">
        <f t="shared" si="90"/>
        <v>2</v>
      </c>
      <c r="N46" s="20">
        <f t="shared" si="90"/>
        <v>1</v>
      </c>
      <c r="O46" s="20">
        <v>32</v>
      </c>
      <c r="P46" s="20" t="str">
        <f t="shared" si="88"/>
        <v>mfra</v>
      </c>
      <c r="Q46" s="21" t="str">
        <f>IF($M46=1,IF(ISERROR(VLOOKUP($P46,'M1'!$A:$C,Q$2,FALSE)),"NOT PRESENT",VLOOKUP($P46,'M1'!$A:$C,Q$2,FALSE)),IF($M46=2,IF(ISERROR(VLOOKUP(DATA!$P46,'M2'!$A:$C,Q$2,FALSE)),"NOT PRESENT",VLOOKUP(DATA!$P46,'M2'!$A:$C,Q$2,FALSE)),IF($M46=0,IF(ISERROR(VLOOKUP($P46,'M1'!$A:$C,Q$2,FALSE)),IF(ISERROR(VLOOKUP(DATA!$P46,'M2'!$A:$C,Q$2,FALSE)),"NOT PRESENT",VLOOKUP(DATA!$P46,'M2'!$A:$C,Q$2,FALSE)),VLOOKUP($P46,'M1'!$A:$C,Q$2,FALSE)),"SPECIFY METHOD")))</f>
        <v>Mesocentrotus franciscanus</v>
      </c>
      <c r="R46" s="21" t="str">
        <f>IF($M46=1,IF(ISERROR(VLOOKUP($P46,'M1'!$A:$C,R$2,FALSE)),"NOT PRESENT",VLOOKUP($P46,'M1'!$A:$C,R$2,FALSE)),IF($M46=2,IF(ISERROR(VLOOKUP(DATA!$P46,'M2'!$A:$C,R$2,FALSE)),"NOT PRESENT",VLOOKUP(DATA!$P46,'M2'!$A:$C,R$2,FALSE)),IF($M46=0,IF(ISERROR(VLOOKUP($P46,'M1'!$A:$C,R$2,FALSE)),IF(ISERROR(VLOOKUP(DATA!$P46,'M2'!$A:$C,R$2,FALSE)),"NOT PRESENT",VLOOKUP(DATA!$P46,'M2'!$A:$C,R$2,FALSE)),VLOOKUP($P46,'M1'!$A:$C,R$2,FALSE)),"SPECIFY METHOD")))</f>
        <v>Red sea urchin</v>
      </c>
      <c r="S46" s="28">
        <f t="shared" si="3"/>
        <v>13</v>
      </c>
      <c r="T46" s="20">
        <v>0</v>
      </c>
      <c r="U46" s="20"/>
      <c r="V46" s="20">
        <v>5</v>
      </c>
      <c r="W46" s="20">
        <v>4</v>
      </c>
      <c r="X46" s="20">
        <v>2</v>
      </c>
      <c r="Y46" s="20">
        <v>2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</row>
    <row r="47" spans="1:68" ht="12.75" customHeight="1">
      <c r="A47" s="21">
        <f t="shared" si="2"/>
        <v>45</v>
      </c>
      <c r="B47" s="20" t="str">
        <f t="shared" ref="B47:D47" si="91">IF(ISERROR(B46),IF(ISERROR(B45),IF(ISERROR(B44),"BLANK",B44),B45),B46)</f>
        <v>Isabelle Cote</v>
      </c>
      <c r="C47" s="20" t="str">
        <f t="shared" si="91"/>
        <v>Em Lim</v>
      </c>
      <c r="D47" s="20" t="str">
        <f t="shared" si="91"/>
        <v>BMSC5</v>
      </c>
      <c r="E47" s="21" t="str">
        <f>IF(ISERROR(VLOOKUP($D47,SITES!$A:$E,2,FALSE)),"",VLOOKUP($D47,SITES!$A:$E,2,FALSE))</f>
        <v>Taylor Rock</v>
      </c>
      <c r="F47" s="19">
        <f>IF(ISERROR(VLOOKUP($D47,SITES!$A:$E,3,FALSE)),"",VLOOKUP($D47,SITES!$A:$E,3,FALSE))</f>
        <v>48.8273315429687</v>
      </c>
      <c r="G47" s="22">
        <f>IF(ISERROR(VLOOKUP($D47,SITES!$A:$E,4,FALSE)),"",VLOOKUP($D47,SITES!$A:$E,4,FALSE))</f>
        <v>-125.196601867675</v>
      </c>
      <c r="H47" s="23" t="str">
        <f t="shared" ref="H47:N47" si="92">IF(ISERROR(H46),IF(ISERROR(H45),IF(ISERROR(H44),"BLANK",H44),H45),H46)</f>
        <v>4/23/2024</v>
      </c>
      <c r="I47" s="20">
        <f t="shared" si="92"/>
        <v>1.5</v>
      </c>
      <c r="J47" s="20" t="str">
        <f t="shared" si="92"/>
        <v>E</v>
      </c>
      <c r="K47" s="27">
        <f t="shared" si="92"/>
        <v>0.40972222222222221</v>
      </c>
      <c r="L47" s="20">
        <f t="shared" si="92"/>
        <v>6.5</v>
      </c>
      <c r="M47" s="20">
        <f t="shared" si="92"/>
        <v>2</v>
      </c>
      <c r="N47" s="20">
        <f t="shared" si="92"/>
        <v>1</v>
      </c>
      <c r="O47" s="20">
        <v>32</v>
      </c>
      <c r="P47" s="20" t="s">
        <v>39</v>
      </c>
      <c r="Q47" s="21" t="str">
        <f>IF($M47=1,IF(ISERROR(VLOOKUP($P47,'M1'!$A:$C,Q$2,FALSE)),"NOT PRESENT",VLOOKUP($P47,'M1'!$A:$C,Q$2,FALSE)),IF($M47=2,IF(ISERROR(VLOOKUP(DATA!$P47,'M2'!$A:$C,Q$2,FALSE)),"NOT PRESENT",VLOOKUP(DATA!$P47,'M2'!$A:$C,Q$2,FALSE)),IF($M47=0,IF(ISERROR(VLOOKUP($P47,'M1'!$A:$C,Q$2,FALSE)),IF(ISERROR(VLOOKUP(DATA!$P47,'M2'!$A:$C,Q$2,FALSE)),"NOT PRESENT",VLOOKUP(DATA!$P47,'M2'!$A:$C,Q$2,FALSE)),VLOOKUP($P47,'M1'!$A:$C,Q$2,FALSE)),"SPECIFY METHOD")))</f>
        <v>Dermasterias imbricata</v>
      </c>
      <c r="R47" s="21" t="str">
        <f>IF($M47=1,IF(ISERROR(VLOOKUP($P47,'M1'!$A:$C,R$2,FALSE)),"NOT PRESENT",VLOOKUP($P47,'M1'!$A:$C,R$2,FALSE)),IF($M47=2,IF(ISERROR(VLOOKUP(DATA!$P47,'M2'!$A:$C,R$2,FALSE)),"NOT PRESENT",VLOOKUP(DATA!$P47,'M2'!$A:$C,R$2,FALSE)),IF($M47=0,IF(ISERROR(VLOOKUP($P47,'M1'!$A:$C,R$2,FALSE)),IF(ISERROR(VLOOKUP(DATA!$P47,'M2'!$A:$C,R$2,FALSE)),"NOT PRESENT",VLOOKUP(DATA!$P47,'M2'!$A:$C,R$2,FALSE)),VLOOKUP($P47,'M1'!$A:$C,R$2,FALSE)),"SPECIFY METHOD")))</f>
        <v>Leather star</v>
      </c>
      <c r="S47" s="28">
        <f t="shared" si="3"/>
        <v>1</v>
      </c>
      <c r="T47" s="20">
        <v>0</v>
      </c>
      <c r="U47" s="20"/>
      <c r="V47" s="20"/>
      <c r="W47" s="20"/>
      <c r="X47" s="20"/>
      <c r="Y47" s="20"/>
      <c r="Z47" s="20">
        <v>1</v>
      </c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</row>
    <row r="48" spans="1:68" ht="12.75" customHeight="1">
      <c r="A48" s="21">
        <f t="shared" si="2"/>
        <v>46</v>
      </c>
      <c r="B48" s="20" t="s">
        <v>24</v>
      </c>
      <c r="C48" s="20" t="s">
        <v>25</v>
      </c>
      <c r="D48" s="20" t="str">
        <f>IF(ISERROR(D47),IF(ISERROR(D46),IF(ISERROR(D45),"BLANK",D45),D46),D47)</f>
        <v>BMSC5</v>
      </c>
      <c r="E48" s="21" t="str">
        <f>IF(ISERROR(VLOOKUP($D48,SITES!$A:$E,2,FALSE)),"",VLOOKUP($D48,SITES!$A:$E,2,FALSE))</f>
        <v>Taylor Rock</v>
      </c>
      <c r="F48" s="19">
        <f>IF(ISERROR(VLOOKUP($D48,SITES!$A:$E,3,FALSE)),"",VLOOKUP($D48,SITES!$A:$E,3,FALSE))</f>
        <v>48.8273315429687</v>
      </c>
      <c r="G48" s="22">
        <f>IF(ISERROR(VLOOKUP($D48,SITES!$A:$E,4,FALSE)),"",VLOOKUP($D48,SITES!$A:$E,4,FALSE))</f>
        <v>-125.196601867675</v>
      </c>
      <c r="H48" s="23" t="str">
        <f t="shared" ref="H48:I48" si="93">IF(ISERROR(H47),IF(ISERROR(H46),IF(ISERROR(H45),"BLANK",H45),H46),H47)</f>
        <v>4/23/2024</v>
      </c>
      <c r="I48" s="20">
        <f t="shared" si="93"/>
        <v>1.5</v>
      </c>
      <c r="J48" s="20" t="s">
        <v>27</v>
      </c>
      <c r="K48" s="27">
        <v>0.40833333333333333</v>
      </c>
      <c r="L48" s="20">
        <v>6</v>
      </c>
      <c r="M48" s="20">
        <f t="shared" ref="M48:N48" si="94">IF(ISERROR(M47),IF(ISERROR(M46),IF(ISERROR(M45),"BLANK",M45),M46),M47)</f>
        <v>2</v>
      </c>
      <c r="N48" s="20">
        <f t="shared" si="94"/>
        <v>1</v>
      </c>
      <c r="O48" s="20">
        <v>48</v>
      </c>
      <c r="P48" s="20" t="s">
        <v>41</v>
      </c>
      <c r="Q48" s="21" t="str">
        <f>IF($M48=1,IF(ISERROR(VLOOKUP($P48,'M1'!$A:$C,Q$2,FALSE)),"NOT PRESENT",VLOOKUP($P48,'M1'!$A:$C,Q$2,FALSE)),IF($M48=2,IF(ISERROR(VLOOKUP(DATA!$P48,'M2'!$A:$C,Q$2,FALSE)),"NOT PRESENT",VLOOKUP(DATA!$P48,'M2'!$A:$C,Q$2,FALSE)),IF($M48=0,IF(ISERROR(VLOOKUP($P48,'M1'!$A:$C,Q$2,FALSE)),IF(ISERROR(VLOOKUP(DATA!$P48,'M2'!$A:$C,Q$2,FALSE)),"NOT PRESENT",VLOOKUP(DATA!$P48,'M2'!$A:$C,Q$2,FALSE)),VLOOKUP($P48,'M1'!$A:$C,Q$2,FALSE)),"SPECIFY METHOD")))</f>
        <v>Mesocentrotus franciscanus</v>
      </c>
      <c r="R48" s="21" t="str">
        <f>IF($M48=1,IF(ISERROR(VLOOKUP($P48,'M1'!$A:$C,R$2,FALSE)),"NOT PRESENT",VLOOKUP($P48,'M1'!$A:$C,R$2,FALSE)),IF($M48=2,IF(ISERROR(VLOOKUP(DATA!$P48,'M2'!$A:$C,R$2,FALSE)),"NOT PRESENT",VLOOKUP(DATA!$P48,'M2'!$A:$C,R$2,FALSE)),IF($M48=0,IF(ISERROR(VLOOKUP($P48,'M1'!$A:$C,R$2,FALSE)),IF(ISERROR(VLOOKUP(DATA!$P48,'M2'!$A:$C,R$2,FALSE)),"NOT PRESENT",VLOOKUP(DATA!$P48,'M2'!$A:$C,R$2,FALSE)),VLOOKUP($P48,'M1'!$A:$C,R$2,FALSE)),"SPECIFY METHOD")))</f>
        <v>Red sea urchin</v>
      </c>
      <c r="S48" s="28">
        <f t="shared" si="3"/>
        <v>5</v>
      </c>
      <c r="T48" s="20">
        <v>0</v>
      </c>
      <c r="U48" s="20"/>
      <c r="V48" s="20"/>
      <c r="W48" s="20">
        <v>4</v>
      </c>
      <c r="X48" s="20">
        <v>1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</row>
    <row r="49" spans="1:68" ht="12.75" customHeight="1">
      <c r="A49" s="21">
        <f t="shared" si="2"/>
        <v>47</v>
      </c>
      <c r="B49" s="20" t="str">
        <f t="shared" ref="B49:D49" si="95">IF(ISERROR(B48),IF(ISERROR(B47),IF(ISERROR(B46),"BLANK",B46),B47),B48)</f>
        <v>Jasmin Schuster</v>
      </c>
      <c r="C49" s="20" t="str">
        <f t="shared" si="95"/>
        <v>Tom Bird</v>
      </c>
      <c r="D49" s="20" t="str">
        <f t="shared" si="95"/>
        <v>BMSC5</v>
      </c>
      <c r="E49" s="21" t="str">
        <f>IF(ISERROR(VLOOKUP($D49,SITES!$A:$E,2,FALSE)),"",VLOOKUP($D49,SITES!$A:$E,2,FALSE))</f>
        <v>Taylor Rock</v>
      </c>
      <c r="F49" s="19">
        <f>IF(ISERROR(VLOOKUP($D49,SITES!$A:$E,3,FALSE)),"",VLOOKUP($D49,SITES!$A:$E,3,FALSE))</f>
        <v>48.8273315429687</v>
      </c>
      <c r="G49" s="22">
        <f>IF(ISERROR(VLOOKUP($D49,SITES!$A:$E,4,FALSE)),"",VLOOKUP($D49,SITES!$A:$E,4,FALSE))</f>
        <v>-125.196601867675</v>
      </c>
      <c r="H49" s="23" t="str">
        <f t="shared" ref="H49:N49" si="96">IF(ISERROR(H48),IF(ISERROR(H47),IF(ISERROR(H46),"BLANK",H46),H47),H48)</f>
        <v>4/23/2024</v>
      </c>
      <c r="I49" s="20">
        <f t="shared" si="96"/>
        <v>1.5</v>
      </c>
      <c r="J49" s="20" t="str">
        <f t="shared" si="96"/>
        <v>NW</v>
      </c>
      <c r="K49" s="27">
        <f t="shared" si="96"/>
        <v>0.40833333333333333</v>
      </c>
      <c r="L49" s="20">
        <f t="shared" si="96"/>
        <v>6</v>
      </c>
      <c r="M49" s="20">
        <f t="shared" si="96"/>
        <v>2</v>
      </c>
      <c r="N49" s="20">
        <f t="shared" si="96"/>
        <v>1</v>
      </c>
      <c r="O49" s="20">
        <v>32</v>
      </c>
      <c r="P49" s="20" t="str">
        <f>IF(ISERROR(P48),IF(ISERROR(P47),IF(ISERROR(P46),"BLANK",P46),P47),P48)</f>
        <v>mfra</v>
      </c>
      <c r="Q49" s="21" t="str">
        <f>IF($M49=1,IF(ISERROR(VLOOKUP($P49,'M1'!$A:$C,Q$2,FALSE)),"NOT PRESENT",VLOOKUP($P49,'M1'!$A:$C,Q$2,FALSE)),IF($M49=2,IF(ISERROR(VLOOKUP(DATA!$P49,'M2'!$A:$C,Q$2,FALSE)),"NOT PRESENT",VLOOKUP(DATA!$P49,'M2'!$A:$C,Q$2,FALSE)),IF($M49=0,IF(ISERROR(VLOOKUP($P49,'M1'!$A:$C,Q$2,FALSE)),IF(ISERROR(VLOOKUP(DATA!$P49,'M2'!$A:$C,Q$2,FALSE)),"NOT PRESENT",VLOOKUP(DATA!$P49,'M2'!$A:$C,Q$2,FALSE)),VLOOKUP($P49,'M1'!$A:$C,Q$2,FALSE)),"SPECIFY METHOD")))</f>
        <v>Mesocentrotus franciscanus</v>
      </c>
      <c r="R49" s="21" t="str">
        <f>IF($M49=1,IF(ISERROR(VLOOKUP($P49,'M1'!$A:$C,R$2,FALSE)),"NOT PRESENT",VLOOKUP($P49,'M1'!$A:$C,R$2,FALSE)),IF($M49=2,IF(ISERROR(VLOOKUP(DATA!$P49,'M2'!$A:$C,R$2,FALSE)),"NOT PRESENT",VLOOKUP(DATA!$P49,'M2'!$A:$C,R$2,FALSE)),IF($M49=0,IF(ISERROR(VLOOKUP($P49,'M1'!$A:$C,R$2,FALSE)),IF(ISERROR(VLOOKUP(DATA!$P49,'M2'!$A:$C,R$2,FALSE)),"NOT PRESENT",VLOOKUP(DATA!$P49,'M2'!$A:$C,R$2,FALSE)),VLOOKUP($P49,'M1'!$A:$C,R$2,FALSE)),"SPECIFY METHOD")))</f>
        <v>Red sea urchin</v>
      </c>
      <c r="S49" s="28">
        <f t="shared" si="3"/>
        <v>6</v>
      </c>
      <c r="T49" s="20">
        <v>0</v>
      </c>
      <c r="U49" s="20"/>
      <c r="V49" s="20">
        <v>3</v>
      </c>
      <c r="W49" s="20">
        <v>3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</row>
    <row r="50" spans="1:68" ht="12.75" customHeight="1">
      <c r="A50" s="21">
        <f t="shared" si="2"/>
        <v>48</v>
      </c>
      <c r="B50" s="20" t="str">
        <f t="shared" ref="B50:D50" si="97">IF(ISERROR(B49),IF(ISERROR(B48),IF(ISERROR(B47),"BLANK",B47),B48),B49)</f>
        <v>Jasmin Schuster</v>
      </c>
      <c r="C50" s="20" t="str">
        <f t="shared" si="97"/>
        <v>Tom Bird</v>
      </c>
      <c r="D50" s="20" t="str">
        <f t="shared" si="97"/>
        <v>BMSC5</v>
      </c>
      <c r="E50" s="21" t="str">
        <f>IF(ISERROR(VLOOKUP($D50,SITES!$A:$E,2,FALSE)),"",VLOOKUP($D50,SITES!$A:$E,2,FALSE))</f>
        <v>Taylor Rock</v>
      </c>
      <c r="F50" s="19">
        <f>IF(ISERROR(VLOOKUP($D50,SITES!$A:$E,3,FALSE)),"",VLOOKUP($D50,SITES!$A:$E,3,FALSE))</f>
        <v>48.8273315429687</v>
      </c>
      <c r="G50" s="22">
        <f>IF(ISERROR(VLOOKUP($D50,SITES!$A:$E,4,FALSE)),"",VLOOKUP($D50,SITES!$A:$E,4,FALSE))</f>
        <v>-125.196601867675</v>
      </c>
      <c r="H50" s="23" t="str">
        <f t="shared" ref="H50:N50" si="98">IF(ISERROR(H49),IF(ISERROR(H48),IF(ISERROR(H47),"BLANK",H47),H48),H49)</f>
        <v>4/23/2024</v>
      </c>
      <c r="I50" s="20">
        <f t="shared" si="98"/>
        <v>1.5</v>
      </c>
      <c r="J50" s="20" t="str">
        <f t="shared" si="98"/>
        <v>NW</v>
      </c>
      <c r="K50" s="27">
        <f t="shared" si="98"/>
        <v>0.40833333333333333</v>
      </c>
      <c r="L50" s="20">
        <f t="shared" si="98"/>
        <v>6</v>
      </c>
      <c r="M50" s="20">
        <f t="shared" si="98"/>
        <v>2</v>
      </c>
      <c r="N50" s="20">
        <f t="shared" si="98"/>
        <v>1</v>
      </c>
      <c r="O50" s="20">
        <v>32</v>
      </c>
      <c r="P50" s="20" t="s">
        <v>46</v>
      </c>
      <c r="Q50" s="21" t="str">
        <f>IF($M50=1,IF(ISERROR(VLOOKUP($P50,'M1'!$A:$C,Q$2,FALSE)),"NOT PRESENT",VLOOKUP($P50,'M1'!$A:$C,Q$2,FALSE)),IF($M50=2,IF(ISERROR(VLOOKUP(DATA!$P50,'M2'!$A:$C,Q$2,FALSE)),"NOT PRESENT",VLOOKUP(DATA!$P50,'M2'!$A:$C,Q$2,FALSE)),IF($M50=0,IF(ISERROR(VLOOKUP($P50,'M1'!$A:$C,Q$2,FALSE)),IF(ISERROR(VLOOKUP(DATA!$P50,'M2'!$A:$C,Q$2,FALSE)),"NOT PRESENT",VLOOKUP(DATA!$P50,'M2'!$A:$C,Q$2,FALSE)),VLOOKUP($P50,'M1'!$A:$C,Q$2,FALSE)),"SPECIFY METHOD")))</f>
        <v>Strongylocentrotus droebachiensis</v>
      </c>
      <c r="R50" s="21" t="str">
        <f>IF($M50=1,IF(ISERROR(VLOOKUP($P50,'M1'!$A:$C,R$2,FALSE)),"NOT PRESENT",VLOOKUP($P50,'M1'!$A:$C,R$2,FALSE)),IF($M50=2,IF(ISERROR(VLOOKUP(DATA!$P50,'M2'!$A:$C,R$2,FALSE)),"NOT PRESENT",VLOOKUP(DATA!$P50,'M2'!$A:$C,R$2,FALSE)),IF($M50=0,IF(ISERROR(VLOOKUP($P50,'M1'!$A:$C,R$2,FALSE)),IF(ISERROR(VLOOKUP(DATA!$P50,'M2'!$A:$C,R$2,FALSE)),"NOT PRESENT",VLOOKUP(DATA!$P50,'M2'!$A:$C,R$2,FALSE)),VLOOKUP($P50,'M1'!$A:$C,R$2,FALSE)),"SPECIFY METHOD")))</f>
        <v>Northern sea urchin</v>
      </c>
      <c r="S50" s="28">
        <f t="shared" si="3"/>
        <v>1</v>
      </c>
      <c r="T50" s="20">
        <v>0</v>
      </c>
      <c r="U50" s="20">
        <v>1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</row>
    <row r="51" spans="1:68" ht="12.75" customHeight="1">
      <c r="A51" s="21">
        <f t="shared" si="2"/>
        <v>49</v>
      </c>
      <c r="B51" s="20" t="str">
        <f t="shared" ref="B51:D51" si="99">IF(ISERROR(B50),IF(ISERROR(B49),IF(ISERROR(B48),"BLANK",B48),B49),B50)</f>
        <v>Jasmin Schuster</v>
      </c>
      <c r="C51" s="20" t="str">
        <f t="shared" si="99"/>
        <v>Tom Bird</v>
      </c>
      <c r="D51" s="20" t="str">
        <f t="shared" si="99"/>
        <v>BMSC5</v>
      </c>
      <c r="E51" s="21" t="str">
        <f>IF(ISERROR(VLOOKUP($D51,SITES!$A:$E,2,FALSE)),"",VLOOKUP($D51,SITES!$A:$E,2,FALSE))</f>
        <v>Taylor Rock</v>
      </c>
      <c r="F51" s="19">
        <f>IF(ISERROR(VLOOKUP($D51,SITES!$A:$E,3,FALSE)),"",VLOOKUP($D51,SITES!$A:$E,3,FALSE))</f>
        <v>48.8273315429687</v>
      </c>
      <c r="G51" s="22">
        <f>IF(ISERROR(VLOOKUP($D51,SITES!$A:$E,4,FALSE)),"",VLOOKUP($D51,SITES!$A:$E,4,FALSE))</f>
        <v>-125.196601867675</v>
      </c>
      <c r="H51" s="23" t="str">
        <f t="shared" ref="H51:N51" si="100">IF(ISERROR(H50),IF(ISERROR(H49),IF(ISERROR(H48),"BLANK",H48),H49),H50)</f>
        <v>4/23/2024</v>
      </c>
      <c r="I51" s="20">
        <f t="shared" si="100"/>
        <v>1.5</v>
      </c>
      <c r="J51" s="20" t="str">
        <f t="shared" si="100"/>
        <v>NW</v>
      </c>
      <c r="K51" s="27">
        <f t="shared" si="100"/>
        <v>0.40833333333333333</v>
      </c>
      <c r="L51" s="20">
        <f t="shared" si="100"/>
        <v>6</v>
      </c>
      <c r="M51" s="20">
        <f t="shared" si="100"/>
        <v>2</v>
      </c>
      <c r="N51" s="20">
        <f t="shared" si="100"/>
        <v>1</v>
      </c>
      <c r="O51" s="20">
        <v>32</v>
      </c>
      <c r="P51" s="20" t="s">
        <v>28</v>
      </c>
      <c r="Q51" s="21" t="str">
        <f>IF($M51=1,IF(ISERROR(VLOOKUP($P51,'M1'!$A:$C,Q$2,FALSE)),"NOT PRESENT",VLOOKUP($P51,'M1'!$A:$C,Q$2,FALSE)),IF($M51=2,IF(ISERROR(VLOOKUP(DATA!$P51,'M2'!$A:$C,Q$2,FALSE)),"NOT PRESENT",VLOOKUP(DATA!$P51,'M2'!$A:$C,Q$2,FALSE)),IF($M51=0,IF(ISERROR(VLOOKUP($P51,'M1'!$A:$C,Q$2,FALSE)),IF(ISERROR(VLOOKUP(DATA!$P51,'M2'!$A:$C,Q$2,FALSE)),"NOT PRESENT",VLOOKUP(DATA!$P51,'M2'!$A:$C,Q$2,FALSE)),VLOOKUP($P51,'M1'!$A:$C,Q$2,FALSE)),"SPECIFY METHOD")))</f>
        <v>Patiria miniata</v>
      </c>
      <c r="R51" s="21" t="str">
        <f>IF($M51=1,IF(ISERROR(VLOOKUP($P51,'M1'!$A:$C,R$2,FALSE)),"NOT PRESENT",VLOOKUP($P51,'M1'!$A:$C,R$2,FALSE)),IF($M51=2,IF(ISERROR(VLOOKUP(DATA!$P51,'M2'!$A:$C,R$2,FALSE)),"NOT PRESENT",VLOOKUP(DATA!$P51,'M2'!$A:$C,R$2,FALSE)),IF($M51=0,IF(ISERROR(VLOOKUP($P51,'M1'!$A:$C,R$2,FALSE)),IF(ISERROR(VLOOKUP(DATA!$P51,'M2'!$A:$C,R$2,FALSE)),"NOT PRESENT",VLOOKUP(DATA!$P51,'M2'!$A:$C,R$2,FALSE)),VLOOKUP($P51,'M1'!$A:$C,R$2,FALSE)),"SPECIFY METHOD")))</f>
        <v>Bat star</v>
      </c>
      <c r="S51" s="28">
        <f t="shared" si="3"/>
        <v>1</v>
      </c>
      <c r="T51" s="20">
        <v>0</v>
      </c>
      <c r="U51" s="20"/>
      <c r="V51" s="20"/>
      <c r="W51" s="20"/>
      <c r="X51" s="20">
        <v>1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</row>
    <row r="52" spans="1:68" ht="12.75" customHeight="1">
      <c r="A52" s="21">
        <f t="shared" si="2"/>
        <v>50</v>
      </c>
      <c r="B52" s="20" t="str">
        <f t="shared" ref="B52:D52" si="101">IF(ISERROR(B51),IF(ISERROR(B50),IF(ISERROR(B49),"BLANK",B49),B50),B51)</f>
        <v>Jasmin Schuster</v>
      </c>
      <c r="C52" s="20" t="str">
        <f t="shared" si="101"/>
        <v>Tom Bird</v>
      </c>
      <c r="D52" s="20" t="str">
        <f t="shared" si="101"/>
        <v>BMSC5</v>
      </c>
      <c r="E52" s="21" t="str">
        <f>IF(ISERROR(VLOOKUP($D52,SITES!$A:$E,2,FALSE)),"",VLOOKUP($D52,SITES!$A:$E,2,FALSE))</f>
        <v>Taylor Rock</v>
      </c>
      <c r="F52" s="19">
        <f>IF(ISERROR(VLOOKUP($D52,SITES!$A:$E,3,FALSE)),"",VLOOKUP($D52,SITES!$A:$E,3,FALSE))</f>
        <v>48.8273315429687</v>
      </c>
      <c r="G52" s="22">
        <f>IF(ISERROR(VLOOKUP($D52,SITES!$A:$E,4,FALSE)),"",VLOOKUP($D52,SITES!$A:$E,4,FALSE))</f>
        <v>-125.196601867675</v>
      </c>
      <c r="H52" s="23" t="str">
        <f t="shared" ref="H52:N52" si="102">IF(ISERROR(H51),IF(ISERROR(H50),IF(ISERROR(H49),"BLANK",H49),H50),H51)</f>
        <v>4/23/2024</v>
      </c>
      <c r="I52" s="20">
        <f t="shared" si="102"/>
        <v>1.5</v>
      </c>
      <c r="J52" s="20" t="str">
        <f t="shared" si="102"/>
        <v>NW</v>
      </c>
      <c r="K52" s="27">
        <f t="shared" si="102"/>
        <v>0.40833333333333333</v>
      </c>
      <c r="L52" s="20">
        <f t="shared" si="102"/>
        <v>6</v>
      </c>
      <c r="M52" s="20">
        <f t="shared" si="102"/>
        <v>2</v>
      </c>
      <c r="N52" s="20">
        <f t="shared" si="102"/>
        <v>1</v>
      </c>
      <c r="O52" s="20">
        <v>32</v>
      </c>
      <c r="P52" s="20" t="s">
        <v>34</v>
      </c>
      <c r="Q52" s="21" t="str">
        <f>IF($M52=1,IF(ISERROR(VLOOKUP($P52,'M1'!$A:$C,Q$2,FALSE)),"NOT PRESENT",VLOOKUP($P52,'M1'!$A:$C,Q$2,FALSE)),IF($M52=2,IF(ISERROR(VLOOKUP(DATA!$P52,'M2'!$A:$C,Q$2,FALSE)),"NOT PRESENT",VLOOKUP(DATA!$P52,'M2'!$A:$C,Q$2,FALSE)),IF($M52=0,IF(ISERROR(VLOOKUP($P52,'M1'!$A:$C,Q$2,FALSE)),IF(ISERROR(VLOOKUP(DATA!$P52,'M2'!$A:$C,Q$2,FALSE)),"NOT PRESENT",VLOOKUP(DATA!$P52,'M2'!$A:$C,Q$2,FALSE)),VLOOKUP($P52,'M1'!$A:$C,Q$2,FALSE)),"SPECIFY METHOD")))</f>
        <v>Orthasterias koehleri</v>
      </c>
      <c r="R52" s="21" t="str">
        <f>IF($M52=1,IF(ISERROR(VLOOKUP($P52,'M1'!$A:$C,R$2,FALSE)),"NOT PRESENT",VLOOKUP($P52,'M1'!$A:$C,R$2,FALSE)),IF($M52=2,IF(ISERROR(VLOOKUP(DATA!$P52,'M2'!$A:$C,R$2,FALSE)),"NOT PRESENT",VLOOKUP(DATA!$P52,'M2'!$A:$C,R$2,FALSE)),IF($M52=0,IF(ISERROR(VLOOKUP($P52,'M1'!$A:$C,R$2,FALSE)),IF(ISERROR(VLOOKUP(DATA!$P52,'M2'!$A:$C,R$2,FALSE)),"NOT PRESENT",VLOOKUP(DATA!$P52,'M2'!$A:$C,R$2,FALSE)),VLOOKUP($P52,'M1'!$A:$C,R$2,FALSE)),"SPECIFY METHOD")))</f>
        <v>Rainbow star</v>
      </c>
      <c r="S52" s="28">
        <f t="shared" si="3"/>
        <v>1</v>
      </c>
      <c r="T52" s="20">
        <v>0</v>
      </c>
      <c r="U52" s="20"/>
      <c r="V52" s="20"/>
      <c r="W52" s="20"/>
      <c r="X52" s="20"/>
      <c r="Y52" s="20">
        <v>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</row>
    <row r="53" spans="1:68" ht="12.75" customHeight="1">
      <c r="A53" s="21">
        <f t="shared" si="2"/>
        <v>51</v>
      </c>
      <c r="B53" s="20" t="str">
        <f t="shared" ref="B53:D53" si="103">IF(ISERROR(B52),IF(ISERROR(B51),IF(ISERROR(B50),"BLANK",B50),B51),B52)</f>
        <v>Jasmin Schuster</v>
      </c>
      <c r="C53" s="20" t="str">
        <f t="shared" si="103"/>
        <v>Tom Bird</v>
      </c>
      <c r="D53" s="20" t="str">
        <f t="shared" si="103"/>
        <v>BMSC5</v>
      </c>
      <c r="E53" s="21" t="str">
        <f>IF(ISERROR(VLOOKUP($D53,SITES!$A:$E,2,FALSE)),"",VLOOKUP($D53,SITES!$A:$E,2,FALSE))</f>
        <v>Taylor Rock</v>
      </c>
      <c r="F53" s="19">
        <f>IF(ISERROR(VLOOKUP($D53,SITES!$A:$E,3,FALSE)),"",VLOOKUP($D53,SITES!$A:$E,3,FALSE))</f>
        <v>48.8273315429687</v>
      </c>
      <c r="G53" s="22">
        <f>IF(ISERROR(VLOOKUP($D53,SITES!$A:$E,4,FALSE)),"",VLOOKUP($D53,SITES!$A:$E,4,FALSE))</f>
        <v>-125.196601867675</v>
      </c>
      <c r="H53" s="23" t="str">
        <f t="shared" ref="H53:N53" si="104">IF(ISERROR(H52),IF(ISERROR(H51),IF(ISERROR(H50),"BLANK",H50),H51),H52)</f>
        <v>4/23/2024</v>
      </c>
      <c r="I53" s="20">
        <f t="shared" si="104"/>
        <v>1.5</v>
      </c>
      <c r="J53" s="20" t="str">
        <f t="shared" si="104"/>
        <v>NW</v>
      </c>
      <c r="K53" s="27">
        <f t="shared" si="104"/>
        <v>0.40833333333333333</v>
      </c>
      <c r="L53" s="20">
        <f t="shared" si="104"/>
        <v>6</v>
      </c>
      <c r="M53" s="20">
        <f t="shared" si="104"/>
        <v>2</v>
      </c>
      <c r="N53" s="20">
        <f t="shared" si="104"/>
        <v>1</v>
      </c>
      <c r="O53" s="20">
        <v>16</v>
      </c>
      <c r="P53" s="20" t="s">
        <v>28</v>
      </c>
      <c r="Q53" s="21" t="str">
        <f>IF($M53=1,IF(ISERROR(VLOOKUP($P53,'M1'!$A:$C,Q$2,FALSE)),"NOT PRESENT",VLOOKUP($P53,'M1'!$A:$C,Q$2,FALSE)),IF($M53=2,IF(ISERROR(VLOOKUP(DATA!$P53,'M2'!$A:$C,Q$2,FALSE)),"NOT PRESENT",VLOOKUP(DATA!$P53,'M2'!$A:$C,Q$2,FALSE)),IF($M53=0,IF(ISERROR(VLOOKUP($P53,'M1'!$A:$C,Q$2,FALSE)),IF(ISERROR(VLOOKUP(DATA!$P53,'M2'!$A:$C,Q$2,FALSE)),"NOT PRESENT",VLOOKUP(DATA!$P53,'M2'!$A:$C,Q$2,FALSE)),VLOOKUP($P53,'M1'!$A:$C,Q$2,FALSE)),"SPECIFY METHOD")))</f>
        <v>Patiria miniata</v>
      </c>
      <c r="R53" s="21" t="str">
        <f>IF($M53=1,IF(ISERROR(VLOOKUP($P53,'M1'!$A:$C,R$2,FALSE)),"NOT PRESENT",VLOOKUP($P53,'M1'!$A:$C,R$2,FALSE)),IF($M53=2,IF(ISERROR(VLOOKUP(DATA!$P53,'M2'!$A:$C,R$2,FALSE)),"NOT PRESENT",VLOOKUP(DATA!$P53,'M2'!$A:$C,R$2,FALSE)),IF($M53=0,IF(ISERROR(VLOOKUP($P53,'M1'!$A:$C,R$2,FALSE)),IF(ISERROR(VLOOKUP(DATA!$P53,'M2'!$A:$C,R$2,FALSE)),"NOT PRESENT",VLOOKUP(DATA!$P53,'M2'!$A:$C,R$2,FALSE)),VLOOKUP($P53,'M1'!$A:$C,R$2,FALSE)),"SPECIFY METHOD")))</f>
        <v>Bat star</v>
      </c>
      <c r="S53" s="28">
        <f t="shared" si="3"/>
        <v>1</v>
      </c>
      <c r="T53" s="20">
        <v>0</v>
      </c>
      <c r="U53" s="20"/>
      <c r="V53" s="20"/>
      <c r="W53" s="20">
        <v>1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</row>
    <row r="54" spans="1:68" ht="12.75" customHeight="1">
      <c r="A54" s="21">
        <f t="shared" si="2"/>
        <v>52</v>
      </c>
      <c r="B54" s="20" t="str">
        <f t="shared" ref="B54:D54" si="105">IF(ISERROR(B53),IF(ISERROR(B52),IF(ISERROR(B51),"BLANK",B51),B52),B53)</f>
        <v>Jasmin Schuster</v>
      </c>
      <c r="C54" s="20" t="str">
        <f t="shared" si="105"/>
        <v>Tom Bird</v>
      </c>
      <c r="D54" s="20" t="str">
        <f t="shared" si="105"/>
        <v>BMSC5</v>
      </c>
      <c r="E54" s="21" t="str">
        <f>IF(ISERROR(VLOOKUP($D54,SITES!$A:$E,2,FALSE)),"",VLOOKUP($D54,SITES!$A:$E,2,FALSE))</f>
        <v>Taylor Rock</v>
      </c>
      <c r="F54" s="19">
        <f>IF(ISERROR(VLOOKUP($D54,SITES!$A:$E,3,FALSE)),"",VLOOKUP($D54,SITES!$A:$E,3,FALSE))</f>
        <v>48.8273315429687</v>
      </c>
      <c r="G54" s="22">
        <f>IF(ISERROR(VLOOKUP($D54,SITES!$A:$E,4,FALSE)),"",VLOOKUP($D54,SITES!$A:$E,4,FALSE))</f>
        <v>-125.196601867675</v>
      </c>
      <c r="H54" s="23" t="str">
        <f t="shared" ref="H54:N54" si="106">IF(ISERROR(H53),IF(ISERROR(H52),IF(ISERROR(H51),"BLANK",H51),H52),H53)</f>
        <v>4/23/2024</v>
      </c>
      <c r="I54" s="20">
        <f t="shared" si="106"/>
        <v>1.5</v>
      </c>
      <c r="J54" s="20" t="str">
        <f t="shared" si="106"/>
        <v>NW</v>
      </c>
      <c r="K54" s="27">
        <f t="shared" si="106"/>
        <v>0.40833333333333333</v>
      </c>
      <c r="L54" s="20">
        <f t="shared" si="106"/>
        <v>6</v>
      </c>
      <c r="M54" s="20">
        <f t="shared" si="106"/>
        <v>2</v>
      </c>
      <c r="N54" s="20">
        <f t="shared" si="106"/>
        <v>1</v>
      </c>
      <c r="O54" s="20">
        <v>16</v>
      </c>
      <c r="P54" s="20" t="s">
        <v>41</v>
      </c>
      <c r="Q54" s="21" t="str">
        <f>IF($M54=1,IF(ISERROR(VLOOKUP($P54,'M1'!$A:$C,Q$2,FALSE)),"NOT PRESENT",VLOOKUP($P54,'M1'!$A:$C,Q$2,FALSE)),IF($M54=2,IF(ISERROR(VLOOKUP(DATA!$P54,'M2'!$A:$C,Q$2,FALSE)),"NOT PRESENT",VLOOKUP(DATA!$P54,'M2'!$A:$C,Q$2,FALSE)),IF($M54=0,IF(ISERROR(VLOOKUP($P54,'M1'!$A:$C,Q$2,FALSE)),IF(ISERROR(VLOOKUP(DATA!$P54,'M2'!$A:$C,Q$2,FALSE)),"NOT PRESENT",VLOOKUP(DATA!$P54,'M2'!$A:$C,Q$2,FALSE)),VLOOKUP($P54,'M1'!$A:$C,Q$2,FALSE)),"SPECIFY METHOD")))</f>
        <v>Mesocentrotus franciscanus</v>
      </c>
      <c r="R54" s="21" t="str">
        <f>IF($M54=1,IF(ISERROR(VLOOKUP($P54,'M1'!$A:$C,R$2,FALSE)),"NOT PRESENT",VLOOKUP($P54,'M1'!$A:$C,R$2,FALSE)),IF($M54=2,IF(ISERROR(VLOOKUP(DATA!$P54,'M2'!$A:$C,R$2,FALSE)),"NOT PRESENT",VLOOKUP(DATA!$P54,'M2'!$A:$C,R$2,FALSE)),IF($M54=0,IF(ISERROR(VLOOKUP($P54,'M1'!$A:$C,R$2,FALSE)),IF(ISERROR(VLOOKUP(DATA!$P54,'M2'!$A:$C,R$2,FALSE)),"NOT PRESENT",VLOOKUP(DATA!$P54,'M2'!$A:$C,R$2,FALSE)),VLOOKUP($P54,'M1'!$A:$C,R$2,FALSE)),"SPECIFY METHOD")))</f>
        <v>Red sea urchin</v>
      </c>
      <c r="S54" s="28">
        <f t="shared" si="3"/>
        <v>13</v>
      </c>
      <c r="T54" s="20">
        <v>0</v>
      </c>
      <c r="U54" s="20">
        <v>1</v>
      </c>
      <c r="V54" s="20">
        <v>3</v>
      </c>
      <c r="W54" s="20">
        <v>3</v>
      </c>
      <c r="X54" s="20">
        <v>6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</row>
    <row r="55" spans="1:68" ht="12.75" customHeight="1">
      <c r="A55" s="21">
        <f t="shared" si="2"/>
        <v>53</v>
      </c>
      <c r="B55" s="20" t="str">
        <f t="shared" ref="B55:D55" si="107">IF(ISERROR(B54),IF(ISERROR(B53),IF(ISERROR(B52),"BLANK",B52),B53),B54)</f>
        <v>Jasmin Schuster</v>
      </c>
      <c r="C55" s="20" t="str">
        <f t="shared" si="107"/>
        <v>Tom Bird</v>
      </c>
      <c r="D55" s="20" t="str">
        <f t="shared" si="107"/>
        <v>BMSC5</v>
      </c>
      <c r="E55" s="21" t="str">
        <f>IF(ISERROR(VLOOKUP($D55,SITES!$A:$E,2,FALSE)),"",VLOOKUP($D55,SITES!$A:$E,2,FALSE))</f>
        <v>Taylor Rock</v>
      </c>
      <c r="F55" s="19">
        <f>IF(ISERROR(VLOOKUP($D55,SITES!$A:$E,3,FALSE)),"",VLOOKUP($D55,SITES!$A:$E,3,FALSE))</f>
        <v>48.8273315429687</v>
      </c>
      <c r="G55" s="22">
        <f>IF(ISERROR(VLOOKUP($D55,SITES!$A:$E,4,FALSE)),"",VLOOKUP($D55,SITES!$A:$E,4,FALSE))</f>
        <v>-125.196601867675</v>
      </c>
      <c r="H55" s="23" t="str">
        <f t="shared" ref="H55:N55" si="108">IF(ISERROR(H54),IF(ISERROR(H53),IF(ISERROR(H52),"BLANK",H52),H53),H54)</f>
        <v>4/23/2024</v>
      </c>
      <c r="I55" s="20">
        <f t="shared" si="108"/>
        <v>1.5</v>
      </c>
      <c r="J55" s="20" t="str">
        <f t="shared" si="108"/>
        <v>NW</v>
      </c>
      <c r="K55" s="27">
        <f t="shared" si="108"/>
        <v>0.40833333333333333</v>
      </c>
      <c r="L55" s="20">
        <f t="shared" si="108"/>
        <v>6</v>
      </c>
      <c r="M55" s="20">
        <f t="shared" si="108"/>
        <v>2</v>
      </c>
      <c r="N55" s="20">
        <f t="shared" si="108"/>
        <v>1</v>
      </c>
      <c r="O55" s="20">
        <v>16</v>
      </c>
      <c r="P55" s="20" t="s">
        <v>47</v>
      </c>
      <c r="Q55" s="21" t="str">
        <f>IF($M55=1,IF(ISERROR(VLOOKUP($P55,'M1'!$A:$C,Q$2,FALSE)),"NOT PRESENT",VLOOKUP($P55,'M1'!$A:$C,Q$2,FALSE)),IF($M55=2,IF(ISERROR(VLOOKUP(DATA!$P55,'M2'!$A:$C,Q$2,FALSE)),"NOT PRESENT",VLOOKUP(DATA!$P55,'M2'!$A:$C,Q$2,FALSE)),IF($M55=0,IF(ISERROR(VLOOKUP($P55,'M1'!$A:$C,Q$2,FALSE)),IF(ISERROR(VLOOKUP(DATA!$P55,'M2'!$A:$C,Q$2,FALSE)),"NOT PRESENT",VLOOKUP(DATA!$P55,'M2'!$A:$C,Q$2,FALSE)),VLOOKUP($P55,'M1'!$A:$C,Q$2,FALSE)),"SPECIFY METHOD")))</f>
        <v>Strongylocentrotus purpuratus</v>
      </c>
      <c r="R55" s="21" t="str">
        <f>IF($M55=1,IF(ISERROR(VLOOKUP($P55,'M1'!$A:$C,R$2,FALSE)),"NOT PRESENT",VLOOKUP($P55,'M1'!$A:$C,R$2,FALSE)),IF($M55=2,IF(ISERROR(VLOOKUP(DATA!$P55,'M2'!$A:$C,R$2,FALSE)),"NOT PRESENT",VLOOKUP(DATA!$P55,'M2'!$A:$C,R$2,FALSE)),IF($M55=0,IF(ISERROR(VLOOKUP($P55,'M1'!$A:$C,R$2,FALSE)),IF(ISERROR(VLOOKUP(DATA!$P55,'M2'!$A:$C,R$2,FALSE)),"NOT PRESENT",VLOOKUP(DATA!$P55,'M2'!$A:$C,R$2,FALSE)),VLOOKUP($P55,'M1'!$A:$C,R$2,FALSE)),"SPECIFY METHOD")))</f>
        <v>Purple sea urchin (?)</v>
      </c>
      <c r="S55" s="28">
        <f t="shared" si="3"/>
        <v>1</v>
      </c>
      <c r="T55" s="20">
        <v>0</v>
      </c>
      <c r="U55" s="20"/>
      <c r="V55" s="20">
        <v>1</v>
      </c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</row>
    <row r="56" spans="1:68" ht="12.75" customHeight="1">
      <c r="A56" s="21">
        <f t="shared" si="2"/>
        <v>54</v>
      </c>
      <c r="B56" s="20" t="str">
        <f t="shared" ref="B56:D56" si="109">IF(ISERROR(B55),IF(ISERROR(B54),IF(ISERROR(B53),"BLANK",B53),B54),B55)</f>
        <v>Jasmin Schuster</v>
      </c>
      <c r="C56" s="20" t="str">
        <f t="shared" si="109"/>
        <v>Tom Bird</v>
      </c>
      <c r="D56" s="20" t="str">
        <f t="shared" si="109"/>
        <v>BMSC5</v>
      </c>
      <c r="E56" s="21" t="str">
        <f>IF(ISERROR(VLOOKUP($D56,SITES!$A:$E,2,FALSE)),"",VLOOKUP($D56,SITES!$A:$E,2,FALSE))</f>
        <v>Taylor Rock</v>
      </c>
      <c r="F56" s="19">
        <f>IF(ISERROR(VLOOKUP($D56,SITES!$A:$E,3,FALSE)),"",VLOOKUP($D56,SITES!$A:$E,3,FALSE))</f>
        <v>48.8273315429687</v>
      </c>
      <c r="G56" s="22">
        <f>IF(ISERROR(VLOOKUP($D56,SITES!$A:$E,4,FALSE)),"",VLOOKUP($D56,SITES!$A:$E,4,FALSE))</f>
        <v>-125.196601867675</v>
      </c>
      <c r="H56" s="23" t="str">
        <f t="shared" ref="H56:N56" si="110">IF(ISERROR(H55),IF(ISERROR(H54),IF(ISERROR(H53),"BLANK",H53),H54),H55)</f>
        <v>4/23/2024</v>
      </c>
      <c r="I56" s="20">
        <f t="shared" si="110"/>
        <v>1.5</v>
      </c>
      <c r="J56" s="20" t="str">
        <f t="shared" si="110"/>
        <v>NW</v>
      </c>
      <c r="K56" s="27">
        <f t="shared" si="110"/>
        <v>0.40833333333333333</v>
      </c>
      <c r="L56" s="20">
        <f t="shared" si="110"/>
        <v>6</v>
      </c>
      <c r="M56" s="20">
        <f t="shared" si="110"/>
        <v>2</v>
      </c>
      <c r="N56" s="20">
        <f t="shared" si="110"/>
        <v>1</v>
      </c>
      <c r="O56" s="20">
        <v>0</v>
      </c>
      <c r="P56" s="20" t="s">
        <v>41</v>
      </c>
      <c r="Q56" s="21" t="str">
        <f>IF($M56=1,IF(ISERROR(VLOOKUP($P56,'M1'!$A:$C,Q$2,FALSE)),"NOT PRESENT",VLOOKUP($P56,'M1'!$A:$C,Q$2,FALSE)),IF($M56=2,IF(ISERROR(VLOOKUP(DATA!$P56,'M2'!$A:$C,Q$2,FALSE)),"NOT PRESENT",VLOOKUP(DATA!$P56,'M2'!$A:$C,Q$2,FALSE)),IF($M56=0,IF(ISERROR(VLOOKUP($P56,'M1'!$A:$C,Q$2,FALSE)),IF(ISERROR(VLOOKUP(DATA!$P56,'M2'!$A:$C,Q$2,FALSE)),"NOT PRESENT",VLOOKUP(DATA!$P56,'M2'!$A:$C,Q$2,FALSE)),VLOOKUP($P56,'M1'!$A:$C,Q$2,FALSE)),"SPECIFY METHOD")))</f>
        <v>Mesocentrotus franciscanus</v>
      </c>
      <c r="R56" s="21" t="str">
        <f>IF($M56=1,IF(ISERROR(VLOOKUP($P56,'M1'!$A:$C,R$2,FALSE)),"NOT PRESENT",VLOOKUP($P56,'M1'!$A:$C,R$2,FALSE)),IF($M56=2,IF(ISERROR(VLOOKUP(DATA!$P56,'M2'!$A:$C,R$2,FALSE)),"NOT PRESENT",VLOOKUP(DATA!$P56,'M2'!$A:$C,R$2,FALSE)),IF($M56=0,IF(ISERROR(VLOOKUP($P56,'M1'!$A:$C,R$2,FALSE)),IF(ISERROR(VLOOKUP(DATA!$P56,'M2'!$A:$C,R$2,FALSE)),"NOT PRESENT",VLOOKUP(DATA!$P56,'M2'!$A:$C,R$2,FALSE)),VLOOKUP($P56,'M1'!$A:$C,R$2,FALSE)),"SPECIFY METHOD")))</f>
        <v>Red sea urchin</v>
      </c>
      <c r="S56" s="28">
        <f t="shared" si="3"/>
        <v>3</v>
      </c>
      <c r="T56" s="20">
        <v>0</v>
      </c>
      <c r="U56" s="20"/>
      <c r="V56" s="20"/>
      <c r="W56" s="20">
        <v>3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</row>
    <row r="57" spans="1:68" ht="12.75" customHeight="1">
      <c r="A57" s="21">
        <f t="shared" si="2"/>
        <v>55</v>
      </c>
      <c r="B57" s="20" t="str">
        <f t="shared" ref="B57:C57" si="111">IF(ISERROR(B56),IF(ISERROR(B55),IF(ISERROR(B54),"BLANK",B54),B55),B56)</f>
        <v>Jasmin Schuster</v>
      </c>
      <c r="C57" s="20" t="str">
        <f t="shared" si="111"/>
        <v>Tom Bird</v>
      </c>
      <c r="D57" s="20" t="s">
        <v>48</v>
      </c>
      <c r="E57" s="21" t="str">
        <f>IF(ISERROR(VLOOKUP($D57,SITES!$A:$E,2,FALSE)),"",VLOOKUP($D57,SITES!$A:$E,2,FALSE))</f>
        <v>Eagle Bay</v>
      </c>
      <c r="F57" s="19">
        <f>IF(ISERROR(VLOOKUP($D57,SITES!$A:$E,3,FALSE)),"",VLOOKUP($D57,SITES!$A:$E,3,FALSE))</f>
        <v>48.834789276122997</v>
      </c>
      <c r="G57" s="22">
        <f>IF(ISERROR(VLOOKUP($D57,SITES!$A:$E,4,FALSE)),"",VLOOKUP($D57,SITES!$A:$E,4,FALSE))</f>
        <v>-125.14702606201099</v>
      </c>
      <c r="H57" s="23" t="str">
        <f t="shared" ref="H57:H87" si="112">IF(ISERROR(H56),IF(ISERROR(H55),IF(ISERROR(H54),"BLANK",H54),H55),H56)</f>
        <v>4/23/2024</v>
      </c>
      <c r="I57" s="20">
        <v>2</v>
      </c>
      <c r="J57" s="20" t="s">
        <v>33</v>
      </c>
      <c r="K57" s="27">
        <v>0.52500000000000002</v>
      </c>
      <c r="L57" s="20">
        <v>6.5</v>
      </c>
      <c r="M57" s="20">
        <f t="shared" ref="M57:N57" si="113">IF(ISERROR(M56),IF(ISERROR(M55),IF(ISERROR(M54),"BLANK",M54),M55),M56)</f>
        <v>2</v>
      </c>
      <c r="N57" s="20">
        <f t="shared" si="113"/>
        <v>1</v>
      </c>
      <c r="O57" s="20">
        <v>48</v>
      </c>
      <c r="P57" s="20" t="str">
        <f>IF(ISERROR(P56),IF(ISERROR(P55),IF(ISERROR(P54),"BLANK",P54),P55),P56)</f>
        <v>mfra</v>
      </c>
      <c r="Q57" s="21" t="str">
        <f>IF($M57=1,IF(ISERROR(VLOOKUP($P57,'M1'!$A:$C,Q$2,FALSE)),"NOT PRESENT",VLOOKUP($P57,'M1'!$A:$C,Q$2,FALSE)),IF($M57=2,IF(ISERROR(VLOOKUP(DATA!$P57,'M2'!$A:$C,Q$2,FALSE)),"NOT PRESENT",VLOOKUP(DATA!$P57,'M2'!$A:$C,Q$2,FALSE)),IF($M57=0,IF(ISERROR(VLOOKUP($P57,'M1'!$A:$C,Q$2,FALSE)),IF(ISERROR(VLOOKUP(DATA!$P57,'M2'!$A:$C,Q$2,FALSE)),"NOT PRESENT",VLOOKUP(DATA!$P57,'M2'!$A:$C,Q$2,FALSE)),VLOOKUP($P57,'M1'!$A:$C,Q$2,FALSE)),"SPECIFY METHOD")))</f>
        <v>Mesocentrotus franciscanus</v>
      </c>
      <c r="R57" s="21" t="str">
        <f>IF($M57=1,IF(ISERROR(VLOOKUP($P57,'M1'!$A:$C,R$2,FALSE)),"NOT PRESENT",VLOOKUP($P57,'M1'!$A:$C,R$2,FALSE)),IF($M57=2,IF(ISERROR(VLOOKUP(DATA!$P57,'M2'!$A:$C,R$2,FALSE)),"NOT PRESENT",VLOOKUP(DATA!$P57,'M2'!$A:$C,R$2,FALSE)),IF($M57=0,IF(ISERROR(VLOOKUP($P57,'M1'!$A:$C,R$2,FALSE)),IF(ISERROR(VLOOKUP(DATA!$P57,'M2'!$A:$C,R$2,FALSE)),"NOT PRESENT",VLOOKUP(DATA!$P57,'M2'!$A:$C,R$2,FALSE)),VLOOKUP($P57,'M1'!$A:$C,R$2,FALSE)),"SPECIFY METHOD")))</f>
        <v>Red sea urchin</v>
      </c>
      <c r="S57" s="28">
        <f t="shared" si="3"/>
        <v>4</v>
      </c>
      <c r="T57" s="20">
        <v>0</v>
      </c>
      <c r="U57" s="20"/>
      <c r="V57" s="20">
        <v>2</v>
      </c>
      <c r="W57" s="20">
        <v>2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</row>
    <row r="58" spans="1:68" ht="12.75" customHeight="1">
      <c r="A58" s="21">
        <f t="shared" si="2"/>
        <v>56</v>
      </c>
      <c r="B58" s="20" t="str">
        <f t="shared" ref="B58:D58" si="114">IF(ISERROR(B57),IF(ISERROR(B56),IF(ISERROR(B55),"BLANK",B55),B56),B57)</f>
        <v>Jasmin Schuster</v>
      </c>
      <c r="C58" s="20" t="str">
        <f t="shared" si="114"/>
        <v>Tom Bird</v>
      </c>
      <c r="D58" s="20" t="str">
        <f t="shared" si="114"/>
        <v>BMSC9</v>
      </c>
      <c r="E58" s="21" t="str">
        <f>IF(ISERROR(VLOOKUP($D58,SITES!$A:$E,2,FALSE)),"",VLOOKUP($D58,SITES!$A:$E,2,FALSE))</f>
        <v>Eagle Bay</v>
      </c>
      <c r="F58" s="19">
        <f>IF(ISERROR(VLOOKUP($D58,SITES!$A:$E,3,FALSE)),"",VLOOKUP($D58,SITES!$A:$E,3,FALSE))</f>
        <v>48.834789276122997</v>
      </c>
      <c r="G58" s="22">
        <f>IF(ISERROR(VLOOKUP($D58,SITES!$A:$E,4,FALSE)),"",VLOOKUP($D58,SITES!$A:$E,4,FALSE))</f>
        <v>-125.14702606201099</v>
      </c>
      <c r="H58" s="23" t="str">
        <f t="shared" si="112"/>
        <v>4/23/2024</v>
      </c>
      <c r="I58" s="20">
        <f t="shared" ref="I58:N58" si="115">IF(ISERROR(I57),IF(ISERROR(I56),IF(ISERROR(I55),"BLANK",I55),I56),I57)</f>
        <v>2</v>
      </c>
      <c r="J58" s="20" t="str">
        <f t="shared" si="115"/>
        <v>SW</v>
      </c>
      <c r="K58" s="27">
        <f t="shared" si="115"/>
        <v>0.52500000000000002</v>
      </c>
      <c r="L58" s="20">
        <f t="shared" si="115"/>
        <v>6.5</v>
      </c>
      <c r="M58" s="20">
        <f t="shared" si="115"/>
        <v>2</v>
      </c>
      <c r="N58" s="20">
        <f t="shared" si="115"/>
        <v>1</v>
      </c>
      <c r="O58" s="20">
        <v>48</v>
      </c>
      <c r="P58" s="20" t="s">
        <v>28</v>
      </c>
      <c r="Q58" s="21" t="str">
        <f>IF($M58=1,IF(ISERROR(VLOOKUP($P58,'M1'!$A:$C,Q$2,FALSE)),"NOT PRESENT",VLOOKUP($P58,'M1'!$A:$C,Q$2,FALSE)),IF($M58=2,IF(ISERROR(VLOOKUP(DATA!$P58,'M2'!$A:$C,Q$2,FALSE)),"NOT PRESENT",VLOOKUP(DATA!$P58,'M2'!$A:$C,Q$2,FALSE)),IF($M58=0,IF(ISERROR(VLOOKUP($P58,'M1'!$A:$C,Q$2,FALSE)),IF(ISERROR(VLOOKUP(DATA!$P58,'M2'!$A:$C,Q$2,FALSE)),"NOT PRESENT",VLOOKUP(DATA!$P58,'M2'!$A:$C,Q$2,FALSE)),VLOOKUP($P58,'M1'!$A:$C,Q$2,FALSE)),"SPECIFY METHOD")))</f>
        <v>Patiria miniata</v>
      </c>
      <c r="R58" s="21" t="str">
        <f>IF($M58=1,IF(ISERROR(VLOOKUP($P58,'M1'!$A:$C,R$2,FALSE)),"NOT PRESENT",VLOOKUP($P58,'M1'!$A:$C,R$2,FALSE)),IF($M58=2,IF(ISERROR(VLOOKUP(DATA!$P58,'M2'!$A:$C,R$2,FALSE)),"NOT PRESENT",VLOOKUP(DATA!$P58,'M2'!$A:$C,R$2,FALSE)),IF($M58=0,IF(ISERROR(VLOOKUP($P58,'M1'!$A:$C,R$2,FALSE)),IF(ISERROR(VLOOKUP(DATA!$P58,'M2'!$A:$C,R$2,FALSE)),"NOT PRESENT",VLOOKUP(DATA!$P58,'M2'!$A:$C,R$2,FALSE)),VLOOKUP($P58,'M1'!$A:$C,R$2,FALSE)),"SPECIFY METHOD")))</f>
        <v>Bat star</v>
      </c>
      <c r="S58" s="28">
        <f t="shared" si="3"/>
        <v>1</v>
      </c>
      <c r="T58" s="20">
        <v>0</v>
      </c>
      <c r="U58" s="20"/>
      <c r="V58" s="20"/>
      <c r="W58" s="20"/>
      <c r="X58" s="20"/>
      <c r="Y58" s="20">
        <v>1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</row>
    <row r="59" spans="1:68" ht="12.75" customHeight="1">
      <c r="A59" s="21">
        <f t="shared" si="2"/>
        <v>57</v>
      </c>
      <c r="B59" s="20" t="str">
        <f t="shared" ref="B59:D59" si="116">IF(ISERROR(B58),IF(ISERROR(B57),IF(ISERROR(B56),"BLANK",B56),B57),B58)</f>
        <v>Jasmin Schuster</v>
      </c>
      <c r="C59" s="20" t="str">
        <f t="shared" si="116"/>
        <v>Tom Bird</v>
      </c>
      <c r="D59" s="20" t="str">
        <f t="shared" si="116"/>
        <v>BMSC9</v>
      </c>
      <c r="E59" s="21" t="str">
        <f>IF(ISERROR(VLOOKUP($D59,SITES!$A:$E,2,FALSE)),"",VLOOKUP($D59,SITES!$A:$E,2,FALSE))</f>
        <v>Eagle Bay</v>
      </c>
      <c r="F59" s="19">
        <f>IF(ISERROR(VLOOKUP($D59,SITES!$A:$E,3,FALSE)),"",VLOOKUP($D59,SITES!$A:$E,3,FALSE))</f>
        <v>48.834789276122997</v>
      </c>
      <c r="G59" s="22">
        <f>IF(ISERROR(VLOOKUP($D59,SITES!$A:$E,4,FALSE)),"",VLOOKUP($D59,SITES!$A:$E,4,FALSE))</f>
        <v>-125.14702606201099</v>
      </c>
      <c r="H59" s="23" t="str">
        <f t="shared" si="112"/>
        <v>4/23/2024</v>
      </c>
      <c r="I59" s="20">
        <f t="shared" ref="I59:N59" si="117">IF(ISERROR(I58),IF(ISERROR(I57),IF(ISERROR(I56),"BLANK",I56),I57),I58)</f>
        <v>2</v>
      </c>
      <c r="J59" s="20" t="str">
        <f t="shared" si="117"/>
        <v>SW</v>
      </c>
      <c r="K59" s="27">
        <f t="shared" si="117"/>
        <v>0.52500000000000002</v>
      </c>
      <c r="L59" s="20">
        <f t="shared" si="117"/>
        <v>6.5</v>
      </c>
      <c r="M59" s="20">
        <f t="shared" si="117"/>
        <v>2</v>
      </c>
      <c r="N59" s="20">
        <f t="shared" si="117"/>
        <v>1</v>
      </c>
      <c r="O59" s="20">
        <v>40</v>
      </c>
      <c r="P59" s="20" t="s">
        <v>41</v>
      </c>
      <c r="Q59" s="21" t="str">
        <f>IF($M59=1,IF(ISERROR(VLOOKUP($P59,'M1'!$A:$C,Q$2,FALSE)),"NOT PRESENT",VLOOKUP($P59,'M1'!$A:$C,Q$2,FALSE)),IF($M59=2,IF(ISERROR(VLOOKUP(DATA!$P59,'M2'!$A:$C,Q$2,FALSE)),"NOT PRESENT",VLOOKUP(DATA!$P59,'M2'!$A:$C,Q$2,FALSE)),IF($M59=0,IF(ISERROR(VLOOKUP($P59,'M1'!$A:$C,Q$2,FALSE)),IF(ISERROR(VLOOKUP(DATA!$P59,'M2'!$A:$C,Q$2,FALSE)),"NOT PRESENT",VLOOKUP(DATA!$P59,'M2'!$A:$C,Q$2,FALSE)),VLOOKUP($P59,'M1'!$A:$C,Q$2,FALSE)),"SPECIFY METHOD")))</f>
        <v>Mesocentrotus franciscanus</v>
      </c>
      <c r="R59" s="21" t="str">
        <f>IF($M59=1,IF(ISERROR(VLOOKUP($P59,'M1'!$A:$C,R$2,FALSE)),"NOT PRESENT",VLOOKUP($P59,'M1'!$A:$C,R$2,FALSE)),IF($M59=2,IF(ISERROR(VLOOKUP(DATA!$P59,'M2'!$A:$C,R$2,FALSE)),"NOT PRESENT",VLOOKUP(DATA!$P59,'M2'!$A:$C,R$2,FALSE)),IF($M59=0,IF(ISERROR(VLOOKUP($P59,'M1'!$A:$C,R$2,FALSE)),IF(ISERROR(VLOOKUP(DATA!$P59,'M2'!$A:$C,R$2,FALSE)),"NOT PRESENT",VLOOKUP(DATA!$P59,'M2'!$A:$C,R$2,FALSE)),VLOOKUP($P59,'M1'!$A:$C,R$2,FALSE)),"SPECIFY METHOD")))</f>
        <v>Red sea urchin</v>
      </c>
      <c r="S59" s="28">
        <f t="shared" si="3"/>
        <v>5</v>
      </c>
      <c r="T59" s="20">
        <v>0</v>
      </c>
      <c r="U59" s="20"/>
      <c r="V59" s="20">
        <v>2</v>
      </c>
      <c r="W59" s="20">
        <v>1</v>
      </c>
      <c r="X59" s="20">
        <v>2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</row>
    <row r="60" spans="1:68" ht="12.75" customHeight="1">
      <c r="A60" s="21">
        <f t="shared" si="2"/>
        <v>58</v>
      </c>
      <c r="B60" s="20" t="str">
        <f t="shared" ref="B60:D60" si="118">IF(ISERROR(B59),IF(ISERROR(B58),IF(ISERROR(B57),"BLANK",B57),B58),B59)</f>
        <v>Jasmin Schuster</v>
      </c>
      <c r="C60" s="20" t="str">
        <f t="shared" si="118"/>
        <v>Tom Bird</v>
      </c>
      <c r="D60" s="20" t="str">
        <f t="shared" si="118"/>
        <v>BMSC9</v>
      </c>
      <c r="E60" s="21" t="str">
        <f>IF(ISERROR(VLOOKUP($D60,SITES!$A:$E,2,FALSE)),"",VLOOKUP($D60,SITES!$A:$E,2,FALSE))</f>
        <v>Eagle Bay</v>
      </c>
      <c r="F60" s="19">
        <f>IF(ISERROR(VLOOKUP($D60,SITES!$A:$E,3,FALSE)),"",VLOOKUP($D60,SITES!$A:$E,3,FALSE))</f>
        <v>48.834789276122997</v>
      </c>
      <c r="G60" s="22">
        <f>IF(ISERROR(VLOOKUP($D60,SITES!$A:$E,4,FALSE)),"",VLOOKUP($D60,SITES!$A:$E,4,FALSE))</f>
        <v>-125.14702606201099</v>
      </c>
      <c r="H60" s="23" t="str">
        <f t="shared" si="112"/>
        <v>4/23/2024</v>
      </c>
      <c r="I60" s="20">
        <f t="shared" ref="I60:N60" si="119">IF(ISERROR(I59),IF(ISERROR(I58),IF(ISERROR(I57),"BLANK",I57),I58),I59)</f>
        <v>2</v>
      </c>
      <c r="J60" s="20" t="str">
        <f t="shared" si="119"/>
        <v>SW</v>
      </c>
      <c r="K60" s="27">
        <f t="shared" si="119"/>
        <v>0.52500000000000002</v>
      </c>
      <c r="L60" s="20">
        <f t="shared" si="119"/>
        <v>6.5</v>
      </c>
      <c r="M60" s="20">
        <f t="shared" si="119"/>
        <v>2</v>
      </c>
      <c r="N60" s="20">
        <f t="shared" si="119"/>
        <v>1</v>
      </c>
      <c r="O60" s="20">
        <v>32</v>
      </c>
      <c r="P60" s="20" t="s">
        <v>28</v>
      </c>
      <c r="Q60" s="21" t="str">
        <f>IF($M60=1,IF(ISERROR(VLOOKUP($P60,'M1'!$A:$C,Q$2,FALSE)),"NOT PRESENT",VLOOKUP($P60,'M1'!$A:$C,Q$2,FALSE)),IF($M60=2,IF(ISERROR(VLOOKUP(DATA!$P60,'M2'!$A:$C,Q$2,FALSE)),"NOT PRESENT",VLOOKUP(DATA!$P60,'M2'!$A:$C,Q$2,FALSE)),IF($M60=0,IF(ISERROR(VLOOKUP($P60,'M1'!$A:$C,Q$2,FALSE)),IF(ISERROR(VLOOKUP(DATA!$P60,'M2'!$A:$C,Q$2,FALSE)),"NOT PRESENT",VLOOKUP(DATA!$P60,'M2'!$A:$C,Q$2,FALSE)),VLOOKUP($P60,'M1'!$A:$C,Q$2,FALSE)),"SPECIFY METHOD")))</f>
        <v>Patiria miniata</v>
      </c>
      <c r="R60" s="21" t="str">
        <f>IF($M60=1,IF(ISERROR(VLOOKUP($P60,'M1'!$A:$C,R$2,FALSE)),"NOT PRESENT",VLOOKUP($P60,'M1'!$A:$C,R$2,FALSE)),IF($M60=2,IF(ISERROR(VLOOKUP(DATA!$P60,'M2'!$A:$C,R$2,FALSE)),"NOT PRESENT",VLOOKUP(DATA!$P60,'M2'!$A:$C,R$2,FALSE)),IF($M60=0,IF(ISERROR(VLOOKUP($P60,'M1'!$A:$C,R$2,FALSE)),IF(ISERROR(VLOOKUP(DATA!$P60,'M2'!$A:$C,R$2,FALSE)),"NOT PRESENT",VLOOKUP(DATA!$P60,'M2'!$A:$C,R$2,FALSE)),VLOOKUP($P60,'M1'!$A:$C,R$2,FALSE)),"SPECIFY METHOD")))</f>
        <v>Bat star</v>
      </c>
      <c r="S60" s="28">
        <f t="shared" si="3"/>
        <v>1</v>
      </c>
      <c r="T60" s="20">
        <v>0</v>
      </c>
      <c r="U60" s="20"/>
      <c r="V60" s="20"/>
      <c r="W60" s="20"/>
      <c r="X60" s="20"/>
      <c r="Y60" s="20">
        <v>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</row>
    <row r="61" spans="1:68" ht="12.75" customHeight="1">
      <c r="A61" s="21">
        <f t="shared" si="2"/>
        <v>59</v>
      </c>
      <c r="B61" s="20" t="str">
        <f t="shared" ref="B61:D61" si="120">IF(ISERROR(B60),IF(ISERROR(B59),IF(ISERROR(B58),"BLANK",B58),B59),B60)</f>
        <v>Jasmin Schuster</v>
      </c>
      <c r="C61" s="20" t="str">
        <f t="shared" si="120"/>
        <v>Tom Bird</v>
      </c>
      <c r="D61" s="20" t="str">
        <f t="shared" si="120"/>
        <v>BMSC9</v>
      </c>
      <c r="E61" s="21" t="str">
        <f>IF(ISERROR(VLOOKUP($D61,SITES!$A:$E,2,FALSE)),"",VLOOKUP($D61,SITES!$A:$E,2,FALSE))</f>
        <v>Eagle Bay</v>
      </c>
      <c r="F61" s="19">
        <f>IF(ISERROR(VLOOKUP($D61,SITES!$A:$E,3,FALSE)),"",VLOOKUP($D61,SITES!$A:$E,3,FALSE))</f>
        <v>48.834789276122997</v>
      </c>
      <c r="G61" s="22">
        <f>IF(ISERROR(VLOOKUP($D61,SITES!$A:$E,4,FALSE)),"",VLOOKUP($D61,SITES!$A:$E,4,FALSE))</f>
        <v>-125.14702606201099</v>
      </c>
      <c r="H61" s="23" t="str">
        <f t="shared" si="112"/>
        <v>4/23/2024</v>
      </c>
      <c r="I61" s="20">
        <f t="shared" ref="I61:N61" si="121">IF(ISERROR(I60),IF(ISERROR(I59),IF(ISERROR(I58),"BLANK",I58),I59),I60)</f>
        <v>2</v>
      </c>
      <c r="J61" s="20" t="str">
        <f t="shared" si="121"/>
        <v>SW</v>
      </c>
      <c r="K61" s="27">
        <f t="shared" si="121"/>
        <v>0.52500000000000002</v>
      </c>
      <c r="L61" s="20">
        <f t="shared" si="121"/>
        <v>6.5</v>
      </c>
      <c r="M61" s="20">
        <f t="shared" si="121"/>
        <v>2</v>
      </c>
      <c r="N61" s="20">
        <f t="shared" si="121"/>
        <v>1</v>
      </c>
      <c r="O61" s="20">
        <v>24</v>
      </c>
      <c r="P61" s="20" t="s">
        <v>41</v>
      </c>
      <c r="Q61" s="21" t="str">
        <f>IF($M61=1,IF(ISERROR(VLOOKUP($P61,'M1'!$A:$C,Q$2,FALSE)),"NOT PRESENT",VLOOKUP($P61,'M1'!$A:$C,Q$2,FALSE)),IF($M61=2,IF(ISERROR(VLOOKUP(DATA!$P61,'M2'!$A:$C,Q$2,FALSE)),"NOT PRESENT",VLOOKUP(DATA!$P61,'M2'!$A:$C,Q$2,FALSE)),IF($M61=0,IF(ISERROR(VLOOKUP($P61,'M1'!$A:$C,Q$2,FALSE)),IF(ISERROR(VLOOKUP(DATA!$P61,'M2'!$A:$C,Q$2,FALSE)),"NOT PRESENT",VLOOKUP(DATA!$P61,'M2'!$A:$C,Q$2,FALSE)),VLOOKUP($P61,'M1'!$A:$C,Q$2,FALSE)),"SPECIFY METHOD")))</f>
        <v>Mesocentrotus franciscanus</v>
      </c>
      <c r="R61" s="21" t="str">
        <f>IF($M61=1,IF(ISERROR(VLOOKUP($P61,'M1'!$A:$C,R$2,FALSE)),"NOT PRESENT",VLOOKUP($P61,'M1'!$A:$C,R$2,FALSE)),IF($M61=2,IF(ISERROR(VLOOKUP(DATA!$P61,'M2'!$A:$C,R$2,FALSE)),"NOT PRESENT",VLOOKUP(DATA!$P61,'M2'!$A:$C,R$2,FALSE)),IF($M61=0,IF(ISERROR(VLOOKUP($P61,'M1'!$A:$C,R$2,FALSE)),IF(ISERROR(VLOOKUP(DATA!$P61,'M2'!$A:$C,R$2,FALSE)),"NOT PRESENT",VLOOKUP(DATA!$P61,'M2'!$A:$C,R$2,FALSE)),VLOOKUP($P61,'M1'!$A:$C,R$2,FALSE)),"SPECIFY METHOD")))</f>
        <v>Red sea urchin</v>
      </c>
      <c r="S61" s="28">
        <f t="shared" si="3"/>
        <v>5</v>
      </c>
      <c r="T61" s="20">
        <v>0</v>
      </c>
      <c r="U61" s="20"/>
      <c r="V61" s="20"/>
      <c r="W61" s="20">
        <v>5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</row>
    <row r="62" spans="1:68" ht="12.75" customHeight="1">
      <c r="A62" s="21">
        <f t="shared" si="2"/>
        <v>60</v>
      </c>
      <c r="B62" s="20" t="str">
        <f t="shared" ref="B62:D62" si="122">IF(ISERROR(B61),IF(ISERROR(B60),IF(ISERROR(B59),"BLANK",B59),B60),B61)</f>
        <v>Jasmin Schuster</v>
      </c>
      <c r="C62" s="20" t="str">
        <f t="shared" si="122"/>
        <v>Tom Bird</v>
      </c>
      <c r="D62" s="20" t="str">
        <f t="shared" si="122"/>
        <v>BMSC9</v>
      </c>
      <c r="E62" s="21" t="str">
        <f>IF(ISERROR(VLOOKUP($D62,SITES!$A:$E,2,FALSE)),"",VLOOKUP($D62,SITES!$A:$E,2,FALSE))</f>
        <v>Eagle Bay</v>
      </c>
      <c r="F62" s="19">
        <f>IF(ISERROR(VLOOKUP($D62,SITES!$A:$E,3,FALSE)),"",VLOOKUP($D62,SITES!$A:$E,3,FALSE))</f>
        <v>48.834789276122997</v>
      </c>
      <c r="G62" s="22">
        <f>IF(ISERROR(VLOOKUP($D62,SITES!$A:$E,4,FALSE)),"",VLOOKUP($D62,SITES!$A:$E,4,FALSE))</f>
        <v>-125.14702606201099</v>
      </c>
      <c r="H62" s="23" t="str">
        <f t="shared" si="112"/>
        <v>4/23/2024</v>
      </c>
      <c r="I62" s="20">
        <f t="shared" ref="I62:N62" si="123">IF(ISERROR(I61),IF(ISERROR(I60),IF(ISERROR(I59),"BLANK",I59),I60),I61)</f>
        <v>2</v>
      </c>
      <c r="J62" s="20" t="str">
        <f t="shared" si="123"/>
        <v>SW</v>
      </c>
      <c r="K62" s="27">
        <f t="shared" si="123"/>
        <v>0.52500000000000002</v>
      </c>
      <c r="L62" s="20">
        <f t="shared" si="123"/>
        <v>6.5</v>
      </c>
      <c r="M62" s="20">
        <f t="shared" si="123"/>
        <v>2</v>
      </c>
      <c r="N62" s="20">
        <f t="shared" si="123"/>
        <v>1</v>
      </c>
      <c r="O62" s="20">
        <v>24</v>
      </c>
      <c r="P62" s="20" t="s">
        <v>30</v>
      </c>
      <c r="Q62" s="21" t="str">
        <f>IF($M62=1,IF(ISERROR(VLOOKUP($P62,'M1'!$A:$C,Q$2,FALSE)),"NOT PRESENT",VLOOKUP($P62,'M1'!$A:$C,Q$2,FALSE)),IF($M62=2,IF(ISERROR(VLOOKUP(DATA!$P62,'M2'!$A:$C,Q$2,FALSE)),"NOT PRESENT",VLOOKUP(DATA!$P62,'M2'!$A:$C,Q$2,FALSE)),IF($M62=0,IF(ISERROR(VLOOKUP($P62,'M1'!$A:$C,Q$2,FALSE)),IF(ISERROR(VLOOKUP(DATA!$P62,'M2'!$A:$C,Q$2,FALSE)),"NOT PRESENT",VLOOKUP(DATA!$P62,'M2'!$A:$C,Q$2,FALSE)),VLOOKUP($P62,'M1'!$A:$C,Q$2,FALSE)),"SPECIFY METHOD")))</f>
        <v>Pisaster ochraceus</v>
      </c>
      <c r="R62" s="21" t="str">
        <f>IF($M62=1,IF(ISERROR(VLOOKUP($P62,'M1'!$A:$C,R$2,FALSE)),"NOT PRESENT",VLOOKUP($P62,'M1'!$A:$C,R$2,FALSE)),IF($M62=2,IF(ISERROR(VLOOKUP(DATA!$P62,'M2'!$A:$C,R$2,FALSE)),"NOT PRESENT",VLOOKUP(DATA!$P62,'M2'!$A:$C,R$2,FALSE)),IF($M62=0,IF(ISERROR(VLOOKUP($P62,'M1'!$A:$C,R$2,FALSE)),IF(ISERROR(VLOOKUP(DATA!$P62,'M2'!$A:$C,R$2,FALSE)),"NOT PRESENT",VLOOKUP(DATA!$P62,'M2'!$A:$C,R$2,FALSE)),VLOOKUP($P62,'M1'!$A:$C,R$2,FALSE)),"SPECIFY METHOD")))</f>
        <v>Purple sea star</v>
      </c>
      <c r="S62" s="28">
        <f t="shared" si="3"/>
        <v>1</v>
      </c>
      <c r="T62" s="20">
        <v>0</v>
      </c>
      <c r="U62" s="20"/>
      <c r="V62" s="20"/>
      <c r="W62" s="20"/>
      <c r="X62" s="20"/>
      <c r="Y62" s="20"/>
      <c r="Z62" s="20">
        <v>1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</row>
    <row r="63" spans="1:68" ht="12.75" customHeight="1">
      <c r="A63" s="21">
        <f t="shared" si="2"/>
        <v>61</v>
      </c>
      <c r="B63" s="20" t="str">
        <f t="shared" ref="B63:D63" si="124">IF(ISERROR(B62),IF(ISERROR(B61),IF(ISERROR(B60),"BLANK",B60),B61),B62)</f>
        <v>Jasmin Schuster</v>
      </c>
      <c r="C63" s="20" t="str">
        <f t="shared" si="124"/>
        <v>Tom Bird</v>
      </c>
      <c r="D63" s="20" t="str">
        <f t="shared" si="124"/>
        <v>BMSC9</v>
      </c>
      <c r="E63" s="21" t="str">
        <f>IF(ISERROR(VLOOKUP($D63,SITES!$A:$E,2,FALSE)),"",VLOOKUP($D63,SITES!$A:$E,2,FALSE))</f>
        <v>Eagle Bay</v>
      </c>
      <c r="F63" s="19">
        <f>IF(ISERROR(VLOOKUP($D63,SITES!$A:$E,3,FALSE)),"",VLOOKUP($D63,SITES!$A:$E,3,FALSE))</f>
        <v>48.834789276122997</v>
      </c>
      <c r="G63" s="22">
        <f>IF(ISERROR(VLOOKUP($D63,SITES!$A:$E,4,FALSE)),"",VLOOKUP($D63,SITES!$A:$E,4,FALSE))</f>
        <v>-125.14702606201099</v>
      </c>
      <c r="H63" s="23" t="str">
        <f t="shared" si="112"/>
        <v>4/23/2024</v>
      </c>
      <c r="I63" s="20">
        <f t="shared" ref="I63:N63" si="125">IF(ISERROR(I62),IF(ISERROR(I61),IF(ISERROR(I60),"BLANK",I60),I61),I62)</f>
        <v>2</v>
      </c>
      <c r="J63" s="20" t="str">
        <f t="shared" si="125"/>
        <v>SW</v>
      </c>
      <c r="K63" s="27">
        <f t="shared" si="125"/>
        <v>0.52500000000000002</v>
      </c>
      <c r="L63" s="20">
        <f t="shared" si="125"/>
        <v>6.5</v>
      </c>
      <c r="M63" s="20">
        <f t="shared" si="125"/>
        <v>2</v>
      </c>
      <c r="N63" s="20">
        <f t="shared" si="125"/>
        <v>1</v>
      </c>
      <c r="O63" s="20">
        <v>24</v>
      </c>
      <c r="P63" s="20" t="s">
        <v>49</v>
      </c>
      <c r="Q63" s="21" t="str">
        <f>IF($M63=1,IF(ISERROR(VLOOKUP($P63,'M1'!$A:$C,Q$2,FALSE)),"NOT PRESENT",VLOOKUP($P63,'M1'!$A:$C,Q$2,FALSE)),IF($M63=2,IF(ISERROR(VLOOKUP(DATA!$P63,'M2'!$A:$C,Q$2,FALSE)),"NOT PRESENT",VLOOKUP(DATA!$P63,'M2'!$A:$C,Q$2,FALSE)),IF($M63=0,IF(ISERROR(VLOOKUP($P63,'M1'!$A:$C,Q$2,FALSE)),IF(ISERROR(VLOOKUP(DATA!$P63,'M2'!$A:$C,Q$2,FALSE)),"NOT PRESENT",VLOOKUP(DATA!$P63,'M2'!$A:$C,Q$2,FALSE)),VLOOKUP($P63,'M1'!$A:$C,Q$2,FALSE)),"SPECIFY METHOD")))</f>
        <v>Henricia sp.</v>
      </c>
      <c r="R63" s="21" t="str">
        <f>IF($M63=1,IF(ISERROR(VLOOKUP($P63,'M1'!$A:$C,R$2,FALSE)),"NOT PRESENT",VLOOKUP($P63,'M1'!$A:$C,R$2,FALSE)),IF($M63=2,IF(ISERROR(VLOOKUP(DATA!$P63,'M2'!$A:$C,R$2,FALSE)),"NOT PRESENT",VLOOKUP(DATA!$P63,'M2'!$A:$C,R$2,FALSE)),IF($M63=0,IF(ISERROR(VLOOKUP($P63,'M1'!$A:$C,R$2,FALSE)),IF(ISERROR(VLOOKUP(DATA!$P63,'M2'!$A:$C,R$2,FALSE)),"NOT PRESENT",VLOOKUP(DATA!$P63,'M2'!$A:$C,R$2,FALSE)),VLOOKUP($P63,'M1'!$A:$C,R$2,FALSE)),"SPECIFY METHOD")))</f>
        <v>Unidentified blood star</v>
      </c>
      <c r="S63" s="28">
        <f t="shared" si="3"/>
        <v>1</v>
      </c>
      <c r="T63" s="20">
        <v>0</v>
      </c>
      <c r="U63" s="20"/>
      <c r="V63" s="20"/>
      <c r="W63" s="20">
        <v>1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</row>
    <row r="64" spans="1:68" ht="12.75" customHeight="1">
      <c r="A64" s="21">
        <f t="shared" si="2"/>
        <v>62</v>
      </c>
      <c r="B64" s="20" t="str">
        <f t="shared" ref="B64:D64" si="126">IF(ISERROR(B63),IF(ISERROR(B62),IF(ISERROR(B61),"BLANK",B61),B62),B63)</f>
        <v>Jasmin Schuster</v>
      </c>
      <c r="C64" s="20" t="str">
        <f t="shared" si="126"/>
        <v>Tom Bird</v>
      </c>
      <c r="D64" s="20" t="str">
        <f t="shared" si="126"/>
        <v>BMSC9</v>
      </c>
      <c r="E64" s="21" t="str">
        <f>IF(ISERROR(VLOOKUP($D64,SITES!$A:$E,2,FALSE)),"",VLOOKUP($D64,SITES!$A:$E,2,FALSE))</f>
        <v>Eagle Bay</v>
      </c>
      <c r="F64" s="19">
        <f>IF(ISERROR(VLOOKUP($D64,SITES!$A:$E,3,FALSE)),"",VLOOKUP($D64,SITES!$A:$E,3,FALSE))</f>
        <v>48.834789276122997</v>
      </c>
      <c r="G64" s="22">
        <f>IF(ISERROR(VLOOKUP($D64,SITES!$A:$E,4,FALSE)),"",VLOOKUP($D64,SITES!$A:$E,4,FALSE))</f>
        <v>-125.14702606201099</v>
      </c>
      <c r="H64" s="23" t="str">
        <f t="shared" si="112"/>
        <v>4/23/2024</v>
      </c>
      <c r="I64" s="20">
        <f t="shared" ref="I64:N64" si="127">IF(ISERROR(I63),IF(ISERROR(I62),IF(ISERROR(I61),"BLANK",I61),I62),I63)</f>
        <v>2</v>
      </c>
      <c r="J64" s="20" t="str">
        <f t="shared" si="127"/>
        <v>SW</v>
      </c>
      <c r="K64" s="27">
        <f t="shared" si="127"/>
        <v>0.52500000000000002</v>
      </c>
      <c r="L64" s="20">
        <f t="shared" si="127"/>
        <v>6.5</v>
      </c>
      <c r="M64" s="20">
        <f t="shared" si="127"/>
        <v>2</v>
      </c>
      <c r="N64" s="20">
        <f t="shared" si="127"/>
        <v>1</v>
      </c>
      <c r="O64" s="20">
        <v>16</v>
      </c>
      <c r="P64" s="20" t="s">
        <v>41</v>
      </c>
      <c r="Q64" s="21" t="str">
        <f>IF($M64=1,IF(ISERROR(VLOOKUP($P64,'M1'!$A:$C,Q$2,FALSE)),"NOT PRESENT",VLOOKUP($P64,'M1'!$A:$C,Q$2,FALSE)),IF($M64=2,IF(ISERROR(VLOOKUP(DATA!$P64,'M2'!$A:$C,Q$2,FALSE)),"NOT PRESENT",VLOOKUP(DATA!$P64,'M2'!$A:$C,Q$2,FALSE)),IF($M64=0,IF(ISERROR(VLOOKUP($P64,'M1'!$A:$C,Q$2,FALSE)),IF(ISERROR(VLOOKUP(DATA!$P64,'M2'!$A:$C,Q$2,FALSE)),"NOT PRESENT",VLOOKUP(DATA!$P64,'M2'!$A:$C,Q$2,FALSE)),VLOOKUP($P64,'M1'!$A:$C,Q$2,FALSE)),"SPECIFY METHOD")))</f>
        <v>Mesocentrotus franciscanus</v>
      </c>
      <c r="R64" s="21" t="str">
        <f>IF($M64=1,IF(ISERROR(VLOOKUP($P64,'M1'!$A:$C,R$2,FALSE)),"NOT PRESENT",VLOOKUP($P64,'M1'!$A:$C,R$2,FALSE)),IF($M64=2,IF(ISERROR(VLOOKUP(DATA!$P64,'M2'!$A:$C,R$2,FALSE)),"NOT PRESENT",VLOOKUP(DATA!$P64,'M2'!$A:$C,R$2,FALSE)),IF($M64=0,IF(ISERROR(VLOOKUP($P64,'M1'!$A:$C,R$2,FALSE)),IF(ISERROR(VLOOKUP(DATA!$P64,'M2'!$A:$C,R$2,FALSE)),"NOT PRESENT",VLOOKUP(DATA!$P64,'M2'!$A:$C,R$2,FALSE)),VLOOKUP($P64,'M1'!$A:$C,R$2,FALSE)),"SPECIFY METHOD")))</f>
        <v>Red sea urchin</v>
      </c>
      <c r="S64" s="28">
        <f t="shared" si="3"/>
        <v>2</v>
      </c>
      <c r="T64" s="20">
        <v>0</v>
      </c>
      <c r="U64" s="20"/>
      <c r="V64" s="20">
        <v>1</v>
      </c>
      <c r="W64" s="20">
        <v>1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</row>
    <row r="65" spans="1:68" ht="12.75" customHeight="1">
      <c r="A65" s="21">
        <f t="shared" si="2"/>
        <v>63</v>
      </c>
      <c r="B65" s="20" t="str">
        <f t="shared" ref="B65:D65" si="128">IF(ISERROR(B64),IF(ISERROR(B63),IF(ISERROR(B62),"BLANK",B62),B63),B64)</f>
        <v>Jasmin Schuster</v>
      </c>
      <c r="C65" s="20" t="str">
        <f t="shared" si="128"/>
        <v>Tom Bird</v>
      </c>
      <c r="D65" s="20" t="str">
        <f t="shared" si="128"/>
        <v>BMSC9</v>
      </c>
      <c r="E65" s="21" t="str">
        <f>IF(ISERROR(VLOOKUP($D65,SITES!$A:$E,2,FALSE)),"",VLOOKUP($D65,SITES!$A:$E,2,FALSE))</f>
        <v>Eagle Bay</v>
      </c>
      <c r="F65" s="19">
        <f>IF(ISERROR(VLOOKUP($D65,SITES!$A:$E,3,FALSE)),"",VLOOKUP($D65,SITES!$A:$E,3,FALSE))</f>
        <v>48.834789276122997</v>
      </c>
      <c r="G65" s="22">
        <f>IF(ISERROR(VLOOKUP($D65,SITES!$A:$E,4,FALSE)),"",VLOOKUP($D65,SITES!$A:$E,4,FALSE))</f>
        <v>-125.14702606201099</v>
      </c>
      <c r="H65" s="23" t="str">
        <f t="shared" si="112"/>
        <v>4/23/2024</v>
      </c>
      <c r="I65" s="20">
        <f t="shared" ref="I65:N65" si="129">IF(ISERROR(I64),IF(ISERROR(I63),IF(ISERROR(I62),"BLANK",I62),I63),I64)</f>
        <v>2</v>
      </c>
      <c r="J65" s="20" t="str">
        <f t="shared" si="129"/>
        <v>SW</v>
      </c>
      <c r="K65" s="27">
        <f t="shared" si="129"/>
        <v>0.52500000000000002</v>
      </c>
      <c r="L65" s="20">
        <f t="shared" si="129"/>
        <v>6.5</v>
      </c>
      <c r="M65" s="20">
        <f t="shared" si="129"/>
        <v>2</v>
      </c>
      <c r="N65" s="20">
        <f t="shared" si="129"/>
        <v>1</v>
      </c>
      <c r="O65" s="20">
        <v>16</v>
      </c>
      <c r="P65" s="20" t="s">
        <v>30</v>
      </c>
      <c r="Q65" s="21" t="str">
        <f>IF($M65=1,IF(ISERROR(VLOOKUP($P65,'M1'!$A:$C,Q$2,FALSE)),"NOT PRESENT",VLOOKUP($P65,'M1'!$A:$C,Q$2,FALSE)),IF($M65=2,IF(ISERROR(VLOOKUP(DATA!$P65,'M2'!$A:$C,Q$2,FALSE)),"NOT PRESENT",VLOOKUP(DATA!$P65,'M2'!$A:$C,Q$2,FALSE)),IF($M65=0,IF(ISERROR(VLOOKUP($P65,'M1'!$A:$C,Q$2,FALSE)),IF(ISERROR(VLOOKUP(DATA!$P65,'M2'!$A:$C,Q$2,FALSE)),"NOT PRESENT",VLOOKUP(DATA!$P65,'M2'!$A:$C,Q$2,FALSE)),VLOOKUP($P65,'M1'!$A:$C,Q$2,FALSE)),"SPECIFY METHOD")))</f>
        <v>Pisaster ochraceus</v>
      </c>
      <c r="R65" s="21" t="str">
        <f>IF($M65=1,IF(ISERROR(VLOOKUP($P65,'M1'!$A:$C,R$2,FALSE)),"NOT PRESENT",VLOOKUP($P65,'M1'!$A:$C,R$2,FALSE)),IF($M65=2,IF(ISERROR(VLOOKUP(DATA!$P65,'M2'!$A:$C,R$2,FALSE)),"NOT PRESENT",VLOOKUP(DATA!$P65,'M2'!$A:$C,R$2,FALSE)),IF($M65=0,IF(ISERROR(VLOOKUP($P65,'M1'!$A:$C,R$2,FALSE)),IF(ISERROR(VLOOKUP(DATA!$P65,'M2'!$A:$C,R$2,FALSE)),"NOT PRESENT",VLOOKUP(DATA!$P65,'M2'!$A:$C,R$2,FALSE)),VLOOKUP($P65,'M1'!$A:$C,R$2,FALSE)),"SPECIFY METHOD")))</f>
        <v>Purple sea star</v>
      </c>
      <c r="S65" s="28">
        <f t="shared" si="3"/>
        <v>1</v>
      </c>
      <c r="T65" s="20">
        <v>0</v>
      </c>
      <c r="U65" s="20"/>
      <c r="V65" s="20"/>
      <c r="W65" s="20"/>
      <c r="X65" s="20"/>
      <c r="Y65" s="20">
        <v>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</row>
    <row r="66" spans="1:68" ht="12.75" customHeight="1">
      <c r="A66" s="21">
        <f t="shared" si="2"/>
        <v>64</v>
      </c>
      <c r="B66" s="20" t="str">
        <f t="shared" ref="B66:D66" si="130">IF(ISERROR(B65),IF(ISERROR(B64),IF(ISERROR(B63),"BLANK",B63),B64),B65)</f>
        <v>Jasmin Schuster</v>
      </c>
      <c r="C66" s="20" t="str">
        <f t="shared" si="130"/>
        <v>Tom Bird</v>
      </c>
      <c r="D66" s="20" t="str">
        <f t="shared" si="130"/>
        <v>BMSC9</v>
      </c>
      <c r="E66" s="21" t="str">
        <f>IF(ISERROR(VLOOKUP($D66,SITES!$A:$E,2,FALSE)),"",VLOOKUP($D66,SITES!$A:$E,2,FALSE))</f>
        <v>Eagle Bay</v>
      </c>
      <c r="F66" s="19">
        <f>IF(ISERROR(VLOOKUP($D66,SITES!$A:$E,3,FALSE)),"",VLOOKUP($D66,SITES!$A:$E,3,FALSE))</f>
        <v>48.834789276122997</v>
      </c>
      <c r="G66" s="22">
        <f>IF(ISERROR(VLOOKUP($D66,SITES!$A:$E,4,FALSE)),"",VLOOKUP($D66,SITES!$A:$E,4,FALSE))</f>
        <v>-125.14702606201099</v>
      </c>
      <c r="H66" s="23" t="str">
        <f t="shared" si="112"/>
        <v>4/23/2024</v>
      </c>
      <c r="I66" s="20">
        <f t="shared" ref="I66:N66" si="131">IF(ISERROR(I65),IF(ISERROR(I64),IF(ISERROR(I63),"BLANK",I63),I64),I65)</f>
        <v>2</v>
      </c>
      <c r="J66" s="20" t="str">
        <f t="shared" si="131"/>
        <v>SW</v>
      </c>
      <c r="K66" s="27">
        <f t="shared" si="131"/>
        <v>0.52500000000000002</v>
      </c>
      <c r="L66" s="20">
        <f t="shared" si="131"/>
        <v>6.5</v>
      </c>
      <c r="M66" s="20">
        <f t="shared" si="131"/>
        <v>2</v>
      </c>
      <c r="N66" s="20">
        <f t="shared" si="131"/>
        <v>1</v>
      </c>
      <c r="O66" s="20">
        <v>8</v>
      </c>
      <c r="P66" s="20" t="s">
        <v>41</v>
      </c>
      <c r="Q66" s="21" t="str">
        <f>IF($M66=1,IF(ISERROR(VLOOKUP($P66,'M1'!$A:$C,Q$2,FALSE)),"NOT PRESENT",VLOOKUP($P66,'M1'!$A:$C,Q$2,FALSE)),IF($M66=2,IF(ISERROR(VLOOKUP(DATA!$P66,'M2'!$A:$C,Q$2,FALSE)),"NOT PRESENT",VLOOKUP(DATA!$P66,'M2'!$A:$C,Q$2,FALSE)),IF($M66=0,IF(ISERROR(VLOOKUP($P66,'M1'!$A:$C,Q$2,FALSE)),IF(ISERROR(VLOOKUP(DATA!$P66,'M2'!$A:$C,Q$2,FALSE)),"NOT PRESENT",VLOOKUP(DATA!$P66,'M2'!$A:$C,Q$2,FALSE)),VLOOKUP($P66,'M1'!$A:$C,Q$2,FALSE)),"SPECIFY METHOD")))</f>
        <v>Mesocentrotus franciscanus</v>
      </c>
      <c r="R66" s="21" t="str">
        <f>IF($M66=1,IF(ISERROR(VLOOKUP($P66,'M1'!$A:$C,R$2,FALSE)),"NOT PRESENT",VLOOKUP($P66,'M1'!$A:$C,R$2,FALSE)),IF($M66=2,IF(ISERROR(VLOOKUP(DATA!$P66,'M2'!$A:$C,R$2,FALSE)),"NOT PRESENT",VLOOKUP(DATA!$P66,'M2'!$A:$C,R$2,FALSE)),IF($M66=0,IF(ISERROR(VLOOKUP($P66,'M1'!$A:$C,R$2,FALSE)),IF(ISERROR(VLOOKUP(DATA!$P66,'M2'!$A:$C,R$2,FALSE)),"NOT PRESENT",VLOOKUP(DATA!$P66,'M2'!$A:$C,R$2,FALSE)),VLOOKUP($P66,'M1'!$A:$C,R$2,FALSE)),"SPECIFY METHOD")))</f>
        <v>Red sea urchin</v>
      </c>
      <c r="S66" s="28">
        <f t="shared" si="3"/>
        <v>2</v>
      </c>
      <c r="T66" s="20">
        <v>0</v>
      </c>
      <c r="U66" s="20"/>
      <c r="V66" s="20"/>
      <c r="W66" s="20">
        <v>2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</row>
    <row r="67" spans="1:68" ht="12.75" customHeight="1">
      <c r="A67" s="21">
        <f t="shared" si="2"/>
        <v>65</v>
      </c>
      <c r="B67" s="20" t="str">
        <f t="shared" ref="B67:D67" si="132">IF(ISERROR(B66),IF(ISERROR(B65),IF(ISERROR(B64),"BLANK",B64),B65),B66)</f>
        <v>Jasmin Schuster</v>
      </c>
      <c r="C67" s="20" t="str">
        <f t="shared" si="132"/>
        <v>Tom Bird</v>
      </c>
      <c r="D67" s="20" t="str">
        <f t="shared" si="132"/>
        <v>BMSC9</v>
      </c>
      <c r="E67" s="21" t="str">
        <f>IF(ISERROR(VLOOKUP($D67,SITES!$A:$E,2,FALSE)),"",VLOOKUP($D67,SITES!$A:$E,2,FALSE))</f>
        <v>Eagle Bay</v>
      </c>
      <c r="F67" s="19">
        <f>IF(ISERROR(VLOOKUP($D67,SITES!$A:$E,3,FALSE)),"",VLOOKUP($D67,SITES!$A:$E,3,FALSE))</f>
        <v>48.834789276122997</v>
      </c>
      <c r="G67" s="22">
        <f>IF(ISERROR(VLOOKUP($D67,SITES!$A:$E,4,FALSE)),"",VLOOKUP($D67,SITES!$A:$E,4,FALSE))</f>
        <v>-125.14702606201099</v>
      </c>
      <c r="H67" s="23" t="str">
        <f t="shared" si="112"/>
        <v>4/23/2024</v>
      </c>
      <c r="I67" s="20">
        <f t="shared" ref="I67:N67" si="133">IF(ISERROR(I66),IF(ISERROR(I65),IF(ISERROR(I64),"BLANK",I64),I65),I66)</f>
        <v>2</v>
      </c>
      <c r="J67" s="20" t="str">
        <f t="shared" si="133"/>
        <v>SW</v>
      </c>
      <c r="K67" s="27">
        <f t="shared" si="133"/>
        <v>0.52500000000000002</v>
      </c>
      <c r="L67" s="20">
        <f t="shared" si="133"/>
        <v>6.5</v>
      </c>
      <c r="M67" s="20">
        <f t="shared" si="133"/>
        <v>2</v>
      </c>
      <c r="N67" s="20">
        <f t="shared" si="133"/>
        <v>1</v>
      </c>
      <c r="O67" s="20">
        <v>8</v>
      </c>
      <c r="P67" s="20" t="s">
        <v>50</v>
      </c>
      <c r="Q67" s="21" t="str">
        <f>IF($M67=1,IF(ISERROR(VLOOKUP($P67,'M1'!$A:$C,Q$2,FALSE)),"NOT PRESENT",VLOOKUP($P67,'M1'!$A:$C,Q$2,FALSE)),IF($M67=2,IF(ISERROR(VLOOKUP(DATA!$P67,'M2'!$A:$C,Q$2,FALSE)),"NOT PRESENT",VLOOKUP(DATA!$P67,'M2'!$A:$C,Q$2,FALSE)),IF($M67=0,IF(ISERROR(VLOOKUP($P67,'M1'!$A:$C,Q$2,FALSE)),IF(ISERROR(VLOOKUP(DATA!$P67,'M2'!$A:$C,Q$2,FALSE)),"NOT PRESENT",VLOOKUP(DATA!$P67,'M2'!$A:$C,Q$2,FALSE)),VLOOKUP($P67,'M1'!$A:$C,Q$2,FALSE)),"SPECIFY METHOD")))</f>
        <v>Dermasterias imbricata</v>
      </c>
      <c r="R67" s="21" t="str">
        <f>IF($M67=1,IF(ISERROR(VLOOKUP($P67,'M1'!$A:$C,R$2,FALSE)),"NOT PRESENT",VLOOKUP($P67,'M1'!$A:$C,R$2,FALSE)),IF($M67=2,IF(ISERROR(VLOOKUP(DATA!$P67,'M2'!$A:$C,R$2,FALSE)),"NOT PRESENT",VLOOKUP(DATA!$P67,'M2'!$A:$C,R$2,FALSE)),IF($M67=0,IF(ISERROR(VLOOKUP($P67,'M1'!$A:$C,R$2,FALSE)),IF(ISERROR(VLOOKUP(DATA!$P67,'M2'!$A:$C,R$2,FALSE)),"NOT PRESENT",VLOOKUP(DATA!$P67,'M2'!$A:$C,R$2,FALSE)),VLOOKUP($P67,'M1'!$A:$C,R$2,FALSE)),"SPECIFY METHOD")))</f>
        <v>Leather star</v>
      </c>
      <c r="S67" s="28">
        <f t="shared" si="3"/>
        <v>1</v>
      </c>
      <c r="T67" s="20">
        <v>0</v>
      </c>
      <c r="U67" s="20"/>
      <c r="V67" s="20"/>
      <c r="W67" s="20">
        <v>1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</row>
    <row r="68" spans="1:68" ht="12.75" customHeight="1">
      <c r="A68" s="21">
        <f t="shared" si="2"/>
        <v>66</v>
      </c>
      <c r="B68" s="20" t="str">
        <f t="shared" ref="B68:D68" si="134">IF(ISERROR(B67),IF(ISERROR(B66),IF(ISERROR(B65),"BLANK",B65),B66),B67)</f>
        <v>Jasmin Schuster</v>
      </c>
      <c r="C68" s="20" t="str">
        <f t="shared" si="134"/>
        <v>Tom Bird</v>
      </c>
      <c r="D68" s="20" t="str">
        <f t="shared" si="134"/>
        <v>BMSC9</v>
      </c>
      <c r="E68" s="21" t="str">
        <f>IF(ISERROR(VLOOKUP($D68,SITES!$A:$E,2,FALSE)),"",VLOOKUP($D68,SITES!$A:$E,2,FALSE))</f>
        <v>Eagle Bay</v>
      </c>
      <c r="F68" s="19">
        <f>IF(ISERROR(VLOOKUP($D68,SITES!$A:$E,3,FALSE)),"",VLOOKUP($D68,SITES!$A:$E,3,FALSE))</f>
        <v>48.834789276122997</v>
      </c>
      <c r="G68" s="22">
        <f>IF(ISERROR(VLOOKUP($D68,SITES!$A:$E,4,FALSE)),"",VLOOKUP($D68,SITES!$A:$E,4,FALSE))</f>
        <v>-125.14702606201099</v>
      </c>
      <c r="H68" s="23" t="str">
        <f t="shared" si="112"/>
        <v>4/23/2024</v>
      </c>
      <c r="I68" s="20">
        <f t="shared" ref="I68:N68" si="135">IF(ISERROR(I67),IF(ISERROR(I66),IF(ISERROR(I65),"BLANK",I65),I66),I67)</f>
        <v>2</v>
      </c>
      <c r="J68" s="20" t="str">
        <f t="shared" si="135"/>
        <v>SW</v>
      </c>
      <c r="K68" s="27">
        <f t="shared" si="135"/>
        <v>0.52500000000000002</v>
      </c>
      <c r="L68" s="20">
        <f t="shared" si="135"/>
        <v>6.5</v>
      </c>
      <c r="M68" s="20">
        <f t="shared" si="135"/>
        <v>2</v>
      </c>
      <c r="N68" s="20">
        <f t="shared" si="135"/>
        <v>1</v>
      </c>
      <c r="O68" s="20">
        <v>8</v>
      </c>
      <c r="P68" s="20" t="s">
        <v>49</v>
      </c>
      <c r="Q68" s="21" t="str">
        <f>IF($M68=1,IF(ISERROR(VLOOKUP($P68,'M1'!$A:$C,Q$2,FALSE)),"NOT PRESENT",VLOOKUP($P68,'M1'!$A:$C,Q$2,FALSE)),IF($M68=2,IF(ISERROR(VLOOKUP(DATA!$P68,'M2'!$A:$C,Q$2,FALSE)),"NOT PRESENT",VLOOKUP(DATA!$P68,'M2'!$A:$C,Q$2,FALSE)),IF($M68=0,IF(ISERROR(VLOOKUP($P68,'M1'!$A:$C,Q$2,FALSE)),IF(ISERROR(VLOOKUP(DATA!$P68,'M2'!$A:$C,Q$2,FALSE)),"NOT PRESENT",VLOOKUP(DATA!$P68,'M2'!$A:$C,Q$2,FALSE)),VLOOKUP($P68,'M1'!$A:$C,Q$2,FALSE)),"SPECIFY METHOD")))</f>
        <v>Henricia sp.</v>
      </c>
      <c r="R68" s="21" t="str">
        <f>IF($M68=1,IF(ISERROR(VLOOKUP($P68,'M1'!$A:$C,R$2,FALSE)),"NOT PRESENT",VLOOKUP($P68,'M1'!$A:$C,R$2,FALSE)),IF($M68=2,IF(ISERROR(VLOOKUP(DATA!$P68,'M2'!$A:$C,R$2,FALSE)),"NOT PRESENT",VLOOKUP(DATA!$P68,'M2'!$A:$C,R$2,FALSE)),IF($M68=0,IF(ISERROR(VLOOKUP($P68,'M1'!$A:$C,R$2,FALSE)),IF(ISERROR(VLOOKUP(DATA!$P68,'M2'!$A:$C,R$2,FALSE)),"NOT PRESENT",VLOOKUP(DATA!$P68,'M2'!$A:$C,R$2,FALSE)),VLOOKUP($P68,'M1'!$A:$C,R$2,FALSE)),"SPECIFY METHOD")))</f>
        <v>Unidentified blood star</v>
      </c>
      <c r="S68" s="28">
        <f t="shared" si="3"/>
        <v>1</v>
      </c>
      <c r="T68" s="20">
        <v>0</v>
      </c>
      <c r="U68" s="20"/>
      <c r="V68" s="20"/>
      <c r="W68" s="20">
        <v>1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</row>
    <row r="69" spans="1:68" ht="12.75" customHeight="1">
      <c r="A69" s="21">
        <f t="shared" si="2"/>
        <v>67</v>
      </c>
      <c r="B69" s="20" t="str">
        <f t="shared" ref="B69:D69" si="136">IF(ISERROR(B68),IF(ISERROR(B67),IF(ISERROR(B66),"BLANK",B66),B67),B68)</f>
        <v>Jasmin Schuster</v>
      </c>
      <c r="C69" s="20" t="str">
        <f t="shared" si="136"/>
        <v>Tom Bird</v>
      </c>
      <c r="D69" s="20" t="str">
        <f t="shared" si="136"/>
        <v>BMSC9</v>
      </c>
      <c r="E69" s="21" t="str">
        <f>IF(ISERROR(VLOOKUP($D69,SITES!$A:$E,2,FALSE)),"",VLOOKUP($D69,SITES!$A:$E,2,FALSE))</f>
        <v>Eagle Bay</v>
      </c>
      <c r="F69" s="19">
        <f>IF(ISERROR(VLOOKUP($D69,SITES!$A:$E,3,FALSE)),"",VLOOKUP($D69,SITES!$A:$E,3,FALSE))</f>
        <v>48.834789276122997</v>
      </c>
      <c r="G69" s="22">
        <f>IF(ISERROR(VLOOKUP($D69,SITES!$A:$E,4,FALSE)),"",VLOOKUP($D69,SITES!$A:$E,4,FALSE))</f>
        <v>-125.14702606201099</v>
      </c>
      <c r="H69" s="23" t="str">
        <f t="shared" si="112"/>
        <v>4/23/2024</v>
      </c>
      <c r="I69" s="20">
        <f t="shared" ref="I69:N69" si="137">IF(ISERROR(I68),IF(ISERROR(I67),IF(ISERROR(I66),"BLANK",I66),I67),I68)</f>
        <v>2</v>
      </c>
      <c r="J69" s="20" t="str">
        <f t="shared" si="137"/>
        <v>SW</v>
      </c>
      <c r="K69" s="27">
        <f t="shared" si="137"/>
        <v>0.52500000000000002</v>
      </c>
      <c r="L69" s="20">
        <f t="shared" si="137"/>
        <v>6.5</v>
      </c>
      <c r="M69" s="20">
        <f t="shared" si="137"/>
        <v>2</v>
      </c>
      <c r="N69" s="20">
        <f t="shared" si="137"/>
        <v>1</v>
      </c>
      <c r="O69" s="20">
        <v>0</v>
      </c>
      <c r="P69" s="20" t="s">
        <v>41</v>
      </c>
      <c r="Q69" s="21" t="str">
        <f>IF($M69=1,IF(ISERROR(VLOOKUP($P69,'M1'!$A:$C,Q$2,FALSE)),"NOT PRESENT",VLOOKUP($P69,'M1'!$A:$C,Q$2,FALSE)),IF($M69=2,IF(ISERROR(VLOOKUP(DATA!$P69,'M2'!$A:$C,Q$2,FALSE)),"NOT PRESENT",VLOOKUP(DATA!$P69,'M2'!$A:$C,Q$2,FALSE)),IF($M69=0,IF(ISERROR(VLOOKUP($P69,'M1'!$A:$C,Q$2,FALSE)),IF(ISERROR(VLOOKUP(DATA!$P69,'M2'!$A:$C,Q$2,FALSE)),"NOT PRESENT",VLOOKUP(DATA!$P69,'M2'!$A:$C,Q$2,FALSE)),VLOOKUP($P69,'M1'!$A:$C,Q$2,FALSE)),"SPECIFY METHOD")))</f>
        <v>Mesocentrotus franciscanus</v>
      </c>
      <c r="R69" s="21" t="str">
        <f>IF($M69=1,IF(ISERROR(VLOOKUP($P69,'M1'!$A:$C,R$2,FALSE)),"NOT PRESENT",VLOOKUP($P69,'M1'!$A:$C,R$2,FALSE)),IF($M69=2,IF(ISERROR(VLOOKUP(DATA!$P69,'M2'!$A:$C,R$2,FALSE)),"NOT PRESENT",VLOOKUP(DATA!$P69,'M2'!$A:$C,R$2,FALSE)),IF($M69=0,IF(ISERROR(VLOOKUP($P69,'M1'!$A:$C,R$2,FALSE)),IF(ISERROR(VLOOKUP(DATA!$P69,'M2'!$A:$C,R$2,FALSE)),"NOT PRESENT",VLOOKUP(DATA!$P69,'M2'!$A:$C,R$2,FALSE)),VLOOKUP($P69,'M1'!$A:$C,R$2,FALSE)),"SPECIFY METHOD")))</f>
        <v>Red sea urchin</v>
      </c>
      <c r="S69" s="28">
        <f t="shared" si="3"/>
        <v>3</v>
      </c>
      <c r="T69" s="20">
        <v>0</v>
      </c>
      <c r="U69" s="20"/>
      <c r="V69" s="20">
        <v>1</v>
      </c>
      <c r="W69" s="20">
        <v>1</v>
      </c>
      <c r="X69" s="20">
        <v>1</v>
      </c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</row>
    <row r="70" spans="1:68" ht="12.75" customHeight="1">
      <c r="A70" s="21">
        <f t="shared" si="2"/>
        <v>68</v>
      </c>
      <c r="B70" s="20" t="str">
        <f t="shared" ref="B70:C70" si="138">IF(ISERROR(B69),IF(ISERROR(B68),IF(ISERROR(B67),"BLANK",B67),B68),B69)</f>
        <v>Jasmin Schuster</v>
      </c>
      <c r="C70" s="20" t="str">
        <f t="shared" si="138"/>
        <v>Tom Bird</v>
      </c>
      <c r="D70" s="20" t="s">
        <v>51</v>
      </c>
      <c r="E70" s="21" t="str">
        <f>IF(ISERROR(VLOOKUP($D70,SITES!$A:$E,2,FALSE)),"",VLOOKUP($D70,SITES!$A:$E,2,FALSE))</f>
        <v>Goby Town</v>
      </c>
      <c r="F70" s="19">
        <f>IF(ISERROR(VLOOKUP($D70,SITES!$A:$E,3,FALSE)),"",VLOOKUP($D70,SITES!$A:$E,3,FALSE))</f>
        <v>48.838594999999998</v>
      </c>
      <c r="G70" s="22">
        <f>IF(ISERROR(VLOOKUP($D70,SITES!$A:$E,4,FALSE)),"",VLOOKUP($D70,SITES!$A:$E,4,FALSE))</f>
        <v>-125.135015</v>
      </c>
      <c r="H70" s="23" t="str">
        <f t="shared" si="112"/>
        <v>4/23/2024</v>
      </c>
      <c r="I70" s="20">
        <v>3</v>
      </c>
      <c r="J70" s="20" t="s">
        <v>52</v>
      </c>
      <c r="K70" s="27">
        <v>0.61805555555555558</v>
      </c>
      <c r="L70" s="20">
        <v>5.5</v>
      </c>
      <c r="M70" s="20">
        <f t="shared" ref="M70:N70" si="139">IF(ISERROR(M69),IF(ISERROR(M68),IF(ISERROR(M67),"BLANK",M67),M68),M69)</f>
        <v>2</v>
      </c>
      <c r="N70" s="20">
        <f t="shared" si="139"/>
        <v>1</v>
      </c>
      <c r="O70" s="20">
        <v>48</v>
      </c>
      <c r="P70" s="20" t="str">
        <f t="shared" ref="P70:P73" si="140">IF(ISERROR(P69),IF(ISERROR(P68),IF(ISERROR(P67),"BLANK",P67),P68),P69)</f>
        <v>mfra</v>
      </c>
      <c r="Q70" s="21" t="str">
        <f>IF($M70=1,IF(ISERROR(VLOOKUP($P70,'M1'!$A:$C,Q$2,FALSE)),"NOT PRESENT",VLOOKUP($P70,'M1'!$A:$C,Q$2,FALSE)),IF($M70=2,IF(ISERROR(VLOOKUP(DATA!$P70,'M2'!$A:$C,Q$2,FALSE)),"NOT PRESENT",VLOOKUP(DATA!$P70,'M2'!$A:$C,Q$2,FALSE)),IF($M70=0,IF(ISERROR(VLOOKUP($P70,'M1'!$A:$C,Q$2,FALSE)),IF(ISERROR(VLOOKUP(DATA!$P70,'M2'!$A:$C,Q$2,FALSE)),"NOT PRESENT",VLOOKUP(DATA!$P70,'M2'!$A:$C,Q$2,FALSE)),VLOOKUP($P70,'M1'!$A:$C,Q$2,FALSE)),"SPECIFY METHOD")))</f>
        <v>Mesocentrotus franciscanus</v>
      </c>
      <c r="R70" s="21" t="str">
        <f>IF($M70=1,IF(ISERROR(VLOOKUP($P70,'M1'!$A:$C,R$2,FALSE)),"NOT PRESENT",VLOOKUP($P70,'M1'!$A:$C,R$2,FALSE)),IF($M70=2,IF(ISERROR(VLOOKUP(DATA!$P70,'M2'!$A:$C,R$2,FALSE)),"NOT PRESENT",VLOOKUP(DATA!$P70,'M2'!$A:$C,R$2,FALSE)),IF($M70=0,IF(ISERROR(VLOOKUP($P70,'M1'!$A:$C,R$2,FALSE)),IF(ISERROR(VLOOKUP(DATA!$P70,'M2'!$A:$C,R$2,FALSE)),"NOT PRESENT",VLOOKUP(DATA!$P70,'M2'!$A:$C,R$2,FALSE)),VLOOKUP($P70,'M1'!$A:$C,R$2,FALSE)),"SPECIFY METHOD")))</f>
        <v>Red sea urchin</v>
      </c>
      <c r="S70" s="28">
        <f t="shared" si="3"/>
        <v>3</v>
      </c>
      <c r="T70" s="20">
        <v>0</v>
      </c>
      <c r="U70" s="20"/>
      <c r="V70" s="20">
        <v>2</v>
      </c>
      <c r="W70" s="20">
        <v>1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</row>
    <row r="71" spans="1:68" ht="12.75" customHeight="1">
      <c r="A71" s="21">
        <f t="shared" si="2"/>
        <v>69</v>
      </c>
      <c r="B71" s="20" t="str">
        <f t="shared" ref="B71:D71" si="141">IF(ISERROR(B70),IF(ISERROR(B69),IF(ISERROR(B68),"BLANK",B68),B69),B70)</f>
        <v>Jasmin Schuster</v>
      </c>
      <c r="C71" s="20" t="str">
        <f t="shared" si="141"/>
        <v>Tom Bird</v>
      </c>
      <c r="D71" s="20" t="str">
        <f t="shared" si="141"/>
        <v>BMSC25</v>
      </c>
      <c r="E71" s="21" t="str">
        <f>IF(ISERROR(VLOOKUP($D71,SITES!$A:$E,2,FALSE)),"",VLOOKUP($D71,SITES!$A:$E,2,FALSE))</f>
        <v>Goby Town</v>
      </c>
      <c r="F71" s="19">
        <f>IF(ISERROR(VLOOKUP($D71,SITES!$A:$E,3,FALSE)),"",VLOOKUP($D71,SITES!$A:$E,3,FALSE))</f>
        <v>48.838594999999998</v>
      </c>
      <c r="G71" s="22">
        <f>IF(ISERROR(VLOOKUP($D71,SITES!$A:$E,4,FALSE)),"",VLOOKUP($D71,SITES!$A:$E,4,FALSE))</f>
        <v>-125.135015</v>
      </c>
      <c r="H71" s="23" t="str">
        <f t="shared" si="112"/>
        <v>4/23/2024</v>
      </c>
      <c r="I71" s="20">
        <f t="shared" ref="I71:N71" si="142">IF(ISERROR(I70),IF(ISERROR(I69),IF(ISERROR(I68),"BLANK",I68),I69),I70)</f>
        <v>3</v>
      </c>
      <c r="J71" s="20" t="str">
        <f t="shared" si="142"/>
        <v>S</v>
      </c>
      <c r="K71" s="27">
        <f t="shared" si="142"/>
        <v>0.61805555555555558</v>
      </c>
      <c r="L71" s="20">
        <f t="shared" si="142"/>
        <v>5.5</v>
      </c>
      <c r="M71" s="20">
        <f t="shared" si="142"/>
        <v>2</v>
      </c>
      <c r="N71" s="20">
        <f t="shared" si="142"/>
        <v>1</v>
      </c>
      <c r="O71" s="20">
        <v>32</v>
      </c>
      <c r="P71" s="20" t="str">
        <f t="shared" si="140"/>
        <v>mfra</v>
      </c>
      <c r="Q71" s="21" t="str">
        <f>IF($M71=1,IF(ISERROR(VLOOKUP($P71,'M1'!$A:$C,Q$2,FALSE)),"NOT PRESENT",VLOOKUP($P71,'M1'!$A:$C,Q$2,FALSE)),IF($M71=2,IF(ISERROR(VLOOKUP(DATA!$P71,'M2'!$A:$C,Q$2,FALSE)),"NOT PRESENT",VLOOKUP(DATA!$P71,'M2'!$A:$C,Q$2,FALSE)),IF($M71=0,IF(ISERROR(VLOOKUP($P71,'M1'!$A:$C,Q$2,FALSE)),IF(ISERROR(VLOOKUP(DATA!$P71,'M2'!$A:$C,Q$2,FALSE)),"NOT PRESENT",VLOOKUP(DATA!$P71,'M2'!$A:$C,Q$2,FALSE)),VLOOKUP($P71,'M1'!$A:$C,Q$2,FALSE)),"SPECIFY METHOD")))</f>
        <v>Mesocentrotus franciscanus</v>
      </c>
      <c r="R71" s="21" t="str">
        <f>IF($M71=1,IF(ISERROR(VLOOKUP($P71,'M1'!$A:$C,R$2,FALSE)),"NOT PRESENT",VLOOKUP($P71,'M1'!$A:$C,R$2,FALSE)),IF($M71=2,IF(ISERROR(VLOOKUP(DATA!$P71,'M2'!$A:$C,R$2,FALSE)),"NOT PRESENT",VLOOKUP(DATA!$P71,'M2'!$A:$C,R$2,FALSE)),IF($M71=0,IF(ISERROR(VLOOKUP($P71,'M1'!$A:$C,R$2,FALSE)),IF(ISERROR(VLOOKUP(DATA!$P71,'M2'!$A:$C,R$2,FALSE)),"NOT PRESENT",VLOOKUP(DATA!$P71,'M2'!$A:$C,R$2,FALSE)),VLOOKUP($P71,'M1'!$A:$C,R$2,FALSE)),"SPECIFY METHOD")))</f>
        <v>Red sea urchin</v>
      </c>
      <c r="S71" s="28">
        <f t="shared" si="3"/>
        <v>3</v>
      </c>
      <c r="T71" s="20">
        <v>0</v>
      </c>
      <c r="U71" s="20"/>
      <c r="V71" s="20"/>
      <c r="W71" s="20"/>
      <c r="X71" s="20"/>
      <c r="Y71" s="20">
        <v>3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</row>
    <row r="72" spans="1:68" ht="12.75" customHeight="1">
      <c r="A72" s="21">
        <f t="shared" si="2"/>
        <v>70</v>
      </c>
      <c r="B72" s="20" t="str">
        <f t="shared" ref="B72:D72" si="143">IF(ISERROR(B71),IF(ISERROR(B70),IF(ISERROR(B69),"BLANK",B69),B70),B71)</f>
        <v>Jasmin Schuster</v>
      </c>
      <c r="C72" s="20" t="str">
        <f t="shared" si="143"/>
        <v>Tom Bird</v>
      </c>
      <c r="D72" s="20" t="str">
        <f t="shared" si="143"/>
        <v>BMSC25</v>
      </c>
      <c r="E72" s="21" t="str">
        <f>IF(ISERROR(VLOOKUP($D72,SITES!$A:$E,2,FALSE)),"",VLOOKUP($D72,SITES!$A:$E,2,FALSE))</f>
        <v>Goby Town</v>
      </c>
      <c r="F72" s="19">
        <f>IF(ISERROR(VLOOKUP($D72,SITES!$A:$E,3,FALSE)),"",VLOOKUP($D72,SITES!$A:$E,3,FALSE))</f>
        <v>48.838594999999998</v>
      </c>
      <c r="G72" s="22">
        <f>IF(ISERROR(VLOOKUP($D72,SITES!$A:$E,4,FALSE)),"",VLOOKUP($D72,SITES!$A:$E,4,FALSE))</f>
        <v>-125.135015</v>
      </c>
      <c r="H72" s="23" t="str">
        <f t="shared" si="112"/>
        <v>4/23/2024</v>
      </c>
      <c r="I72" s="20">
        <f t="shared" ref="I72:N72" si="144">IF(ISERROR(I71),IF(ISERROR(I70),IF(ISERROR(I69),"BLANK",I69),I70),I71)</f>
        <v>3</v>
      </c>
      <c r="J72" s="20" t="str">
        <f t="shared" si="144"/>
        <v>S</v>
      </c>
      <c r="K72" s="27">
        <f t="shared" si="144"/>
        <v>0.61805555555555558</v>
      </c>
      <c r="L72" s="20">
        <f t="shared" si="144"/>
        <v>5.5</v>
      </c>
      <c r="M72" s="20">
        <f t="shared" si="144"/>
        <v>2</v>
      </c>
      <c r="N72" s="20">
        <f t="shared" si="144"/>
        <v>1</v>
      </c>
      <c r="O72" s="20">
        <v>16</v>
      </c>
      <c r="P72" s="20" t="str">
        <f t="shared" si="140"/>
        <v>mfra</v>
      </c>
      <c r="Q72" s="21" t="str">
        <f>IF($M72=1,IF(ISERROR(VLOOKUP($P72,'M1'!$A:$C,Q$2,FALSE)),"NOT PRESENT",VLOOKUP($P72,'M1'!$A:$C,Q$2,FALSE)),IF($M72=2,IF(ISERROR(VLOOKUP(DATA!$P72,'M2'!$A:$C,Q$2,FALSE)),"NOT PRESENT",VLOOKUP(DATA!$P72,'M2'!$A:$C,Q$2,FALSE)),IF($M72=0,IF(ISERROR(VLOOKUP($P72,'M1'!$A:$C,Q$2,FALSE)),IF(ISERROR(VLOOKUP(DATA!$P72,'M2'!$A:$C,Q$2,FALSE)),"NOT PRESENT",VLOOKUP(DATA!$P72,'M2'!$A:$C,Q$2,FALSE)),VLOOKUP($P72,'M1'!$A:$C,Q$2,FALSE)),"SPECIFY METHOD")))</f>
        <v>Mesocentrotus franciscanus</v>
      </c>
      <c r="R72" s="21" t="str">
        <f>IF($M72=1,IF(ISERROR(VLOOKUP($P72,'M1'!$A:$C,R$2,FALSE)),"NOT PRESENT",VLOOKUP($P72,'M1'!$A:$C,R$2,FALSE)),IF($M72=2,IF(ISERROR(VLOOKUP(DATA!$P72,'M2'!$A:$C,R$2,FALSE)),"NOT PRESENT",VLOOKUP(DATA!$P72,'M2'!$A:$C,R$2,FALSE)),IF($M72=0,IF(ISERROR(VLOOKUP($P72,'M1'!$A:$C,R$2,FALSE)),IF(ISERROR(VLOOKUP(DATA!$P72,'M2'!$A:$C,R$2,FALSE)),"NOT PRESENT",VLOOKUP(DATA!$P72,'M2'!$A:$C,R$2,FALSE)),VLOOKUP($P72,'M1'!$A:$C,R$2,FALSE)),"SPECIFY METHOD")))</f>
        <v>Red sea urchin</v>
      </c>
      <c r="S72" s="28">
        <f t="shared" si="3"/>
        <v>3</v>
      </c>
      <c r="T72" s="20">
        <v>0</v>
      </c>
      <c r="U72" s="20">
        <v>1</v>
      </c>
      <c r="V72" s="20">
        <v>1</v>
      </c>
      <c r="W72" s="20">
        <v>1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</row>
    <row r="73" spans="1:68" ht="12.75" customHeight="1">
      <c r="A73" s="21">
        <f t="shared" si="2"/>
        <v>71</v>
      </c>
      <c r="B73" s="20" t="str">
        <f t="shared" ref="B73:D73" si="145">IF(ISERROR(B72),IF(ISERROR(B71),IF(ISERROR(B70),"BLANK",B70),B71),B72)</f>
        <v>Jasmin Schuster</v>
      </c>
      <c r="C73" s="20" t="str">
        <f t="shared" si="145"/>
        <v>Tom Bird</v>
      </c>
      <c r="D73" s="20" t="str">
        <f t="shared" si="145"/>
        <v>BMSC25</v>
      </c>
      <c r="E73" s="21" t="str">
        <f>IF(ISERROR(VLOOKUP($D73,SITES!$A:$E,2,FALSE)),"",VLOOKUP($D73,SITES!$A:$E,2,FALSE))</f>
        <v>Goby Town</v>
      </c>
      <c r="F73" s="19">
        <f>IF(ISERROR(VLOOKUP($D73,SITES!$A:$E,3,FALSE)),"",VLOOKUP($D73,SITES!$A:$E,3,FALSE))</f>
        <v>48.838594999999998</v>
      </c>
      <c r="G73" s="22">
        <f>IF(ISERROR(VLOOKUP($D73,SITES!$A:$E,4,FALSE)),"",VLOOKUP($D73,SITES!$A:$E,4,FALSE))</f>
        <v>-125.135015</v>
      </c>
      <c r="H73" s="23" t="str">
        <f t="shared" si="112"/>
        <v>4/23/2024</v>
      </c>
      <c r="I73" s="20">
        <f t="shared" ref="I73:N73" si="146">IF(ISERROR(I72),IF(ISERROR(I71),IF(ISERROR(I70),"BLANK",I70),I71),I72)</f>
        <v>3</v>
      </c>
      <c r="J73" s="20" t="str">
        <f t="shared" si="146"/>
        <v>S</v>
      </c>
      <c r="K73" s="27">
        <f t="shared" si="146"/>
        <v>0.61805555555555558</v>
      </c>
      <c r="L73" s="20">
        <f t="shared" si="146"/>
        <v>5.5</v>
      </c>
      <c r="M73" s="20">
        <f t="shared" si="146"/>
        <v>2</v>
      </c>
      <c r="N73" s="20">
        <f t="shared" si="146"/>
        <v>1</v>
      </c>
      <c r="O73" s="20">
        <v>0</v>
      </c>
      <c r="P73" s="20" t="str">
        <f t="shared" si="140"/>
        <v>mfra</v>
      </c>
      <c r="Q73" s="21" t="str">
        <f>IF($M73=1,IF(ISERROR(VLOOKUP($P73,'M1'!$A:$C,Q$2,FALSE)),"NOT PRESENT",VLOOKUP($P73,'M1'!$A:$C,Q$2,FALSE)),IF($M73=2,IF(ISERROR(VLOOKUP(DATA!$P73,'M2'!$A:$C,Q$2,FALSE)),"NOT PRESENT",VLOOKUP(DATA!$P73,'M2'!$A:$C,Q$2,FALSE)),IF($M73=0,IF(ISERROR(VLOOKUP($P73,'M1'!$A:$C,Q$2,FALSE)),IF(ISERROR(VLOOKUP(DATA!$P73,'M2'!$A:$C,Q$2,FALSE)),"NOT PRESENT",VLOOKUP(DATA!$P73,'M2'!$A:$C,Q$2,FALSE)),VLOOKUP($P73,'M1'!$A:$C,Q$2,FALSE)),"SPECIFY METHOD")))</f>
        <v>Mesocentrotus franciscanus</v>
      </c>
      <c r="R73" s="21" t="str">
        <f>IF($M73=1,IF(ISERROR(VLOOKUP($P73,'M1'!$A:$C,R$2,FALSE)),"NOT PRESENT",VLOOKUP($P73,'M1'!$A:$C,R$2,FALSE)),IF($M73=2,IF(ISERROR(VLOOKUP(DATA!$P73,'M2'!$A:$C,R$2,FALSE)),"NOT PRESENT",VLOOKUP(DATA!$P73,'M2'!$A:$C,R$2,FALSE)),IF($M73=0,IF(ISERROR(VLOOKUP($P73,'M1'!$A:$C,R$2,FALSE)),IF(ISERROR(VLOOKUP(DATA!$P73,'M2'!$A:$C,R$2,FALSE)),"NOT PRESENT",VLOOKUP(DATA!$P73,'M2'!$A:$C,R$2,FALSE)),VLOOKUP($P73,'M1'!$A:$C,R$2,FALSE)),"SPECIFY METHOD")))</f>
        <v>Red sea urchin</v>
      </c>
      <c r="S73" s="28">
        <f t="shared" si="3"/>
        <v>3</v>
      </c>
      <c r="T73" s="20">
        <v>0</v>
      </c>
      <c r="U73" s="20"/>
      <c r="V73" s="20">
        <v>2</v>
      </c>
      <c r="W73" s="20">
        <v>1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</row>
    <row r="74" spans="1:68" ht="12.75" customHeight="1">
      <c r="A74" s="21">
        <f t="shared" si="2"/>
        <v>72</v>
      </c>
      <c r="B74" s="20" t="str">
        <f t="shared" ref="B74:D74" si="147">IF(ISERROR(B73),IF(ISERROR(B72),IF(ISERROR(B71),"BLANK",B71),B72),B73)</f>
        <v>Jasmin Schuster</v>
      </c>
      <c r="C74" s="20" t="str">
        <f t="shared" si="147"/>
        <v>Tom Bird</v>
      </c>
      <c r="D74" s="20" t="str">
        <f t="shared" si="147"/>
        <v>BMSC25</v>
      </c>
      <c r="E74" s="21" t="str">
        <f>IF(ISERROR(VLOOKUP($D74,SITES!$A:$E,2,FALSE)),"",VLOOKUP($D74,SITES!$A:$E,2,FALSE))</f>
        <v>Goby Town</v>
      </c>
      <c r="F74" s="19">
        <f>IF(ISERROR(VLOOKUP($D74,SITES!$A:$E,3,FALSE)),"",VLOOKUP($D74,SITES!$A:$E,3,FALSE))</f>
        <v>48.838594999999998</v>
      </c>
      <c r="G74" s="22">
        <f>IF(ISERROR(VLOOKUP($D74,SITES!$A:$E,4,FALSE)),"",VLOOKUP($D74,SITES!$A:$E,4,FALSE))</f>
        <v>-125.135015</v>
      </c>
      <c r="H74" s="23" t="str">
        <f t="shared" si="112"/>
        <v>4/23/2024</v>
      </c>
      <c r="I74" s="20">
        <f t="shared" ref="I74:N74" si="148">IF(ISERROR(I73),IF(ISERROR(I72),IF(ISERROR(I71),"BLANK",I71),I72),I73)</f>
        <v>3</v>
      </c>
      <c r="J74" s="20" t="str">
        <f t="shared" si="148"/>
        <v>S</v>
      </c>
      <c r="K74" s="27">
        <f t="shared" si="148"/>
        <v>0.61805555555555558</v>
      </c>
      <c r="L74" s="20">
        <f t="shared" si="148"/>
        <v>5.5</v>
      </c>
      <c r="M74" s="20">
        <f t="shared" si="148"/>
        <v>2</v>
      </c>
      <c r="N74" s="20">
        <f t="shared" si="148"/>
        <v>1</v>
      </c>
      <c r="O74" s="20">
        <v>0</v>
      </c>
      <c r="P74" s="20" t="s">
        <v>28</v>
      </c>
      <c r="Q74" s="21" t="str">
        <f>IF($M74=1,IF(ISERROR(VLOOKUP($P74,'M1'!$A:$C,Q$2,FALSE)),"NOT PRESENT",VLOOKUP($P74,'M1'!$A:$C,Q$2,FALSE)),IF($M74=2,IF(ISERROR(VLOOKUP(DATA!$P74,'M2'!$A:$C,Q$2,FALSE)),"NOT PRESENT",VLOOKUP(DATA!$P74,'M2'!$A:$C,Q$2,FALSE)),IF($M74=0,IF(ISERROR(VLOOKUP($P74,'M1'!$A:$C,Q$2,FALSE)),IF(ISERROR(VLOOKUP(DATA!$P74,'M2'!$A:$C,Q$2,FALSE)),"NOT PRESENT",VLOOKUP(DATA!$P74,'M2'!$A:$C,Q$2,FALSE)),VLOOKUP($P74,'M1'!$A:$C,Q$2,FALSE)),"SPECIFY METHOD")))</f>
        <v>Patiria miniata</v>
      </c>
      <c r="R74" s="21" t="str">
        <f>IF($M74=1,IF(ISERROR(VLOOKUP($P74,'M1'!$A:$C,R$2,FALSE)),"NOT PRESENT",VLOOKUP($P74,'M1'!$A:$C,R$2,FALSE)),IF($M74=2,IF(ISERROR(VLOOKUP(DATA!$P74,'M2'!$A:$C,R$2,FALSE)),"NOT PRESENT",VLOOKUP(DATA!$P74,'M2'!$A:$C,R$2,FALSE)),IF($M74=0,IF(ISERROR(VLOOKUP($P74,'M1'!$A:$C,R$2,FALSE)),IF(ISERROR(VLOOKUP(DATA!$P74,'M2'!$A:$C,R$2,FALSE)),"NOT PRESENT",VLOOKUP(DATA!$P74,'M2'!$A:$C,R$2,FALSE)),VLOOKUP($P74,'M1'!$A:$C,R$2,FALSE)),"SPECIFY METHOD")))</f>
        <v>Bat star</v>
      </c>
      <c r="S74" s="28">
        <f t="shared" si="3"/>
        <v>1</v>
      </c>
      <c r="T74" s="20">
        <v>0</v>
      </c>
      <c r="U74" s="20"/>
      <c r="V74" s="20"/>
      <c r="W74" s="20">
        <v>1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</row>
    <row r="75" spans="1:68" ht="12.75" customHeight="1">
      <c r="A75" s="21">
        <f t="shared" si="2"/>
        <v>73</v>
      </c>
      <c r="B75" s="20" t="s">
        <v>36</v>
      </c>
      <c r="C75" s="20" t="s">
        <v>35</v>
      </c>
      <c r="D75" s="20" t="s">
        <v>51</v>
      </c>
      <c r="E75" s="21" t="str">
        <f>IF(ISERROR(VLOOKUP($D75,SITES!$A:$E,2,FALSE)),"",VLOOKUP($D75,SITES!$A:$E,2,FALSE))</f>
        <v>Goby Town</v>
      </c>
      <c r="F75" s="19">
        <f>IF(ISERROR(VLOOKUP($D75,SITES!$A:$E,3,FALSE)),"",VLOOKUP($D75,SITES!$A:$E,3,FALSE))</f>
        <v>48.838594999999998</v>
      </c>
      <c r="G75" s="22">
        <f>IF(ISERROR(VLOOKUP($D75,SITES!$A:$E,4,FALSE)),"",VLOOKUP($D75,SITES!$A:$E,4,FALSE))</f>
        <v>-125.135015</v>
      </c>
      <c r="H75" s="23" t="str">
        <f t="shared" si="112"/>
        <v>4/23/2024</v>
      </c>
      <c r="I75" s="20">
        <f t="shared" ref="I75:I87" si="149">IF(ISERROR(I74),IF(ISERROR(I73),IF(ISERROR(I72),"BLANK",I72),I73),I74)</f>
        <v>3</v>
      </c>
      <c r="J75" s="20" t="s">
        <v>27</v>
      </c>
      <c r="K75" s="27">
        <v>0.6166666666666667</v>
      </c>
      <c r="L75" s="20">
        <v>6</v>
      </c>
      <c r="M75" s="20">
        <f t="shared" ref="M75:N75" si="150">IF(ISERROR(M74),IF(ISERROR(M73),IF(ISERROR(M72),"BLANK",M72),M73),M74)</f>
        <v>2</v>
      </c>
      <c r="N75" s="20">
        <f t="shared" si="150"/>
        <v>1</v>
      </c>
      <c r="O75" s="20">
        <v>48</v>
      </c>
      <c r="P75" s="20" t="s">
        <v>41</v>
      </c>
      <c r="Q75" s="21" t="str">
        <f>IF($M75=1,IF(ISERROR(VLOOKUP($P75,'M1'!$A:$C,Q$2,FALSE)),"NOT PRESENT",VLOOKUP($P75,'M1'!$A:$C,Q$2,FALSE)),IF($M75=2,IF(ISERROR(VLOOKUP(DATA!$P75,'M2'!$A:$C,Q$2,FALSE)),"NOT PRESENT",VLOOKUP(DATA!$P75,'M2'!$A:$C,Q$2,FALSE)),IF($M75=0,IF(ISERROR(VLOOKUP($P75,'M1'!$A:$C,Q$2,FALSE)),IF(ISERROR(VLOOKUP(DATA!$P75,'M2'!$A:$C,Q$2,FALSE)),"NOT PRESENT",VLOOKUP(DATA!$P75,'M2'!$A:$C,Q$2,FALSE)),VLOOKUP($P75,'M1'!$A:$C,Q$2,FALSE)),"SPECIFY METHOD")))</f>
        <v>Mesocentrotus franciscanus</v>
      </c>
      <c r="R75" s="21" t="str">
        <f>IF($M75=1,IF(ISERROR(VLOOKUP($P75,'M1'!$A:$C,R$2,FALSE)),"NOT PRESENT",VLOOKUP($P75,'M1'!$A:$C,R$2,FALSE)),IF($M75=2,IF(ISERROR(VLOOKUP(DATA!$P75,'M2'!$A:$C,R$2,FALSE)),"NOT PRESENT",VLOOKUP(DATA!$P75,'M2'!$A:$C,R$2,FALSE)),IF($M75=0,IF(ISERROR(VLOOKUP($P75,'M1'!$A:$C,R$2,FALSE)),IF(ISERROR(VLOOKUP(DATA!$P75,'M2'!$A:$C,R$2,FALSE)),"NOT PRESENT",VLOOKUP(DATA!$P75,'M2'!$A:$C,R$2,FALSE)),VLOOKUP($P75,'M1'!$A:$C,R$2,FALSE)),"SPECIFY METHOD")))</f>
        <v>Red sea urchin</v>
      </c>
      <c r="S75" s="28">
        <f t="shared" si="3"/>
        <v>2</v>
      </c>
      <c r="T75" s="20">
        <v>0</v>
      </c>
      <c r="U75" s="20"/>
      <c r="V75" s="20"/>
      <c r="W75" s="20"/>
      <c r="X75" s="20"/>
      <c r="Y75" s="20">
        <v>1</v>
      </c>
      <c r="Z75" s="20">
        <v>1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</row>
    <row r="76" spans="1:68" ht="12.75" customHeight="1">
      <c r="A76" s="21">
        <f t="shared" si="2"/>
        <v>74</v>
      </c>
      <c r="B76" s="20" t="str">
        <f t="shared" ref="B76:D76" si="151">IF(ISERROR(B75),IF(ISERROR(B74),IF(ISERROR(B73),"BLANK",B73),B74),B75)</f>
        <v>Isabelle Cote</v>
      </c>
      <c r="C76" s="20" t="str">
        <f t="shared" si="151"/>
        <v>Em Lim</v>
      </c>
      <c r="D76" s="20" t="str">
        <f t="shared" si="151"/>
        <v>BMSC25</v>
      </c>
      <c r="E76" s="21" t="str">
        <f>IF(ISERROR(VLOOKUP($D76,SITES!$A:$E,2,FALSE)),"",VLOOKUP($D76,SITES!$A:$E,2,FALSE))</f>
        <v>Goby Town</v>
      </c>
      <c r="F76" s="19">
        <f>IF(ISERROR(VLOOKUP($D76,SITES!$A:$E,3,FALSE)),"",VLOOKUP($D76,SITES!$A:$E,3,FALSE))</f>
        <v>48.838594999999998</v>
      </c>
      <c r="G76" s="22">
        <f>IF(ISERROR(VLOOKUP($D76,SITES!$A:$E,4,FALSE)),"",VLOOKUP($D76,SITES!$A:$E,4,FALSE))</f>
        <v>-125.135015</v>
      </c>
      <c r="H76" s="23" t="str">
        <f t="shared" si="112"/>
        <v>4/23/2024</v>
      </c>
      <c r="I76" s="20">
        <f t="shared" si="149"/>
        <v>3</v>
      </c>
      <c r="J76" s="20" t="str">
        <f t="shared" ref="J76:N76" si="152">IF(ISERROR(J75),IF(ISERROR(J74),IF(ISERROR(J73),"BLANK",J73),J74),J75)</f>
        <v>NW</v>
      </c>
      <c r="K76" s="27">
        <f t="shared" si="152"/>
        <v>0.6166666666666667</v>
      </c>
      <c r="L76" s="20">
        <f t="shared" si="152"/>
        <v>6</v>
      </c>
      <c r="M76" s="20">
        <f t="shared" si="152"/>
        <v>2</v>
      </c>
      <c r="N76" s="20">
        <f t="shared" si="152"/>
        <v>1</v>
      </c>
      <c r="O76" s="20">
        <v>32</v>
      </c>
      <c r="P76" s="20" t="str">
        <f>IF(ISERROR(P75),IF(ISERROR(P74),IF(ISERROR(P73),"BLANK",P73),P74),P75)</f>
        <v>mfra</v>
      </c>
      <c r="Q76" s="21" t="str">
        <f>IF($M76=1,IF(ISERROR(VLOOKUP($P76,'M1'!$A:$C,Q$2,FALSE)),"NOT PRESENT",VLOOKUP($P76,'M1'!$A:$C,Q$2,FALSE)),IF($M76=2,IF(ISERROR(VLOOKUP(DATA!$P76,'M2'!$A:$C,Q$2,FALSE)),"NOT PRESENT",VLOOKUP(DATA!$P76,'M2'!$A:$C,Q$2,FALSE)),IF($M76=0,IF(ISERROR(VLOOKUP($P76,'M1'!$A:$C,Q$2,FALSE)),IF(ISERROR(VLOOKUP(DATA!$P76,'M2'!$A:$C,Q$2,FALSE)),"NOT PRESENT",VLOOKUP(DATA!$P76,'M2'!$A:$C,Q$2,FALSE)),VLOOKUP($P76,'M1'!$A:$C,Q$2,FALSE)),"SPECIFY METHOD")))</f>
        <v>Mesocentrotus franciscanus</v>
      </c>
      <c r="R76" s="21" t="str">
        <f>IF($M76=1,IF(ISERROR(VLOOKUP($P76,'M1'!$A:$C,R$2,FALSE)),"NOT PRESENT",VLOOKUP($P76,'M1'!$A:$C,R$2,FALSE)),IF($M76=2,IF(ISERROR(VLOOKUP(DATA!$P76,'M2'!$A:$C,R$2,FALSE)),"NOT PRESENT",VLOOKUP(DATA!$P76,'M2'!$A:$C,R$2,FALSE)),IF($M76=0,IF(ISERROR(VLOOKUP($P76,'M1'!$A:$C,R$2,FALSE)),IF(ISERROR(VLOOKUP(DATA!$P76,'M2'!$A:$C,R$2,FALSE)),"NOT PRESENT",VLOOKUP(DATA!$P76,'M2'!$A:$C,R$2,FALSE)),VLOOKUP($P76,'M1'!$A:$C,R$2,FALSE)),"SPECIFY METHOD")))</f>
        <v>Red sea urchin</v>
      </c>
      <c r="S76" s="28">
        <f t="shared" si="3"/>
        <v>7</v>
      </c>
      <c r="T76" s="20">
        <v>0</v>
      </c>
      <c r="U76" s="20"/>
      <c r="V76" s="20">
        <v>2</v>
      </c>
      <c r="W76" s="20">
        <v>3</v>
      </c>
      <c r="X76" s="20">
        <v>1</v>
      </c>
      <c r="Y76" s="20"/>
      <c r="Z76" s="20">
        <v>1</v>
      </c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</row>
    <row r="77" spans="1:68" ht="12.75" customHeight="1">
      <c r="A77" s="21">
        <f t="shared" si="2"/>
        <v>75</v>
      </c>
      <c r="B77" s="20" t="str">
        <f t="shared" ref="B77:D77" si="153">IF(ISERROR(B76),IF(ISERROR(B75),IF(ISERROR(B74),"BLANK",B74),B75),B76)</f>
        <v>Isabelle Cote</v>
      </c>
      <c r="C77" s="20" t="str">
        <f t="shared" si="153"/>
        <v>Em Lim</v>
      </c>
      <c r="D77" s="20" t="str">
        <f t="shared" si="153"/>
        <v>BMSC25</v>
      </c>
      <c r="E77" s="21" t="str">
        <f>IF(ISERROR(VLOOKUP($D77,SITES!$A:$E,2,FALSE)),"",VLOOKUP($D77,SITES!$A:$E,2,FALSE))</f>
        <v>Goby Town</v>
      </c>
      <c r="F77" s="19">
        <f>IF(ISERROR(VLOOKUP($D77,SITES!$A:$E,3,FALSE)),"",VLOOKUP($D77,SITES!$A:$E,3,FALSE))</f>
        <v>48.838594999999998</v>
      </c>
      <c r="G77" s="22">
        <f>IF(ISERROR(VLOOKUP($D77,SITES!$A:$E,4,FALSE)),"",VLOOKUP($D77,SITES!$A:$E,4,FALSE))</f>
        <v>-125.135015</v>
      </c>
      <c r="H77" s="23" t="str">
        <f t="shared" si="112"/>
        <v>4/23/2024</v>
      </c>
      <c r="I77" s="20">
        <f t="shared" si="149"/>
        <v>3</v>
      </c>
      <c r="J77" s="20" t="str">
        <f t="shared" ref="J77:N77" si="154">IF(ISERROR(J76),IF(ISERROR(J75),IF(ISERROR(J74),"BLANK",J74),J75),J76)</f>
        <v>NW</v>
      </c>
      <c r="K77" s="27">
        <f t="shared" si="154"/>
        <v>0.6166666666666667</v>
      </c>
      <c r="L77" s="20">
        <f t="shared" si="154"/>
        <v>6</v>
      </c>
      <c r="M77" s="20">
        <f t="shared" si="154"/>
        <v>2</v>
      </c>
      <c r="N77" s="20">
        <f t="shared" si="154"/>
        <v>1</v>
      </c>
      <c r="O77" s="20">
        <v>32</v>
      </c>
      <c r="P77" s="20" t="s">
        <v>42</v>
      </c>
      <c r="Q77" s="21" t="str">
        <f>IF($M77=1,IF(ISERROR(VLOOKUP($P77,'M1'!$A:$C,Q$2,FALSE)),"NOT PRESENT",VLOOKUP($P77,'M1'!$A:$C,Q$2,FALSE)),IF($M77=2,IF(ISERROR(VLOOKUP(DATA!$P77,'M2'!$A:$C,Q$2,FALSE)),"NOT PRESENT",VLOOKUP(DATA!$P77,'M2'!$A:$C,Q$2,FALSE)),IF($M77=0,IF(ISERROR(VLOOKUP($P77,'M1'!$A:$C,Q$2,FALSE)),IF(ISERROR(VLOOKUP(DATA!$P77,'M2'!$A:$C,Q$2,FALSE)),"NOT PRESENT",VLOOKUP(DATA!$P77,'M2'!$A:$C,Q$2,FALSE)),VLOOKUP($P77,'M1'!$A:$C,Q$2,FALSE)),"SPECIFY METHOD")))</f>
        <v>Orthasterias koehleri</v>
      </c>
      <c r="R77" s="21" t="str">
        <f>IF($M77=1,IF(ISERROR(VLOOKUP($P77,'M1'!$A:$C,R$2,FALSE)),"NOT PRESENT",VLOOKUP($P77,'M1'!$A:$C,R$2,FALSE)),IF($M77=2,IF(ISERROR(VLOOKUP(DATA!$P77,'M2'!$A:$C,R$2,FALSE)),"NOT PRESENT",VLOOKUP(DATA!$P77,'M2'!$A:$C,R$2,FALSE)),IF($M77=0,IF(ISERROR(VLOOKUP($P77,'M1'!$A:$C,R$2,FALSE)),IF(ISERROR(VLOOKUP(DATA!$P77,'M2'!$A:$C,R$2,FALSE)),"NOT PRESENT",VLOOKUP(DATA!$P77,'M2'!$A:$C,R$2,FALSE)),VLOOKUP($P77,'M1'!$A:$C,R$2,FALSE)),"SPECIFY METHOD")))</f>
        <v>Rainbow star</v>
      </c>
      <c r="S77" s="28">
        <f t="shared" si="3"/>
        <v>1</v>
      </c>
      <c r="T77" s="20">
        <v>0</v>
      </c>
      <c r="U77" s="20"/>
      <c r="V77" s="20"/>
      <c r="W77" s="20"/>
      <c r="X77" s="20">
        <v>1</v>
      </c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</row>
    <row r="78" spans="1:68" ht="12.75" customHeight="1">
      <c r="A78" s="21">
        <f t="shared" si="2"/>
        <v>76</v>
      </c>
      <c r="B78" s="20" t="str">
        <f t="shared" ref="B78:D78" si="155">IF(ISERROR(B77),IF(ISERROR(B76),IF(ISERROR(B75),"BLANK",B75),B76),B77)</f>
        <v>Isabelle Cote</v>
      </c>
      <c r="C78" s="20" t="str">
        <f t="shared" si="155"/>
        <v>Em Lim</v>
      </c>
      <c r="D78" s="20" t="str">
        <f t="shared" si="155"/>
        <v>BMSC25</v>
      </c>
      <c r="E78" s="21" t="str">
        <f>IF(ISERROR(VLOOKUP($D78,SITES!$A:$E,2,FALSE)),"",VLOOKUP($D78,SITES!$A:$E,2,FALSE))</f>
        <v>Goby Town</v>
      </c>
      <c r="F78" s="19">
        <f>IF(ISERROR(VLOOKUP($D78,SITES!$A:$E,3,FALSE)),"",VLOOKUP($D78,SITES!$A:$E,3,FALSE))</f>
        <v>48.838594999999998</v>
      </c>
      <c r="G78" s="22">
        <f>IF(ISERROR(VLOOKUP($D78,SITES!$A:$E,4,FALSE)),"",VLOOKUP($D78,SITES!$A:$E,4,FALSE))</f>
        <v>-125.135015</v>
      </c>
      <c r="H78" s="23" t="str">
        <f t="shared" si="112"/>
        <v>4/23/2024</v>
      </c>
      <c r="I78" s="20">
        <f t="shared" si="149"/>
        <v>3</v>
      </c>
      <c r="J78" s="20" t="str">
        <f t="shared" ref="J78:N78" si="156">IF(ISERROR(J77),IF(ISERROR(J76),IF(ISERROR(J75),"BLANK",J75),J76),J77)</f>
        <v>NW</v>
      </c>
      <c r="K78" s="27">
        <f t="shared" si="156"/>
        <v>0.6166666666666667</v>
      </c>
      <c r="L78" s="20">
        <f t="shared" si="156"/>
        <v>6</v>
      </c>
      <c r="M78" s="20">
        <f t="shared" si="156"/>
        <v>2</v>
      </c>
      <c r="N78" s="20">
        <f t="shared" si="156"/>
        <v>1</v>
      </c>
      <c r="O78" s="20">
        <v>16</v>
      </c>
      <c r="P78" s="20" t="s">
        <v>41</v>
      </c>
      <c r="Q78" s="21" t="str">
        <f>IF($M78=1,IF(ISERROR(VLOOKUP($P78,'M1'!$A:$C,Q$2,FALSE)),"NOT PRESENT",VLOOKUP($P78,'M1'!$A:$C,Q$2,FALSE)),IF($M78=2,IF(ISERROR(VLOOKUP(DATA!$P78,'M2'!$A:$C,Q$2,FALSE)),"NOT PRESENT",VLOOKUP(DATA!$P78,'M2'!$A:$C,Q$2,FALSE)),IF($M78=0,IF(ISERROR(VLOOKUP($P78,'M1'!$A:$C,Q$2,FALSE)),IF(ISERROR(VLOOKUP(DATA!$P78,'M2'!$A:$C,Q$2,FALSE)),"NOT PRESENT",VLOOKUP(DATA!$P78,'M2'!$A:$C,Q$2,FALSE)),VLOOKUP($P78,'M1'!$A:$C,Q$2,FALSE)),"SPECIFY METHOD")))</f>
        <v>Mesocentrotus franciscanus</v>
      </c>
      <c r="R78" s="21" t="str">
        <f>IF($M78=1,IF(ISERROR(VLOOKUP($P78,'M1'!$A:$C,R$2,FALSE)),"NOT PRESENT",VLOOKUP($P78,'M1'!$A:$C,R$2,FALSE)),IF($M78=2,IF(ISERROR(VLOOKUP(DATA!$P78,'M2'!$A:$C,R$2,FALSE)),"NOT PRESENT",VLOOKUP(DATA!$P78,'M2'!$A:$C,R$2,FALSE)),IF($M78=0,IF(ISERROR(VLOOKUP($P78,'M1'!$A:$C,R$2,FALSE)),IF(ISERROR(VLOOKUP(DATA!$P78,'M2'!$A:$C,R$2,FALSE)),"NOT PRESENT",VLOOKUP(DATA!$P78,'M2'!$A:$C,R$2,FALSE)),VLOOKUP($P78,'M1'!$A:$C,R$2,FALSE)),"SPECIFY METHOD")))</f>
        <v>Red sea urchin</v>
      </c>
      <c r="S78" s="28">
        <f t="shared" si="3"/>
        <v>10</v>
      </c>
      <c r="T78" s="20">
        <v>0</v>
      </c>
      <c r="U78" s="20"/>
      <c r="V78" s="20">
        <v>1</v>
      </c>
      <c r="W78" s="20">
        <v>5</v>
      </c>
      <c r="X78" s="20">
        <v>1</v>
      </c>
      <c r="Y78" s="20">
        <v>3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</row>
    <row r="79" spans="1:68" ht="12.75" customHeight="1">
      <c r="A79" s="21">
        <f t="shared" si="2"/>
        <v>77</v>
      </c>
      <c r="B79" s="20" t="str">
        <f t="shared" ref="B79:D79" si="157">IF(ISERROR(B78),IF(ISERROR(B77),IF(ISERROR(B76),"BLANK",B76),B77),B78)</f>
        <v>Isabelle Cote</v>
      </c>
      <c r="C79" s="20" t="str">
        <f t="shared" si="157"/>
        <v>Em Lim</v>
      </c>
      <c r="D79" s="20" t="str">
        <f t="shared" si="157"/>
        <v>BMSC25</v>
      </c>
      <c r="E79" s="21" t="str">
        <f>IF(ISERROR(VLOOKUP($D79,SITES!$A:$E,2,FALSE)),"",VLOOKUP($D79,SITES!$A:$E,2,FALSE))</f>
        <v>Goby Town</v>
      </c>
      <c r="F79" s="19">
        <f>IF(ISERROR(VLOOKUP($D79,SITES!$A:$E,3,FALSE)),"",VLOOKUP($D79,SITES!$A:$E,3,FALSE))</f>
        <v>48.838594999999998</v>
      </c>
      <c r="G79" s="22">
        <f>IF(ISERROR(VLOOKUP($D79,SITES!$A:$E,4,FALSE)),"",VLOOKUP($D79,SITES!$A:$E,4,FALSE))</f>
        <v>-125.135015</v>
      </c>
      <c r="H79" s="23" t="str">
        <f t="shared" si="112"/>
        <v>4/23/2024</v>
      </c>
      <c r="I79" s="20">
        <f t="shared" si="149"/>
        <v>3</v>
      </c>
      <c r="J79" s="20" t="str">
        <f t="shared" ref="J79:N79" si="158">IF(ISERROR(J78),IF(ISERROR(J77),IF(ISERROR(J76),"BLANK",J76),J77),J78)</f>
        <v>NW</v>
      </c>
      <c r="K79" s="27">
        <f t="shared" si="158"/>
        <v>0.6166666666666667</v>
      </c>
      <c r="L79" s="20">
        <f t="shared" si="158"/>
        <v>6</v>
      </c>
      <c r="M79" s="20">
        <f t="shared" si="158"/>
        <v>2</v>
      </c>
      <c r="N79" s="20">
        <f t="shared" si="158"/>
        <v>1</v>
      </c>
      <c r="O79" s="20">
        <v>16</v>
      </c>
      <c r="P79" s="20" t="s">
        <v>40</v>
      </c>
      <c r="Q79" s="21" t="str">
        <f>IF($M79=1,IF(ISERROR(VLOOKUP($P79,'M1'!$A:$C,Q$2,FALSE)),"NOT PRESENT",VLOOKUP($P79,'M1'!$A:$C,Q$2,FALSE)),IF($M79=2,IF(ISERROR(VLOOKUP(DATA!$P79,'M2'!$A:$C,Q$2,FALSE)),"NOT PRESENT",VLOOKUP(DATA!$P79,'M2'!$A:$C,Q$2,FALSE)),IF($M79=0,IF(ISERROR(VLOOKUP($P79,'M1'!$A:$C,Q$2,FALSE)),IF(ISERROR(VLOOKUP(DATA!$P79,'M2'!$A:$C,Q$2,FALSE)),"NOT PRESENT",VLOOKUP(DATA!$P79,'M2'!$A:$C,Q$2,FALSE)),VLOOKUP($P79,'M1'!$A:$C,Q$2,FALSE)),"SPECIFY METHOD")))</f>
        <v>Patiria miniata</v>
      </c>
      <c r="R79" s="21" t="str">
        <f>IF($M79=1,IF(ISERROR(VLOOKUP($P79,'M1'!$A:$C,R$2,FALSE)),"NOT PRESENT",VLOOKUP($P79,'M1'!$A:$C,R$2,FALSE)),IF($M79=2,IF(ISERROR(VLOOKUP(DATA!$P79,'M2'!$A:$C,R$2,FALSE)),"NOT PRESENT",VLOOKUP(DATA!$P79,'M2'!$A:$C,R$2,FALSE)),IF($M79=0,IF(ISERROR(VLOOKUP($P79,'M1'!$A:$C,R$2,FALSE)),IF(ISERROR(VLOOKUP(DATA!$P79,'M2'!$A:$C,R$2,FALSE)),"NOT PRESENT",VLOOKUP(DATA!$P79,'M2'!$A:$C,R$2,FALSE)),VLOOKUP($P79,'M1'!$A:$C,R$2,FALSE)),"SPECIFY METHOD")))</f>
        <v>Bat star</v>
      </c>
      <c r="S79" s="28">
        <f t="shared" si="3"/>
        <v>1</v>
      </c>
      <c r="T79" s="20">
        <v>0</v>
      </c>
      <c r="U79" s="20"/>
      <c r="V79" s="20"/>
      <c r="W79" s="20"/>
      <c r="X79" s="20">
        <v>1</v>
      </c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</row>
    <row r="80" spans="1:68" ht="12.75" customHeight="1">
      <c r="A80" s="21">
        <f t="shared" si="2"/>
        <v>78</v>
      </c>
      <c r="B80" s="20" t="str">
        <f t="shared" ref="B80:D80" si="159">IF(ISERROR(B79),IF(ISERROR(B78),IF(ISERROR(B77),"BLANK",B77),B78),B79)</f>
        <v>Isabelle Cote</v>
      </c>
      <c r="C80" s="20" t="str">
        <f t="shared" si="159"/>
        <v>Em Lim</v>
      </c>
      <c r="D80" s="20" t="str">
        <f t="shared" si="159"/>
        <v>BMSC25</v>
      </c>
      <c r="E80" s="21" t="str">
        <f>IF(ISERROR(VLOOKUP($D80,SITES!$A:$E,2,FALSE)),"",VLOOKUP($D80,SITES!$A:$E,2,FALSE))</f>
        <v>Goby Town</v>
      </c>
      <c r="F80" s="19">
        <f>IF(ISERROR(VLOOKUP($D80,SITES!$A:$E,3,FALSE)),"",VLOOKUP($D80,SITES!$A:$E,3,FALSE))</f>
        <v>48.838594999999998</v>
      </c>
      <c r="G80" s="22">
        <f>IF(ISERROR(VLOOKUP($D80,SITES!$A:$E,4,FALSE)),"",VLOOKUP($D80,SITES!$A:$E,4,FALSE))</f>
        <v>-125.135015</v>
      </c>
      <c r="H80" s="23" t="str">
        <f t="shared" si="112"/>
        <v>4/23/2024</v>
      </c>
      <c r="I80" s="20">
        <f t="shared" si="149"/>
        <v>3</v>
      </c>
      <c r="J80" s="20" t="str">
        <f t="shared" ref="J80:N80" si="160">IF(ISERROR(J79),IF(ISERROR(J78),IF(ISERROR(J77),"BLANK",J77),J78),J79)</f>
        <v>NW</v>
      </c>
      <c r="K80" s="27">
        <f t="shared" si="160"/>
        <v>0.6166666666666667</v>
      </c>
      <c r="L80" s="20">
        <f t="shared" si="160"/>
        <v>6</v>
      </c>
      <c r="M80" s="20">
        <f t="shared" si="160"/>
        <v>2</v>
      </c>
      <c r="N80" s="20">
        <f t="shared" si="160"/>
        <v>1</v>
      </c>
      <c r="O80" s="20">
        <v>16</v>
      </c>
      <c r="P80" s="20" t="s">
        <v>39</v>
      </c>
      <c r="Q80" s="21" t="str">
        <f>IF($M80=1,IF(ISERROR(VLOOKUP($P80,'M1'!$A:$C,Q$2,FALSE)),"NOT PRESENT",VLOOKUP($P80,'M1'!$A:$C,Q$2,FALSE)),IF($M80=2,IF(ISERROR(VLOOKUP(DATA!$P80,'M2'!$A:$C,Q$2,FALSE)),"NOT PRESENT",VLOOKUP(DATA!$P80,'M2'!$A:$C,Q$2,FALSE)),IF($M80=0,IF(ISERROR(VLOOKUP($P80,'M1'!$A:$C,Q$2,FALSE)),IF(ISERROR(VLOOKUP(DATA!$P80,'M2'!$A:$C,Q$2,FALSE)),"NOT PRESENT",VLOOKUP(DATA!$P80,'M2'!$A:$C,Q$2,FALSE)),VLOOKUP($P80,'M1'!$A:$C,Q$2,FALSE)),"SPECIFY METHOD")))</f>
        <v>Dermasterias imbricata</v>
      </c>
      <c r="R80" s="21" t="str">
        <f>IF($M80=1,IF(ISERROR(VLOOKUP($P80,'M1'!$A:$C,R$2,FALSE)),"NOT PRESENT",VLOOKUP($P80,'M1'!$A:$C,R$2,FALSE)),IF($M80=2,IF(ISERROR(VLOOKUP(DATA!$P80,'M2'!$A:$C,R$2,FALSE)),"NOT PRESENT",VLOOKUP(DATA!$P80,'M2'!$A:$C,R$2,FALSE)),IF($M80=0,IF(ISERROR(VLOOKUP($P80,'M1'!$A:$C,R$2,FALSE)),IF(ISERROR(VLOOKUP(DATA!$P80,'M2'!$A:$C,R$2,FALSE)),"NOT PRESENT",VLOOKUP(DATA!$P80,'M2'!$A:$C,R$2,FALSE)),VLOOKUP($P80,'M1'!$A:$C,R$2,FALSE)),"SPECIFY METHOD")))</f>
        <v>Leather star</v>
      </c>
      <c r="S80" s="28">
        <f t="shared" si="3"/>
        <v>1</v>
      </c>
      <c r="T80" s="20">
        <v>0</v>
      </c>
      <c r="U80" s="20"/>
      <c r="V80" s="20"/>
      <c r="W80" s="20"/>
      <c r="X80" s="20">
        <v>1</v>
      </c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</row>
    <row r="81" spans="1:68" ht="12.75" customHeight="1">
      <c r="A81" s="21">
        <f t="shared" si="2"/>
        <v>79</v>
      </c>
      <c r="B81" s="20" t="str">
        <f t="shared" ref="B81:D81" si="161">IF(ISERROR(B80),IF(ISERROR(B79),IF(ISERROR(B78),"BLANK",B78),B79),B80)</f>
        <v>Isabelle Cote</v>
      </c>
      <c r="C81" s="20" t="str">
        <f t="shared" si="161"/>
        <v>Em Lim</v>
      </c>
      <c r="D81" s="20" t="str">
        <f t="shared" si="161"/>
        <v>BMSC25</v>
      </c>
      <c r="E81" s="21" t="str">
        <f>IF(ISERROR(VLOOKUP($D81,SITES!$A:$E,2,FALSE)),"",VLOOKUP($D81,SITES!$A:$E,2,FALSE))</f>
        <v>Goby Town</v>
      </c>
      <c r="F81" s="19">
        <f>IF(ISERROR(VLOOKUP($D81,SITES!$A:$E,3,FALSE)),"",VLOOKUP($D81,SITES!$A:$E,3,FALSE))</f>
        <v>48.838594999999998</v>
      </c>
      <c r="G81" s="22">
        <f>IF(ISERROR(VLOOKUP($D81,SITES!$A:$E,4,FALSE)),"",VLOOKUP($D81,SITES!$A:$E,4,FALSE))</f>
        <v>-125.135015</v>
      </c>
      <c r="H81" s="23" t="str">
        <f t="shared" si="112"/>
        <v>4/23/2024</v>
      </c>
      <c r="I81" s="20">
        <f t="shared" si="149"/>
        <v>3</v>
      </c>
      <c r="J81" s="20" t="str">
        <f t="shared" ref="J81:N81" si="162">IF(ISERROR(J80),IF(ISERROR(J79),IF(ISERROR(J78),"BLANK",J78),J79),J80)</f>
        <v>NW</v>
      </c>
      <c r="K81" s="27">
        <f t="shared" si="162"/>
        <v>0.6166666666666667</v>
      </c>
      <c r="L81" s="20">
        <f t="shared" si="162"/>
        <v>6</v>
      </c>
      <c r="M81" s="20">
        <f t="shared" si="162"/>
        <v>2</v>
      </c>
      <c r="N81" s="20">
        <f t="shared" si="162"/>
        <v>1</v>
      </c>
      <c r="O81" s="20">
        <v>16</v>
      </c>
      <c r="P81" s="20" t="s">
        <v>53</v>
      </c>
      <c r="Q81" s="21" t="str">
        <f>IF($M81=1,IF(ISERROR(VLOOKUP($P81,'M1'!$A:$C,Q$2,FALSE)),"NOT PRESENT",VLOOKUP($P81,'M1'!$A:$C,Q$2,FALSE)),IF($M81=2,IF(ISERROR(VLOOKUP(DATA!$P81,'M2'!$A:$C,Q$2,FALSE)),"NOT PRESENT",VLOOKUP(DATA!$P81,'M2'!$A:$C,Q$2,FALSE)),IF($M81=0,IF(ISERROR(VLOOKUP($P81,'M1'!$A:$C,Q$2,FALSE)),IF(ISERROR(VLOOKUP(DATA!$P81,'M2'!$A:$C,Q$2,FALSE)),"NOT PRESENT",VLOOKUP(DATA!$P81,'M2'!$A:$C,Q$2,FALSE)),VLOOKUP($P81,'M1'!$A:$C,Q$2,FALSE)),"SPECIFY METHOD")))</f>
        <v>Evasterias troschelii</v>
      </c>
      <c r="R81" s="21" t="str">
        <f>IF($M81=1,IF(ISERROR(VLOOKUP($P81,'M1'!$A:$C,R$2,FALSE)),"NOT PRESENT",VLOOKUP($P81,'M1'!$A:$C,R$2,FALSE)),IF($M81=2,IF(ISERROR(VLOOKUP(DATA!$P81,'M2'!$A:$C,R$2,FALSE)),"NOT PRESENT",VLOOKUP(DATA!$P81,'M2'!$A:$C,R$2,FALSE)),IF($M81=0,IF(ISERROR(VLOOKUP($P81,'M1'!$A:$C,R$2,FALSE)),IF(ISERROR(VLOOKUP(DATA!$P81,'M2'!$A:$C,R$2,FALSE)),"NOT PRESENT",VLOOKUP(DATA!$P81,'M2'!$A:$C,R$2,FALSE)),VLOOKUP($P81,'M1'!$A:$C,R$2,FALSE)),"SPECIFY METHOD")))</f>
        <v>Mottled starfish</v>
      </c>
      <c r="S81" s="28">
        <f t="shared" si="3"/>
        <v>1</v>
      </c>
      <c r="T81" s="20">
        <v>0</v>
      </c>
      <c r="U81" s="20"/>
      <c r="V81" s="20"/>
      <c r="W81" s="20">
        <v>1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</row>
    <row r="82" spans="1:68" ht="12.75" customHeight="1">
      <c r="A82" s="21">
        <f t="shared" si="2"/>
        <v>80</v>
      </c>
      <c r="B82" s="20" t="s">
        <v>35</v>
      </c>
      <c r="C82" s="20" t="s">
        <v>36</v>
      </c>
      <c r="D82" s="20" t="str">
        <f>IF(ISERROR(D81),IF(ISERROR(D80),IF(ISERROR(D79),"BLANK",D79),D80),D81)</f>
        <v>BMSC25</v>
      </c>
      <c r="E82" s="21" t="str">
        <f>IF(ISERROR(VLOOKUP($D82,SITES!$A:$E,2,FALSE)),"",VLOOKUP($D82,SITES!$A:$E,2,FALSE))</f>
        <v>Goby Town</v>
      </c>
      <c r="F82" s="19">
        <f>IF(ISERROR(VLOOKUP($D82,SITES!$A:$E,3,FALSE)),"",VLOOKUP($D82,SITES!$A:$E,3,FALSE))</f>
        <v>48.838594999999998</v>
      </c>
      <c r="G82" s="22">
        <f>IF(ISERROR(VLOOKUP($D82,SITES!$A:$E,4,FALSE)),"",VLOOKUP($D82,SITES!$A:$E,4,FALSE))</f>
        <v>-125.135015</v>
      </c>
      <c r="H82" s="23" t="str">
        <f t="shared" si="112"/>
        <v>4/23/2024</v>
      </c>
      <c r="I82" s="20">
        <f t="shared" si="149"/>
        <v>3</v>
      </c>
      <c r="J82" s="20" t="str">
        <f t="shared" ref="J82:N82" si="163">IF(ISERROR(J81),IF(ISERROR(J80),IF(ISERROR(J79),"BLANK",J79),J80),J81)</f>
        <v>NW</v>
      </c>
      <c r="K82" s="27">
        <f t="shared" si="163"/>
        <v>0.6166666666666667</v>
      </c>
      <c r="L82" s="20">
        <f t="shared" si="163"/>
        <v>6</v>
      </c>
      <c r="M82" s="20">
        <f t="shared" si="163"/>
        <v>2</v>
      </c>
      <c r="N82" s="20">
        <f t="shared" si="163"/>
        <v>1</v>
      </c>
      <c r="O82" s="20">
        <v>0</v>
      </c>
      <c r="P82" s="20" t="s">
        <v>41</v>
      </c>
      <c r="Q82" s="21" t="str">
        <f>IF($M82=1,IF(ISERROR(VLOOKUP($P82,'M1'!$A:$C,Q$2,FALSE)),"NOT PRESENT",VLOOKUP($P82,'M1'!$A:$C,Q$2,FALSE)),IF($M82=2,IF(ISERROR(VLOOKUP(DATA!$P82,'M2'!$A:$C,Q$2,FALSE)),"NOT PRESENT",VLOOKUP(DATA!$P82,'M2'!$A:$C,Q$2,FALSE)),IF($M82=0,IF(ISERROR(VLOOKUP($P82,'M1'!$A:$C,Q$2,FALSE)),IF(ISERROR(VLOOKUP(DATA!$P82,'M2'!$A:$C,Q$2,FALSE)),"NOT PRESENT",VLOOKUP(DATA!$P82,'M2'!$A:$C,Q$2,FALSE)),VLOOKUP($P82,'M1'!$A:$C,Q$2,FALSE)),"SPECIFY METHOD")))</f>
        <v>Mesocentrotus franciscanus</v>
      </c>
      <c r="R82" s="21" t="str">
        <f>IF($M82=1,IF(ISERROR(VLOOKUP($P82,'M1'!$A:$C,R$2,FALSE)),"NOT PRESENT",VLOOKUP($P82,'M1'!$A:$C,R$2,FALSE)),IF($M82=2,IF(ISERROR(VLOOKUP(DATA!$P82,'M2'!$A:$C,R$2,FALSE)),"NOT PRESENT",VLOOKUP(DATA!$P82,'M2'!$A:$C,R$2,FALSE)),IF($M82=0,IF(ISERROR(VLOOKUP($P82,'M1'!$A:$C,R$2,FALSE)),IF(ISERROR(VLOOKUP(DATA!$P82,'M2'!$A:$C,R$2,FALSE)),"NOT PRESENT",VLOOKUP(DATA!$P82,'M2'!$A:$C,R$2,FALSE)),VLOOKUP($P82,'M1'!$A:$C,R$2,FALSE)),"SPECIFY METHOD")))</f>
        <v>Red sea urchin</v>
      </c>
      <c r="S82" s="28">
        <f t="shared" si="3"/>
        <v>2</v>
      </c>
      <c r="T82" s="20">
        <v>0</v>
      </c>
      <c r="U82" s="20"/>
      <c r="V82" s="20"/>
      <c r="W82" s="20">
        <v>2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</row>
    <row r="83" spans="1:68" ht="12.75" customHeight="1">
      <c r="A83" s="21">
        <f t="shared" si="2"/>
        <v>81</v>
      </c>
      <c r="B83" s="20" t="str">
        <f t="shared" ref="B83:D83" si="164">IF(ISERROR(B82),IF(ISERROR(B81),IF(ISERROR(B80),"BLANK",B80),B81),B82)</f>
        <v>Em Lim</v>
      </c>
      <c r="C83" s="20" t="str">
        <f t="shared" si="164"/>
        <v>Isabelle Cote</v>
      </c>
      <c r="D83" s="20" t="str">
        <f t="shared" si="164"/>
        <v>BMSC25</v>
      </c>
      <c r="E83" s="21" t="str">
        <f>IF(ISERROR(VLOOKUP($D83,SITES!$A:$E,2,FALSE)),"",VLOOKUP($D83,SITES!$A:$E,2,FALSE))</f>
        <v>Goby Town</v>
      </c>
      <c r="F83" s="19">
        <f>IF(ISERROR(VLOOKUP($D83,SITES!$A:$E,3,FALSE)),"",VLOOKUP($D83,SITES!$A:$E,3,FALSE))</f>
        <v>48.838594999999998</v>
      </c>
      <c r="G83" s="22">
        <f>IF(ISERROR(VLOOKUP($D83,SITES!$A:$E,4,FALSE)),"",VLOOKUP($D83,SITES!$A:$E,4,FALSE))</f>
        <v>-125.135015</v>
      </c>
      <c r="H83" s="23" t="str">
        <f t="shared" si="112"/>
        <v>4/23/2024</v>
      </c>
      <c r="I83" s="20">
        <f t="shared" si="149"/>
        <v>3</v>
      </c>
      <c r="J83" s="20" t="str">
        <f t="shared" ref="J83:M83" si="165">IF(ISERROR(J82),IF(ISERROR(J81),IF(ISERROR(J80),"BLANK",J80),J81),J82)</f>
        <v>NW</v>
      </c>
      <c r="K83" s="27">
        <f t="shared" si="165"/>
        <v>0.6166666666666667</v>
      </c>
      <c r="L83" s="20">
        <f t="shared" si="165"/>
        <v>6</v>
      </c>
      <c r="M83" s="20">
        <f t="shared" si="165"/>
        <v>2</v>
      </c>
      <c r="N83" s="20">
        <v>2</v>
      </c>
      <c r="O83" s="20">
        <v>40</v>
      </c>
      <c r="P83" s="20" t="str">
        <f>IF(ISERROR(P82),IF(ISERROR(P81),IF(ISERROR(P80),"BLANK",P80),P81),P82)</f>
        <v>mfra</v>
      </c>
      <c r="Q83" s="21" t="str">
        <f>IF($M83=1,IF(ISERROR(VLOOKUP($P83,'M1'!$A:$C,Q$2,FALSE)),"NOT PRESENT",VLOOKUP($P83,'M1'!$A:$C,Q$2,FALSE)),IF($M83=2,IF(ISERROR(VLOOKUP(DATA!$P83,'M2'!$A:$C,Q$2,FALSE)),"NOT PRESENT",VLOOKUP(DATA!$P83,'M2'!$A:$C,Q$2,FALSE)),IF($M83=0,IF(ISERROR(VLOOKUP($P83,'M1'!$A:$C,Q$2,FALSE)),IF(ISERROR(VLOOKUP(DATA!$P83,'M2'!$A:$C,Q$2,FALSE)),"NOT PRESENT",VLOOKUP(DATA!$P83,'M2'!$A:$C,Q$2,FALSE)),VLOOKUP($P83,'M1'!$A:$C,Q$2,FALSE)),"SPECIFY METHOD")))</f>
        <v>Mesocentrotus franciscanus</v>
      </c>
      <c r="R83" s="21" t="str">
        <f>IF($M83=1,IF(ISERROR(VLOOKUP($P83,'M1'!$A:$C,R$2,FALSE)),"NOT PRESENT",VLOOKUP($P83,'M1'!$A:$C,R$2,FALSE)),IF($M83=2,IF(ISERROR(VLOOKUP(DATA!$P83,'M2'!$A:$C,R$2,FALSE)),"NOT PRESENT",VLOOKUP(DATA!$P83,'M2'!$A:$C,R$2,FALSE)),IF($M83=0,IF(ISERROR(VLOOKUP($P83,'M1'!$A:$C,R$2,FALSE)),IF(ISERROR(VLOOKUP(DATA!$P83,'M2'!$A:$C,R$2,FALSE)),"NOT PRESENT",VLOOKUP(DATA!$P83,'M2'!$A:$C,R$2,FALSE)),VLOOKUP($P83,'M1'!$A:$C,R$2,FALSE)),"SPECIFY METHOD")))</f>
        <v>Red sea urchin</v>
      </c>
      <c r="S83" s="28">
        <f t="shared" si="3"/>
        <v>6</v>
      </c>
      <c r="T83" s="20">
        <v>0</v>
      </c>
      <c r="U83" s="20"/>
      <c r="V83" s="20">
        <v>2</v>
      </c>
      <c r="W83" s="20">
        <v>3</v>
      </c>
      <c r="X83" s="20">
        <v>1</v>
      </c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</row>
    <row r="84" spans="1:68" ht="12.75" customHeight="1">
      <c r="A84" s="21">
        <f t="shared" si="2"/>
        <v>82</v>
      </c>
      <c r="B84" s="20" t="str">
        <f t="shared" ref="B84:D84" si="166">IF(ISERROR(B83),IF(ISERROR(B82),IF(ISERROR(B81),"BLANK",B81),B82),B83)</f>
        <v>Em Lim</v>
      </c>
      <c r="C84" s="20" t="str">
        <f t="shared" si="166"/>
        <v>Isabelle Cote</v>
      </c>
      <c r="D84" s="20" t="str">
        <f t="shared" si="166"/>
        <v>BMSC25</v>
      </c>
      <c r="E84" s="21" t="str">
        <f>IF(ISERROR(VLOOKUP($D84,SITES!$A:$E,2,FALSE)),"",VLOOKUP($D84,SITES!$A:$E,2,FALSE))</f>
        <v>Goby Town</v>
      </c>
      <c r="F84" s="19">
        <f>IF(ISERROR(VLOOKUP($D84,SITES!$A:$E,3,FALSE)),"",VLOOKUP($D84,SITES!$A:$E,3,FALSE))</f>
        <v>48.838594999999998</v>
      </c>
      <c r="G84" s="22">
        <f>IF(ISERROR(VLOOKUP($D84,SITES!$A:$E,4,FALSE)),"",VLOOKUP($D84,SITES!$A:$E,4,FALSE))</f>
        <v>-125.135015</v>
      </c>
      <c r="H84" s="23" t="str">
        <f t="shared" si="112"/>
        <v>4/23/2024</v>
      </c>
      <c r="I84" s="20">
        <f t="shared" si="149"/>
        <v>3</v>
      </c>
      <c r="J84" s="20" t="str">
        <f t="shared" ref="J84:N84" si="167">IF(ISERROR(J83),IF(ISERROR(J82),IF(ISERROR(J81),"BLANK",J81),J82),J83)</f>
        <v>NW</v>
      </c>
      <c r="K84" s="27">
        <f t="shared" si="167"/>
        <v>0.6166666666666667</v>
      </c>
      <c r="L84" s="20">
        <f t="shared" si="167"/>
        <v>6</v>
      </c>
      <c r="M84" s="20">
        <f t="shared" si="167"/>
        <v>2</v>
      </c>
      <c r="N84" s="20">
        <f t="shared" si="167"/>
        <v>2</v>
      </c>
      <c r="O84" s="20">
        <v>40</v>
      </c>
      <c r="P84" s="20" t="s">
        <v>39</v>
      </c>
      <c r="Q84" s="21" t="str">
        <f>IF($M84=1,IF(ISERROR(VLOOKUP($P84,'M1'!$A:$C,Q$2,FALSE)),"NOT PRESENT",VLOOKUP($P84,'M1'!$A:$C,Q$2,FALSE)),IF($M84=2,IF(ISERROR(VLOOKUP(DATA!$P84,'M2'!$A:$C,Q$2,FALSE)),"NOT PRESENT",VLOOKUP(DATA!$P84,'M2'!$A:$C,Q$2,FALSE)),IF($M84=0,IF(ISERROR(VLOOKUP($P84,'M1'!$A:$C,Q$2,FALSE)),IF(ISERROR(VLOOKUP(DATA!$P84,'M2'!$A:$C,Q$2,FALSE)),"NOT PRESENT",VLOOKUP(DATA!$P84,'M2'!$A:$C,Q$2,FALSE)),VLOOKUP($P84,'M1'!$A:$C,Q$2,FALSE)),"SPECIFY METHOD")))</f>
        <v>Dermasterias imbricata</v>
      </c>
      <c r="R84" s="21" t="str">
        <f>IF($M84=1,IF(ISERROR(VLOOKUP($P84,'M1'!$A:$C,R$2,FALSE)),"NOT PRESENT",VLOOKUP($P84,'M1'!$A:$C,R$2,FALSE)),IF($M84=2,IF(ISERROR(VLOOKUP(DATA!$P84,'M2'!$A:$C,R$2,FALSE)),"NOT PRESENT",VLOOKUP(DATA!$P84,'M2'!$A:$C,R$2,FALSE)),IF($M84=0,IF(ISERROR(VLOOKUP($P84,'M1'!$A:$C,R$2,FALSE)),IF(ISERROR(VLOOKUP(DATA!$P84,'M2'!$A:$C,R$2,FALSE)),"NOT PRESENT",VLOOKUP(DATA!$P84,'M2'!$A:$C,R$2,FALSE)),VLOOKUP($P84,'M1'!$A:$C,R$2,FALSE)),"SPECIFY METHOD")))</f>
        <v>Leather star</v>
      </c>
      <c r="S84" s="28">
        <f t="shared" si="3"/>
        <v>1</v>
      </c>
      <c r="T84" s="20">
        <v>0</v>
      </c>
      <c r="U84" s="20"/>
      <c r="V84" s="20"/>
      <c r="W84" s="20">
        <v>1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</row>
    <row r="85" spans="1:68" ht="12.75" customHeight="1">
      <c r="A85" s="21">
        <f t="shared" si="2"/>
        <v>83</v>
      </c>
      <c r="B85" s="20" t="str">
        <f t="shared" ref="B85:D85" si="168">IF(ISERROR(B84),IF(ISERROR(B83),IF(ISERROR(B82),"BLANK",B82),B83),B84)</f>
        <v>Em Lim</v>
      </c>
      <c r="C85" s="20" t="str">
        <f t="shared" si="168"/>
        <v>Isabelle Cote</v>
      </c>
      <c r="D85" s="20" t="str">
        <f t="shared" si="168"/>
        <v>BMSC25</v>
      </c>
      <c r="E85" s="21" t="str">
        <f>IF(ISERROR(VLOOKUP($D85,SITES!$A:$E,2,FALSE)),"",VLOOKUP($D85,SITES!$A:$E,2,FALSE))</f>
        <v>Goby Town</v>
      </c>
      <c r="F85" s="19">
        <f>IF(ISERROR(VLOOKUP($D85,SITES!$A:$E,3,FALSE)),"",VLOOKUP($D85,SITES!$A:$E,3,FALSE))</f>
        <v>48.838594999999998</v>
      </c>
      <c r="G85" s="22">
        <f>IF(ISERROR(VLOOKUP($D85,SITES!$A:$E,4,FALSE)),"",VLOOKUP($D85,SITES!$A:$E,4,FALSE))</f>
        <v>-125.135015</v>
      </c>
      <c r="H85" s="23" t="str">
        <f t="shared" si="112"/>
        <v>4/23/2024</v>
      </c>
      <c r="I85" s="20">
        <f t="shared" si="149"/>
        <v>3</v>
      </c>
      <c r="J85" s="20" t="str">
        <f t="shared" ref="J85:N85" si="169">IF(ISERROR(J84),IF(ISERROR(J83),IF(ISERROR(J82),"BLANK",J82),J83),J84)</f>
        <v>NW</v>
      </c>
      <c r="K85" s="27">
        <f t="shared" si="169"/>
        <v>0.6166666666666667</v>
      </c>
      <c r="L85" s="20">
        <f t="shared" si="169"/>
        <v>6</v>
      </c>
      <c r="M85" s="20">
        <f t="shared" si="169"/>
        <v>2</v>
      </c>
      <c r="N85" s="20">
        <f t="shared" si="169"/>
        <v>2</v>
      </c>
      <c r="O85" s="20">
        <v>40</v>
      </c>
      <c r="P85" s="20" t="s">
        <v>53</v>
      </c>
      <c r="Q85" s="21" t="str">
        <f>IF($M85=1,IF(ISERROR(VLOOKUP($P85,'M1'!$A:$C,Q$2,FALSE)),"NOT PRESENT",VLOOKUP($P85,'M1'!$A:$C,Q$2,FALSE)),IF($M85=2,IF(ISERROR(VLOOKUP(DATA!$P85,'M2'!$A:$C,Q$2,FALSE)),"NOT PRESENT",VLOOKUP(DATA!$P85,'M2'!$A:$C,Q$2,FALSE)),IF($M85=0,IF(ISERROR(VLOOKUP($P85,'M1'!$A:$C,Q$2,FALSE)),IF(ISERROR(VLOOKUP(DATA!$P85,'M2'!$A:$C,Q$2,FALSE)),"NOT PRESENT",VLOOKUP(DATA!$P85,'M2'!$A:$C,Q$2,FALSE)),VLOOKUP($P85,'M1'!$A:$C,Q$2,FALSE)),"SPECIFY METHOD")))</f>
        <v>Evasterias troschelii</v>
      </c>
      <c r="R85" s="21" t="str">
        <f>IF($M85=1,IF(ISERROR(VLOOKUP($P85,'M1'!$A:$C,R$2,FALSE)),"NOT PRESENT",VLOOKUP($P85,'M1'!$A:$C,R$2,FALSE)),IF($M85=2,IF(ISERROR(VLOOKUP(DATA!$P85,'M2'!$A:$C,R$2,FALSE)),"NOT PRESENT",VLOOKUP(DATA!$P85,'M2'!$A:$C,R$2,FALSE)),IF($M85=0,IF(ISERROR(VLOOKUP($P85,'M1'!$A:$C,R$2,FALSE)),IF(ISERROR(VLOOKUP(DATA!$P85,'M2'!$A:$C,R$2,FALSE)),"NOT PRESENT",VLOOKUP(DATA!$P85,'M2'!$A:$C,R$2,FALSE)),VLOOKUP($P85,'M1'!$A:$C,R$2,FALSE)),"SPECIFY METHOD")))</f>
        <v>Mottled starfish</v>
      </c>
      <c r="S85" s="28">
        <f t="shared" si="3"/>
        <v>1</v>
      </c>
      <c r="T85" s="20">
        <v>0</v>
      </c>
      <c r="U85" s="20"/>
      <c r="V85" s="20">
        <v>1</v>
      </c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</row>
    <row r="86" spans="1:68" ht="12.75" customHeight="1">
      <c r="A86" s="21">
        <f t="shared" si="2"/>
        <v>84</v>
      </c>
      <c r="B86" s="20" t="str">
        <f t="shared" ref="B86:D86" si="170">IF(ISERROR(B85),IF(ISERROR(B84),IF(ISERROR(B83),"BLANK",B83),B84),B85)</f>
        <v>Em Lim</v>
      </c>
      <c r="C86" s="20" t="str">
        <f t="shared" si="170"/>
        <v>Isabelle Cote</v>
      </c>
      <c r="D86" s="20" t="str">
        <f t="shared" si="170"/>
        <v>BMSC25</v>
      </c>
      <c r="E86" s="21" t="str">
        <f>IF(ISERROR(VLOOKUP($D86,SITES!$A:$E,2,FALSE)),"",VLOOKUP($D86,SITES!$A:$E,2,FALSE))</f>
        <v>Goby Town</v>
      </c>
      <c r="F86" s="19">
        <f>IF(ISERROR(VLOOKUP($D86,SITES!$A:$E,3,FALSE)),"",VLOOKUP($D86,SITES!$A:$E,3,FALSE))</f>
        <v>48.838594999999998</v>
      </c>
      <c r="G86" s="22">
        <f>IF(ISERROR(VLOOKUP($D86,SITES!$A:$E,4,FALSE)),"",VLOOKUP($D86,SITES!$A:$E,4,FALSE))</f>
        <v>-125.135015</v>
      </c>
      <c r="H86" s="23" t="str">
        <f t="shared" si="112"/>
        <v>4/23/2024</v>
      </c>
      <c r="I86" s="20">
        <f t="shared" si="149"/>
        <v>3</v>
      </c>
      <c r="J86" s="20" t="str">
        <f t="shared" ref="J86:N86" si="171">IF(ISERROR(J85),IF(ISERROR(J84),IF(ISERROR(J83),"BLANK",J83),J84),J85)</f>
        <v>NW</v>
      </c>
      <c r="K86" s="27">
        <f t="shared" si="171"/>
        <v>0.6166666666666667</v>
      </c>
      <c r="L86" s="20">
        <f t="shared" si="171"/>
        <v>6</v>
      </c>
      <c r="M86" s="20">
        <f t="shared" si="171"/>
        <v>2</v>
      </c>
      <c r="N86" s="20">
        <f t="shared" si="171"/>
        <v>2</v>
      </c>
      <c r="O86" s="20">
        <v>24</v>
      </c>
      <c r="P86" s="20" t="s">
        <v>41</v>
      </c>
      <c r="Q86" s="21" t="str">
        <f>IF($M86=1,IF(ISERROR(VLOOKUP($P86,'M1'!$A:$C,Q$2,FALSE)),"NOT PRESENT",VLOOKUP($P86,'M1'!$A:$C,Q$2,FALSE)),IF($M86=2,IF(ISERROR(VLOOKUP(DATA!$P86,'M2'!$A:$C,Q$2,FALSE)),"NOT PRESENT",VLOOKUP(DATA!$P86,'M2'!$A:$C,Q$2,FALSE)),IF($M86=0,IF(ISERROR(VLOOKUP($P86,'M1'!$A:$C,Q$2,FALSE)),IF(ISERROR(VLOOKUP(DATA!$P86,'M2'!$A:$C,Q$2,FALSE)),"NOT PRESENT",VLOOKUP(DATA!$P86,'M2'!$A:$C,Q$2,FALSE)),VLOOKUP($P86,'M1'!$A:$C,Q$2,FALSE)),"SPECIFY METHOD")))</f>
        <v>Mesocentrotus franciscanus</v>
      </c>
      <c r="R86" s="21" t="str">
        <f>IF($M86=1,IF(ISERROR(VLOOKUP($P86,'M1'!$A:$C,R$2,FALSE)),"NOT PRESENT",VLOOKUP($P86,'M1'!$A:$C,R$2,FALSE)),IF($M86=2,IF(ISERROR(VLOOKUP(DATA!$P86,'M2'!$A:$C,R$2,FALSE)),"NOT PRESENT",VLOOKUP(DATA!$P86,'M2'!$A:$C,R$2,FALSE)),IF($M86=0,IF(ISERROR(VLOOKUP($P86,'M1'!$A:$C,R$2,FALSE)),IF(ISERROR(VLOOKUP(DATA!$P86,'M2'!$A:$C,R$2,FALSE)),"NOT PRESENT",VLOOKUP(DATA!$P86,'M2'!$A:$C,R$2,FALSE)),VLOOKUP($P86,'M1'!$A:$C,R$2,FALSE)),"SPECIFY METHOD")))</f>
        <v>Red sea urchin</v>
      </c>
      <c r="S86" s="28">
        <f t="shared" si="3"/>
        <v>1</v>
      </c>
      <c r="T86" s="20">
        <v>0</v>
      </c>
      <c r="U86" s="20"/>
      <c r="V86" s="20"/>
      <c r="W86" s="20"/>
      <c r="X86" s="20">
        <v>1</v>
      </c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</row>
    <row r="87" spans="1:68" ht="12.75" customHeight="1">
      <c r="A87" s="21">
        <f t="shared" si="2"/>
        <v>85</v>
      </c>
      <c r="B87" s="20" t="str">
        <f t="shared" ref="B87:D87" si="172">IF(ISERROR(B86),IF(ISERROR(B85),IF(ISERROR(B84),"BLANK",B84),B85),B86)</f>
        <v>Em Lim</v>
      </c>
      <c r="C87" s="20" t="str">
        <f t="shared" si="172"/>
        <v>Isabelle Cote</v>
      </c>
      <c r="D87" s="20" t="str">
        <f t="shared" si="172"/>
        <v>BMSC25</v>
      </c>
      <c r="E87" s="21" t="str">
        <f>IF(ISERROR(VLOOKUP($D87,SITES!$A:$E,2,FALSE)),"",VLOOKUP($D87,SITES!$A:$E,2,FALSE))</f>
        <v>Goby Town</v>
      </c>
      <c r="F87" s="19">
        <f>IF(ISERROR(VLOOKUP($D87,SITES!$A:$E,3,FALSE)),"",VLOOKUP($D87,SITES!$A:$E,3,FALSE))</f>
        <v>48.838594999999998</v>
      </c>
      <c r="G87" s="22">
        <f>IF(ISERROR(VLOOKUP($D87,SITES!$A:$E,4,FALSE)),"",VLOOKUP($D87,SITES!$A:$E,4,FALSE))</f>
        <v>-125.135015</v>
      </c>
      <c r="H87" s="23" t="str">
        <f t="shared" si="112"/>
        <v>4/23/2024</v>
      </c>
      <c r="I87" s="20">
        <f t="shared" si="149"/>
        <v>3</v>
      </c>
      <c r="J87" s="20" t="str">
        <f t="shared" ref="J87:N87" si="173">IF(ISERROR(J86),IF(ISERROR(J85),IF(ISERROR(J84),"BLANK",J84),J85),J86)</f>
        <v>NW</v>
      </c>
      <c r="K87" s="27">
        <f t="shared" si="173"/>
        <v>0.6166666666666667</v>
      </c>
      <c r="L87" s="20">
        <f t="shared" si="173"/>
        <v>6</v>
      </c>
      <c r="M87" s="20">
        <f t="shared" si="173"/>
        <v>2</v>
      </c>
      <c r="N87" s="20">
        <f t="shared" si="173"/>
        <v>2</v>
      </c>
      <c r="O87" s="20">
        <v>8</v>
      </c>
      <c r="P87" s="20" t="s">
        <v>41</v>
      </c>
      <c r="Q87" s="21" t="str">
        <f>IF($M87=1,IF(ISERROR(VLOOKUP($P87,'M1'!$A:$C,Q$2,FALSE)),"NOT PRESENT",VLOOKUP($P87,'M1'!$A:$C,Q$2,FALSE)),IF($M87=2,IF(ISERROR(VLOOKUP(DATA!$P87,'M2'!$A:$C,Q$2,FALSE)),"NOT PRESENT",VLOOKUP(DATA!$P87,'M2'!$A:$C,Q$2,FALSE)),IF($M87=0,IF(ISERROR(VLOOKUP($P87,'M1'!$A:$C,Q$2,FALSE)),IF(ISERROR(VLOOKUP(DATA!$P87,'M2'!$A:$C,Q$2,FALSE)),"NOT PRESENT",VLOOKUP(DATA!$P87,'M2'!$A:$C,Q$2,FALSE)),VLOOKUP($P87,'M1'!$A:$C,Q$2,FALSE)),"SPECIFY METHOD")))</f>
        <v>Mesocentrotus franciscanus</v>
      </c>
      <c r="R87" s="21" t="str">
        <f>IF($M87=1,IF(ISERROR(VLOOKUP($P87,'M1'!$A:$C,R$2,FALSE)),"NOT PRESENT",VLOOKUP($P87,'M1'!$A:$C,R$2,FALSE)),IF($M87=2,IF(ISERROR(VLOOKUP(DATA!$P87,'M2'!$A:$C,R$2,FALSE)),"NOT PRESENT",VLOOKUP(DATA!$P87,'M2'!$A:$C,R$2,FALSE)),IF($M87=0,IF(ISERROR(VLOOKUP($P87,'M1'!$A:$C,R$2,FALSE)),IF(ISERROR(VLOOKUP(DATA!$P87,'M2'!$A:$C,R$2,FALSE)),"NOT PRESENT",VLOOKUP(DATA!$P87,'M2'!$A:$C,R$2,FALSE)),VLOOKUP($P87,'M1'!$A:$C,R$2,FALSE)),"SPECIFY METHOD")))</f>
        <v>Red sea urchin</v>
      </c>
      <c r="S87" s="28">
        <f t="shared" si="3"/>
        <v>5</v>
      </c>
      <c r="T87" s="20">
        <v>0</v>
      </c>
      <c r="U87" s="20">
        <v>1</v>
      </c>
      <c r="V87" s="20">
        <v>1</v>
      </c>
      <c r="W87" s="20"/>
      <c r="X87" s="20">
        <v>2</v>
      </c>
      <c r="Y87" s="20">
        <v>1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</row>
    <row r="88" spans="1:68" ht="12.75" customHeight="1">
      <c r="A88" s="21">
        <f t="shared" si="2"/>
        <v>86</v>
      </c>
      <c r="B88" s="20" t="str">
        <f t="shared" ref="B88:C88" si="174">IF(ISERROR(B87),IF(ISERROR(B86),IF(ISERROR(B85),"BLANK",B85),B86),B87)</f>
        <v>Em Lim</v>
      </c>
      <c r="C88" s="20" t="str">
        <f t="shared" si="174"/>
        <v>Isabelle Cote</v>
      </c>
      <c r="D88" s="20" t="s">
        <v>43</v>
      </c>
      <c r="E88" s="21" t="str">
        <f>IF(ISERROR(VLOOKUP($D88,SITES!$A:$E,2,FALSE)),"",VLOOKUP($D88,SITES!$A:$E,2,FALSE))</f>
        <v>Taylor Rock</v>
      </c>
      <c r="F88" s="19">
        <f>IF(ISERROR(VLOOKUP($D88,SITES!$A:$E,3,FALSE)),"",VLOOKUP($D88,SITES!$A:$E,3,FALSE))</f>
        <v>48.8273315429687</v>
      </c>
      <c r="G88" s="22">
        <f>IF(ISERROR(VLOOKUP($D88,SITES!$A:$E,4,FALSE)),"",VLOOKUP($D88,SITES!$A:$E,4,FALSE))</f>
        <v>-125.196601867675</v>
      </c>
      <c r="H88" s="31">
        <v>45405</v>
      </c>
      <c r="I88" s="32">
        <v>1.5</v>
      </c>
      <c r="J88" s="33" t="s">
        <v>45</v>
      </c>
      <c r="K88" s="34">
        <v>0.40972222222222221</v>
      </c>
      <c r="L88" s="32">
        <v>6.5</v>
      </c>
      <c r="M88" s="32">
        <v>2</v>
      </c>
      <c r="N88" s="32">
        <v>2</v>
      </c>
      <c r="O88" s="32">
        <v>40</v>
      </c>
      <c r="P88" s="20" t="s">
        <v>41</v>
      </c>
      <c r="Q88" s="21" t="str">
        <f>IF($M88=1,IF(ISERROR(VLOOKUP($P88,'M1'!$A:$C,Q$2,FALSE)),"NOT PRESENT",VLOOKUP($P88,'M1'!$A:$C,Q$2,FALSE)),IF($M88=2,IF(ISERROR(VLOOKUP(DATA!$P88,'M2'!$A:$C,Q$2,FALSE)),"NOT PRESENT",VLOOKUP(DATA!$P88,'M2'!$A:$C,Q$2,FALSE)),IF($M88=0,IF(ISERROR(VLOOKUP($P88,'M1'!$A:$C,Q$2,FALSE)),IF(ISERROR(VLOOKUP(DATA!$P88,'M2'!$A:$C,Q$2,FALSE)),"NOT PRESENT",VLOOKUP(DATA!$P88,'M2'!$A:$C,Q$2,FALSE)),VLOOKUP($P88,'M1'!$A:$C,Q$2,FALSE)),"SPECIFY METHOD")))</f>
        <v>Mesocentrotus franciscanus</v>
      </c>
      <c r="R88" s="21" t="str">
        <f>IF($M88=1,IF(ISERROR(VLOOKUP($P88,'M1'!$A:$C,R$2,FALSE)),"NOT PRESENT",VLOOKUP($P88,'M1'!$A:$C,R$2,FALSE)),IF($M88=2,IF(ISERROR(VLOOKUP(DATA!$P88,'M2'!$A:$C,R$2,FALSE)),"NOT PRESENT",VLOOKUP(DATA!$P88,'M2'!$A:$C,R$2,FALSE)),IF($M88=0,IF(ISERROR(VLOOKUP($P88,'M1'!$A:$C,R$2,FALSE)),IF(ISERROR(VLOOKUP(DATA!$P88,'M2'!$A:$C,R$2,FALSE)),"NOT PRESENT",VLOOKUP(DATA!$P88,'M2'!$A:$C,R$2,FALSE)),VLOOKUP($P88,'M1'!$A:$C,R$2,FALSE)),"SPECIFY METHOD")))</f>
        <v>Red sea urchin</v>
      </c>
      <c r="S88" s="28">
        <f t="shared" si="3"/>
        <v>9</v>
      </c>
      <c r="T88" s="20">
        <v>0</v>
      </c>
      <c r="U88" s="20"/>
      <c r="V88" s="20">
        <v>3</v>
      </c>
      <c r="W88" s="20">
        <v>3</v>
      </c>
      <c r="X88" s="20">
        <v>3</v>
      </c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</row>
    <row r="89" spans="1:68" ht="12.75" customHeight="1">
      <c r="A89" s="21">
        <f t="shared" si="2"/>
        <v>87</v>
      </c>
      <c r="B89" s="20" t="str">
        <f t="shared" ref="B89:D89" si="175">IF(ISERROR(B88),IF(ISERROR(B87),IF(ISERROR(B86),"BLANK",B86),B87),B88)</f>
        <v>Em Lim</v>
      </c>
      <c r="C89" s="20" t="str">
        <f t="shared" si="175"/>
        <v>Isabelle Cote</v>
      </c>
      <c r="D89" s="20" t="str">
        <f t="shared" si="175"/>
        <v>BMSC5</v>
      </c>
      <c r="E89" s="21" t="str">
        <f>IF(ISERROR(VLOOKUP($D89,SITES!$A:$E,2,FALSE)),"",VLOOKUP($D89,SITES!$A:$E,2,FALSE))</f>
        <v>Taylor Rock</v>
      </c>
      <c r="F89" s="19">
        <f>IF(ISERROR(VLOOKUP($D89,SITES!$A:$E,3,FALSE)),"",VLOOKUP($D89,SITES!$A:$E,3,FALSE))</f>
        <v>48.8273315429687</v>
      </c>
      <c r="G89" s="22">
        <f>IF(ISERROR(VLOOKUP($D89,SITES!$A:$E,4,FALSE)),"",VLOOKUP($D89,SITES!$A:$E,4,FALSE))</f>
        <v>-125.196601867675</v>
      </c>
      <c r="H89" s="23">
        <f t="shared" ref="H89:N89" si="176">IF(ISERROR(H88),IF(ISERROR(H87),IF(ISERROR(H86),"BLANK",H86),H87),H88)</f>
        <v>45405</v>
      </c>
      <c r="I89" s="20">
        <f t="shared" si="176"/>
        <v>1.5</v>
      </c>
      <c r="J89" s="20" t="str">
        <f t="shared" si="176"/>
        <v>E</v>
      </c>
      <c r="K89" s="27">
        <f t="shared" si="176"/>
        <v>0.40972222222222221</v>
      </c>
      <c r="L89" s="20">
        <f t="shared" si="176"/>
        <v>6.5</v>
      </c>
      <c r="M89" s="20">
        <f t="shared" si="176"/>
        <v>2</v>
      </c>
      <c r="N89" s="20">
        <f t="shared" si="176"/>
        <v>2</v>
      </c>
      <c r="O89" s="20">
        <v>40</v>
      </c>
      <c r="P89" s="20" t="s">
        <v>42</v>
      </c>
      <c r="Q89" s="21" t="str">
        <f>IF($M89=1,IF(ISERROR(VLOOKUP($P89,'M1'!$A:$C,Q$2,FALSE)),"NOT PRESENT",VLOOKUP($P89,'M1'!$A:$C,Q$2,FALSE)),IF($M89=2,IF(ISERROR(VLOOKUP(DATA!$P89,'M2'!$A:$C,Q$2,FALSE)),"NOT PRESENT",VLOOKUP(DATA!$P89,'M2'!$A:$C,Q$2,FALSE)),IF($M89=0,IF(ISERROR(VLOOKUP($P89,'M1'!$A:$C,Q$2,FALSE)),IF(ISERROR(VLOOKUP(DATA!$P89,'M2'!$A:$C,Q$2,FALSE)),"NOT PRESENT",VLOOKUP(DATA!$P89,'M2'!$A:$C,Q$2,FALSE)),VLOOKUP($P89,'M1'!$A:$C,Q$2,FALSE)),"SPECIFY METHOD")))</f>
        <v>Orthasterias koehleri</v>
      </c>
      <c r="R89" s="21" t="str">
        <f>IF($M89=1,IF(ISERROR(VLOOKUP($P89,'M1'!$A:$C,R$2,FALSE)),"NOT PRESENT",VLOOKUP($P89,'M1'!$A:$C,R$2,FALSE)),IF($M89=2,IF(ISERROR(VLOOKUP(DATA!$P89,'M2'!$A:$C,R$2,FALSE)),"NOT PRESENT",VLOOKUP(DATA!$P89,'M2'!$A:$C,R$2,FALSE)),IF($M89=0,IF(ISERROR(VLOOKUP($P89,'M1'!$A:$C,R$2,FALSE)),IF(ISERROR(VLOOKUP(DATA!$P89,'M2'!$A:$C,R$2,FALSE)),"NOT PRESENT",VLOOKUP(DATA!$P89,'M2'!$A:$C,R$2,FALSE)),VLOOKUP($P89,'M1'!$A:$C,R$2,FALSE)),"SPECIFY METHOD")))</f>
        <v>Rainbow star</v>
      </c>
      <c r="S89" s="28">
        <f t="shared" si="3"/>
        <v>1</v>
      </c>
      <c r="T89" s="20">
        <v>0</v>
      </c>
      <c r="U89" s="20"/>
      <c r="V89" s="20"/>
      <c r="W89" s="20">
        <v>1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</row>
    <row r="90" spans="1:68" ht="12.75" customHeight="1">
      <c r="A90" s="21">
        <f t="shared" si="2"/>
        <v>88</v>
      </c>
      <c r="B90" s="20" t="str">
        <f t="shared" ref="B90:D90" si="177">IF(ISERROR(B89),IF(ISERROR(B88),IF(ISERROR(B87),"BLANK",B87),B88),B89)</f>
        <v>Em Lim</v>
      </c>
      <c r="C90" s="20" t="str">
        <f t="shared" si="177"/>
        <v>Isabelle Cote</v>
      </c>
      <c r="D90" s="20" t="str">
        <f t="shared" si="177"/>
        <v>BMSC5</v>
      </c>
      <c r="E90" s="21" t="str">
        <f>IF(ISERROR(VLOOKUP($D90,SITES!$A:$E,2,FALSE)),"",VLOOKUP($D90,SITES!$A:$E,2,FALSE))</f>
        <v>Taylor Rock</v>
      </c>
      <c r="F90" s="19">
        <f>IF(ISERROR(VLOOKUP($D90,SITES!$A:$E,3,FALSE)),"",VLOOKUP($D90,SITES!$A:$E,3,FALSE))</f>
        <v>48.8273315429687</v>
      </c>
      <c r="G90" s="22">
        <f>IF(ISERROR(VLOOKUP($D90,SITES!$A:$E,4,FALSE)),"",VLOOKUP($D90,SITES!$A:$E,4,FALSE))</f>
        <v>-125.196601867675</v>
      </c>
      <c r="H90" s="23">
        <f t="shared" ref="H90:N90" si="178">IF(ISERROR(H89),IF(ISERROR(H88),IF(ISERROR(H87),"BLANK",H87),H88),H89)</f>
        <v>45405</v>
      </c>
      <c r="I90" s="20">
        <f t="shared" si="178"/>
        <v>1.5</v>
      </c>
      <c r="J90" s="20" t="str">
        <f t="shared" si="178"/>
        <v>E</v>
      </c>
      <c r="K90" s="27">
        <f t="shared" si="178"/>
        <v>0.40972222222222221</v>
      </c>
      <c r="L90" s="20">
        <f t="shared" si="178"/>
        <v>6.5</v>
      </c>
      <c r="M90" s="20">
        <f t="shared" si="178"/>
        <v>2</v>
      </c>
      <c r="N90" s="20">
        <f t="shared" si="178"/>
        <v>2</v>
      </c>
      <c r="O90" s="20">
        <v>24</v>
      </c>
      <c r="P90" s="20" t="s">
        <v>41</v>
      </c>
      <c r="Q90" s="21" t="str">
        <f>IF($M90=1,IF(ISERROR(VLOOKUP($P90,'M1'!$A:$C,Q$2,FALSE)),"NOT PRESENT",VLOOKUP($P90,'M1'!$A:$C,Q$2,FALSE)),IF($M90=2,IF(ISERROR(VLOOKUP(DATA!$P90,'M2'!$A:$C,Q$2,FALSE)),"NOT PRESENT",VLOOKUP(DATA!$P90,'M2'!$A:$C,Q$2,FALSE)),IF($M90=0,IF(ISERROR(VLOOKUP($P90,'M1'!$A:$C,Q$2,FALSE)),IF(ISERROR(VLOOKUP(DATA!$P90,'M2'!$A:$C,Q$2,FALSE)),"NOT PRESENT",VLOOKUP(DATA!$P90,'M2'!$A:$C,Q$2,FALSE)),VLOOKUP($P90,'M1'!$A:$C,Q$2,FALSE)),"SPECIFY METHOD")))</f>
        <v>Mesocentrotus franciscanus</v>
      </c>
      <c r="R90" s="21" t="str">
        <f>IF($M90=1,IF(ISERROR(VLOOKUP($P90,'M1'!$A:$C,R$2,FALSE)),"NOT PRESENT",VLOOKUP($P90,'M1'!$A:$C,R$2,FALSE)),IF($M90=2,IF(ISERROR(VLOOKUP(DATA!$P90,'M2'!$A:$C,R$2,FALSE)),"NOT PRESENT",VLOOKUP(DATA!$P90,'M2'!$A:$C,R$2,FALSE)),IF($M90=0,IF(ISERROR(VLOOKUP($P90,'M1'!$A:$C,R$2,FALSE)),IF(ISERROR(VLOOKUP(DATA!$P90,'M2'!$A:$C,R$2,FALSE)),"NOT PRESENT",VLOOKUP(DATA!$P90,'M2'!$A:$C,R$2,FALSE)),VLOOKUP($P90,'M1'!$A:$C,R$2,FALSE)),"SPECIFY METHOD")))</f>
        <v>Red sea urchin</v>
      </c>
      <c r="S90" s="28">
        <f t="shared" si="3"/>
        <v>7</v>
      </c>
      <c r="T90" s="20">
        <v>0</v>
      </c>
      <c r="U90" s="20"/>
      <c r="V90" s="20">
        <v>2</v>
      </c>
      <c r="W90" s="20">
        <v>4</v>
      </c>
      <c r="X90" s="20">
        <v>1</v>
      </c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</row>
    <row r="91" spans="1:68" ht="12.75" customHeight="1">
      <c r="A91" s="21">
        <f t="shared" si="2"/>
        <v>89</v>
      </c>
      <c r="B91" s="20" t="str">
        <f t="shared" ref="B91:D91" si="179">IF(ISERROR(B90),IF(ISERROR(B89),IF(ISERROR(B88),"BLANK",B88),B89),B90)</f>
        <v>Em Lim</v>
      </c>
      <c r="C91" s="20" t="str">
        <f t="shared" si="179"/>
        <v>Isabelle Cote</v>
      </c>
      <c r="D91" s="20" t="str">
        <f t="shared" si="179"/>
        <v>BMSC5</v>
      </c>
      <c r="E91" s="21" t="str">
        <f>IF(ISERROR(VLOOKUP($D91,SITES!$A:$E,2,FALSE)),"",VLOOKUP($D91,SITES!$A:$E,2,FALSE))</f>
        <v>Taylor Rock</v>
      </c>
      <c r="F91" s="19">
        <f>IF(ISERROR(VLOOKUP($D91,SITES!$A:$E,3,FALSE)),"",VLOOKUP($D91,SITES!$A:$E,3,FALSE))</f>
        <v>48.8273315429687</v>
      </c>
      <c r="G91" s="22">
        <f>IF(ISERROR(VLOOKUP($D91,SITES!$A:$E,4,FALSE)),"",VLOOKUP($D91,SITES!$A:$E,4,FALSE))</f>
        <v>-125.196601867675</v>
      </c>
      <c r="H91" s="23">
        <f t="shared" ref="H91:N91" si="180">IF(ISERROR(H90),IF(ISERROR(H89),IF(ISERROR(H88),"BLANK",H88),H89),H90)</f>
        <v>45405</v>
      </c>
      <c r="I91" s="20">
        <f t="shared" si="180"/>
        <v>1.5</v>
      </c>
      <c r="J91" s="20" t="str">
        <f t="shared" si="180"/>
        <v>E</v>
      </c>
      <c r="K91" s="27">
        <f t="shared" si="180"/>
        <v>0.40972222222222221</v>
      </c>
      <c r="L91" s="20">
        <f t="shared" si="180"/>
        <v>6.5</v>
      </c>
      <c r="M91" s="20">
        <f t="shared" si="180"/>
        <v>2</v>
      </c>
      <c r="N91" s="20">
        <f t="shared" si="180"/>
        <v>2</v>
      </c>
      <c r="O91" s="20">
        <v>24</v>
      </c>
      <c r="P91" s="20" t="s">
        <v>39</v>
      </c>
      <c r="Q91" s="21" t="str">
        <f>IF($M91=1,IF(ISERROR(VLOOKUP($P91,'M1'!$A:$C,Q$2,FALSE)),"NOT PRESENT",VLOOKUP($P91,'M1'!$A:$C,Q$2,FALSE)),IF($M91=2,IF(ISERROR(VLOOKUP(DATA!$P91,'M2'!$A:$C,Q$2,FALSE)),"NOT PRESENT",VLOOKUP(DATA!$P91,'M2'!$A:$C,Q$2,FALSE)),IF($M91=0,IF(ISERROR(VLOOKUP($P91,'M1'!$A:$C,Q$2,FALSE)),IF(ISERROR(VLOOKUP(DATA!$P91,'M2'!$A:$C,Q$2,FALSE)),"NOT PRESENT",VLOOKUP(DATA!$P91,'M2'!$A:$C,Q$2,FALSE)),VLOOKUP($P91,'M1'!$A:$C,Q$2,FALSE)),"SPECIFY METHOD")))</f>
        <v>Dermasterias imbricata</v>
      </c>
      <c r="R91" s="21" t="str">
        <f>IF($M91=1,IF(ISERROR(VLOOKUP($P91,'M1'!$A:$C,R$2,FALSE)),"NOT PRESENT",VLOOKUP($P91,'M1'!$A:$C,R$2,FALSE)),IF($M91=2,IF(ISERROR(VLOOKUP(DATA!$P91,'M2'!$A:$C,R$2,FALSE)),"NOT PRESENT",VLOOKUP(DATA!$P91,'M2'!$A:$C,R$2,FALSE)),IF($M91=0,IF(ISERROR(VLOOKUP($P91,'M1'!$A:$C,R$2,FALSE)),IF(ISERROR(VLOOKUP(DATA!$P91,'M2'!$A:$C,R$2,FALSE)),"NOT PRESENT",VLOOKUP(DATA!$P91,'M2'!$A:$C,R$2,FALSE)),VLOOKUP($P91,'M1'!$A:$C,R$2,FALSE)),"SPECIFY METHOD")))</f>
        <v>Leather star</v>
      </c>
      <c r="S91" s="28">
        <f t="shared" si="3"/>
        <v>1</v>
      </c>
      <c r="T91" s="20">
        <v>0</v>
      </c>
      <c r="U91" s="20"/>
      <c r="V91" s="20">
        <v>1</v>
      </c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</row>
    <row r="92" spans="1:68" ht="12.75" customHeight="1">
      <c r="A92" s="21">
        <f t="shared" si="2"/>
        <v>90</v>
      </c>
      <c r="B92" s="20" t="str">
        <f t="shared" ref="B92:D92" si="181">IF(ISERROR(B91),IF(ISERROR(B90),IF(ISERROR(B89),"BLANK",B89),B90),B91)</f>
        <v>Em Lim</v>
      </c>
      <c r="C92" s="20" t="str">
        <f t="shared" si="181"/>
        <v>Isabelle Cote</v>
      </c>
      <c r="D92" s="20" t="str">
        <f t="shared" si="181"/>
        <v>BMSC5</v>
      </c>
      <c r="E92" s="21" t="str">
        <f>IF(ISERROR(VLOOKUP($D92,SITES!$A:$E,2,FALSE)),"",VLOOKUP($D92,SITES!$A:$E,2,FALSE))</f>
        <v>Taylor Rock</v>
      </c>
      <c r="F92" s="19">
        <f>IF(ISERROR(VLOOKUP($D92,SITES!$A:$E,3,FALSE)),"",VLOOKUP($D92,SITES!$A:$E,3,FALSE))</f>
        <v>48.8273315429687</v>
      </c>
      <c r="G92" s="22">
        <f>IF(ISERROR(VLOOKUP($D92,SITES!$A:$E,4,FALSE)),"",VLOOKUP($D92,SITES!$A:$E,4,FALSE))</f>
        <v>-125.196601867675</v>
      </c>
      <c r="H92" s="23">
        <f t="shared" ref="H92:N92" si="182">IF(ISERROR(H91),IF(ISERROR(H90),IF(ISERROR(H89),"BLANK",H89),H90),H91)</f>
        <v>45405</v>
      </c>
      <c r="I92" s="20">
        <f t="shared" si="182"/>
        <v>1.5</v>
      </c>
      <c r="J92" s="20" t="str">
        <f t="shared" si="182"/>
        <v>E</v>
      </c>
      <c r="K92" s="27">
        <f t="shared" si="182"/>
        <v>0.40972222222222221</v>
      </c>
      <c r="L92" s="20">
        <f t="shared" si="182"/>
        <v>6.5</v>
      </c>
      <c r="M92" s="20">
        <f t="shared" si="182"/>
        <v>2</v>
      </c>
      <c r="N92" s="20">
        <f t="shared" si="182"/>
        <v>2</v>
      </c>
      <c r="O92" s="20">
        <v>8</v>
      </c>
      <c r="P92" s="20" t="s">
        <v>41</v>
      </c>
      <c r="Q92" s="21" t="str">
        <f>IF($M92=1,IF(ISERROR(VLOOKUP($P92,'M1'!$A:$C,Q$2,FALSE)),"NOT PRESENT",VLOOKUP($P92,'M1'!$A:$C,Q$2,FALSE)),IF($M92=2,IF(ISERROR(VLOOKUP(DATA!$P92,'M2'!$A:$C,Q$2,FALSE)),"NOT PRESENT",VLOOKUP(DATA!$P92,'M2'!$A:$C,Q$2,FALSE)),IF($M92=0,IF(ISERROR(VLOOKUP($P92,'M1'!$A:$C,Q$2,FALSE)),IF(ISERROR(VLOOKUP(DATA!$P92,'M2'!$A:$C,Q$2,FALSE)),"NOT PRESENT",VLOOKUP(DATA!$P92,'M2'!$A:$C,Q$2,FALSE)),VLOOKUP($P92,'M1'!$A:$C,Q$2,FALSE)),"SPECIFY METHOD")))</f>
        <v>Mesocentrotus franciscanus</v>
      </c>
      <c r="R92" s="21" t="str">
        <f>IF($M92=1,IF(ISERROR(VLOOKUP($P92,'M1'!$A:$C,R$2,FALSE)),"NOT PRESENT",VLOOKUP($P92,'M1'!$A:$C,R$2,FALSE)),IF($M92=2,IF(ISERROR(VLOOKUP(DATA!$P92,'M2'!$A:$C,R$2,FALSE)),"NOT PRESENT",VLOOKUP(DATA!$P92,'M2'!$A:$C,R$2,FALSE)),IF($M92=0,IF(ISERROR(VLOOKUP($P92,'M1'!$A:$C,R$2,FALSE)),IF(ISERROR(VLOOKUP(DATA!$P92,'M2'!$A:$C,R$2,FALSE)),"NOT PRESENT",VLOOKUP(DATA!$P92,'M2'!$A:$C,R$2,FALSE)),VLOOKUP($P92,'M1'!$A:$C,R$2,FALSE)),"SPECIFY METHOD")))</f>
        <v>Red sea urchin</v>
      </c>
      <c r="S92" s="28">
        <f t="shared" si="3"/>
        <v>4</v>
      </c>
      <c r="T92" s="20">
        <v>0</v>
      </c>
      <c r="U92" s="20"/>
      <c r="V92" s="20"/>
      <c r="W92" s="20">
        <v>1</v>
      </c>
      <c r="X92" s="20">
        <v>2</v>
      </c>
      <c r="Y92" s="20">
        <v>1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</row>
    <row r="93" spans="1:68" ht="12.75" customHeight="1">
      <c r="A93" s="21">
        <f t="shared" si="2"/>
        <v>91</v>
      </c>
      <c r="B93" s="20" t="str">
        <f t="shared" ref="B93:D93" si="183">IF(ISERROR(B92),IF(ISERROR(B91),IF(ISERROR(B90),"BLANK",B90),B91),B92)</f>
        <v>Em Lim</v>
      </c>
      <c r="C93" s="20" t="str">
        <f t="shared" si="183"/>
        <v>Isabelle Cote</v>
      </c>
      <c r="D93" s="20" t="str">
        <f t="shared" si="183"/>
        <v>BMSC5</v>
      </c>
      <c r="E93" s="21" t="str">
        <f>IF(ISERROR(VLOOKUP($D93,SITES!$A:$E,2,FALSE)),"",VLOOKUP($D93,SITES!$A:$E,2,FALSE))</f>
        <v>Taylor Rock</v>
      </c>
      <c r="F93" s="19">
        <f>IF(ISERROR(VLOOKUP($D93,SITES!$A:$E,3,FALSE)),"",VLOOKUP($D93,SITES!$A:$E,3,FALSE))</f>
        <v>48.8273315429687</v>
      </c>
      <c r="G93" s="22">
        <f>IF(ISERROR(VLOOKUP($D93,SITES!$A:$E,4,FALSE)),"",VLOOKUP($D93,SITES!$A:$E,4,FALSE))</f>
        <v>-125.196601867675</v>
      </c>
      <c r="H93" s="23">
        <f t="shared" ref="H93:N93" si="184">IF(ISERROR(H92),IF(ISERROR(H91),IF(ISERROR(H90),"BLANK",H90),H91),H92)</f>
        <v>45405</v>
      </c>
      <c r="I93" s="20">
        <f t="shared" si="184"/>
        <v>1.5</v>
      </c>
      <c r="J93" s="20" t="str">
        <f t="shared" si="184"/>
        <v>E</v>
      </c>
      <c r="K93" s="27">
        <f t="shared" si="184"/>
        <v>0.40972222222222221</v>
      </c>
      <c r="L93" s="20">
        <f t="shared" si="184"/>
        <v>6.5</v>
      </c>
      <c r="M93" s="20">
        <f t="shared" si="184"/>
        <v>2</v>
      </c>
      <c r="N93" s="20">
        <f t="shared" si="184"/>
        <v>2</v>
      </c>
      <c r="O93" s="20">
        <v>8</v>
      </c>
      <c r="P93" s="20" t="s">
        <v>40</v>
      </c>
      <c r="Q93" s="21" t="str">
        <f>IF($M93=1,IF(ISERROR(VLOOKUP($P93,'M1'!$A:$C,Q$2,FALSE)),"NOT PRESENT",VLOOKUP($P93,'M1'!$A:$C,Q$2,FALSE)),IF($M93=2,IF(ISERROR(VLOOKUP(DATA!$P93,'M2'!$A:$C,Q$2,FALSE)),"NOT PRESENT",VLOOKUP(DATA!$P93,'M2'!$A:$C,Q$2,FALSE)),IF($M93=0,IF(ISERROR(VLOOKUP($P93,'M1'!$A:$C,Q$2,FALSE)),IF(ISERROR(VLOOKUP(DATA!$P93,'M2'!$A:$C,Q$2,FALSE)),"NOT PRESENT",VLOOKUP(DATA!$P93,'M2'!$A:$C,Q$2,FALSE)),VLOOKUP($P93,'M1'!$A:$C,Q$2,FALSE)),"SPECIFY METHOD")))</f>
        <v>Patiria miniata</v>
      </c>
      <c r="R93" s="21" t="str">
        <f>IF($M93=1,IF(ISERROR(VLOOKUP($P93,'M1'!$A:$C,R$2,FALSE)),"NOT PRESENT",VLOOKUP($P93,'M1'!$A:$C,R$2,FALSE)),IF($M93=2,IF(ISERROR(VLOOKUP(DATA!$P93,'M2'!$A:$C,R$2,FALSE)),"NOT PRESENT",VLOOKUP(DATA!$P93,'M2'!$A:$C,R$2,FALSE)),IF($M93=0,IF(ISERROR(VLOOKUP($P93,'M1'!$A:$C,R$2,FALSE)),IF(ISERROR(VLOOKUP(DATA!$P93,'M2'!$A:$C,R$2,FALSE)),"NOT PRESENT",VLOOKUP(DATA!$P93,'M2'!$A:$C,R$2,FALSE)),VLOOKUP($P93,'M1'!$A:$C,R$2,FALSE)),"SPECIFY METHOD")))</f>
        <v>Bat star</v>
      </c>
      <c r="S93" s="28">
        <f t="shared" si="3"/>
        <v>1</v>
      </c>
      <c r="T93" s="20">
        <v>0</v>
      </c>
      <c r="U93" s="20"/>
      <c r="V93" s="20"/>
      <c r="W93" s="20"/>
      <c r="X93" s="20"/>
      <c r="Y93" s="20">
        <v>1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</row>
    <row r="94" spans="1:68" ht="12.75" customHeight="1">
      <c r="A94" s="21">
        <f t="shared" si="2"/>
        <v>92</v>
      </c>
      <c r="B94" s="20" t="str">
        <f t="shared" ref="B94:D94" si="185">IF(ISERROR(B93),IF(ISERROR(B92),IF(ISERROR(B91),"BLANK",B91),B92),B93)</f>
        <v>Em Lim</v>
      </c>
      <c r="C94" s="20" t="str">
        <f t="shared" si="185"/>
        <v>Isabelle Cote</v>
      </c>
      <c r="D94" s="20" t="str">
        <f t="shared" si="185"/>
        <v>BMSC5</v>
      </c>
      <c r="E94" s="21" t="str">
        <f>IF(ISERROR(VLOOKUP($D94,SITES!$A:$E,2,FALSE)),"",VLOOKUP($D94,SITES!$A:$E,2,FALSE))</f>
        <v>Taylor Rock</v>
      </c>
      <c r="F94" s="19">
        <f>IF(ISERROR(VLOOKUP($D94,SITES!$A:$E,3,FALSE)),"",VLOOKUP($D94,SITES!$A:$E,3,FALSE))</f>
        <v>48.8273315429687</v>
      </c>
      <c r="G94" s="22">
        <f>IF(ISERROR(VLOOKUP($D94,SITES!$A:$E,4,FALSE)),"",VLOOKUP($D94,SITES!$A:$E,4,FALSE))</f>
        <v>-125.196601867675</v>
      </c>
      <c r="H94" s="23">
        <f t="shared" ref="H94:N94" si="186">IF(ISERROR(H93),IF(ISERROR(H92),IF(ISERROR(H91),"BLANK",H91),H92),H93)</f>
        <v>45405</v>
      </c>
      <c r="I94" s="20">
        <f t="shared" si="186"/>
        <v>1.5</v>
      </c>
      <c r="J94" s="20" t="str">
        <f t="shared" si="186"/>
        <v>E</v>
      </c>
      <c r="K94" s="27">
        <f t="shared" si="186"/>
        <v>0.40972222222222221</v>
      </c>
      <c r="L94" s="20">
        <f t="shared" si="186"/>
        <v>6.5</v>
      </c>
      <c r="M94" s="20">
        <f t="shared" si="186"/>
        <v>2</v>
      </c>
      <c r="N94" s="20">
        <f t="shared" si="186"/>
        <v>2</v>
      </c>
      <c r="O94" s="20">
        <v>8</v>
      </c>
      <c r="P94" s="20" t="s">
        <v>39</v>
      </c>
      <c r="Q94" s="21" t="str">
        <f>IF($M94=1,IF(ISERROR(VLOOKUP($P94,'M1'!$A:$C,Q$2,FALSE)),"NOT PRESENT",VLOOKUP($P94,'M1'!$A:$C,Q$2,FALSE)),IF($M94=2,IF(ISERROR(VLOOKUP(DATA!$P94,'M2'!$A:$C,Q$2,FALSE)),"NOT PRESENT",VLOOKUP(DATA!$P94,'M2'!$A:$C,Q$2,FALSE)),IF($M94=0,IF(ISERROR(VLOOKUP($P94,'M1'!$A:$C,Q$2,FALSE)),IF(ISERROR(VLOOKUP(DATA!$P94,'M2'!$A:$C,Q$2,FALSE)),"NOT PRESENT",VLOOKUP(DATA!$P94,'M2'!$A:$C,Q$2,FALSE)),VLOOKUP($P94,'M1'!$A:$C,Q$2,FALSE)),"SPECIFY METHOD")))</f>
        <v>Dermasterias imbricata</v>
      </c>
      <c r="R94" s="21" t="str">
        <f>IF($M94=1,IF(ISERROR(VLOOKUP($P94,'M1'!$A:$C,R$2,FALSE)),"NOT PRESENT",VLOOKUP($P94,'M1'!$A:$C,R$2,FALSE)),IF($M94=2,IF(ISERROR(VLOOKUP(DATA!$P94,'M2'!$A:$C,R$2,FALSE)),"NOT PRESENT",VLOOKUP(DATA!$P94,'M2'!$A:$C,R$2,FALSE)),IF($M94=0,IF(ISERROR(VLOOKUP($P94,'M1'!$A:$C,R$2,FALSE)),IF(ISERROR(VLOOKUP(DATA!$P94,'M2'!$A:$C,R$2,FALSE)),"NOT PRESENT",VLOOKUP(DATA!$P94,'M2'!$A:$C,R$2,FALSE)),VLOOKUP($P94,'M1'!$A:$C,R$2,FALSE)),"SPECIFY METHOD")))</f>
        <v>Leather star</v>
      </c>
      <c r="S94" s="28">
        <f t="shared" si="3"/>
        <v>1</v>
      </c>
      <c r="T94" s="20">
        <v>0</v>
      </c>
      <c r="U94" s="20"/>
      <c r="V94" s="20"/>
      <c r="W94" s="20">
        <v>1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</row>
    <row r="95" spans="1:68" ht="12.75" customHeight="1">
      <c r="A95" s="21">
        <f t="shared" si="2"/>
        <v>93</v>
      </c>
      <c r="B95" s="20" t="str">
        <f t="shared" ref="B95:D95" si="187">IF(ISERROR(B94),IF(ISERROR(B93),IF(ISERROR(B92),"BLANK",B92),B93),B94)</f>
        <v>Em Lim</v>
      </c>
      <c r="C95" s="20" t="str">
        <f t="shared" si="187"/>
        <v>Isabelle Cote</v>
      </c>
      <c r="D95" s="20" t="str">
        <f t="shared" si="187"/>
        <v>BMSC5</v>
      </c>
      <c r="E95" s="21" t="str">
        <f>IF(ISERROR(VLOOKUP($D95,SITES!$A:$E,2,FALSE)),"",VLOOKUP($D95,SITES!$A:$E,2,FALSE))</f>
        <v>Taylor Rock</v>
      </c>
      <c r="F95" s="19">
        <f>IF(ISERROR(VLOOKUP($D95,SITES!$A:$E,3,FALSE)),"",VLOOKUP($D95,SITES!$A:$E,3,FALSE))</f>
        <v>48.8273315429687</v>
      </c>
      <c r="G95" s="22">
        <f>IF(ISERROR(VLOOKUP($D95,SITES!$A:$E,4,FALSE)),"",VLOOKUP($D95,SITES!$A:$E,4,FALSE))</f>
        <v>-125.196601867675</v>
      </c>
      <c r="H95" s="23">
        <f t="shared" ref="H95:N95" si="188">IF(ISERROR(H94),IF(ISERROR(H93),IF(ISERROR(H92),"BLANK",H92),H93),H94)</f>
        <v>45405</v>
      </c>
      <c r="I95" s="20">
        <f t="shared" si="188"/>
        <v>1.5</v>
      </c>
      <c r="J95" s="20" t="str">
        <f t="shared" si="188"/>
        <v>E</v>
      </c>
      <c r="K95" s="27">
        <f t="shared" si="188"/>
        <v>0.40972222222222221</v>
      </c>
      <c r="L95" s="20">
        <f t="shared" si="188"/>
        <v>6.5</v>
      </c>
      <c r="M95" s="20">
        <f t="shared" si="188"/>
        <v>2</v>
      </c>
      <c r="N95" s="20">
        <f t="shared" si="188"/>
        <v>2</v>
      </c>
      <c r="O95" s="20">
        <v>0</v>
      </c>
      <c r="P95" s="20" t="s">
        <v>41</v>
      </c>
      <c r="Q95" s="21" t="str">
        <f>IF($M95=1,IF(ISERROR(VLOOKUP($P95,'M1'!$A:$C,Q$2,FALSE)),"NOT PRESENT",VLOOKUP($P95,'M1'!$A:$C,Q$2,FALSE)),IF($M95=2,IF(ISERROR(VLOOKUP(DATA!$P95,'M2'!$A:$C,Q$2,FALSE)),"NOT PRESENT",VLOOKUP(DATA!$P95,'M2'!$A:$C,Q$2,FALSE)),IF($M95=0,IF(ISERROR(VLOOKUP($P95,'M1'!$A:$C,Q$2,FALSE)),IF(ISERROR(VLOOKUP(DATA!$P95,'M2'!$A:$C,Q$2,FALSE)),"NOT PRESENT",VLOOKUP(DATA!$P95,'M2'!$A:$C,Q$2,FALSE)),VLOOKUP($P95,'M1'!$A:$C,Q$2,FALSE)),"SPECIFY METHOD")))</f>
        <v>Mesocentrotus franciscanus</v>
      </c>
      <c r="R95" s="21" t="str">
        <f>IF($M95=1,IF(ISERROR(VLOOKUP($P95,'M1'!$A:$C,R$2,FALSE)),"NOT PRESENT",VLOOKUP($P95,'M1'!$A:$C,R$2,FALSE)),IF($M95=2,IF(ISERROR(VLOOKUP(DATA!$P95,'M2'!$A:$C,R$2,FALSE)),"NOT PRESENT",VLOOKUP(DATA!$P95,'M2'!$A:$C,R$2,FALSE)),IF($M95=0,IF(ISERROR(VLOOKUP($P95,'M1'!$A:$C,R$2,FALSE)),IF(ISERROR(VLOOKUP(DATA!$P95,'M2'!$A:$C,R$2,FALSE)),"NOT PRESENT",VLOOKUP(DATA!$P95,'M2'!$A:$C,R$2,FALSE)),VLOOKUP($P95,'M1'!$A:$C,R$2,FALSE)),"SPECIFY METHOD")))</f>
        <v>Red sea urchin</v>
      </c>
      <c r="S95" s="28">
        <f t="shared" si="3"/>
        <v>2</v>
      </c>
      <c r="T95" s="20">
        <v>0</v>
      </c>
      <c r="U95" s="20"/>
      <c r="V95" s="20"/>
      <c r="W95" s="20">
        <v>1</v>
      </c>
      <c r="X95" s="20">
        <v>1</v>
      </c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</row>
    <row r="96" spans="1:68" ht="12.75" customHeight="1">
      <c r="A96" s="21">
        <f t="shared" si="2"/>
        <v>94</v>
      </c>
      <c r="B96" s="20" t="str">
        <f t="shared" ref="B96:D96" si="189">IF(ISERROR(B95),IF(ISERROR(B94),IF(ISERROR(B93),"BLANK",B93),B94),B95)</f>
        <v>Em Lim</v>
      </c>
      <c r="C96" s="20" t="str">
        <f t="shared" si="189"/>
        <v>Isabelle Cote</v>
      </c>
      <c r="D96" s="20" t="str">
        <f t="shared" si="189"/>
        <v>BMSC5</v>
      </c>
      <c r="E96" s="21" t="str">
        <f>IF(ISERROR(VLOOKUP($D96,SITES!$A:$E,2,FALSE)),"",VLOOKUP($D96,SITES!$A:$E,2,FALSE))</f>
        <v>Taylor Rock</v>
      </c>
      <c r="F96" s="19">
        <f>IF(ISERROR(VLOOKUP($D96,SITES!$A:$E,3,FALSE)),"",VLOOKUP($D96,SITES!$A:$E,3,FALSE))</f>
        <v>48.8273315429687</v>
      </c>
      <c r="G96" s="22">
        <f>IF(ISERROR(VLOOKUP($D96,SITES!$A:$E,4,FALSE)),"",VLOOKUP($D96,SITES!$A:$E,4,FALSE))</f>
        <v>-125.196601867675</v>
      </c>
      <c r="H96" s="23">
        <f t="shared" ref="H96:N96" si="190">IF(ISERROR(H95),IF(ISERROR(H94),IF(ISERROR(H93),"BLANK",H93),H94),H95)</f>
        <v>45405</v>
      </c>
      <c r="I96" s="20">
        <f t="shared" si="190"/>
        <v>1.5</v>
      </c>
      <c r="J96" s="20" t="str">
        <f t="shared" si="190"/>
        <v>E</v>
      </c>
      <c r="K96" s="27">
        <f t="shared" si="190"/>
        <v>0.40972222222222221</v>
      </c>
      <c r="L96" s="20">
        <f t="shared" si="190"/>
        <v>6.5</v>
      </c>
      <c r="M96" s="20">
        <f t="shared" si="190"/>
        <v>2</v>
      </c>
      <c r="N96" s="20">
        <f t="shared" si="190"/>
        <v>2</v>
      </c>
      <c r="O96" s="20">
        <v>16</v>
      </c>
      <c r="P96" s="20" t="s">
        <v>41</v>
      </c>
      <c r="Q96" s="21" t="str">
        <f>IF($M96=1,IF(ISERROR(VLOOKUP($P96,'M1'!$A:$C,Q$2,FALSE)),"NOT PRESENT",VLOOKUP($P96,'M1'!$A:$C,Q$2,FALSE)),IF($M96=2,IF(ISERROR(VLOOKUP(DATA!$P96,'M2'!$A:$C,Q$2,FALSE)),"NOT PRESENT",VLOOKUP(DATA!$P96,'M2'!$A:$C,Q$2,FALSE)),IF($M96=0,IF(ISERROR(VLOOKUP($P96,'M1'!$A:$C,Q$2,FALSE)),IF(ISERROR(VLOOKUP(DATA!$P96,'M2'!$A:$C,Q$2,FALSE)),"NOT PRESENT",VLOOKUP(DATA!$P96,'M2'!$A:$C,Q$2,FALSE)),VLOOKUP($P96,'M1'!$A:$C,Q$2,FALSE)),"SPECIFY METHOD")))</f>
        <v>Mesocentrotus franciscanus</v>
      </c>
      <c r="R96" s="21" t="str">
        <f>IF($M96=1,IF(ISERROR(VLOOKUP($P96,'M1'!$A:$C,R$2,FALSE)),"NOT PRESENT",VLOOKUP($P96,'M1'!$A:$C,R$2,FALSE)),IF($M96=2,IF(ISERROR(VLOOKUP(DATA!$P96,'M2'!$A:$C,R$2,FALSE)),"NOT PRESENT",VLOOKUP(DATA!$P96,'M2'!$A:$C,R$2,FALSE)),IF($M96=0,IF(ISERROR(VLOOKUP($P96,'M1'!$A:$C,R$2,FALSE)),IF(ISERROR(VLOOKUP(DATA!$P96,'M2'!$A:$C,R$2,FALSE)),"NOT PRESENT",VLOOKUP(DATA!$P96,'M2'!$A:$C,R$2,FALSE)),VLOOKUP($P96,'M1'!$A:$C,R$2,FALSE)),"SPECIFY METHOD")))</f>
        <v>Red sea urchin</v>
      </c>
      <c r="S96" s="28">
        <f t="shared" si="3"/>
        <v>4</v>
      </c>
      <c r="T96" s="20">
        <v>0</v>
      </c>
      <c r="U96" s="20"/>
      <c r="V96" s="20"/>
      <c r="W96" s="20">
        <v>1</v>
      </c>
      <c r="X96" s="20">
        <v>1</v>
      </c>
      <c r="Y96" s="20">
        <v>2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</row>
    <row r="97" spans="1:68" ht="12.75" customHeight="1">
      <c r="A97" s="21">
        <f t="shared" si="2"/>
        <v>95</v>
      </c>
      <c r="B97" s="20" t="s">
        <v>25</v>
      </c>
      <c r="C97" s="20" t="s">
        <v>24</v>
      </c>
      <c r="D97" s="20" t="s">
        <v>43</v>
      </c>
      <c r="E97" s="21" t="str">
        <f>IF(ISERROR(VLOOKUP($D97,SITES!$A:$E,2,FALSE)),"",VLOOKUP($D97,SITES!$A:$E,2,FALSE))</f>
        <v>Taylor Rock</v>
      </c>
      <c r="F97" s="19">
        <f>IF(ISERROR(VLOOKUP($D97,SITES!$A:$E,3,FALSE)),"",VLOOKUP($D97,SITES!$A:$E,3,FALSE))</f>
        <v>48.8273315429687</v>
      </c>
      <c r="G97" s="22">
        <f>IF(ISERROR(VLOOKUP($D97,SITES!$A:$E,4,FALSE)),"",VLOOKUP($D97,SITES!$A:$E,4,FALSE))</f>
        <v>-125.196601867675</v>
      </c>
      <c r="H97" s="23">
        <f t="shared" ref="H97:I97" si="191">IF(ISERROR(H96),IF(ISERROR(H95),IF(ISERROR(H94),"BLANK",H94),H95),H96)</f>
        <v>45405</v>
      </c>
      <c r="I97" s="20">
        <f t="shared" si="191"/>
        <v>1.5</v>
      </c>
      <c r="J97" s="20" t="s">
        <v>27</v>
      </c>
      <c r="K97" s="27">
        <v>0.40833333333333333</v>
      </c>
      <c r="L97" s="20">
        <v>6</v>
      </c>
      <c r="M97" s="20">
        <f t="shared" ref="M97:N97" si="192">IF(ISERROR(M96),IF(ISERROR(M95),IF(ISERROR(M94),"BLANK",M94),M95),M96)</f>
        <v>2</v>
      </c>
      <c r="N97" s="20">
        <f t="shared" si="192"/>
        <v>2</v>
      </c>
      <c r="O97" s="20">
        <v>40</v>
      </c>
      <c r="P97" s="20" t="s">
        <v>41</v>
      </c>
      <c r="Q97" s="21" t="str">
        <f>IF($M97=1,IF(ISERROR(VLOOKUP($P97,'M1'!$A:$C,Q$2,FALSE)),"NOT PRESENT",VLOOKUP($P97,'M1'!$A:$C,Q$2,FALSE)),IF($M97=2,IF(ISERROR(VLOOKUP(DATA!$P97,'M2'!$A:$C,Q$2,FALSE)),"NOT PRESENT",VLOOKUP(DATA!$P97,'M2'!$A:$C,Q$2,FALSE)),IF($M97=0,IF(ISERROR(VLOOKUP($P97,'M1'!$A:$C,Q$2,FALSE)),IF(ISERROR(VLOOKUP(DATA!$P97,'M2'!$A:$C,Q$2,FALSE)),"NOT PRESENT",VLOOKUP(DATA!$P97,'M2'!$A:$C,Q$2,FALSE)),VLOOKUP($P97,'M1'!$A:$C,Q$2,FALSE)),"SPECIFY METHOD")))</f>
        <v>Mesocentrotus franciscanus</v>
      </c>
      <c r="R97" s="21" t="str">
        <f>IF($M97=1,IF(ISERROR(VLOOKUP($P97,'M1'!$A:$C,R$2,FALSE)),"NOT PRESENT",VLOOKUP($P97,'M1'!$A:$C,R$2,FALSE)),IF($M97=2,IF(ISERROR(VLOOKUP(DATA!$P97,'M2'!$A:$C,R$2,FALSE)),"NOT PRESENT",VLOOKUP(DATA!$P97,'M2'!$A:$C,R$2,FALSE)),IF($M97=0,IF(ISERROR(VLOOKUP($P97,'M1'!$A:$C,R$2,FALSE)),IF(ISERROR(VLOOKUP(DATA!$P97,'M2'!$A:$C,R$2,FALSE)),"NOT PRESENT",VLOOKUP(DATA!$P97,'M2'!$A:$C,R$2,FALSE)),VLOOKUP($P97,'M1'!$A:$C,R$2,FALSE)),"SPECIFY METHOD")))</f>
        <v>Red sea urchin</v>
      </c>
      <c r="S97" s="28">
        <f t="shared" si="3"/>
        <v>6</v>
      </c>
      <c r="T97" s="20">
        <v>0</v>
      </c>
      <c r="U97" s="20"/>
      <c r="V97" s="20">
        <v>1</v>
      </c>
      <c r="W97" s="20">
        <v>2</v>
      </c>
      <c r="X97" s="20">
        <v>3</v>
      </c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</row>
    <row r="98" spans="1:68" ht="12.75" customHeight="1">
      <c r="A98" s="21">
        <f t="shared" si="2"/>
        <v>96</v>
      </c>
      <c r="B98" s="20" t="str">
        <f t="shared" ref="B98:D98" si="193">IF(ISERROR(B97),IF(ISERROR(B96),IF(ISERROR(B95),"BLANK",B95),B96),B97)</f>
        <v>Tom Bird</v>
      </c>
      <c r="C98" s="20" t="str">
        <f t="shared" si="193"/>
        <v>Jasmin Schuster</v>
      </c>
      <c r="D98" s="20" t="str">
        <f t="shared" si="193"/>
        <v>BMSC5</v>
      </c>
      <c r="E98" s="21" t="str">
        <f>IF(ISERROR(VLOOKUP($D98,SITES!$A:$E,2,FALSE)),"",VLOOKUP($D98,SITES!$A:$E,2,FALSE))</f>
        <v>Taylor Rock</v>
      </c>
      <c r="F98" s="19">
        <f>IF(ISERROR(VLOOKUP($D98,SITES!$A:$E,3,FALSE)),"",VLOOKUP($D98,SITES!$A:$E,3,FALSE))</f>
        <v>48.8273315429687</v>
      </c>
      <c r="G98" s="22">
        <f>IF(ISERROR(VLOOKUP($D98,SITES!$A:$E,4,FALSE)),"",VLOOKUP($D98,SITES!$A:$E,4,FALSE))</f>
        <v>-125.196601867675</v>
      </c>
      <c r="H98" s="23">
        <f t="shared" ref="H98:N98" si="194">IF(ISERROR(H97),IF(ISERROR(H96),IF(ISERROR(H95),"BLANK",H95),H96),H97)</f>
        <v>45405</v>
      </c>
      <c r="I98" s="20">
        <f t="shared" si="194"/>
        <v>1.5</v>
      </c>
      <c r="J98" s="20" t="str">
        <f t="shared" si="194"/>
        <v>NW</v>
      </c>
      <c r="K98" s="27">
        <f t="shared" si="194"/>
        <v>0.40833333333333333</v>
      </c>
      <c r="L98" s="20">
        <f t="shared" si="194"/>
        <v>6</v>
      </c>
      <c r="M98" s="20">
        <f t="shared" si="194"/>
        <v>2</v>
      </c>
      <c r="N98" s="20">
        <f t="shared" si="194"/>
        <v>2</v>
      </c>
      <c r="O98" s="20">
        <v>24</v>
      </c>
      <c r="P98" s="20" t="str">
        <f t="shared" ref="P98:P99" si="195">IF(ISERROR(P97),IF(ISERROR(P96),IF(ISERROR(P95),"BLANK",P95),P96),P97)</f>
        <v>mfra</v>
      </c>
      <c r="Q98" s="21" t="str">
        <f>IF($M98=1,IF(ISERROR(VLOOKUP($P98,'M1'!$A:$C,Q$2,FALSE)),"NOT PRESENT",VLOOKUP($P98,'M1'!$A:$C,Q$2,FALSE)),IF($M98=2,IF(ISERROR(VLOOKUP(DATA!$P98,'M2'!$A:$C,Q$2,FALSE)),"NOT PRESENT",VLOOKUP(DATA!$P98,'M2'!$A:$C,Q$2,FALSE)),IF($M98=0,IF(ISERROR(VLOOKUP($P98,'M1'!$A:$C,Q$2,FALSE)),IF(ISERROR(VLOOKUP(DATA!$P98,'M2'!$A:$C,Q$2,FALSE)),"NOT PRESENT",VLOOKUP(DATA!$P98,'M2'!$A:$C,Q$2,FALSE)),VLOOKUP($P98,'M1'!$A:$C,Q$2,FALSE)),"SPECIFY METHOD")))</f>
        <v>Mesocentrotus franciscanus</v>
      </c>
      <c r="R98" s="21" t="str">
        <f>IF($M98=1,IF(ISERROR(VLOOKUP($P98,'M1'!$A:$C,R$2,FALSE)),"NOT PRESENT",VLOOKUP($P98,'M1'!$A:$C,R$2,FALSE)),IF($M98=2,IF(ISERROR(VLOOKUP(DATA!$P98,'M2'!$A:$C,R$2,FALSE)),"NOT PRESENT",VLOOKUP(DATA!$P98,'M2'!$A:$C,R$2,FALSE)),IF($M98=0,IF(ISERROR(VLOOKUP($P98,'M1'!$A:$C,R$2,FALSE)),IF(ISERROR(VLOOKUP(DATA!$P98,'M2'!$A:$C,R$2,FALSE)),"NOT PRESENT",VLOOKUP(DATA!$P98,'M2'!$A:$C,R$2,FALSE)),VLOOKUP($P98,'M1'!$A:$C,R$2,FALSE)),"SPECIFY METHOD")))</f>
        <v>Red sea urchin</v>
      </c>
      <c r="S98" s="28">
        <f t="shared" si="3"/>
        <v>9</v>
      </c>
      <c r="T98" s="20">
        <v>0</v>
      </c>
      <c r="U98" s="20"/>
      <c r="V98" s="20">
        <v>2</v>
      </c>
      <c r="W98" s="20">
        <v>4</v>
      </c>
      <c r="X98" s="20">
        <v>3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</row>
    <row r="99" spans="1:68" ht="12.75" customHeight="1">
      <c r="A99" s="21">
        <f t="shared" si="2"/>
        <v>97</v>
      </c>
      <c r="B99" s="20" t="str">
        <f t="shared" ref="B99:D99" si="196">IF(ISERROR(B98),IF(ISERROR(B97),IF(ISERROR(B96),"BLANK",B96),B97),B98)</f>
        <v>Tom Bird</v>
      </c>
      <c r="C99" s="20" t="str">
        <f t="shared" si="196"/>
        <v>Jasmin Schuster</v>
      </c>
      <c r="D99" s="20" t="str">
        <f t="shared" si="196"/>
        <v>BMSC5</v>
      </c>
      <c r="E99" s="21" t="str">
        <f>IF(ISERROR(VLOOKUP($D99,SITES!$A:$E,2,FALSE)),"",VLOOKUP($D99,SITES!$A:$E,2,FALSE))</f>
        <v>Taylor Rock</v>
      </c>
      <c r="F99" s="19">
        <f>IF(ISERROR(VLOOKUP($D99,SITES!$A:$E,3,FALSE)),"",VLOOKUP($D99,SITES!$A:$E,3,FALSE))</f>
        <v>48.8273315429687</v>
      </c>
      <c r="G99" s="22">
        <f>IF(ISERROR(VLOOKUP($D99,SITES!$A:$E,4,FALSE)),"",VLOOKUP($D99,SITES!$A:$E,4,FALSE))</f>
        <v>-125.196601867675</v>
      </c>
      <c r="H99" s="23">
        <f t="shared" ref="H99:N99" si="197">IF(ISERROR(H98),IF(ISERROR(H97),IF(ISERROR(H96),"BLANK",H96),H97),H98)</f>
        <v>45405</v>
      </c>
      <c r="I99" s="20">
        <f t="shared" si="197"/>
        <v>1.5</v>
      </c>
      <c r="J99" s="20" t="str">
        <f t="shared" si="197"/>
        <v>NW</v>
      </c>
      <c r="K99" s="27">
        <f t="shared" si="197"/>
        <v>0.40833333333333333</v>
      </c>
      <c r="L99" s="20">
        <f t="shared" si="197"/>
        <v>6</v>
      </c>
      <c r="M99" s="20">
        <f t="shared" si="197"/>
        <v>2</v>
      </c>
      <c r="N99" s="20">
        <f t="shared" si="197"/>
        <v>2</v>
      </c>
      <c r="O99" s="20">
        <v>8</v>
      </c>
      <c r="P99" s="20" t="str">
        <f t="shared" si="195"/>
        <v>mfra</v>
      </c>
      <c r="Q99" s="21" t="str">
        <f>IF($M99=1,IF(ISERROR(VLOOKUP($P99,'M1'!$A:$C,Q$2,FALSE)),"NOT PRESENT",VLOOKUP($P99,'M1'!$A:$C,Q$2,FALSE)),IF($M99=2,IF(ISERROR(VLOOKUP(DATA!$P99,'M2'!$A:$C,Q$2,FALSE)),"NOT PRESENT",VLOOKUP(DATA!$P99,'M2'!$A:$C,Q$2,FALSE)),IF($M99=0,IF(ISERROR(VLOOKUP($P99,'M1'!$A:$C,Q$2,FALSE)),IF(ISERROR(VLOOKUP(DATA!$P99,'M2'!$A:$C,Q$2,FALSE)),"NOT PRESENT",VLOOKUP(DATA!$P99,'M2'!$A:$C,Q$2,FALSE)),VLOOKUP($P99,'M1'!$A:$C,Q$2,FALSE)),"SPECIFY METHOD")))</f>
        <v>Mesocentrotus franciscanus</v>
      </c>
      <c r="R99" s="21" t="str">
        <f>IF($M99=1,IF(ISERROR(VLOOKUP($P99,'M1'!$A:$C,R$2,FALSE)),"NOT PRESENT",VLOOKUP($P99,'M1'!$A:$C,R$2,FALSE)),IF($M99=2,IF(ISERROR(VLOOKUP(DATA!$P99,'M2'!$A:$C,R$2,FALSE)),"NOT PRESENT",VLOOKUP(DATA!$P99,'M2'!$A:$C,R$2,FALSE)),IF($M99=0,IF(ISERROR(VLOOKUP($P99,'M1'!$A:$C,R$2,FALSE)),IF(ISERROR(VLOOKUP(DATA!$P99,'M2'!$A:$C,R$2,FALSE)),"NOT PRESENT",VLOOKUP(DATA!$P99,'M2'!$A:$C,R$2,FALSE)),VLOOKUP($P99,'M1'!$A:$C,R$2,FALSE)),"SPECIFY METHOD")))</f>
        <v>Red sea urchin</v>
      </c>
      <c r="S99" s="28">
        <f t="shared" si="3"/>
        <v>3</v>
      </c>
      <c r="T99" s="20">
        <v>0</v>
      </c>
      <c r="U99" s="20"/>
      <c r="V99" s="20"/>
      <c r="W99" s="20">
        <v>3</v>
      </c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</row>
    <row r="100" spans="1:68" ht="12.75" customHeight="1">
      <c r="A100" s="21">
        <f t="shared" si="2"/>
        <v>98</v>
      </c>
      <c r="B100" s="20" t="str">
        <f t="shared" ref="B100:D100" si="198">IF(ISERROR(B99),IF(ISERROR(B98),IF(ISERROR(B97),"BLANK",B97),B98),B99)</f>
        <v>Tom Bird</v>
      </c>
      <c r="C100" s="20" t="str">
        <f t="shared" si="198"/>
        <v>Jasmin Schuster</v>
      </c>
      <c r="D100" s="20" t="str">
        <f t="shared" si="198"/>
        <v>BMSC5</v>
      </c>
      <c r="E100" s="21" t="str">
        <f>IF(ISERROR(VLOOKUP($D100,SITES!$A:$E,2,FALSE)),"",VLOOKUP($D100,SITES!$A:$E,2,FALSE))</f>
        <v>Taylor Rock</v>
      </c>
      <c r="F100" s="19">
        <f>IF(ISERROR(VLOOKUP($D100,SITES!$A:$E,3,FALSE)),"",VLOOKUP($D100,SITES!$A:$E,3,FALSE))</f>
        <v>48.8273315429687</v>
      </c>
      <c r="G100" s="22">
        <f>IF(ISERROR(VLOOKUP($D100,SITES!$A:$E,4,FALSE)),"",VLOOKUP($D100,SITES!$A:$E,4,FALSE))</f>
        <v>-125.196601867675</v>
      </c>
      <c r="H100" s="23">
        <f t="shared" ref="H100:N100" si="199">IF(ISERROR(H99),IF(ISERROR(H98),IF(ISERROR(H97),"BLANK",H97),H98),H99)</f>
        <v>45405</v>
      </c>
      <c r="I100" s="20">
        <f t="shared" si="199"/>
        <v>1.5</v>
      </c>
      <c r="J100" s="20" t="str">
        <f t="shared" si="199"/>
        <v>NW</v>
      </c>
      <c r="K100" s="27">
        <f t="shared" si="199"/>
        <v>0.40833333333333333</v>
      </c>
      <c r="L100" s="20">
        <f t="shared" si="199"/>
        <v>6</v>
      </c>
      <c r="M100" s="20">
        <f t="shared" si="199"/>
        <v>2</v>
      </c>
      <c r="N100" s="20">
        <f t="shared" si="199"/>
        <v>2</v>
      </c>
      <c r="O100" s="20">
        <v>8</v>
      </c>
      <c r="P100" s="20" t="s">
        <v>54</v>
      </c>
      <c r="Q100" s="21" t="str">
        <f>IF($M100=1,IF(ISERROR(VLOOKUP($P100,'M1'!$A:$C,Q$2,FALSE)),"NOT PRESENT",VLOOKUP($P100,'M1'!$A:$C,Q$2,FALSE)),IF($M100=2,IF(ISERROR(VLOOKUP(DATA!$P100,'M2'!$A:$C,Q$2,FALSE)),"NOT PRESENT",VLOOKUP(DATA!$P100,'M2'!$A:$C,Q$2,FALSE)),IF($M100=0,IF(ISERROR(VLOOKUP($P100,'M1'!$A:$C,Q$2,FALSE)),IF(ISERROR(VLOOKUP(DATA!$P100,'M2'!$A:$C,Q$2,FALSE)),"NOT PRESENT",VLOOKUP(DATA!$P100,'M2'!$A:$C,Q$2,FALSE)),VLOOKUP($P100,'M1'!$A:$C,Q$2,FALSE)),"SPECIFY METHOD")))</f>
        <v>Pycnopodia helianthoides</v>
      </c>
      <c r="R100" s="21" t="str">
        <f>IF($M100=1,IF(ISERROR(VLOOKUP($P100,'M1'!$A:$C,R$2,FALSE)),"NOT PRESENT",VLOOKUP($P100,'M1'!$A:$C,R$2,FALSE)),IF($M100=2,IF(ISERROR(VLOOKUP(DATA!$P100,'M2'!$A:$C,R$2,FALSE)),"NOT PRESENT",VLOOKUP(DATA!$P100,'M2'!$A:$C,R$2,FALSE)),IF($M100=0,IF(ISERROR(VLOOKUP($P100,'M1'!$A:$C,R$2,FALSE)),IF(ISERROR(VLOOKUP(DATA!$P100,'M2'!$A:$C,R$2,FALSE)),"NOT PRESENT",VLOOKUP(DATA!$P100,'M2'!$A:$C,R$2,FALSE)),VLOOKUP($P100,'M1'!$A:$C,R$2,FALSE)),"SPECIFY METHOD")))</f>
        <v>Sunflower star</v>
      </c>
      <c r="S100" s="28">
        <f t="shared" si="3"/>
        <v>1</v>
      </c>
      <c r="T100" s="20">
        <v>0</v>
      </c>
      <c r="U100" s="20"/>
      <c r="V100" s="20">
        <v>1</v>
      </c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</row>
    <row r="101" spans="1:68" ht="12.75" customHeight="1">
      <c r="A101" s="21">
        <f t="shared" si="2"/>
        <v>99</v>
      </c>
      <c r="B101" s="20" t="str">
        <f t="shared" ref="B101:C101" si="200">IF(ISERROR(B100),IF(ISERROR(B99),IF(ISERROR(B98),"BLANK",B98),B99),B100)</f>
        <v>Tom Bird</v>
      </c>
      <c r="C101" s="20" t="str">
        <f t="shared" si="200"/>
        <v>Jasmin Schuster</v>
      </c>
      <c r="D101" s="20" t="s">
        <v>51</v>
      </c>
      <c r="E101" s="21" t="str">
        <f>IF(ISERROR(VLOOKUP($D101,SITES!$A:$E,2,FALSE)),"",VLOOKUP($D101,SITES!$A:$E,2,FALSE))</f>
        <v>Goby Town</v>
      </c>
      <c r="F101" s="19">
        <f>IF(ISERROR(VLOOKUP($D101,SITES!$A:$E,3,FALSE)),"",VLOOKUP($D101,SITES!$A:$E,3,FALSE))</f>
        <v>48.838594999999998</v>
      </c>
      <c r="G101" s="22">
        <f>IF(ISERROR(VLOOKUP($D101,SITES!$A:$E,4,FALSE)),"",VLOOKUP($D101,SITES!$A:$E,4,FALSE))</f>
        <v>-125.135015</v>
      </c>
      <c r="H101" s="23">
        <f t="shared" ref="H101:N101" si="201">IF(ISERROR(H100),IF(ISERROR(H99),IF(ISERROR(H98),"BLANK",H98),H99),H100)</f>
        <v>45405</v>
      </c>
      <c r="I101" s="20">
        <f t="shared" si="201"/>
        <v>1.5</v>
      </c>
      <c r="J101" s="20" t="str">
        <f t="shared" si="201"/>
        <v>NW</v>
      </c>
      <c r="K101" s="27">
        <f t="shared" si="201"/>
        <v>0.40833333333333333</v>
      </c>
      <c r="L101" s="20">
        <f t="shared" si="201"/>
        <v>6</v>
      </c>
      <c r="M101" s="20">
        <f t="shared" si="201"/>
        <v>2</v>
      </c>
      <c r="N101" s="20">
        <f t="shared" si="201"/>
        <v>2</v>
      </c>
      <c r="O101" s="20">
        <v>40</v>
      </c>
      <c r="P101" s="20" t="s">
        <v>41</v>
      </c>
      <c r="Q101" s="21" t="str">
        <f>IF($M101=1,IF(ISERROR(VLOOKUP($P101,'M1'!$A:$C,Q$2,FALSE)),"NOT PRESENT",VLOOKUP($P101,'M1'!$A:$C,Q$2,FALSE)),IF($M101=2,IF(ISERROR(VLOOKUP(DATA!$P101,'M2'!$A:$C,Q$2,FALSE)),"NOT PRESENT",VLOOKUP(DATA!$P101,'M2'!$A:$C,Q$2,FALSE)),IF($M101=0,IF(ISERROR(VLOOKUP($P101,'M1'!$A:$C,Q$2,FALSE)),IF(ISERROR(VLOOKUP(DATA!$P101,'M2'!$A:$C,Q$2,FALSE)),"NOT PRESENT",VLOOKUP(DATA!$P101,'M2'!$A:$C,Q$2,FALSE)),VLOOKUP($P101,'M1'!$A:$C,Q$2,FALSE)),"SPECIFY METHOD")))</f>
        <v>Mesocentrotus franciscanus</v>
      </c>
      <c r="R101" s="21" t="str">
        <f>IF($M101=1,IF(ISERROR(VLOOKUP($P101,'M1'!$A:$C,R$2,FALSE)),"NOT PRESENT",VLOOKUP($P101,'M1'!$A:$C,R$2,FALSE)),IF($M101=2,IF(ISERROR(VLOOKUP(DATA!$P101,'M2'!$A:$C,R$2,FALSE)),"NOT PRESENT",VLOOKUP(DATA!$P101,'M2'!$A:$C,R$2,FALSE)),IF($M101=0,IF(ISERROR(VLOOKUP($P101,'M1'!$A:$C,R$2,FALSE)),IF(ISERROR(VLOOKUP(DATA!$P101,'M2'!$A:$C,R$2,FALSE)),"NOT PRESENT",VLOOKUP(DATA!$P101,'M2'!$A:$C,R$2,FALSE)),VLOOKUP($P101,'M1'!$A:$C,R$2,FALSE)),"SPECIFY METHOD")))</f>
        <v>Red sea urchin</v>
      </c>
      <c r="S101" s="28">
        <f t="shared" si="3"/>
        <v>3</v>
      </c>
      <c r="T101" s="20">
        <v>0</v>
      </c>
      <c r="U101" s="20"/>
      <c r="V101" s="20">
        <v>1</v>
      </c>
      <c r="W101" s="20">
        <v>1</v>
      </c>
      <c r="X101" s="20">
        <v>1</v>
      </c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</row>
    <row r="102" spans="1:68" ht="12.75" customHeight="1">
      <c r="A102" s="21">
        <f t="shared" si="2"/>
        <v>100</v>
      </c>
      <c r="B102" s="20" t="str">
        <f t="shared" ref="B102:D102" si="202">IF(ISERROR(B101),IF(ISERROR(B100),IF(ISERROR(B99),"BLANK",B99),B100),B101)</f>
        <v>Tom Bird</v>
      </c>
      <c r="C102" s="20" t="str">
        <f t="shared" si="202"/>
        <v>Jasmin Schuster</v>
      </c>
      <c r="D102" s="20" t="str">
        <f t="shared" si="202"/>
        <v>BMSC25</v>
      </c>
      <c r="E102" s="21" t="str">
        <f>IF(ISERROR(VLOOKUP($D102,SITES!$A:$E,2,FALSE)),"",VLOOKUP($D102,SITES!$A:$E,2,FALSE))</f>
        <v>Goby Town</v>
      </c>
      <c r="F102" s="19">
        <f>IF(ISERROR(VLOOKUP($D102,SITES!$A:$E,3,FALSE)),"",VLOOKUP($D102,SITES!$A:$E,3,FALSE))</f>
        <v>48.838594999999998</v>
      </c>
      <c r="G102" s="22">
        <f>IF(ISERROR(VLOOKUP($D102,SITES!$A:$E,4,FALSE)),"",VLOOKUP($D102,SITES!$A:$E,4,FALSE))</f>
        <v>-125.135015</v>
      </c>
      <c r="H102" s="23">
        <f t="shared" ref="H102:N102" si="203">IF(ISERROR(H101),IF(ISERROR(H100),IF(ISERROR(H99),"BLANK",H99),H100),H101)</f>
        <v>45405</v>
      </c>
      <c r="I102" s="20">
        <f t="shared" si="203"/>
        <v>1.5</v>
      </c>
      <c r="J102" s="20" t="str">
        <f t="shared" si="203"/>
        <v>NW</v>
      </c>
      <c r="K102" s="27">
        <f t="shared" si="203"/>
        <v>0.40833333333333333</v>
      </c>
      <c r="L102" s="20">
        <f t="shared" si="203"/>
        <v>6</v>
      </c>
      <c r="M102" s="20">
        <f t="shared" si="203"/>
        <v>2</v>
      </c>
      <c r="N102" s="20">
        <f t="shared" si="203"/>
        <v>2</v>
      </c>
      <c r="O102" s="20">
        <v>40</v>
      </c>
      <c r="P102" s="20" t="s">
        <v>40</v>
      </c>
      <c r="Q102" s="21" t="str">
        <f>IF($M102=1,IF(ISERROR(VLOOKUP($P102,'M1'!$A:$C,Q$2,FALSE)),"NOT PRESENT",VLOOKUP($P102,'M1'!$A:$C,Q$2,FALSE)),IF($M102=2,IF(ISERROR(VLOOKUP(DATA!$P102,'M2'!$A:$C,Q$2,FALSE)),"NOT PRESENT",VLOOKUP(DATA!$P102,'M2'!$A:$C,Q$2,FALSE)),IF($M102=0,IF(ISERROR(VLOOKUP($P102,'M1'!$A:$C,Q$2,FALSE)),IF(ISERROR(VLOOKUP(DATA!$P102,'M2'!$A:$C,Q$2,FALSE)),"NOT PRESENT",VLOOKUP(DATA!$P102,'M2'!$A:$C,Q$2,FALSE)),VLOOKUP($P102,'M1'!$A:$C,Q$2,FALSE)),"SPECIFY METHOD")))</f>
        <v>Patiria miniata</v>
      </c>
      <c r="R102" s="21" t="str">
        <f>IF($M102=1,IF(ISERROR(VLOOKUP($P102,'M1'!$A:$C,R$2,FALSE)),"NOT PRESENT",VLOOKUP($P102,'M1'!$A:$C,R$2,FALSE)),IF($M102=2,IF(ISERROR(VLOOKUP(DATA!$P102,'M2'!$A:$C,R$2,FALSE)),"NOT PRESENT",VLOOKUP(DATA!$P102,'M2'!$A:$C,R$2,FALSE)),IF($M102=0,IF(ISERROR(VLOOKUP($P102,'M1'!$A:$C,R$2,FALSE)),IF(ISERROR(VLOOKUP(DATA!$P102,'M2'!$A:$C,R$2,FALSE)),"NOT PRESENT",VLOOKUP(DATA!$P102,'M2'!$A:$C,R$2,FALSE)),VLOOKUP($P102,'M1'!$A:$C,R$2,FALSE)),"SPECIFY METHOD")))</f>
        <v>Bat star</v>
      </c>
      <c r="S102" s="28">
        <f t="shared" si="3"/>
        <v>1</v>
      </c>
      <c r="T102" s="20">
        <v>0</v>
      </c>
      <c r="U102" s="20"/>
      <c r="V102" s="20"/>
      <c r="W102" s="20">
        <v>1</v>
      </c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</row>
    <row r="103" spans="1:68" ht="12.75" customHeight="1">
      <c r="A103" s="21">
        <f t="shared" si="2"/>
        <v>101</v>
      </c>
      <c r="B103" s="20" t="str">
        <f t="shared" ref="B103:D103" si="204">IF(ISERROR(B102),IF(ISERROR(B101),IF(ISERROR(B100),"BLANK",B100),B101),B102)</f>
        <v>Tom Bird</v>
      </c>
      <c r="C103" s="20" t="str">
        <f t="shared" si="204"/>
        <v>Jasmin Schuster</v>
      </c>
      <c r="D103" s="20" t="str">
        <f t="shared" si="204"/>
        <v>BMSC25</v>
      </c>
      <c r="E103" s="21" t="str">
        <f>IF(ISERROR(VLOOKUP($D103,SITES!$A:$E,2,FALSE)),"",VLOOKUP($D103,SITES!$A:$E,2,FALSE))</f>
        <v>Goby Town</v>
      </c>
      <c r="F103" s="19">
        <f>IF(ISERROR(VLOOKUP($D103,SITES!$A:$E,3,FALSE)),"",VLOOKUP($D103,SITES!$A:$E,3,FALSE))</f>
        <v>48.838594999999998</v>
      </c>
      <c r="G103" s="22">
        <f>IF(ISERROR(VLOOKUP($D103,SITES!$A:$E,4,FALSE)),"",VLOOKUP($D103,SITES!$A:$E,4,FALSE))</f>
        <v>-125.135015</v>
      </c>
      <c r="H103" s="23">
        <f t="shared" ref="H103:N103" si="205">IF(ISERROR(H102),IF(ISERROR(H101),IF(ISERROR(H100),"BLANK",H100),H101),H102)</f>
        <v>45405</v>
      </c>
      <c r="I103" s="20">
        <f t="shared" si="205"/>
        <v>1.5</v>
      </c>
      <c r="J103" s="20" t="str">
        <f t="shared" si="205"/>
        <v>NW</v>
      </c>
      <c r="K103" s="27">
        <f t="shared" si="205"/>
        <v>0.40833333333333333</v>
      </c>
      <c r="L103" s="20">
        <f t="shared" si="205"/>
        <v>6</v>
      </c>
      <c r="M103" s="20">
        <f t="shared" si="205"/>
        <v>2</v>
      </c>
      <c r="N103" s="20">
        <f t="shared" si="205"/>
        <v>2</v>
      </c>
      <c r="O103" s="20">
        <v>24</v>
      </c>
      <c r="P103" s="20" t="s">
        <v>41</v>
      </c>
      <c r="Q103" s="21" t="str">
        <f>IF($M103=1,IF(ISERROR(VLOOKUP($P103,'M1'!$A:$C,Q$2,FALSE)),"NOT PRESENT",VLOOKUP($P103,'M1'!$A:$C,Q$2,FALSE)),IF($M103=2,IF(ISERROR(VLOOKUP(DATA!$P103,'M2'!$A:$C,Q$2,FALSE)),"NOT PRESENT",VLOOKUP(DATA!$P103,'M2'!$A:$C,Q$2,FALSE)),IF($M103=0,IF(ISERROR(VLOOKUP($P103,'M1'!$A:$C,Q$2,FALSE)),IF(ISERROR(VLOOKUP(DATA!$P103,'M2'!$A:$C,Q$2,FALSE)),"NOT PRESENT",VLOOKUP(DATA!$P103,'M2'!$A:$C,Q$2,FALSE)),VLOOKUP($P103,'M1'!$A:$C,Q$2,FALSE)),"SPECIFY METHOD")))</f>
        <v>Mesocentrotus franciscanus</v>
      </c>
      <c r="R103" s="21" t="str">
        <f>IF($M103=1,IF(ISERROR(VLOOKUP($P103,'M1'!$A:$C,R$2,FALSE)),"NOT PRESENT",VLOOKUP($P103,'M1'!$A:$C,R$2,FALSE)),IF($M103=2,IF(ISERROR(VLOOKUP(DATA!$P103,'M2'!$A:$C,R$2,FALSE)),"NOT PRESENT",VLOOKUP(DATA!$P103,'M2'!$A:$C,R$2,FALSE)),IF($M103=0,IF(ISERROR(VLOOKUP($P103,'M1'!$A:$C,R$2,FALSE)),IF(ISERROR(VLOOKUP(DATA!$P103,'M2'!$A:$C,R$2,FALSE)),"NOT PRESENT",VLOOKUP(DATA!$P103,'M2'!$A:$C,R$2,FALSE)),VLOOKUP($P103,'M1'!$A:$C,R$2,FALSE)),"SPECIFY METHOD")))</f>
        <v>Red sea urchin</v>
      </c>
      <c r="S103" s="28">
        <f t="shared" si="3"/>
        <v>4</v>
      </c>
      <c r="T103" s="20">
        <v>0</v>
      </c>
      <c r="U103" s="20"/>
      <c r="V103" s="20"/>
      <c r="W103" s="20">
        <v>3</v>
      </c>
      <c r="X103" s="20"/>
      <c r="Y103" s="20">
        <v>1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</row>
    <row r="104" spans="1:68" ht="12.75" customHeight="1">
      <c r="A104" s="21">
        <f t="shared" si="2"/>
        <v>102</v>
      </c>
      <c r="B104" s="20" t="str">
        <f t="shared" ref="B104:D104" si="206">IF(ISERROR(B103),IF(ISERROR(B102),IF(ISERROR(B101),"BLANK",B101),B102),B103)</f>
        <v>Tom Bird</v>
      </c>
      <c r="C104" s="20" t="str">
        <f t="shared" si="206"/>
        <v>Jasmin Schuster</v>
      </c>
      <c r="D104" s="20" t="str">
        <f t="shared" si="206"/>
        <v>BMSC25</v>
      </c>
      <c r="E104" s="21" t="str">
        <f>IF(ISERROR(VLOOKUP($D104,SITES!$A:$E,2,FALSE)),"",VLOOKUP($D104,SITES!$A:$E,2,FALSE))</f>
        <v>Goby Town</v>
      </c>
      <c r="F104" s="19">
        <f>IF(ISERROR(VLOOKUP($D104,SITES!$A:$E,3,FALSE)),"",VLOOKUP($D104,SITES!$A:$E,3,FALSE))</f>
        <v>48.838594999999998</v>
      </c>
      <c r="G104" s="22">
        <f>IF(ISERROR(VLOOKUP($D104,SITES!$A:$E,4,FALSE)),"",VLOOKUP($D104,SITES!$A:$E,4,FALSE))</f>
        <v>-125.135015</v>
      </c>
      <c r="H104" s="23">
        <f t="shared" ref="H104:N104" si="207">IF(ISERROR(H103),IF(ISERROR(H102),IF(ISERROR(H101),"BLANK",H101),H102),H103)</f>
        <v>45405</v>
      </c>
      <c r="I104" s="20">
        <f t="shared" si="207"/>
        <v>1.5</v>
      </c>
      <c r="J104" s="20" t="str">
        <f t="shared" si="207"/>
        <v>NW</v>
      </c>
      <c r="K104" s="27">
        <f t="shared" si="207"/>
        <v>0.40833333333333333</v>
      </c>
      <c r="L104" s="20">
        <f t="shared" si="207"/>
        <v>6</v>
      </c>
      <c r="M104" s="20">
        <f t="shared" si="207"/>
        <v>2</v>
      </c>
      <c r="N104" s="20">
        <f t="shared" si="207"/>
        <v>2</v>
      </c>
      <c r="O104" s="20">
        <v>8</v>
      </c>
      <c r="P104" s="20" t="str">
        <f>IF(ISERROR(P103),IF(ISERROR(P102),IF(ISERROR(P101),"BLANK",P101),P102),P103)</f>
        <v>mfra</v>
      </c>
      <c r="Q104" s="21" t="str">
        <f>IF($M104=1,IF(ISERROR(VLOOKUP($P104,'M1'!$A:$C,Q$2,FALSE)),"NOT PRESENT",VLOOKUP($P104,'M1'!$A:$C,Q$2,FALSE)),IF($M104=2,IF(ISERROR(VLOOKUP(DATA!$P104,'M2'!$A:$C,Q$2,FALSE)),"NOT PRESENT",VLOOKUP(DATA!$P104,'M2'!$A:$C,Q$2,FALSE)),IF($M104=0,IF(ISERROR(VLOOKUP($P104,'M1'!$A:$C,Q$2,FALSE)),IF(ISERROR(VLOOKUP(DATA!$P104,'M2'!$A:$C,Q$2,FALSE)),"NOT PRESENT",VLOOKUP(DATA!$P104,'M2'!$A:$C,Q$2,FALSE)),VLOOKUP($P104,'M1'!$A:$C,Q$2,FALSE)),"SPECIFY METHOD")))</f>
        <v>Mesocentrotus franciscanus</v>
      </c>
      <c r="R104" s="21" t="str">
        <f>IF($M104=1,IF(ISERROR(VLOOKUP($P104,'M1'!$A:$C,R$2,FALSE)),"NOT PRESENT",VLOOKUP($P104,'M1'!$A:$C,R$2,FALSE)),IF($M104=2,IF(ISERROR(VLOOKUP(DATA!$P104,'M2'!$A:$C,R$2,FALSE)),"NOT PRESENT",VLOOKUP(DATA!$P104,'M2'!$A:$C,R$2,FALSE)),IF($M104=0,IF(ISERROR(VLOOKUP($P104,'M1'!$A:$C,R$2,FALSE)),IF(ISERROR(VLOOKUP(DATA!$P104,'M2'!$A:$C,R$2,FALSE)),"NOT PRESENT",VLOOKUP(DATA!$P104,'M2'!$A:$C,R$2,FALSE)),VLOOKUP($P104,'M1'!$A:$C,R$2,FALSE)),"SPECIFY METHOD")))</f>
        <v>Red sea urchin</v>
      </c>
      <c r="S104" s="28">
        <f t="shared" si="3"/>
        <v>0</v>
      </c>
      <c r="T104" s="20">
        <v>0</v>
      </c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</row>
    <row r="105" spans="1:68" ht="12.75" customHeight="1">
      <c r="A105" s="21">
        <f t="shared" si="2"/>
        <v>103</v>
      </c>
      <c r="B105" s="20" t="str">
        <f t="shared" ref="B105:D105" si="208">IF(ISERROR(B104),IF(ISERROR(B103),IF(ISERROR(B102),"BLANK",B102),B103),B104)</f>
        <v>Tom Bird</v>
      </c>
      <c r="C105" s="20" t="str">
        <f t="shared" si="208"/>
        <v>Jasmin Schuster</v>
      </c>
      <c r="D105" s="20" t="str">
        <f t="shared" si="208"/>
        <v>BMSC25</v>
      </c>
      <c r="E105" s="21" t="str">
        <f>IF(ISERROR(VLOOKUP($D105,SITES!$A:$E,2,FALSE)),"",VLOOKUP($D105,SITES!$A:$E,2,FALSE))</f>
        <v>Goby Town</v>
      </c>
      <c r="F105" s="19">
        <f>IF(ISERROR(VLOOKUP($D105,SITES!$A:$E,3,FALSE)),"",VLOOKUP($D105,SITES!$A:$E,3,FALSE))</f>
        <v>48.838594999999998</v>
      </c>
      <c r="G105" s="22">
        <f>IF(ISERROR(VLOOKUP($D105,SITES!$A:$E,4,FALSE)),"",VLOOKUP($D105,SITES!$A:$E,4,FALSE))</f>
        <v>-125.135015</v>
      </c>
      <c r="H105" s="23">
        <f t="shared" ref="H105:N105" si="209">IF(ISERROR(H104),IF(ISERROR(H103),IF(ISERROR(H102),"BLANK",H102),H103),H104)</f>
        <v>45405</v>
      </c>
      <c r="I105" s="20">
        <f t="shared" si="209"/>
        <v>1.5</v>
      </c>
      <c r="J105" s="20" t="str">
        <f t="shared" si="209"/>
        <v>NW</v>
      </c>
      <c r="K105" s="27">
        <f t="shared" si="209"/>
        <v>0.40833333333333333</v>
      </c>
      <c r="L105" s="20">
        <f t="shared" si="209"/>
        <v>6</v>
      </c>
      <c r="M105" s="20">
        <f t="shared" si="209"/>
        <v>2</v>
      </c>
      <c r="N105" s="20">
        <f t="shared" si="209"/>
        <v>2</v>
      </c>
      <c r="O105" s="20">
        <v>8</v>
      </c>
      <c r="P105" s="20" t="s">
        <v>40</v>
      </c>
      <c r="Q105" s="21" t="str">
        <f>IF($M105=1,IF(ISERROR(VLOOKUP($P105,'M1'!$A:$C,Q$2,FALSE)),"NOT PRESENT",VLOOKUP($P105,'M1'!$A:$C,Q$2,FALSE)),IF($M105=2,IF(ISERROR(VLOOKUP(DATA!$P105,'M2'!$A:$C,Q$2,FALSE)),"NOT PRESENT",VLOOKUP(DATA!$P105,'M2'!$A:$C,Q$2,FALSE)),IF($M105=0,IF(ISERROR(VLOOKUP($P105,'M1'!$A:$C,Q$2,FALSE)),IF(ISERROR(VLOOKUP(DATA!$P105,'M2'!$A:$C,Q$2,FALSE)),"NOT PRESENT",VLOOKUP(DATA!$P105,'M2'!$A:$C,Q$2,FALSE)),VLOOKUP($P105,'M1'!$A:$C,Q$2,FALSE)),"SPECIFY METHOD")))</f>
        <v>Patiria miniata</v>
      </c>
      <c r="R105" s="21" t="str">
        <f>IF($M105=1,IF(ISERROR(VLOOKUP($P105,'M1'!$A:$C,R$2,FALSE)),"NOT PRESENT",VLOOKUP($P105,'M1'!$A:$C,R$2,FALSE)),IF($M105=2,IF(ISERROR(VLOOKUP(DATA!$P105,'M2'!$A:$C,R$2,FALSE)),"NOT PRESENT",VLOOKUP(DATA!$P105,'M2'!$A:$C,R$2,FALSE)),IF($M105=0,IF(ISERROR(VLOOKUP($P105,'M1'!$A:$C,R$2,FALSE)),IF(ISERROR(VLOOKUP(DATA!$P105,'M2'!$A:$C,R$2,FALSE)),"NOT PRESENT",VLOOKUP(DATA!$P105,'M2'!$A:$C,R$2,FALSE)),VLOOKUP($P105,'M1'!$A:$C,R$2,FALSE)),"SPECIFY METHOD")))</f>
        <v>Bat star</v>
      </c>
      <c r="S105" s="28">
        <f t="shared" si="3"/>
        <v>1</v>
      </c>
      <c r="T105" s="20">
        <v>0</v>
      </c>
      <c r="U105" s="20"/>
      <c r="V105" s="20"/>
      <c r="W105" s="20">
        <v>1</v>
      </c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</row>
    <row r="106" spans="1:68" ht="12.75" customHeight="1">
      <c r="A106" s="21">
        <f t="shared" si="2"/>
        <v>104</v>
      </c>
      <c r="B106" s="20" t="str">
        <f t="shared" ref="B106:C106" si="210">IF(ISERROR(B105),IF(ISERROR(B104),IF(ISERROR(B103),"BLANK",B103),B104),B105)</f>
        <v>Tom Bird</v>
      </c>
      <c r="C106" s="20" t="str">
        <f t="shared" si="210"/>
        <v>Jasmin Schuster</v>
      </c>
      <c r="D106" s="20" t="s">
        <v>26</v>
      </c>
      <c r="E106" s="21" t="str">
        <f>IF(ISERROR(VLOOKUP($D106,SITES!$A:$E,2,FALSE)),"",VLOOKUP($D106,SITES!$A:$E,2,FALSE))</f>
        <v>Baeria Rocks North Island Northside</v>
      </c>
      <c r="F106" s="19">
        <f>IF(ISERROR(VLOOKUP($D106,SITES!$A:$E,3,FALSE)),"",VLOOKUP($D106,SITES!$A:$E,3,FALSE))</f>
        <v>48.955081939697202</v>
      </c>
      <c r="G106" s="22">
        <f>IF(ISERROR(VLOOKUP($D106,SITES!$A:$E,4,FALSE)),"",VLOOKUP($D106,SITES!$A:$E,4,FALSE))</f>
        <v>-125.15337371826099</v>
      </c>
      <c r="H106" s="20" t="s">
        <v>55</v>
      </c>
      <c r="I106" s="20">
        <v>1</v>
      </c>
      <c r="J106" s="20" t="s">
        <v>27</v>
      </c>
      <c r="K106" s="27">
        <v>0.4236111111111111</v>
      </c>
      <c r="L106" s="20">
        <v>7.5</v>
      </c>
      <c r="M106" s="20">
        <f t="shared" ref="M106:N106" si="211">IF(ISERROR(M105),IF(ISERROR(M104),IF(ISERROR(M103),"BLANK",M103),M104),M105)</f>
        <v>2</v>
      </c>
      <c r="N106" s="20">
        <f t="shared" si="211"/>
        <v>2</v>
      </c>
      <c r="O106" s="20">
        <v>40</v>
      </c>
      <c r="P106" s="20" t="s">
        <v>41</v>
      </c>
      <c r="Q106" s="21" t="str">
        <f>IF($M106=1,IF(ISERROR(VLOOKUP($P106,'M1'!$A:$C,Q$2,FALSE)),"NOT PRESENT",VLOOKUP($P106,'M1'!$A:$C,Q$2,FALSE)),IF($M106=2,IF(ISERROR(VLOOKUP(DATA!$P106,'M2'!$A:$C,Q$2,FALSE)),"NOT PRESENT",VLOOKUP(DATA!$P106,'M2'!$A:$C,Q$2,FALSE)),IF($M106=0,IF(ISERROR(VLOOKUP($P106,'M1'!$A:$C,Q$2,FALSE)),IF(ISERROR(VLOOKUP(DATA!$P106,'M2'!$A:$C,Q$2,FALSE)),"NOT PRESENT",VLOOKUP(DATA!$P106,'M2'!$A:$C,Q$2,FALSE)),VLOOKUP($P106,'M1'!$A:$C,Q$2,FALSE)),"SPECIFY METHOD")))</f>
        <v>Mesocentrotus franciscanus</v>
      </c>
      <c r="R106" s="21" t="str">
        <f>IF($M106=1,IF(ISERROR(VLOOKUP($P106,'M1'!$A:$C,R$2,FALSE)),"NOT PRESENT",VLOOKUP($P106,'M1'!$A:$C,R$2,FALSE)),IF($M106=2,IF(ISERROR(VLOOKUP(DATA!$P106,'M2'!$A:$C,R$2,FALSE)),"NOT PRESENT",VLOOKUP(DATA!$P106,'M2'!$A:$C,R$2,FALSE)),IF($M106=0,IF(ISERROR(VLOOKUP($P106,'M1'!$A:$C,R$2,FALSE)),IF(ISERROR(VLOOKUP(DATA!$P106,'M2'!$A:$C,R$2,FALSE)),"NOT PRESENT",VLOOKUP(DATA!$P106,'M2'!$A:$C,R$2,FALSE)),VLOOKUP($P106,'M1'!$A:$C,R$2,FALSE)),"SPECIFY METHOD")))</f>
        <v>Red sea urchin</v>
      </c>
      <c r="S106" s="28">
        <f t="shared" si="3"/>
        <v>3</v>
      </c>
      <c r="T106" s="20">
        <v>0</v>
      </c>
      <c r="U106" s="20"/>
      <c r="V106" s="20">
        <v>2</v>
      </c>
      <c r="W106" s="20">
        <v>1</v>
      </c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</row>
    <row r="107" spans="1:68" ht="12.75" customHeight="1">
      <c r="A107" s="21">
        <f t="shared" si="2"/>
        <v>105</v>
      </c>
      <c r="B107" s="20" t="str">
        <f t="shared" ref="B107:D107" si="212">IF(ISERROR(B106),IF(ISERROR(B105),IF(ISERROR(B104),"BLANK",B104),B105),B106)</f>
        <v>Tom Bird</v>
      </c>
      <c r="C107" s="20" t="str">
        <f t="shared" si="212"/>
        <v>Jasmin Schuster</v>
      </c>
      <c r="D107" s="20" t="str">
        <f t="shared" si="212"/>
        <v>BMSC8</v>
      </c>
      <c r="E107" s="21" t="str">
        <f>IF(ISERROR(VLOOKUP($D107,SITES!$A:$E,2,FALSE)),"",VLOOKUP($D107,SITES!$A:$E,2,FALSE))</f>
        <v>Baeria Rocks North Island Northside</v>
      </c>
      <c r="F107" s="19">
        <f>IF(ISERROR(VLOOKUP($D107,SITES!$A:$E,3,FALSE)),"",VLOOKUP($D107,SITES!$A:$E,3,FALSE))</f>
        <v>48.955081939697202</v>
      </c>
      <c r="G107" s="22">
        <f>IF(ISERROR(VLOOKUP($D107,SITES!$A:$E,4,FALSE)),"",VLOOKUP($D107,SITES!$A:$E,4,FALSE))</f>
        <v>-125.15337371826099</v>
      </c>
      <c r="H107" s="23" t="str">
        <f t="shared" ref="H107:N107" si="213">IF(ISERROR(H106),IF(ISERROR(H105),IF(ISERROR(H104),"BLANK",H104),H105),H106)</f>
        <v>4/22/2024</v>
      </c>
      <c r="I107" s="20">
        <f t="shared" si="213"/>
        <v>1</v>
      </c>
      <c r="J107" s="20" t="str">
        <f t="shared" si="213"/>
        <v>NW</v>
      </c>
      <c r="K107" s="27">
        <f t="shared" si="213"/>
        <v>0.4236111111111111</v>
      </c>
      <c r="L107" s="20">
        <f t="shared" si="213"/>
        <v>7.5</v>
      </c>
      <c r="M107" s="20">
        <f t="shared" si="213"/>
        <v>2</v>
      </c>
      <c r="N107" s="20">
        <f t="shared" si="213"/>
        <v>2</v>
      </c>
      <c r="O107" s="20">
        <v>40</v>
      </c>
      <c r="P107" s="20" t="s">
        <v>40</v>
      </c>
      <c r="Q107" s="21" t="str">
        <f>IF($M107=1,IF(ISERROR(VLOOKUP($P107,'M1'!$A:$C,Q$2,FALSE)),"NOT PRESENT",VLOOKUP($P107,'M1'!$A:$C,Q$2,FALSE)),IF($M107=2,IF(ISERROR(VLOOKUP(DATA!$P107,'M2'!$A:$C,Q$2,FALSE)),"NOT PRESENT",VLOOKUP(DATA!$P107,'M2'!$A:$C,Q$2,FALSE)),IF($M107=0,IF(ISERROR(VLOOKUP($P107,'M1'!$A:$C,Q$2,FALSE)),IF(ISERROR(VLOOKUP(DATA!$P107,'M2'!$A:$C,Q$2,FALSE)),"NOT PRESENT",VLOOKUP(DATA!$P107,'M2'!$A:$C,Q$2,FALSE)),VLOOKUP($P107,'M1'!$A:$C,Q$2,FALSE)),"SPECIFY METHOD")))</f>
        <v>Patiria miniata</v>
      </c>
      <c r="R107" s="21" t="str">
        <f>IF($M107=1,IF(ISERROR(VLOOKUP($P107,'M1'!$A:$C,R$2,FALSE)),"NOT PRESENT",VLOOKUP($P107,'M1'!$A:$C,R$2,FALSE)),IF($M107=2,IF(ISERROR(VLOOKUP(DATA!$P107,'M2'!$A:$C,R$2,FALSE)),"NOT PRESENT",VLOOKUP(DATA!$P107,'M2'!$A:$C,R$2,FALSE)),IF($M107=0,IF(ISERROR(VLOOKUP($P107,'M1'!$A:$C,R$2,FALSE)),IF(ISERROR(VLOOKUP(DATA!$P107,'M2'!$A:$C,R$2,FALSE)),"NOT PRESENT",VLOOKUP(DATA!$P107,'M2'!$A:$C,R$2,FALSE)),VLOOKUP($P107,'M1'!$A:$C,R$2,FALSE)),"SPECIFY METHOD")))</f>
        <v>Bat star</v>
      </c>
      <c r="S107" s="28">
        <f t="shared" si="3"/>
        <v>2</v>
      </c>
      <c r="T107" s="20">
        <v>0</v>
      </c>
      <c r="U107" s="20"/>
      <c r="V107" s="20">
        <v>2</v>
      </c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</row>
    <row r="108" spans="1:68" ht="12.75" customHeight="1">
      <c r="A108" s="21">
        <f t="shared" si="2"/>
        <v>106</v>
      </c>
      <c r="B108" s="20" t="str">
        <f t="shared" ref="B108:D108" si="214">IF(ISERROR(B107),IF(ISERROR(B106),IF(ISERROR(B105),"BLANK",B105),B106),B107)</f>
        <v>Tom Bird</v>
      </c>
      <c r="C108" s="20" t="str">
        <f t="shared" si="214"/>
        <v>Jasmin Schuster</v>
      </c>
      <c r="D108" s="20" t="str">
        <f t="shared" si="214"/>
        <v>BMSC8</v>
      </c>
      <c r="E108" s="21" t="str">
        <f>IF(ISERROR(VLOOKUP($D108,SITES!$A:$E,2,FALSE)),"",VLOOKUP($D108,SITES!$A:$E,2,FALSE))</f>
        <v>Baeria Rocks North Island Northside</v>
      </c>
      <c r="F108" s="19">
        <f>IF(ISERROR(VLOOKUP($D108,SITES!$A:$E,3,FALSE)),"",VLOOKUP($D108,SITES!$A:$E,3,FALSE))</f>
        <v>48.955081939697202</v>
      </c>
      <c r="G108" s="22">
        <f>IF(ISERROR(VLOOKUP($D108,SITES!$A:$E,4,FALSE)),"",VLOOKUP($D108,SITES!$A:$E,4,FALSE))</f>
        <v>-125.15337371826099</v>
      </c>
      <c r="H108" s="23" t="str">
        <f t="shared" ref="H108:N108" si="215">IF(ISERROR(H107),IF(ISERROR(H106),IF(ISERROR(H105),"BLANK",H105),H106),H107)</f>
        <v>4/22/2024</v>
      </c>
      <c r="I108" s="20">
        <f t="shared" si="215"/>
        <v>1</v>
      </c>
      <c r="J108" s="20" t="str">
        <f t="shared" si="215"/>
        <v>NW</v>
      </c>
      <c r="K108" s="27">
        <f t="shared" si="215"/>
        <v>0.4236111111111111</v>
      </c>
      <c r="L108" s="20">
        <f t="shared" si="215"/>
        <v>7.5</v>
      </c>
      <c r="M108" s="20">
        <f t="shared" si="215"/>
        <v>2</v>
      </c>
      <c r="N108" s="20">
        <f t="shared" si="215"/>
        <v>2</v>
      </c>
      <c r="O108" s="20">
        <v>40</v>
      </c>
      <c r="P108" s="20" t="s">
        <v>39</v>
      </c>
      <c r="Q108" s="21" t="str">
        <f>IF($M108=1,IF(ISERROR(VLOOKUP($P108,'M1'!$A:$C,Q$2,FALSE)),"NOT PRESENT",VLOOKUP($P108,'M1'!$A:$C,Q$2,FALSE)),IF($M108=2,IF(ISERROR(VLOOKUP(DATA!$P108,'M2'!$A:$C,Q$2,FALSE)),"NOT PRESENT",VLOOKUP(DATA!$P108,'M2'!$A:$C,Q$2,FALSE)),IF($M108=0,IF(ISERROR(VLOOKUP($P108,'M1'!$A:$C,Q$2,FALSE)),IF(ISERROR(VLOOKUP(DATA!$P108,'M2'!$A:$C,Q$2,FALSE)),"NOT PRESENT",VLOOKUP(DATA!$P108,'M2'!$A:$C,Q$2,FALSE)),VLOOKUP($P108,'M1'!$A:$C,Q$2,FALSE)),"SPECIFY METHOD")))</f>
        <v>Dermasterias imbricata</v>
      </c>
      <c r="R108" s="21" t="str">
        <f>IF($M108=1,IF(ISERROR(VLOOKUP($P108,'M1'!$A:$C,R$2,FALSE)),"NOT PRESENT",VLOOKUP($P108,'M1'!$A:$C,R$2,FALSE)),IF($M108=2,IF(ISERROR(VLOOKUP(DATA!$P108,'M2'!$A:$C,R$2,FALSE)),"NOT PRESENT",VLOOKUP(DATA!$P108,'M2'!$A:$C,R$2,FALSE)),IF($M108=0,IF(ISERROR(VLOOKUP($P108,'M1'!$A:$C,R$2,FALSE)),IF(ISERROR(VLOOKUP(DATA!$P108,'M2'!$A:$C,R$2,FALSE)),"NOT PRESENT",VLOOKUP(DATA!$P108,'M2'!$A:$C,R$2,FALSE)),VLOOKUP($P108,'M1'!$A:$C,R$2,FALSE)),"SPECIFY METHOD")))</f>
        <v>Leather star</v>
      </c>
      <c r="S108" s="28">
        <f t="shared" si="3"/>
        <v>0</v>
      </c>
      <c r="T108" s="20">
        <v>0</v>
      </c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</row>
    <row r="109" spans="1:68" ht="12.75" customHeight="1">
      <c r="A109" s="21">
        <f t="shared" si="2"/>
        <v>107</v>
      </c>
      <c r="B109" s="20" t="str">
        <f t="shared" ref="B109:D109" si="216">IF(ISERROR(B108),IF(ISERROR(B107),IF(ISERROR(B106),"BLANK",B106),B107),B108)</f>
        <v>Tom Bird</v>
      </c>
      <c r="C109" s="20" t="str">
        <f t="shared" si="216"/>
        <v>Jasmin Schuster</v>
      </c>
      <c r="D109" s="20" t="str">
        <f t="shared" si="216"/>
        <v>BMSC8</v>
      </c>
      <c r="E109" s="21" t="str">
        <f>IF(ISERROR(VLOOKUP($D109,SITES!$A:$E,2,FALSE)),"",VLOOKUP($D109,SITES!$A:$E,2,FALSE))</f>
        <v>Baeria Rocks North Island Northside</v>
      </c>
      <c r="F109" s="19">
        <f>IF(ISERROR(VLOOKUP($D109,SITES!$A:$E,3,FALSE)),"",VLOOKUP($D109,SITES!$A:$E,3,FALSE))</f>
        <v>48.955081939697202</v>
      </c>
      <c r="G109" s="22">
        <f>IF(ISERROR(VLOOKUP($D109,SITES!$A:$E,4,FALSE)),"",VLOOKUP($D109,SITES!$A:$E,4,FALSE))</f>
        <v>-125.15337371826099</v>
      </c>
      <c r="H109" s="23" t="str">
        <f t="shared" ref="H109:N109" si="217">IF(ISERROR(H108),IF(ISERROR(H107),IF(ISERROR(H106),"BLANK",H106),H107),H108)</f>
        <v>4/22/2024</v>
      </c>
      <c r="I109" s="20">
        <f t="shared" si="217"/>
        <v>1</v>
      </c>
      <c r="J109" s="20" t="str">
        <f t="shared" si="217"/>
        <v>NW</v>
      </c>
      <c r="K109" s="27">
        <f t="shared" si="217"/>
        <v>0.4236111111111111</v>
      </c>
      <c r="L109" s="20">
        <f t="shared" si="217"/>
        <v>7.5</v>
      </c>
      <c r="M109" s="20">
        <f t="shared" si="217"/>
        <v>2</v>
      </c>
      <c r="N109" s="20">
        <f t="shared" si="217"/>
        <v>2</v>
      </c>
      <c r="O109" s="20">
        <v>40</v>
      </c>
      <c r="P109" s="20" t="s">
        <v>42</v>
      </c>
      <c r="Q109" s="21" t="str">
        <f>IF($M109=1,IF(ISERROR(VLOOKUP($P109,'M1'!$A:$C,Q$2,FALSE)),"NOT PRESENT",VLOOKUP($P109,'M1'!$A:$C,Q$2,FALSE)),IF($M109=2,IF(ISERROR(VLOOKUP(DATA!$P109,'M2'!$A:$C,Q$2,FALSE)),"NOT PRESENT",VLOOKUP(DATA!$P109,'M2'!$A:$C,Q$2,FALSE)),IF($M109=0,IF(ISERROR(VLOOKUP($P109,'M1'!$A:$C,Q$2,FALSE)),IF(ISERROR(VLOOKUP(DATA!$P109,'M2'!$A:$C,Q$2,FALSE)),"NOT PRESENT",VLOOKUP(DATA!$P109,'M2'!$A:$C,Q$2,FALSE)),VLOOKUP($P109,'M1'!$A:$C,Q$2,FALSE)),"SPECIFY METHOD")))</f>
        <v>Orthasterias koehleri</v>
      </c>
      <c r="R109" s="21" t="str">
        <f>IF($M109=1,IF(ISERROR(VLOOKUP($P109,'M1'!$A:$C,R$2,FALSE)),"NOT PRESENT",VLOOKUP($P109,'M1'!$A:$C,R$2,FALSE)),IF($M109=2,IF(ISERROR(VLOOKUP(DATA!$P109,'M2'!$A:$C,R$2,FALSE)),"NOT PRESENT",VLOOKUP(DATA!$P109,'M2'!$A:$C,R$2,FALSE)),IF($M109=0,IF(ISERROR(VLOOKUP($P109,'M1'!$A:$C,R$2,FALSE)),IF(ISERROR(VLOOKUP(DATA!$P109,'M2'!$A:$C,R$2,FALSE)),"NOT PRESENT",VLOOKUP(DATA!$P109,'M2'!$A:$C,R$2,FALSE)),VLOOKUP($P109,'M1'!$A:$C,R$2,FALSE)),"SPECIFY METHOD")))</f>
        <v>Rainbow star</v>
      </c>
      <c r="S109" s="28">
        <f t="shared" si="3"/>
        <v>1</v>
      </c>
      <c r="T109" s="20">
        <v>0</v>
      </c>
      <c r="U109" s="20"/>
      <c r="V109" s="20">
        <v>1</v>
      </c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</row>
    <row r="110" spans="1:68" ht="12.75" customHeight="1">
      <c r="A110" s="21">
        <f t="shared" si="2"/>
        <v>108</v>
      </c>
      <c r="B110" s="20" t="str">
        <f t="shared" ref="B110:D110" si="218">IF(ISERROR(B109),IF(ISERROR(B108),IF(ISERROR(B107),"BLANK",B107),B108),B109)</f>
        <v>Tom Bird</v>
      </c>
      <c r="C110" s="20" t="str">
        <f t="shared" si="218"/>
        <v>Jasmin Schuster</v>
      </c>
      <c r="D110" s="20" t="str">
        <f t="shared" si="218"/>
        <v>BMSC8</v>
      </c>
      <c r="E110" s="21" t="str">
        <f>IF(ISERROR(VLOOKUP($D110,SITES!$A:$E,2,FALSE)),"",VLOOKUP($D110,SITES!$A:$E,2,FALSE))</f>
        <v>Baeria Rocks North Island Northside</v>
      </c>
      <c r="F110" s="19">
        <f>IF(ISERROR(VLOOKUP($D110,SITES!$A:$E,3,FALSE)),"",VLOOKUP($D110,SITES!$A:$E,3,FALSE))</f>
        <v>48.955081939697202</v>
      </c>
      <c r="G110" s="22">
        <f>IF(ISERROR(VLOOKUP($D110,SITES!$A:$E,4,FALSE)),"",VLOOKUP($D110,SITES!$A:$E,4,FALSE))</f>
        <v>-125.15337371826099</v>
      </c>
      <c r="H110" s="23" t="str">
        <f t="shared" ref="H110:N110" si="219">IF(ISERROR(H109),IF(ISERROR(H108),IF(ISERROR(H107),"BLANK",H107),H108),H109)</f>
        <v>4/22/2024</v>
      </c>
      <c r="I110" s="20">
        <f t="shared" si="219"/>
        <v>1</v>
      </c>
      <c r="J110" s="20" t="str">
        <f t="shared" si="219"/>
        <v>NW</v>
      </c>
      <c r="K110" s="27">
        <f t="shared" si="219"/>
        <v>0.4236111111111111</v>
      </c>
      <c r="L110" s="20">
        <f t="shared" si="219"/>
        <v>7.5</v>
      </c>
      <c r="M110" s="20">
        <f t="shared" si="219"/>
        <v>2</v>
      </c>
      <c r="N110" s="20">
        <f t="shared" si="219"/>
        <v>2</v>
      </c>
      <c r="O110" s="20">
        <v>24</v>
      </c>
      <c r="P110" s="20" t="s">
        <v>40</v>
      </c>
      <c r="Q110" s="21" t="str">
        <f>IF($M110=1,IF(ISERROR(VLOOKUP($P110,'M1'!$A:$C,Q$2,FALSE)),"NOT PRESENT",VLOOKUP($P110,'M1'!$A:$C,Q$2,FALSE)),IF($M110=2,IF(ISERROR(VLOOKUP(DATA!$P110,'M2'!$A:$C,Q$2,FALSE)),"NOT PRESENT",VLOOKUP(DATA!$P110,'M2'!$A:$C,Q$2,FALSE)),IF($M110=0,IF(ISERROR(VLOOKUP($P110,'M1'!$A:$C,Q$2,FALSE)),IF(ISERROR(VLOOKUP(DATA!$P110,'M2'!$A:$C,Q$2,FALSE)),"NOT PRESENT",VLOOKUP(DATA!$P110,'M2'!$A:$C,Q$2,FALSE)),VLOOKUP($P110,'M1'!$A:$C,Q$2,FALSE)),"SPECIFY METHOD")))</f>
        <v>Patiria miniata</v>
      </c>
      <c r="R110" s="21" t="str">
        <f>IF($M110=1,IF(ISERROR(VLOOKUP($P110,'M1'!$A:$C,R$2,FALSE)),"NOT PRESENT",VLOOKUP($P110,'M1'!$A:$C,R$2,FALSE)),IF($M110=2,IF(ISERROR(VLOOKUP(DATA!$P110,'M2'!$A:$C,R$2,FALSE)),"NOT PRESENT",VLOOKUP(DATA!$P110,'M2'!$A:$C,R$2,FALSE)),IF($M110=0,IF(ISERROR(VLOOKUP($P110,'M1'!$A:$C,R$2,FALSE)),IF(ISERROR(VLOOKUP(DATA!$P110,'M2'!$A:$C,R$2,FALSE)),"NOT PRESENT",VLOOKUP(DATA!$P110,'M2'!$A:$C,R$2,FALSE)),VLOOKUP($P110,'M1'!$A:$C,R$2,FALSE)),"SPECIFY METHOD")))</f>
        <v>Bat star</v>
      </c>
      <c r="S110" s="28">
        <f t="shared" si="3"/>
        <v>1</v>
      </c>
      <c r="T110" s="20">
        <v>0</v>
      </c>
      <c r="U110" s="20"/>
      <c r="V110" s="20"/>
      <c r="W110" s="20"/>
      <c r="X110" s="20">
        <v>1</v>
      </c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</row>
    <row r="111" spans="1:68" ht="12.75" customHeight="1">
      <c r="A111" s="21">
        <f t="shared" si="2"/>
        <v>109</v>
      </c>
      <c r="B111" s="20" t="str">
        <f t="shared" ref="B111:D111" si="220">IF(ISERROR(B110),IF(ISERROR(B109),IF(ISERROR(B108),"BLANK",B108),B109),B110)</f>
        <v>Tom Bird</v>
      </c>
      <c r="C111" s="20" t="str">
        <f t="shared" si="220"/>
        <v>Jasmin Schuster</v>
      </c>
      <c r="D111" s="20" t="str">
        <f t="shared" si="220"/>
        <v>BMSC8</v>
      </c>
      <c r="E111" s="21" t="str">
        <f>IF(ISERROR(VLOOKUP($D111,SITES!$A:$E,2,FALSE)),"",VLOOKUP($D111,SITES!$A:$E,2,FALSE))</f>
        <v>Baeria Rocks North Island Northside</v>
      </c>
      <c r="F111" s="19">
        <f>IF(ISERROR(VLOOKUP($D111,SITES!$A:$E,3,FALSE)),"",VLOOKUP($D111,SITES!$A:$E,3,FALSE))</f>
        <v>48.955081939697202</v>
      </c>
      <c r="G111" s="22">
        <f>IF(ISERROR(VLOOKUP($D111,SITES!$A:$E,4,FALSE)),"",VLOOKUP($D111,SITES!$A:$E,4,FALSE))</f>
        <v>-125.15337371826099</v>
      </c>
      <c r="H111" s="23" t="str">
        <f t="shared" ref="H111:N111" si="221">IF(ISERROR(H110),IF(ISERROR(H109),IF(ISERROR(H108),"BLANK",H108),H109),H110)</f>
        <v>4/22/2024</v>
      </c>
      <c r="I111" s="20">
        <f t="shared" si="221"/>
        <v>1</v>
      </c>
      <c r="J111" s="20" t="str">
        <f t="shared" si="221"/>
        <v>NW</v>
      </c>
      <c r="K111" s="27">
        <f t="shared" si="221"/>
        <v>0.4236111111111111</v>
      </c>
      <c r="L111" s="20">
        <f t="shared" si="221"/>
        <v>7.5</v>
      </c>
      <c r="M111" s="20">
        <f t="shared" si="221"/>
        <v>2</v>
      </c>
      <c r="N111" s="20">
        <f t="shared" si="221"/>
        <v>2</v>
      </c>
      <c r="O111" s="20">
        <v>24</v>
      </c>
      <c r="P111" s="20" t="s">
        <v>41</v>
      </c>
      <c r="Q111" s="21" t="str">
        <f>IF($M111=1,IF(ISERROR(VLOOKUP($P111,'M1'!$A:$C,Q$2,FALSE)),"NOT PRESENT",VLOOKUP($P111,'M1'!$A:$C,Q$2,FALSE)),IF($M111=2,IF(ISERROR(VLOOKUP(DATA!$P111,'M2'!$A:$C,Q$2,FALSE)),"NOT PRESENT",VLOOKUP(DATA!$P111,'M2'!$A:$C,Q$2,FALSE)),IF($M111=0,IF(ISERROR(VLOOKUP($P111,'M1'!$A:$C,Q$2,FALSE)),IF(ISERROR(VLOOKUP(DATA!$P111,'M2'!$A:$C,Q$2,FALSE)),"NOT PRESENT",VLOOKUP(DATA!$P111,'M2'!$A:$C,Q$2,FALSE)),VLOOKUP($P111,'M1'!$A:$C,Q$2,FALSE)),"SPECIFY METHOD")))</f>
        <v>Mesocentrotus franciscanus</v>
      </c>
      <c r="R111" s="21" t="str">
        <f>IF($M111=1,IF(ISERROR(VLOOKUP($P111,'M1'!$A:$C,R$2,FALSE)),"NOT PRESENT",VLOOKUP($P111,'M1'!$A:$C,R$2,FALSE)),IF($M111=2,IF(ISERROR(VLOOKUP(DATA!$P111,'M2'!$A:$C,R$2,FALSE)),"NOT PRESENT",VLOOKUP(DATA!$P111,'M2'!$A:$C,R$2,FALSE)),IF($M111=0,IF(ISERROR(VLOOKUP($P111,'M1'!$A:$C,R$2,FALSE)),IF(ISERROR(VLOOKUP(DATA!$P111,'M2'!$A:$C,R$2,FALSE)),"NOT PRESENT",VLOOKUP(DATA!$P111,'M2'!$A:$C,R$2,FALSE)),VLOOKUP($P111,'M1'!$A:$C,R$2,FALSE)),"SPECIFY METHOD")))</f>
        <v>Red sea urchin</v>
      </c>
      <c r="S111" s="28">
        <f t="shared" si="3"/>
        <v>6</v>
      </c>
      <c r="T111" s="20">
        <v>0</v>
      </c>
      <c r="U111" s="20"/>
      <c r="V111" s="20">
        <v>3</v>
      </c>
      <c r="W111" s="20">
        <v>3</v>
      </c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</row>
    <row r="112" spans="1:68" ht="12.75" customHeight="1">
      <c r="A112" s="21">
        <f t="shared" si="2"/>
        <v>110</v>
      </c>
      <c r="B112" s="20" t="str">
        <f t="shared" ref="B112:D112" si="222">IF(ISERROR(B111),IF(ISERROR(B110),IF(ISERROR(B109),"BLANK",B109),B110),B111)</f>
        <v>Tom Bird</v>
      </c>
      <c r="C112" s="20" t="str">
        <f t="shared" si="222"/>
        <v>Jasmin Schuster</v>
      </c>
      <c r="D112" s="20" t="str">
        <f t="shared" si="222"/>
        <v>BMSC8</v>
      </c>
      <c r="E112" s="21" t="str">
        <f>IF(ISERROR(VLOOKUP($D112,SITES!$A:$E,2,FALSE)),"",VLOOKUP($D112,SITES!$A:$E,2,FALSE))</f>
        <v>Baeria Rocks North Island Northside</v>
      </c>
      <c r="F112" s="19">
        <f>IF(ISERROR(VLOOKUP($D112,SITES!$A:$E,3,FALSE)),"",VLOOKUP($D112,SITES!$A:$E,3,FALSE))</f>
        <v>48.955081939697202</v>
      </c>
      <c r="G112" s="22">
        <f>IF(ISERROR(VLOOKUP($D112,SITES!$A:$E,4,FALSE)),"",VLOOKUP($D112,SITES!$A:$E,4,FALSE))</f>
        <v>-125.15337371826099</v>
      </c>
      <c r="H112" s="23" t="str">
        <f t="shared" ref="H112:N112" si="223">IF(ISERROR(H111),IF(ISERROR(H110),IF(ISERROR(H109),"BLANK",H109),H110),H111)</f>
        <v>4/22/2024</v>
      </c>
      <c r="I112" s="20">
        <f t="shared" si="223"/>
        <v>1</v>
      </c>
      <c r="J112" s="20" t="str">
        <f t="shared" si="223"/>
        <v>NW</v>
      </c>
      <c r="K112" s="27">
        <f t="shared" si="223"/>
        <v>0.4236111111111111</v>
      </c>
      <c r="L112" s="20">
        <f t="shared" si="223"/>
        <v>7.5</v>
      </c>
      <c r="M112" s="20">
        <f t="shared" si="223"/>
        <v>2</v>
      </c>
      <c r="N112" s="20">
        <f t="shared" si="223"/>
        <v>2</v>
      </c>
      <c r="O112" s="20">
        <v>8</v>
      </c>
      <c r="P112" s="20" t="s">
        <v>41</v>
      </c>
      <c r="Q112" s="21" t="str">
        <f>IF($M112=1,IF(ISERROR(VLOOKUP($P112,'M1'!$A:$C,Q$2,FALSE)),"NOT PRESENT",VLOOKUP($P112,'M1'!$A:$C,Q$2,FALSE)),IF($M112=2,IF(ISERROR(VLOOKUP(DATA!$P112,'M2'!$A:$C,Q$2,FALSE)),"NOT PRESENT",VLOOKUP(DATA!$P112,'M2'!$A:$C,Q$2,FALSE)),IF($M112=0,IF(ISERROR(VLOOKUP($P112,'M1'!$A:$C,Q$2,FALSE)),IF(ISERROR(VLOOKUP(DATA!$P112,'M2'!$A:$C,Q$2,FALSE)),"NOT PRESENT",VLOOKUP(DATA!$P112,'M2'!$A:$C,Q$2,FALSE)),VLOOKUP($P112,'M1'!$A:$C,Q$2,FALSE)),"SPECIFY METHOD")))</f>
        <v>Mesocentrotus franciscanus</v>
      </c>
      <c r="R112" s="21" t="str">
        <f>IF($M112=1,IF(ISERROR(VLOOKUP($P112,'M1'!$A:$C,R$2,FALSE)),"NOT PRESENT",VLOOKUP($P112,'M1'!$A:$C,R$2,FALSE)),IF($M112=2,IF(ISERROR(VLOOKUP(DATA!$P112,'M2'!$A:$C,R$2,FALSE)),"NOT PRESENT",VLOOKUP(DATA!$P112,'M2'!$A:$C,R$2,FALSE)),IF($M112=0,IF(ISERROR(VLOOKUP($P112,'M1'!$A:$C,R$2,FALSE)),IF(ISERROR(VLOOKUP(DATA!$P112,'M2'!$A:$C,R$2,FALSE)),"NOT PRESENT",VLOOKUP(DATA!$P112,'M2'!$A:$C,R$2,FALSE)),VLOOKUP($P112,'M1'!$A:$C,R$2,FALSE)),"SPECIFY METHOD")))</f>
        <v>Red sea urchin</v>
      </c>
      <c r="S112" s="28">
        <f t="shared" si="3"/>
        <v>8</v>
      </c>
      <c r="T112" s="20">
        <v>0</v>
      </c>
      <c r="U112" s="20">
        <v>1</v>
      </c>
      <c r="V112" s="20">
        <v>5</v>
      </c>
      <c r="W112" s="20">
        <v>2</v>
      </c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</row>
    <row r="113" spans="1:68" ht="12.75" customHeight="1">
      <c r="A113" s="21">
        <f t="shared" si="2"/>
        <v>111</v>
      </c>
      <c r="B113" s="20" t="str">
        <f t="shared" ref="B113:D113" si="224">IF(ISERROR(B112),IF(ISERROR(B111),IF(ISERROR(B110),"BLANK",B110),B111),B112)</f>
        <v>Tom Bird</v>
      </c>
      <c r="C113" s="20" t="str">
        <f t="shared" si="224"/>
        <v>Jasmin Schuster</v>
      </c>
      <c r="D113" s="20" t="str">
        <f t="shared" si="224"/>
        <v>BMSC8</v>
      </c>
      <c r="E113" s="21" t="str">
        <f>IF(ISERROR(VLOOKUP($D113,SITES!$A:$E,2,FALSE)),"",VLOOKUP($D113,SITES!$A:$E,2,FALSE))</f>
        <v>Baeria Rocks North Island Northside</v>
      </c>
      <c r="F113" s="19">
        <f>IF(ISERROR(VLOOKUP($D113,SITES!$A:$E,3,FALSE)),"",VLOOKUP($D113,SITES!$A:$E,3,FALSE))</f>
        <v>48.955081939697202</v>
      </c>
      <c r="G113" s="22">
        <f>IF(ISERROR(VLOOKUP($D113,SITES!$A:$E,4,FALSE)),"",VLOOKUP($D113,SITES!$A:$E,4,FALSE))</f>
        <v>-125.15337371826099</v>
      </c>
      <c r="H113" s="23" t="str">
        <f t="shared" ref="H113:N113" si="225">IF(ISERROR(H112),IF(ISERROR(H111),IF(ISERROR(H110),"BLANK",H110),H111),H112)</f>
        <v>4/22/2024</v>
      </c>
      <c r="I113" s="20">
        <f t="shared" si="225"/>
        <v>1</v>
      </c>
      <c r="J113" s="20" t="str">
        <f t="shared" si="225"/>
        <v>NW</v>
      </c>
      <c r="K113" s="27">
        <f t="shared" si="225"/>
        <v>0.4236111111111111</v>
      </c>
      <c r="L113" s="20">
        <f t="shared" si="225"/>
        <v>7.5</v>
      </c>
      <c r="M113" s="20">
        <f t="shared" si="225"/>
        <v>2</v>
      </c>
      <c r="N113" s="20">
        <f t="shared" si="225"/>
        <v>2</v>
      </c>
      <c r="O113" s="20">
        <v>8</v>
      </c>
      <c r="P113" s="20" t="s">
        <v>39</v>
      </c>
      <c r="Q113" s="21" t="str">
        <f>IF($M113=1,IF(ISERROR(VLOOKUP($P113,'M1'!$A:$C,Q$2,FALSE)),"NOT PRESENT",VLOOKUP($P113,'M1'!$A:$C,Q$2,FALSE)),IF($M113=2,IF(ISERROR(VLOOKUP(DATA!$P113,'M2'!$A:$C,Q$2,FALSE)),"NOT PRESENT",VLOOKUP(DATA!$P113,'M2'!$A:$C,Q$2,FALSE)),IF($M113=0,IF(ISERROR(VLOOKUP($P113,'M1'!$A:$C,Q$2,FALSE)),IF(ISERROR(VLOOKUP(DATA!$P113,'M2'!$A:$C,Q$2,FALSE)),"NOT PRESENT",VLOOKUP(DATA!$P113,'M2'!$A:$C,Q$2,FALSE)),VLOOKUP($P113,'M1'!$A:$C,Q$2,FALSE)),"SPECIFY METHOD")))</f>
        <v>Dermasterias imbricata</v>
      </c>
      <c r="R113" s="21" t="str">
        <f>IF($M113=1,IF(ISERROR(VLOOKUP($P113,'M1'!$A:$C,R$2,FALSE)),"NOT PRESENT",VLOOKUP($P113,'M1'!$A:$C,R$2,FALSE)),IF($M113=2,IF(ISERROR(VLOOKUP(DATA!$P113,'M2'!$A:$C,R$2,FALSE)),"NOT PRESENT",VLOOKUP(DATA!$P113,'M2'!$A:$C,R$2,FALSE)),IF($M113=0,IF(ISERROR(VLOOKUP($P113,'M1'!$A:$C,R$2,FALSE)),IF(ISERROR(VLOOKUP(DATA!$P113,'M2'!$A:$C,R$2,FALSE)),"NOT PRESENT",VLOOKUP(DATA!$P113,'M2'!$A:$C,R$2,FALSE)),VLOOKUP($P113,'M1'!$A:$C,R$2,FALSE)),"SPECIFY METHOD")))</f>
        <v>Leather star</v>
      </c>
      <c r="S113" s="28">
        <f t="shared" si="3"/>
        <v>1</v>
      </c>
      <c r="T113" s="20">
        <v>0</v>
      </c>
      <c r="U113" s="20"/>
      <c r="V113" s="20"/>
      <c r="W113" s="20">
        <v>1</v>
      </c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</row>
    <row r="114" spans="1:68" ht="12.75" customHeight="1">
      <c r="A114" s="21">
        <f t="shared" si="2"/>
        <v>112</v>
      </c>
      <c r="B114" s="20" t="str">
        <f t="shared" ref="B114:C114" si="226">IF(ISERROR(B113),IF(ISERROR(B112),IF(ISERROR(B111),"BLANK",B111),B112),B113)</f>
        <v>Tom Bird</v>
      </c>
      <c r="C114" s="20" t="str">
        <f t="shared" si="226"/>
        <v>Jasmin Schuster</v>
      </c>
      <c r="D114" s="20" t="s">
        <v>32</v>
      </c>
      <c r="E114" s="21" t="str">
        <f>IF(ISERROR(VLOOKUP($D114,SITES!$A:$E,2,FALSE)),"",VLOOKUP($D114,SITES!$A:$E,2,FALSE))</f>
        <v>Baeria Rocks South Island</v>
      </c>
      <c r="F114" s="19">
        <f>IF(ISERROR(VLOOKUP($D114,SITES!$A:$E,3,FALSE)),"",VLOOKUP($D114,SITES!$A:$E,3,FALSE))</f>
        <v>48.950233459472599</v>
      </c>
      <c r="G114" s="22">
        <f>IF(ISERROR(VLOOKUP($D114,SITES!$A:$E,4,FALSE)),"",VLOOKUP($D114,SITES!$A:$E,4,FALSE))</f>
        <v>-125.155548095703</v>
      </c>
      <c r="H114" s="23" t="str">
        <f t="shared" ref="H114:H119" si="227">IF(ISERROR(H113),IF(ISERROR(H112),IF(ISERROR(H111),"BLANK",H111),H112),H113)</f>
        <v>4/22/2024</v>
      </c>
      <c r="I114" s="20">
        <v>1.5</v>
      </c>
      <c r="J114" s="20" t="s">
        <v>33</v>
      </c>
      <c r="K114" s="27">
        <v>0.52986111111111112</v>
      </c>
      <c r="L114" s="20">
        <v>8</v>
      </c>
      <c r="M114" s="20">
        <f t="shared" ref="M114:N114" si="228">IF(ISERROR(M113),IF(ISERROR(M112),IF(ISERROR(M111),"BLANK",M111),M112),M113)</f>
        <v>2</v>
      </c>
      <c r="N114" s="20">
        <f t="shared" si="228"/>
        <v>2</v>
      </c>
      <c r="O114" s="20">
        <v>40</v>
      </c>
      <c r="P114" s="20" t="s">
        <v>41</v>
      </c>
      <c r="Q114" s="21" t="str">
        <f>IF($M114=1,IF(ISERROR(VLOOKUP($P114,'M1'!$A:$C,Q$2,FALSE)),"NOT PRESENT",VLOOKUP($P114,'M1'!$A:$C,Q$2,FALSE)),IF($M114=2,IF(ISERROR(VLOOKUP(DATA!$P114,'M2'!$A:$C,Q$2,FALSE)),"NOT PRESENT",VLOOKUP(DATA!$P114,'M2'!$A:$C,Q$2,FALSE)),IF($M114=0,IF(ISERROR(VLOOKUP($P114,'M1'!$A:$C,Q$2,FALSE)),IF(ISERROR(VLOOKUP(DATA!$P114,'M2'!$A:$C,Q$2,FALSE)),"NOT PRESENT",VLOOKUP(DATA!$P114,'M2'!$A:$C,Q$2,FALSE)),VLOOKUP($P114,'M1'!$A:$C,Q$2,FALSE)),"SPECIFY METHOD")))</f>
        <v>Mesocentrotus franciscanus</v>
      </c>
      <c r="R114" s="21" t="str">
        <f>IF($M114=1,IF(ISERROR(VLOOKUP($P114,'M1'!$A:$C,R$2,FALSE)),"NOT PRESENT",VLOOKUP($P114,'M1'!$A:$C,R$2,FALSE)),IF($M114=2,IF(ISERROR(VLOOKUP(DATA!$P114,'M2'!$A:$C,R$2,FALSE)),"NOT PRESENT",VLOOKUP(DATA!$P114,'M2'!$A:$C,R$2,FALSE)),IF($M114=0,IF(ISERROR(VLOOKUP($P114,'M1'!$A:$C,R$2,FALSE)),IF(ISERROR(VLOOKUP(DATA!$P114,'M2'!$A:$C,R$2,FALSE)),"NOT PRESENT",VLOOKUP(DATA!$P114,'M2'!$A:$C,R$2,FALSE)),VLOOKUP($P114,'M1'!$A:$C,R$2,FALSE)),"SPECIFY METHOD")))</f>
        <v>Red sea urchin</v>
      </c>
      <c r="S114" s="28">
        <f t="shared" si="3"/>
        <v>10</v>
      </c>
      <c r="T114" s="20">
        <v>0</v>
      </c>
      <c r="U114" s="20"/>
      <c r="V114" s="20">
        <v>2</v>
      </c>
      <c r="W114" s="20">
        <v>8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</row>
    <row r="115" spans="1:68" ht="12.75" customHeight="1">
      <c r="A115" s="21">
        <f t="shared" si="2"/>
        <v>113</v>
      </c>
      <c r="B115" s="20" t="str">
        <f t="shared" ref="B115:D115" si="229">IF(ISERROR(B114),IF(ISERROR(B113),IF(ISERROR(B112),"BLANK",B112),B113),B114)</f>
        <v>Tom Bird</v>
      </c>
      <c r="C115" s="20" t="str">
        <f t="shared" si="229"/>
        <v>Jasmin Schuster</v>
      </c>
      <c r="D115" s="20" t="str">
        <f t="shared" si="229"/>
        <v>BMSC6</v>
      </c>
      <c r="E115" s="21" t="str">
        <f>IF(ISERROR(VLOOKUP($D115,SITES!$A:$E,2,FALSE)),"",VLOOKUP($D115,SITES!$A:$E,2,FALSE))</f>
        <v>Baeria Rocks South Island</v>
      </c>
      <c r="F115" s="19">
        <f>IF(ISERROR(VLOOKUP($D115,SITES!$A:$E,3,FALSE)),"",VLOOKUP($D115,SITES!$A:$E,3,FALSE))</f>
        <v>48.950233459472599</v>
      </c>
      <c r="G115" s="22">
        <f>IF(ISERROR(VLOOKUP($D115,SITES!$A:$E,4,FALSE)),"",VLOOKUP($D115,SITES!$A:$E,4,FALSE))</f>
        <v>-125.155548095703</v>
      </c>
      <c r="H115" s="23" t="str">
        <f t="shared" si="227"/>
        <v>4/22/2024</v>
      </c>
      <c r="I115" s="20">
        <f t="shared" ref="I115:N115" si="230">IF(ISERROR(I114),IF(ISERROR(I113),IF(ISERROR(I112),"BLANK",I112),I113),I114)</f>
        <v>1.5</v>
      </c>
      <c r="J115" s="20" t="str">
        <f t="shared" si="230"/>
        <v>SW</v>
      </c>
      <c r="K115" s="27">
        <f t="shared" si="230"/>
        <v>0.52986111111111112</v>
      </c>
      <c r="L115" s="20">
        <f t="shared" si="230"/>
        <v>8</v>
      </c>
      <c r="M115" s="20">
        <f t="shared" si="230"/>
        <v>2</v>
      </c>
      <c r="N115" s="20">
        <f t="shared" si="230"/>
        <v>2</v>
      </c>
      <c r="O115" s="20">
        <v>40</v>
      </c>
      <c r="P115" s="20" t="s">
        <v>40</v>
      </c>
      <c r="Q115" s="21" t="str">
        <f>IF($M115=1,IF(ISERROR(VLOOKUP($P115,'M1'!$A:$C,Q$2,FALSE)),"NOT PRESENT",VLOOKUP($P115,'M1'!$A:$C,Q$2,FALSE)),IF($M115=2,IF(ISERROR(VLOOKUP(DATA!$P115,'M2'!$A:$C,Q$2,FALSE)),"NOT PRESENT",VLOOKUP(DATA!$P115,'M2'!$A:$C,Q$2,FALSE)),IF($M115=0,IF(ISERROR(VLOOKUP($P115,'M1'!$A:$C,Q$2,FALSE)),IF(ISERROR(VLOOKUP(DATA!$P115,'M2'!$A:$C,Q$2,FALSE)),"NOT PRESENT",VLOOKUP(DATA!$P115,'M2'!$A:$C,Q$2,FALSE)),VLOOKUP($P115,'M1'!$A:$C,Q$2,FALSE)),"SPECIFY METHOD")))</f>
        <v>Patiria miniata</v>
      </c>
      <c r="R115" s="21" t="str">
        <f>IF($M115=1,IF(ISERROR(VLOOKUP($P115,'M1'!$A:$C,R$2,FALSE)),"NOT PRESENT",VLOOKUP($P115,'M1'!$A:$C,R$2,FALSE)),IF($M115=2,IF(ISERROR(VLOOKUP(DATA!$P115,'M2'!$A:$C,R$2,FALSE)),"NOT PRESENT",VLOOKUP(DATA!$P115,'M2'!$A:$C,R$2,FALSE)),IF($M115=0,IF(ISERROR(VLOOKUP($P115,'M1'!$A:$C,R$2,FALSE)),IF(ISERROR(VLOOKUP(DATA!$P115,'M2'!$A:$C,R$2,FALSE)),"NOT PRESENT",VLOOKUP(DATA!$P115,'M2'!$A:$C,R$2,FALSE)),VLOOKUP($P115,'M1'!$A:$C,R$2,FALSE)),"SPECIFY METHOD")))</f>
        <v>Bat star</v>
      </c>
      <c r="S115" s="28">
        <f t="shared" si="3"/>
        <v>2</v>
      </c>
      <c r="T115" s="20">
        <v>0</v>
      </c>
      <c r="U115" s="20"/>
      <c r="V115" s="20">
        <v>1</v>
      </c>
      <c r="W115" s="20">
        <v>1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</row>
    <row r="116" spans="1:68" ht="12.75" customHeight="1">
      <c r="A116" s="21">
        <f t="shared" si="2"/>
        <v>114</v>
      </c>
      <c r="B116" s="20" t="str">
        <f t="shared" ref="B116:D116" si="231">IF(ISERROR(B115),IF(ISERROR(B114),IF(ISERROR(B113),"BLANK",B113),B114),B115)</f>
        <v>Tom Bird</v>
      </c>
      <c r="C116" s="20" t="str">
        <f t="shared" si="231"/>
        <v>Jasmin Schuster</v>
      </c>
      <c r="D116" s="20" t="str">
        <f t="shared" si="231"/>
        <v>BMSC6</v>
      </c>
      <c r="E116" s="21" t="str">
        <f>IF(ISERROR(VLOOKUP($D116,SITES!$A:$E,2,FALSE)),"",VLOOKUP($D116,SITES!$A:$E,2,FALSE))</f>
        <v>Baeria Rocks South Island</v>
      </c>
      <c r="F116" s="19">
        <f>IF(ISERROR(VLOOKUP($D116,SITES!$A:$E,3,FALSE)),"",VLOOKUP($D116,SITES!$A:$E,3,FALSE))</f>
        <v>48.950233459472599</v>
      </c>
      <c r="G116" s="22">
        <f>IF(ISERROR(VLOOKUP($D116,SITES!$A:$E,4,FALSE)),"",VLOOKUP($D116,SITES!$A:$E,4,FALSE))</f>
        <v>-125.155548095703</v>
      </c>
      <c r="H116" s="23" t="str">
        <f t="shared" si="227"/>
        <v>4/22/2024</v>
      </c>
      <c r="I116" s="20">
        <f t="shared" ref="I116:N116" si="232">IF(ISERROR(I115),IF(ISERROR(I114),IF(ISERROR(I113),"BLANK",I113),I114),I115)</f>
        <v>1.5</v>
      </c>
      <c r="J116" s="20" t="str">
        <f t="shared" si="232"/>
        <v>SW</v>
      </c>
      <c r="K116" s="27">
        <f t="shared" si="232"/>
        <v>0.52986111111111112</v>
      </c>
      <c r="L116" s="20">
        <f t="shared" si="232"/>
        <v>8</v>
      </c>
      <c r="M116" s="20">
        <f t="shared" si="232"/>
        <v>2</v>
      </c>
      <c r="N116" s="20">
        <f t="shared" si="232"/>
        <v>2</v>
      </c>
      <c r="O116" s="20">
        <v>24</v>
      </c>
      <c r="P116" s="20" t="s">
        <v>41</v>
      </c>
      <c r="Q116" s="21" t="str">
        <f>IF($M116=1,IF(ISERROR(VLOOKUP($P116,'M1'!$A:$C,Q$2,FALSE)),"NOT PRESENT",VLOOKUP($P116,'M1'!$A:$C,Q$2,FALSE)),IF($M116=2,IF(ISERROR(VLOOKUP(DATA!$P116,'M2'!$A:$C,Q$2,FALSE)),"NOT PRESENT",VLOOKUP(DATA!$P116,'M2'!$A:$C,Q$2,FALSE)),IF($M116=0,IF(ISERROR(VLOOKUP($P116,'M1'!$A:$C,Q$2,FALSE)),IF(ISERROR(VLOOKUP(DATA!$P116,'M2'!$A:$C,Q$2,FALSE)),"NOT PRESENT",VLOOKUP(DATA!$P116,'M2'!$A:$C,Q$2,FALSE)),VLOOKUP($P116,'M1'!$A:$C,Q$2,FALSE)),"SPECIFY METHOD")))</f>
        <v>Mesocentrotus franciscanus</v>
      </c>
      <c r="R116" s="21" t="str">
        <f>IF($M116=1,IF(ISERROR(VLOOKUP($P116,'M1'!$A:$C,R$2,FALSE)),"NOT PRESENT",VLOOKUP($P116,'M1'!$A:$C,R$2,FALSE)),IF($M116=2,IF(ISERROR(VLOOKUP(DATA!$P116,'M2'!$A:$C,R$2,FALSE)),"NOT PRESENT",VLOOKUP(DATA!$P116,'M2'!$A:$C,R$2,FALSE)),IF($M116=0,IF(ISERROR(VLOOKUP($P116,'M1'!$A:$C,R$2,FALSE)),IF(ISERROR(VLOOKUP(DATA!$P116,'M2'!$A:$C,R$2,FALSE)),"NOT PRESENT",VLOOKUP(DATA!$P116,'M2'!$A:$C,R$2,FALSE)),VLOOKUP($P116,'M1'!$A:$C,R$2,FALSE)),"SPECIFY METHOD")))</f>
        <v>Red sea urchin</v>
      </c>
      <c r="S116" s="28">
        <f t="shared" si="3"/>
        <v>8</v>
      </c>
      <c r="T116" s="20">
        <v>0</v>
      </c>
      <c r="U116" s="20">
        <v>1</v>
      </c>
      <c r="V116" s="20">
        <v>5</v>
      </c>
      <c r="W116" s="20">
        <v>2</v>
      </c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</row>
    <row r="117" spans="1:68" ht="12.75" customHeight="1">
      <c r="A117" s="21">
        <f t="shared" si="2"/>
        <v>115</v>
      </c>
      <c r="B117" s="20" t="str">
        <f t="shared" ref="B117:D117" si="233">IF(ISERROR(B116),IF(ISERROR(B115),IF(ISERROR(B114),"BLANK",B114),B115),B116)</f>
        <v>Tom Bird</v>
      </c>
      <c r="C117" s="20" t="str">
        <f t="shared" si="233"/>
        <v>Jasmin Schuster</v>
      </c>
      <c r="D117" s="20" t="str">
        <f t="shared" si="233"/>
        <v>BMSC6</v>
      </c>
      <c r="E117" s="21" t="str">
        <f>IF(ISERROR(VLOOKUP($D117,SITES!$A:$E,2,FALSE)),"",VLOOKUP($D117,SITES!$A:$E,2,FALSE))</f>
        <v>Baeria Rocks South Island</v>
      </c>
      <c r="F117" s="19">
        <f>IF(ISERROR(VLOOKUP($D117,SITES!$A:$E,3,FALSE)),"",VLOOKUP($D117,SITES!$A:$E,3,FALSE))</f>
        <v>48.950233459472599</v>
      </c>
      <c r="G117" s="22">
        <f>IF(ISERROR(VLOOKUP($D117,SITES!$A:$E,4,FALSE)),"",VLOOKUP($D117,SITES!$A:$E,4,FALSE))</f>
        <v>-125.155548095703</v>
      </c>
      <c r="H117" s="23" t="str">
        <f t="shared" si="227"/>
        <v>4/22/2024</v>
      </c>
      <c r="I117" s="20">
        <f t="shared" ref="I117:N117" si="234">IF(ISERROR(I116),IF(ISERROR(I115),IF(ISERROR(I114),"BLANK",I114),I115),I116)</f>
        <v>1.5</v>
      </c>
      <c r="J117" s="20" t="str">
        <f t="shared" si="234"/>
        <v>SW</v>
      </c>
      <c r="K117" s="27">
        <f t="shared" si="234"/>
        <v>0.52986111111111112</v>
      </c>
      <c r="L117" s="20">
        <f t="shared" si="234"/>
        <v>8</v>
      </c>
      <c r="M117" s="20">
        <f t="shared" si="234"/>
        <v>2</v>
      </c>
      <c r="N117" s="20">
        <f t="shared" si="234"/>
        <v>2</v>
      </c>
      <c r="O117" s="20">
        <v>24</v>
      </c>
      <c r="P117" s="20" t="s">
        <v>40</v>
      </c>
      <c r="Q117" s="21" t="str">
        <f>IF($M117=1,IF(ISERROR(VLOOKUP($P117,'M1'!$A:$C,Q$2,FALSE)),"NOT PRESENT",VLOOKUP($P117,'M1'!$A:$C,Q$2,FALSE)),IF($M117=2,IF(ISERROR(VLOOKUP(DATA!$P117,'M2'!$A:$C,Q$2,FALSE)),"NOT PRESENT",VLOOKUP(DATA!$P117,'M2'!$A:$C,Q$2,FALSE)),IF($M117=0,IF(ISERROR(VLOOKUP($P117,'M1'!$A:$C,Q$2,FALSE)),IF(ISERROR(VLOOKUP(DATA!$P117,'M2'!$A:$C,Q$2,FALSE)),"NOT PRESENT",VLOOKUP(DATA!$P117,'M2'!$A:$C,Q$2,FALSE)),VLOOKUP($P117,'M1'!$A:$C,Q$2,FALSE)),"SPECIFY METHOD")))</f>
        <v>Patiria miniata</v>
      </c>
      <c r="R117" s="21" t="str">
        <f>IF($M117=1,IF(ISERROR(VLOOKUP($P117,'M1'!$A:$C,R$2,FALSE)),"NOT PRESENT",VLOOKUP($P117,'M1'!$A:$C,R$2,FALSE)),IF($M117=2,IF(ISERROR(VLOOKUP(DATA!$P117,'M2'!$A:$C,R$2,FALSE)),"NOT PRESENT",VLOOKUP(DATA!$P117,'M2'!$A:$C,R$2,FALSE)),IF($M117=0,IF(ISERROR(VLOOKUP($P117,'M1'!$A:$C,R$2,FALSE)),IF(ISERROR(VLOOKUP(DATA!$P117,'M2'!$A:$C,R$2,FALSE)),"NOT PRESENT",VLOOKUP(DATA!$P117,'M2'!$A:$C,R$2,FALSE)),VLOOKUP($P117,'M1'!$A:$C,R$2,FALSE)),"SPECIFY METHOD")))</f>
        <v>Bat star</v>
      </c>
      <c r="S117" s="28">
        <f t="shared" si="3"/>
        <v>2</v>
      </c>
      <c r="T117" s="20">
        <v>0</v>
      </c>
      <c r="U117" s="20"/>
      <c r="V117" s="20">
        <v>1</v>
      </c>
      <c r="W117" s="20">
        <v>1</v>
      </c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</row>
    <row r="118" spans="1:68" ht="12.75" customHeight="1">
      <c r="A118" s="21">
        <f t="shared" si="2"/>
        <v>116</v>
      </c>
      <c r="B118" s="20" t="str">
        <f t="shared" ref="B118:D118" si="235">IF(ISERROR(B117),IF(ISERROR(B116),IF(ISERROR(B115),"BLANK",B115),B116),B117)</f>
        <v>Tom Bird</v>
      </c>
      <c r="C118" s="20" t="str">
        <f t="shared" si="235"/>
        <v>Jasmin Schuster</v>
      </c>
      <c r="D118" s="20" t="str">
        <f t="shared" si="235"/>
        <v>BMSC6</v>
      </c>
      <c r="E118" s="21" t="str">
        <f>IF(ISERROR(VLOOKUP($D118,SITES!$A:$E,2,FALSE)),"",VLOOKUP($D118,SITES!$A:$E,2,FALSE))</f>
        <v>Baeria Rocks South Island</v>
      </c>
      <c r="F118" s="19">
        <f>IF(ISERROR(VLOOKUP($D118,SITES!$A:$E,3,FALSE)),"",VLOOKUP($D118,SITES!$A:$E,3,FALSE))</f>
        <v>48.950233459472599</v>
      </c>
      <c r="G118" s="22">
        <f>IF(ISERROR(VLOOKUP($D118,SITES!$A:$E,4,FALSE)),"",VLOOKUP($D118,SITES!$A:$E,4,FALSE))</f>
        <v>-125.155548095703</v>
      </c>
      <c r="H118" s="23" t="str">
        <f t="shared" si="227"/>
        <v>4/22/2024</v>
      </c>
      <c r="I118" s="20">
        <f t="shared" ref="I118:N118" si="236">IF(ISERROR(I117),IF(ISERROR(I116),IF(ISERROR(I115),"BLANK",I115),I116),I117)</f>
        <v>1.5</v>
      </c>
      <c r="J118" s="20" t="str">
        <f t="shared" si="236"/>
        <v>SW</v>
      </c>
      <c r="K118" s="27">
        <f t="shared" si="236"/>
        <v>0.52986111111111112</v>
      </c>
      <c r="L118" s="20">
        <f t="shared" si="236"/>
        <v>8</v>
      </c>
      <c r="M118" s="20">
        <f t="shared" si="236"/>
        <v>2</v>
      </c>
      <c r="N118" s="20">
        <f t="shared" si="236"/>
        <v>2</v>
      </c>
      <c r="O118" s="20">
        <v>8</v>
      </c>
      <c r="P118" s="20" t="s">
        <v>41</v>
      </c>
      <c r="Q118" s="21" t="str">
        <f>IF($M118=1,IF(ISERROR(VLOOKUP($P118,'M1'!$A:$C,Q$2,FALSE)),"NOT PRESENT",VLOOKUP($P118,'M1'!$A:$C,Q$2,FALSE)),IF($M118=2,IF(ISERROR(VLOOKUP(DATA!$P118,'M2'!$A:$C,Q$2,FALSE)),"NOT PRESENT",VLOOKUP(DATA!$P118,'M2'!$A:$C,Q$2,FALSE)),IF($M118=0,IF(ISERROR(VLOOKUP($P118,'M1'!$A:$C,Q$2,FALSE)),IF(ISERROR(VLOOKUP(DATA!$P118,'M2'!$A:$C,Q$2,FALSE)),"NOT PRESENT",VLOOKUP(DATA!$P118,'M2'!$A:$C,Q$2,FALSE)),VLOOKUP($P118,'M1'!$A:$C,Q$2,FALSE)),"SPECIFY METHOD")))</f>
        <v>Mesocentrotus franciscanus</v>
      </c>
      <c r="R118" s="21" t="str">
        <f>IF($M118=1,IF(ISERROR(VLOOKUP($P118,'M1'!$A:$C,R$2,FALSE)),"NOT PRESENT",VLOOKUP($P118,'M1'!$A:$C,R$2,FALSE)),IF($M118=2,IF(ISERROR(VLOOKUP(DATA!$P118,'M2'!$A:$C,R$2,FALSE)),"NOT PRESENT",VLOOKUP(DATA!$P118,'M2'!$A:$C,R$2,FALSE)),IF($M118=0,IF(ISERROR(VLOOKUP($P118,'M1'!$A:$C,R$2,FALSE)),IF(ISERROR(VLOOKUP(DATA!$P118,'M2'!$A:$C,R$2,FALSE)),"NOT PRESENT",VLOOKUP(DATA!$P118,'M2'!$A:$C,R$2,FALSE)),VLOOKUP($P118,'M1'!$A:$C,R$2,FALSE)),"SPECIFY METHOD")))</f>
        <v>Red sea urchin</v>
      </c>
      <c r="S118" s="28">
        <f t="shared" si="3"/>
        <v>6</v>
      </c>
      <c r="T118" s="20">
        <v>0</v>
      </c>
      <c r="U118" s="20"/>
      <c r="V118" s="20">
        <v>1</v>
      </c>
      <c r="W118" s="20">
        <v>3</v>
      </c>
      <c r="X118" s="20">
        <v>2</v>
      </c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</row>
    <row r="119" spans="1:68" ht="12.75" customHeight="1">
      <c r="A119" s="21">
        <f t="shared" si="2"/>
        <v>117</v>
      </c>
      <c r="B119" s="20" t="str">
        <f t="shared" ref="B119:D119" si="237">IF(ISERROR(B118),IF(ISERROR(B117),IF(ISERROR(B116),"BLANK",B116),B117),B118)</f>
        <v>Tom Bird</v>
      </c>
      <c r="C119" s="20" t="str">
        <f t="shared" si="237"/>
        <v>Jasmin Schuster</v>
      </c>
      <c r="D119" s="20" t="str">
        <f t="shared" si="237"/>
        <v>BMSC6</v>
      </c>
      <c r="E119" s="21" t="str">
        <f>IF(ISERROR(VLOOKUP($D119,SITES!$A:$E,2,FALSE)),"",VLOOKUP($D119,SITES!$A:$E,2,FALSE))</f>
        <v>Baeria Rocks South Island</v>
      </c>
      <c r="F119" s="19">
        <f>IF(ISERROR(VLOOKUP($D119,SITES!$A:$E,3,FALSE)),"",VLOOKUP($D119,SITES!$A:$E,3,FALSE))</f>
        <v>48.950233459472599</v>
      </c>
      <c r="G119" s="22">
        <f>IF(ISERROR(VLOOKUP($D119,SITES!$A:$E,4,FALSE)),"",VLOOKUP($D119,SITES!$A:$E,4,FALSE))</f>
        <v>-125.155548095703</v>
      </c>
      <c r="H119" s="23" t="str">
        <f t="shared" si="227"/>
        <v>4/22/2024</v>
      </c>
      <c r="I119" s="20">
        <f t="shared" ref="I119:N119" si="238">IF(ISERROR(I118),IF(ISERROR(I117),IF(ISERROR(I116),"BLANK",I116),I117),I118)</f>
        <v>1.5</v>
      </c>
      <c r="J119" s="20" t="str">
        <f t="shared" si="238"/>
        <v>SW</v>
      </c>
      <c r="K119" s="27">
        <f t="shared" si="238"/>
        <v>0.52986111111111112</v>
      </c>
      <c r="L119" s="20">
        <f t="shared" si="238"/>
        <v>8</v>
      </c>
      <c r="M119" s="20">
        <f t="shared" si="238"/>
        <v>2</v>
      </c>
      <c r="N119" s="20">
        <f t="shared" si="238"/>
        <v>2</v>
      </c>
      <c r="O119" s="20">
        <v>8</v>
      </c>
      <c r="P119" s="20" t="s">
        <v>40</v>
      </c>
      <c r="Q119" s="21" t="str">
        <f>IF($M119=1,IF(ISERROR(VLOOKUP($P119,'M1'!$A:$C,Q$2,FALSE)),"NOT PRESENT",VLOOKUP($P119,'M1'!$A:$C,Q$2,FALSE)),IF($M119=2,IF(ISERROR(VLOOKUP(DATA!$P119,'M2'!$A:$C,Q$2,FALSE)),"NOT PRESENT",VLOOKUP(DATA!$P119,'M2'!$A:$C,Q$2,FALSE)),IF($M119=0,IF(ISERROR(VLOOKUP($P119,'M1'!$A:$C,Q$2,FALSE)),IF(ISERROR(VLOOKUP(DATA!$P119,'M2'!$A:$C,Q$2,FALSE)),"NOT PRESENT",VLOOKUP(DATA!$P119,'M2'!$A:$C,Q$2,FALSE)),VLOOKUP($P119,'M1'!$A:$C,Q$2,FALSE)),"SPECIFY METHOD")))</f>
        <v>Patiria miniata</v>
      </c>
      <c r="R119" s="21" t="str">
        <f>IF($M119=1,IF(ISERROR(VLOOKUP($P119,'M1'!$A:$C,R$2,FALSE)),"NOT PRESENT",VLOOKUP($P119,'M1'!$A:$C,R$2,FALSE)),IF($M119=2,IF(ISERROR(VLOOKUP(DATA!$P119,'M2'!$A:$C,R$2,FALSE)),"NOT PRESENT",VLOOKUP(DATA!$P119,'M2'!$A:$C,R$2,FALSE)),IF($M119=0,IF(ISERROR(VLOOKUP($P119,'M1'!$A:$C,R$2,FALSE)),IF(ISERROR(VLOOKUP(DATA!$P119,'M2'!$A:$C,R$2,FALSE)),"NOT PRESENT",VLOOKUP(DATA!$P119,'M2'!$A:$C,R$2,FALSE)),VLOOKUP($P119,'M1'!$A:$C,R$2,FALSE)),"SPECIFY METHOD")))</f>
        <v>Bat star</v>
      </c>
      <c r="S119" s="28">
        <f t="shared" si="3"/>
        <v>1</v>
      </c>
      <c r="T119" s="20">
        <v>0</v>
      </c>
      <c r="U119" s="20"/>
      <c r="V119" s="20"/>
      <c r="W119" s="20">
        <v>1</v>
      </c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</row>
    <row r="120" spans="1:68" ht="12.75" customHeight="1">
      <c r="A120" s="21">
        <f t="shared" si="2"/>
        <v>118</v>
      </c>
      <c r="B120" s="20" t="s">
        <v>36</v>
      </c>
      <c r="C120" s="20" t="s">
        <v>56</v>
      </c>
      <c r="D120" s="20" t="s">
        <v>57</v>
      </c>
      <c r="E120" s="21" t="str">
        <f>IF(ISERROR(VLOOKUP($D120,SITES!$A:$E,2,FALSE)),"",VLOOKUP($D120,SITES!$A:$E,2,FALSE))</f>
        <v>Swiss Boy</v>
      </c>
      <c r="F120" s="19">
        <f>IF(ISERROR(VLOOKUP($D120,SITES!$A:$E,3,FALSE)),"",VLOOKUP($D120,SITES!$A:$E,3,FALSE))</f>
        <v>48.916072999999997</v>
      </c>
      <c r="G120" s="22">
        <f>IF(ISERROR(VLOOKUP($D120,SITES!$A:$E,4,FALSE)),"",VLOOKUP($D120,SITES!$A:$E,4,FALSE))</f>
        <v>-125.131174</v>
      </c>
      <c r="H120" s="20" t="s">
        <v>58</v>
      </c>
      <c r="I120" s="20">
        <v>3</v>
      </c>
      <c r="J120" s="20" t="s">
        <v>59</v>
      </c>
      <c r="K120" s="27">
        <v>0.54374999999999996</v>
      </c>
      <c r="L120" s="20">
        <v>5.5</v>
      </c>
      <c r="M120" s="20">
        <f>IF(ISERROR(M119),IF(ISERROR(M118),IF(ISERROR(M117),"BLANK",M117),M118),M119)</f>
        <v>2</v>
      </c>
      <c r="N120" s="20">
        <v>1</v>
      </c>
      <c r="O120" s="20">
        <v>48</v>
      </c>
      <c r="P120" s="20" t="s">
        <v>39</v>
      </c>
      <c r="Q120" s="21" t="str">
        <f>IF($M120=1,IF(ISERROR(VLOOKUP($P120,'M1'!$A:$C,Q$2,FALSE)),"NOT PRESENT",VLOOKUP($P120,'M1'!$A:$C,Q$2,FALSE)),IF($M120=2,IF(ISERROR(VLOOKUP(DATA!$P120,'M2'!$A:$C,Q$2,FALSE)),"NOT PRESENT",VLOOKUP(DATA!$P120,'M2'!$A:$C,Q$2,FALSE)),IF($M120=0,IF(ISERROR(VLOOKUP($P120,'M1'!$A:$C,Q$2,FALSE)),IF(ISERROR(VLOOKUP(DATA!$P120,'M2'!$A:$C,Q$2,FALSE)),"NOT PRESENT",VLOOKUP(DATA!$P120,'M2'!$A:$C,Q$2,FALSE)),VLOOKUP($P120,'M1'!$A:$C,Q$2,FALSE)),"SPECIFY METHOD")))</f>
        <v>Dermasterias imbricata</v>
      </c>
      <c r="R120" s="21" t="str">
        <f>IF($M120=1,IF(ISERROR(VLOOKUP($P120,'M1'!$A:$C,R$2,FALSE)),"NOT PRESENT",VLOOKUP($P120,'M1'!$A:$C,R$2,FALSE)),IF($M120=2,IF(ISERROR(VLOOKUP(DATA!$P120,'M2'!$A:$C,R$2,FALSE)),"NOT PRESENT",VLOOKUP(DATA!$P120,'M2'!$A:$C,R$2,FALSE)),IF($M120=0,IF(ISERROR(VLOOKUP($P120,'M1'!$A:$C,R$2,FALSE)),IF(ISERROR(VLOOKUP(DATA!$P120,'M2'!$A:$C,R$2,FALSE)),"NOT PRESENT",VLOOKUP(DATA!$P120,'M2'!$A:$C,R$2,FALSE)),VLOOKUP($P120,'M1'!$A:$C,R$2,FALSE)),"SPECIFY METHOD")))</f>
        <v>Leather star</v>
      </c>
      <c r="S120" s="28">
        <f t="shared" si="3"/>
        <v>2</v>
      </c>
      <c r="T120" s="20">
        <v>0</v>
      </c>
      <c r="U120" s="20"/>
      <c r="V120" s="20"/>
      <c r="W120" s="20"/>
      <c r="X120" s="20"/>
      <c r="Y120" s="20">
        <v>1</v>
      </c>
      <c r="Z120" s="20"/>
      <c r="AA120" s="20">
        <v>1</v>
      </c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</row>
    <row r="121" spans="1:68" ht="12.75" customHeight="1">
      <c r="A121" s="21">
        <f t="shared" si="2"/>
        <v>119</v>
      </c>
      <c r="B121" s="20" t="str">
        <f t="shared" ref="B121:D121" si="239">IF(ISERROR(B120),IF(ISERROR(B119),IF(ISERROR(B118),"BLANK",B118),B119),B120)</f>
        <v>Isabelle Cote</v>
      </c>
      <c r="C121" s="20" t="str">
        <f t="shared" si="239"/>
        <v>Claire Attridge</v>
      </c>
      <c r="D121" s="20" t="str">
        <f t="shared" si="239"/>
        <v>BMSC24</v>
      </c>
      <c r="E121" s="21" t="str">
        <f>IF(ISERROR(VLOOKUP($D121,SITES!$A:$E,2,FALSE)),"",VLOOKUP($D121,SITES!$A:$E,2,FALSE))</f>
        <v>Swiss Boy</v>
      </c>
      <c r="F121" s="19">
        <f>IF(ISERROR(VLOOKUP($D121,SITES!$A:$E,3,FALSE)),"",VLOOKUP($D121,SITES!$A:$E,3,FALSE))</f>
        <v>48.916072999999997</v>
      </c>
      <c r="G121" s="22">
        <f>IF(ISERROR(VLOOKUP($D121,SITES!$A:$E,4,FALSE)),"",VLOOKUP($D121,SITES!$A:$E,4,FALSE))</f>
        <v>-125.131174</v>
      </c>
      <c r="H121" s="23" t="str">
        <f t="shared" ref="H121:N121" si="240">IF(ISERROR(H120),IF(ISERROR(H119),IF(ISERROR(H118),"BLANK",H118),H119),H120)</f>
        <v>4/24/2024</v>
      </c>
      <c r="I121" s="20">
        <f t="shared" si="240"/>
        <v>3</v>
      </c>
      <c r="J121" s="20" t="str">
        <f t="shared" si="240"/>
        <v>NE</v>
      </c>
      <c r="K121" s="27">
        <f t="shared" si="240"/>
        <v>0.54374999999999996</v>
      </c>
      <c r="L121" s="20">
        <f t="shared" si="240"/>
        <v>5.5</v>
      </c>
      <c r="M121" s="20">
        <f t="shared" si="240"/>
        <v>2</v>
      </c>
      <c r="N121" s="20">
        <f t="shared" si="240"/>
        <v>1</v>
      </c>
      <c r="O121" s="20">
        <v>48</v>
      </c>
      <c r="P121" s="20" t="s">
        <v>41</v>
      </c>
      <c r="Q121" s="21" t="str">
        <f>IF($M121=1,IF(ISERROR(VLOOKUP($P121,'M1'!$A:$C,Q$2,FALSE)),"NOT PRESENT",VLOOKUP($P121,'M1'!$A:$C,Q$2,FALSE)),IF($M121=2,IF(ISERROR(VLOOKUP(DATA!$P121,'M2'!$A:$C,Q$2,FALSE)),"NOT PRESENT",VLOOKUP(DATA!$P121,'M2'!$A:$C,Q$2,FALSE)),IF($M121=0,IF(ISERROR(VLOOKUP($P121,'M1'!$A:$C,Q$2,FALSE)),IF(ISERROR(VLOOKUP(DATA!$P121,'M2'!$A:$C,Q$2,FALSE)),"NOT PRESENT",VLOOKUP(DATA!$P121,'M2'!$A:$C,Q$2,FALSE)),VLOOKUP($P121,'M1'!$A:$C,Q$2,FALSE)),"SPECIFY METHOD")))</f>
        <v>Mesocentrotus franciscanus</v>
      </c>
      <c r="R121" s="21" t="str">
        <f>IF($M121=1,IF(ISERROR(VLOOKUP($P121,'M1'!$A:$C,R$2,FALSE)),"NOT PRESENT",VLOOKUP($P121,'M1'!$A:$C,R$2,FALSE)),IF($M121=2,IF(ISERROR(VLOOKUP(DATA!$P121,'M2'!$A:$C,R$2,FALSE)),"NOT PRESENT",VLOOKUP(DATA!$P121,'M2'!$A:$C,R$2,FALSE)),IF($M121=0,IF(ISERROR(VLOOKUP($P121,'M1'!$A:$C,R$2,FALSE)),IF(ISERROR(VLOOKUP(DATA!$P121,'M2'!$A:$C,R$2,FALSE)),"NOT PRESENT",VLOOKUP(DATA!$P121,'M2'!$A:$C,R$2,FALSE)),VLOOKUP($P121,'M1'!$A:$C,R$2,FALSE)),"SPECIFY METHOD")))</f>
        <v>Red sea urchin</v>
      </c>
      <c r="S121" s="28">
        <f t="shared" si="3"/>
        <v>4</v>
      </c>
      <c r="T121" s="20">
        <v>0</v>
      </c>
      <c r="U121" s="20"/>
      <c r="V121" s="20"/>
      <c r="W121" s="20"/>
      <c r="X121" s="20">
        <v>2</v>
      </c>
      <c r="Y121" s="20"/>
      <c r="Z121" s="20">
        <v>1</v>
      </c>
      <c r="AA121" s="20"/>
      <c r="AB121" s="20">
        <v>1</v>
      </c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</row>
    <row r="122" spans="1:68" ht="12.75" customHeight="1">
      <c r="A122" s="21">
        <f t="shared" si="2"/>
        <v>120</v>
      </c>
      <c r="B122" s="20" t="str">
        <f t="shared" ref="B122:D122" si="241">IF(ISERROR(B121),IF(ISERROR(B120),IF(ISERROR(B119),"BLANK",B119),B120),B121)</f>
        <v>Isabelle Cote</v>
      </c>
      <c r="C122" s="20" t="str">
        <f t="shared" si="241"/>
        <v>Claire Attridge</v>
      </c>
      <c r="D122" s="20" t="str">
        <f t="shared" si="241"/>
        <v>BMSC24</v>
      </c>
      <c r="E122" s="21" t="str">
        <f>IF(ISERROR(VLOOKUP($D122,SITES!$A:$E,2,FALSE)),"",VLOOKUP($D122,SITES!$A:$E,2,FALSE))</f>
        <v>Swiss Boy</v>
      </c>
      <c r="F122" s="19">
        <f>IF(ISERROR(VLOOKUP($D122,SITES!$A:$E,3,FALSE)),"",VLOOKUP($D122,SITES!$A:$E,3,FALSE))</f>
        <v>48.916072999999997</v>
      </c>
      <c r="G122" s="22">
        <f>IF(ISERROR(VLOOKUP($D122,SITES!$A:$E,4,FALSE)),"",VLOOKUP($D122,SITES!$A:$E,4,FALSE))</f>
        <v>-125.131174</v>
      </c>
      <c r="H122" s="23" t="str">
        <f t="shared" ref="H122:N122" si="242">IF(ISERROR(H121),IF(ISERROR(H120),IF(ISERROR(H119),"BLANK",H119),H120),H121)</f>
        <v>4/24/2024</v>
      </c>
      <c r="I122" s="20">
        <f t="shared" si="242"/>
        <v>3</v>
      </c>
      <c r="J122" s="20" t="str">
        <f t="shared" si="242"/>
        <v>NE</v>
      </c>
      <c r="K122" s="27">
        <f t="shared" si="242"/>
        <v>0.54374999999999996</v>
      </c>
      <c r="L122" s="20">
        <f t="shared" si="242"/>
        <v>5.5</v>
      </c>
      <c r="M122" s="20">
        <f t="shared" si="242"/>
        <v>2</v>
      </c>
      <c r="N122" s="20">
        <f t="shared" si="242"/>
        <v>1</v>
      </c>
      <c r="O122" s="20">
        <v>32</v>
      </c>
      <c r="P122" s="20" t="str">
        <f>IF(ISERROR(P121),IF(ISERROR(P120),IF(ISERROR(P119),"BLANK",P119),P120),P121)</f>
        <v>mfra</v>
      </c>
      <c r="Q122" s="21" t="str">
        <f>IF($M122=1,IF(ISERROR(VLOOKUP($P122,'M1'!$A:$C,Q$2,FALSE)),"NOT PRESENT",VLOOKUP($P122,'M1'!$A:$C,Q$2,FALSE)),IF($M122=2,IF(ISERROR(VLOOKUP(DATA!$P122,'M2'!$A:$C,Q$2,FALSE)),"NOT PRESENT",VLOOKUP(DATA!$P122,'M2'!$A:$C,Q$2,FALSE)),IF($M122=0,IF(ISERROR(VLOOKUP($P122,'M1'!$A:$C,Q$2,FALSE)),IF(ISERROR(VLOOKUP(DATA!$P122,'M2'!$A:$C,Q$2,FALSE)),"NOT PRESENT",VLOOKUP(DATA!$P122,'M2'!$A:$C,Q$2,FALSE)),VLOOKUP($P122,'M1'!$A:$C,Q$2,FALSE)),"SPECIFY METHOD")))</f>
        <v>Mesocentrotus franciscanus</v>
      </c>
      <c r="R122" s="21" t="str">
        <f>IF($M122=1,IF(ISERROR(VLOOKUP($P122,'M1'!$A:$C,R$2,FALSE)),"NOT PRESENT",VLOOKUP($P122,'M1'!$A:$C,R$2,FALSE)),IF($M122=2,IF(ISERROR(VLOOKUP(DATA!$P122,'M2'!$A:$C,R$2,FALSE)),"NOT PRESENT",VLOOKUP(DATA!$P122,'M2'!$A:$C,R$2,FALSE)),IF($M122=0,IF(ISERROR(VLOOKUP($P122,'M1'!$A:$C,R$2,FALSE)),IF(ISERROR(VLOOKUP(DATA!$P122,'M2'!$A:$C,R$2,FALSE)),"NOT PRESENT",VLOOKUP(DATA!$P122,'M2'!$A:$C,R$2,FALSE)),VLOOKUP($P122,'M1'!$A:$C,R$2,FALSE)),"SPECIFY METHOD")))</f>
        <v>Red sea urchin</v>
      </c>
      <c r="S122" s="28">
        <f t="shared" si="3"/>
        <v>5</v>
      </c>
      <c r="T122" s="20">
        <v>0</v>
      </c>
      <c r="U122" s="20"/>
      <c r="V122" s="20"/>
      <c r="W122" s="20"/>
      <c r="X122" s="20">
        <v>1</v>
      </c>
      <c r="Y122" s="20">
        <v>3</v>
      </c>
      <c r="Z122" s="20"/>
      <c r="AA122" s="20">
        <v>1</v>
      </c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</row>
    <row r="123" spans="1:68" ht="12.75" customHeight="1">
      <c r="A123" s="21">
        <f t="shared" si="2"/>
        <v>121</v>
      </c>
      <c r="B123" s="20" t="str">
        <f t="shared" ref="B123:D123" si="243">IF(ISERROR(B122),IF(ISERROR(B121),IF(ISERROR(B120),"BLANK",B120),B121),B122)</f>
        <v>Isabelle Cote</v>
      </c>
      <c r="C123" s="20" t="str">
        <f t="shared" si="243"/>
        <v>Claire Attridge</v>
      </c>
      <c r="D123" s="20" t="str">
        <f t="shared" si="243"/>
        <v>BMSC24</v>
      </c>
      <c r="E123" s="21" t="str">
        <f>IF(ISERROR(VLOOKUP($D123,SITES!$A:$E,2,FALSE)),"",VLOOKUP($D123,SITES!$A:$E,2,FALSE))</f>
        <v>Swiss Boy</v>
      </c>
      <c r="F123" s="19">
        <f>IF(ISERROR(VLOOKUP($D123,SITES!$A:$E,3,FALSE)),"",VLOOKUP($D123,SITES!$A:$E,3,FALSE))</f>
        <v>48.916072999999997</v>
      </c>
      <c r="G123" s="22">
        <f>IF(ISERROR(VLOOKUP($D123,SITES!$A:$E,4,FALSE)),"",VLOOKUP($D123,SITES!$A:$E,4,FALSE))</f>
        <v>-125.131174</v>
      </c>
      <c r="H123" s="23" t="str">
        <f t="shared" ref="H123:N123" si="244">IF(ISERROR(H122),IF(ISERROR(H121),IF(ISERROR(H120),"BLANK",H120),H121),H122)</f>
        <v>4/24/2024</v>
      </c>
      <c r="I123" s="20">
        <f t="shared" si="244"/>
        <v>3</v>
      </c>
      <c r="J123" s="20" t="str">
        <f t="shared" si="244"/>
        <v>NE</v>
      </c>
      <c r="K123" s="27">
        <f t="shared" si="244"/>
        <v>0.54374999999999996</v>
      </c>
      <c r="L123" s="20">
        <f t="shared" si="244"/>
        <v>5.5</v>
      </c>
      <c r="M123" s="20">
        <f t="shared" si="244"/>
        <v>2</v>
      </c>
      <c r="N123" s="20">
        <f t="shared" si="244"/>
        <v>1</v>
      </c>
      <c r="O123" s="20">
        <v>32</v>
      </c>
      <c r="P123" s="20" t="s">
        <v>40</v>
      </c>
      <c r="Q123" s="21" t="str">
        <f>IF($M123=1,IF(ISERROR(VLOOKUP($P123,'M1'!$A:$C,Q$2,FALSE)),"NOT PRESENT",VLOOKUP($P123,'M1'!$A:$C,Q$2,FALSE)),IF($M123=2,IF(ISERROR(VLOOKUP(DATA!$P123,'M2'!$A:$C,Q$2,FALSE)),"NOT PRESENT",VLOOKUP(DATA!$P123,'M2'!$A:$C,Q$2,FALSE)),IF($M123=0,IF(ISERROR(VLOOKUP($P123,'M1'!$A:$C,Q$2,FALSE)),IF(ISERROR(VLOOKUP(DATA!$P123,'M2'!$A:$C,Q$2,FALSE)),"NOT PRESENT",VLOOKUP(DATA!$P123,'M2'!$A:$C,Q$2,FALSE)),VLOOKUP($P123,'M1'!$A:$C,Q$2,FALSE)),"SPECIFY METHOD")))</f>
        <v>Patiria miniata</v>
      </c>
      <c r="R123" s="21" t="str">
        <f>IF($M123=1,IF(ISERROR(VLOOKUP($P123,'M1'!$A:$C,R$2,FALSE)),"NOT PRESENT",VLOOKUP($P123,'M1'!$A:$C,R$2,FALSE)),IF($M123=2,IF(ISERROR(VLOOKUP(DATA!$P123,'M2'!$A:$C,R$2,FALSE)),"NOT PRESENT",VLOOKUP(DATA!$P123,'M2'!$A:$C,R$2,FALSE)),IF($M123=0,IF(ISERROR(VLOOKUP($P123,'M1'!$A:$C,R$2,FALSE)),IF(ISERROR(VLOOKUP(DATA!$P123,'M2'!$A:$C,R$2,FALSE)),"NOT PRESENT",VLOOKUP(DATA!$P123,'M2'!$A:$C,R$2,FALSE)),VLOOKUP($P123,'M1'!$A:$C,R$2,FALSE)),"SPECIFY METHOD")))</f>
        <v>Bat star</v>
      </c>
      <c r="S123" s="28">
        <f t="shared" si="3"/>
        <v>2</v>
      </c>
      <c r="T123" s="20">
        <v>0</v>
      </c>
      <c r="U123" s="20"/>
      <c r="V123" s="20"/>
      <c r="W123" s="20"/>
      <c r="X123" s="20"/>
      <c r="Y123" s="20">
        <v>1</v>
      </c>
      <c r="Z123" s="20">
        <v>1</v>
      </c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</row>
    <row r="124" spans="1:68" ht="12.75" customHeight="1">
      <c r="A124" s="21">
        <f t="shared" si="2"/>
        <v>122</v>
      </c>
      <c r="B124" s="20" t="str">
        <f t="shared" ref="B124:D124" si="245">IF(ISERROR(B123),IF(ISERROR(B122),IF(ISERROR(B121),"BLANK",B121),B122),B123)</f>
        <v>Isabelle Cote</v>
      </c>
      <c r="C124" s="20" t="str">
        <f t="shared" si="245"/>
        <v>Claire Attridge</v>
      </c>
      <c r="D124" s="20" t="str">
        <f t="shared" si="245"/>
        <v>BMSC24</v>
      </c>
      <c r="E124" s="21" t="str">
        <f>IF(ISERROR(VLOOKUP($D124,SITES!$A:$E,2,FALSE)),"",VLOOKUP($D124,SITES!$A:$E,2,FALSE))</f>
        <v>Swiss Boy</v>
      </c>
      <c r="F124" s="19">
        <f>IF(ISERROR(VLOOKUP($D124,SITES!$A:$E,3,FALSE)),"",VLOOKUP($D124,SITES!$A:$E,3,FALSE))</f>
        <v>48.916072999999997</v>
      </c>
      <c r="G124" s="22">
        <f>IF(ISERROR(VLOOKUP($D124,SITES!$A:$E,4,FALSE)),"",VLOOKUP($D124,SITES!$A:$E,4,FALSE))</f>
        <v>-125.131174</v>
      </c>
      <c r="H124" s="23" t="str">
        <f t="shared" ref="H124:N124" si="246">IF(ISERROR(H123),IF(ISERROR(H122),IF(ISERROR(H121),"BLANK",H121),H122),H123)</f>
        <v>4/24/2024</v>
      </c>
      <c r="I124" s="20">
        <f t="shared" si="246"/>
        <v>3</v>
      </c>
      <c r="J124" s="20" t="str">
        <f t="shared" si="246"/>
        <v>NE</v>
      </c>
      <c r="K124" s="27">
        <f t="shared" si="246"/>
        <v>0.54374999999999996</v>
      </c>
      <c r="L124" s="20">
        <f t="shared" si="246"/>
        <v>5.5</v>
      </c>
      <c r="M124" s="20">
        <f t="shared" si="246"/>
        <v>2</v>
      </c>
      <c r="N124" s="20">
        <f t="shared" si="246"/>
        <v>1</v>
      </c>
      <c r="O124" s="20">
        <v>16</v>
      </c>
      <c r="P124" s="20" t="str">
        <f>IF(ISERROR(P123),IF(ISERROR(P122),IF(ISERROR(P121),"BLANK",P121),P122),P123)</f>
        <v>pmi</v>
      </c>
      <c r="Q124" s="21" t="str">
        <f>IF($M124=1,IF(ISERROR(VLOOKUP($P124,'M1'!$A:$C,Q$2,FALSE)),"NOT PRESENT",VLOOKUP($P124,'M1'!$A:$C,Q$2,FALSE)),IF($M124=2,IF(ISERROR(VLOOKUP(DATA!$P124,'M2'!$A:$C,Q$2,FALSE)),"NOT PRESENT",VLOOKUP(DATA!$P124,'M2'!$A:$C,Q$2,FALSE)),IF($M124=0,IF(ISERROR(VLOOKUP($P124,'M1'!$A:$C,Q$2,FALSE)),IF(ISERROR(VLOOKUP(DATA!$P124,'M2'!$A:$C,Q$2,FALSE)),"NOT PRESENT",VLOOKUP(DATA!$P124,'M2'!$A:$C,Q$2,FALSE)),VLOOKUP($P124,'M1'!$A:$C,Q$2,FALSE)),"SPECIFY METHOD")))</f>
        <v>Patiria miniata</v>
      </c>
      <c r="R124" s="21" t="str">
        <f>IF($M124=1,IF(ISERROR(VLOOKUP($P124,'M1'!$A:$C,R$2,FALSE)),"NOT PRESENT",VLOOKUP($P124,'M1'!$A:$C,R$2,FALSE)),IF($M124=2,IF(ISERROR(VLOOKUP(DATA!$P124,'M2'!$A:$C,R$2,FALSE)),"NOT PRESENT",VLOOKUP(DATA!$P124,'M2'!$A:$C,R$2,FALSE)),IF($M124=0,IF(ISERROR(VLOOKUP($P124,'M1'!$A:$C,R$2,FALSE)),IF(ISERROR(VLOOKUP(DATA!$P124,'M2'!$A:$C,R$2,FALSE)),"NOT PRESENT",VLOOKUP(DATA!$P124,'M2'!$A:$C,R$2,FALSE)),VLOOKUP($P124,'M1'!$A:$C,R$2,FALSE)),"SPECIFY METHOD")))</f>
        <v>Bat star</v>
      </c>
      <c r="S124" s="28">
        <f t="shared" si="3"/>
        <v>1</v>
      </c>
      <c r="T124" s="20">
        <v>0</v>
      </c>
      <c r="U124" s="20"/>
      <c r="V124" s="20"/>
      <c r="W124" s="20"/>
      <c r="X124" s="20"/>
      <c r="Y124" s="20"/>
      <c r="Z124" s="20"/>
      <c r="AA124" s="20">
        <v>1</v>
      </c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</row>
    <row r="125" spans="1:68" ht="12.75" customHeight="1">
      <c r="A125" s="21">
        <f t="shared" si="2"/>
        <v>123</v>
      </c>
      <c r="B125" s="20" t="str">
        <f t="shared" ref="B125:D125" si="247">IF(ISERROR(B124),IF(ISERROR(B123),IF(ISERROR(B122),"BLANK",B122),B123),B124)</f>
        <v>Isabelle Cote</v>
      </c>
      <c r="C125" s="20" t="str">
        <f t="shared" si="247"/>
        <v>Claire Attridge</v>
      </c>
      <c r="D125" s="20" t="str">
        <f t="shared" si="247"/>
        <v>BMSC24</v>
      </c>
      <c r="E125" s="21" t="str">
        <f>IF(ISERROR(VLOOKUP($D125,SITES!$A:$E,2,FALSE)),"",VLOOKUP($D125,SITES!$A:$E,2,FALSE))</f>
        <v>Swiss Boy</v>
      </c>
      <c r="F125" s="19">
        <f>IF(ISERROR(VLOOKUP($D125,SITES!$A:$E,3,FALSE)),"",VLOOKUP($D125,SITES!$A:$E,3,FALSE))</f>
        <v>48.916072999999997</v>
      </c>
      <c r="G125" s="22">
        <f>IF(ISERROR(VLOOKUP($D125,SITES!$A:$E,4,FALSE)),"",VLOOKUP($D125,SITES!$A:$E,4,FALSE))</f>
        <v>-125.131174</v>
      </c>
      <c r="H125" s="23" t="str">
        <f t="shared" ref="H125:N125" si="248">IF(ISERROR(H124),IF(ISERROR(H123),IF(ISERROR(H122),"BLANK",H122),H123),H124)</f>
        <v>4/24/2024</v>
      </c>
      <c r="I125" s="20">
        <f t="shared" si="248"/>
        <v>3</v>
      </c>
      <c r="J125" s="20" t="str">
        <f t="shared" si="248"/>
        <v>NE</v>
      </c>
      <c r="K125" s="27">
        <f t="shared" si="248"/>
        <v>0.54374999999999996</v>
      </c>
      <c r="L125" s="20">
        <f t="shared" si="248"/>
        <v>5.5</v>
      </c>
      <c r="M125" s="20">
        <f t="shared" si="248"/>
        <v>2</v>
      </c>
      <c r="N125" s="20">
        <f t="shared" si="248"/>
        <v>1</v>
      </c>
      <c r="O125" s="20">
        <v>16</v>
      </c>
      <c r="P125" s="20" t="s">
        <v>38</v>
      </c>
      <c r="Q125" s="21" t="str">
        <f>IF($M125=1,IF(ISERROR(VLOOKUP($P125,'M1'!$A:$C,Q$2,FALSE)),"NOT PRESENT",VLOOKUP($P125,'M1'!$A:$C,Q$2,FALSE)),IF($M125=2,IF(ISERROR(VLOOKUP(DATA!$P125,'M2'!$A:$C,Q$2,FALSE)),"NOT PRESENT",VLOOKUP(DATA!$P125,'M2'!$A:$C,Q$2,FALSE)),IF($M125=0,IF(ISERROR(VLOOKUP($P125,'M1'!$A:$C,Q$2,FALSE)),IF(ISERROR(VLOOKUP(DATA!$P125,'M2'!$A:$C,Q$2,FALSE)),"NOT PRESENT",VLOOKUP(DATA!$P125,'M2'!$A:$C,Q$2,FALSE)),VLOOKUP($P125,'M1'!$A:$C,Q$2,FALSE)),"SPECIFY METHOD")))</f>
        <v>Pisaster ochraceus</v>
      </c>
      <c r="R125" s="21" t="str">
        <f>IF($M125=1,IF(ISERROR(VLOOKUP($P125,'M1'!$A:$C,R$2,FALSE)),"NOT PRESENT",VLOOKUP($P125,'M1'!$A:$C,R$2,FALSE)),IF($M125=2,IF(ISERROR(VLOOKUP(DATA!$P125,'M2'!$A:$C,R$2,FALSE)),"NOT PRESENT",VLOOKUP(DATA!$P125,'M2'!$A:$C,R$2,FALSE)),IF($M125=0,IF(ISERROR(VLOOKUP($P125,'M1'!$A:$C,R$2,FALSE)),IF(ISERROR(VLOOKUP(DATA!$P125,'M2'!$A:$C,R$2,FALSE)),"NOT PRESENT",VLOOKUP(DATA!$P125,'M2'!$A:$C,R$2,FALSE)),VLOOKUP($P125,'M1'!$A:$C,R$2,FALSE)),"SPECIFY METHOD")))</f>
        <v>Purple sea star</v>
      </c>
      <c r="S125" s="28">
        <f t="shared" si="3"/>
        <v>1</v>
      </c>
      <c r="T125" s="20">
        <v>0</v>
      </c>
      <c r="U125" s="20"/>
      <c r="V125" s="20"/>
      <c r="W125" s="20"/>
      <c r="X125" s="20">
        <v>1</v>
      </c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</row>
    <row r="126" spans="1:68" ht="12.75" customHeight="1">
      <c r="A126" s="21">
        <f t="shared" si="2"/>
        <v>124</v>
      </c>
      <c r="B126" s="20" t="str">
        <f t="shared" ref="B126:D126" si="249">IF(ISERROR(B125),IF(ISERROR(B124),IF(ISERROR(B123),"BLANK",B123),B124),B125)</f>
        <v>Isabelle Cote</v>
      </c>
      <c r="C126" s="20" t="str">
        <f t="shared" si="249"/>
        <v>Claire Attridge</v>
      </c>
      <c r="D126" s="20" t="str">
        <f t="shared" si="249"/>
        <v>BMSC24</v>
      </c>
      <c r="E126" s="21" t="str">
        <f>IF(ISERROR(VLOOKUP($D126,SITES!$A:$E,2,FALSE)),"",VLOOKUP($D126,SITES!$A:$E,2,FALSE))</f>
        <v>Swiss Boy</v>
      </c>
      <c r="F126" s="19">
        <f>IF(ISERROR(VLOOKUP($D126,SITES!$A:$E,3,FALSE)),"",VLOOKUP($D126,SITES!$A:$E,3,FALSE))</f>
        <v>48.916072999999997</v>
      </c>
      <c r="G126" s="22">
        <f>IF(ISERROR(VLOOKUP($D126,SITES!$A:$E,4,FALSE)),"",VLOOKUP($D126,SITES!$A:$E,4,FALSE))</f>
        <v>-125.131174</v>
      </c>
      <c r="H126" s="23" t="str">
        <f t="shared" ref="H126:N126" si="250">IF(ISERROR(H125),IF(ISERROR(H124),IF(ISERROR(H123),"BLANK",H123),H124),H125)</f>
        <v>4/24/2024</v>
      </c>
      <c r="I126" s="20">
        <f t="shared" si="250"/>
        <v>3</v>
      </c>
      <c r="J126" s="20" t="str">
        <f t="shared" si="250"/>
        <v>NE</v>
      </c>
      <c r="K126" s="27">
        <f t="shared" si="250"/>
        <v>0.54374999999999996</v>
      </c>
      <c r="L126" s="20">
        <f t="shared" si="250"/>
        <v>5.5</v>
      </c>
      <c r="M126" s="20">
        <f t="shared" si="250"/>
        <v>2</v>
      </c>
      <c r="N126" s="20">
        <f t="shared" si="250"/>
        <v>1</v>
      </c>
      <c r="O126" s="20">
        <v>16</v>
      </c>
      <c r="P126" s="20" t="s">
        <v>41</v>
      </c>
      <c r="Q126" s="21" t="str">
        <f>IF($M126=1,IF(ISERROR(VLOOKUP($P126,'M1'!$A:$C,Q$2,FALSE)),"NOT PRESENT",VLOOKUP($P126,'M1'!$A:$C,Q$2,FALSE)),IF($M126=2,IF(ISERROR(VLOOKUP(DATA!$P126,'M2'!$A:$C,Q$2,FALSE)),"NOT PRESENT",VLOOKUP(DATA!$P126,'M2'!$A:$C,Q$2,FALSE)),IF($M126=0,IF(ISERROR(VLOOKUP($P126,'M1'!$A:$C,Q$2,FALSE)),IF(ISERROR(VLOOKUP(DATA!$P126,'M2'!$A:$C,Q$2,FALSE)),"NOT PRESENT",VLOOKUP(DATA!$P126,'M2'!$A:$C,Q$2,FALSE)),VLOOKUP($P126,'M1'!$A:$C,Q$2,FALSE)),"SPECIFY METHOD")))</f>
        <v>Mesocentrotus franciscanus</v>
      </c>
      <c r="R126" s="21" t="str">
        <f>IF($M126=1,IF(ISERROR(VLOOKUP($P126,'M1'!$A:$C,R$2,FALSE)),"NOT PRESENT",VLOOKUP($P126,'M1'!$A:$C,R$2,FALSE)),IF($M126=2,IF(ISERROR(VLOOKUP(DATA!$P126,'M2'!$A:$C,R$2,FALSE)),"NOT PRESENT",VLOOKUP(DATA!$P126,'M2'!$A:$C,R$2,FALSE)),IF($M126=0,IF(ISERROR(VLOOKUP($P126,'M1'!$A:$C,R$2,FALSE)),IF(ISERROR(VLOOKUP(DATA!$P126,'M2'!$A:$C,R$2,FALSE)),"NOT PRESENT",VLOOKUP(DATA!$P126,'M2'!$A:$C,R$2,FALSE)),VLOOKUP($P126,'M1'!$A:$C,R$2,FALSE)),"SPECIFY METHOD")))</f>
        <v>Red sea urchin</v>
      </c>
      <c r="S126" s="28">
        <f t="shared" si="3"/>
        <v>2</v>
      </c>
      <c r="T126" s="20">
        <v>0</v>
      </c>
      <c r="U126" s="20"/>
      <c r="V126" s="20"/>
      <c r="W126" s="20"/>
      <c r="X126" s="20"/>
      <c r="Y126" s="20"/>
      <c r="Z126" s="20">
        <v>2</v>
      </c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</row>
    <row r="127" spans="1:68" ht="12.75" customHeight="1">
      <c r="A127" s="21">
        <f t="shared" si="2"/>
        <v>125</v>
      </c>
      <c r="B127" s="20" t="str">
        <f t="shared" ref="B127:D127" si="251">IF(ISERROR(B126),IF(ISERROR(B125),IF(ISERROR(B124),"BLANK",B124),B125),B126)</f>
        <v>Isabelle Cote</v>
      </c>
      <c r="C127" s="20" t="str">
        <f t="shared" si="251"/>
        <v>Claire Attridge</v>
      </c>
      <c r="D127" s="20" t="str">
        <f t="shared" si="251"/>
        <v>BMSC24</v>
      </c>
      <c r="E127" s="21" t="str">
        <f>IF(ISERROR(VLOOKUP($D127,SITES!$A:$E,2,FALSE)),"",VLOOKUP($D127,SITES!$A:$E,2,FALSE))</f>
        <v>Swiss Boy</v>
      </c>
      <c r="F127" s="19">
        <f>IF(ISERROR(VLOOKUP($D127,SITES!$A:$E,3,FALSE)),"",VLOOKUP($D127,SITES!$A:$E,3,FALSE))</f>
        <v>48.916072999999997</v>
      </c>
      <c r="G127" s="22">
        <f>IF(ISERROR(VLOOKUP($D127,SITES!$A:$E,4,FALSE)),"",VLOOKUP($D127,SITES!$A:$E,4,FALSE))</f>
        <v>-125.131174</v>
      </c>
      <c r="H127" s="23" t="str">
        <f t="shared" ref="H127:N127" si="252">IF(ISERROR(H126),IF(ISERROR(H125),IF(ISERROR(H124),"BLANK",H124),H125),H126)</f>
        <v>4/24/2024</v>
      </c>
      <c r="I127" s="20">
        <f t="shared" si="252"/>
        <v>3</v>
      </c>
      <c r="J127" s="20" t="str">
        <f t="shared" si="252"/>
        <v>NE</v>
      </c>
      <c r="K127" s="27">
        <f t="shared" si="252"/>
        <v>0.54374999999999996</v>
      </c>
      <c r="L127" s="20">
        <f t="shared" si="252"/>
        <v>5.5</v>
      </c>
      <c r="M127" s="20">
        <f t="shared" si="252"/>
        <v>2</v>
      </c>
      <c r="N127" s="20">
        <f t="shared" si="252"/>
        <v>1</v>
      </c>
      <c r="O127" s="20">
        <v>16</v>
      </c>
      <c r="P127" s="20" t="s">
        <v>39</v>
      </c>
      <c r="Q127" s="21" t="str">
        <f>IF($M127=1,IF(ISERROR(VLOOKUP($P127,'M1'!$A:$C,Q$2,FALSE)),"NOT PRESENT",VLOOKUP($P127,'M1'!$A:$C,Q$2,FALSE)),IF($M127=2,IF(ISERROR(VLOOKUP(DATA!$P127,'M2'!$A:$C,Q$2,FALSE)),"NOT PRESENT",VLOOKUP(DATA!$P127,'M2'!$A:$C,Q$2,FALSE)),IF($M127=0,IF(ISERROR(VLOOKUP($P127,'M1'!$A:$C,Q$2,FALSE)),IF(ISERROR(VLOOKUP(DATA!$P127,'M2'!$A:$C,Q$2,FALSE)),"NOT PRESENT",VLOOKUP(DATA!$P127,'M2'!$A:$C,Q$2,FALSE)),VLOOKUP($P127,'M1'!$A:$C,Q$2,FALSE)),"SPECIFY METHOD")))</f>
        <v>Dermasterias imbricata</v>
      </c>
      <c r="R127" s="21" t="str">
        <f>IF($M127=1,IF(ISERROR(VLOOKUP($P127,'M1'!$A:$C,R$2,FALSE)),"NOT PRESENT",VLOOKUP($P127,'M1'!$A:$C,R$2,FALSE)),IF($M127=2,IF(ISERROR(VLOOKUP(DATA!$P127,'M2'!$A:$C,R$2,FALSE)),"NOT PRESENT",VLOOKUP(DATA!$P127,'M2'!$A:$C,R$2,FALSE)),IF($M127=0,IF(ISERROR(VLOOKUP($P127,'M1'!$A:$C,R$2,FALSE)),IF(ISERROR(VLOOKUP(DATA!$P127,'M2'!$A:$C,R$2,FALSE)),"NOT PRESENT",VLOOKUP(DATA!$P127,'M2'!$A:$C,R$2,FALSE)),VLOOKUP($P127,'M1'!$A:$C,R$2,FALSE)),"SPECIFY METHOD")))</f>
        <v>Leather star</v>
      </c>
      <c r="S127" s="28">
        <f t="shared" si="3"/>
        <v>1</v>
      </c>
      <c r="T127" s="20">
        <v>0</v>
      </c>
      <c r="U127" s="20"/>
      <c r="V127" s="20"/>
      <c r="W127" s="20"/>
      <c r="X127" s="20"/>
      <c r="Y127" s="20"/>
      <c r="Z127" s="20">
        <v>1</v>
      </c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</row>
    <row r="128" spans="1:68" ht="12.75" customHeight="1">
      <c r="A128" s="21">
        <f t="shared" si="2"/>
        <v>126</v>
      </c>
      <c r="B128" s="20" t="s">
        <v>35</v>
      </c>
      <c r="C128" s="20" t="s">
        <v>25</v>
      </c>
      <c r="D128" s="20" t="s">
        <v>60</v>
      </c>
      <c r="E128" s="21" t="str">
        <f>IF(ISERROR(VLOOKUP($D128,SITES!$A:$E,2,FALSE)),"",VLOOKUP($D128,SITES!$A:$E,2,FALSE))</f>
        <v>Hosie South</v>
      </c>
      <c r="F128" s="19">
        <f>IF(ISERROR(VLOOKUP($D128,SITES!$A:$E,3,FALSE)),"",VLOOKUP($D128,SITES!$A:$E,3,FALSE))</f>
        <v>48.9071</v>
      </c>
      <c r="G128" s="22">
        <f>IF(ISERROR(VLOOKUP($D128,SITES!$A:$E,4,FALSE)),"",VLOOKUP($D128,SITES!$A:$E,4,FALSE))</f>
        <v>-125.03701700000001</v>
      </c>
      <c r="H128" s="23">
        <v>45406</v>
      </c>
      <c r="I128" s="20">
        <v>1.5</v>
      </c>
      <c r="J128" s="20" t="s">
        <v>33</v>
      </c>
      <c r="K128" s="27">
        <v>0.42083333333333334</v>
      </c>
      <c r="L128" s="20">
        <v>8</v>
      </c>
      <c r="M128" s="20">
        <v>2</v>
      </c>
      <c r="N128" s="20">
        <v>2</v>
      </c>
      <c r="O128" s="20">
        <v>48</v>
      </c>
      <c r="P128" s="20" t="s">
        <v>49</v>
      </c>
      <c r="Q128" s="21" t="str">
        <f>IF($M128=1,IF(ISERROR(VLOOKUP($P128,'M1'!$A:$C,Q$2,FALSE)),"NOT PRESENT",VLOOKUP($P128,'M1'!$A:$C,Q$2,FALSE)),IF($M128=2,IF(ISERROR(VLOOKUP(DATA!$P128,'M2'!$A:$C,Q$2,FALSE)),"NOT PRESENT",VLOOKUP(DATA!$P128,'M2'!$A:$C,Q$2,FALSE)),IF($M128=0,IF(ISERROR(VLOOKUP($P128,'M1'!$A:$C,Q$2,FALSE)),IF(ISERROR(VLOOKUP(DATA!$P128,'M2'!$A:$C,Q$2,FALSE)),"NOT PRESENT",VLOOKUP(DATA!$P128,'M2'!$A:$C,Q$2,FALSE)),VLOOKUP($P128,'M1'!$A:$C,Q$2,FALSE)),"SPECIFY METHOD")))</f>
        <v>Henricia sp.</v>
      </c>
      <c r="R128" s="21" t="str">
        <f>IF($M128=1,IF(ISERROR(VLOOKUP($P128,'M1'!$A:$C,R$2,FALSE)),"NOT PRESENT",VLOOKUP($P128,'M1'!$A:$C,R$2,FALSE)),IF($M128=2,IF(ISERROR(VLOOKUP(DATA!$P128,'M2'!$A:$C,R$2,FALSE)),"NOT PRESENT",VLOOKUP(DATA!$P128,'M2'!$A:$C,R$2,FALSE)),IF($M128=0,IF(ISERROR(VLOOKUP($P128,'M1'!$A:$C,R$2,FALSE)),IF(ISERROR(VLOOKUP(DATA!$P128,'M2'!$A:$C,R$2,FALSE)),"NOT PRESENT",VLOOKUP(DATA!$P128,'M2'!$A:$C,R$2,FALSE)),VLOOKUP($P128,'M1'!$A:$C,R$2,FALSE)),"SPECIFY METHOD")))</f>
        <v>Unidentified blood star</v>
      </c>
      <c r="S128" s="28">
        <f t="shared" si="3"/>
        <v>1</v>
      </c>
      <c r="T128" s="20">
        <v>0</v>
      </c>
      <c r="U128" s="20"/>
      <c r="V128" s="20"/>
      <c r="W128" s="20">
        <v>1</v>
      </c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</row>
    <row r="129" spans="1:68" ht="12.75" customHeight="1">
      <c r="A129" s="21">
        <f t="shared" si="2"/>
        <v>127</v>
      </c>
      <c r="B129" s="20" t="str">
        <f t="shared" ref="B129:D129" si="253">IF(ISERROR(B128),IF(ISERROR(B127),IF(ISERROR(B126),"BLANK",B126),B127),B128)</f>
        <v>Em Lim</v>
      </c>
      <c r="C129" s="20" t="str">
        <f t="shared" si="253"/>
        <v>Tom Bird</v>
      </c>
      <c r="D129" s="20" t="str">
        <f t="shared" si="253"/>
        <v>BMSC26</v>
      </c>
      <c r="E129" s="21" t="str">
        <f>IF(ISERROR(VLOOKUP($D129,SITES!$A:$E,2,FALSE)),"",VLOOKUP($D129,SITES!$A:$E,2,FALSE))</f>
        <v>Hosie South</v>
      </c>
      <c r="F129" s="19">
        <f>IF(ISERROR(VLOOKUP($D129,SITES!$A:$E,3,FALSE)),"",VLOOKUP($D129,SITES!$A:$E,3,FALSE))</f>
        <v>48.9071</v>
      </c>
      <c r="G129" s="22">
        <f>IF(ISERROR(VLOOKUP($D129,SITES!$A:$E,4,FALSE)),"",VLOOKUP($D129,SITES!$A:$E,4,FALSE))</f>
        <v>-125.03701700000001</v>
      </c>
      <c r="H129" s="23">
        <f t="shared" ref="H129:M129" si="254">IF(ISERROR(H128),IF(ISERROR(H127),IF(ISERROR(H126),"BLANK",H126),H127),H128)</f>
        <v>45406</v>
      </c>
      <c r="I129" s="20">
        <f t="shared" si="254"/>
        <v>1.5</v>
      </c>
      <c r="J129" s="20" t="str">
        <f t="shared" si="254"/>
        <v>SW</v>
      </c>
      <c r="K129" s="27">
        <f t="shared" si="254"/>
        <v>0.42083333333333334</v>
      </c>
      <c r="L129" s="20">
        <f t="shared" si="254"/>
        <v>8</v>
      </c>
      <c r="M129" s="20">
        <f t="shared" si="254"/>
        <v>2</v>
      </c>
      <c r="N129" s="20">
        <v>2</v>
      </c>
      <c r="O129" s="20">
        <v>32</v>
      </c>
      <c r="P129" s="20" t="s">
        <v>39</v>
      </c>
      <c r="Q129" s="21" t="str">
        <f>IF($M129=1,IF(ISERROR(VLOOKUP($P129,'M1'!$A:$C,Q$2,FALSE)),"NOT PRESENT",VLOOKUP($P129,'M1'!$A:$C,Q$2,FALSE)),IF($M129=2,IF(ISERROR(VLOOKUP(DATA!$P129,'M2'!$A:$C,Q$2,FALSE)),"NOT PRESENT",VLOOKUP(DATA!$P129,'M2'!$A:$C,Q$2,FALSE)),IF($M129=0,IF(ISERROR(VLOOKUP($P129,'M1'!$A:$C,Q$2,FALSE)),IF(ISERROR(VLOOKUP(DATA!$P129,'M2'!$A:$C,Q$2,FALSE)),"NOT PRESENT",VLOOKUP(DATA!$P129,'M2'!$A:$C,Q$2,FALSE)),VLOOKUP($P129,'M1'!$A:$C,Q$2,FALSE)),"SPECIFY METHOD")))</f>
        <v>Dermasterias imbricata</v>
      </c>
      <c r="R129" s="21" t="str">
        <f>IF($M129=1,IF(ISERROR(VLOOKUP($P129,'M1'!$A:$C,R$2,FALSE)),"NOT PRESENT",VLOOKUP($P129,'M1'!$A:$C,R$2,FALSE)),IF($M129=2,IF(ISERROR(VLOOKUP(DATA!$P129,'M2'!$A:$C,R$2,FALSE)),"NOT PRESENT",VLOOKUP(DATA!$P129,'M2'!$A:$C,R$2,FALSE)),IF($M129=0,IF(ISERROR(VLOOKUP($P129,'M1'!$A:$C,R$2,FALSE)),IF(ISERROR(VLOOKUP(DATA!$P129,'M2'!$A:$C,R$2,FALSE)),"NOT PRESENT",VLOOKUP(DATA!$P129,'M2'!$A:$C,R$2,FALSE)),VLOOKUP($P129,'M1'!$A:$C,R$2,FALSE)),"SPECIFY METHOD")))</f>
        <v>Leather star</v>
      </c>
      <c r="S129" s="28">
        <f t="shared" si="3"/>
        <v>1</v>
      </c>
      <c r="T129" s="20">
        <v>0</v>
      </c>
      <c r="U129" s="20"/>
      <c r="V129" s="20"/>
      <c r="W129" s="20"/>
      <c r="X129" s="20"/>
      <c r="Y129" s="20"/>
      <c r="Z129" s="20"/>
      <c r="AA129" s="20">
        <v>1</v>
      </c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</row>
    <row r="130" spans="1:68" ht="12.75" customHeight="1">
      <c r="A130" s="21">
        <f t="shared" si="2"/>
        <v>128</v>
      </c>
      <c r="B130" s="20" t="str">
        <f t="shared" ref="B130:D130" si="255">IF(ISERROR(B129),IF(ISERROR(B128),IF(ISERROR(B127),"BLANK",B127),B128),B129)</f>
        <v>Em Lim</v>
      </c>
      <c r="C130" s="20" t="str">
        <f t="shared" si="255"/>
        <v>Tom Bird</v>
      </c>
      <c r="D130" s="20" t="str">
        <f t="shared" si="255"/>
        <v>BMSC26</v>
      </c>
      <c r="E130" s="21" t="str">
        <f>IF(ISERROR(VLOOKUP($D130,SITES!$A:$E,2,FALSE)),"",VLOOKUP($D130,SITES!$A:$E,2,FALSE))</f>
        <v>Hosie South</v>
      </c>
      <c r="F130" s="19">
        <f>IF(ISERROR(VLOOKUP($D130,SITES!$A:$E,3,FALSE)),"",VLOOKUP($D130,SITES!$A:$E,3,FALSE))</f>
        <v>48.9071</v>
      </c>
      <c r="G130" s="22">
        <f>IF(ISERROR(VLOOKUP($D130,SITES!$A:$E,4,FALSE)),"",VLOOKUP($D130,SITES!$A:$E,4,FALSE))</f>
        <v>-125.03701700000001</v>
      </c>
      <c r="H130" s="23">
        <f t="shared" ref="H130:M130" si="256">IF(ISERROR(H129),IF(ISERROR(H128),IF(ISERROR(H127),"BLANK",H127),H128),H129)</f>
        <v>45406</v>
      </c>
      <c r="I130" s="20">
        <f t="shared" si="256"/>
        <v>1.5</v>
      </c>
      <c r="J130" s="20" t="str">
        <f t="shared" si="256"/>
        <v>SW</v>
      </c>
      <c r="K130" s="27">
        <f t="shared" si="256"/>
        <v>0.42083333333333334</v>
      </c>
      <c r="L130" s="20">
        <f t="shared" si="256"/>
        <v>8</v>
      </c>
      <c r="M130" s="20">
        <f t="shared" si="256"/>
        <v>2</v>
      </c>
      <c r="N130" s="20">
        <v>2</v>
      </c>
      <c r="O130" s="20">
        <v>16</v>
      </c>
      <c r="P130" s="20" t="s">
        <v>54</v>
      </c>
      <c r="Q130" s="21" t="str">
        <f>IF($M130=1,IF(ISERROR(VLOOKUP($P130,'M1'!$A:$C,Q$2,FALSE)),"NOT PRESENT",VLOOKUP($P130,'M1'!$A:$C,Q$2,FALSE)),IF($M130=2,IF(ISERROR(VLOOKUP(DATA!$P130,'M2'!$A:$C,Q$2,FALSE)),"NOT PRESENT",VLOOKUP(DATA!$P130,'M2'!$A:$C,Q$2,FALSE)),IF($M130=0,IF(ISERROR(VLOOKUP($P130,'M1'!$A:$C,Q$2,FALSE)),IF(ISERROR(VLOOKUP(DATA!$P130,'M2'!$A:$C,Q$2,FALSE)),"NOT PRESENT",VLOOKUP(DATA!$P130,'M2'!$A:$C,Q$2,FALSE)),VLOOKUP($P130,'M1'!$A:$C,Q$2,FALSE)),"SPECIFY METHOD")))</f>
        <v>Pycnopodia helianthoides</v>
      </c>
      <c r="R130" s="21" t="str">
        <f>IF($M130=1,IF(ISERROR(VLOOKUP($P130,'M1'!$A:$C,R$2,FALSE)),"NOT PRESENT",VLOOKUP($P130,'M1'!$A:$C,R$2,FALSE)),IF($M130=2,IF(ISERROR(VLOOKUP(DATA!$P130,'M2'!$A:$C,R$2,FALSE)),"NOT PRESENT",VLOOKUP(DATA!$P130,'M2'!$A:$C,R$2,FALSE)),IF($M130=0,IF(ISERROR(VLOOKUP($P130,'M1'!$A:$C,R$2,FALSE)),IF(ISERROR(VLOOKUP(DATA!$P130,'M2'!$A:$C,R$2,FALSE)),"NOT PRESENT",VLOOKUP(DATA!$P130,'M2'!$A:$C,R$2,FALSE)),VLOOKUP($P130,'M1'!$A:$C,R$2,FALSE)),"SPECIFY METHOD")))</f>
        <v>Sunflower star</v>
      </c>
      <c r="S130" s="28">
        <f t="shared" si="3"/>
        <v>1</v>
      </c>
      <c r="T130" s="20">
        <v>0</v>
      </c>
      <c r="U130" s="20">
        <v>1</v>
      </c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</row>
    <row r="131" spans="1:68" ht="12.75" customHeight="1">
      <c r="A131" s="21">
        <f t="shared" si="2"/>
        <v>129</v>
      </c>
      <c r="B131" s="20" t="str">
        <f t="shared" ref="B131:D131" si="257">IF(ISERROR(B130),IF(ISERROR(B129),IF(ISERROR(B128),"BLANK",B128),B129),B130)</f>
        <v>Em Lim</v>
      </c>
      <c r="C131" s="20" t="str">
        <f t="shared" si="257"/>
        <v>Tom Bird</v>
      </c>
      <c r="D131" s="20" t="str">
        <f t="shared" si="257"/>
        <v>BMSC26</v>
      </c>
      <c r="E131" s="21" t="str">
        <f>IF(ISERROR(VLOOKUP($D131,SITES!$A:$E,2,FALSE)),"",VLOOKUP($D131,SITES!$A:$E,2,FALSE))</f>
        <v>Hosie South</v>
      </c>
      <c r="F131" s="19">
        <f>IF(ISERROR(VLOOKUP($D131,SITES!$A:$E,3,FALSE)),"",VLOOKUP($D131,SITES!$A:$E,3,FALSE))</f>
        <v>48.9071</v>
      </c>
      <c r="G131" s="22">
        <f>IF(ISERROR(VLOOKUP($D131,SITES!$A:$E,4,FALSE)),"",VLOOKUP($D131,SITES!$A:$E,4,FALSE))</f>
        <v>-125.03701700000001</v>
      </c>
      <c r="H131" s="23">
        <f t="shared" ref="H131:N131" si="258">IF(ISERROR(H130),IF(ISERROR(H129),IF(ISERROR(H128),"BLANK",H128),H129),H130)</f>
        <v>45406</v>
      </c>
      <c r="I131" s="20">
        <f t="shared" si="258"/>
        <v>1.5</v>
      </c>
      <c r="J131" s="20" t="str">
        <f t="shared" si="258"/>
        <v>SW</v>
      </c>
      <c r="K131" s="27">
        <f t="shared" si="258"/>
        <v>0.42083333333333334</v>
      </c>
      <c r="L131" s="20">
        <f t="shared" si="258"/>
        <v>8</v>
      </c>
      <c r="M131" s="20">
        <f t="shared" si="258"/>
        <v>2</v>
      </c>
      <c r="N131" s="20">
        <f t="shared" si="258"/>
        <v>2</v>
      </c>
      <c r="O131" s="20">
        <v>0</v>
      </c>
      <c r="P131" s="20" t="s">
        <v>61</v>
      </c>
      <c r="Q131" s="21" t="str">
        <f>IF($M131=1,IF(ISERROR(VLOOKUP($P131,'M1'!$A:$C,Q$2,FALSE)),"NOT PRESENT",VLOOKUP($P131,'M1'!$A:$C,Q$2,FALSE)),IF($M131=2,IF(ISERROR(VLOOKUP(DATA!$P131,'M2'!$A:$C,Q$2,FALSE)),"NOT PRESENT",VLOOKUP(DATA!$P131,'M2'!$A:$C,Q$2,FALSE)),IF($M131=0,IF(ISERROR(VLOOKUP($P131,'M1'!$A:$C,Q$2,FALSE)),IF(ISERROR(VLOOKUP(DATA!$P131,'M2'!$A:$C,Q$2,FALSE)),"NOT PRESENT",VLOOKUP(DATA!$P131,'M2'!$A:$C,Q$2,FALSE)),VLOOKUP($P131,'M1'!$A:$C,Q$2,FALSE)),"SPECIFY METHOD")))</f>
        <v>No species found</v>
      </c>
      <c r="R131" s="21" t="str">
        <f>IF($M131=1,IF(ISERROR(VLOOKUP($P131,'M1'!$A:$C,R$2,FALSE)),"NOT PRESENT",VLOOKUP($P131,'M1'!$A:$C,R$2,FALSE)),IF($M131=2,IF(ISERROR(VLOOKUP(DATA!$P131,'M2'!$A:$C,R$2,FALSE)),"NOT PRESENT",VLOOKUP(DATA!$P131,'M2'!$A:$C,R$2,FALSE)),IF($M131=0,IF(ISERROR(VLOOKUP($P131,'M1'!$A:$C,R$2,FALSE)),IF(ISERROR(VLOOKUP(DATA!$P131,'M2'!$A:$C,R$2,FALSE)),"NOT PRESENT",VLOOKUP(DATA!$P131,'M2'!$A:$C,R$2,FALSE)),VLOOKUP($P131,'M1'!$A:$C,R$2,FALSE)),"SPECIFY METHOD")))</f>
        <v>No species found</v>
      </c>
      <c r="S131" s="28">
        <f t="shared" si="3"/>
        <v>1</v>
      </c>
      <c r="T131" s="20">
        <v>1</v>
      </c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</row>
    <row r="132" spans="1:68" ht="12.75" customHeight="1">
      <c r="A132" s="21">
        <f t="shared" si="2"/>
        <v>130</v>
      </c>
      <c r="B132" s="20" t="str">
        <f t="shared" ref="B132:C132" si="259">IF(ISERROR(B131),IF(ISERROR(B130),IF(ISERROR(B129),"BLANK",B129),B130),B131)</f>
        <v>Em Lim</v>
      </c>
      <c r="C132" s="20" t="str">
        <f t="shared" si="259"/>
        <v>Tom Bird</v>
      </c>
      <c r="D132" s="20" t="s">
        <v>57</v>
      </c>
      <c r="E132" s="21" t="str">
        <f>IF(ISERROR(VLOOKUP($D132,SITES!$A:$E,2,FALSE)),"",VLOOKUP($D132,SITES!$A:$E,2,FALSE))</f>
        <v>Swiss Boy</v>
      </c>
      <c r="F132" s="19">
        <f>IF(ISERROR(VLOOKUP($D132,SITES!$A:$E,3,FALSE)),"",VLOOKUP($D132,SITES!$A:$E,3,FALSE))</f>
        <v>48.916072999999997</v>
      </c>
      <c r="G132" s="22">
        <f>IF(ISERROR(VLOOKUP($D132,SITES!$A:$E,4,FALSE)),"",VLOOKUP($D132,SITES!$A:$E,4,FALSE))</f>
        <v>-125.131174</v>
      </c>
      <c r="H132" s="23">
        <f t="shared" ref="H132:H143" si="260">IF(ISERROR(H131),IF(ISERROR(H130),IF(ISERROR(H129),"BLANK",H129),H130),H131)</f>
        <v>45406</v>
      </c>
      <c r="I132" s="20">
        <v>4</v>
      </c>
      <c r="J132" s="20" t="s">
        <v>59</v>
      </c>
      <c r="K132" s="27">
        <v>0.54374999999999996</v>
      </c>
      <c r="L132" s="20">
        <v>10.5</v>
      </c>
      <c r="M132" s="20">
        <v>2</v>
      </c>
      <c r="N132" s="20">
        <v>1</v>
      </c>
      <c r="O132" s="20">
        <v>48</v>
      </c>
      <c r="P132" s="20" t="s">
        <v>41</v>
      </c>
      <c r="Q132" s="21" t="str">
        <f>IF($M132=1,IF(ISERROR(VLOOKUP($P132,'M1'!$A:$C,Q$2,FALSE)),"NOT PRESENT",VLOOKUP($P132,'M1'!$A:$C,Q$2,FALSE)),IF($M132=2,IF(ISERROR(VLOOKUP(DATA!$P132,'M2'!$A:$C,Q$2,FALSE)),"NOT PRESENT",VLOOKUP(DATA!$P132,'M2'!$A:$C,Q$2,FALSE)),IF($M132=0,IF(ISERROR(VLOOKUP($P132,'M1'!$A:$C,Q$2,FALSE)),IF(ISERROR(VLOOKUP(DATA!$P132,'M2'!$A:$C,Q$2,FALSE)),"NOT PRESENT",VLOOKUP(DATA!$P132,'M2'!$A:$C,Q$2,FALSE)),VLOOKUP($P132,'M1'!$A:$C,Q$2,FALSE)),"SPECIFY METHOD")))</f>
        <v>Mesocentrotus franciscanus</v>
      </c>
      <c r="R132" s="21" t="str">
        <f>IF($M132=1,IF(ISERROR(VLOOKUP($P132,'M1'!$A:$C,R$2,FALSE)),"NOT PRESENT",VLOOKUP($P132,'M1'!$A:$C,R$2,FALSE)),IF($M132=2,IF(ISERROR(VLOOKUP(DATA!$P132,'M2'!$A:$C,R$2,FALSE)),"NOT PRESENT",VLOOKUP(DATA!$P132,'M2'!$A:$C,R$2,FALSE)),IF($M132=0,IF(ISERROR(VLOOKUP($P132,'M1'!$A:$C,R$2,FALSE)),IF(ISERROR(VLOOKUP(DATA!$P132,'M2'!$A:$C,R$2,FALSE)),"NOT PRESENT",VLOOKUP(DATA!$P132,'M2'!$A:$C,R$2,FALSE)),VLOOKUP($P132,'M1'!$A:$C,R$2,FALSE)),"SPECIFY METHOD")))</f>
        <v>Red sea urchin</v>
      </c>
      <c r="S132" s="28">
        <f t="shared" si="3"/>
        <v>3</v>
      </c>
      <c r="T132" s="20">
        <v>0</v>
      </c>
      <c r="U132" s="20"/>
      <c r="V132" s="20"/>
      <c r="W132" s="20"/>
      <c r="X132" s="20">
        <v>3</v>
      </c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</row>
    <row r="133" spans="1:68" ht="12.75" customHeight="1">
      <c r="A133" s="21">
        <f t="shared" si="2"/>
        <v>131</v>
      </c>
      <c r="B133" s="20" t="str">
        <f t="shared" ref="B133:D133" si="261">IF(ISERROR(B132),IF(ISERROR(B131),IF(ISERROR(B130),"BLANK",B130),B131),B132)</f>
        <v>Em Lim</v>
      </c>
      <c r="C133" s="20" t="str">
        <f t="shared" si="261"/>
        <v>Tom Bird</v>
      </c>
      <c r="D133" s="20" t="str">
        <f t="shared" si="261"/>
        <v>BMSC24</v>
      </c>
      <c r="E133" s="21" t="str">
        <f>IF(ISERROR(VLOOKUP($D133,SITES!$A:$E,2,FALSE)),"",VLOOKUP($D133,SITES!$A:$E,2,FALSE))</f>
        <v>Swiss Boy</v>
      </c>
      <c r="F133" s="19">
        <f>IF(ISERROR(VLOOKUP($D133,SITES!$A:$E,3,FALSE)),"",VLOOKUP($D133,SITES!$A:$E,3,FALSE))</f>
        <v>48.916072999999997</v>
      </c>
      <c r="G133" s="22">
        <f>IF(ISERROR(VLOOKUP($D133,SITES!$A:$E,4,FALSE)),"",VLOOKUP($D133,SITES!$A:$E,4,FALSE))</f>
        <v>-125.131174</v>
      </c>
      <c r="H133" s="23">
        <f t="shared" si="260"/>
        <v>45406</v>
      </c>
      <c r="I133" s="20">
        <f t="shared" ref="I133:N133" si="262">IF(ISERROR(I132),IF(ISERROR(I131),IF(ISERROR(I130),"BLANK",I130),I131),I132)</f>
        <v>4</v>
      </c>
      <c r="J133" s="20" t="str">
        <f t="shared" si="262"/>
        <v>NE</v>
      </c>
      <c r="K133" s="27">
        <f t="shared" si="262"/>
        <v>0.54374999999999996</v>
      </c>
      <c r="L133" s="20">
        <f t="shared" si="262"/>
        <v>10.5</v>
      </c>
      <c r="M133" s="20">
        <f t="shared" si="262"/>
        <v>2</v>
      </c>
      <c r="N133" s="20">
        <f t="shared" si="262"/>
        <v>1</v>
      </c>
      <c r="O133" s="20">
        <v>48</v>
      </c>
      <c r="P133" s="20" t="s">
        <v>42</v>
      </c>
      <c r="Q133" s="21" t="str">
        <f>IF($M133=1,IF(ISERROR(VLOOKUP($P133,'M1'!$A:$C,Q$2,FALSE)),"NOT PRESENT",VLOOKUP($P133,'M1'!$A:$C,Q$2,FALSE)),IF($M133=2,IF(ISERROR(VLOOKUP(DATA!$P133,'M2'!$A:$C,Q$2,FALSE)),"NOT PRESENT",VLOOKUP(DATA!$P133,'M2'!$A:$C,Q$2,FALSE)),IF($M133=0,IF(ISERROR(VLOOKUP($P133,'M1'!$A:$C,Q$2,FALSE)),IF(ISERROR(VLOOKUP(DATA!$P133,'M2'!$A:$C,Q$2,FALSE)),"NOT PRESENT",VLOOKUP(DATA!$P133,'M2'!$A:$C,Q$2,FALSE)),VLOOKUP($P133,'M1'!$A:$C,Q$2,FALSE)),"SPECIFY METHOD")))</f>
        <v>Orthasterias koehleri</v>
      </c>
      <c r="R133" s="21" t="str">
        <f>IF($M133=1,IF(ISERROR(VLOOKUP($P133,'M1'!$A:$C,R$2,FALSE)),"NOT PRESENT",VLOOKUP($P133,'M1'!$A:$C,R$2,FALSE)),IF($M133=2,IF(ISERROR(VLOOKUP(DATA!$P133,'M2'!$A:$C,R$2,FALSE)),"NOT PRESENT",VLOOKUP(DATA!$P133,'M2'!$A:$C,R$2,FALSE)),IF($M133=0,IF(ISERROR(VLOOKUP($P133,'M1'!$A:$C,R$2,FALSE)),IF(ISERROR(VLOOKUP(DATA!$P133,'M2'!$A:$C,R$2,FALSE)),"NOT PRESENT",VLOOKUP(DATA!$P133,'M2'!$A:$C,R$2,FALSE)),VLOOKUP($P133,'M1'!$A:$C,R$2,FALSE)),"SPECIFY METHOD")))</f>
        <v>Rainbow star</v>
      </c>
      <c r="S133" s="28">
        <f t="shared" si="3"/>
        <v>1</v>
      </c>
      <c r="T133" s="20">
        <v>0</v>
      </c>
      <c r="U133" s="20"/>
      <c r="V133" s="20"/>
      <c r="W133" s="20"/>
      <c r="X133" s="20"/>
      <c r="Y133" s="20">
        <v>1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</row>
    <row r="134" spans="1:68" ht="12.75" customHeight="1">
      <c r="A134" s="21">
        <f t="shared" si="2"/>
        <v>132</v>
      </c>
      <c r="B134" s="20" t="str">
        <f t="shared" ref="B134:D134" si="263">IF(ISERROR(B133),IF(ISERROR(B132),IF(ISERROR(B131),"BLANK",B131),B132),B133)</f>
        <v>Em Lim</v>
      </c>
      <c r="C134" s="20" t="str">
        <f t="shared" si="263"/>
        <v>Tom Bird</v>
      </c>
      <c r="D134" s="20" t="str">
        <f t="shared" si="263"/>
        <v>BMSC24</v>
      </c>
      <c r="E134" s="21" t="str">
        <f>IF(ISERROR(VLOOKUP($D134,SITES!$A:$E,2,FALSE)),"",VLOOKUP($D134,SITES!$A:$E,2,FALSE))</f>
        <v>Swiss Boy</v>
      </c>
      <c r="F134" s="19">
        <f>IF(ISERROR(VLOOKUP($D134,SITES!$A:$E,3,FALSE)),"",VLOOKUP($D134,SITES!$A:$E,3,FALSE))</f>
        <v>48.916072999999997</v>
      </c>
      <c r="G134" s="22">
        <f>IF(ISERROR(VLOOKUP($D134,SITES!$A:$E,4,FALSE)),"",VLOOKUP($D134,SITES!$A:$E,4,FALSE))</f>
        <v>-125.131174</v>
      </c>
      <c r="H134" s="23">
        <f t="shared" si="260"/>
        <v>45406</v>
      </c>
      <c r="I134" s="20">
        <f t="shared" ref="I134:N134" si="264">IF(ISERROR(I133),IF(ISERROR(I132),IF(ISERROR(I131),"BLANK",I131),I132),I133)</f>
        <v>4</v>
      </c>
      <c r="J134" s="20" t="str">
        <f t="shared" si="264"/>
        <v>NE</v>
      </c>
      <c r="K134" s="27">
        <f t="shared" si="264"/>
        <v>0.54374999999999996</v>
      </c>
      <c r="L134" s="20">
        <f t="shared" si="264"/>
        <v>10.5</v>
      </c>
      <c r="M134" s="20">
        <f t="shared" si="264"/>
        <v>2</v>
      </c>
      <c r="N134" s="20">
        <f t="shared" si="264"/>
        <v>1</v>
      </c>
      <c r="O134" s="20">
        <v>40</v>
      </c>
      <c r="P134" s="20" t="s">
        <v>41</v>
      </c>
      <c r="Q134" s="21" t="str">
        <f>IF($M134=1,IF(ISERROR(VLOOKUP($P134,'M1'!$A:$C,Q$2,FALSE)),"NOT PRESENT",VLOOKUP($P134,'M1'!$A:$C,Q$2,FALSE)),IF($M134=2,IF(ISERROR(VLOOKUP(DATA!$P134,'M2'!$A:$C,Q$2,FALSE)),"NOT PRESENT",VLOOKUP(DATA!$P134,'M2'!$A:$C,Q$2,FALSE)),IF($M134=0,IF(ISERROR(VLOOKUP($P134,'M1'!$A:$C,Q$2,FALSE)),IF(ISERROR(VLOOKUP(DATA!$P134,'M2'!$A:$C,Q$2,FALSE)),"NOT PRESENT",VLOOKUP(DATA!$P134,'M2'!$A:$C,Q$2,FALSE)),VLOOKUP($P134,'M1'!$A:$C,Q$2,FALSE)),"SPECIFY METHOD")))</f>
        <v>Mesocentrotus franciscanus</v>
      </c>
      <c r="R134" s="21" t="str">
        <f>IF($M134=1,IF(ISERROR(VLOOKUP($P134,'M1'!$A:$C,R$2,FALSE)),"NOT PRESENT",VLOOKUP($P134,'M1'!$A:$C,R$2,FALSE)),IF($M134=2,IF(ISERROR(VLOOKUP(DATA!$P134,'M2'!$A:$C,R$2,FALSE)),"NOT PRESENT",VLOOKUP(DATA!$P134,'M2'!$A:$C,R$2,FALSE)),IF($M134=0,IF(ISERROR(VLOOKUP($P134,'M1'!$A:$C,R$2,FALSE)),IF(ISERROR(VLOOKUP(DATA!$P134,'M2'!$A:$C,R$2,FALSE)),"NOT PRESENT",VLOOKUP(DATA!$P134,'M2'!$A:$C,R$2,FALSE)),VLOOKUP($P134,'M1'!$A:$C,R$2,FALSE)),"SPECIFY METHOD")))</f>
        <v>Red sea urchin</v>
      </c>
      <c r="S134" s="28">
        <f t="shared" si="3"/>
        <v>1</v>
      </c>
      <c r="T134" s="20">
        <v>0</v>
      </c>
      <c r="U134" s="20"/>
      <c r="V134" s="20"/>
      <c r="W134" s="20"/>
      <c r="X134" s="20"/>
      <c r="Y134" s="20">
        <v>1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</row>
    <row r="135" spans="1:68" ht="12.75" customHeight="1">
      <c r="A135" s="21">
        <f t="shared" si="2"/>
        <v>133</v>
      </c>
      <c r="B135" s="20" t="str">
        <f t="shared" ref="B135:D135" si="265">IF(ISERROR(B134),IF(ISERROR(B133),IF(ISERROR(B132),"BLANK",B132),B133),B134)</f>
        <v>Em Lim</v>
      </c>
      <c r="C135" s="20" t="str">
        <f t="shared" si="265"/>
        <v>Tom Bird</v>
      </c>
      <c r="D135" s="20" t="str">
        <f t="shared" si="265"/>
        <v>BMSC24</v>
      </c>
      <c r="E135" s="21" t="str">
        <f>IF(ISERROR(VLOOKUP($D135,SITES!$A:$E,2,FALSE)),"",VLOOKUP($D135,SITES!$A:$E,2,FALSE))</f>
        <v>Swiss Boy</v>
      </c>
      <c r="F135" s="19">
        <f>IF(ISERROR(VLOOKUP($D135,SITES!$A:$E,3,FALSE)),"",VLOOKUP($D135,SITES!$A:$E,3,FALSE))</f>
        <v>48.916072999999997</v>
      </c>
      <c r="G135" s="22">
        <f>IF(ISERROR(VLOOKUP($D135,SITES!$A:$E,4,FALSE)),"",VLOOKUP($D135,SITES!$A:$E,4,FALSE))</f>
        <v>-125.131174</v>
      </c>
      <c r="H135" s="23">
        <f t="shared" si="260"/>
        <v>45406</v>
      </c>
      <c r="I135" s="20">
        <f t="shared" ref="I135:N135" si="266">IF(ISERROR(I134),IF(ISERROR(I133),IF(ISERROR(I132),"BLANK",I132),I133),I134)</f>
        <v>4</v>
      </c>
      <c r="J135" s="20" t="str">
        <f t="shared" si="266"/>
        <v>NE</v>
      </c>
      <c r="K135" s="27">
        <f t="shared" si="266"/>
        <v>0.54374999999999996</v>
      </c>
      <c r="L135" s="20">
        <f t="shared" si="266"/>
        <v>10.5</v>
      </c>
      <c r="M135" s="20">
        <f t="shared" si="266"/>
        <v>2</v>
      </c>
      <c r="N135" s="20">
        <f t="shared" si="266"/>
        <v>1</v>
      </c>
      <c r="O135" s="20">
        <v>40</v>
      </c>
      <c r="P135" s="20" t="s">
        <v>39</v>
      </c>
      <c r="Q135" s="21" t="str">
        <f>IF($M135=1,IF(ISERROR(VLOOKUP($P135,'M1'!$A:$C,Q$2,FALSE)),"NOT PRESENT",VLOOKUP($P135,'M1'!$A:$C,Q$2,FALSE)),IF($M135=2,IF(ISERROR(VLOOKUP(DATA!$P135,'M2'!$A:$C,Q$2,FALSE)),"NOT PRESENT",VLOOKUP(DATA!$P135,'M2'!$A:$C,Q$2,FALSE)),IF($M135=0,IF(ISERROR(VLOOKUP($P135,'M1'!$A:$C,Q$2,FALSE)),IF(ISERROR(VLOOKUP(DATA!$P135,'M2'!$A:$C,Q$2,FALSE)),"NOT PRESENT",VLOOKUP(DATA!$P135,'M2'!$A:$C,Q$2,FALSE)),VLOOKUP($P135,'M1'!$A:$C,Q$2,FALSE)),"SPECIFY METHOD")))</f>
        <v>Dermasterias imbricata</v>
      </c>
      <c r="R135" s="21" t="str">
        <f>IF($M135=1,IF(ISERROR(VLOOKUP($P135,'M1'!$A:$C,R$2,FALSE)),"NOT PRESENT",VLOOKUP($P135,'M1'!$A:$C,R$2,FALSE)),IF($M135=2,IF(ISERROR(VLOOKUP(DATA!$P135,'M2'!$A:$C,R$2,FALSE)),"NOT PRESENT",VLOOKUP(DATA!$P135,'M2'!$A:$C,R$2,FALSE)),IF($M135=0,IF(ISERROR(VLOOKUP($P135,'M1'!$A:$C,R$2,FALSE)),IF(ISERROR(VLOOKUP(DATA!$P135,'M2'!$A:$C,R$2,FALSE)),"NOT PRESENT",VLOOKUP(DATA!$P135,'M2'!$A:$C,R$2,FALSE)),VLOOKUP($P135,'M1'!$A:$C,R$2,FALSE)),"SPECIFY METHOD")))</f>
        <v>Leather star</v>
      </c>
      <c r="S135" s="28">
        <f t="shared" si="3"/>
        <v>1</v>
      </c>
      <c r="T135" s="20">
        <v>0</v>
      </c>
      <c r="U135" s="20"/>
      <c r="V135" s="20"/>
      <c r="W135" s="20">
        <v>1</v>
      </c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</row>
    <row r="136" spans="1:68" ht="12.75" customHeight="1">
      <c r="A136" s="21">
        <f t="shared" si="2"/>
        <v>134</v>
      </c>
      <c r="B136" s="20" t="str">
        <f t="shared" ref="B136:D136" si="267">IF(ISERROR(B135),IF(ISERROR(B134),IF(ISERROR(B133),"BLANK",B133),B134),B135)</f>
        <v>Em Lim</v>
      </c>
      <c r="C136" s="20" t="str">
        <f t="shared" si="267"/>
        <v>Tom Bird</v>
      </c>
      <c r="D136" s="20" t="str">
        <f t="shared" si="267"/>
        <v>BMSC24</v>
      </c>
      <c r="E136" s="21" t="str">
        <f>IF(ISERROR(VLOOKUP($D136,SITES!$A:$E,2,FALSE)),"",VLOOKUP($D136,SITES!$A:$E,2,FALSE))</f>
        <v>Swiss Boy</v>
      </c>
      <c r="F136" s="19">
        <f>IF(ISERROR(VLOOKUP($D136,SITES!$A:$E,3,FALSE)),"",VLOOKUP($D136,SITES!$A:$E,3,FALSE))</f>
        <v>48.916072999999997</v>
      </c>
      <c r="G136" s="22">
        <f>IF(ISERROR(VLOOKUP($D136,SITES!$A:$E,4,FALSE)),"",VLOOKUP($D136,SITES!$A:$E,4,FALSE))</f>
        <v>-125.131174</v>
      </c>
      <c r="H136" s="23">
        <f t="shared" si="260"/>
        <v>45406</v>
      </c>
      <c r="I136" s="20">
        <f t="shared" ref="I136:N136" si="268">IF(ISERROR(I135),IF(ISERROR(I134),IF(ISERROR(I133),"BLANK",I133),I134),I135)</f>
        <v>4</v>
      </c>
      <c r="J136" s="20" t="str">
        <f t="shared" si="268"/>
        <v>NE</v>
      </c>
      <c r="K136" s="27">
        <f t="shared" si="268"/>
        <v>0.54374999999999996</v>
      </c>
      <c r="L136" s="20">
        <f t="shared" si="268"/>
        <v>10.5</v>
      </c>
      <c r="M136" s="20">
        <f t="shared" si="268"/>
        <v>2</v>
      </c>
      <c r="N136" s="20">
        <f t="shared" si="268"/>
        <v>1</v>
      </c>
      <c r="O136" s="20">
        <v>32</v>
      </c>
      <c r="P136" s="20" t="s">
        <v>41</v>
      </c>
      <c r="Q136" s="21" t="str">
        <f>IF($M136=1,IF(ISERROR(VLOOKUP($P136,'M1'!$A:$C,Q$2,FALSE)),"NOT PRESENT",VLOOKUP($P136,'M1'!$A:$C,Q$2,FALSE)),IF($M136=2,IF(ISERROR(VLOOKUP(DATA!$P136,'M2'!$A:$C,Q$2,FALSE)),"NOT PRESENT",VLOOKUP(DATA!$P136,'M2'!$A:$C,Q$2,FALSE)),IF($M136=0,IF(ISERROR(VLOOKUP($P136,'M1'!$A:$C,Q$2,FALSE)),IF(ISERROR(VLOOKUP(DATA!$P136,'M2'!$A:$C,Q$2,FALSE)),"NOT PRESENT",VLOOKUP(DATA!$P136,'M2'!$A:$C,Q$2,FALSE)),VLOOKUP($P136,'M1'!$A:$C,Q$2,FALSE)),"SPECIFY METHOD")))</f>
        <v>Mesocentrotus franciscanus</v>
      </c>
      <c r="R136" s="21" t="str">
        <f>IF($M136=1,IF(ISERROR(VLOOKUP($P136,'M1'!$A:$C,R$2,FALSE)),"NOT PRESENT",VLOOKUP($P136,'M1'!$A:$C,R$2,FALSE)),IF($M136=2,IF(ISERROR(VLOOKUP(DATA!$P136,'M2'!$A:$C,R$2,FALSE)),"NOT PRESENT",VLOOKUP(DATA!$P136,'M2'!$A:$C,R$2,FALSE)),IF($M136=0,IF(ISERROR(VLOOKUP($P136,'M1'!$A:$C,R$2,FALSE)),IF(ISERROR(VLOOKUP(DATA!$P136,'M2'!$A:$C,R$2,FALSE)),"NOT PRESENT",VLOOKUP(DATA!$P136,'M2'!$A:$C,R$2,FALSE)),VLOOKUP($P136,'M1'!$A:$C,R$2,FALSE)),"SPECIFY METHOD")))</f>
        <v>Red sea urchin</v>
      </c>
      <c r="S136" s="28">
        <f t="shared" si="3"/>
        <v>4</v>
      </c>
      <c r="T136" s="20">
        <v>0</v>
      </c>
      <c r="U136" s="20"/>
      <c r="V136" s="20">
        <v>1</v>
      </c>
      <c r="W136" s="20">
        <v>1</v>
      </c>
      <c r="X136" s="20">
        <v>2</v>
      </c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</row>
    <row r="137" spans="1:68" ht="12.75" customHeight="1">
      <c r="A137" s="21">
        <f t="shared" si="2"/>
        <v>135</v>
      </c>
      <c r="B137" s="20" t="str">
        <f t="shared" ref="B137:D137" si="269">IF(ISERROR(B136),IF(ISERROR(B135),IF(ISERROR(B134),"BLANK",B134),B135),B136)</f>
        <v>Em Lim</v>
      </c>
      <c r="C137" s="20" t="str">
        <f t="shared" si="269"/>
        <v>Tom Bird</v>
      </c>
      <c r="D137" s="20" t="str">
        <f t="shared" si="269"/>
        <v>BMSC24</v>
      </c>
      <c r="E137" s="21" t="str">
        <f>IF(ISERROR(VLOOKUP($D137,SITES!$A:$E,2,FALSE)),"",VLOOKUP($D137,SITES!$A:$E,2,FALSE))</f>
        <v>Swiss Boy</v>
      </c>
      <c r="F137" s="19">
        <f>IF(ISERROR(VLOOKUP($D137,SITES!$A:$E,3,FALSE)),"",VLOOKUP($D137,SITES!$A:$E,3,FALSE))</f>
        <v>48.916072999999997</v>
      </c>
      <c r="G137" s="22">
        <f>IF(ISERROR(VLOOKUP($D137,SITES!$A:$E,4,FALSE)),"",VLOOKUP($D137,SITES!$A:$E,4,FALSE))</f>
        <v>-125.131174</v>
      </c>
      <c r="H137" s="23">
        <f t="shared" si="260"/>
        <v>45406</v>
      </c>
      <c r="I137" s="20">
        <f t="shared" ref="I137:N137" si="270">IF(ISERROR(I136),IF(ISERROR(I135),IF(ISERROR(I134),"BLANK",I134),I135),I136)</f>
        <v>4</v>
      </c>
      <c r="J137" s="20" t="str">
        <f t="shared" si="270"/>
        <v>NE</v>
      </c>
      <c r="K137" s="27">
        <f t="shared" si="270"/>
        <v>0.54374999999999996</v>
      </c>
      <c r="L137" s="20">
        <f t="shared" si="270"/>
        <v>10.5</v>
      </c>
      <c r="M137" s="20">
        <f t="shared" si="270"/>
        <v>2</v>
      </c>
      <c r="N137" s="20">
        <f t="shared" si="270"/>
        <v>1</v>
      </c>
      <c r="O137" s="20">
        <v>32</v>
      </c>
      <c r="P137" s="20" t="s">
        <v>39</v>
      </c>
      <c r="Q137" s="21" t="str">
        <f>IF($M137=1,IF(ISERROR(VLOOKUP($P137,'M1'!$A:$C,Q$2,FALSE)),"NOT PRESENT",VLOOKUP($P137,'M1'!$A:$C,Q$2,FALSE)),IF($M137=2,IF(ISERROR(VLOOKUP(DATA!$P137,'M2'!$A:$C,Q$2,FALSE)),"NOT PRESENT",VLOOKUP(DATA!$P137,'M2'!$A:$C,Q$2,FALSE)),IF($M137=0,IF(ISERROR(VLOOKUP($P137,'M1'!$A:$C,Q$2,FALSE)),IF(ISERROR(VLOOKUP(DATA!$P137,'M2'!$A:$C,Q$2,FALSE)),"NOT PRESENT",VLOOKUP(DATA!$P137,'M2'!$A:$C,Q$2,FALSE)),VLOOKUP($P137,'M1'!$A:$C,Q$2,FALSE)),"SPECIFY METHOD")))</f>
        <v>Dermasterias imbricata</v>
      </c>
      <c r="R137" s="21" t="str">
        <f>IF($M137=1,IF(ISERROR(VLOOKUP($P137,'M1'!$A:$C,R$2,FALSE)),"NOT PRESENT",VLOOKUP($P137,'M1'!$A:$C,R$2,FALSE)),IF($M137=2,IF(ISERROR(VLOOKUP(DATA!$P137,'M2'!$A:$C,R$2,FALSE)),"NOT PRESENT",VLOOKUP(DATA!$P137,'M2'!$A:$C,R$2,FALSE)),IF($M137=0,IF(ISERROR(VLOOKUP($P137,'M1'!$A:$C,R$2,FALSE)),IF(ISERROR(VLOOKUP(DATA!$P137,'M2'!$A:$C,R$2,FALSE)),"NOT PRESENT",VLOOKUP(DATA!$P137,'M2'!$A:$C,R$2,FALSE)),VLOOKUP($P137,'M1'!$A:$C,R$2,FALSE)),"SPECIFY METHOD")))</f>
        <v>Leather star</v>
      </c>
      <c r="S137" s="28">
        <f t="shared" si="3"/>
        <v>1</v>
      </c>
      <c r="T137" s="20">
        <v>0</v>
      </c>
      <c r="U137" s="20"/>
      <c r="V137" s="20"/>
      <c r="W137" s="20">
        <v>1</v>
      </c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</row>
    <row r="138" spans="1:68" ht="12.75" customHeight="1">
      <c r="A138" s="21">
        <f t="shared" si="2"/>
        <v>136</v>
      </c>
      <c r="B138" s="20" t="str">
        <f t="shared" ref="B138:D138" si="271">IF(ISERROR(B137),IF(ISERROR(B136),IF(ISERROR(B135),"BLANK",B135),B136),B137)</f>
        <v>Em Lim</v>
      </c>
      <c r="C138" s="20" t="str">
        <f t="shared" si="271"/>
        <v>Tom Bird</v>
      </c>
      <c r="D138" s="20" t="str">
        <f t="shared" si="271"/>
        <v>BMSC24</v>
      </c>
      <c r="E138" s="21" t="str">
        <f>IF(ISERROR(VLOOKUP($D138,SITES!$A:$E,2,FALSE)),"",VLOOKUP($D138,SITES!$A:$E,2,FALSE))</f>
        <v>Swiss Boy</v>
      </c>
      <c r="F138" s="19">
        <f>IF(ISERROR(VLOOKUP($D138,SITES!$A:$E,3,FALSE)),"",VLOOKUP($D138,SITES!$A:$E,3,FALSE))</f>
        <v>48.916072999999997</v>
      </c>
      <c r="G138" s="22">
        <f>IF(ISERROR(VLOOKUP($D138,SITES!$A:$E,4,FALSE)),"",VLOOKUP($D138,SITES!$A:$E,4,FALSE))</f>
        <v>-125.131174</v>
      </c>
      <c r="H138" s="23">
        <f t="shared" si="260"/>
        <v>45406</v>
      </c>
      <c r="I138" s="20">
        <f t="shared" ref="I138:N138" si="272">IF(ISERROR(I137),IF(ISERROR(I136),IF(ISERROR(I135),"BLANK",I135),I136),I137)</f>
        <v>4</v>
      </c>
      <c r="J138" s="20" t="str">
        <f t="shared" si="272"/>
        <v>NE</v>
      </c>
      <c r="K138" s="27">
        <f t="shared" si="272"/>
        <v>0.54374999999999996</v>
      </c>
      <c r="L138" s="20">
        <f t="shared" si="272"/>
        <v>10.5</v>
      </c>
      <c r="M138" s="20">
        <f t="shared" si="272"/>
        <v>2</v>
      </c>
      <c r="N138" s="20">
        <f t="shared" si="272"/>
        <v>1</v>
      </c>
      <c r="O138" s="20">
        <v>32</v>
      </c>
      <c r="P138" s="20" t="s">
        <v>40</v>
      </c>
      <c r="Q138" s="21" t="str">
        <f>IF($M138=1,IF(ISERROR(VLOOKUP($P138,'M1'!$A:$C,Q$2,FALSE)),"NOT PRESENT",VLOOKUP($P138,'M1'!$A:$C,Q$2,FALSE)),IF($M138=2,IF(ISERROR(VLOOKUP(DATA!$P138,'M2'!$A:$C,Q$2,FALSE)),"NOT PRESENT",VLOOKUP(DATA!$P138,'M2'!$A:$C,Q$2,FALSE)),IF($M138=0,IF(ISERROR(VLOOKUP($P138,'M1'!$A:$C,Q$2,FALSE)),IF(ISERROR(VLOOKUP(DATA!$P138,'M2'!$A:$C,Q$2,FALSE)),"NOT PRESENT",VLOOKUP(DATA!$P138,'M2'!$A:$C,Q$2,FALSE)),VLOOKUP($P138,'M1'!$A:$C,Q$2,FALSE)),"SPECIFY METHOD")))</f>
        <v>Patiria miniata</v>
      </c>
      <c r="R138" s="21" t="str">
        <f>IF($M138=1,IF(ISERROR(VLOOKUP($P138,'M1'!$A:$C,R$2,FALSE)),"NOT PRESENT",VLOOKUP($P138,'M1'!$A:$C,R$2,FALSE)),IF($M138=2,IF(ISERROR(VLOOKUP(DATA!$P138,'M2'!$A:$C,R$2,FALSE)),"NOT PRESENT",VLOOKUP(DATA!$P138,'M2'!$A:$C,R$2,FALSE)),IF($M138=0,IF(ISERROR(VLOOKUP($P138,'M1'!$A:$C,R$2,FALSE)),IF(ISERROR(VLOOKUP(DATA!$P138,'M2'!$A:$C,R$2,FALSE)),"NOT PRESENT",VLOOKUP(DATA!$P138,'M2'!$A:$C,R$2,FALSE)),VLOOKUP($P138,'M1'!$A:$C,R$2,FALSE)),"SPECIFY METHOD")))</f>
        <v>Bat star</v>
      </c>
      <c r="S138" s="28">
        <f t="shared" si="3"/>
        <v>1</v>
      </c>
      <c r="T138" s="20">
        <v>0</v>
      </c>
      <c r="U138" s="20"/>
      <c r="V138" s="20"/>
      <c r="W138" s="20"/>
      <c r="X138" s="20">
        <v>1</v>
      </c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</row>
    <row r="139" spans="1:68" ht="12.75" customHeight="1">
      <c r="A139" s="21">
        <f t="shared" si="2"/>
        <v>137</v>
      </c>
      <c r="B139" s="20" t="str">
        <f t="shared" ref="B139:D139" si="273">IF(ISERROR(B138),IF(ISERROR(B137),IF(ISERROR(B136),"BLANK",B136),B137),B138)</f>
        <v>Em Lim</v>
      </c>
      <c r="C139" s="20" t="str">
        <f t="shared" si="273"/>
        <v>Tom Bird</v>
      </c>
      <c r="D139" s="20" t="str">
        <f t="shared" si="273"/>
        <v>BMSC24</v>
      </c>
      <c r="E139" s="21" t="str">
        <f>IF(ISERROR(VLOOKUP($D139,SITES!$A:$E,2,FALSE)),"",VLOOKUP($D139,SITES!$A:$E,2,FALSE))</f>
        <v>Swiss Boy</v>
      </c>
      <c r="F139" s="19">
        <f>IF(ISERROR(VLOOKUP($D139,SITES!$A:$E,3,FALSE)),"",VLOOKUP($D139,SITES!$A:$E,3,FALSE))</f>
        <v>48.916072999999997</v>
      </c>
      <c r="G139" s="22">
        <f>IF(ISERROR(VLOOKUP($D139,SITES!$A:$E,4,FALSE)),"",VLOOKUP($D139,SITES!$A:$E,4,FALSE))</f>
        <v>-125.131174</v>
      </c>
      <c r="H139" s="23">
        <f t="shared" si="260"/>
        <v>45406</v>
      </c>
      <c r="I139" s="20">
        <f t="shared" ref="I139:N139" si="274">IF(ISERROR(I138),IF(ISERROR(I137),IF(ISERROR(I136),"BLANK",I136),I137),I138)</f>
        <v>4</v>
      </c>
      <c r="J139" s="20" t="str">
        <f t="shared" si="274"/>
        <v>NE</v>
      </c>
      <c r="K139" s="27">
        <f t="shared" si="274"/>
        <v>0.54374999999999996</v>
      </c>
      <c r="L139" s="20">
        <f t="shared" si="274"/>
        <v>10.5</v>
      </c>
      <c r="M139" s="20">
        <f t="shared" si="274"/>
        <v>2</v>
      </c>
      <c r="N139" s="20">
        <f t="shared" si="274"/>
        <v>1</v>
      </c>
      <c r="O139" s="20">
        <v>24</v>
      </c>
      <c r="P139" s="20" t="s">
        <v>41</v>
      </c>
      <c r="Q139" s="21" t="str">
        <f>IF($M139=1,IF(ISERROR(VLOOKUP($P139,'M1'!$A:$C,Q$2,FALSE)),"NOT PRESENT",VLOOKUP($P139,'M1'!$A:$C,Q$2,FALSE)),IF($M139=2,IF(ISERROR(VLOOKUP(DATA!$P139,'M2'!$A:$C,Q$2,FALSE)),"NOT PRESENT",VLOOKUP(DATA!$P139,'M2'!$A:$C,Q$2,FALSE)),IF($M139=0,IF(ISERROR(VLOOKUP($P139,'M1'!$A:$C,Q$2,FALSE)),IF(ISERROR(VLOOKUP(DATA!$P139,'M2'!$A:$C,Q$2,FALSE)),"NOT PRESENT",VLOOKUP(DATA!$P139,'M2'!$A:$C,Q$2,FALSE)),VLOOKUP($P139,'M1'!$A:$C,Q$2,FALSE)),"SPECIFY METHOD")))</f>
        <v>Mesocentrotus franciscanus</v>
      </c>
      <c r="R139" s="21" t="str">
        <f>IF($M139=1,IF(ISERROR(VLOOKUP($P139,'M1'!$A:$C,R$2,FALSE)),"NOT PRESENT",VLOOKUP($P139,'M1'!$A:$C,R$2,FALSE)),IF($M139=2,IF(ISERROR(VLOOKUP(DATA!$P139,'M2'!$A:$C,R$2,FALSE)),"NOT PRESENT",VLOOKUP(DATA!$P139,'M2'!$A:$C,R$2,FALSE)),IF($M139=0,IF(ISERROR(VLOOKUP($P139,'M1'!$A:$C,R$2,FALSE)),IF(ISERROR(VLOOKUP(DATA!$P139,'M2'!$A:$C,R$2,FALSE)),"NOT PRESENT",VLOOKUP(DATA!$P139,'M2'!$A:$C,R$2,FALSE)),VLOOKUP($P139,'M1'!$A:$C,R$2,FALSE)),"SPECIFY METHOD")))</f>
        <v>Red sea urchin</v>
      </c>
      <c r="S139" s="28">
        <f t="shared" si="3"/>
        <v>7</v>
      </c>
      <c r="T139" s="20">
        <v>0</v>
      </c>
      <c r="U139" s="20"/>
      <c r="V139" s="20"/>
      <c r="W139" s="20">
        <v>3</v>
      </c>
      <c r="X139" s="20">
        <v>2</v>
      </c>
      <c r="Y139" s="20">
        <v>2</v>
      </c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</row>
    <row r="140" spans="1:68" ht="12.75" customHeight="1">
      <c r="A140" s="21">
        <f t="shared" si="2"/>
        <v>138</v>
      </c>
      <c r="B140" s="20" t="str">
        <f t="shared" ref="B140:D140" si="275">IF(ISERROR(B139),IF(ISERROR(B138),IF(ISERROR(B137),"BLANK",B137),B138),B139)</f>
        <v>Em Lim</v>
      </c>
      <c r="C140" s="20" t="str">
        <f t="shared" si="275"/>
        <v>Tom Bird</v>
      </c>
      <c r="D140" s="20" t="str">
        <f t="shared" si="275"/>
        <v>BMSC24</v>
      </c>
      <c r="E140" s="21" t="str">
        <f>IF(ISERROR(VLOOKUP($D140,SITES!$A:$E,2,FALSE)),"",VLOOKUP($D140,SITES!$A:$E,2,FALSE))</f>
        <v>Swiss Boy</v>
      </c>
      <c r="F140" s="19">
        <f>IF(ISERROR(VLOOKUP($D140,SITES!$A:$E,3,FALSE)),"",VLOOKUP($D140,SITES!$A:$E,3,FALSE))</f>
        <v>48.916072999999997</v>
      </c>
      <c r="G140" s="22">
        <f>IF(ISERROR(VLOOKUP($D140,SITES!$A:$E,4,FALSE)),"",VLOOKUP($D140,SITES!$A:$E,4,FALSE))</f>
        <v>-125.131174</v>
      </c>
      <c r="H140" s="23">
        <f t="shared" si="260"/>
        <v>45406</v>
      </c>
      <c r="I140" s="20">
        <f t="shared" ref="I140:N140" si="276">IF(ISERROR(I139),IF(ISERROR(I138),IF(ISERROR(I137),"BLANK",I137),I138),I139)</f>
        <v>4</v>
      </c>
      <c r="J140" s="20" t="str">
        <f t="shared" si="276"/>
        <v>NE</v>
      </c>
      <c r="K140" s="27">
        <f t="shared" si="276"/>
        <v>0.54374999999999996</v>
      </c>
      <c r="L140" s="20">
        <f t="shared" si="276"/>
        <v>10.5</v>
      </c>
      <c r="M140" s="20">
        <f t="shared" si="276"/>
        <v>2</v>
      </c>
      <c r="N140" s="20">
        <f t="shared" si="276"/>
        <v>1</v>
      </c>
      <c r="O140" s="20">
        <v>24</v>
      </c>
      <c r="P140" s="20" t="s">
        <v>40</v>
      </c>
      <c r="Q140" s="21" t="str">
        <f>IF($M140=1,IF(ISERROR(VLOOKUP($P140,'M1'!$A:$C,Q$2,FALSE)),"NOT PRESENT",VLOOKUP($P140,'M1'!$A:$C,Q$2,FALSE)),IF($M140=2,IF(ISERROR(VLOOKUP(DATA!$P140,'M2'!$A:$C,Q$2,FALSE)),"NOT PRESENT",VLOOKUP(DATA!$P140,'M2'!$A:$C,Q$2,FALSE)),IF($M140=0,IF(ISERROR(VLOOKUP($P140,'M1'!$A:$C,Q$2,FALSE)),IF(ISERROR(VLOOKUP(DATA!$P140,'M2'!$A:$C,Q$2,FALSE)),"NOT PRESENT",VLOOKUP(DATA!$P140,'M2'!$A:$C,Q$2,FALSE)),VLOOKUP($P140,'M1'!$A:$C,Q$2,FALSE)),"SPECIFY METHOD")))</f>
        <v>Patiria miniata</v>
      </c>
      <c r="R140" s="21" t="str">
        <f>IF($M140=1,IF(ISERROR(VLOOKUP($P140,'M1'!$A:$C,R$2,FALSE)),"NOT PRESENT",VLOOKUP($P140,'M1'!$A:$C,R$2,FALSE)),IF($M140=2,IF(ISERROR(VLOOKUP(DATA!$P140,'M2'!$A:$C,R$2,FALSE)),"NOT PRESENT",VLOOKUP(DATA!$P140,'M2'!$A:$C,R$2,FALSE)),IF($M140=0,IF(ISERROR(VLOOKUP($P140,'M1'!$A:$C,R$2,FALSE)),IF(ISERROR(VLOOKUP(DATA!$P140,'M2'!$A:$C,R$2,FALSE)),"NOT PRESENT",VLOOKUP(DATA!$P140,'M2'!$A:$C,R$2,FALSE)),VLOOKUP($P140,'M1'!$A:$C,R$2,FALSE)),"SPECIFY METHOD")))</f>
        <v>Bat star</v>
      </c>
      <c r="S140" s="28">
        <f t="shared" si="3"/>
        <v>1</v>
      </c>
      <c r="T140" s="20">
        <v>0</v>
      </c>
      <c r="U140" s="20"/>
      <c r="V140" s="20"/>
      <c r="W140" s="20"/>
      <c r="X140" s="20"/>
      <c r="Y140" s="20">
        <v>1</v>
      </c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</row>
    <row r="141" spans="1:68" ht="12.75" customHeight="1">
      <c r="A141" s="21">
        <f t="shared" si="2"/>
        <v>139</v>
      </c>
      <c r="B141" s="20" t="str">
        <f t="shared" ref="B141:D141" si="277">IF(ISERROR(B140),IF(ISERROR(B139),IF(ISERROR(B138),"BLANK",B138),B139),B140)</f>
        <v>Em Lim</v>
      </c>
      <c r="C141" s="20" t="str">
        <f t="shared" si="277"/>
        <v>Tom Bird</v>
      </c>
      <c r="D141" s="20" t="str">
        <f t="shared" si="277"/>
        <v>BMSC24</v>
      </c>
      <c r="E141" s="21" t="str">
        <f>IF(ISERROR(VLOOKUP($D141,SITES!$A:$E,2,FALSE)),"",VLOOKUP($D141,SITES!$A:$E,2,FALSE))</f>
        <v>Swiss Boy</v>
      </c>
      <c r="F141" s="19">
        <f>IF(ISERROR(VLOOKUP($D141,SITES!$A:$E,3,FALSE)),"",VLOOKUP($D141,SITES!$A:$E,3,FALSE))</f>
        <v>48.916072999999997</v>
      </c>
      <c r="G141" s="22">
        <f>IF(ISERROR(VLOOKUP($D141,SITES!$A:$E,4,FALSE)),"",VLOOKUP($D141,SITES!$A:$E,4,FALSE))</f>
        <v>-125.131174</v>
      </c>
      <c r="H141" s="23">
        <f t="shared" si="260"/>
        <v>45406</v>
      </c>
      <c r="I141" s="20">
        <f t="shared" ref="I141:N141" si="278">IF(ISERROR(I140),IF(ISERROR(I139),IF(ISERROR(I138),"BLANK",I138),I139),I140)</f>
        <v>4</v>
      </c>
      <c r="J141" s="20" t="str">
        <f t="shared" si="278"/>
        <v>NE</v>
      </c>
      <c r="K141" s="27">
        <f t="shared" si="278"/>
        <v>0.54374999999999996</v>
      </c>
      <c r="L141" s="20">
        <f t="shared" si="278"/>
        <v>10.5</v>
      </c>
      <c r="M141" s="20">
        <f t="shared" si="278"/>
        <v>2</v>
      </c>
      <c r="N141" s="20">
        <f t="shared" si="278"/>
        <v>1</v>
      </c>
      <c r="O141" s="20">
        <v>16</v>
      </c>
      <c r="P141" s="20" t="s">
        <v>41</v>
      </c>
      <c r="Q141" s="21" t="str">
        <f>IF($M141=1,IF(ISERROR(VLOOKUP($P141,'M1'!$A:$C,Q$2,FALSE)),"NOT PRESENT",VLOOKUP($P141,'M1'!$A:$C,Q$2,FALSE)),IF($M141=2,IF(ISERROR(VLOOKUP(DATA!$P141,'M2'!$A:$C,Q$2,FALSE)),"NOT PRESENT",VLOOKUP(DATA!$P141,'M2'!$A:$C,Q$2,FALSE)),IF($M141=0,IF(ISERROR(VLOOKUP($P141,'M1'!$A:$C,Q$2,FALSE)),IF(ISERROR(VLOOKUP(DATA!$P141,'M2'!$A:$C,Q$2,FALSE)),"NOT PRESENT",VLOOKUP(DATA!$P141,'M2'!$A:$C,Q$2,FALSE)),VLOOKUP($P141,'M1'!$A:$C,Q$2,FALSE)),"SPECIFY METHOD")))</f>
        <v>Mesocentrotus franciscanus</v>
      </c>
      <c r="R141" s="21" t="str">
        <f>IF($M141=1,IF(ISERROR(VLOOKUP($P141,'M1'!$A:$C,R$2,FALSE)),"NOT PRESENT",VLOOKUP($P141,'M1'!$A:$C,R$2,FALSE)),IF($M141=2,IF(ISERROR(VLOOKUP(DATA!$P141,'M2'!$A:$C,R$2,FALSE)),"NOT PRESENT",VLOOKUP(DATA!$P141,'M2'!$A:$C,R$2,FALSE)),IF($M141=0,IF(ISERROR(VLOOKUP($P141,'M1'!$A:$C,R$2,FALSE)),IF(ISERROR(VLOOKUP(DATA!$P141,'M2'!$A:$C,R$2,FALSE)),"NOT PRESENT",VLOOKUP(DATA!$P141,'M2'!$A:$C,R$2,FALSE)),VLOOKUP($P141,'M1'!$A:$C,R$2,FALSE)),"SPECIFY METHOD")))</f>
        <v>Red sea urchin</v>
      </c>
      <c r="S141" s="28">
        <f t="shared" si="3"/>
        <v>5</v>
      </c>
      <c r="T141" s="20">
        <v>0</v>
      </c>
      <c r="U141" s="20"/>
      <c r="V141" s="20"/>
      <c r="W141" s="20"/>
      <c r="X141" s="20">
        <v>4</v>
      </c>
      <c r="Y141" s="20">
        <v>1</v>
      </c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</row>
    <row r="142" spans="1:68" ht="12.75" customHeight="1">
      <c r="A142" s="21">
        <f t="shared" si="2"/>
        <v>140</v>
      </c>
      <c r="B142" s="20" t="str">
        <f t="shared" ref="B142:D142" si="279">IF(ISERROR(B141),IF(ISERROR(B140),IF(ISERROR(B139),"BLANK",B139),B140),B141)</f>
        <v>Em Lim</v>
      </c>
      <c r="C142" s="20" t="str">
        <f t="shared" si="279"/>
        <v>Tom Bird</v>
      </c>
      <c r="D142" s="20" t="str">
        <f t="shared" si="279"/>
        <v>BMSC24</v>
      </c>
      <c r="E142" s="21" t="str">
        <f>IF(ISERROR(VLOOKUP($D142,SITES!$A:$E,2,FALSE)),"",VLOOKUP($D142,SITES!$A:$E,2,FALSE))</f>
        <v>Swiss Boy</v>
      </c>
      <c r="F142" s="19">
        <f>IF(ISERROR(VLOOKUP($D142,SITES!$A:$E,3,FALSE)),"",VLOOKUP($D142,SITES!$A:$E,3,FALSE))</f>
        <v>48.916072999999997</v>
      </c>
      <c r="G142" s="22">
        <f>IF(ISERROR(VLOOKUP($D142,SITES!$A:$E,4,FALSE)),"",VLOOKUP($D142,SITES!$A:$E,4,FALSE))</f>
        <v>-125.131174</v>
      </c>
      <c r="H142" s="23">
        <f t="shared" si="260"/>
        <v>45406</v>
      </c>
      <c r="I142" s="20">
        <f t="shared" ref="I142:N142" si="280">IF(ISERROR(I141),IF(ISERROR(I140),IF(ISERROR(I139),"BLANK",I139),I140),I141)</f>
        <v>4</v>
      </c>
      <c r="J142" s="20" t="str">
        <f t="shared" si="280"/>
        <v>NE</v>
      </c>
      <c r="K142" s="27">
        <f t="shared" si="280"/>
        <v>0.54374999999999996</v>
      </c>
      <c r="L142" s="20">
        <f t="shared" si="280"/>
        <v>10.5</v>
      </c>
      <c r="M142" s="20">
        <f t="shared" si="280"/>
        <v>2</v>
      </c>
      <c r="N142" s="20">
        <f t="shared" si="280"/>
        <v>1</v>
      </c>
      <c r="O142" s="20">
        <v>8</v>
      </c>
      <c r="P142" s="20" t="s">
        <v>41</v>
      </c>
      <c r="Q142" s="21" t="str">
        <f>IF($M142=1,IF(ISERROR(VLOOKUP($P142,'M1'!$A:$C,Q$2,FALSE)),"NOT PRESENT",VLOOKUP($P142,'M1'!$A:$C,Q$2,FALSE)),IF($M142=2,IF(ISERROR(VLOOKUP(DATA!$P142,'M2'!$A:$C,Q$2,FALSE)),"NOT PRESENT",VLOOKUP(DATA!$P142,'M2'!$A:$C,Q$2,FALSE)),IF($M142=0,IF(ISERROR(VLOOKUP($P142,'M1'!$A:$C,Q$2,FALSE)),IF(ISERROR(VLOOKUP(DATA!$P142,'M2'!$A:$C,Q$2,FALSE)),"NOT PRESENT",VLOOKUP(DATA!$P142,'M2'!$A:$C,Q$2,FALSE)),VLOOKUP($P142,'M1'!$A:$C,Q$2,FALSE)),"SPECIFY METHOD")))</f>
        <v>Mesocentrotus franciscanus</v>
      </c>
      <c r="R142" s="21" t="str">
        <f>IF($M142=1,IF(ISERROR(VLOOKUP($P142,'M1'!$A:$C,R$2,FALSE)),"NOT PRESENT",VLOOKUP($P142,'M1'!$A:$C,R$2,FALSE)),IF($M142=2,IF(ISERROR(VLOOKUP(DATA!$P142,'M2'!$A:$C,R$2,FALSE)),"NOT PRESENT",VLOOKUP(DATA!$P142,'M2'!$A:$C,R$2,FALSE)),IF($M142=0,IF(ISERROR(VLOOKUP($P142,'M1'!$A:$C,R$2,FALSE)),IF(ISERROR(VLOOKUP(DATA!$P142,'M2'!$A:$C,R$2,FALSE)),"NOT PRESENT",VLOOKUP(DATA!$P142,'M2'!$A:$C,R$2,FALSE)),VLOOKUP($P142,'M1'!$A:$C,R$2,FALSE)),"SPECIFY METHOD")))</f>
        <v>Red sea urchin</v>
      </c>
      <c r="S142" s="28">
        <f t="shared" si="3"/>
        <v>6</v>
      </c>
      <c r="T142" s="20">
        <v>0</v>
      </c>
      <c r="U142" s="20"/>
      <c r="V142" s="20">
        <v>2</v>
      </c>
      <c r="W142" s="20">
        <v>2</v>
      </c>
      <c r="X142" s="20">
        <v>2</v>
      </c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</row>
    <row r="143" spans="1:68" ht="12.75" customHeight="1">
      <c r="A143" s="21">
        <f t="shared" si="2"/>
        <v>141</v>
      </c>
      <c r="B143" s="20" t="str">
        <f t="shared" ref="B143:D143" si="281">IF(ISERROR(B142),IF(ISERROR(B141),IF(ISERROR(B140),"BLANK",B140),B141),B142)</f>
        <v>Em Lim</v>
      </c>
      <c r="C143" s="20" t="str">
        <f t="shared" si="281"/>
        <v>Tom Bird</v>
      </c>
      <c r="D143" s="20" t="str">
        <f t="shared" si="281"/>
        <v>BMSC24</v>
      </c>
      <c r="E143" s="21" t="str">
        <f>IF(ISERROR(VLOOKUP($D143,SITES!$A:$E,2,FALSE)),"",VLOOKUP($D143,SITES!$A:$E,2,FALSE))</f>
        <v>Swiss Boy</v>
      </c>
      <c r="F143" s="19">
        <f>IF(ISERROR(VLOOKUP($D143,SITES!$A:$E,3,FALSE)),"",VLOOKUP($D143,SITES!$A:$E,3,FALSE))</f>
        <v>48.916072999999997</v>
      </c>
      <c r="G143" s="22">
        <f>IF(ISERROR(VLOOKUP($D143,SITES!$A:$E,4,FALSE)),"",VLOOKUP($D143,SITES!$A:$E,4,FALSE))</f>
        <v>-125.131174</v>
      </c>
      <c r="H143" s="23">
        <f t="shared" si="260"/>
        <v>45406</v>
      </c>
      <c r="I143" s="20">
        <f t="shared" ref="I143:N143" si="282">IF(ISERROR(I142),IF(ISERROR(I141),IF(ISERROR(I140),"BLANK",I140),I141),I142)</f>
        <v>4</v>
      </c>
      <c r="J143" s="20" t="str">
        <f t="shared" si="282"/>
        <v>NE</v>
      </c>
      <c r="K143" s="27">
        <f t="shared" si="282"/>
        <v>0.54374999999999996</v>
      </c>
      <c r="L143" s="20">
        <f t="shared" si="282"/>
        <v>10.5</v>
      </c>
      <c r="M143" s="20">
        <f t="shared" si="282"/>
        <v>2</v>
      </c>
      <c r="N143" s="20">
        <f t="shared" si="282"/>
        <v>1</v>
      </c>
      <c r="O143" s="20">
        <v>0</v>
      </c>
      <c r="P143" s="20" t="s">
        <v>41</v>
      </c>
      <c r="Q143" s="21" t="str">
        <f>IF($M143=1,IF(ISERROR(VLOOKUP($P143,'M1'!$A:$C,Q$2,FALSE)),"NOT PRESENT",VLOOKUP($P143,'M1'!$A:$C,Q$2,FALSE)),IF($M143=2,IF(ISERROR(VLOOKUP(DATA!$P143,'M2'!$A:$C,Q$2,FALSE)),"NOT PRESENT",VLOOKUP(DATA!$P143,'M2'!$A:$C,Q$2,FALSE)),IF($M143=0,IF(ISERROR(VLOOKUP($P143,'M1'!$A:$C,Q$2,FALSE)),IF(ISERROR(VLOOKUP(DATA!$P143,'M2'!$A:$C,Q$2,FALSE)),"NOT PRESENT",VLOOKUP(DATA!$P143,'M2'!$A:$C,Q$2,FALSE)),VLOOKUP($P143,'M1'!$A:$C,Q$2,FALSE)),"SPECIFY METHOD")))</f>
        <v>Mesocentrotus franciscanus</v>
      </c>
      <c r="R143" s="21" t="str">
        <f>IF($M143=1,IF(ISERROR(VLOOKUP($P143,'M1'!$A:$C,R$2,FALSE)),"NOT PRESENT",VLOOKUP($P143,'M1'!$A:$C,R$2,FALSE)),IF($M143=2,IF(ISERROR(VLOOKUP(DATA!$P143,'M2'!$A:$C,R$2,FALSE)),"NOT PRESENT",VLOOKUP(DATA!$P143,'M2'!$A:$C,R$2,FALSE)),IF($M143=0,IF(ISERROR(VLOOKUP($P143,'M1'!$A:$C,R$2,FALSE)),IF(ISERROR(VLOOKUP(DATA!$P143,'M2'!$A:$C,R$2,FALSE)),"NOT PRESENT",VLOOKUP(DATA!$P143,'M2'!$A:$C,R$2,FALSE)),VLOOKUP($P143,'M1'!$A:$C,R$2,FALSE)),"SPECIFY METHOD")))</f>
        <v>Red sea urchin</v>
      </c>
      <c r="S143" s="28">
        <f t="shared" si="3"/>
        <v>4</v>
      </c>
      <c r="T143" s="20">
        <v>0</v>
      </c>
      <c r="U143" s="20"/>
      <c r="V143" s="20"/>
      <c r="W143" s="20"/>
      <c r="X143" s="20">
        <v>2</v>
      </c>
      <c r="Y143" s="20">
        <v>1</v>
      </c>
      <c r="Z143" s="20">
        <v>1</v>
      </c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</row>
    <row r="144" spans="1:68" ht="12.75" customHeight="1">
      <c r="A144" s="21">
        <f t="shared" si="2"/>
        <v>142</v>
      </c>
      <c r="B144" s="20" t="s">
        <v>56</v>
      </c>
      <c r="C144" s="20" t="s">
        <v>36</v>
      </c>
      <c r="D144" s="20" t="s">
        <v>57</v>
      </c>
      <c r="E144" s="21" t="str">
        <f>IF(ISERROR(VLOOKUP($D144,SITES!$A:$E,2,FALSE)),"",VLOOKUP($D144,SITES!$A:$E,2,FALSE))</f>
        <v>Swiss Boy</v>
      </c>
      <c r="F144" s="19">
        <f>IF(ISERROR(VLOOKUP($D144,SITES!$A:$E,3,FALSE)),"",VLOOKUP($D144,SITES!$A:$E,3,FALSE))</f>
        <v>48.916072999999997</v>
      </c>
      <c r="G144" s="22">
        <f>IF(ISERROR(VLOOKUP($D144,SITES!$A:$E,4,FALSE)),"",VLOOKUP($D144,SITES!$A:$E,4,FALSE))</f>
        <v>-125.131174</v>
      </c>
      <c r="H144" s="23">
        <v>45406</v>
      </c>
      <c r="I144" s="20">
        <v>3</v>
      </c>
      <c r="J144" s="20" t="s">
        <v>59</v>
      </c>
      <c r="K144" s="27">
        <v>0.54374999999999996</v>
      </c>
      <c r="L144" s="20">
        <v>5.5</v>
      </c>
      <c r="M144" s="20">
        <v>2</v>
      </c>
      <c r="N144" s="20">
        <v>2</v>
      </c>
      <c r="O144" s="20">
        <v>40</v>
      </c>
      <c r="P144" s="20" t="s">
        <v>41</v>
      </c>
      <c r="Q144" s="21" t="str">
        <f>IF($M144=1,IF(ISERROR(VLOOKUP($P144,'M1'!$A:$C,Q$2,FALSE)),"NOT PRESENT",VLOOKUP($P144,'M1'!$A:$C,Q$2,FALSE)),IF($M144=2,IF(ISERROR(VLOOKUP(DATA!$P144,'M2'!$A:$C,Q$2,FALSE)),"NOT PRESENT",VLOOKUP(DATA!$P144,'M2'!$A:$C,Q$2,FALSE)),IF($M144=0,IF(ISERROR(VLOOKUP($P144,'M1'!$A:$C,Q$2,FALSE)),IF(ISERROR(VLOOKUP(DATA!$P144,'M2'!$A:$C,Q$2,FALSE)),"NOT PRESENT",VLOOKUP(DATA!$P144,'M2'!$A:$C,Q$2,FALSE)),VLOOKUP($P144,'M1'!$A:$C,Q$2,FALSE)),"SPECIFY METHOD")))</f>
        <v>Mesocentrotus franciscanus</v>
      </c>
      <c r="R144" s="21" t="str">
        <f>IF($M144=1,IF(ISERROR(VLOOKUP($P144,'M1'!$A:$C,R$2,FALSE)),"NOT PRESENT",VLOOKUP($P144,'M1'!$A:$C,R$2,FALSE)),IF($M144=2,IF(ISERROR(VLOOKUP(DATA!$P144,'M2'!$A:$C,R$2,FALSE)),"NOT PRESENT",VLOOKUP(DATA!$P144,'M2'!$A:$C,R$2,FALSE)),IF($M144=0,IF(ISERROR(VLOOKUP($P144,'M1'!$A:$C,R$2,FALSE)),IF(ISERROR(VLOOKUP(DATA!$P144,'M2'!$A:$C,R$2,FALSE)),"NOT PRESENT",VLOOKUP(DATA!$P144,'M2'!$A:$C,R$2,FALSE)),VLOOKUP($P144,'M1'!$A:$C,R$2,FALSE)),"SPECIFY METHOD")))</f>
        <v>Red sea urchin</v>
      </c>
      <c r="S144" s="28">
        <f t="shared" si="3"/>
        <v>5</v>
      </c>
      <c r="T144" s="20">
        <v>0</v>
      </c>
      <c r="U144" s="20"/>
      <c r="V144" s="20">
        <v>1</v>
      </c>
      <c r="W144" s="20">
        <v>2</v>
      </c>
      <c r="X144" s="20">
        <v>1</v>
      </c>
      <c r="Y144" s="20">
        <v>1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</row>
    <row r="145" spans="1:68" ht="12.75" customHeight="1">
      <c r="A145" s="21">
        <f t="shared" si="2"/>
        <v>143</v>
      </c>
      <c r="B145" s="20" t="str">
        <f t="shared" ref="B145:D145" si="283">IF(ISERROR(B144),IF(ISERROR(B143),IF(ISERROR(B142),"BLANK",B142),B143),B144)</f>
        <v>Claire Attridge</v>
      </c>
      <c r="C145" s="20" t="str">
        <f t="shared" si="283"/>
        <v>Isabelle Cote</v>
      </c>
      <c r="D145" s="20" t="str">
        <f t="shared" si="283"/>
        <v>BMSC24</v>
      </c>
      <c r="E145" s="21" t="str">
        <f>IF(ISERROR(VLOOKUP($D145,SITES!$A:$E,2,FALSE)),"",VLOOKUP($D145,SITES!$A:$E,2,FALSE))</f>
        <v>Swiss Boy</v>
      </c>
      <c r="F145" s="19">
        <f>IF(ISERROR(VLOOKUP($D145,SITES!$A:$E,3,FALSE)),"",VLOOKUP($D145,SITES!$A:$E,3,FALSE))</f>
        <v>48.916072999999997</v>
      </c>
      <c r="G145" s="22">
        <f>IF(ISERROR(VLOOKUP($D145,SITES!$A:$E,4,FALSE)),"",VLOOKUP($D145,SITES!$A:$E,4,FALSE))</f>
        <v>-125.131174</v>
      </c>
      <c r="H145" s="23">
        <f t="shared" ref="H145:N145" si="284">IF(ISERROR(H144),IF(ISERROR(H143),IF(ISERROR(H142),"BLANK",H142),H143),H144)</f>
        <v>45406</v>
      </c>
      <c r="I145" s="20">
        <f t="shared" si="284"/>
        <v>3</v>
      </c>
      <c r="J145" s="20" t="str">
        <f t="shared" si="284"/>
        <v>NE</v>
      </c>
      <c r="K145" s="27">
        <f t="shared" si="284"/>
        <v>0.54374999999999996</v>
      </c>
      <c r="L145" s="20">
        <f t="shared" si="284"/>
        <v>5.5</v>
      </c>
      <c r="M145" s="20">
        <f t="shared" si="284"/>
        <v>2</v>
      </c>
      <c r="N145" s="20">
        <f t="shared" si="284"/>
        <v>2</v>
      </c>
      <c r="O145" s="20">
        <v>40</v>
      </c>
      <c r="P145" s="20" t="s">
        <v>40</v>
      </c>
      <c r="Q145" s="21" t="str">
        <f>IF($M145=1,IF(ISERROR(VLOOKUP($P145,'M1'!$A:$C,Q$2,FALSE)),"NOT PRESENT",VLOOKUP($P145,'M1'!$A:$C,Q$2,FALSE)),IF($M145=2,IF(ISERROR(VLOOKUP(DATA!$P145,'M2'!$A:$C,Q$2,FALSE)),"NOT PRESENT",VLOOKUP(DATA!$P145,'M2'!$A:$C,Q$2,FALSE)),IF($M145=0,IF(ISERROR(VLOOKUP($P145,'M1'!$A:$C,Q$2,FALSE)),IF(ISERROR(VLOOKUP(DATA!$P145,'M2'!$A:$C,Q$2,FALSE)),"NOT PRESENT",VLOOKUP(DATA!$P145,'M2'!$A:$C,Q$2,FALSE)),VLOOKUP($P145,'M1'!$A:$C,Q$2,FALSE)),"SPECIFY METHOD")))</f>
        <v>Patiria miniata</v>
      </c>
      <c r="R145" s="21" t="str">
        <f>IF($M145=1,IF(ISERROR(VLOOKUP($P145,'M1'!$A:$C,R$2,FALSE)),"NOT PRESENT",VLOOKUP($P145,'M1'!$A:$C,R$2,FALSE)),IF($M145=2,IF(ISERROR(VLOOKUP(DATA!$P145,'M2'!$A:$C,R$2,FALSE)),"NOT PRESENT",VLOOKUP(DATA!$P145,'M2'!$A:$C,R$2,FALSE)),IF($M145=0,IF(ISERROR(VLOOKUP($P145,'M1'!$A:$C,R$2,FALSE)),IF(ISERROR(VLOOKUP(DATA!$P145,'M2'!$A:$C,R$2,FALSE)),"NOT PRESENT",VLOOKUP(DATA!$P145,'M2'!$A:$C,R$2,FALSE)),VLOOKUP($P145,'M1'!$A:$C,R$2,FALSE)),"SPECIFY METHOD")))</f>
        <v>Bat star</v>
      </c>
      <c r="S145" s="28">
        <f t="shared" si="3"/>
        <v>1</v>
      </c>
      <c r="T145" s="20">
        <v>0</v>
      </c>
      <c r="U145" s="20"/>
      <c r="V145" s="20"/>
      <c r="W145" s="20"/>
      <c r="X145" s="20"/>
      <c r="Y145" s="20"/>
      <c r="Z145" s="20">
        <v>1</v>
      </c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</row>
    <row r="146" spans="1:68" ht="12.75" customHeight="1">
      <c r="A146" s="21">
        <f t="shared" si="2"/>
        <v>144</v>
      </c>
      <c r="B146" s="20" t="str">
        <f t="shared" ref="B146:D146" si="285">IF(ISERROR(B145),IF(ISERROR(B144),IF(ISERROR(B143),"BLANK",B143),B144),B145)</f>
        <v>Claire Attridge</v>
      </c>
      <c r="C146" s="20" t="str">
        <f t="shared" si="285"/>
        <v>Isabelle Cote</v>
      </c>
      <c r="D146" s="20" t="str">
        <f t="shared" si="285"/>
        <v>BMSC24</v>
      </c>
      <c r="E146" s="21" t="str">
        <f>IF(ISERROR(VLOOKUP($D146,SITES!$A:$E,2,FALSE)),"",VLOOKUP($D146,SITES!$A:$E,2,FALSE))</f>
        <v>Swiss Boy</v>
      </c>
      <c r="F146" s="19">
        <f>IF(ISERROR(VLOOKUP($D146,SITES!$A:$E,3,FALSE)),"",VLOOKUP($D146,SITES!$A:$E,3,FALSE))</f>
        <v>48.916072999999997</v>
      </c>
      <c r="G146" s="22">
        <f>IF(ISERROR(VLOOKUP($D146,SITES!$A:$E,4,FALSE)),"",VLOOKUP($D146,SITES!$A:$E,4,FALSE))</f>
        <v>-125.131174</v>
      </c>
      <c r="H146" s="23">
        <f t="shared" ref="H146:N146" si="286">IF(ISERROR(H145),IF(ISERROR(H144),IF(ISERROR(H143),"BLANK",H143),H144),H145)</f>
        <v>45406</v>
      </c>
      <c r="I146" s="20">
        <f t="shared" si="286"/>
        <v>3</v>
      </c>
      <c r="J146" s="20" t="str">
        <f t="shared" si="286"/>
        <v>NE</v>
      </c>
      <c r="K146" s="27">
        <f t="shared" si="286"/>
        <v>0.54374999999999996</v>
      </c>
      <c r="L146" s="20">
        <f t="shared" si="286"/>
        <v>5.5</v>
      </c>
      <c r="M146" s="20">
        <f t="shared" si="286"/>
        <v>2</v>
      </c>
      <c r="N146" s="20">
        <f t="shared" si="286"/>
        <v>2</v>
      </c>
      <c r="O146" s="20">
        <v>40</v>
      </c>
      <c r="P146" s="20" t="s">
        <v>38</v>
      </c>
      <c r="Q146" s="21" t="str">
        <f>IF($M146=1,IF(ISERROR(VLOOKUP($P146,'M1'!$A:$C,Q$2,FALSE)),"NOT PRESENT",VLOOKUP($P146,'M1'!$A:$C,Q$2,FALSE)),IF($M146=2,IF(ISERROR(VLOOKUP(DATA!$P146,'M2'!$A:$C,Q$2,FALSE)),"NOT PRESENT",VLOOKUP(DATA!$P146,'M2'!$A:$C,Q$2,FALSE)),IF($M146=0,IF(ISERROR(VLOOKUP($P146,'M1'!$A:$C,Q$2,FALSE)),IF(ISERROR(VLOOKUP(DATA!$P146,'M2'!$A:$C,Q$2,FALSE)),"NOT PRESENT",VLOOKUP(DATA!$P146,'M2'!$A:$C,Q$2,FALSE)),VLOOKUP($P146,'M1'!$A:$C,Q$2,FALSE)),"SPECIFY METHOD")))</f>
        <v>Pisaster ochraceus</v>
      </c>
      <c r="R146" s="21" t="str">
        <f>IF($M146=1,IF(ISERROR(VLOOKUP($P146,'M1'!$A:$C,R$2,FALSE)),"NOT PRESENT",VLOOKUP($P146,'M1'!$A:$C,R$2,FALSE)),IF($M146=2,IF(ISERROR(VLOOKUP(DATA!$P146,'M2'!$A:$C,R$2,FALSE)),"NOT PRESENT",VLOOKUP(DATA!$P146,'M2'!$A:$C,R$2,FALSE)),IF($M146=0,IF(ISERROR(VLOOKUP($P146,'M1'!$A:$C,R$2,FALSE)),IF(ISERROR(VLOOKUP(DATA!$P146,'M2'!$A:$C,R$2,FALSE)),"NOT PRESENT",VLOOKUP(DATA!$P146,'M2'!$A:$C,R$2,FALSE)),VLOOKUP($P146,'M1'!$A:$C,R$2,FALSE)),"SPECIFY METHOD")))</f>
        <v>Purple sea star</v>
      </c>
      <c r="S146" s="28">
        <f t="shared" si="3"/>
        <v>3</v>
      </c>
      <c r="T146" s="20">
        <v>0</v>
      </c>
      <c r="U146" s="20"/>
      <c r="V146" s="20"/>
      <c r="W146" s="20"/>
      <c r="X146" s="20"/>
      <c r="Y146" s="20"/>
      <c r="Z146" s="20">
        <v>1</v>
      </c>
      <c r="AA146" s="20">
        <v>2</v>
      </c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</row>
    <row r="147" spans="1:68" ht="12.75" customHeight="1">
      <c r="A147" s="21">
        <f t="shared" si="2"/>
        <v>145</v>
      </c>
      <c r="B147" s="20" t="str">
        <f t="shared" ref="B147:D147" si="287">IF(ISERROR(B146),IF(ISERROR(B145),IF(ISERROR(B144),"BLANK",B144),B145),B146)</f>
        <v>Claire Attridge</v>
      </c>
      <c r="C147" s="20" t="str">
        <f t="shared" si="287"/>
        <v>Isabelle Cote</v>
      </c>
      <c r="D147" s="20" t="str">
        <f t="shared" si="287"/>
        <v>BMSC24</v>
      </c>
      <c r="E147" s="21" t="str">
        <f>IF(ISERROR(VLOOKUP($D147,SITES!$A:$E,2,FALSE)),"",VLOOKUP($D147,SITES!$A:$E,2,FALSE))</f>
        <v>Swiss Boy</v>
      </c>
      <c r="F147" s="19">
        <f>IF(ISERROR(VLOOKUP($D147,SITES!$A:$E,3,FALSE)),"",VLOOKUP($D147,SITES!$A:$E,3,FALSE))</f>
        <v>48.916072999999997</v>
      </c>
      <c r="G147" s="22">
        <f>IF(ISERROR(VLOOKUP($D147,SITES!$A:$E,4,FALSE)),"",VLOOKUP($D147,SITES!$A:$E,4,FALSE))</f>
        <v>-125.131174</v>
      </c>
      <c r="H147" s="23">
        <f t="shared" ref="H147:N147" si="288">IF(ISERROR(H146),IF(ISERROR(H145),IF(ISERROR(H144),"BLANK",H144),H145),H146)</f>
        <v>45406</v>
      </c>
      <c r="I147" s="20">
        <f t="shared" si="288"/>
        <v>3</v>
      </c>
      <c r="J147" s="20" t="str">
        <f t="shared" si="288"/>
        <v>NE</v>
      </c>
      <c r="K147" s="27">
        <f t="shared" si="288"/>
        <v>0.54374999999999996</v>
      </c>
      <c r="L147" s="20">
        <f t="shared" si="288"/>
        <v>5.5</v>
      </c>
      <c r="M147" s="20">
        <f t="shared" si="288"/>
        <v>2</v>
      </c>
      <c r="N147" s="20">
        <f t="shared" si="288"/>
        <v>2</v>
      </c>
      <c r="O147" s="20">
        <v>24</v>
      </c>
      <c r="P147" s="20" t="s">
        <v>41</v>
      </c>
      <c r="Q147" s="21" t="str">
        <f>IF($M147=1,IF(ISERROR(VLOOKUP($P147,'M1'!$A:$C,Q$2,FALSE)),"NOT PRESENT",VLOOKUP($P147,'M1'!$A:$C,Q$2,FALSE)),IF($M147=2,IF(ISERROR(VLOOKUP(DATA!$P147,'M2'!$A:$C,Q$2,FALSE)),"NOT PRESENT",VLOOKUP(DATA!$P147,'M2'!$A:$C,Q$2,FALSE)),IF($M147=0,IF(ISERROR(VLOOKUP($P147,'M1'!$A:$C,Q$2,FALSE)),IF(ISERROR(VLOOKUP(DATA!$P147,'M2'!$A:$C,Q$2,FALSE)),"NOT PRESENT",VLOOKUP(DATA!$P147,'M2'!$A:$C,Q$2,FALSE)),VLOOKUP($P147,'M1'!$A:$C,Q$2,FALSE)),"SPECIFY METHOD")))</f>
        <v>Mesocentrotus franciscanus</v>
      </c>
      <c r="R147" s="21" t="str">
        <f>IF($M147=1,IF(ISERROR(VLOOKUP($P147,'M1'!$A:$C,R$2,FALSE)),"NOT PRESENT",VLOOKUP($P147,'M1'!$A:$C,R$2,FALSE)),IF($M147=2,IF(ISERROR(VLOOKUP(DATA!$P147,'M2'!$A:$C,R$2,FALSE)),"NOT PRESENT",VLOOKUP(DATA!$P147,'M2'!$A:$C,R$2,FALSE)),IF($M147=0,IF(ISERROR(VLOOKUP($P147,'M1'!$A:$C,R$2,FALSE)),IF(ISERROR(VLOOKUP(DATA!$P147,'M2'!$A:$C,R$2,FALSE)),"NOT PRESENT",VLOOKUP(DATA!$P147,'M2'!$A:$C,R$2,FALSE)),VLOOKUP($P147,'M1'!$A:$C,R$2,FALSE)),"SPECIFY METHOD")))</f>
        <v>Red sea urchin</v>
      </c>
      <c r="S147" s="28">
        <f t="shared" si="3"/>
        <v>4</v>
      </c>
      <c r="T147" s="20">
        <v>0</v>
      </c>
      <c r="U147" s="20"/>
      <c r="V147" s="20"/>
      <c r="W147" s="20">
        <v>1</v>
      </c>
      <c r="X147" s="20">
        <v>2</v>
      </c>
      <c r="Y147" s="20">
        <v>1</v>
      </c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</row>
    <row r="148" spans="1:68" ht="12.75" customHeight="1">
      <c r="A148" s="21">
        <f t="shared" si="2"/>
        <v>146</v>
      </c>
      <c r="B148" s="20" t="str">
        <f t="shared" ref="B148:D148" si="289">IF(ISERROR(B147),IF(ISERROR(B146),IF(ISERROR(B145),"BLANK",B145),B146),B147)</f>
        <v>Claire Attridge</v>
      </c>
      <c r="C148" s="20" t="str">
        <f t="shared" si="289"/>
        <v>Isabelle Cote</v>
      </c>
      <c r="D148" s="20" t="str">
        <f t="shared" si="289"/>
        <v>BMSC24</v>
      </c>
      <c r="E148" s="21" t="str">
        <f>IF(ISERROR(VLOOKUP($D148,SITES!$A:$E,2,FALSE)),"",VLOOKUP($D148,SITES!$A:$E,2,FALSE))</f>
        <v>Swiss Boy</v>
      </c>
      <c r="F148" s="19">
        <f>IF(ISERROR(VLOOKUP($D148,SITES!$A:$E,3,FALSE)),"",VLOOKUP($D148,SITES!$A:$E,3,FALSE))</f>
        <v>48.916072999999997</v>
      </c>
      <c r="G148" s="22">
        <f>IF(ISERROR(VLOOKUP($D148,SITES!$A:$E,4,FALSE)),"",VLOOKUP($D148,SITES!$A:$E,4,FALSE))</f>
        <v>-125.131174</v>
      </c>
      <c r="H148" s="23">
        <f t="shared" ref="H148:N148" si="290">IF(ISERROR(H147),IF(ISERROR(H146),IF(ISERROR(H145),"BLANK",H145),H146),H147)</f>
        <v>45406</v>
      </c>
      <c r="I148" s="20">
        <f t="shared" si="290"/>
        <v>3</v>
      </c>
      <c r="J148" s="20" t="str">
        <f t="shared" si="290"/>
        <v>NE</v>
      </c>
      <c r="K148" s="27">
        <f t="shared" si="290"/>
        <v>0.54374999999999996</v>
      </c>
      <c r="L148" s="20">
        <f t="shared" si="290"/>
        <v>5.5</v>
      </c>
      <c r="M148" s="20">
        <f t="shared" si="290"/>
        <v>2</v>
      </c>
      <c r="N148" s="20">
        <f t="shared" si="290"/>
        <v>2</v>
      </c>
      <c r="O148" s="20">
        <v>24</v>
      </c>
      <c r="P148" s="20" t="s">
        <v>62</v>
      </c>
      <c r="Q148" s="21" t="str">
        <f>IF($M148=1,IF(ISERROR(VLOOKUP($P148,'M1'!$A:$C,Q$2,FALSE)),"NOT PRESENT",VLOOKUP($P148,'M1'!$A:$C,Q$2,FALSE)),IF($M148=2,IF(ISERROR(VLOOKUP(DATA!$P148,'M2'!$A:$C,Q$2,FALSE)),"NOT PRESENT",VLOOKUP(DATA!$P148,'M2'!$A:$C,Q$2,FALSE)),IF($M148=0,IF(ISERROR(VLOOKUP($P148,'M1'!$A:$C,Q$2,FALSE)),IF(ISERROR(VLOOKUP(DATA!$P148,'M2'!$A:$C,Q$2,FALSE)),"NOT PRESENT",VLOOKUP(DATA!$P148,'M2'!$A:$C,Q$2,FALSE)),VLOOKUP($P148,'M1'!$A:$C,Q$2,FALSE)),"SPECIFY METHOD")))</f>
        <v>Strongylocentrotus droebachiensis</v>
      </c>
      <c r="R148" s="21" t="str">
        <f>IF($M148=1,IF(ISERROR(VLOOKUP($P148,'M1'!$A:$C,R$2,FALSE)),"NOT PRESENT",VLOOKUP($P148,'M1'!$A:$C,R$2,FALSE)),IF($M148=2,IF(ISERROR(VLOOKUP(DATA!$P148,'M2'!$A:$C,R$2,FALSE)),"NOT PRESENT",VLOOKUP(DATA!$P148,'M2'!$A:$C,R$2,FALSE)),IF($M148=0,IF(ISERROR(VLOOKUP($P148,'M1'!$A:$C,R$2,FALSE)),IF(ISERROR(VLOOKUP(DATA!$P148,'M2'!$A:$C,R$2,FALSE)),"NOT PRESENT",VLOOKUP(DATA!$P148,'M2'!$A:$C,R$2,FALSE)),VLOOKUP($P148,'M1'!$A:$C,R$2,FALSE)),"SPECIFY METHOD")))</f>
        <v>Northern sea urchin</v>
      </c>
      <c r="S148" s="28">
        <f t="shared" si="3"/>
        <v>1</v>
      </c>
      <c r="T148" s="20">
        <v>0</v>
      </c>
      <c r="U148" s="20"/>
      <c r="V148" s="20">
        <v>1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</row>
    <row r="149" spans="1:68" ht="12.75" customHeight="1">
      <c r="A149" s="21">
        <f t="shared" si="2"/>
        <v>147</v>
      </c>
      <c r="B149" s="20" t="str">
        <f t="shared" ref="B149:D149" si="291">IF(ISERROR(B148),IF(ISERROR(B147),IF(ISERROR(B146),"BLANK",B146),B147),B148)</f>
        <v>Claire Attridge</v>
      </c>
      <c r="C149" s="20" t="str">
        <f t="shared" si="291"/>
        <v>Isabelle Cote</v>
      </c>
      <c r="D149" s="20" t="str">
        <f t="shared" si="291"/>
        <v>BMSC24</v>
      </c>
      <c r="E149" s="21" t="str">
        <f>IF(ISERROR(VLOOKUP($D149,SITES!$A:$E,2,FALSE)),"",VLOOKUP($D149,SITES!$A:$E,2,FALSE))</f>
        <v>Swiss Boy</v>
      </c>
      <c r="F149" s="19">
        <f>IF(ISERROR(VLOOKUP($D149,SITES!$A:$E,3,FALSE)),"",VLOOKUP($D149,SITES!$A:$E,3,FALSE))</f>
        <v>48.916072999999997</v>
      </c>
      <c r="G149" s="22">
        <f>IF(ISERROR(VLOOKUP($D149,SITES!$A:$E,4,FALSE)),"",VLOOKUP($D149,SITES!$A:$E,4,FALSE))</f>
        <v>-125.131174</v>
      </c>
      <c r="H149" s="23">
        <f t="shared" ref="H149:N149" si="292">IF(ISERROR(H148),IF(ISERROR(H147),IF(ISERROR(H146),"BLANK",H146),H147),H148)</f>
        <v>45406</v>
      </c>
      <c r="I149" s="20">
        <f t="shared" si="292"/>
        <v>3</v>
      </c>
      <c r="J149" s="20" t="str">
        <f t="shared" si="292"/>
        <v>NE</v>
      </c>
      <c r="K149" s="27">
        <f t="shared" si="292"/>
        <v>0.54374999999999996</v>
      </c>
      <c r="L149" s="20">
        <f t="shared" si="292"/>
        <v>5.5</v>
      </c>
      <c r="M149" s="20">
        <f t="shared" si="292"/>
        <v>2</v>
      </c>
      <c r="N149" s="20">
        <f t="shared" si="292"/>
        <v>2</v>
      </c>
      <c r="O149" s="20">
        <v>24</v>
      </c>
      <c r="P149" s="20" t="s">
        <v>38</v>
      </c>
      <c r="Q149" s="21" t="str">
        <f>IF($M149=1,IF(ISERROR(VLOOKUP($P149,'M1'!$A:$C,Q$2,FALSE)),"NOT PRESENT",VLOOKUP($P149,'M1'!$A:$C,Q$2,FALSE)),IF($M149=2,IF(ISERROR(VLOOKUP(DATA!$P149,'M2'!$A:$C,Q$2,FALSE)),"NOT PRESENT",VLOOKUP(DATA!$P149,'M2'!$A:$C,Q$2,FALSE)),IF($M149=0,IF(ISERROR(VLOOKUP($P149,'M1'!$A:$C,Q$2,FALSE)),IF(ISERROR(VLOOKUP(DATA!$P149,'M2'!$A:$C,Q$2,FALSE)),"NOT PRESENT",VLOOKUP(DATA!$P149,'M2'!$A:$C,Q$2,FALSE)),VLOOKUP($P149,'M1'!$A:$C,Q$2,FALSE)),"SPECIFY METHOD")))</f>
        <v>Pisaster ochraceus</v>
      </c>
      <c r="R149" s="21" t="str">
        <f>IF($M149=1,IF(ISERROR(VLOOKUP($P149,'M1'!$A:$C,R$2,FALSE)),"NOT PRESENT",VLOOKUP($P149,'M1'!$A:$C,R$2,FALSE)),IF($M149=2,IF(ISERROR(VLOOKUP(DATA!$P149,'M2'!$A:$C,R$2,FALSE)),"NOT PRESENT",VLOOKUP(DATA!$P149,'M2'!$A:$C,R$2,FALSE)),IF($M149=0,IF(ISERROR(VLOOKUP($P149,'M1'!$A:$C,R$2,FALSE)),IF(ISERROR(VLOOKUP(DATA!$P149,'M2'!$A:$C,R$2,FALSE)),"NOT PRESENT",VLOOKUP(DATA!$P149,'M2'!$A:$C,R$2,FALSE)),VLOOKUP($P149,'M1'!$A:$C,R$2,FALSE)),"SPECIFY METHOD")))</f>
        <v>Purple sea star</v>
      </c>
      <c r="S149" s="28">
        <f t="shared" si="3"/>
        <v>1</v>
      </c>
      <c r="T149" s="20">
        <v>0</v>
      </c>
      <c r="U149" s="20"/>
      <c r="V149" s="20"/>
      <c r="W149" s="20"/>
      <c r="X149" s="20">
        <v>1</v>
      </c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</row>
    <row r="150" spans="1:68" ht="12.75" customHeight="1">
      <c r="A150" s="21">
        <f t="shared" si="2"/>
        <v>148</v>
      </c>
      <c r="B150" s="20" t="str">
        <f t="shared" ref="B150:D150" si="293">IF(ISERROR(B149),IF(ISERROR(B148),IF(ISERROR(B147),"BLANK",B147),B148),B149)</f>
        <v>Claire Attridge</v>
      </c>
      <c r="C150" s="20" t="str">
        <f t="shared" si="293"/>
        <v>Isabelle Cote</v>
      </c>
      <c r="D150" s="20" t="str">
        <f t="shared" si="293"/>
        <v>BMSC24</v>
      </c>
      <c r="E150" s="21" t="str">
        <f>IF(ISERROR(VLOOKUP($D150,SITES!$A:$E,2,FALSE)),"",VLOOKUP($D150,SITES!$A:$E,2,FALSE))</f>
        <v>Swiss Boy</v>
      </c>
      <c r="F150" s="19">
        <f>IF(ISERROR(VLOOKUP($D150,SITES!$A:$E,3,FALSE)),"",VLOOKUP($D150,SITES!$A:$E,3,FALSE))</f>
        <v>48.916072999999997</v>
      </c>
      <c r="G150" s="22">
        <f>IF(ISERROR(VLOOKUP($D150,SITES!$A:$E,4,FALSE)),"",VLOOKUP($D150,SITES!$A:$E,4,FALSE))</f>
        <v>-125.131174</v>
      </c>
      <c r="H150" s="23">
        <f t="shared" ref="H150:N150" si="294">IF(ISERROR(H149),IF(ISERROR(H148),IF(ISERROR(H147),"BLANK",H147),H148),H149)</f>
        <v>45406</v>
      </c>
      <c r="I150" s="20">
        <f t="shared" si="294"/>
        <v>3</v>
      </c>
      <c r="J150" s="20" t="str">
        <f t="shared" si="294"/>
        <v>NE</v>
      </c>
      <c r="K150" s="27">
        <f t="shared" si="294"/>
        <v>0.54374999999999996</v>
      </c>
      <c r="L150" s="20">
        <f t="shared" si="294"/>
        <v>5.5</v>
      </c>
      <c r="M150" s="20">
        <f t="shared" si="294"/>
        <v>2</v>
      </c>
      <c r="N150" s="20">
        <f t="shared" si="294"/>
        <v>2</v>
      </c>
      <c r="O150" s="20">
        <v>8</v>
      </c>
      <c r="P150" s="20" t="s">
        <v>41</v>
      </c>
      <c r="Q150" s="21" t="str">
        <f>IF($M150=1,IF(ISERROR(VLOOKUP($P150,'M1'!$A:$C,Q$2,FALSE)),"NOT PRESENT",VLOOKUP($P150,'M1'!$A:$C,Q$2,FALSE)),IF($M150=2,IF(ISERROR(VLOOKUP(DATA!$P150,'M2'!$A:$C,Q$2,FALSE)),"NOT PRESENT",VLOOKUP(DATA!$P150,'M2'!$A:$C,Q$2,FALSE)),IF($M150=0,IF(ISERROR(VLOOKUP($P150,'M1'!$A:$C,Q$2,FALSE)),IF(ISERROR(VLOOKUP(DATA!$P150,'M2'!$A:$C,Q$2,FALSE)),"NOT PRESENT",VLOOKUP(DATA!$P150,'M2'!$A:$C,Q$2,FALSE)),VLOOKUP($P150,'M1'!$A:$C,Q$2,FALSE)),"SPECIFY METHOD")))</f>
        <v>Mesocentrotus franciscanus</v>
      </c>
      <c r="R150" s="21" t="str">
        <f>IF($M150=1,IF(ISERROR(VLOOKUP($P150,'M1'!$A:$C,R$2,FALSE)),"NOT PRESENT",VLOOKUP($P150,'M1'!$A:$C,R$2,FALSE)),IF($M150=2,IF(ISERROR(VLOOKUP(DATA!$P150,'M2'!$A:$C,R$2,FALSE)),"NOT PRESENT",VLOOKUP(DATA!$P150,'M2'!$A:$C,R$2,FALSE)),IF($M150=0,IF(ISERROR(VLOOKUP($P150,'M1'!$A:$C,R$2,FALSE)),IF(ISERROR(VLOOKUP(DATA!$P150,'M2'!$A:$C,R$2,FALSE)),"NOT PRESENT",VLOOKUP(DATA!$P150,'M2'!$A:$C,R$2,FALSE)),VLOOKUP($P150,'M1'!$A:$C,R$2,FALSE)),"SPECIFY METHOD")))</f>
        <v>Red sea urchin</v>
      </c>
      <c r="S150" s="28">
        <f t="shared" si="3"/>
        <v>4</v>
      </c>
      <c r="T150" s="20">
        <v>0</v>
      </c>
      <c r="U150" s="20"/>
      <c r="V150" s="20"/>
      <c r="W150" s="20">
        <v>1</v>
      </c>
      <c r="X150" s="20">
        <v>1</v>
      </c>
      <c r="Y150" s="20">
        <v>1</v>
      </c>
      <c r="Z150" s="20">
        <v>1</v>
      </c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</row>
    <row r="151" spans="1:68" ht="12.75" customHeight="1">
      <c r="A151" s="21">
        <f t="shared" si="2"/>
        <v>149</v>
      </c>
      <c r="B151" s="20" t="str">
        <f t="shared" ref="B151:D151" si="295">IF(ISERROR(#REF!),IF(ISERROR(B150),IF(ISERROR(B149),"BLANK",B149),B150),#REF!)</f>
        <v>Claire Attridge</v>
      </c>
      <c r="C151" s="20" t="str">
        <f t="shared" si="295"/>
        <v>Isabelle Cote</v>
      </c>
      <c r="D151" s="20" t="str">
        <f t="shared" si="295"/>
        <v>BMSC24</v>
      </c>
      <c r="E151" s="21" t="str">
        <f>IF(ISERROR(VLOOKUP($D151,SITES!$A:$E,2,FALSE)),"",VLOOKUP($D151,SITES!$A:$E,2,FALSE))</f>
        <v>Swiss Boy</v>
      </c>
      <c r="F151" s="19">
        <f>IF(ISERROR(VLOOKUP($D151,SITES!$A:$E,3,FALSE)),"",VLOOKUP($D151,SITES!$A:$E,3,FALSE))</f>
        <v>48.916072999999997</v>
      </c>
      <c r="G151" s="22">
        <f>IF(ISERROR(VLOOKUP($D151,SITES!$A:$E,4,FALSE)),"",VLOOKUP($D151,SITES!$A:$E,4,FALSE))</f>
        <v>-125.131174</v>
      </c>
      <c r="H151" s="23">
        <f t="shared" ref="H151:N151" si="296">IF(ISERROR(#REF!),IF(ISERROR(H150),IF(ISERROR(H149),"BLANK",H149),H150),#REF!)</f>
        <v>45406</v>
      </c>
      <c r="I151" s="20">
        <f t="shared" si="296"/>
        <v>3</v>
      </c>
      <c r="J151" s="20" t="str">
        <f t="shared" si="296"/>
        <v>NE</v>
      </c>
      <c r="K151" s="27">
        <f t="shared" si="296"/>
        <v>0.54374999999999996</v>
      </c>
      <c r="L151" s="20">
        <f t="shared" si="296"/>
        <v>5.5</v>
      </c>
      <c r="M151" s="20">
        <f t="shared" si="296"/>
        <v>2</v>
      </c>
      <c r="N151" s="20">
        <f t="shared" si="296"/>
        <v>2</v>
      </c>
      <c r="O151" s="20">
        <v>0</v>
      </c>
      <c r="P151" s="20" t="s">
        <v>39</v>
      </c>
      <c r="Q151" s="21" t="str">
        <f>IF($M151=1,IF(ISERROR(VLOOKUP($P151,'M1'!$A:$C,Q$2,FALSE)),"NOT PRESENT",VLOOKUP($P151,'M1'!$A:$C,Q$2,FALSE)),IF($M151=2,IF(ISERROR(VLOOKUP(DATA!$P151,'M2'!$A:$C,Q$2,FALSE)),"NOT PRESENT",VLOOKUP(DATA!$P151,'M2'!$A:$C,Q$2,FALSE)),IF($M151=0,IF(ISERROR(VLOOKUP($P151,'M1'!$A:$C,Q$2,FALSE)),IF(ISERROR(VLOOKUP(DATA!$P151,'M2'!$A:$C,Q$2,FALSE)),"NOT PRESENT",VLOOKUP(DATA!$P151,'M2'!$A:$C,Q$2,FALSE)),VLOOKUP($P151,'M1'!$A:$C,Q$2,FALSE)),"SPECIFY METHOD")))</f>
        <v>Dermasterias imbricata</v>
      </c>
      <c r="R151" s="21" t="str">
        <f>IF($M151=1,IF(ISERROR(VLOOKUP($P151,'M1'!$A:$C,R$2,FALSE)),"NOT PRESENT",VLOOKUP($P151,'M1'!$A:$C,R$2,FALSE)),IF($M151=2,IF(ISERROR(VLOOKUP(DATA!$P151,'M2'!$A:$C,R$2,FALSE)),"NOT PRESENT",VLOOKUP(DATA!$P151,'M2'!$A:$C,R$2,FALSE)),IF($M151=0,IF(ISERROR(VLOOKUP($P151,'M1'!$A:$C,R$2,FALSE)),IF(ISERROR(VLOOKUP(DATA!$P151,'M2'!$A:$C,R$2,FALSE)),"NOT PRESENT",VLOOKUP(DATA!$P151,'M2'!$A:$C,R$2,FALSE)),VLOOKUP($P151,'M1'!$A:$C,R$2,FALSE)),"SPECIFY METHOD")))</f>
        <v>Leather star</v>
      </c>
      <c r="S151" s="28">
        <f t="shared" si="3"/>
        <v>1</v>
      </c>
      <c r="T151" s="20">
        <v>0</v>
      </c>
      <c r="U151" s="20"/>
      <c r="V151" s="20"/>
      <c r="W151" s="20"/>
      <c r="X151" s="20">
        <v>1</v>
      </c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</row>
    <row r="152" spans="1:68" ht="12.75" customHeight="1">
      <c r="A152" s="21">
        <f t="shared" si="2"/>
        <v>150</v>
      </c>
      <c r="B152" s="20" t="str">
        <f t="shared" ref="B152:D152" si="297">IF(ISERROR(B151),IF(ISERROR(#REF!),IF(ISERROR(B150),"BLANK",B150),#REF!),B151)</f>
        <v>Claire Attridge</v>
      </c>
      <c r="C152" s="20" t="str">
        <f t="shared" si="297"/>
        <v>Isabelle Cote</v>
      </c>
      <c r="D152" s="20" t="str">
        <f t="shared" si="297"/>
        <v>BMSC24</v>
      </c>
      <c r="E152" s="21" t="str">
        <f>IF(ISERROR(VLOOKUP($D152,SITES!$A:$E,2,FALSE)),"",VLOOKUP($D152,SITES!$A:$E,2,FALSE))</f>
        <v>Swiss Boy</v>
      </c>
      <c r="F152" s="19">
        <f>IF(ISERROR(VLOOKUP($D152,SITES!$A:$E,3,FALSE)),"",VLOOKUP($D152,SITES!$A:$E,3,FALSE))</f>
        <v>48.916072999999997</v>
      </c>
      <c r="G152" s="22">
        <f>IF(ISERROR(VLOOKUP($D152,SITES!$A:$E,4,FALSE)),"",VLOOKUP($D152,SITES!$A:$E,4,FALSE))</f>
        <v>-125.131174</v>
      </c>
      <c r="H152" s="23">
        <f t="shared" ref="H152:N152" si="298">IF(ISERROR(H151),IF(ISERROR(#REF!),IF(ISERROR(H150),"BLANK",H150),#REF!),H151)</f>
        <v>45406</v>
      </c>
      <c r="I152" s="20">
        <f t="shared" si="298"/>
        <v>3</v>
      </c>
      <c r="J152" s="20" t="str">
        <f t="shared" si="298"/>
        <v>NE</v>
      </c>
      <c r="K152" s="27">
        <f t="shared" si="298"/>
        <v>0.54374999999999996</v>
      </c>
      <c r="L152" s="20">
        <f t="shared" si="298"/>
        <v>5.5</v>
      </c>
      <c r="M152" s="20">
        <f t="shared" si="298"/>
        <v>2</v>
      </c>
      <c r="N152" s="20">
        <f t="shared" si="298"/>
        <v>2</v>
      </c>
      <c r="O152" s="20">
        <v>0</v>
      </c>
      <c r="P152" s="20" t="s">
        <v>41</v>
      </c>
      <c r="Q152" s="21" t="str">
        <f>IF($M152=1,IF(ISERROR(VLOOKUP($P152,'M1'!$A:$C,Q$2,FALSE)),"NOT PRESENT",VLOOKUP($P152,'M1'!$A:$C,Q$2,FALSE)),IF($M152=2,IF(ISERROR(VLOOKUP(DATA!$P152,'M2'!$A:$C,Q$2,FALSE)),"NOT PRESENT",VLOOKUP(DATA!$P152,'M2'!$A:$C,Q$2,FALSE)),IF($M152=0,IF(ISERROR(VLOOKUP($P152,'M1'!$A:$C,Q$2,FALSE)),IF(ISERROR(VLOOKUP(DATA!$P152,'M2'!$A:$C,Q$2,FALSE)),"NOT PRESENT",VLOOKUP(DATA!$P152,'M2'!$A:$C,Q$2,FALSE)),VLOOKUP($P152,'M1'!$A:$C,Q$2,FALSE)),"SPECIFY METHOD")))</f>
        <v>Mesocentrotus franciscanus</v>
      </c>
      <c r="R152" s="21" t="str">
        <f>IF($M152=1,IF(ISERROR(VLOOKUP($P152,'M1'!$A:$C,R$2,FALSE)),"NOT PRESENT",VLOOKUP($P152,'M1'!$A:$C,R$2,FALSE)),IF($M152=2,IF(ISERROR(VLOOKUP(DATA!$P152,'M2'!$A:$C,R$2,FALSE)),"NOT PRESENT",VLOOKUP(DATA!$P152,'M2'!$A:$C,R$2,FALSE)),IF($M152=0,IF(ISERROR(VLOOKUP($P152,'M1'!$A:$C,R$2,FALSE)),IF(ISERROR(VLOOKUP(DATA!$P152,'M2'!$A:$C,R$2,FALSE)),"NOT PRESENT",VLOOKUP(DATA!$P152,'M2'!$A:$C,R$2,FALSE)),VLOOKUP($P152,'M1'!$A:$C,R$2,FALSE)),"SPECIFY METHOD")))</f>
        <v>Red sea urchin</v>
      </c>
      <c r="S152" s="28">
        <f t="shared" si="3"/>
        <v>3</v>
      </c>
      <c r="T152" s="20">
        <v>0</v>
      </c>
      <c r="U152" s="20"/>
      <c r="V152" s="20"/>
      <c r="W152" s="20"/>
      <c r="X152" s="20">
        <v>1</v>
      </c>
      <c r="Y152" s="20">
        <v>2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</row>
    <row r="153" spans="1:68" ht="12.75" customHeight="1">
      <c r="A153" s="35">
        <f t="shared" si="2"/>
        <v>151</v>
      </c>
      <c r="B153" s="36" t="s">
        <v>25</v>
      </c>
      <c r="C153" s="36" t="s">
        <v>35</v>
      </c>
      <c r="D153" s="36" t="s">
        <v>57</v>
      </c>
      <c r="E153" s="35" t="str">
        <f>IF(ISERROR(VLOOKUP($D153,SITES!$A:$E,2,FALSE)),"",VLOOKUP($D153,SITES!$A:$E,2,FALSE))</f>
        <v>Swiss Boy</v>
      </c>
      <c r="F153" s="37">
        <f>IF(ISERROR(VLOOKUP($D153,SITES!$A:$E,3,FALSE)),"",VLOOKUP($D153,SITES!$A:$E,3,FALSE))</f>
        <v>48.916072999999997</v>
      </c>
      <c r="G153" s="38">
        <f>IF(ISERROR(VLOOKUP($D153,SITES!$A:$E,4,FALSE)),"",VLOOKUP($D153,SITES!$A:$E,4,FALSE))</f>
        <v>-125.131174</v>
      </c>
      <c r="H153" s="36" t="s">
        <v>58</v>
      </c>
      <c r="I153" s="36">
        <v>4</v>
      </c>
      <c r="J153" s="36" t="s">
        <v>59</v>
      </c>
      <c r="K153" s="39">
        <v>0.54374999999999996</v>
      </c>
      <c r="L153" s="36">
        <v>10.5</v>
      </c>
      <c r="M153" s="36">
        <v>2</v>
      </c>
      <c r="N153" s="36">
        <v>2</v>
      </c>
      <c r="O153" s="36">
        <v>40</v>
      </c>
      <c r="P153" s="36" t="s">
        <v>49</v>
      </c>
      <c r="Q153" s="35" t="str">
        <f>IF($M153=1,IF(ISERROR(VLOOKUP($P153,'M1'!$A:$C,Q$2,FALSE)),"NOT PRESENT",VLOOKUP($P153,'M1'!$A:$C,Q$2,FALSE)),IF($M153=2,IF(ISERROR(VLOOKUP(DATA!$P153,'M2'!$A:$C,Q$2,FALSE)),"NOT PRESENT",VLOOKUP(DATA!$P153,'M2'!$A:$C,Q$2,FALSE)),IF($M153=0,IF(ISERROR(VLOOKUP($P153,'M1'!$A:$C,Q$2,FALSE)),IF(ISERROR(VLOOKUP(DATA!$P153,'M2'!$A:$C,Q$2,FALSE)),"NOT PRESENT",VLOOKUP(DATA!$P153,'M2'!$A:$C,Q$2,FALSE)),VLOOKUP($P153,'M1'!$A:$C,Q$2,FALSE)),"SPECIFY METHOD")))</f>
        <v>Henricia sp.</v>
      </c>
      <c r="R153" s="35" t="str">
        <f>IF($M153=1,IF(ISERROR(VLOOKUP($P153,'M1'!$A:$C,R$2,FALSE)),"NOT PRESENT",VLOOKUP($P153,'M1'!$A:$C,R$2,FALSE)),IF($M153=2,IF(ISERROR(VLOOKUP(DATA!$P153,'M2'!$A:$C,R$2,FALSE)),"NOT PRESENT",VLOOKUP(DATA!$P153,'M2'!$A:$C,R$2,FALSE)),IF($M153=0,IF(ISERROR(VLOOKUP($P153,'M1'!$A:$C,R$2,FALSE)),IF(ISERROR(VLOOKUP(DATA!$P153,'M2'!$A:$C,R$2,FALSE)),"NOT PRESENT",VLOOKUP(DATA!$P153,'M2'!$A:$C,R$2,FALSE)),VLOOKUP($P153,'M1'!$A:$C,R$2,FALSE)),"SPECIFY METHOD")))</f>
        <v>Unidentified blood star</v>
      </c>
      <c r="S153" s="40">
        <f t="shared" si="3"/>
        <v>1</v>
      </c>
      <c r="T153" s="36">
        <v>1</v>
      </c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</row>
    <row r="154" spans="1:68" ht="12.75" customHeight="1">
      <c r="A154" s="35">
        <f t="shared" si="2"/>
        <v>152</v>
      </c>
      <c r="B154" s="36" t="s">
        <v>25</v>
      </c>
      <c r="C154" s="36" t="s">
        <v>35</v>
      </c>
      <c r="D154" s="36" t="s">
        <v>57</v>
      </c>
      <c r="E154" s="35" t="str">
        <f>IF(ISERROR(VLOOKUP($D154,SITES!$A:$E,2,FALSE)),"",VLOOKUP($D154,SITES!$A:$E,2,FALSE))</f>
        <v>Swiss Boy</v>
      </c>
      <c r="F154" s="37">
        <f>IF(ISERROR(VLOOKUP($D154,SITES!$A:$E,3,FALSE)),"",VLOOKUP($D154,SITES!$A:$E,3,FALSE))</f>
        <v>48.916072999999997</v>
      </c>
      <c r="G154" s="38">
        <f>IF(ISERROR(VLOOKUP($D154,SITES!$A:$E,4,FALSE)),"",VLOOKUP($D154,SITES!$A:$E,4,FALSE))</f>
        <v>-125.131174</v>
      </c>
      <c r="H154" s="36" t="s">
        <v>58</v>
      </c>
      <c r="I154" s="36">
        <v>4</v>
      </c>
      <c r="J154" s="36" t="s">
        <v>59</v>
      </c>
      <c r="K154" s="39">
        <v>0.54374999999999996</v>
      </c>
      <c r="L154" s="36">
        <v>10.5</v>
      </c>
      <c r="M154" s="36">
        <v>2</v>
      </c>
      <c r="N154" s="36">
        <v>2</v>
      </c>
      <c r="O154" s="36">
        <v>8</v>
      </c>
      <c r="P154" s="36" t="s">
        <v>39</v>
      </c>
      <c r="Q154" s="35" t="str">
        <f>IF($M154=1,IF(ISERROR(VLOOKUP($P154,'M1'!$A:$C,Q$2,FALSE)),"NOT PRESENT",VLOOKUP($P154,'M1'!$A:$C,Q$2,FALSE)),IF($M154=2,IF(ISERROR(VLOOKUP(DATA!$P154,'M2'!$A:$C,Q$2,FALSE)),"NOT PRESENT",VLOOKUP(DATA!$P154,'M2'!$A:$C,Q$2,FALSE)),IF($M154=0,IF(ISERROR(VLOOKUP($P154,'M1'!$A:$C,Q$2,FALSE)),IF(ISERROR(VLOOKUP(DATA!$P154,'M2'!$A:$C,Q$2,FALSE)),"NOT PRESENT",VLOOKUP(DATA!$P154,'M2'!$A:$C,Q$2,FALSE)),VLOOKUP($P154,'M1'!$A:$C,Q$2,FALSE)),"SPECIFY METHOD")))</f>
        <v>Dermasterias imbricata</v>
      </c>
      <c r="R154" s="35" t="str">
        <f>IF($M154=1,IF(ISERROR(VLOOKUP($P154,'M1'!$A:$C,R$2,FALSE)),"NOT PRESENT",VLOOKUP($P154,'M1'!$A:$C,R$2,FALSE)),IF($M154=2,IF(ISERROR(VLOOKUP(DATA!$P154,'M2'!$A:$C,R$2,FALSE)),"NOT PRESENT",VLOOKUP(DATA!$P154,'M2'!$A:$C,R$2,FALSE)),IF($M154=0,IF(ISERROR(VLOOKUP($P154,'M1'!$A:$C,R$2,FALSE)),IF(ISERROR(VLOOKUP(DATA!$P154,'M2'!$A:$C,R$2,FALSE)),"NOT PRESENT",VLOOKUP(DATA!$P154,'M2'!$A:$C,R$2,FALSE)),VLOOKUP($P154,'M1'!$A:$C,R$2,FALSE)),"SPECIFY METHOD")))</f>
        <v>Leather star</v>
      </c>
      <c r="S154" s="40">
        <f t="shared" si="3"/>
        <v>1</v>
      </c>
      <c r="T154" s="36">
        <v>1</v>
      </c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</row>
    <row r="155" spans="1:68" ht="12.75" customHeight="1">
      <c r="A155" s="21">
        <f t="shared" si="2"/>
        <v>153</v>
      </c>
      <c r="B155" s="20" t="s">
        <v>36</v>
      </c>
      <c r="C155" s="20" t="s">
        <v>25</v>
      </c>
      <c r="D155" s="20" t="s">
        <v>63</v>
      </c>
      <c r="E155" s="21" t="str">
        <f>IF(ISERROR(VLOOKUP($D155,SITES!$A:$E,2,FALSE)),"",VLOOKUP($D155,SITES!$A:$E,2,FALSE))</f>
        <v>Ed King East</v>
      </c>
      <c r="F155" s="19">
        <f>IF(ISERROR(VLOOKUP($D155,SITES!$A:$E,3,FALSE)),"",VLOOKUP($D155,SITES!$A:$E,3,FALSE))</f>
        <v>48.835666656494098</v>
      </c>
      <c r="G155" s="22">
        <f>IF(ISERROR(VLOOKUP($D155,SITES!$A:$E,4,FALSE)),"",VLOOKUP($D155,SITES!$A:$E,4,FALSE))</f>
        <v>-125.214797973632</v>
      </c>
      <c r="H155" s="20" t="s">
        <v>64</v>
      </c>
      <c r="I155" s="20">
        <v>3.5</v>
      </c>
      <c r="J155" s="20" t="s">
        <v>27</v>
      </c>
      <c r="K155" s="27">
        <v>0.4152777777777778</v>
      </c>
      <c r="L155" s="20">
        <v>6.7</v>
      </c>
      <c r="M155" s="20">
        <f>IF(ISERROR(M154),IF(ISERROR(M153),IF(ISERROR(#REF!),"BLANK",#REF!),M153),M154)</f>
        <v>2</v>
      </c>
      <c r="N155" s="20">
        <v>1</v>
      </c>
      <c r="O155" s="20">
        <v>0</v>
      </c>
      <c r="P155" s="20" t="s">
        <v>41</v>
      </c>
      <c r="Q155" s="21" t="str">
        <f>IF($M155=1,IF(ISERROR(VLOOKUP($P155,'M1'!$A:$C,Q$2,FALSE)),"NOT PRESENT",VLOOKUP($P155,'M1'!$A:$C,Q$2,FALSE)),IF($M155=2,IF(ISERROR(VLOOKUP(DATA!$P155,'M2'!$A:$C,Q$2,FALSE)),"NOT PRESENT",VLOOKUP(DATA!$P155,'M2'!$A:$C,Q$2,FALSE)),IF($M155=0,IF(ISERROR(VLOOKUP($P155,'M1'!$A:$C,Q$2,FALSE)),IF(ISERROR(VLOOKUP(DATA!$P155,'M2'!$A:$C,Q$2,FALSE)),"NOT PRESENT",VLOOKUP(DATA!$P155,'M2'!$A:$C,Q$2,FALSE)),VLOOKUP($P155,'M1'!$A:$C,Q$2,FALSE)),"SPECIFY METHOD")))</f>
        <v>Mesocentrotus franciscanus</v>
      </c>
      <c r="R155" s="21" t="str">
        <f>IF($M155=1,IF(ISERROR(VLOOKUP($P155,'M1'!$A:$C,R$2,FALSE)),"NOT PRESENT",VLOOKUP($P155,'M1'!$A:$C,R$2,FALSE)),IF($M155=2,IF(ISERROR(VLOOKUP(DATA!$P155,'M2'!$A:$C,R$2,FALSE)),"NOT PRESENT",VLOOKUP(DATA!$P155,'M2'!$A:$C,R$2,FALSE)),IF($M155=0,IF(ISERROR(VLOOKUP($P155,'M1'!$A:$C,R$2,FALSE)),IF(ISERROR(VLOOKUP(DATA!$P155,'M2'!$A:$C,R$2,FALSE)),"NOT PRESENT",VLOOKUP(DATA!$P155,'M2'!$A:$C,R$2,FALSE)),VLOOKUP($P155,'M1'!$A:$C,R$2,FALSE)),"SPECIFY METHOD")))</f>
        <v>Red sea urchin</v>
      </c>
      <c r="S155" s="28">
        <f t="shared" si="3"/>
        <v>7</v>
      </c>
      <c r="T155" s="20">
        <v>0</v>
      </c>
      <c r="U155" s="20"/>
      <c r="V155" s="20"/>
      <c r="W155" s="20">
        <v>3</v>
      </c>
      <c r="X155" s="20">
        <v>1</v>
      </c>
      <c r="Y155" s="20">
        <v>2</v>
      </c>
      <c r="Z155" s="20">
        <v>1</v>
      </c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</row>
    <row r="156" spans="1:68" ht="12.75" customHeight="1">
      <c r="A156" s="21">
        <f t="shared" si="2"/>
        <v>154</v>
      </c>
      <c r="B156" s="20" t="str">
        <f t="shared" ref="B156:D156" si="299">IF(ISERROR(B155),IF(ISERROR(B154),IF(ISERROR(B153),"BLANK",B153),B154),B155)</f>
        <v>Isabelle Cote</v>
      </c>
      <c r="C156" s="20" t="str">
        <f t="shared" si="299"/>
        <v>Tom Bird</v>
      </c>
      <c r="D156" s="20" t="str">
        <f t="shared" si="299"/>
        <v>BMSC20</v>
      </c>
      <c r="E156" s="21" t="str">
        <f>IF(ISERROR(VLOOKUP($D156,SITES!$A:$E,2,FALSE)),"",VLOOKUP($D156,SITES!$A:$E,2,FALSE))</f>
        <v>Ed King East</v>
      </c>
      <c r="F156" s="19">
        <f>IF(ISERROR(VLOOKUP($D156,SITES!$A:$E,3,FALSE)),"",VLOOKUP($D156,SITES!$A:$E,3,FALSE))</f>
        <v>48.835666656494098</v>
      </c>
      <c r="G156" s="22">
        <f>IF(ISERROR(VLOOKUP($D156,SITES!$A:$E,4,FALSE)),"",VLOOKUP($D156,SITES!$A:$E,4,FALSE))</f>
        <v>-125.214797973632</v>
      </c>
      <c r="H156" s="23" t="str">
        <f t="shared" ref="H156:N156" si="300">IF(ISERROR(H155),IF(ISERROR(H154),IF(ISERROR(H153),"BLANK",H153),H154),H155)</f>
        <v>4/25/2024</v>
      </c>
      <c r="I156" s="20">
        <f t="shared" si="300"/>
        <v>3.5</v>
      </c>
      <c r="J156" s="20" t="str">
        <f t="shared" si="300"/>
        <v>NW</v>
      </c>
      <c r="K156" s="27">
        <f t="shared" si="300"/>
        <v>0.4152777777777778</v>
      </c>
      <c r="L156" s="20">
        <f t="shared" si="300"/>
        <v>6.7</v>
      </c>
      <c r="M156" s="20">
        <f t="shared" si="300"/>
        <v>2</v>
      </c>
      <c r="N156" s="20">
        <f t="shared" si="300"/>
        <v>1</v>
      </c>
      <c r="O156" s="20">
        <v>0</v>
      </c>
      <c r="P156" s="20" t="s">
        <v>65</v>
      </c>
      <c r="Q156" s="21" t="str">
        <f>IF($M156=1,IF(ISERROR(VLOOKUP($P156,'M1'!$A:$C,Q$2,FALSE)),"NOT PRESENT",VLOOKUP($P156,'M1'!$A:$C,Q$2,FALSE)),IF($M156=2,IF(ISERROR(VLOOKUP(DATA!$P156,'M2'!$A:$C,Q$2,FALSE)),"NOT PRESENT",VLOOKUP(DATA!$P156,'M2'!$A:$C,Q$2,FALSE)),IF($M156=0,IF(ISERROR(VLOOKUP($P156,'M1'!$A:$C,Q$2,FALSE)),IF(ISERROR(VLOOKUP(DATA!$P156,'M2'!$A:$C,Q$2,FALSE)),"NOT PRESENT",VLOOKUP(DATA!$P156,'M2'!$A:$C,Q$2,FALSE)),VLOOKUP($P156,'M1'!$A:$C,Q$2,FALSE)),"SPECIFY METHOD")))</f>
        <v>Strongylocentrotus purpuratus</v>
      </c>
      <c r="R156" s="21" t="str">
        <f>IF($M156=1,IF(ISERROR(VLOOKUP($P156,'M1'!$A:$C,R$2,FALSE)),"NOT PRESENT",VLOOKUP($P156,'M1'!$A:$C,R$2,FALSE)),IF($M156=2,IF(ISERROR(VLOOKUP(DATA!$P156,'M2'!$A:$C,R$2,FALSE)),"NOT PRESENT",VLOOKUP(DATA!$P156,'M2'!$A:$C,R$2,FALSE)),IF($M156=0,IF(ISERROR(VLOOKUP($P156,'M1'!$A:$C,R$2,FALSE)),IF(ISERROR(VLOOKUP(DATA!$P156,'M2'!$A:$C,R$2,FALSE)),"NOT PRESENT",VLOOKUP(DATA!$P156,'M2'!$A:$C,R$2,FALSE)),VLOOKUP($P156,'M1'!$A:$C,R$2,FALSE)),"SPECIFY METHOD")))</f>
        <v>Purple sea urchin (?)</v>
      </c>
      <c r="S156" s="28">
        <f t="shared" si="3"/>
        <v>1</v>
      </c>
      <c r="T156" s="20">
        <v>0</v>
      </c>
      <c r="U156" s="20"/>
      <c r="V156" s="20"/>
      <c r="W156" s="20">
        <v>1</v>
      </c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</row>
    <row r="157" spans="1:68" ht="12.75" customHeight="1">
      <c r="A157" s="21">
        <f t="shared" si="2"/>
        <v>155</v>
      </c>
      <c r="B157" s="20" t="str">
        <f t="shared" ref="B157:D157" si="301">IF(ISERROR(B156),IF(ISERROR(B155),IF(ISERROR(B154),"BLANK",B154),B155),B156)</f>
        <v>Isabelle Cote</v>
      </c>
      <c r="C157" s="20" t="str">
        <f t="shared" si="301"/>
        <v>Tom Bird</v>
      </c>
      <c r="D157" s="20" t="str">
        <f t="shared" si="301"/>
        <v>BMSC20</v>
      </c>
      <c r="E157" s="21" t="str">
        <f>IF(ISERROR(VLOOKUP($D157,SITES!$A:$E,2,FALSE)),"",VLOOKUP($D157,SITES!$A:$E,2,FALSE))</f>
        <v>Ed King East</v>
      </c>
      <c r="F157" s="19">
        <f>IF(ISERROR(VLOOKUP($D157,SITES!$A:$E,3,FALSE)),"",VLOOKUP($D157,SITES!$A:$E,3,FALSE))</f>
        <v>48.835666656494098</v>
      </c>
      <c r="G157" s="22">
        <f>IF(ISERROR(VLOOKUP($D157,SITES!$A:$E,4,FALSE)),"",VLOOKUP($D157,SITES!$A:$E,4,FALSE))</f>
        <v>-125.214797973632</v>
      </c>
      <c r="H157" s="23" t="str">
        <f t="shared" ref="H157:N157" si="302">IF(ISERROR(H156),IF(ISERROR(H155),IF(ISERROR(H154),"BLANK",H154),H155),H156)</f>
        <v>4/25/2024</v>
      </c>
      <c r="I157" s="20">
        <f t="shared" si="302"/>
        <v>3.5</v>
      </c>
      <c r="J157" s="20" t="str">
        <f t="shared" si="302"/>
        <v>NW</v>
      </c>
      <c r="K157" s="27">
        <f t="shared" si="302"/>
        <v>0.4152777777777778</v>
      </c>
      <c r="L157" s="20">
        <f t="shared" si="302"/>
        <v>6.7</v>
      </c>
      <c r="M157" s="20">
        <f t="shared" si="302"/>
        <v>2</v>
      </c>
      <c r="N157" s="20">
        <f t="shared" si="302"/>
        <v>1</v>
      </c>
      <c r="O157" s="20">
        <v>0</v>
      </c>
      <c r="P157" s="20" t="s">
        <v>39</v>
      </c>
      <c r="Q157" s="21" t="str">
        <f>IF($M157=1,IF(ISERROR(VLOOKUP($P157,'M1'!$A:$C,Q$2,FALSE)),"NOT PRESENT",VLOOKUP($P157,'M1'!$A:$C,Q$2,FALSE)),IF($M157=2,IF(ISERROR(VLOOKUP(DATA!$P157,'M2'!$A:$C,Q$2,FALSE)),"NOT PRESENT",VLOOKUP(DATA!$P157,'M2'!$A:$C,Q$2,FALSE)),IF($M157=0,IF(ISERROR(VLOOKUP($P157,'M1'!$A:$C,Q$2,FALSE)),IF(ISERROR(VLOOKUP(DATA!$P157,'M2'!$A:$C,Q$2,FALSE)),"NOT PRESENT",VLOOKUP(DATA!$P157,'M2'!$A:$C,Q$2,FALSE)),VLOOKUP($P157,'M1'!$A:$C,Q$2,FALSE)),"SPECIFY METHOD")))</f>
        <v>Dermasterias imbricata</v>
      </c>
      <c r="R157" s="21" t="str">
        <f>IF($M157=1,IF(ISERROR(VLOOKUP($P157,'M1'!$A:$C,R$2,FALSE)),"NOT PRESENT",VLOOKUP($P157,'M1'!$A:$C,R$2,FALSE)),IF($M157=2,IF(ISERROR(VLOOKUP(DATA!$P157,'M2'!$A:$C,R$2,FALSE)),"NOT PRESENT",VLOOKUP(DATA!$P157,'M2'!$A:$C,R$2,FALSE)),IF($M157=0,IF(ISERROR(VLOOKUP($P157,'M1'!$A:$C,R$2,FALSE)),IF(ISERROR(VLOOKUP(DATA!$P157,'M2'!$A:$C,R$2,FALSE)),"NOT PRESENT",VLOOKUP(DATA!$P157,'M2'!$A:$C,R$2,FALSE)),VLOOKUP($P157,'M1'!$A:$C,R$2,FALSE)),"SPECIFY METHOD")))</f>
        <v>Leather star</v>
      </c>
      <c r="S157" s="28">
        <f t="shared" si="3"/>
        <v>1</v>
      </c>
      <c r="T157" s="20">
        <v>0</v>
      </c>
      <c r="U157" s="20"/>
      <c r="V157" s="20"/>
      <c r="W157" s="20"/>
      <c r="X157" s="20">
        <v>1</v>
      </c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</row>
    <row r="158" spans="1:68" ht="12.75" customHeight="1">
      <c r="A158" s="21">
        <f t="shared" si="2"/>
        <v>156</v>
      </c>
      <c r="B158" s="20" t="str">
        <f t="shared" ref="B158:D158" si="303">IF(ISERROR(B157),IF(ISERROR(B156),IF(ISERROR(B155),"BLANK",B155),B156),B157)</f>
        <v>Isabelle Cote</v>
      </c>
      <c r="C158" s="20" t="str">
        <f t="shared" si="303"/>
        <v>Tom Bird</v>
      </c>
      <c r="D158" s="20" t="str">
        <f t="shared" si="303"/>
        <v>BMSC20</v>
      </c>
      <c r="E158" s="21" t="str">
        <f>IF(ISERROR(VLOOKUP($D158,SITES!$A:$E,2,FALSE)),"",VLOOKUP($D158,SITES!$A:$E,2,FALSE))</f>
        <v>Ed King East</v>
      </c>
      <c r="F158" s="19">
        <f>IF(ISERROR(VLOOKUP($D158,SITES!$A:$E,3,FALSE)),"",VLOOKUP($D158,SITES!$A:$E,3,FALSE))</f>
        <v>48.835666656494098</v>
      </c>
      <c r="G158" s="22">
        <f>IF(ISERROR(VLOOKUP($D158,SITES!$A:$E,4,FALSE)),"",VLOOKUP($D158,SITES!$A:$E,4,FALSE))</f>
        <v>-125.214797973632</v>
      </c>
      <c r="H158" s="23" t="str">
        <f t="shared" ref="H158:M158" si="304">IF(ISERROR(H157),IF(ISERROR(H156),IF(ISERROR(H155),"BLANK",H155),H156),H157)</f>
        <v>4/25/2024</v>
      </c>
      <c r="I158" s="20">
        <f t="shared" si="304"/>
        <v>3.5</v>
      </c>
      <c r="J158" s="20" t="str">
        <f t="shared" si="304"/>
        <v>NW</v>
      </c>
      <c r="K158" s="27">
        <f t="shared" si="304"/>
        <v>0.4152777777777778</v>
      </c>
      <c r="L158" s="20">
        <f t="shared" si="304"/>
        <v>6.7</v>
      </c>
      <c r="M158" s="20">
        <f t="shared" si="304"/>
        <v>2</v>
      </c>
      <c r="N158" s="20">
        <v>2</v>
      </c>
      <c r="O158" s="20">
        <v>8</v>
      </c>
      <c r="P158" s="20" t="s">
        <v>41</v>
      </c>
      <c r="Q158" s="21" t="str">
        <f>IF($M158=1,IF(ISERROR(VLOOKUP($P158,'M1'!$A:$C,Q$2,FALSE)),"NOT PRESENT",VLOOKUP($P158,'M1'!$A:$C,Q$2,FALSE)),IF($M158=2,IF(ISERROR(VLOOKUP(DATA!$P158,'M2'!$A:$C,Q$2,FALSE)),"NOT PRESENT",VLOOKUP(DATA!$P158,'M2'!$A:$C,Q$2,FALSE)),IF($M158=0,IF(ISERROR(VLOOKUP($P158,'M1'!$A:$C,Q$2,FALSE)),IF(ISERROR(VLOOKUP(DATA!$P158,'M2'!$A:$C,Q$2,FALSE)),"NOT PRESENT",VLOOKUP(DATA!$P158,'M2'!$A:$C,Q$2,FALSE)),VLOOKUP($P158,'M1'!$A:$C,Q$2,FALSE)),"SPECIFY METHOD")))</f>
        <v>Mesocentrotus franciscanus</v>
      </c>
      <c r="R158" s="21" t="str">
        <f>IF($M158=1,IF(ISERROR(VLOOKUP($P158,'M1'!$A:$C,R$2,FALSE)),"NOT PRESENT",VLOOKUP($P158,'M1'!$A:$C,R$2,FALSE)),IF($M158=2,IF(ISERROR(VLOOKUP(DATA!$P158,'M2'!$A:$C,R$2,FALSE)),"NOT PRESENT",VLOOKUP(DATA!$P158,'M2'!$A:$C,R$2,FALSE)),IF($M158=0,IF(ISERROR(VLOOKUP($P158,'M1'!$A:$C,R$2,FALSE)),IF(ISERROR(VLOOKUP(DATA!$P158,'M2'!$A:$C,R$2,FALSE)),"NOT PRESENT",VLOOKUP(DATA!$P158,'M2'!$A:$C,R$2,FALSE)),VLOOKUP($P158,'M1'!$A:$C,R$2,FALSE)),"SPECIFY METHOD")))</f>
        <v>Red sea urchin</v>
      </c>
      <c r="S158" s="28">
        <f t="shared" si="3"/>
        <v>9</v>
      </c>
      <c r="T158" s="20">
        <v>0</v>
      </c>
      <c r="U158" s="20"/>
      <c r="V158" s="20"/>
      <c r="W158" s="20">
        <v>2</v>
      </c>
      <c r="X158" s="20">
        <v>1</v>
      </c>
      <c r="Y158" s="20">
        <v>3</v>
      </c>
      <c r="Z158" s="20">
        <v>3</v>
      </c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</row>
    <row r="159" spans="1:68" ht="12.75" customHeight="1">
      <c r="A159" s="21">
        <f t="shared" si="2"/>
        <v>157</v>
      </c>
      <c r="B159" s="20" t="str">
        <f t="shared" ref="B159:D159" si="305">IF(ISERROR(B158),IF(ISERROR(B157),IF(ISERROR(B156),"BLANK",B156),B157),B158)</f>
        <v>Isabelle Cote</v>
      </c>
      <c r="C159" s="20" t="str">
        <f t="shared" si="305"/>
        <v>Tom Bird</v>
      </c>
      <c r="D159" s="20" t="str">
        <f t="shared" si="305"/>
        <v>BMSC20</v>
      </c>
      <c r="E159" s="21" t="str">
        <f>IF(ISERROR(VLOOKUP($D159,SITES!$A:$E,2,FALSE)),"",VLOOKUP($D159,SITES!$A:$E,2,FALSE))</f>
        <v>Ed King East</v>
      </c>
      <c r="F159" s="19">
        <f>IF(ISERROR(VLOOKUP($D159,SITES!$A:$E,3,FALSE)),"",VLOOKUP($D159,SITES!$A:$E,3,FALSE))</f>
        <v>48.835666656494098</v>
      </c>
      <c r="G159" s="22">
        <f>IF(ISERROR(VLOOKUP($D159,SITES!$A:$E,4,FALSE)),"",VLOOKUP($D159,SITES!$A:$E,4,FALSE))</f>
        <v>-125.214797973632</v>
      </c>
      <c r="H159" s="23" t="str">
        <f t="shared" ref="H159:N159" si="306">IF(ISERROR(H158),IF(ISERROR(H157),IF(ISERROR(H156),"BLANK",H156),H157),H158)</f>
        <v>4/25/2024</v>
      </c>
      <c r="I159" s="20">
        <f t="shared" si="306"/>
        <v>3.5</v>
      </c>
      <c r="J159" s="20" t="str">
        <f t="shared" si="306"/>
        <v>NW</v>
      </c>
      <c r="K159" s="27">
        <f t="shared" si="306"/>
        <v>0.4152777777777778</v>
      </c>
      <c r="L159" s="20">
        <f t="shared" si="306"/>
        <v>6.7</v>
      </c>
      <c r="M159" s="20">
        <f t="shared" si="306"/>
        <v>2</v>
      </c>
      <c r="N159" s="20">
        <f t="shared" si="306"/>
        <v>2</v>
      </c>
      <c r="O159" s="20">
        <v>8</v>
      </c>
      <c r="P159" s="20" t="s">
        <v>40</v>
      </c>
      <c r="Q159" s="21" t="str">
        <f>IF($M159=1,IF(ISERROR(VLOOKUP($P159,'M1'!$A:$C,Q$2,FALSE)),"NOT PRESENT",VLOOKUP($P159,'M1'!$A:$C,Q$2,FALSE)),IF($M159=2,IF(ISERROR(VLOOKUP(DATA!$P159,'M2'!$A:$C,Q$2,FALSE)),"NOT PRESENT",VLOOKUP(DATA!$P159,'M2'!$A:$C,Q$2,FALSE)),IF($M159=0,IF(ISERROR(VLOOKUP($P159,'M1'!$A:$C,Q$2,FALSE)),IF(ISERROR(VLOOKUP(DATA!$P159,'M2'!$A:$C,Q$2,FALSE)),"NOT PRESENT",VLOOKUP(DATA!$P159,'M2'!$A:$C,Q$2,FALSE)),VLOOKUP($P159,'M1'!$A:$C,Q$2,FALSE)),"SPECIFY METHOD")))</f>
        <v>Patiria miniata</v>
      </c>
      <c r="R159" s="21" t="str">
        <f>IF($M159=1,IF(ISERROR(VLOOKUP($P159,'M1'!$A:$C,R$2,FALSE)),"NOT PRESENT",VLOOKUP($P159,'M1'!$A:$C,R$2,FALSE)),IF($M159=2,IF(ISERROR(VLOOKUP(DATA!$P159,'M2'!$A:$C,R$2,FALSE)),"NOT PRESENT",VLOOKUP(DATA!$P159,'M2'!$A:$C,R$2,FALSE)),IF($M159=0,IF(ISERROR(VLOOKUP($P159,'M1'!$A:$C,R$2,FALSE)),IF(ISERROR(VLOOKUP(DATA!$P159,'M2'!$A:$C,R$2,FALSE)),"NOT PRESENT",VLOOKUP(DATA!$P159,'M2'!$A:$C,R$2,FALSE)),VLOOKUP($P159,'M1'!$A:$C,R$2,FALSE)),"SPECIFY METHOD")))</f>
        <v>Bat star</v>
      </c>
      <c r="S159" s="28">
        <f t="shared" si="3"/>
        <v>1</v>
      </c>
      <c r="T159" s="20">
        <v>0</v>
      </c>
      <c r="U159" s="20"/>
      <c r="V159" s="20"/>
      <c r="W159" s="20"/>
      <c r="X159" s="20">
        <v>1</v>
      </c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</row>
    <row r="160" spans="1:68" ht="12.75" customHeight="1">
      <c r="A160" s="21">
        <f t="shared" si="2"/>
        <v>158</v>
      </c>
      <c r="B160" s="20" t="str">
        <f t="shared" ref="B160:D160" si="307">IF(ISERROR(B159),IF(ISERROR(B158),IF(ISERROR(B157),"BLANK",B157),B158),B159)</f>
        <v>Isabelle Cote</v>
      </c>
      <c r="C160" s="20" t="str">
        <f t="shared" si="307"/>
        <v>Tom Bird</v>
      </c>
      <c r="D160" s="20" t="str">
        <f t="shared" si="307"/>
        <v>BMSC20</v>
      </c>
      <c r="E160" s="21" t="str">
        <f>IF(ISERROR(VLOOKUP($D160,SITES!$A:$E,2,FALSE)),"",VLOOKUP($D160,SITES!$A:$E,2,FALSE))</f>
        <v>Ed King East</v>
      </c>
      <c r="F160" s="19">
        <f>IF(ISERROR(VLOOKUP($D160,SITES!$A:$E,3,FALSE)),"",VLOOKUP($D160,SITES!$A:$E,3,FALSE))</f>
        <v>48.835666656494098</v>
      </c>
      <c r="G160" s="22">
        <f>IF(ISERROR(VLOOKUP($D160,SITES!$A:$E,4,FALSE)),"",VLOOKUP($D160,SITES!$A:$E,4,FALSE))</f>
        <v>-125.214797973632</v>
      </c>
      <c r="H160" s="23" t="str">
        <f t="shared" ref="H160:N160" si="308">IF(ISERROR(H159),IF(ISERROR(H158),IF(ISERROR(H157),"BLANK",H157),H158),H159)</f>
        <v>4/25/2024</v>
      </c>
      <c r="I160" s="20">
        <f t="shared" si="308"/>
        <v>3.5</v>
      </c>
      <c r="J160" s="20" t="str">
        <f t="shared" si="308"/>
        <v>NW</v>
      </c>
      <c r="K160" s="27">
        <f t="shared" si="308"/>
        <v>0.4152777777777778</v>
      </c>
      <c r="L160" s="20">
        <f t="shared" si="308"/>
        <v>6.7</v>
      </c>
      <c r="M160" s="20">
        <f t="shared" si="308"/>
        <v>2</v>
      </c>
      <c r="N160" s="20">
        <f t="shared" si="308"/>
        <v>2</v>
      </c>
      <c r="O160" s="20">
        <v>8</v>
      </c>
      <c r="P160" s="20" t="s">
        <v>42</v>
      </c>
      <c r="Q160" s="21" t="str">
        <f>IF($M160=1,IF(ISERROR(VLOOKUP($P160,'M1'!$A:$C,Q$2,FALSE)),"NOT PRESENT",VLOOKUP($P160,'M1'!$A:$C,Q$2,FALSE)),IF($M160=2,IF(ISERROR(VLOOKUP(DATA!$P160,'M2'!$A:$C,Q$2,FALSE)),"NOT PRESENT",VLOOKUP(DATA!$P160,'M2'!$A:$C,Q$2,FALSE)),IF($M160=0,IF(ISERROR(VLOOKUP($P160,'M1'!$A:$C,Q$2,FALSE)),IF(ISERROR(VLOOKUP(DATA!$P160,'M2'!$A:$C,Q$2,FALSE)),"NOT PRESENT",VLOOKUP(DATA!$P160,'M2'!$A:$C,Q$2,FALSE)),VLOOKUP($P160,'M1'!$A:$C,Q$2,FALSE)),"SPECIFY METHOD")))</f>
        <v>Orthasterias koehleri</v>
      </c>
      <c r="R160" s="21" t="str">
        <f>IF($M160=1,IF(ISERROR(VLOOKUP($P160,'M1'!$A:$C,R$2,FALSE)),"NOT PRESENT",VLOOKUP($P160,'M1'!$A:$C,R$2,FALSE)),IF($M160=2,IF(ISERROR(VLOOKUP(DATA!$P160,'M2'!$A:$C,R$2,FALSE)),"NOT PRESENT",VLOOKUP(DATA!$P160,'M2'!$A:$C,R$2,FALSE)),IF($M160=0,IF(ISERROR(VLOOKUP($P160,'M1'!$A:$C,R$2,FALSE)),IF(ISERROR(VLOOKUP(DATA!$P160,'M2'!$A:$C,R$2,FALSE)),"NOT PRESENT",VLOOKUP(DATA!$P160,'M2'!$A:$C,R$2,FALSE)),VLOOKUP($P160,'M1'!$A:$C,R$2,FALSE)),"SPECIFY METHOD")))</f>
        <v>Rainbow star</v>
      </c>
      <c r="S160" s="28">
        <f t="shared" si="3"/>
        <v>1</v>
      </c>
      <c r="T160" s="20">
        <v>0</v>
      </c>
      <c r="U160" s="20"/>
      <c r="V160" s="20"/>
      <c r="W160" s="20">
        <v>1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</row>
    <row r="161" spans="1:68" ht="12.75" customHeight="1">
      <c r="A161" s="21">
        <f t="shared" si="2"/>
        <v>159</v>
      </c>
      <c r="B161" s="20" t="str">
        <f t="shared" ref="B161:D161" si="309">IF(ISERROR(B160),IF(ISERROR(B159),IF(ISERROR(B158),"BLANK",B158),B159),B160)</f>
        <v>Isabelle Cote</v>
      </c>
      <c r="C161" s="20" t="str">
        <f t="shared" si="309"/>
        <v>Tom Bird</v>
      </c>
      <c r="D161" s="20" t="str">
        <f t="shared" si="309"/>
        <v>BMSC20</v>
      </c>
      <c r="E161" s="21" t="str">
        <f>IF(ISERROR(VLOOKUP($D161,SITES!$A:$E,2,FALSE)),"",VLOOKUP($D161,SITES!$A:$E,2,FALSE))</f>
        <v>Ed King East</v>
      </c>
      <c r="F161" s="19">
        <f>IF(ISERROR(VLOOKUP($D161,SITES!$A:$E,3,FALSE)),"",VLOOKUP($D161,SITES!$A:$E,3,FALSE))</f>
        <v>48.835666656494098</v>
      </c>
      <c r="G161" s="22">
        <f>IF(ISERROR(VLOOKUP($D161,SITES!$A:$E,4,FALSE)),"",VLOOKUP($D161,SITES!$A:$E,4,FALSE))</f>
        <v>-125.214797973632</v>
      </c>
      <c r="H161" s="23" t="str">
        <f t="shared" ref="H161:M161" si="310">IF(ISERROR(H160),IF(ISERROR(H159),IF(ISERROR(H158),"BLANK",H158),H159),H160)</f>
        <v>4/25/2024</v>
      </c>
      <c r="I161" s="20">
        <f t="shared" si="310"/>
        <v>3.5</v>
      </c>
      <c r="J161" s="20" t="str">
        <f t="shared" si="310"/>
        <v>NW</v>
      </c>
      <c r="K161" s="27">
        <f t="shared" si="310"/>
        <v>0.4152777777777778</v>
      </c>
      <c r="L161" s="20">
        <f t="shared" si="310"/>
        <v>6.7</v>
      </c>
      <c r="M161" s="20">
        <f t="shared" si="310"/>
        <v>2</v>
      </c>
      <c r="N161" s="20">
        <v>1</v>
      </c>
      <c r="O161" s="20">
        <v>16</v>
      </c>
      <c r="P161" s="20" t="s">
        <v>41</v>
      </c>
      <c r="Q161" s="21" t="str">
        <f>IF($M161=1,IF(ISERROR(VLOOKUP($P161,'M1'!$A:$C,Q$2,FALSE)),"NOT PRESENT",VLOOKUP($P161,'M1'!$A:$C,Q$2,FALSE)),IF($M161=2,IF(ISERROR(VLOOKUP(DATA!$P161,'M2'!$A:$C,Q$2,FALSE)),"NOT PRESENT",VLOOKUP(DATA!$P161,'M2'!$A:$C,Q$2,FALSE)),IF($M161=0,IF(ISERROR(VLOOKUP($P161,'M1'!$A:$C,Q$2,FALSE)),IF(ISERROR(VLOOKUP(DATA!$P161,'M2'!$A:$C,Q$2,FALSE)),"NOT PRESENT",VLOOKUP(DATA!$P161,'M2'!$A:$C,Q$2,FALSE)),VLOOKUP($P161,'M1'!$A:$C,Q$2,FALSE)),"SPECIFY METHOD")))</f>
        <v>Mesocentrotus franciscanus</v>
      </c>
      <c r="R161" s="21" t="str">
        <f>IF($M161=1,IF(ISERROR(VLOOKUP($P161,'M1'!$A:$C,R$2,FALSE)),"NOT PRESENT",VLOOKUP($P161,'M1'!$A:$C,R$2,FALSE)),IF($M161=2,IF(ISERROR(VLOOKUP(DATA!$P161,'M2'!$A:$C,R$2,FALSE)),"NOT PRESENT",VLOOKUP(DATA!$P161,'M2'!$A:$C,R$2,FALSE)),IF($M161=0,IF(ISERROR(VLOOKUP($P161,'M1'!$A:$C,R$2,FALSE)),IF(ISERROR(VLOOKUP(DATA!$P161,'M2'!$A:$C,R$2,FALSE)),"NOT PRESENT",VLOOKUP(DATA!$P161,'M2'!$A:$C,R$2,FALSE)),VLOOKUP($P161,'M1'!$A:$C,R$2,FALSE)),"SPECIFY METHOD")))</f>
        <v>Red sea urchin</v>
      </c>
      <c r="S161" s="28">
        <f t="shared" si="3"/>
        <v>11</v>
      </c>
      <c r="T161" s="20">
        <v>0</v>
      </c>
      <c r="U161" s="20"/>
      <c r="V161" s="20"/>
      <c r="W161" s="20">
        <v>2</v>
      </c>
      <c r="X161" s="20"/>
      <c r="Y161" s="20">
        <v>1</v>
      </c>
      <c r="Z161" s="20">
        <v>7</v>
      </c>
      <c r="AA161" s="20">
        <v>1</v>
      </c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</row>
    <row r="162" spans="1:68" ht="12.75" customHeight="1">
      <c r="A162" s="21">
        <f t="shared" si="2"/>
        <v>160</v>
      </c>
      <c r="B162" s="20" t="str">
        <f t="shared" ref="B162:D162" si="311">IF(ISERROR(B161),IF(ISERROR(B160),IF(ISERROR(B159),"BLANK",B159),B160),B161)</f>
        <v>Isabelle Cote</v>
      </c>
      <c r="C162" s="20" t="str">
        <f t="shared" si="311"/>
        <v>Tom Bird</v>
      </c>
      <c r="D162" s="20" t="str">
        <f t="shared" si="311"/>
        <v>BMSC20</v>
      </c>
      <c r="E162" s="21" t="str">
        <f>IF(ISERROR(VLOOKUP($D162,SITES!$A:$E,2,FALSE)),"",VLOOKUP($D162,SITES!$A:$E,2,FALSE))</f>
        <v>Ed King East</v>
      </c>
      <c r="F162" s="19">
        <f>IF(ISERROR(VLOOKUP($D162,SITES!$A:$E,3,FALSE)),"",VLOOKUP($D162,SITES!$A:$E,3,FALSE))</f>
        <v>48.835666656494098</v>
      </c>
      <c r="G162" s="22">
        <f>IF(ISERROR(VLOOKUP($D162,SITES!$A:$E,4,FALSE)),"",VLOOKUP($D162,SITES!$A:$E,4,FALSE))</f>
        <v>-125.214797973632</v>
      </c>
      <c r="H162" s="23" t="str">
        <f t="shared" ref="H162:N162" si="312">IF(ISERROR(H161),IF(ISERROR(H160),IF(ISERROR(H159),"BLANK",H159),H160),H161)</f>
        <v>4/25/2024</v>
      </c>
      <c r="I162" s="20">
        <f t="shared" si="312"/>
        <v>3.5</v>
      </c>
      <c r="J162" s="20" t="str">
        <f t="shared" si="312"/>
        <v>NW</v>
      </c>
      <c r="K162" s="27">
        <f t="shared" si="312"/>
        <v>0.4152777777777778</v>
      </c>
      <c r="L162" s="20">
        <f t="shared" si="312"/>
        <v>6.7</v>
      </c>
      <c r="M162" s="20">
        <f t="shared" si="312"/>
        <v>2</v>
      </c>
      <c r="N162" s="20">
        <f t="shared" si="312"/>
        <v>1</v>
      </c>
      <c r="O162" s="20">
        <v>16</v>
      </c>
      <c r="P162" s="20" t="s">
        <v>65</v>
      </c>
      <c r="Q162" s="21" t="str">
        <f>IF($M162=1,IF(ISERROR(VLOOKUP($P162,'M1'!$A:$C,Q$2,FALSE)),"NOT PRESENT",VLOOKUP($P162,'M1'!$A:$C,Q$2,FALSE)),IF($M162=2,IF(ISERROR(VLOOKUP(DATA!$P162,'M2'!$A:$C,Q$2,FALSE)),"NOT PRESENT",VLOOKUP(DATA!$P162,'M2'!$A:$C,Q$2,FALSE)),IF($M162=0,IF(ISERROR(VLOOKUP($P162,'M1'!$A:$C,Q$2,FALSE)),IF(ISERROR(VLOOKUP(DATA!$P162,'M2'!$A:$C,Q$2,FALSE)),"NOT PRESENT",VLOOKUP(DATA!$P162,'M2'!$A:$C,Q$2,FALSE)),VLOOKUP($P162,'M1'!$A:$C,Q$2,FALSE)),"SPECIFY METHOD")))</f>
        <v>Strongylocentrotus purpuratus</v>
      </c>
      <c r="R162" s="21" t="str">
        <f>IF($M162=1,IF(ISERROR(VLOOKUP($P162,'M1'!$A:$C,R$2,FALSE)),"NOT PRESENT",VLOOKUP($P162,'M1'!$A:$C,R$2,FALSE)),IF($M162=2,IF(ISERROR(VLOOKUP(DATA!$P162,'M2'!$A:$C,R$2,FALSE)),"NOT PRESENT",VLOOKUP(DATA!$P162,'M2'!$A:$C,R$2,FALSE)),IF($M162=0,IF(ISERROR(VLOOKUP($P162,'M1'!$A:$C,R$2,FALSE)),IF(ISERROR(VLOOKUP(DATA!$P162,'M2'!$A:$C,R$2,FALSE)),"NOT PRESENT",VLOOKUP(DATA!$P162,'M2'!$A:$C,R$2,FALSE)),VLOOKUP($P162,'M1'!$A:$C,R$2,FALSE)),"SPECIFY METHOD")))</f>
        <v>Purple sea urchin (?)</v>
      </c>
      <c r="S162" s="28">
        <f t="shared" si="3"/>
        <v>1</v>
      </c>
      <c r="T162" s="20">
        <v>0</v>
      </c>
      <c r="U162" s="20"/>
      <c r="V162" s="20"/>
      <c r="W162" s="20">
        <v>1</v>
      </c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</row>
    <row r="163" spans="1:68" ht="12.75" customHeight="1">
      <c r="A163" s="21">
        <f t="shared" si="2"/>
        <v>161</v>
      </c>
      <c r="B163" s="20" t="str">
        <f t="shared" ref="B163:D163" si="313">IF(ISERROR(B162),IF(ISERROR(B161),IF(ISERROR(B160),"BLANK",B160),B161),B162)</f>
        <v>Isabelle Cote</v>
      </c>
      <c r="C163" s="20" t="str">
        <f t="shared" si="313"/>
        <v>Tom Bird</v>
      </c>
      <c r="D163" s="20" t="str">
        <f t="shared" si="313"/>
        <v>BMSC20</v>
      </c>
      <c r="E163" s="21" t="str">
        <f>IF(ISERROR(VLOOKUP($D163,SITES!$A:$E,2,FALSE)),"",VLOOKUP($D163,SITES!$A:$E,2,FALSE))</f>
        <v>Ed King East</v>
      </c>
      <c r="F163" s="19">
        <f>IF(ISERROR(VLOOKUP($D163,SITES!$A:$E,3,FALSE)),"",VLOOKUP($D163,SITES!$A:$E,3,FALSE))</f>
        <v>48.835666656494098</v>
      </c>
      <c r="G163" s="22">
        <f>IF(ISERROR(VLOOKUP($D163,SITES!$A:$E,4,FALSE)),"",VLOOKUP($D163,SITES!$A:$E,4,FALSE))</f>
        <v>-125.214797973632</v>
      </c>
      <c r="H163" s="23" t="str">
        <f t="shared" ref="H163:N163" si="314">IF(ISERROR(H162),IF(ISERROR(H161),IF(ISERROR(H160),"BLANK",H160),H161),H162)</f>
        <v>4/25/2024</v>
      </c>
      <c r="I163" s="20">
        <f t="shared" si="314"/>
        <v>3.5</v>
      </c>
      <c r="J163" s="20" t="str">
        <f t="shared" si="314"/>
        <v>NW</v>
      </c>
      <c r="K163" s="27">
        <f t="shared" si="314"/>
        <v>0.4152777777777778</v>
      </c>
      <c r="L163" s="20">
        <f t="shared" si="314"/>
        <v>6.7</v>
      </c>
      <c r="M163" s="20">
        <f t="shared" si="314"/>
        <v>2</v>
      </c>
      <c r="N163" s="20">
        <f t="shared" si="314"/>
        <v>1</v>
      </c>
      <c r="O163" s="20">
        <v>16</v>
      </c>
      <c r="P163" s="20" t="s">
        <v>40</v>
      </c>
      <c r="Q163" s="21" t="str">
        <f>IF($M163=1,IF(ISERROR(VLOOKUP($P163,'M1'!$A:$C,Q$2,FALSE)),"NOT PRESENT",VLOOKUP($P163,'M1'!$A:$C,Q$2,FALSE)),IF($M163=2,IF(ISERROR(VLOOKUP(DATA!$P163,'M2'!$A:$C,Q$2,FALSE)),"NOT PRESENT",VLOOKUP(DATA!$P163,'M2'!$A:$C,Q$2,FALSE)),IF($M163=0,IF(ISERROR(VLOOKUP($P163,'M1'!$A:$C,Q$2,FALSE)),IF(ISERROR(VLOOKUP(DATA!$P163,'M2'!$A:$C,Q$2,FALSE)),"NOT PRESENT",VLOOKUP(DATA!$P163,'M2'!$A:$C,Q$2,FALSE)),VLOOKUP($P163,'M1'!$A:$C,Q$2,FALSE)),"SPECIFY METHOD")))</f>
        <v>Patiria miniata</v>
      </c>
      <c r="R163" s="21" t="str">
        <f>IF($M163=1,IF(ISERROR(VLOOKUP($P163,'M1'!$A:$C,R$2,FALSE)),"NOT PRESENT",VLOOKUP($P163,'M1'!$A:$C,R$2,FALSE)),IF($M163=2,IF(ISERROR(VLOOKUP(DATA!$P163,'M2'!$A:$C,R$2,FALSE)),"NOT PRESENT",VLOOKUP(DATA!$P163,'M2'!$A:$C,R$2,FALSE)),IF($M163=0,IF(ISERROR(VLOOKUP($P163,'M1'!$A:$C,R$2,FALSE)),IF(ISERROR(VLOOKUP(DATA!$P163,'M2'!$A:$C,R$2,FALSE)),"NOT PRESENT",VLOOKUP(DATA!$P163,'M2'!$A:$C,R$2,FALSE)),VLOOKUP($P163,'M1'!$A:$C,R$2,FALSE)),"SPECIFY METHOD")))</f>
        <v>Bat star</v>
      </c>
      <c r="S163" s="28">
        <f t="shared" si="3"/>
        <v>1</v>
      </c>
      <c r="T163" s="20">
        <v>0</v>
      </c>
      <c r="U163" s="20"/>
      <c r="V163" s="20"/>
      <c r="W163" s="20"/>
      <c r="X163" s="20">
        <v>1</v>
      </c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</row>
    <row r="164" spans="1:68" ht="12.75" customHeight="1">
      <c r="A164" s="21">
        <f t="shared" si="2"/>
        <v>162</v>
      </c>
      <c r="B164" s="20" t="str">
        <f t="shared" ref="B164:D164" si="315">IF(ISERROR(B163),IF(ISERROR(B162),IF(ISERROR(B161),"BLANK",B161),B162),B163)</f>
        <v>Isabelle Cote</v>
      </c>
      <c r="C164" s="20" t="str">
        <f t="shared" si="315"/>
        <v>Tom Bird</v>
      </c>
      <c r="D164" s="20" t="str">
        <f t="shared" si="315"/>
        <v>BMSC20</v>
      </c>
      <c r="E164" s="21" t="str">
        <f>IF(ISERROR(VLOOKUP($D164,SITES!$A:$E,2,FALSE)),"",VLOOKUP($D164,SITES!$A:$E,2,FALSE))</f>
        <v>Ed King East</v>
      </c>
      <c r="F164" s="19">
        <f>IF(ISERROR(VLOOKUP($D164,SITES!$A:$E,3,FALSE)),"",VLOOKUP($D164,SITES!$A:$E,3,FALSE))</f>
        <v>48.835666656494098</v>
      </c>
      <c r="G164" s="22">
        <f>IF(ISERROR(VLOOKUP($D164,SITES!$A:$E,4,FALSE)),"",VLOOKUP($D164,SITES!$A:$E,4,FALSE))</f>
        <v>-125.214797973632</v>
      </c>
      <c r="H164" s="23" t="str">
        <f t="shared" ref="H164:M164" si="316">IF(ISERROR(H163),IF(ISERROR(H162),IF(ISERROR(H161),"BLANK",H161),H162),H163)</f>
        <v>4/25/2024</v>
      </c>
      <c r="I164" s="20">
        <f t="shared" si="316"/>
        <v>3.5</v>
      </c>
      <c r="J164" s="20" t="str">
        <f t="shared" si="316"/>
        <v>NW</v>
      </c>
      <c r="K164" s="27">
        <f t="shared" si="316"/>
        <v>0.4152777777777778</v>
      </c>
      <c r="L164" s="20">
        <f t="shared" si="316"/>
        <v>6.7</v>
      </c>
      <c r="M164" s="20">
        <f t="shared" si="316"/>
        <v>2</v>
      </c>
      <c r="N164" s="20">
        <v>2</v>
      </c>
      <c r="O164" s="20">
        <v>24</v>
      </c>
      <c r="P164" s="20" t="s">
        <v>41</v>
      </c>
      <c r="Q164" s="21" t="str">
        <f>IF($M164=1,IF(ISERROR(VLOOKUP($P164,'M1'!$A:$C,Q$2,FALSE)),"NOT PRESENT",VLOOKUP($P164,'M1'!$A:$C,Q$2,FALSE)),IF($M164=2,IF(ISERROR(VLOOKUP(DATA!$P164,'M2'!$A:$C,Q$2,FALSE)),"NOT PRESENT",VLOOKUP(DATA!$P164,'M2'!$A:$C,Q$2,FALSE)),IF($M164=0,IF(ISERROR(VLOOKUP($P164,'M1'!$A:$C,Q$2,FALSE)),IF(ISERROR(VLOOKUP(DATA!$P164,'M2'!$A:$C,Q$2,FALSE)),"NOT PRESENT",VLOOKUP(DATA!$P164,'M2'!$A:$C,Q$2,FALSE)),VLOOKUP($P164,'M1'!$A:$C,Q$2,FALSE)),"SPECIFY METHOD")))</f>
        <v>Mesocentrotus franciscanus</v>
      </c>
      <c r="R164" s="21" t="str">
        <f>IF($M164=1,IF(ISERROR(VLOOKUP($P164,'M1'!$A:$C,R$2,FALSE)),"NOT PRESENT",VLOOKUP($P164,'M1'!$A:$C,R$2,FALSE)),IF($M164=2,IF(ISERROR(VLOOKUP(DATA!$P164,'M2'!$A:$C,R$2,FALSE)),"NOT PRESENT",VLOOKUP(DATA!$P164,'M2'!$A:$C,R$2,FALSE)),IF($M164=0,IF(ISERROR(VLOOKUP($P164,'M1'!$A:$C,R$2,FALSE)),IF(ISERROR(VLOOKUP(DATA!$P164,'M2'!$A:$C,R$2,FALSE)),"NOT PRESENT",VLOOKUP(DATA!$P164,'M2'!$A:$C,R$2,FALSE)),VLOOKUP($P164,'M1'!$A:$C,R$2,FALSE)),"SPECIFY METHOD")))</f>
        <v>Red sea urchin</v>
      </c>
      <c r="S164" s="28">
        <f t="shared" si="3"/>
        <v>8</v>
      </c>
      <c r="T164" s="20">
        <v>0</v>
      </c>
      <c r="U164" s="20"/>
      <c r="V164" s="20"/>
      <c r="W164" s="20">
        <v>5</v>
      </c>
      <c r="X164" s="20"/>
      <c r="Y164" s="20">
        <v>1</v>
      </c>
      <c r="Z164" s="20">
        <v>2</v>
      </c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</row>
    <row r="165" spans="1:68" ht="12.75" customHeight="1">
      <c r="A165" s="21">
        <f t="shared" si="2"/>
        <v>163</v>
      </c>
      <c r="B165" s="20" t="str">
        <f t="shared" ref="B165:D165" si="317">IF(ISERROR(B164),IF(ISERROR(B163),IF(ISERROR(B162),"BLANK",B162),B163),B164)</f>
        <v>Isabelle Cote</v>
      </c>
      <c r="C165" s="20" t="str">
        <f t="shared" si="317"/>
        <v>Tom Bird</v>
      </c>
      <c r="D165" s="20" t="str">
        <f t="shared" si="317"/>
        <v>BMSC20</v>
      </c>
      <c r="E165" s="21" t="str">
        <f>IF(ISERROR(VLOOKUP($D165,SITES!$A:$E,2,FALSE)),"",VLOOKUP($D165,SITES!$A:$E,2,FALSE))</f>
        <v>Ed King East</v>
      </c>
      <c r="F165" s="19">
        <f>IF(ISERROR(VLOOKUP($D165,SITES!$A:$E,3,FALSE)),"",VLOOKUP($D165,SITES!$A:$E,3,FALSE))</f>
        <v>48.835666656494098</v>
      </c>
      <c r="G165" s="22">
        <f>IF(ISERROR(VLOOKUP($D165,SITES!$A:$E,4,FALSE)),"",VLOOKUP($D165,SITES!$A:$E,4,FALSE))</f>
        <v>-125.214797973632</v>
      </c>
      <c r="H165" s="23" t="str">
        <f t="shared" ref="H165:N165" si="318">IF(ISERROR(H164),IF(ISERROR(H163),IF(ISERROR(H162),"BLANK",H162),H163),H164)</f>
        <v>4/25/2024</v>
      </c>
      <c r="I165" s="20">
        <f t="shared" si="318"/>
        <v>3.5</v>
      </c>
      <c r="J165" s="20" t="str">
        <f t="shared" si="318"/>
        <v>NW</v>
      </c>
      <c r="K165" s="27">
        <f t="shared" si="318"/>
        <v>0.4152777777777778</v>
      </c>
      <c r="L165" s="20">
        <f t="shared" si="318"/>
        <v>6.7</v>
      </c>
      <c r="M165" s="20">
        <f t="shared" si="318"/>
        <v>2</v>
      </c>
      <c r="N165" s="20">
        <f t="shared" si="318"/>
        <v>2</v>
      </c>
      <c r="O165" s="20">
        <v>24</v>
      </c>
      <c r="P165" s="20" t="s">
        <v>65</v>
      </c>
      <c r="Q165" s="21" t="str">
        <f>IF($M165=1,IF(ISERROR(VLOOKUP($P165,'M1'!$A:$C,Q$2,FALSE)),"NOT PRESENT",VLOOKUP($P165,'M1'!$A:$C,Q$2,FALSE)),IF($M165=2,IF(ISERROR(VLOOKUP(DATA!$P165,'M2'!$A:$C,Q$2,FALSE)),"NOT PRESENT",VLOOKUP(DATA!$P165,'M2'!$A:$C,Q$2,FALSE)),IF($M165=0,IF(ISERROR(VLOOKUP($P165,'M1'!$A:$C,Q$2,FALSE)),IF(ISERROR(VLOOKUP(DATA!$P165,'M2'!$A:$C,Q$2,FALSE)),"NOT PRESENT",VLOOKUP(DATA!$P165,'M2'!$A:$C,Q$2,FALSE)),VLOOKUP($P165,'M1'!$A:$C,Q$2,FALSE)),"SPECIFY METHOD")))</f>
        <v>Strongylocentrotus purpuratus</v>
      </c>
      <c r="R165" s="21" t="str">
        <f>IF($M165=1,IF(ISERROR(VLOOKUP($P165,'M1'!$A:$C,R$2,FALSE)),"NOT PRESENT",VLOOKUP($P165,'M1'!$A:$C,R$2,FALSE)),IF($M165=2,IF(ISERROR(VLOOKUP(DATA!$P165,'M2'!$A:$C,R$2,FALSE)),"NOT PRESENT",VLOOKUP(DATA!$P165,'M2'!$A:$C,R$2,FALSE)),IF($M165=0,IF(ISERROR(VLOOKUP($P165,'M1'!$A:$C,R$2,FALSE)),IF(ISERROR(VLOOKUP(DATA!$P165,'M2'!$A:$C,R$2,FALSE)),"NOT PRESENT",VLOOKUP(DATA!$P165,'M2'!$A:$C,R$2,FALSE)),VLOOKUP($P165,'M1'!$A:$C,R$2,FALSE)),"SPECIFY METHOD")))</f>
        <v>Purple sea urchin (?)</v>
      </c>
      <c r="S165" s="28">
        <f t="shared" si="3"/>
        <v>4</v>
      </c>
      <c r="T165" s="20">
        <v>0</v>
      </c>
      <c r="U165" s="20"/>
      <c r="V165" s="20"/>
      <c r="W165" s="20">
        <v>2</v>
      </c>
      <c r="X165" s="20">
        <v>1</v>
      </c>
      <c r="Y165" s="20">
        <v>1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</row>
    <row r="166" spans="1:68" ht="12.75" customHeight="1">
      <c r="A166" s="21">
        <f t="shared" si="2"/>
        <v>164</v>
      </c>
      <c r="B166" s="20" t="str">
        <f t="shared" ref="B166:D166" si="319">IF(ISERROR(B165),IF(ISERROR(B164),IF(ISERROR(B163),"BLANK",B163),B164),B165)</f>
        <v>Isabelle Cote</v>
      </c>
      <c r="C166" s="20" t="str">
        <f t="shared" si="319"/>
        <v>Tom Bird</v>
      </c>
      <c r="D166" s="20" t="str">
        <f t="shared" si="319"/>
        <v>BMSC20</v>
      </c>
      <c r="E166" s="21" t="str">
        <f>IF(ISERROR(VLOOKUP($D166,SITES!$A:$E,2,FALSE)),"",VLOOKUP($D166,SITES!$A:$E,2,FALSE))</f>
        <v>Ed King East</v>
      </c>
      <c r="F166" s="19">
        <f>IF(ISERROR(VLOOKUP($D166,SITES!$A:$E,3,FALSE)),"",VLOOKUP($D166,SITES!$A:$E,3,FALSE))</f>
        <v>48.835666656494098</v>
      </c>
      <c r="G166" s="22">
        <f>IF(ISERROR(VLOOKUP($D166,SITES!$A:$E,4,FALSE)),"",VLOOKUP($D166,SITES!$A:$E,4,FALSE))</f>
        <v>-125.214797973632</v>
      </c>
      <c r="H166" s="23" t="str">
        <f t="shared" ref="H166:M166" si="320">IF(ISERROR(H165),IF(ISERROR(H164),IF(ISERROR(H163),"BLANK",H163),H164),H165)</f>
        <v>4/25/2024</v>
      </c>
      <c r="I166" s="20">
        <f t="shared" si="320"/>
        <v>3.5</v>
      </c>
      <c r="J166" s="20" t="str">
        <f t="shared" si="320"/>
        <v>NW</v>
      </c>
      <c r="K166" s="27">
        <f t="shared" si="320"/>
        <v>0.4152777777777778</v>
      </c>
      <c r="L166" s="20">
        <f t="shared" si="320"/>
        <v>6.7</v>
      </c>
      <c r="M166" s="20">
        <f t="shared" si="320"/>
        <v>2</v>
      </c>
      <c r="N166" s="20">
        <v>1</v>
      </c>
      <c r="O166" s="20">
        <v>32</v>
      </c>
      <c r="P166" s="20" t="s">
        <v>41</v>
      </c>
      <c r="Q166" s="21" t="str">
        <f>IF($M166=1,IF(ISERROR(VLOOKUP($P166,'M1'!$A:$C,Q$2,FALSE)),"NOT PRESENT",VLOOKUP($P166,'M1'!$A:$C,Q$2,FALSE)),IF($M166=2,IF(ISERROR(VLOOKUP(DATA!$P166,'M2'!$A:$C,Q$2,FALSE)),"NOT PRESENT",VLOOKUP(DATA!$P166,'M2'!$A:$C,Q$2,FALSE)),IF($M166=0,IF(ISERROR(VLOOKUP($P166,'M1'!$A:$C,Q$2,FALSE)),IF(ISERROR(VLOOKUP(DATA!$P166,'M2'!$A:$C,Q$2,FALSE)),"NOT PRESENT",VLOOKUP(DATA!$P166,'M2'!$A:$C,Q$2,FALSE)),VLOOKUP($P166,'M1'!$A:$C,Q$2,FALSE)),"SPECIFY METHOD")))</f>
        <v>Mesocentrotus franciscanus</v>
      </c>
      <c r="R166" s="21" t="str">
        <f>IF($M166=1,IF(ISERROR(VLOOKUP($P166,'M1'!$A:$C,R$2,FALSE)),"NOT PRESENT",VLOOKUP($P166,'M1'!$A:$C,R$2,FALSE)),IF($M166=2,IF(ISERROR(VLOOKUP(DATA!$P166,'M2'!$A:$C,R$2,FALSE)),"NOT PRESENT",VLOOKUP(DATA!$P166,'M2'!$A:$C,R$2,FALSE)),IF($M166=0,IF(ISERROR(VLOOKUP($P166,'M1'!$A:$C,R$2,FALSE)),IF(ISERROR(VLOOKUP(DATA!$P166,'M2'!$A:$C,R$2,FALSE)),"NOT PRESENT",VLOOKUP(DATA!$P166,'M2'!$A:$C,R$2,FALSE)),VLOOKUP($P166,'M1'!$A:$C,R$2,FALSE)),"SPECIFY METHOD")))</f>
        <v>Red sea urchin</v>
      </c>
      <c r="S166" s="28">
        <f t="shared" si="3"/>
        <v>9</v>
      </c>
      <c r="T166" s="20">
        <v>0</v>
      </c>
      <c r="U166" s="20"/>
      <c r="V166" s="20">
        <v>1</v>
      </c>
      <c r="W166" s="20">
        <v>2</v>
      </c>
      <c r="X166" s="20">
        <v>3</v>
      </c>
      <c r="Y166" s="20">
        <v>3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</row>
    <row r="167" spans="1:68" ht="12.75" customHeight="1">
      <c r="A167" s="21">
        <f t="shared" si="2"/>
        <v>165</v>
      </c>
      <c r="B167" s="20" t="str">
        <f t="shared" ref="B167:D167" si="321">IF(ISERROR(B166),IF(ISERROR(B165),IF(ISERROR(B164),"BLANK",B164),B165),B166)</f>
        <v>Isabelle Cote</v>
      </c>
      <c r="C167" s="20" t="str">
        <f t="shared" si="321"/>
        <v>Tom Bird</v>
      </c>
      <c r="D167" s="20" t="str">
        <f t="shared" si="321"/>
        <v>BMSC20</v>
      </c>
      <c r="E167" s="21" t="str">
        <f>IF(ISERROR(VLOOKUP($D167,SITES!$A:$E,2,FALSE)),"",VLOOKUP($D167,SITES!$A:$E,2,FALSE))</f>
        <v>Ed King East</v>
      </c>
      <c r="F167" s="19">
        <f>IF(ISERROR(VLOOKUP($D167,SITES!$A:$E,3,FALSE)),"",VLOOKUP($D167,SITES!$A:$E,3,FALSE))</f>
        <v>48.835666656494098</v>
      </c>
      <c r="G167" s="22">
        <f>IF(ISERROR(VLOOKUP($D167,SITES!$A:$E,4,FALSE)),"",VLOOKUP($D167,SITES!$A:$E,4,FALSE))</f>
        <v>-125.214797973632</v>
      </c>
      <c r="H167" s="23" t="str">
        <f t="shared" ref="H167:N167" si="322">IF(ISERROR(H166),IF(ISERROR(H165),IF(ISERROR(H164),"BLANK",H164),H165),H166)</f>
        <v>4/25/2024</v>
      </c>
      <c r="I167" s="20">
        <f t="shared" si="322"/>
        <v>3.5</v>
      </c>
      <c r="J167" s="20" t="str">
        <f t="shared" si="322"/>
        <v>NW</v>
      </c>
      <c r="K167" s="27">
        <f t="shared" si="322"/>
        <v>0.4152777777777778</v>
      </c>
      <c r="L167" s="20">
        <f t="shared" si="322"/>
        <v>6.7</v>
      </c>
      <c r="M167" s="20">
        <f t="shared" si="322"/>
        <v>2</v>
      </c>
      <c r="N167" s="20">
        <f t="shared" si="322"/>
        <v>1</v>
      </c>
      <c r="O167" s="20">
        <v>32</v>
      </c>
      <c r="P167" s="20" t="s">
        <v>40</v>
      </c>
      <c r="Q167" s="21" t="str">
        <f>IF($M167=1,IF(ISERROR(VLOOKUP($P167,'M1'!$A:$C,Q$2,FALSE)),"NOT PRESENT",VLOOKUP($P167,'M1'!$A:$C,Q$2,FALSE)),IF($M167=2,IF(ISERROR(VLOOKUP(DATA!$P167,'M2'!$A:$C,Q$2,FALSE)),"NOT PRESENT",VLOOKUP(DATA!$P167,'M2'!$A:$C,Q$2,FALSE)),IF($M167=0,IF(ISERROR(VLOOKUP($P167,'M1'!$A:$C,Q$2,FALSE)),IF(ISERROR(VLOOKUP(DATA!$P167,'M2'!$A:$C,Q$2,FALSE)),"NOT PRESENT",VLOOKUP(DATA!$P167,'M2'!$A:$C,Q$2,FALSE)),VLOOKUP($P167,'M1'!$A:$C,Q$2,FALSE)),"SPECIFY METHOD")))</f>
        <v>Patiria miniata</v>
      </c>
      <c r="R167" s="21" t="str">
        <f>IF($M167=1,IF(ISERROR(VLOOKUP($P167,'M1'!$A:$C,R$2,FALSE)),"NOT PRESENT",VLOOKUP($P167,'M1'!$A:$C,R$2,FALSE)),IF($M167=2,IF(ISERROR(VLOOKUP(DATA!$P167,'M2'!$A:$C,R$2,FALSE)),"NOT PRESENT",VLOOKUP(DATA!$P167,'M2'!$A:$C,R$2,FALSE)),IF($M167=0,IF(ISERROR(VLOOKUP($P167,'M1'!$A:$C,R$2,FALSE)),IF(ISERROR(VLOOKUP(DATA!$P167,'M2'!$A:$C,R$2,FALSE)),"NOT PRESENT",VLOOKUP(DATA!$P167,'M2'!$A:$C,R$2,FALSE)),VLOOKUP($P167,'M1'!$A:$C,R$2,FALSE)),"SPECIFY METHOD")))</f>
        <v>Bat star</v>
      </c>
      <c r="S167" s="28">
        <f t="shared" si="3"/>
        <v>1</v>
      </c>
      <c r="T167" s="20">
        <v>0</v>
      </c>
      <c r="U167" s="20"/>
      <c r="V167" s="20"/>
      <c r="W167" s="20"/>
      <c r="X167" s="20"/>
      <c r="Y167" s="20">
        <v>1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</row>
    <row r="168" spans="1:68" ht="12.75" customHeight="1">
      <c r="A168" s="21">
        <f t="shared" si="2"/>
        <v>166</v>
      </c>
      <c r="B168" s="20" t="str">
        <f t="shared" ref="B168:D168" si="323">IF(ISERROR(B167),IF(ISERROR(B166),IF(ISERROR(B165),"BLANK",B165),B166),B167)</f>
        <v>Isabelle Cote</v>
      </c>
      <c r="C168" s="20" t="str">
        <f t="shared" si="323"/>
        <v>Tom Bird</v>
      </c>
      <c r="D168" s="20" t="str">
        <f t="shared" si="323"/>
        <v>BMSC20</v>
      </c>
      <c r="E168" s="21" t="str">
        <f>IF(ISERROR(VLOOKUP($D168,SITES!$A:$E,2,FALSE)),"",VLOOKUP($D168,SITES!$A:$E,2,FALSE))</f>
        <v>Ed King East</v>
      </c>
      <c r="F168" s="19">
        <f>IF(ISERROR(VLOOKUP($D168,SITES!$A:$E,3,FALSE)),"",VLOOKUP($D168,SITES!$A:$E,3,FALSE))</f>
        <v>48.835666656494098</v>
      </c>
      <c r="G168" s="22">
        <f>IF(ISERROR(VLOOKUP($D168,SITES!$A:$E,4,FALSE)),"",VLOOKUP($D168,SITES!$A:$E,4,FALSE))</f>
        <v>-125.214797973632</v>
      </c>
      <c r="H168" s="23" t="str">
        <f t="shared" ref="H168:M168" si="324">IF(ISERROR(H167),IF(ISERROR(H166),IF(ISERROR(H165),"BLANK",H165),H166),H167)</f>
        <v>4/25/2024</v>
      </c>
      <c r="I168" s="20">
        <f t="shared" si="324"/>
        <v>3.5</v>
      </c>
      <c r="J168" s="20" t="str">
        <f t="shared" si="324"/>
        <v>NW</v>
      </c>
      <c r="K168" s="27">
        <f t="shared" si="324"/>
        <v>0.4152777777777778</v>
      </c>
      <c r="L168" s="20">
        <f t="shared" si="324"/>
        <v>6.7</v>
      </c>
      <c r="M168" s="20">
        <f t="shared" si="324"/>
        <v>2</v>
      </c>
      <c r="N168" s="20">
        <v>2</v>
      </c>
      <c r="O168" s="20">
        <v>40</v>
      </c>
      <c r="P168" s="20" t="s">
        <v>41</v>
      </c>
      <c r="Q168" s="21" t="str">
        <f>IF($M168=1,IF(ISERROR(VLOOKUP($P168,'M1'!$A:$C,Q$2,FALSE)),"NOT PRESENT",VLOOKUP($P168,'M1'!$A:$C,Q$2,FALSE)),IF($M168=2,IF(ISERROR(VLOOKUP(DATA!$P168,'M2'!$A:$C,Q$2,FALSE)),"NOT PRESENT",VLOOKUP(DATA!$P168,'M2'!$A:$C,Q$2,FALSE)),IF($M168=0,IF(ISERROR(VLOOKUP($P168,'M1'!$A:$C,Q$2,FALSE)),IF(ISERROR(VLOOKUP(DATA!$P168,'M2'!$A:$C,Q$2,FALSE)),"NOT PRESENT",VLOOKUP(DATA!$P168,'M2'!$A:$C,Q$2,FALSE)),VLOOKUP($P168,'M1'!$A:$C,Q$2,FALSE)),"SPECIFY METHOD")))</f>
        <v>Mesocentrotus franciscanus</v>
      </c>
      <c r="R168" s="21" t="str">
        <f>IF($M168=1,IF(ISERROR(VLOOKUP($P168,'M1'!$A:$C,R$2,FALSE)),"NOT PRESENT",VLOOKUP($P168,'M1'!$A:$C,R$2,FALSE)),IF($M168=2,IF(ISERROR(VLOOKUP(DATA!$P168,'M2'!$A:$C,R$2,FALSE)),"NOT PRESENT",VLOOKUP(DATA!$P168,'M2'!$A:$C,R$2,FALSE)),IF($M168=0,IF(ISERROR(VLOOKUP($P168,'M1'!$A:$C,R$2,FALSE)),IF(ISERROR(VLOOKUP(DATA!$P168,'M2'!$A:$C,R$2,FALSE)),"NOT PRESENT",VLOOKUP(DATA!$P168,'M2'!$A:$C,R$2,FALSE)),VLOOKUP($P168,'M1'!$A:$C,R$2,FALSE)),"SPECIFY METHOD")))</f>
        <v>Red sea urchin</v>
      </c>
      <c r="S168" s="28">
        <f t="shared" si="3"/>
        <v>16</v>
      </c>
      <c r="T168" s="20">
        <v>0</v>
      </c>
      <c r="U168" s="20"/>
      <c r="V168" s="20">
        <v>3</v>
      </c>
      <c r="W168" s="20">
        <v>5</v>
      </c>
      <c r="X168" s="20">
        <v>2</v>
      </c>
      <c r="Y168" s="20">
        <v>5</v>
      </c>
      <c r="Z168" s="20">
        <v>1</v>
      </c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</row>
    <row r="169" spans="1:68" ht="12.75" customHeight="1">
      <c r="A169" s="21">
        <f t="shared" si="2"/>
        <v>167</v>
      </c>
      <c r="B169" s="20" t="str">
        <f t="shared" ref="B169:D169" si="325">IF(ISERROR(B168),IF(ISERROR(B167),IF(ISERROR(B166),"BLANK",B166),B167),B168)</f>
        <v>Isabelle Cote</v>
      </c>
      <c r="C169" s="20" t="str">
        <f t="shared" si="325"/>
        <v>Tom Bird</v>
      </c>
      <c r="D169" s="20" t="str">
        <f t="shared" si="325"/>
        <v>BMSC20</v>
      </c>
      <c r="E169" s="21" t="str">
        <f>IF(ISERROR(VLOOKUP($D169,SITES!$A:$E,2,FALSE)),"",VLOOKUP($D169,SITES!$A:$E,2,FALSE))</f>
        <v>Ed King East</v>
      </c>
      <c r="F169" s="19">
        <f>IF(ISERROR(VLOOKUP($D169,SITES!$A:$E,3,FALSE)),"",VLOOKUP($D169,SITES!$A:$E,3,FALSE))</f>
        <v>48.835666656494098</v>
      </c>
      <c r="G169" s="22">
        <f>IF(ISERROR(VLOOKUP($D169,SITES!$A:$E,4,FALSE)),"",VLOOKUP($D169,SITES!$A:$E,4,FALSE))</f>
        <v>-125.214797973632</v>
      </c>
      <c r="H169" s="23" t="str">
        <f t="shared" ref="H169:N169" si="326">IF(ISERROR(H168),IF(ISERROR(H167),IF(ISERROR(H166),"BLANK",H166),H167),H168)</f>
        <v>4/25/2024</v>
      </c>
      <c r="I169" s="20">
        <f t="shared" si="326"/>
        <v>3.5</v>
      </c>
      <c r="J169" s="20" t="str">
        <f t="shared" si="326"/>
        <v>NW</v>
      </c>
      <c r="K169" s="27">
        <f t="shared" si="326"/>
        <v>0.4152777777777778</v>
      </c>
      <c r="L169" s="20">
        <f t="shared" si="326"/>
        <v>6.7</v>
      </c>
      <c r="M169" s="20">
        <f t="shared" si="326"/>
        <v>2</v>
      </c>
      <c r="N169" s="20">
        <f t="shared" si="326"/>
        <v>2</v>
      </c>
      <c r="O169" s="20">
        <v>40</v>
      </c>
      <c r="P169" s="20" t="s">
        <v>40</v>
      </c>
      <c r="Q169" s="21" t="str">
        <f>IF($M169=1,IF(ISERROR(VLOOKUP($P169,'M1'!$A:$C,Q$2,FALSE)),"NOT PRESENT",VLOOKUP($P169,'M1'!$A:$C,Q$2,FALSE)),IF($M169=2,IF(ISERROR(VLOOKUP(DATA!$P169,'M2'!$A:$C,Q$2,FALSE)),"NOT PRESENT",VLOOKUP(DATA!$P169,'M2'!$A:$C,Q$2,FALSE)),IF($M169=0,IF(ISERROR(VLOOKUP($P169,'M1'!$A:$C,Q$2,FALSE)),IF(ISERROR(VLOOKUP(DATA!$P169,'M2'!$A:$C,Q$2,FALSE)),"NOT PRESENT",VLOOKUP(DATA!$P169,'M2'!$A:$C,Q$2,FALSE)),VLOOKUP($P169,'M1'!$A:$C,Q$2,FALSE)),"SPECIFY METHOD")))</f>
        <v>Patiria miniata</v>
      </c>
      <c r="R169" s="21" t="str">
        <f>IF($M169=1,IF(ISERROR(VLOOKUP($P169,'M1'!$A:$C,R$2,FALSE)),"NOT PRESENT",VLOOKUP($P169,'M1'!$A:$C,R$2,FALSE)),IF($M169=2,IF(ISERROR(VLOOKUP(DATA!$P169,'M2'!$A:$C,R$2,FALSE)),"NOT PRESENT",VLOOKUP(DATA!$P169,'M2'!$A:$C,R$2,FALSE)),IF($M169=0,IF(ISERROR(VLOOKUP($P169,'M1'!$A:$C,R$2,FALSE)),IF(ISERROR(VLOOKUP(DATA!$P169,'M2'!$A:$C,R$2,FALSE)),"NOT PRESENT",VLOOKUP(DATA!$P169,'M2'!$A:$C,R$2,FALSE)),VLOOKUP($P169,'M1'!$A:$C,R$2,FALSE)),"SPECIFY METHOD")))</f>
        <v>Bat star</v>
      </c>
      <c r="S169" s="28">
        <f t="shared" si="3"/>
        <v>2</v>
      </c>
      <c r="T169" s="20">
        <v>0</v>
      </c>
      <c r="U169" s="20"/>
      <c r="V169" s="20"/>
      <c r="W169" s="20">
        <v>1</v>
      </c>
      <c r="X169" s="20">
        <v>1</v>
      </c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</row>
    <row r="170" spans="1:68" ht="12.75" customHeight="1">
      <c r="A170" s="21">
        <f t="shared" si="2"/>
        <v>168</v>
      </c>
      <c r="B170" s="20" t="str">
        <f t="shared" ref="B170:D170" si="327">IF(ISERROR(B169),IF(ISERROR(B168),IF(ISERROR(B167),"BLANK",B167),B168),B169)</f>
        <v>Isabelle Cote</v>
      </c>
      <c r="C170" s="20" t="str">
        <f t="shared" si="327"/>
        <v>Tom Bird</v>
      </c>
      <c r="D170" s="20" t="str">
        <f t="shared" si="327"/>
        <v>BMSC20</v>
      </c>
      <c r="E170" s="21" t="str">
        <f>IF(ISERROR(VLOOKUP($D170,SITES!$A:$E,2,FALSE)),"",VLOOKUP($D170,SITES!$A:$E,2,FALSE))</f>
        <v>Ed King East</v>
      </c>
      <c r="F170" s="19">
        <f>IF(ISERROR(VLOOKUP($D170,SITES!$A:$E,3,FALSE)),"",VLOOKUP($D170,SITES!$A:$E,3,FALSE))</f>
        <v>48.835666656494098</v>
      </c>
      <c r="G170" s="22">
        <f>IF(ISERROR(VLOOKUP($D170,SITES!$A:$E,4,FALSE)),"",VLOOKUP($D170,SITES!$A:$E,4,FALSE))</f>
        <v>-125.214797973632</v>
      </c>
      <c r="H170" s="23" t="str">
        <f t="shared" ref="H170:N170" si="328">IF(ISERROR(H169),IF(ISERROR(H168),IF(ISERROR(H167),"BLANK",H167),H168),H169)</f>
        <v>4/25/2024</v>
      </c>
      <c r="I170" s="20">
        <f t="shared" si="328"/>
        <v>3.5</v>
      </c>
      <c r="J170" s="20" t="str">
        <f t="shared" si="328"/>
        <v>NW</v>
      </c>
      <c r="K170" s="27">
        <f t="shared" si="328"/>
        <v>0.4152777777777778</v>
      </c>
      <c r="L170" s="20">
        <f t="shared" si="328"/>
        <v>6.7</v>
      </c>
      <c r="M170" s="20">
        <f t="shared" si="328"/>
        <v>2</v>
      </c>
      <c r="N170" s="20">
        <f t="shared" si="328"/>
        <v>2</v>
      </c>
      <c r="O170" s="20">
        <v>40</v>
      </c>
      <c r="P170" s="20" t="s">
        <v>65</v>
      </c>
      <c r="Q170" s="21" t="str">
        <f>IF($M170=1,IF(ISERROR(VLOOKUP($P170,'M1'!$A:$C,Q$2,FALSE)),"NOT PRESENT",VLOOKUP($P170,'M1'!$A:$C,Q$2,FALSE)),IF($M170=2,IF(ISERROR(VLOOKUP(DATA!$P170,'M2'!$A:$C,Q$2,FALSE)),"NOT PRESENT",VLOOKUP(DATA!$P170,'M2'!$A:$C,Q$2,FALSE)),IF($M170=0,IF(ISERROR(VLOOKUP($P170,'M1'!$A:$C,Q$2,FALSE)),IF(ISERROR(VLOOKUP(DATA!$P170,'M2'!$A:$C,Q$2,FALSE)),"NOT PRESENT",VLOOKUP(DATA!$P170,'M2'!$A:$C,Q$2,FALSE)),VLOOKUP($P170,'M1'!$A:$C,Q$2,FALSE)),"SPECIFY METHOD")))</f>
        <v>Strongylocentrotus purpuratus</v>
      </c>
      <c r="R170" s="21" t="str">
        <f>IF($M170=1,IF(ISERROR(VLOOKUP($P170,'M1'!$A:$C,R$2,FALSE)),"NOT PRESENT",VLOOKUP($P170,'M1'!$A:$C,R$2,FALSE)),IF($M170=2,IF(ISERROR(VLOOKUP(DATA!$P170,'M2'!$A:$C,R$2,FALSE)),"NOT PRESENT",VLOOKUP(DATA!$P170,'M2'!$A:$C,R$2,FALSE)),IF($M170=0,IF(ISERROR(VLOOKUP($P170,'M1'!$A:$C,R$2,FALSE)),IF(ISERROR(VLOOKUP(DATA!$P170,'M2'!$A:$C,R$2,FALSE)),"NOT PRESENT",VLOOKUP(DATA!$P170,'M2'!$A:$C,R$2,FALSE)),VLOOKUP($P170,'M1'!$A:$C,R$2,FALSE)),"SPECIFY METHOD")))</f>
        <v>Purple sea urchin (?)</v>
      </c>
      <c r="S170" s="28">
        <f t="shared" si="3"/>
        <v>2</v>
      </c>
      <c r="T170" s="20">
        <v>0</v>
      </c>
      <c r="U170" s="20"/>
      <c r="V170" s="20"/>
      <c r="W170" s="20">
        <v>2</v>
      </c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</row>
    <row r="171" spans="1:68" ht="12.75" customHeight="1">
      <c r="A171" s="21">
        <f t="shared" si="2"/>
        <v>169</v>
      </c>
      <c r="B171" s="20" t="str">
        <f t="shared" ref="B171:D171" si="329">IF(ISERROR(B170),IF(ISERROR(B169),IF(ISERROR(B168),"BLANK",B168),B169),B170)</f>
        <v>Isabelle Cote</v>
      </c>
      <c r="C171" s="20" t="str">
        <f t="shared" si="329"/>
        <v>Tom Bird</v>
      </c>
      <c r="D171" s="20" t="str">
        <f t="shared" si="329"/>
        <v>BMSC20</v>
      </c>
      <c r="E171" s="21" t="str">
        <f>IF(ISERROR(VLOOKUP($D171,SITES!$A:$E,2,FALSE)),"",VLOOKUP($D171,SITES!$A:$E,2,FALSE))</f>
        <v>Ed King East</v>
      </c>
      <c r="F171" s="19">
        <f>IF(ISERROR(VLOOKUP($D171,SITES!$A:$E,3,FALSE)),"",VLOOKUP($D171,SITES!$A:$E,3,FALSE))</f>
        <v>48.835666656494098</v>
      </c>
      <c r="G171" s="22">
        <f>IF(ISERROR(VLOOKUP($D171,SITES!$A:$E,4,FALSE)),"",VLOOKUP($D171,SITES!$A:$E,4,FALSE))</f>
        <v>-125.214797973632</v>
      </c>
      <c r="H171" s="23" t="str">
        <f t="shared" ref="H171:M171" si="330">IF(ISERROR(H170),IF(ISERROR(H169),IF(ISERROR(H168),"BLANK",H168),H169),H170)</f>
        <v>4/25/2024</v>
      </c>
      <c r="I171" s="20">
        <f t="shared" si="330"/>
        <v>3.5</v>
      </c>
      <c r="J171" s="20" t="str">
        <f t="shared" si="330"/>
        <v>NW</v>
      </c>
      <c r="K171" s="27">
        <f t="shared" si="330"/>
        <v>0.4152777777777778</v>
      </c>
      <c r="L171" s="20">
        <f t="shared" si="330"/>
        <v>6.7</v>
      </c>
      <c r="M171" s="20">
        <f t="shared" si="330"/>
        <v>2</v>
      </c>
      <c r="N171" s="20">
        <v>1</v>
      </c>
      <c r="O171" s="20">
        <v>48</v>
      </c>
      <c r="P171" s="20" t="s">
        <v>42</v>
      </c>
      <c r="Q171" s="21" t="str">
        <f>IF($M171=1,IF(ISERROR(VLOOKUP($P171,'M1'!$A:$C,Q$2,FALSE)),"NOT PRESENT",VLOOKUP($P171,'M1'!$A:$C,Q$2,FALSE)),IF($M171=2,IF(ISERROR(VLOOKUP(DATA!$P171,'M2'!$A:$C,Q$2,FALSE)),"NOT PRESENT",VLOOKUP(DATA!$P171,'M2'!$A:$C,Q$2,FALSE)),IF($M171=0,IF(ISERROR(VLOOKUP($P171,'M1'!$A:$C,Q$2,FALSE)),IF(ISERROR(VLOOKUP(DATA!$P171,'M2'!$A:$C,Q$2,FALSE)),"NOT PRESENT",VLOOKUP(DATA!$P171,'M2'!$A:$C,Q$2,FALSE)),VLOOKUP($P171,'M1'!$A:$C,Q$2,FALSE)),"SPECIFY METHOD")))</f>
        <v>Orthasterias koehleri</v>
      </c>
      <c r="R171" s="21" t="str">
        <f>IF($M171=1,IF(ISERROR(VLOOKUP($P171,'M1'!$A:$C,R$2,FALSE)),"NOT PRESENT",VLOOKUP($P171,'M1'!$A:$C,R$2,FALSE)),IF($M171=2,IF(ISERROR(VLOOKUP(DATA!$P171,'M2'!$A:$C,R$2,FALSE)),"NOT PRESENT",VLOOKUP(DATA!$P171,'M2'!$A:$C,R$2,FALSE)),IF($M171=0,IF(ISERROR(VLOOKUP($P171,'M1'!$A:$C,R$2,FALSE)),IF(ISERROR(VLOOKUP(DATA!$P171,'M2'!$A:$C,R$2,FALSE)),"NOT PRESENT",VLOOKUP(DATA!$P171,'M2'!$A:$C,R$2,FALSE)),VLOOKUP($P171,'M1'!$A:$C,R$2,FALSE)),"SPECIFY METHOD")))</f>
        <v>Rainbow star</v>
      </c>
      <c r="S171" s="28">
        <f t="shared" si="3"/>
        <v>1</v>
      </c>
      <c r="T171" s="20">
        <v>0</v>
      </c>
      <c r="U171" s="20"/>
      <c r="V171" s="20"/>
      <c r="W171" s="20"/>
      <c r="X171" s="20"/>
      <c r="Y171" s="20"/>
      <c r="Z171" s="20">
        <v>1</v>
      </c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</row>
    <row r="172" spans="1:68" ht="12.75" customHeight="1">
      <c r="A172" s="21">
        <f t="shared" si="2"/>
        <v>170</v>
      </c>
      <c r="B172" s="20" t="str">
        <f t="shared" ref="B172:D172" si="331">IF(ISERROR(B171),IF(ISERROR(B170),IF(ISERROR(B169),"BLANK",B169),B170),B171)</f>
        <v>Isabelle Cote</v>
      </c>
      <c r="C172" s="20" t="str">
        <f t="shared" si="331"/>
        <v>Tom Bird</v>
      </c>
      <c r="D172" s="20" t="str">
        <f t="shared" si="331"/>
        <v>BMSC20</v>
      </c>
      <c r="E172" s="21" t="str">
        <f>IF(ISERROR(VLOOKUP($D172,SITES!$A:$E,2,FALSE)),"",VLOOKUP($D172,SITES!$A:$E,2,FALSE))</f>
        <v>Ed King East</v>
      </c>
      <c r="F172" s="19">
        <f>IF(ISERROR(VLOOKUP($D172,SITES!$A:$E,3,FALSE)),"",VLOOKUP($D172,SITES!$A:$E,3,FALSE))</f>
        <v>48.835666656494098</v>
      </c>
      <c r="G172" s="22">
        <f>IF(ISERROR(VLOOKUP($D172,SITES!$A:$E,4,FALSE)),"",VLOOKUP($D172,SITES!$A:$E,4,FALSE))</f>
        <v>-125.214797973632</v>
      </c>
      <c r="H172" s="23" t="str">
        <f t="shared" ref="H172:N172" si="332">IF(ISERROR(H171),IF(ISERROR(H170),IF(ISERROR(H169),"BLANK",H169),H170),H171)</f>
        <v>4/25/2024</v>
      </c>
      <c r="I172" s="20">
        <f t="shared" si="332"/>
        <v>3.5</v>
      </c>
      <c r="J172" s="20" t="str">
        <f t="shared" si="332"/>
        <v>NW</v>
      </c>
      <c r="K172" s="27">
        <f t="shared" si="332"/>
        <v>0.4152777777777778</v>
      </c>
      <c r="L172" s="20">
        <f t="shared" si="332"/>
        <v>6.7</v>
      </c>
      <c r="M172" s="20">
        <f t="shared" si="332"/>
        <v>2</v>
      </c>
      <c r="N172" s="20">
        <f t="shared" si="332"/>
        <v>1</v>
      </c>
      <c r="O172" s="20">
        <v>48</v>
      </c>
      <c r="P172" s="20" t="s">
        <v>41</v>
      </c>
      <c r="Q172" s="21" t="str">
        <f>IF($M172=1,IF(ISERROR(VLOOKUP($P172,'M1'!$A:$C,Q$2,FALSE)),"NOT PRESENT",VLOOKUP($P172,'M1'!$A:$C,Q$2,FALSE)),IF($M172=2,IF(ISERROR(VLOOKUP(DATA!$P172,'M2'!$A:$C,Q$2,FALSE)),"NOT PRESENT",VLOOKUP(DATA!$P172,'M2'!$A:$C,Q$2,FALSE)),IF($M172=0,IF(ISERROR(VLOOKUP($P172,'M1'!$A:$C,Q$2,FALSE)),IF(ISERROR(VLOOKUP(DATA!$P172,'M2'!$A:$C,Q$2,FALSE)),"NOT PRESENT",VLOOKUP(DATA!$P172,'M2'!$A:$C,Q$2,FALSE)),VLOOKUP($P172,'M1'!$A:$C,Q$2,FALSE)),"SPECIFY METHOD")))</f>
        <v>Mesocentrotus franciscanus</v>
      </c>
      <c r="R172" s="21" t="str">
        <f>IF($M172=1,IF(ISERROR(VLOOKUP($P172,'M1'!$A:$C,R$2,FALSE)),"NOT PRESENT",VLOOKUP($P172,'M1'!$A:$C,R$2,FALSE)),IF($M172=2,IF(ISERROR(VLOOKUP(DATA!$P172,'M2'!$A:$C,R$2,FALSE)),"NOT PRESENT",VLOOKUP(DATA!$P172,'M2'!$A:$C,R$2,FALSE)),IF($M172=0,IF(ISERROR(VLOOKUP($P172,'M1'!$A:$C,R$2,FALSE)),IF(ISERROR(VLOOKUP(DATA!$P172,'M2'!$A:$C,R$2,FALSE)),"NOT PRESENT",VLOOKUP(DATA!$P172,'M2'!$A:$C,R$2,FALSE)),VLOOKUP($P172,'M1'!$A:$C,R$2,FALSE)),"SPECIFY METHOD")))</f>
        <v>Red sea urchin</v>
      </c>
      <c r="S172" s="28">
        <f t="shared" si="3"/>
        <v>6</v>
      </c>
      <c r="T172" s="20">
        <v>0</v>
      </c>
      <c r="U172" s="20"/>
      <c r="V172" s="20">
        <v>4</v>
      </c>
      <c r="W172" s="20">
        <v>2</v>
      </c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</row>
    <row r="173" spans="1:68" ht="12.75" customHeight="1">
      <c r="A173" s="21">
        <f t="shared" si="2"/>
        <v>171</v>
      </c>
      <c r="B173" s="20" t="str">
        <f t="shared" ref="B173:D173" si="333">IF(ISERROR(B172),IF(ISERROR(B171),IF(ISERROR(B170),"BLANK",B170),B171),B172)</f>
        <v>Isabelle Cote</v>
      </c>
      <c r="C173" s="20" t="str">
        <f t="shared" si="333"/>
        <v>Tom Bird</v>
      </c>
      <c r="D173" s="20" t="str">
        <f t="shared" si="333"/>
        <v>BMSC20</v>
      </c>
      <c r="E173" s="21" t="str">
        <f>IF(ISERROR(VLOOKUP($D173,SITES!$A:$E,2,FALSE)),"",VLOOKUP($D173,SITES!$A:$E,2,FALSE))</f>
        <v>Ed King East</v>
      </c>
      <c r="F173" s="19">
        <f>IF(ISERROR(VLOOKUP($D173,SITES!$A:$E,3,FALSE)),"",VLOOKUP($D173,SITES!$A:$E,3,FALSE))</f>
        <v>48.835666656494098</v>
      </c>
      <c r="G173" s="22">
        <f>IF(ISERROR(VLOOKUP($D173,SITES!$A:$E,4,FALSE)),"",VLOOKUP($D173,SITES!$A:$E,4,FALSE))</f>
        <v>-125.214797973632</v>
      </c>
      <c r="H173" s="23" t="str">
        <f t="shared" ref="H173:N173" si="334">IF(ISERROR(H172),IF(ISERROR(H171),IF(ISERROR(H170),"BLANK",H170),H171),H172)</f>
        <v>4/25/2024</v>
      </c>
      <c r="I173" s="20">
        <f t="shared" si="334"/>
        <v>3.5</v>
      </c>
      <c r="J173" s="20" t="str">
        <f t="shared" si="334"/>
        <v>NW</v>
      </c>
      <c r="K173" s="27">
        <f t="shared" si="334"/>
        <v>0.4152777777777778</v>
      </c>
      <c r="L173" s="20">
        <f t="shared" si="334"/>
        <v>6.7</v>
      </c>
      <c r="M173" s="20">
        <f t="shared" si="334"/>
        <v>2</v>
      </c>
      <c r="N173" s="20">
        <f t="shared" si="334"/>
        <v>1</v>
      </c>
      <c r="O173" s="20">
        <v>48</v>
      </c>
      <c r="P173" s="20" t="s">
        <v>39</v>
      </c>
      <c r="Q173" s="21" t="str">
        <f>IF($M173=1,IF(ISERROR(VLOOKUP($P173,'M1'!$A:$C,Q$2,FALSE)),"NOT PRESENT",VLOOKUP($P173,'M1'!$A:$C,Q$2,FALSE)),IF($M173=2,IF(ISERROR(VLOOKUP(DATA!$P173,'M2'!$A:$C,Q$2,FALSE)),"NOT PRESENT",VLOOKUP(DATA!$P173,'M2'!$A:$C,Q$2,FALSE)),IF($M173=0,IF(ISERROR(VLOOKUP($P173,'M1'!$A:$C,Q$2,FALSE)),IF(ISERROR(VLOOKUP(DATA!$P173,'M2'!$A:$C,Q$2,FALSE)),"NOT PRESENT",VLOOKUP(DATA!$P173,'M2'!$A:$C,Q$2,FALSE)),VLOOKUP($P173,'M1'!$A:$C,Q$2,FALSE)),"SPECIFY METHOD")))</f>
        <v>Dermasterias imbricata</v>
      </c>
      <c r="R173" s="21" t="str">
        <f>IF($M173=1,IF(ISERROR(VLOOKUP($P173,'M1'!$A:$C,R$2,FALSE)),"NOT PRESENT",VLOOKUP($P173,'M1'!$A:$C,R$2,FALSE)),IF($M173=2,IF(ISERROR(VLOOKUP(DATA!$P173,'M2'!$A:$C,R$2,FALSE)),"NOT PRESENT",VLOOKUP(DATA!$P173,'M2'!$A:$C,R$2,FALSE)),IF($M173=0,IF(ISERROR(VLOOKUP($P173,'M1'!$A:$C,R$2,FALSE)),IF(ISERROR(VLOOKUP(DATA!$P173,'M2'!$A:$C,R$2,FALSE)),"NOT PRESENT",VLOOKUP(DATA!$P173,'M2'!$A:$C,R$2,FALSE)),VLOOKUP($P173,'M1'!$A:$C,R$2,FALSE)),"SPECIFY METHOD")))</f>
        <v>Leather star</v>
      </c>
      <c r="S173" s="28">
        <f t="shared" si="3"/>
        <v>1</v>
      </c>
      <c r="T173" s="20">
        <v>0</v>
      </c>
      <c r="U173" s="20"/>
      <c r="V173" s="20"/>
      <c r="W173" s="20"/>
      <c r="X173" s="20"/>
      <c r="Y173" s="20"/>
      <c r="Z173" s="20"/>
      <c r="AA173" s="20">
        <v>1</v>
      </c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</row>
    <row r="174" spans="1:68" ht="12.75" customHeight="1">
      <c r="A174" s="21">
        <f t="shared" si="2"/>
        <v>172</v>
      </c>
      <c r="B174" s="20" t="s">
        <v>25</v>
      </c>
      <c r="C174" s="20" t="s">
        <v>36</v>
      </c>
      <c r="D174" s="20" t="s">
        <v>66</v>
      </c>
      <c r="E174" s="21" t="str">
        <f>IF(ISERROR(VLOOKUP($D174,SITES!$A:$E,2,FALSE)),"",VLOOKUP($D174,SITES!$A:$E,2,FALSE))</f>
        <v>Dodger Channel</v>
      </c>
      <c r="F174" s="19">
        <f>IF(ISERROR(VLOOKUP($D174,SITES!$A:$E,3,FALSE)),"",VLOOKUP($D174,SITES!$A:$E,3,FALSE))</f>
        <v>48.828948974609297</v>
      </c>
      <c r="G174" s="22">
        <f>IF(ISERROR(VLOOKUP($D174,SITES!$A:$E,4,FALSE)),"",VLOOKUP($D174,SITES!$A:$E,4,FALSE))</f>
        <v>-125.19757080078099</v>
      </c>
      <c r="H174" s="23" t="str">
        <f t="shared" ref="H174:H200" si="335">IF(ISERROR(H173),IF(ISERROR(H172),IF(ISERROR(H171),"BLANK",H171),H172),H173)</f>
        <v>4/25/2024</v>
      </c>
      <c r="I174" s="20">
        <v>3</v>
      </c>
      <c r="J174" s="20" t="s">
        <v>59</v>
      </c>
      <c r="K174" s="27">
        <v>0.59513888888888888</v>
      </c>
      <c r="L174" s="20">
        <v>6.5</v>
      </c>
      <c r="M174" s="20">
        <f>IF(ISERROR(M173),IF(ISERROR(M172),IF(ISERROR(M171),"BLANK",M171),M172),M173)</f>
        <v>2</v>
      </c>
      <c r="N174" s="20">
        <v>2</v>
      </c>
      <c r="O174" s="20">
        <v>40</v>
      </c>
      <c r="P174" s="20" t="s">
        <v>41</v>
      </c>
      <c r="Q174" s="21" t="str">
        <f>IF($M174=1,IF(ISERROR(VLOOKUP($P174,'M1'!$A:$C,Q$2,FALSE)),"NOT PRESENT",VLOOKUP($P174,'M1'!$A:$C,Q$2,FALSE)),IF($M174=2,IF(ISERROR(VLOOKUP(DATA!$P174,'M2'!$A:$C,Q$2,FALSE)),"NOT PRESENT",VLOOKUP(DATA!$P174,'M2'!$A:$C,Q$2,FALSE)),IF($M174=0,IF(ISERROR(VLOOKUP($P174,'M1'!$A:$C,Q$2,FALSE)),IF(ISERROR(VLOOKUP(DATA!$P174,'M2'!$A:$C,Q$2,FALSE)),"NOT PRESENT",VLOOKUP(DATA!$P174,'M2'!$A:$C,Q$2,FALSE)),VLOOKUP($P174,'M1'!$A:$C,Q$2,FALSE)),"SPECIFY METHOD")))</f>
        <v>Mesocentrotus franciscanus</v>
      </c>
      <c r="R174" s="21" t="str">
        <f>IF($M174=1,IF(ISERROR(VLOOKUP($P174,'M1'!$A:$C,R$2,FALSE)),"NOT PRESENT",VLOOKUP($P174,'M1'!$A:$C,R$2,FALSE)),IF($M174=2,IF(ISERROR(VLOOKUP(DATA!$P174,'M2'!$A:$C,R$2,FALSE)),"NOT PRESENT",VLOOKUP(DATA!$P174,'M2'!$A:$C,R$2,FALSE)),IF($M174=0,IF(ISERROR(VLOOKUP($P174,'M1'!$A:$C,R$2,FALSE)),IF(ISERROR(VLOOKUP(DATA!$P174,'M2'!$A:$C,R$2,FALSE)),"NOT PRESENT",VLOOKUP(DATA!$P174,'M2'!$A:$C,R$2,FALSE)),VLOOKUP($P174,'M1'!$A:$C,R$2,FALSE)),"SPECIFY METHOD")))</f>
        <v>Red sea urchin</v>
      </c>
      <c r="S174" s="28">
        <f t="shared" si="3"/>
        <v>5</v>
      </c>
      <c r="T174" s="20">
        <v>0</v>
      </c>
      <c r="U174" s="20"/>
      <c r="V174" s="20"/>
      <c r="W174" s="20">
        <v>2</v>
      </c>
      <c r="X174" s="20">
        <v>3</v>
      </c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</row>
    <row r="175" spans="1:68" ht="12.75" customHeight="1">
      <c r="A175" s="21">
        <f t="shared" si="2"/>
        <v>173</v>
      </c>
      <c r="B175" s="20" t="str">
        <f t="shared" ref="B175:D175" si="336">IF(ISERROR(B174),IF(ISERROR(B173),IF(ISERROR(B172),"BLANK",B172),B173),B174)</f>
        <v>Tom Bird</v>
      </c>
      <c r="C175" s="20" t="str">
        <f t="shared" si="336"/>
        <v>Isabelle Cote</v>
      </c>
      <c r="D175" s="20" t="str">
        <f t="shared" si="336"/>
        <v>BMSC1</v>
      </c>
      <c r="E175" s="21" t="str">
        <f>IF(ISERROR(VLOOKUP($D175,SITES!$A:$E,2,FALSE)),"",VLOOKUP($D175,SITES!$A:$E,2,FALSE))</f>
        <v>Dodger Channel</v>
      </c>
      <c r="F175" s="19">
        <f>IF(ISERROR(VLOOKUP($D175,SITES!$A:$E,3,FALSE)),"",VLOOKUP($D175,SITES!$A:$E,3,FALSE))</f>
        <v>48.828948974609297</v>
      </c>
      <c r="G175" s="22">
        <f>IF(ISERROR(VLOOKUP($D175,SITES!$A:$E,4,FALSE)),"",VLOOKUP($D175,SITES!$A:$E,4,FALSE))</f>
        <v>-125.19757080078099</v>
      </c>
      <c r="H175" s="23" t="str">
        <f t="shared" si="335"/>
        <v>4/25/2024</v>
      </c>
      <c r="I175" s="20">
        <f t="shared" ref="I175:N175" si="337">IF(ISERROR(I174),IF(ISERROR(I173),IF(ISERROR(I172),"BLANK",I172),I173),I174)</f>
        <v>3</v>
      </c>
      <c r="J175" s="20" t="str">
        <f t="shared" si="337"/>
        <v>NE</v>
      </c>
      <c r="K175" s="27">
        <f t="shared" si="337"/>
        <v>0.59513888888888888</v>
      </c>
      <c r="L175" s="20">
        <f t="shared" si="337"/>
        <v>6.5</v>
      </c>
      <c r="M175" s="20">
        <f t="shared" si="337"/>
        <v>2</v>
      </c>
      <c r="N175" s="20">
        <f t="shared" si="337"/>
        <v>2</v>
      </c>
      <c r="O175" s="20">
        <v>24</v>
      </c>
      <c r="P175" s="20" t="str">
        <f t="shared" ref="P175:P176" si="338">IF(ISERROR(P174),IF(ISERROR(P173),IF(ISERROR(P172),"BLANK",P172),P173),P174)</f>
        <v>mfra</v>
      </c>
      <c r="Q175" s="21" t="str">
        <f>IF($M175=1,IF(ISERROR(VLOOKUP($P175,'M1'!$A:$C,Q$2,FALSE)),"NOT PRESENT",VLOOKUP($P175,'M1'!$A:$C,Q$2,FALSE)),IF($M175=2,IF(ISERROR(VLOOKUP(DATA!$P175,'M2'!$A:$C,Q$2,FALSE)),"NOT PRESENT",VLOOKUP(DATA!$P175,'M2'!$A:$C,Q$2,FALSE)),IF($M175=0,IF(ISERROR(VLOOKUP($P175,'M1'!$A:$C,Q$2,FALSE)),IF(ISERROR(VLOOKUP(DATA!$P175,'M2'!$A:$C,Q$2,FALSE)),"NOT PRESENT",VLOOKUP(DATA!$P175,'M2'!$A:$C,Q$2,FALSE)),VLOOKUP($P175,'M1'!$A:$C,Q$2,FALSE)),"SPECIFY METHOD")))</f>
        <v>Mesocentrotus franciscanus</v>
      </c>
      <c r="R175" s="21" t="str">
        <f>IF($M175=1,IF(ISERROR(VLOOKUP($P175,'M1'!$A:$C,R$2,FALSE)),"NOT PRESENT",VLOOKUP($P175,'M1'!$A:$C,R$2,FALSE)),IF($M175=2,IF(ISERROR(VLOOKUP(DATA!$P175,'M2'!$A:$C,R$2,FALSE)),"NOT PRESENT",VLOOKUP(DATA!$P175,'M2'!$A:$C,R$2,FALSE)),IF($M175=0,IF(ISERROR(VLOOKUP($P175,'M1'!$A:$C,R$2,FALSE)),IF(ISERROR(VLOOKUP(DATA!$P175,'M2'!$A:$C,R$2,FALSE)),"NOT PRESENT",VLOOKUP(DATA!$P175,'M2'!$A:$C,R$2,FALSE)),VLOOKUP($P175,'M1'!$A:$C,R$2,FALSE)),"SPECIFY METHOD")))</f>
        <v>Red sea urchin</v>
      </c>
      <c r="S175" s="28">
        <f t="shared" si="3"/>
        <v>5</v>
      </c>
      <c r="T175" s="20">
        <v>0</v>
      </c>
      <c r="U175" s="20"/>
      <c r="V175" s="20"/>
      <c r="W175" s="20">
        <v>1</v>
      </c>
      <c r="X175" s="20">
        <v>3</v>
      </c>
      <c r="Y175" s="20">
        <v>1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</row>
    <row r="176" spans="1:68" ht="12.75" customHeight="1">
      <c r="A176" s="21">
        <f t="shared" si="2"/>
        <v>174</v>
      </c>
      <c r="B176" s="20" t="str">
        <f t="shared" ref="B176:D176" si="339">IF(ISERROR(B175),IF(ISERROR(B174),IF(ISERROR(B173),"BLANK",B173),B174),B175)</f>
        <v>Tom Bird</v>
      </c>
      <c r="C176" s="20" t="str">
        <f t="shared" si="339"/>
        <v>Isabelle Cote</v>
      </c>
      <c r="D176" s="20" t="str">
        <f t="shared" si="339"/>
        <v>BMSC1</v>
      </c>
      <c r="E176" s="21" t="str">
        <f>IF(ISERROR(VLOOKUP($D176,SITES!$A:$E,2,FALSE)),"",VLOOKUP($D176,SITES!$A:$E,2,FALSE))</f>
        <v>Dodger Channel</v>
      </c>
      <c r="F176" s="19">
        <f>IF(ISERROR(VLOOKUP($D176,SITES!$A:$E,3,FALSE)),"",VLOOKUP($D176,SITES!$A:$E,3,FALSE))</f>
        <v>48.828948974609297</v>
      </c>
      <c r="G176" s="22">
        <f>IF(ISERROR(VLOOKUP($D176,SITES!$A:$E,4,FALSE)),"",VLOOKUP($D176,SITES!$A:$E,4,FALSE))</f>
        <v>-125.19757080078099</v>
      </c>
      <c r="H176" s="23" t="str">
        <f t="shared" si="335"/>
        <v>4/25/2024</v>
      </c>
      <c r="I176" s="20">
        <f t="shared" ref="I176:N176" si="340">IF(ISERROR(I175),IF(ISERROR(I174),IF(ISERROR(I173),"BLANK",I173),I174),I175)</f>
        <v>3</v>
      </c>
      <c r="J176" s="20" t="str">
        <f t="shared" si="340"/>
        <v>NE</v>
      </c>
      <c r="K176" s="27">
        <f t="shared" si="340"/>
        <v>0.59513888888888888</v>
      </c>
      <c r="L176" s="20">
        <f t="shared" si="340"/>
        <v>6.5</v>
      </c>
      <c r="M176" s="20">
        <f t="shared" si="340"/>
        <v>2</v>
      </c>
      <c r="N176" s="20">
        <f t="shared" si="340"/>
        <v>2</v>
      </c>
      <c r="O176" s="20">
        <v>8</v>
      </c>
      <c r="P176" s="20" t="str">
        <f t="shared" si="338"/>
        <v>mfra</v>
      </c>
      <c r="Q176" s="21" t="str">
        <f>IF($M176=1,IF(ISERROR(VLOOKUP($P176,'M1'!$A:$C,Q$2,FALSE)),"NOT PRESENT",VLOOKUP($P176,'M1'!$A:$C,Q$2,FALSE)),IF($M176=2,IF(ISERROR(VLOOKUP(DATA!$P176,'M2'!$A:$C,Q$2,FALSE)),"NOT PRESENT",VLOOKUP(DATA!$P176,'M2'!$A:$C,Q$2,FALSE)),IF($M176=0,IF(ISERROR(VLOOKUP($P176,'M1'!$A:$C,Q$2,FALSE)),IF(ISERROR(VLOOKUP(DATA!$P176,'M2'!$A:$C,Q$2,FALSE)),"NOT PRESENT",VLOOKUP(DATA!$P176,'M2'!$A:$C,Q$2,FALSE)),VLOOKUP($P176,'M1'!$A:$C,Q$2,FALSE)),"SPECIFY METHOD")))</f>
        <v>Mesocentrotus franciscanus</v>
      </c>
      <c r="R176" s="21" t="str">
        <f>IF($M176=1,IF(ISERROR(VLOOKUP($P176,'M1'!$A:$C,R$2,FALSE)),"NOT PRESENT",VLOOKUP($P176,'M1'!$A:$C,R$2,FALSE)),IF($M176=2,IF(ISERROR(VLOOKUP(DATA!$P176,'M2'!$A:$C,R$2,FALSE)),"NOT PRESENT",VLOOKUP(DATA!$P176,'M2'!$A:$C,R$2,FALSE)),IF($M176=0,IF(ISERROR(VLOOKUP($P176,'M1'!$A:$C,R$2,FALSE)),IF(ISERROR(VLOOKUP(DATA!$P176,'M2'!$A:$C,R$2,FALSE)),"NOT PRESENT",VLOOKUP(DATA!$P176,'M2'!$A:$C,R$2,FALSE)),VLOOKUP($P176,'M1'!$A:$C,R$2,FALSE)),"SPECIFY METHOD")))</f>
        <v>Red sea urchin</v>
      </c>
      <c r="S176" s="28">
        <f t="shared" si="3"/>
        <v>9</v>
      </c>
      <c r="T176" s="20">
        <v>0</v>
      </c>
      <c r="U176" s="20"/>
      <c r="V176" s="20"/>
      <c r="W176" s="20">
        <v>2</v>
      </c>
      <c r="X176" s="20">
        <v>2</v>
      </c>
      <c r="Y176" s="20">
        <v>2</v>
      </c>
      <c r="Z176" s="20">
        <v>3</v>
      </c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</row>
    <row r="177" spans="1:68" ht="12.75" customHeight="1">
      <c r="A177" s="21">
        <f t="shared" si="2"/>
        <v>175</v>
      </c>
      <c r="B177" s="20" t="str">
        <f t="shared" ref="B177:D177" si="341">IF(ISERROR(B176),IF(ISERROR(B175),IF(ISERROR(B174),"BLANK",B174),B175),B176)</f>
        <v>Tom Bird</v>
      </c>
      <c r="C177" s="20" t="str">
        <f t="shared" si="341"/>
        <v>Isabelle Cote</v>
      </c>
      <c r="D177" s="20" t="str">
        <f t="shared" si="341"/>
        <v>BMSC1</v>
      </c>
      <c r="E177" s="21" t="str">
        <f>IF(ISERROR(VLOOKUP($D177,SITES!$A:$E,2,FALSE)),"",VLOOKUP($D177,SITES!$A:$E,2,FALSE))</f>
        <v>Dodger Channel</v>
      </c>
      <c r="F177" s="19">
        <f>IF(ISERROR(VLOOKUP($D177,SITES!$A:$E,3,FALSE)),"",VLOOKUP($D177,SITES!$A:$E,3,FALSE))</f>
        <v>48.828948974609297</v>
      </c>
      <c r="G177" s="22">
        <f>IF(ISERROR(VLOOKUP($D177,SITES!$A:$E,4,FALSE)),"",VLOOKUP($D177,SITES!$A:$E,4,FALSE))</f>
        <v>-125.19757080078099</v>
      </c>
      <c r="H177" s="23" t="str">
        <f t="shared" si="335"/>
        <v>4/25/2024</v>
      </c>
      <c r="I177" s="20">
        <f t="shared" ref="I177:M177" si="342">IF(ISERROR(I176),IF(ISERROR(I175),IF(ISERROR(I174),"BLANK",I174),I175),I176)</f>
        <v>3</v>
      </c>
      <c r="J177" s="20" t="str">
        <f t="shared" si="342"/>
        <v>NE</v>
      </c>
      <c r="K177" s="27">
        <f t="shared" si="342"/>
        <v>0.59513888888888888</v>
      </c>
      <c r="L177" s="20">
        <f t="shared" si="342"/>
        <v>6.5</v>
      </c>
      <c r="M177" s="20">
        <f t="shared" si="342"/>
        <v>2</v>
      </c>
      <c r="N177" s="20">
        <v>1</v>
      </c>
      <c r="O177" s="20">
        <v>0</v>
      </c>
      <c r="P177" s="20" t="s">
        <v>40</v>
      </c>
      <c r="Q177" s="21" t="str">
        <f>IF($M177=1,IF(ISERROR(VLOOKUP($P177,'M1'!$A:$C,Q$2,FALSE)),"NOT PRESENT",VLOOKUP($P177,'M1'!$A:$C,Q$2,FALSE)),IF($M177=2,IF(ISERROR(VLOOKUP(DATA!$P177,'M2'!$A:$C,Q$2,FALSE)),"NOT PRESENT",VLOOKUP(DATA!$P177,'M2'!$A:$C,Q$2,FALSE)),IF($M177=0,IF(ISERROR(VLOOKUP($P177,'M1'!$A:$C,Q$2,FALSE)),IF(ISERROR(VLOOKUP(DATA!$P177,'M2'!$A:$C,Q$2,FALSE)),"NOT PRESENT",VLOOKUP(DATA!$P177,'M2'!$A:$C,Q$2,FALSE)),VLOOKUP($P177,'M1'!$A:$C,Q$2,FALSE)),"SPECIFY METHOD")))</f>
        <v>Patiria miniata</v>
      </c>
      <c r="R177" s="21" t="str">
        <f>IF($M177=1,IF(ISERROR(VLOOKUP($P177,'M1'!$A:$C,R$2,FALSE)),"NOT PRESENT",VLOOKUP($P177,'M1'!$A:$C,R$2,FALSE)),IF($M177=2,IF(ISERROR(VLOOKUP(DATA!$P177,'M2'!$A:$C,R$2,FALSE)),"NOT PRESENT",VLOOKUP(DATA!$P177,'M2'!$A:$C,R$2,FALSE)),IF($M177=0,IF(ISERROR(VLOOKUP($P177,'M1'!$A:$C,R$2,FALSE)),IF(ISERROR(VLOOKUP(DATA!$P177,'M2'!$A:$C,R$2,FALSE)),"NOT PRESENT",VLOOKUP(DATA!$P177,'M2'!$A:$C,R$2,FALSE)),VLOOKUP($P177,'M1'!$A:$C,R$2,FALSE)),"SPECIFY METHOD")))</f>
        <v>Bat star</v>
      </c>
      <c r="S177" s="28">
        <f t="shared" si="3"/>
        <v>2</v>
      </c>
      <c r="T177" s="20">
        <v>0</v>
      </c>
      <c r="U177" s="20"/>
      <c r="V177" s="20"/>
      <c r="W177" s="20">
        <v>1</v>
      </c>
      <c r="X177" s="20">
        <v>1</v>
      </c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</row>
    <row r="178" spans="1:68" ht="12.75" customHeight="1">
      <c r="A178" s="21">
        <f t="shared" si="2"/>
        <v>176</v>
      </c>
      <c r="B178" s="20" t="str">
        <f t="shared" ref="B178:D178" si="343">IF(ISERROR(B177),IF(ISERROR(B176),IF(ISERROR(B175),"BLANK",B175),B176),B177)</f>
        <v>Tom Bird</v>
      </c>
      <c r="C178" s="20" t="str">
        <f t="shared" si="343"/>
        <v>Isabelle Cote</v>
      </c>
      <c r="D178" s="20" t="str">
        <f t="shared" si="343"/>
        <v>BMSC1</v>
      </c>
      <c r="E178" s="21" t="str">
        <f>IF(ISERROR(VLOOKUP($D178,SITES!$A:$E,2,FALSE)),"",VLOOKUP($D178,SITES!$A:$E,2,FALSE))</f>
        <v>Dodger Channel</v>
      </c>
      <c r="F178" s="19">
        <f>IF(ISERROR(VLOOKUP($D178,SITES!$A:$E,3,FALSE)),"",VLOOKUP($D178,SITES!$A:$E,3,FALSE))</f>
        <v>48.828948974609297</v>
      </c>
      <c r="G178" s="22">
        <f>IF(ISERROR(VLOOKUP($D178,SITES!$A:$E,4,FALSE)),"",VLOOKUP($D178,SITES!$A:$E,4,FALSE))</f>
        <v>-125.19757080078099</v>
      </c>
      <c r="H178" s="23" t="str">
        <f t="shared" si="335"/>
        <v>4/25/2024</v>
      </c>
      <c r="I178" s="20">
        <f t="shared" ref="I178:N178" si="344">IF(ISERROR(I177),IF(ISERROR(I176),IF(ISERROR(I175),"BLANK",I175),I176),I177)</f>
        <v>3</v>
      </c>
      <c r="J178" s="20" t="str">
        <f t="shared" si="344"/>
        <v>NE</v>
      </c>
      <c r="K178" s="27">
        <f t="shared" si="344"/>
        <v>0.59513888888888888</v>
      </c>
      <c r="L178" s="20">
        <f t="shared" si="344"/>
        <v>6.5</v>
      </c>
      <c r="M178" s="20">
        <f t="shared" si="344"/>
        <v>2</v>
      </c>
      <c r="N178" s="20">
        <f t="shared" si="344"/>
        <v>1</v>
      </c>
      <c r="O178" s="20">
        <v>0</v>
      </c>
      <c r="P178" s="20" t="s">
        <v>39</v>
      </c>
      <c r="Q178" s="21" t="str">
        <f>IF($M178=1,IF(ISERROR(VLOOKUP($P178,'M1'!$A:$C,Q$2,FALSE)),"NOT PRESENT",VLOOKUP($P178,'M1'!$A:$C,Q$2,FALSE)),IF($M178=2,IF(ISERROR(VLOOKUP(DATA!$P178,'M2'!$A:$C,Q$2,FALSE)),"NOT PRESENT",VLOOKUP(DATA!$P178,'M2'!$A:$C,Q$2,FALSE)),IF($M178=0,IF(ISERROR(VLOOKUP($P178,'M1'!$A:$C,Q$2,FALSE)),IF(ISERROR(VLOOKUP(DATA!$P178,'M2'!$A:$C,Q$2,FALSE)),"NOT PRESENT",VLOOKUP(DATA!$P178,'M2'!$A:$C,Q$2,FALSE)),VLOOKUP($P178,'M1'!$A:$C,Q$2,FALSE)),"SPECIFY METHOD")))</f>
        <v>Dermasterias imbricata</v>
      </c>
      <c r="R178" s="21" t="str">
        <f>IF($M178=1,IF(ISERROR(VLOOKUP($P178,'M1'!$A:$C,R$2,FALSE)),"NOT PRESENT",VLOOKUP($P178,'M1'!$A:$C,R$2,FALSE)),IF($M178=2,IF(ISERROR(VLOOKUP(DATA!$P178,'M2'!$A:$C,R$2,FALSE)),"NOT PRESENT",VLOOKUP(DATA!$P178,'M2'!$A:$C,R$2,FALSE)),IF($M178=0,IF(ISERROR(VLOOKUP($P178,'M1'!$A:$C,R$2,FALSE)),IF(ISERROR(VLOOKUP(DATA!$P178,'M2'!$A:$C,R$2,FALSE)),"NOT PRESENT",VLOOKUP(DATA!$P178,'M2'!$A:$C,R$2,FALSE)),VLOOKUP($P178,'M1'!$A:$C,R$2,FALSE)),"SPECIFY METHOD")))</f>
        <v>Leather star</v>
      </c>
      <c r="S178" s="28">
        <f t="shared" si="3"/>
        <v>2</v>
      </c>
      <c r="T178" s="20">
        <v>0</v>
      </c>
      <c r="U178" s="20"/>
      <c r="V178" s="20"/>
      <c r="W178" s="20">
        <v>1</v>
      </c>
      <c r="X178" s="20">
        <v>1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</row>
    <row r="179" spans="1:68" ht="12.75" customHeight="1">
      <c r="A179" s="21">
        <f t="shared" si="2"/>
        <v>177</v>
      </c>
      <c r="B179" s="20" t="s">
        <v>36</v>
      </c>
      <c r="C179" s="20" t="s">
        <v>25</v>
      </c>
      <c r="D179" s="20" t="str">
        <f>IF(ISERROR(D178),IF(ISERROR(D177),IF(ISERROR(D176),"BLANK",D176),D177),D178)</f>
        <v>BMSC1</v>
      </c>
      <c r="E179" s="21" t="str">
        <f>IF(ISERROR(VLOOKUP($D179,SITES!$A:$E,2,FALSE)),"",VLOOKUP($D179,SITES!$A:$E,2,FALSE))</f>
        <v>Dodger Channel</v>
      </c>
      <c r="F179" s="19">
        <f>IF(ISERROR(VLOOKUP($D179,SITES!$A:$E,3,FALSE)),"",VLOOKUP($D179,SITES!$A:$E,3,FALSE))</f>
        <v>48.828948974609297</v>
      </c>
      <c r="G179" s="22">
        <f>IF(ISERROR(VLOOKUP($D179,SITES!$A:$E,4,FALSE)),"",VLOOKUP($D179,SITES!$A:$E,4,FALSE))</f>
        <v>-125.19757080078099</v>
      </c>
      <c r="H179" s="23" t="str">
        <f t="shared" si="335"/>
        <v>4/25/2024</v>
      </c>
      <c r="I179" s="20">
        <f t="shared" ref="I179:N179" si="345">IF(ISERROR(I178),IF(ISERROR(I177),IF(ISERROR(I176),"BLANK",I176),I177),I178)</f>
        <v>3</v>
      </c>
      <c r="J179" s="20" t="str">
        <f t="shared" si="345"/>
        <v>NE</v>
      </c>
      <c r="K179" s="27">
        <f t="shared" si="345"/>
        <v>0.59513888888888888</v>
      </c>
      <c r="L179" s="20">
        <f t="shared" si="345"/>
        <v>6.5</v>
      </c>
      <c r="M179" s="20">
        <f t="shared" si="345"/>
        <v>2</v>
      </c>
      <c r="N179" s="20">
        <f t="shared" si="345"/>
        <v>1</v>
      </c>
      <c r="O179" s="20">
        <v>48</v>
      </c>
      <c r="P179" s="20" t="s">
        <v>41</v>
      </c>
      <c r="Q179" s="21" t="str">
        <f>IF($M179=1,IF(ISERROR(VLOOKUP($P179,'M1'!$A:$C,Q$2,FALSE)),"NOT PRESENT",VLOOKUP($P179,'M1'!$A:$C,Q$2,FALSE)),IF($M179=2,IF(ISERROR(VLOOKUP(DATA!$P179,'M2'!$A:$C,Q$2,FALSE)),"NOT PRESENT",VLOOKUP(DATA!$P179,'M2'!$A:$C,Q$2,FALSE)),IF($M179=0,IF(ISERROR(VLOOKUP($P179,'M1'!$A:$C,Q$2,FALSE)),IF(ISERROR(VLOOKUP(DATA!$P179,'M2'!$A:$C,Q$2,FALSE)),"NOT PRESENT",VLOOKUP(DATA!$P179,'M2'!$A:$C,Q$2,FALSE)),VLOOKUP($P179,'M1'!$A:$C,Q$2,FALSE)),"SPECIFY METHOD")))</f>
        <v>Mesocentrotus franciscanus</v>
      </c>
      <c r="R179" s="21" t="str">
        <f>IF($M179=1,IF(ISERROR(VLOOKUP($P179,'M1'!$A:$C,R$2,FALSE)),"NOT PRESENT",VLOOKUP($P179,'M1'!$A:$C,R$2,FALSE)),IF($M179=2,IF(ISERROR(VLOOKUP(DATA!$P179,'M2'!$A:$C,R$2,FALSE)),"NOT PRESENT",VLOOKUP(DATA!$P179,'M2'!$A:$C,R$2,FALSE)),IF($M179=0,IF(ISERROR(VLOOKUP($P179,'M1'!$A:$C,R$2,FALSE)),IF(ISERROR(VLOOKUP(DATA!$P179,'M2'!$A:$C,R$2,FALSE)),"NOT PRESENT",VLOOKUP(DATA!$P179,'M2'!$A:$C,R$2,FALSE)),VLOOKUP($P179,'M1'!$A:$C,R$2,FALSE)),"SPECIFY METHOD")))</f>
        <v>Red sea urchin</v>
      </c>
      <c r="S179" s="28">
        <f t="shared" si="3"/>
        <v>3</v>
      </c>
      <c r="T179" s="20">
        <v>0</v>
      </c>
      <c r="U179" s="20"/>
      <c r="V179" s="20"/>
      <c r="W179" s="20"/>
      <c r="X179" s="20">
        <v>1</v>
      </c>
      <c r="Y179" s="20">
        <v>1</v>
      </c>
      <c r="Z179" s="20">
        <v>1</v>
      </c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</row>
    <row r="180" spans="1:68" ht="12.75" customHeight="1">
      <c r="A180" s="21">
        <f t="shared" si="2"/>
        <v>178</v>
      </c>
      <c r="B180" s="20" t="str">
        <f t="shared" ref="B180:D180" si="346">IF(ISERROR(B179),IF(ISERROR(B178),IF(ISERROR(B177),"BLANK",B177),B178),B179)</f>
        <v>Isabelle Cote</v>
      </c>
      <c r="C180" s="20" t="str">
        <f t="shared" si="346"/>
        <v>Tom Bird</v>
      </c>
      <c r="D180" s="20" t="str">
        <f t="shared" si="346"/>
        <v>BMSC1</v>
      </c>
      <c r="E180" s="21" t="str">
        <f>IF(ISERROR(VLOOKUP($D180,SITES!$A:$E,2,FALSE)),"",VLOOKUP($D180,SITES!$A:$E,2,FALSE))</f>
        <v>Dodger Channel</v>
      </c>
      <c r="F180" s="19">
        <f>IF(ISERROR(VLOOKUP($D180,SITES!$A:$E,3,FALSE)),"",VLOOKUP($D180,SITES!$A:$E,3,FALSE))</f>
        <v>48.828948974609297</v>
      </c>
      <c r="G180" s="22">
        <f>IF(ISERROR(VLOOKUP($D180,SITES!$A:$E,4,FALSE)),"",VLOOKUP($D180,SITES!$A:$E,4,FALSE))</f>
        <v>-125.19757080078099</v>
      </c>
      <c r="H180" s="23" t="str">
        <f t="shared" si="335"/>
        <v>4/25/2024</v>
      </c>
      <c r="I180" s="20">
        <f t="shared" ref="I180:N180" si="347">IF(ISERROR(I179),IF(ISERROR(I178),IF(ISERROR(I177),"BLANK",I177),I178),I179)</f>
        <v>3</v>
      </c>
      <c r="J180" s="20" t="str">
        <f t="shared" si="347"/>
        <v>NE</v>
      </c>
      <c r="K180" s="27">
        <f t="shared" si="347"/>
        <v>0.59513888888888888</v>
      </c>
      <c r="L180" s="20">
        <f t="shared" si="347"/>
        <v>6.5</v>
      </c>
      <c r="M180" s="20">
        <f t="shared" si="347"/>
        <v>2</v>
      </c>
      <c r="N180" s="20">
        <f t="shared" si="347"/>
        <v>1</v>
      </c>
      <c r="O180" s="20">
        <v>32</v>
      </c>
      <c r="P180" s="20" t="str">
        <f t="shared" ref="P180:P181" si="348">IF(ISERROR(P179),IF(ISERROR(P178),IF(ISERROR(P177),"BLANK",P177),P178),P179)</f>
        <v>mfra</v>
      </c>
      <c r="Q180" s="21" t="str">
        <f>IF($M180=1,IF(ISERROR(VLOOKUP($P180,'M1'!$A:$C,Q$2,FALSE)),"NOT PRESENT",VLOOKUP($P180,'M1'!$A:$C,Q$2,FALSE)),IF($M180=2,IF(ISERROR(VLOOKUP(DATA!$P180,'M2'!$A:$C,Q$2,FALSE)),"NOT PRESENT",VLOOKUP(DATA!$P180,'M2'!$A:$C,Q$2,FALSE)),IF($M180=0,IF(ISERROR(VLOOKUP($P180,'M1'!$A:$C,Q$2,FALSE)),IF(ISERROR(VLOOKUP(DATA!$P180,'M2'!$A:$C,Q$2,FALSE)),"NOT PRESENT",VLOOKUP(DATA!$P180,'M2'!$A:$C,Q$2,FALSE)),VLOOKUP($P180,'M1'!$A:$C,Q$2,FALSE)),"SPECIFY METHOD")))</f>
        <v>Mesocentrotus franciscanus</v>
      </c>
      <c r="R180" s="21" t="str">
        <f>IF($M180=1,IF(ISERROR(VLOOKUP($P180,'M1'!$A:$C,R$2,FALSE)),"NOT PRESENT",VLOOKUP($P180,'M1'!$A:$C,R$2,FALSE)),IF($M180=2,IF(ISERROR(VLOOKUP(DATA!$P180,'M2'!$A:$C,R$2,FALSE)),"NOT PRESENT",VLOOKUP(DATA!$P180,'M2'!$A:$C,R$2,FALSE)),IF($M180=0,IF(ISERROR(VLOOKUP($P180,'M1'!$A:$C,R$2,FALSE)),IF(ISERROR(VLOOKUP(DATA!$P180,'M2'!$A:$C,R$2,FALSE)),"NOT PRESENT",VLOOKUP(DATA!$P180,'M2'!$A:$C,R$2,FALSE)),VLOOKUP($P180,'M1'!$A:$C,R$2,FALSE)),"SPECIFY METHOD")))</f>
        <v>Red sea urchin</v>
      </c>
      <c r="S180" s="28">
        <f t="shared" si="3"/>
        <v>5</v>
      </c>
      <c r="T180" s="20">
        <v>0</v>
      </c>
      <c r="U180" s="20"/>
      <c r="V180" s="20">
        <v>1</v>
      </c>
      <c r="W180" s="20">
        <v>2</v>
      </c>
      <c r="X180" s="20">
        <v>2</v>
      </c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</row>
    <row r="181" spans="1:68" ht="12.75" customHeight="1">
      <c r="A181" s="21">
        <f t="shared" si="2"/>
        <v>179</v>
      </c>
      <c r="B181" s="20" t="str">
        <f t="shared" ref="B181:D181" si="349">IF(ISERROR(B180),IF(ISERROR(B179),IF(ISERROR(B178),"BLANK",B178),B179),B180)</f>
        <v>Isabelle Cote</v>
      </c>
      <c r="C181" s="20" t="str">
        <f t="shared" si="349"/>
        <v>Tom Bird</v>
      </c>
      <c r="D181" s="20" t="str">
        <f t="shared" si="349"/>
        <v>BMSC1</v>
      </c>
      <c r="E181" s="21" t="str">
        <f>IF(ISERROR(VLOOKUP($D181,SITES!$A:$E,2,FALSE)),"",VLOOKUP($D181,SITES!$A:$E,2,FALSE))</f>
        <v>Dodger Channel</v>
      </c>
      <c r="F181" s="19">
        <f>IF(ISERROR(VLOOKUP($D181,SITES!$A:$E,3,FALSE)),"",VLOOKUP($D181,SITES!$A:$E,3,FALSE))</f>
        <v>48.828948974609297</v>
      </c>
      <c r="G181" s="22">
        <f>IF(ISERROR(VLOOKUP($D181,SITES!$A:$E,4,FALSE)),"",VLOOKUP($D181,SITES!$A:$E,4,FALSE))</f>
        <v>-125.19757080078099</v>
      </c>
      <c r="H181" s="23" t="str">
        <f t="shared" si="335"/>
        <v>4/25/2024</v>
      </c>
      <c r="I181" s="20">
        <f t="shared" ref="I181:N181" si="350">IF(ISERROR(I180),IF(ISERROR(I179),IF(ISERROR(I178),"BLANK",I178),I179),I180)</f>
        <v>3</v>
      </c>
      <c r="J181" s="20" t="str">
        <f t="shared" si="350"/>
        <v>NE</v>
      </c>
      <c r="K181" s="27">
        <f t="shared" si="350"/>
        <v>0.59513888888888888</v>
      </c>
      <c r="L181" s="20">
        <f t="shared" si="350"/>
        <v>6.5</v>
      </c>
      <c r="M181" s="20">
        <f t="shared" si="350"/>
        <v>2</v>
      </c>
      <c r="N181" s="20">
        <f t="shared" si="350"/>
        <v>1</v>
      </c>
      <c r="O181" s="20">
        <v>16</v>
      </c>
      <c r="P181" s="20" t="str">
        <f t="shared" si="348"/>
        <v>mfra</v>
      </c>
      <c r="Q181" s="21" t="str">
        <f>IF($M181=1,IF(ISERROR(VLOOKUP($P181,'M1'!$A:$C,Q$2,FALSE)),"NOT PRESENT",VLOOKUP($P181,'M1'!$A:$C,Q$2,FALSE)),IF($M181=2,IF(ISERROR(VLOOKUP(DATA!$P181,'M2'!$A:$C,Q$2,FALSE)),"NOT PRESENT",VLOOKUP(DATA!$P181,'M2'!$A:$C,Q$2,FALSE)),IF($M181=0,IF(ISERROR(VLOOKUP($P181,'M1'!$A:$C,Q$2,FALSE)),IF(ISERROR(VLOOKUP(DATA!$P181,'M2'!$A:$C,Q$2,FALSE)),"NOT PRESENT",VLOOKUP(DATA!$P181,'M2'!$A:$C,Q$2,FALSE)),VLOOKUP($P181,'M1'!$A:$C,Q$2,FALSE)),"SPECIFY METHOD")))</f>
        <v>Mesocentrotus franciscanus</v>
      </c>
      <c r="R181" s="21" t="str">
        <f>IF($M181=1,IF(ISERROR(VLOOKUP($P181,'M1'!$A:$C,R$2,FALSE)),"NOT PRESENT",VLOOKUP($P181,'M1'!$A:$C,R$2,FALSE)),IF($M181=2,IF(ISERROR(VLOOKUP(DATA!$P181,'M2'!$A:$C,R$2,FALSE)),"NOT PRESENT",VLOOKUP(DATA!$P181,'M2'!$A:$C,R$2,FALSE)),IF($M181=0,IF(ISERROR(VLOOKUP($P181,'M1'!$A:$C,R$2,FALSE)),IF(ISERROR(VLOOKUP(DATA!$P181,'M2'!$A:$C,R$2,FALSE)),"NOT PRESENT",VLOOKUP(DATA!$P181,'M2'!$A:$C,R$2,FALSE)),VLOOKUP($P181,'M1'!$A:$C,R$2,FALSE)),"SPECIFY METHOD")))</f>
        <v>Red sea urchin</v>
      </c>
      <c r="S181" s="28">
        <f t="shared" si="3"/>
        <v>7</v>
      </c>
      <c r="T181" s="20">
        <v>0</v>
      </c>
      <c r="U181" s="20"/>
      <c r="V181" s="20"/>
      <c r="W181" s="20">
        <v>2</v>
      </c>
      <c r="X181" s="20">
        <v>3</v>
      </c>
      <c r="Y181" s="20">
        <v>2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</row>
    <row r="182" spans="1:68" ht="12.75" customHeight="1">
      <c r="A182" s="21">
        <f t="shared" si="2"/>
        <v>180</v>
      </c>
      <c r="B182" s="20" t="str">
        <f t="shared" ref="B182:C182" si="351">IF(ISERROR(B181),IF(ISERROR(B180),IF(ISERROR(B179),"BLANK",B179),B180),B181)</f>
        <v>Isabelle Cote</v>
      </c>
      <c r="C182" s="20" t="str">
        <f t="shared" si="351"/>
        <v>Tom Bird</v>
      </c>
      <c r="D182" s="20" t="s">
        <v>67</v>
      </c>
      <c r="E182" s="21" t="str">
        <f>IF(ISERROR(VLOOKUP($D182,SITES!$A:$E,2,FALSE)),"",VLOOKUP($D182,SITES!$A:$E,2,FALSE))</f>
        <v>Ed King SW Pyramid</v>
      </c>
      <c r="F182" s="19">
        <f>IF(ISERROR(VLOOKUP($D182,SITES!$A:$E,3,FALSE)),"",VLOOKUP($D182,SITES!$A:$E,3,FALSE))</f>
        <v>48.828601837158203</v>
      </c>
      <c r="G182" s="22">
        <f>IF(ISERROR(VLOOKUP($D182,SITES!$A:$E,4,FALSE)),"",VLOOKUP($D182,SITES!$A:$E,4,FALSE))</f>
        <v>-125.221298217773</v>
      </c>
      <c r="H182" s="23" t="str">
        <f t="shared" si="335"/>
        <v>4/25/2024</v>
      </c>
      <c r="I182" s="20">
        <v>3</v>
      </c>
      <c r="J182" s="20" t="s">
        <v>68</v>
      </c>
      <c r="K182" s="27">
        <v>0.50416666666666665</v>
      </c>
      <c r="L182" s="20">
        <v>8.5</v>
      </c>
      <c r="M182" s="20">
        <f>IF(ISERROR(M181),IF(ISERROR(M180),IF(ISERROR(M179),"BLANK",M179),M180),M181)</f>
        <v>2</v>
      </c>
      <c r="N182" s="20">
        <v>1</v>
      </c>
      <c r="O182" s="20">
        <v>0</v>
      </c>
      <c r="P182" s="20" t="s">
        <v>40</v>
      </c>
      <c r="Q182" s="21" t="str">
        <f>IF($M182=1,IF(ISERROR(VLOOKUP($P182,'M1'!$A:$C,Q$2,FALSE)),"NOT PRESENT",VLOOKUP($P182,'M1'!$A:$C,Q$2,FALSE)),IF($M182=2,IF(ISERROR(VLOOKUP(DATA!$P182,'M2'!$A:$C,Q$2,FALSE)),"NOT PRESENT",VLOOKUP(DATA!$P182,'M2'!$A:$C,Q$2,FALSE)),IF($M182=0,IF(ISERROR(VLOOKUP($P182,'M1'!$A:$C,Q$2,FALSE)),IF(ISERROR(VLOOKUP(DATA!$P182,'M2'!$A:$C,Q$2,FALSE)),"NOT PRESENT",VLOOKUP(DATA!$P182,'M2'!$A:$C,Q$2,FALSE)),VLOOKUP($P182,'M1'!$A:$C,Q$2,FALSE)),"SPECIFY METHOD")))</f>
        <v>Patiria miniata</v>
      </c>
      <c r="R182" s="21" t="str">
        <f>IF($M182=1,IF(ISERROR(VLOOKUP($P182,'M1'!$A:$C,R$2,FALSE)),"NOT PRESENT",VLOOKUP($P182,'M1'!$A:$C,R$2,FALSE)),IF($M182=2,IF(ISERROR(VLOOKUP(DATA!$P182,'M2'!$A:$C,R$2,FALSE)),"NOT PRESENT",VLOOKUP(DATA!$P182,'M2'!$A:$C,R$2,FALSE)),IF($M182=0,IF(ISERROR(VLOOKUP($P182,'M1'!$A:$C,R$2,FALSE)),IF(ISERROR(VLOOKUP(DATA!$P182,'M2'!$A:$C,R$2,FALSE)),"NOT PRESENT",VLOOKUP(DATA!$P182,'M2'!$A:$C,R$2,FALSE)),VLOOKUP($P182,'M1'!$A:$C,R$2,FALSE)),"SPECIFY METHOD")))</f>
        <v>Bat star</v>
      </c>
      <c r="S182" s="28">
        <f t="shared" si="3"/>
        <v>2</v>
      </c>
      <c r="T182" s="20">
        <v>0</v>
      </c>
      <c r="U182" s="20"/>
      <c r="V182" s="20"/>
      <c r="W182" s="20"/>
      <c r="X182" s="20"/>
      <c r="Y182" s="20">
        <v>2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</row>
    <row r="183" spans="1:68" ht="12.75" customHeight="1">
      <c r="A183" s="21">
        <f t="shared" si="2"/>
        <v>181</v>
      </c>
      <c r="B183" s="20" t="str">
        <f t="shared" ref="B183:D183" si="352">IF(ISERROR(B182),IF(ISERROR(B181),IF(ISERROR(B180),"BLANK",B180),B181),B182)</f>
        <v>Isabelle Cote</v>
      </c>
      <c r="C183" s="20" t="str">
        <f t="shared" si="352"/>
        <v>Tom Bird</v>
      </c>
      <c r="D183" s="20" t="str">
        <f t="shared" si="352"/>
        <v>BMSC19</v>
      </c>
      <c r="E183" s="21" t="str">
        <f>IF(ISERROR(VLOOKUP($D183,SITES!$A:$E,2,FALSE)),"",VLOOKUP($D183,SITES!$A:$E,2,FALSE))</f>
        <v>Ed King SW Pyramid</v>
      </c>
      <c r="F183" s="19">
        <f>IF(ISERROR(VLOOKUP($D183,SITES!$A:$E,3,FALSE)),"",VLOOKUP($D183,SITES!$A:$E,3,FALSE))</f>
        <v>48.828601837158203</v>
      </c>
      <c r="G183" s="22">
        <f>IF(ISERROR(VLOOKUP($D183,SITES!$A:$E,4,FALSE)),"",VLOOKUP($D183,SITES!$A:$E,4,FALSE))</f>
        <v>-125.221298217773</v>
      </c>
      <c r="H183" s="23" t="str">
        <f t="shared" si="335"/>
        <v>4/25/2024</v>
      </c>
      <c r="I183" s="20">
        <f t="shared" ref="I183:N183" si="353">IF(ISERROR(I182),IF(ISERROR(I181),IF(ISERROR(I180),"BLANK",I180),I181),I182)</f>
        <v>3</v>
      </c>
      <c r="J183" s="20" t="str">
        <f t="shared" si="353"/>
        <v>W</v>
      </c>
      <c r="K183" s="27">
        <f t="shared" si="353"/>
        <v>0.50416666666666665</v>
      </c>
      <c r="L183" s="20">
        <f t="shared" si="353"/>
        <v>8.5</v>
      </c>
      <c r="M183" s="20">
        <f t="shared" si="353"/>
        <v>2</v>
      </c>
      <c r="N183" s="20">
        <f t="shared" si="353"/>
        <v>1</v>
      </c>
      <c r="O183" s="20">
        <v>0</v>
      </c>
      <c r="P183" s="20" t="s">
        <v>39</v>
      </c>
      <c r="Q183" s="21" t="str">
        <f>IF($M183=1,IF(ISERROR(VLOOKUP($P183,'M1'!$A:$C,Q$2,FALSE)),"NOT PRESENT",VLOOKUP($P183,'M1'!$A:$C,Q$2,FALSE)),IF($M183=2,IF(ISERROR(VLOOKUP(DATA!$P183,'M2'!$A:$C,Q$2,FALSE)),"NOT PRESENT",VLOOKUP(DATA!$P183,'M2'!$A:$C,Q$2,FALSE)),IF($M183=0,IF(ISERROR(VLOOKUP($P183,'M1'!$A:$C,Q$2,FALSE)),IF(ISERROR(VLOOKUP(DATA!$P183,'M2'!$A:$C,Q$2,FALSE)),"NOT PRESENT",VLOOKUP(DATA!$P183,'M2'!$A:$C,Q$2,FALSE)),VLOOKUP($P183,'M1'!$A:$C,Q$2,FALSE)),"SPECIFY METHOD")))</f>
        <v>Dermasterias imbricata</v>
      </c>
      <c r="R183" s="21" t="str">
        <f>IF($M183=1,IF(ISERROR(VLOOKUP($P183,'M1'!$A:$C,R$2,FALSE)),"NOT PRESENT",VLOOKUP($P183,'M1'!$A:$C,R$2,FALSE)),IF($M183=2,IF(ISERROR(VLOOKUP(DATA!$P183,'M2'!$A:$C,R$2,FALSE)),"NOT PRESENT",VLOOKUP(DATA!$P183,'M2'!$A:$C,R$2,FALSE)),IF($M183=0,IF(ISERROR(VLOOKUP($P183,'M1'!$A:$C,R$2,FALSE)),IF(ISERROR(VLOOKUP(DATA!$P183,'M2'!$A:$C,R$2,FALSE)),"NOT PRESENT",VLOOKUP(DATA!$P183,'M2'!$A:$C,R$2,FALSE)),VLOOKUP($P183,'M1'!$A:$C,R$2,FALSE)),"SPECIFY METHOD")))</f>
        <v>Leather star</v>
      </c>
      <c r="S183" s="28">
        <f t="shared" si="3"/>
        <v>1</v>
      </c>
      <c r="T183" s="20">
        <v>0</v>
      </c>
      <c r="U183" s="20"/>
      <c r="V183" s="20"/>
      <c r="W183" s="20"/>
      <c r="X183" s="20"/>
      <c r="Y183" s="20"/>
      <c r="Z183" s="20">
        <v>1</v>
      </c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</row>
    <row r="184" spans="1:68" ht="12.75" customHeight="1">
      <c r="A184" s="21">
        <f t="shared" si="2"/>
        <v>182</v>
      </c>
      <c r="B184" s="20" t="str">
        <f t="shared" ref="B184:D184" si="354">IF(ISERROR(B183),IF(ISERROR(B182),IF(ISERROR(B181),"BLANK",B181),B182),B183)</f>
        <v>Isabelle Cote</v>
      </c>
      <c r="C184" s="20" t="str">
        <f t="shared" si="354"/>
        <v>Tom Bird</v>
      </c>
      <c r="D184" s="20" t="str">
        <f t="shared" si="354"/>
        <v>BMSC19</v>
      </c>
      <c r="E184" s="21" t="str">
        <f>IF(ISERROR(VLOOKUP($D184,SITES!$A:$E,2,FALSE)),"",VLOOKUP($D184,SITES!$A:$E,2,FALSE))</f>
        <v>Ed King SW Pyramid</v>
      </c>
      <c r="F184" s="19">
        <f>IF(ISERROR(VLOOKUP($D184,SITES!$A:$E,3,FALSE)),"",VLOOKUP($D184,SITES!$A:$E,3,FALSE))</f>
        <v>48.828601837158203</v>
      </c>
      <c r="G184" s="22">
        <f>IF(ISERROR(VLOOKUP($D184,SITES!$A:$E,4,FALSE)),"",VLOOKUP($D184,SITES!$A:$E,4,FALSE))</f>
        <v>-125.221298217773</v>
      </c>
      <c r="H184" s="23" t="str">
        <f t="shared" si="335"/>
        <v>4/25/2024</v>
      </c>
      <c r="I184" s="20">
        <f t="shared" ref="I184:N184" si="355">IF(ISERROR(I183),IF(ISERROR(I182),IF(ISERROR(I181),"BLANK",I181),I182),I183)</f>
        <v>3</v>
      </c>
      <c r="J184" s="20" t="str">
        <f t="shared" si="355"/>
        <v>W</v>
      </c>
      <c r="K184" s="27">
        <f t="shared" si="355"/>
        <v>0.50416666666666665</v>
      </c>
      <c r="L184" s="20">
        <f t="shared" si="355"/>
        <v>8.5</v>
      </c>
      <c r="M184" s="20">
        <f t="shared" si="355"/>
        <v>2</v>
      </c>
      <c r="N184" s="20">
        <f t="shared" si="355"/>
        <v>1</v>
      </c>
      <c r="O184" s="20">
        <v>0</v>
      </c>
      <c r="P184" s="20" t="s">
        <v>41</v>
      </c>
      <c r="Q184" s="21" t="str">
        <f>IF($M184=1,IF(ISERROR(VLOOKUP($P184,'M1'!$A:$C,Q$2,FALSE)),"NOT PRESENT",VLOOKUP($P184,'M1'!$A:$C,Q$2,FALSE)),IF($M184=2,IF(ISERROR(VLOOKUP(DATA!$P184,'M2'!$A:$C,Q$2,FALSE)),"NOT PRESENT",VLOOKUP(DATA!$P184,'M2'!$A:$C,Q$2,FALSE)),IF($M184=0,IF(ISERROR(VLOOKUP($P184,'M1'!$A:$C,Q$2,FALSE)),IF(ISERROR(VLOOKUP(DATA!$P184,'M2'!$A:$C,Q$2,FALSE)),"NOT PRESENT",VLOOKUP(DATA!$P184,'M2'!$A:$C,Q$2,FALSE)),VLOOKUP($P184,'M1'!$A:$C,Q$2,FALSE)),"SPECIFY METHOD")))</f>
        <v>Mesocentrotus franciscanus</v>
      </c>
      <c r="R184" s="21" t="str">
        <f>IF($M184=1,IF(ISERROR(VLOOKUP($P184,'M1'!$A:$C,R$2,FALSE)),"NOT PRESENT",VLOOKUP($P184,'M1'!$A:$C,R$2,FALSE)),IF($M184=2,IF(ISERROR(VLOOKUP(DATA!$P184,'M2'!$A:$C,R$2,FALSE)),"NOT PRESENT",VLOOKUP(DATA!$P184,'M2'!$A:$C,R$2,FALSE)),IF($M184=0,IF(ISERROR(VLOOKUP($P184,'M1'!$A:$C,R$2,FALSE)),IF(ISERROR(VLOOKUP(DATA!$P184,'M2'!$A:$C,R$2,FALSE)),"NOT PRESENT",VLOOKUP(DATA!$P184,'M2'!$A:$C,R$2,FALSE)),VLOOKUP($P184,'M1'!$A:$C,R$2,FALSE)),"SPECIFY METHOD")))</f>
        <v>Red sea urchin</v>
      </c>
      <c r="S184" s="28">
        <f t="shared" si="3"/>
        <v>6</v>
      </c>
      <c r="T184" s="20">
        <v>0</v>
      </c>
      <c r="U184" s="20"/>
      <c r="V184" s="20">
        <v>1</v>
      </c>
      <c r="W184" s="20">
        <v>2</v>
      </c>
      <c r="X184" s="20">
        <v>3</v>
      </c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</row>
    <row r="185" spans="1:68" ht="12.75" customHeight="1">
      <c r="A185" s="21">
        <f t="shared" si="2"/>
        <v>183</v>
      </c>
      <c r="B185" s="20" t="str">
        <f t="shared" ref="B185:D185" si="356">IF(ISERROR(B184),IF(ISERROR(B183),IF(ISERROR(B182),"BLANK",B182),B183),B184)</f>
        <v>Isabelle Cote</v>
      </c>
      <c r="C185" s="20" t="str">
        <f t="shared" si="356"/>
        <v>Tom Bird</v>
      </c>
      <c r="D185" s="20" t="str">
        <f t="shared" si="356"/>
        <v>BMSC19</v>
      </c>
      <c r="E185" s="21" t="str">
        <f>IF(ISERROR(VLOOKUP($D185,SITES!$A:$E,2,FALSE)),"",VLOOKUP($D185,SITES!$A:$E,2,FALSE))</f>
        <v>Ed King SW Pyramid</v>
      </c>
      <c r="F185" s="19">
        <f>IF(ISERROR(VLOOKUP($D185,SITES!$A:$E,3,FALSE)),"",VLOOKUP($D185,SITES!$A:$E,3,FALSE))</f>
        <v>48.828601837158203</v>
      </c>
      <c r="G185" s="22">
        <f>IF(ISERROR(VLOOKUP($D185,SITES!$A:$E,4,FALSE)),"",VLOOKUP($D185,SITES!$A:$E,4,FALSE))</f>
        <v>-125.221298217773</v>
      </c>
      <c r="H185" s="23" t="str">
        <f t="shared" si="335"/>
        <v>4/25/2024</v>
      </c>
      <c r="I185" s="20">
        <f t="shared" ref="I185:N185" si="357">IF(ISERROR(I184),IF(ISERROR(I183),IF(ISERROR(I182),"BLANK",I182),I183),I184)</f>
        <v>3</v>
      </c>
      <c r="J185" s="20" t="str">
        <f t="shared" si="357"/>
        <v>W</v>
      </c>
      <c r="K185" s="27">
        <f t="shared" si="357"/>
        <v>0.50416666666666665</v>
      </c>
      <c r="L185" s="20">
        <f t="shared" si="357"/>
        <v>8.5</v>
      </c>
      <c r="M185" s="20">
        <f t="shared" si="357"/>
        <v>2</v>
      </c>
      <c r="N185" s="20">
        <f t="shared" si="357"/>
        <v>1</v>
      </c>
      <c r="O185" s="20">
        <v>0</v>
      </c>
      <c r="P185" s="20" t="s">
        <v>65</v>
      </c>
      <c r="Q185" s="21" t="str">
        <f>IF($M185=1,IF(ISERROR(VLOOKUP($P185,'M1'!$A:$C,Q$2,FALSE)),"NOT PRESENT",VLOOKUP($P185,'M1'!$A:$C,Q$2,FALSE)),IF($M185=2,IF(ISERROR(VLOOKUP(DATA!$P185,'M2'!$A:$C,Q$2,FALSE)),"NOT PRESENT",VLOOKUP(DATA!$P185,'M2'!$A:$C,Q$2,FALSE)),IF($M185=0,IF(ISERROR(VLOOKUP($P185,'M1'!$A:$C,Q$2,FALSE)),IF(ISERROR(VLOOKUP(DATA!$P185,'M2'!$A:$C,Q$2,FALSE)),"NOT PRESENT",VLOOKUP(DATA!$P185,'M2'!$A:$C,Q$2,FALSE)),VLOOKUP($P185,'M1'!$A:$C,Q$2,FALSE)),"SPECIFY METHOD")))</f>
        <v>Strongylocentrotus purpuratus</v>
      </c>
      <c r="R185" s="21" t="str">
        <f>IF($M185=1,IF(ISERROR(VLOOKUP($P185,'M1'!$A:$C,R$2,FALSE)),"NOT PRESENT",VLOOKUP($P185,'M1'!$A:$C,R$2,FALSE)),IF($M185=2,IF(ISERROR(VLOOKUP(DATA!$P185,'M2'!$A:$C,R$2,FALSE)),"NOT PRESENT",VLOOKUP(DATA!$P185,'M2'!$A:$C,R$2,FALSE)),IF($M185=0,IF(ISERROR(VLOOKUP($P185,'M1'!$A:$C,R$2,FALSE)),IF(ISERROR(VLOOKUP(DATA!$P185,'M2'!$A:$C,R$2,FALSE)),"NOT PRESENT",VLOOKUP(DATA!$P185,'M2'!$A:$C,R$2,FALSE)),VLOOKUP($P185,'M1'!$A:$C,R$2,FALSE)),"SPECIFY METHOD")))</f>
        <v>Purple sea urchin (?)</v>
      </c>
      <c r="S185" s="28">
        <f t="shared" si="3"/>
        <v>1</v>
      </c>
      <c r="T185" s="20">
        <v>0</v>
      </c>
      <c r="U185" s="20"/>
      <c r="V185" s="20">
        <v>1</v>
      </c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</row>
    <row r="186" spans="1:68" ht="12.75" customHeight="1">
      <c r="A186" s="21">
        <f t="shared" si="2"/>
        <v>184</v>
      </c>
      <c r="B186" s="20" t="str">
        <f t="shared" ref="B186:D186" si="358">IF(ISERROR(B185),IF(ISERROR(B184),IF(ISERROR(B183),"BLANK",B183),B184),B185)</f>
        <v>Isabelle Cote</v>
      </c>
      <c r="C186" s="20" t="str">
        <f t="shared" si="358"/>
        <v>Tom Bird</v>
      </c>
      <c r="D186" s="20" t="str">
        <f t="shared" si="358"/>
        <v>BMSC19</v>
      </c>
      <c r="E186" s="21" t="str">
        <f>IF(ISERROR(VLOOKUP($D186,SITES!$A:$E,2,FALSE)),"",VLOOKUP($D186,SITES!$A:$E,2,FALSE))</f>
        <v>Ed King SW Pyramid</v>
      </c>
      <c r="F186" s="19">
        <f>IF(ISERROR(VLOOKUP($D186,SITES!$A:$E,3,FALSE)),"",VLOOKUP($D186,SITES!$A:$E,3,FALSE))</f>
        <v>48.828601837158203</v>
      </c>
      <c r="G186" s="22">
        <f>IF(ISERROR(VLOOKUP($D186,SITES!$A:$E,4,FALSE)),"",VLOOKUP($D186,SITES!$A:$E,4,FALSE))</f>
        <v>-125.221298217773</v>
      </c>
      <c r="H186" s="23" t="str">
        <f t="shared" si="335"/>
        <v>4/25/2024</v>
      </c>
      <c r="I186" s="20">
        <f t="shared" ref="I186:N186" si="359">IF(ISERROR(I185),IF(ISERROR(I184),IF(ISERROR(I183),"BLANK",I183),I184),I185)</f>
        <v>3</v>
      </c>
      <c r="J186" s="20" t="str">
        <f t="shared" si="359"/>
        <v>W</v>
      </c>
      <c r="K186" s="27">
        <f t="shared" si="359"/>
        <v>0.50416666666666665</v>
      </c>
      <c r="L186" s="20">
        <f t="shared" si="359"/>
        <v>8.5</v>
      </c>
      <c r="M186" s="20">
        <f t="shared" si="359"/>
        <v>2</v>
      </c>
      <c r="N186" s="20">
        <f t="shared" si="359"/>
        <v>1</v>
      </c>
      <c r="O186" s="20">
        <v>0</v>
      </c>
      <c r="P186" s="20" t="s">
        <v>38</v>
      </c>
      <c r="Q186" s="21" t="str">
        <f>IF($M186=1,IF(ISERROR(VLOOKUP($P186,'M1'!$A:$C,Q$2,FALSE)),"NOT PRESENT",VLOOKUP($P186,'M1'!$A:$C,Q$2,FALSE)),IF($M186=2,IF(ISERROR(VLOOKUP(DATA!$P186,'M2'!$A:$C,Q$2,FALSE)),"NOT PRESENT",VLOOKUP(DATA!$P186,'M2'!$A:$C,Q$2,FALSE)),IF($M186=0,IF(ISERROR(VLOOKUP($P186,'M1'!$A:$C,Q$2,FALSE)),IF(ISERROR(VLOOKUP(DATA!$P186,'M2'!$A:$C,Q$2,FALSE)),"NOT PRESENT",VLOOKUP(DATA!$P186,'M2'!$A:$C,Q$2,FALSE)),VLOOKUP($P186,'M1'!$A:$C,Q$2,FALSE)),"SPECIFY METHOD")))</f>
        <v>Pisaster ochraceus</v>
      </c>
      <c r="R186" s="21" t="str">
        <f>IF($M186=1,IF(ISERROR(VLOOKUP($P186,'M1'!$A:$C,R$2,FALSE)),"NOT PRESENT",VLOOKUP($P186,'M1'!$A:$C,R$2,FALSE)),IF($M186=2,IF(ISERROR(VLOOKUP(DATA!$P186,'M2'!$A:$C,R$2,FALSE)),"NOT PRESENT",VLOOKUP(DATA!$P186,'M2'!$A:$C,R$2,FALSE)),IF($M186=0,IF(ISERROR(VLOOKUP($P186,'M1'!$A:$C,R$2,FALSE)),IF(ISERROR(VLOOKUP(DATA!$P186,'M2'!$A:$C,R$2,FALSE)),"NOT PRESENT",VLOOKUP(DATA!$P186,'M2'!$A:$C,R$2,FALSE)),VLOOKUP($P186,'M1'!$A:$C,R$2,FALSE)),"SPECIFY METHOD")))</f>
        <v>Purple sea star</v>
      </c>
      <c r="S186" s="28">
        <f t="shared" si="3"/>
        <v>1</v>
      </c>
      <c r="T186" s="20">
        <v>0</v>
      </c>
      <c r="U186" s="20"/>
      <c r="V186" s="20"/>
      <c r="W186" s="20"/>
      <c r="X186" s="20"/>
      <c r="Y186" s="20"/>
      <c r="Z186" s="20"/>
      <c r="AA186" s="20"/>
      <c r="AB186" s="20">
        <v>1</v>
      </c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</row>
    <row r="187" spans="1:68" ht="12.75" customHeight="1">
      <c r="A187" s="21">
        <f t="shared" si="2"/>
        <v>185</v>
      </c>
      <c r="B187" s="20" t="str">
        <f t="shared" ref="B187:D187" si="360">IF(ISERROR(B186),IF(ISERROR(B185),IF(ISERROR(B184),"BLANK",B184),B185),B186)</f>
        <v>Isabelle Cote</v>
      </c>
      <c r="C187" s="20" t="str">
        <f t="shared" si="360"/>
        <v>Tom Bird</v>
      </c>
      <c r="D187" s="20" t="str">
        <f t="shared" si="360"/>
        <v>BMSC19</v>
      </c>
      <c r="E187" s="21" t="str">
        <f>IF(ISERROR(VLOOKUP($D187,SITES!$A:$E,2,FALSE)),"",VLOOKUP($D187,SITES!$A:$E,2,FALSE))</f>
        <v>Ed King SW Pyramid</v>
      </c>
      <c r="F187" s="19">
        <f>IF(ISERROR(VLOOKUP($D187,SITES!$A:$E,3,FALSE)),"",VLOOKUP($D187,SITES!$A:$E,3,FALSE))</f>
        <v>48.828601837158203</v>
      </c>
      <c r="G187" s="22">
        <f>IF(ISERROR(VLOOKUP($D187,SITES!$A:$E,4,FALSE)),"",VLOOKUP($D187,SITES!$A:$E,4,FALSE))</f>
        <v>-125.221298217773</v>
      </c>
      <c r="H187" s="23" t="str">
        <f t="shared" si="335"/>
        <v>4/25/2024</v>
      </c>
      <c r="I187" s="20">
        <f t="shared" ref="I187:M187" si="361">IF(ISERROR(I186),IF(ISERROR(I185),IF(ISERROR(I184),"BLANK",I184),I185),I186)</f>
        <v>3</v>
      </c>
      <c r="J187" s="20" t="str">
        <f t="shared" si="361"/>
        <v>W</v>
      </c>
      <c r="K187" s="27">
        <f t="shared" si="361"/>
        <v>0.50416666666666665</v>
      </c>
      <c r="L187" s="20">
        <f t="shared" si="361"/>
        <v>8.5</v>
      </c>
      <c r="M187" s="20">
        <f t="shared" si="361"/>
        <v>2</v>
      </c>
      <c r="N187" s="20">
        <v>2</v>
      </c>
      <c r="O187" s="20">
        <v>8</v>
      </c>
      <c r="P187" s="20" t="s">
        <v>41</v>
      </c>
      <c r="Q187" s="21" t="s">
        <v>69</v>
      </c>
      <c r="R187" s="21" t="str">
        <f>IF($M187=1,IF(ISERROR(VLOOKUP($P187,'M1'!$A:$C,R$2,FALSE)),"NOT PRESENT",VLOOKUP($P187,'M1'!$A:$C,R$2,FALSE)),IF($M187=2,IF(ISERROR(VLOOKUP(DATA!$P187,'M2'!$A:$C,R$2,FALSE)),"NOT PRESENT",VLOOKUP(DATA!$P187,'M2'!$A:$C,R$2,FALSE)),IF($M187=0,IF(ISERROR(VLOOKUP($P187,'M1'!$A:$C,R$2,FALSE)),IF(ISERROR(VLOOKUP(DATA!$P187,'M2'!$A:$C,R$2,FALSE)),"NOT PRESENT",VLOOKUP(DATA!$P187,'M2'!$A:$C,R$2,FALSE)),VLOOKUP($P187,'M1'!$A:$C,R$2,FALSE)),"SPECIFY METHOD")))</f>
        <v>Red sea urchin</v>
      </c>
      <c r="S187" s="28">
        <f t="shared" si="3"/>
        <v>9</v>
      </c>
      <c r="T187" s="20">
        <v>0</v>
      </c>
      <c r="U187" s="20"/>
      <c r="V187" s="20"/>
      <c r="W187" s="20">
        <v>3</v>
      </c>
      <c r="X187" s="20">
        <v>5</v>
      </c>
      <c r="Y187" s="20">
        <v>1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</row>
    <row r="188" spans="1:68" ht="12.75" customHeight="1">
      <c r="A188" s="21">
        <f t="shared" si="2"/>
        <v>186</v>
      </c>
      <c r="B188" s="20" t="str">
        <f t="shared" ref="B188:D188" si="362">IF(ISERROR(B187),IF(ISERROR(B186),IF(ISERROR(B185),"BLANK",B185),B186),B187)</f>
        <v>Isabelle Cote</v>
      </c>
      <c r="C188" s="20" t="str">
        <f t="shared" si="362"/>
        <v>Tom Bird</v>
      </c>
      <c r="D188" s="20" t="str">
        <f t="shared" si="362"/>
        <v>BMSC19</v>
      </c>
      <c r="E188" s="21" t="str">
        <f>IF(ISERROR(VLOOKUP($D188,SITES!$A:$E,2,FALSE)),"",VLOOKUP($D188,SITES!$A:$E,2,FALSE))</f>
        <v>Ed King SW Pyramid</v>
      </c>
      <c r="F188" s="19">
        <f>IF(ISERROR(VLOOKUP($D188,SITES!$A:$E,3,FALSE)),"",VLOOKUP($D188,SITES!$A:$E,3,FALSE))</f>
        <v>48.828601837158203</v>
      </c>
      <c r="G188" s="22">
        <f>IF(ISERROR(VLOOKUP($D188,SITES!$A:$E,4,FALSE)),"",VLOOKUP($D188,SITES!$A:$E,4,FALSE))</f>
        <v>-125.221298217773</v>
      </c>
      <c r="H188" s="23" t="str">
        <f t="shared" si="335"/>
        <v>4/25/2024</v>
      </c>
      <c r="I188" s="20">
        <f t="shared" ref="I188:N188" si="363">IF(ISERROR(I187),IF(ISERROR(I186),IF(ISERROR(I185),"BLANK",I185),I186),I187)</f>
        <v>3</v>
      </c>
      <c r="J188" s="20" t="str">
        <f t="shared" si="363"/>
        <v>W</v>
      </c>
      <c r="K188" s="27">
        <f t="shared" si="363"/>
        <v>0.50416666666666665</v>
      </c>
      <c r="L188" s="20">
        <f t="shared" si="363"/>
        <v>8.5</v>
      </c>
      <c r="M188" s="20">
        <f t="shared" si="363"/>
        <v>2</v>
      </c>
      <c r="N188" s="20">
        <f t="shared" si="363"/>
        <v>2</v>
      </c>
      <c r="O188" s="20">
        <v>8</v>
      </c>
      <c r="P188" s="20" t="s">
        <v>38</v>
      </c>
      <c r="Q188" s="21" t="str">
        <f>IF($M188=1,IF(ISERROR(VLOOKUP($P188,'M1'!$A:$C,Q$2,FALSE)),"NOT PRESENT",VLOOKUP($P188,'M1'!$A:$C,Q$2,FALSE)),IF($M188=2,IF(ISERROR(VLOOKUP(DATA!$P188,'M2'!$A:$C,Q$2,FALSE)),"NOT PRESENT",VLOOKUP(DATA!$P188,'M2'!$A:$C,Q$2,FALSE)),IF($M188=0,IF(ISERROR(VLOOKUP($P188,'M1'!$A:$C,Q$2,FALSE)),IF(ISERROR(VLOOKUP(DATA!$P188,'M2'!$A:$C,Q$2,FALSE)),"NOT PRESENT",VLOOKUP(DATA!$P188,'M2'!$A:$C,Q$2,FALSE)),VLOOKUP($P188,'M1'!$A:$C,Q$2,FALSE)),"SPECIFY METHOD")))</f>
        <v>Pisaster ochraceus</v>
      </c>
      <c r="R188" s="21" t="str">
        <f>IF($M188=1,IF(ISERROR(VLOOKUP($P188,'M1'!$A:$C,R$2,FALSE)),"NOT PRESENT",VLOOKUP($P188,'M1'!$A:$C,R$2,FALSE)),IF($M188=2,IF(ISERROR(VLOOKUP(DATA!$P188,'M2'!$A:$C,R$2,FALSE)),"NOT PRESENT",VLOOKUP(DATA!$P188,'M2'!$A:$C,R$2,FALSE)),IF($M188=0,IF(ISERROR(VLOOKUP($P188,'M1'!$A:$C,R$2,FALSE)),IF(ISERROR(VLOOKUP(DATA!$P188,'M2'!$A:$C,R$2,FALSE)),"NOT PRESENT",VLOOKUP(DATA!$P188,'M2'!$A:$C,R$2,FALSE)),VLOOKUP($P188,'M1'!$A:$C,R$2,FALSE)),"SPECIFY METHOD")))</f>
        <v>Purple sea star</v>
      </c>
      <c r="S188" s="28">
        <f t="shared" si="3"/>
        <v>1</v>
      </c>
      <c r="T188" s="20">
        <v>0</v>
      </c>
      <c r="U188" s="20"/>
      <c r="V188" s="20"/>
      <c r="W188" s="20"/>
      <c r="X188" s="20"/>
      <c r="Y188" s="20"/>
      <c r="Z188" s="20"/>
      <c r="AA188" s="20"/>
      <c r="AB188" s="20">
        <v>1</v>
      </c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</row>
    <row r="189" spans="1:68" ht="12.75" customHeight="1">
      <c r="A189" s="21">
        <f t="shared" si="2"/>
        <v>187</v>
      </c>
      <c r="B189" s="20" t="str">
        <f t="shared" ref="B189:D189" si="364">IF(ISERROR(B188),IF(ISERROR(B187),IF(ISERROR(B186),"BLANK",B186),B187),B188)</f>
        <v>Isabelle Cote</v>
      </c>
      <c r="C189" s="20" t="str">
        <f t="shared" si="364"/>
        <v>Tom Bird</v>
      </c>
      <c r="D189" s="20" t="str">
        <f t="shared" si="364"/>
        <v>BMSC19</v>
      </c>
      <c r="E189" s="21" t="str">
        <f>IF(ISERROR(VLOOKUP($D189,SITES!$A:$E,2,FALSE)),"",VLOOKUP($D189,SITES!$A:$E,2,FALSE))</f>
        <v>Ed King SW Pyramid</v>
      </c>
      <c r="F189" s="19">
        <f>IF(ISERROR(VLOOKUP($D189,SITES!$A:$E,3,FALSE)),"",VLOOKUP($D189,SITES!$A:$E,3,FALSE))</f>
        <v>48.828601837158203</v>
      </c>
      <c r="G189" s="22">
        <f>IF(ISERROR(VLOOKUP($D189,SITES!$A:$E,4,FALSE)),"",VLOOKUP($D189,SITES!$A:$E,4,FALSE))</f>
        <v>-125.221298217773</v>
      </c>
      <c r="H189" s="23" t="str">
        <f t="shared" si="335"/>
        <v>4/25/2024</v>
      </c>
      <c r="I189" s="20">
        <f t="shared" ref="I189:M189" si="365">IF(ISERROR(I188),IF(ISERROR(I187),IF(ISERROR(I186),"BLANK",I186),I187),I188)</f>
        <v>3</v>
      </c>
      <c r="J189" s="20" t="str">
        <f t="shared" si="365"/>
        <v>W</v>
      </c>
      <c r="K189" s="27">
        <f t="shared" si="365"/>
        <v>0.50416666666666665</v>
      </c>
      <c r="L189" s="20">
        <f t="shared" si="365"/>
        <v>8.5</v>
      </c>
      <c r="M189" s="20">
        <f t="shared" si="365"/>
        <v>2</v>
      </c>
      <c r="N189" s="20">
        <v>1</v>
      </c>
      <c r="O189" s="20">
        <v>16</v>
      </c>
      <c r="P189" s="20" t="s">
        <v>41</v>
      </c>
      <c r="Q189" s="21" t="str">
        <f>IF($M189=1,IF(ISERROR(VLOOKUP($P189,'M1'!$A:$C,Q$2,FALSE)),"NOT PRESENT",VLOOKUP($P189,'M1'!$A:$C,Q$2,FALSE)),IF($M189=2,IF(ISERROR(VLOOKUP(DATA!$P189,'M2'!$A:$C,Q$2,FALSE)),"NOT PRESENT",VLOOKUP(DATA!$P189,'M2'!$A:$C,Q$2,FALSE)),IF($M189=0,IF(ISERROR(VLOOKUP($P189,'M1'!$A:$C,Q$2,FALSE)),IF(ISERROR(VLOOKUP(DATA!$P189,'M2'!$A:$C,Q$2,FALSE)),"NOT PRESENT",VLOOKUP(DATA!$P189,'M2'!$A:$C,Q$2,FALSE)),VLOOKUP($P189,'M1'!$A:$C,Q$2,FALSE)),"SPECIFY METHOD")))</f>
        <v>Mesocentrotus franciscanus</v>
      </c>
      <c r="R189" s="21" t="str">
        <f>IF($M189=1,IF(ISERROR(VLOOKUP($P189,'M1'!$A:$C,R$2,FALSE)),"NOT PRESENT",VLOOKUP($P189,'M1'!$A:$C,R$2,FALSE)),IF($M189=2,IF(ISERROR(VLOOKUP(DATA!$P189,'M2'!$A:$C,R$2,FALSE)),"NOT PRESENT",VLOOKUP(DATA!$P189,'M2'!$A:$C,R$2,FALSE)),IF($M189=0,IF(ISERROR(VLOOKUP($P189,'M1'!$A:$C,R$2,FALSE)),IF(ISERROR(VLOOKUP(DATA!$P189,'M2'!$A:$C,R$2,FALSE)),"NOT PRESENT",VLOOKUP(DATA!$P189,'M2'!$A:$C,R$2,FALSE)),VLOOKUP($P189,'M1'!$A:$C,R$2,FALSE)),"SPECIFY METHOD")))</f>
        <v>Red sea urchin</v>
      </c>
      <c r="S189" s="28">
        <f t="shared" si="3"/>
        <v>4</v>
      </c>
      <c r="T189" s="20">
        <v>0</v>
      </c>
      <c r="U189" s="20"/>
      <c r="V189" s="20">
        <v>1</v>
      </c>
      <c r="W189" s="20">
        <v>1</v>
      </c>
      <c r="X189" s="20">
        <v>2</v>
      </c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</row>
    <row r="190" spans="1:68" ht="12.75" customHeight="1">
      <c r="A190" s="21">
        <f t="shared" si="2"/>
        <v>188</v>
      </c>
      <c r="B190" s="20" t="str">
        <f t="shared" ref="B190:D190" si="366">IF(ISERROR(B189),IF(ISERROR(B188),IF(ISERROR(B187),"BLANK",B187),B188),B189)</f>
        <v>Isabelle Cote</v>
      </c>
      <c r="C190" s="20" t="str">
        <f t="shared" si="366"/>
        <v>Tom Bird</v>
      </c>
      <c r="D190" s="20" t="str">
        <f t="shared" si="366"/>
        <v>BMSC19</v>
      </c>
      <c r="E190" s="21" t="str">
        <f>IF(ISERROR(VLOOKUP($D190,SITES!$A:$E,2,FALSE)),"",VLOOKUP($D190,SITES!$A:$E,2,FALSE))</f>
        <v>Ed King SW Pyramid</v>
      </c>
      <c r="F190" s="19">
        <f>IF(ISERROR(VLOOKUP($D190,SITES!$A:$E,3,FALSE)),"",VLOOKUP($D190,SITES!$A:$E,3,FALSE))</f>
        <v>48.828601837158203</v>
      </c>
      <c r="G190" s="22">
        <f>IF(ISERROR(VLOOKUP($D190,SITES!$A:$E,4,FALSE)),"",VLOOKUP($D190,SITES!$A:$E,4,FALSE))</f>
        <v>-125.221298217773</v>
      </c>
      <c r="H190" s="23" t="str">
        <f t="shared" si="335"/>
        <v>4/25/2024</v>
      </c>
      <c r="I190" s="20">
        <f t="shared" ref="I190:N190" si="367">IF(ISERROR(I189),IF(ISERROR(I188),IF(ISERROR(I187),"BLANK",I187),I188),I189)</f>
        <v>3</v>
      </c>
      <c r="J190" s="20" t="str">
        <f t="shared" si="367"/>
        <v>W</v>
      </c>
      <c r="K190" s="27">
        <f t="shared" si="367"/>
        <v>0.50416666666666665</v>
      </c>
      <c r="L190" s="20">
        <f t="shared" si="367"/>
        <v>8.5</v>
      </c>
      <c r="M190" s="20">
        <f t="shared" si="367"/>
        <v>2</v>
      </c>
      <c r="N190" s="20">
        <f t="shared" si="367"/>
        <v>1</v>
      </c>
      <c r="O190" s="20">
        <v>16</v>
      </c>
      <c r="P190" s="20" t="s">
        <v>65</v>
      </c>
      <c r="Q190" s="21" t="str">
        <f>IF($M190=1,IF(ISERROR(VLOOKUP($P190,'M1'!$A:$C,Q$2,FALSE)),"NOT PRESENT",VLOOKUP($P190,'M1'!$A:$C,Q$2,FALSE)),IF($M190=2,IF(ISERROR(VLOOKUP(DATA!$P190,'M2'!$A:$C,Q$2,FALSE)),"NOT PRESENT",VLOOKUP(DATA!$P190,'M2'!$A:$C,Q$2,FALSE)),IF($M190=0,IF(ISERROR(VLOOKUP($P190,'M1'!$A:$C,Q$2,FALSE)),IF(ISERROR(VLOOKUP(DATA!$P190,'M2'!$A:$C,Q$2,FALSE)),"NOT PRESENT",VLOOKUP(DATA!$P190,'M2'!$A:$C,Q$2,FALSE)),VLOOKUP($P190,'M1'!$A:$C,Q$2,FALSE)),"SPECIFY METHOD")))</f>
        <v>Strongylocentrotus purpuratus</v>
      </c>
      <c r="R190" s="21" t="str">
        <f>IF($M190=1,IF(ISERROR(VLOOKUP($P190,'M1'!$A:$C,R$2,FALSE)),"NOT PRESENT",VLOOKUP($P190,'M1'!$A:$C,R$2,FALSE)),IF($M190=2,IF(ISERROR(VLOOKUP(DATA!$P190,'M2'!$A:$C,R$2,FALSE)),"NOT PRESENT",VLOOKUP(DATA!$P190,'M2'!$A:$C,R$2,FALSE)),IF($M190=0,IF(ISERROR(VLOOKUP($P190,'M1'!$A:$C,R$2,FALSE)),IF(ISERROR(VLOOKUP(DATA!$P190,'M2'!$A:$C,R$2,FALSE)),"NOT PRESENT",VLOOKUP(DATA!$P190,'M2'!$A:$C,R$2,FALSE)),VLOOKUP($P190,'M1'!$A:$C,R$2,FALSE)),"SPECIFY METHOD")))</f>
        <v>Purple sea urchin (?)</v>
      </c>
      <c r="S190" s="28">
        <f t="shared" si="3"/>
        <v>1</v>
      </c>
      <c r="T190" s="20">
        <v>0</v>
      </c>
      <c r="U190" s="20"/>
      <c r="V190" s="20"/>
      <c r="W190" s="20"/>
      <c r="X190" s="20">
        <v>1</v>
      </c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</row>
    <row r="191" spans="1:68" ht="12.75" customHeight="1">
      <c r="A191" s="21">
        <f t="shared" si="2"/>
        <v>189</v>
      </c>
      <c r="B191" s="20" t="str">
        <f t="shared" ref="B191:D191" si="368">IF(ISERROR(B190),IF(ISERROR(B189),IF(ISERROR(B188),"BLANK",B188),B189),B190)</f>
        <v>Isabelle Cote</v>
      </c>
      <c r="C191" s="20" t="str">
        <f t="shared" si="368"/>
        <v>Tom Bird</v>
      </c>
      <c r="D191" s="20" t="str">
        <f t="shared" si="368"/>
        <v>BMSC19</v>
      </c>
      <c r="E191" s="21" t="str">
        <f>IF(ISERROR(VLOOKUP($D191,SITES!$A:$E,2,FALSE)),"",VLOOKUP($D191,SITES!$A:$E,2,FALSE))</f>
        <v>Ed King SW Pyramid</v>
      </c>
      <c r="F191" s="19">
        <f>IF(ISERROR(VLOOKUP($D191,SITES!$A:$E,3,FALSE)),"",VLOOKUP($D191,SITES!$A:$E,3,FALSE))</f>
        <v>48.828601837158203</v>
      </c>
      <c r="G191" s="22">
        <f>IF(ISERROR(VLOOKUP($D191,SITES!$A:$E,4,FALSE)),"",VLOOKUP($D191,SITES!$A:$E,4,FALSE))</f>
        <v>-125.221298217773</v>
      </c>
      <c r="H191" s="23" t="str">
        <f t="shared" si="335"/>
        <v>4/25/2024</v>
      </c>
      <c r="I191" s="20">
        <f t="shared" ref="I191:N191" si="369">IF(ISERROR(I190),IF(ISERROR(I189),IF(ISERROR(I188),"BLANK",I188),I189),I190)</f>
        <v>3</v>
      </c>
      <c r="J191" s="20" t="str">
        <f t="shared" si="369"/>
        <v>W</v>
      </c>
      <c r="K191" s="27">
        <f t="shared" si="369"/>
        <v>0.50416666666666665</v>
      </c>
      <c r="L191" s="20">
        <f t="shared" si="369"/>
        <v>8.5</v>
      </c>
      <c r="M191" s="20">
        <f t="shared" si="369"/>
        <v>2</v>
      </c>
      <c r="N191" s="20">
        <f t="shared" si="369"/>
        <v>1</v>
      </c>
      <c r="O191" s="20">
        <v>16</v>
      </c>
      <c r="P191" s="20" t="s">
        <v>38</v>
      </c>
      <c r="Q191" s="21" t="str">
        <f>IF($M191=1,IF(ISERROR(VLOOKUP($P191,'M1'!$A:$C,Q$2,FALSE)),"NOT PRESENT",VLOOKUP($P191,'M1'!$A:$C,Q$2,FALSE)),IF($M191=2,IF(ISERROR(VLOOKUP(DATA!$P191,'M2'!$A:$C,Q$2,FALSE)),"NOT PRESENT",VLOOKUP(DATA!$P191,'M2'!$A:$C,Q$2,FALSE)),IF($M191=0,IF(ISERROR(VLOOKUP($P191,'M1'!$A:$C,Q$2,FALSE)),IF(ISERROR(VLOOKUP(DATA!$P191,'M2'!$A:$C,Q$2,FALSE)),"NOT PRESENT",VLOOKUP(DATA!$P191,'M2'!$A:$C,Q$2,FALSE)),VLOOKUP($P191,'M1'!$A:$C,Q$2,FALSE)),"SPECIFY METHOD")))</f>
        <v>Pisaster ochraceus</v>
      </c>
      <c r="R191" s="21" t="str">
        <f>IF($M191=1,IF(ISERROR(VLOOKUP($P191,'M1'!$A:$C,R$2,FALSE)),"NOT PRESENT",VLOOKUP($P191,'M1'!$A:$C,R$2,FALSE)),IF($M191=2,IF(ISERROR(VLOOKUP(DATA!$P191,'M2'!$A:$C,R$2,FALSE)),"NOT PRESENT",VLOOKUP(DATA!$P191,'M2'!$A:$C,R$2,FALSE)),IF($M191=0,IF(ISERROR(VLOOKUP($P191,'M1'!$A:$C,R$2,FALSE)),IF(ISERROR(VLOOKUP(DATA!$P191,'M2'!$A:$C,R$2,FALSE)),"NOT PRESENT",VLOOKUP(DATA!$P191,'M2'!$A:$C,R$2,FALSE)),VLOOKUP($P191,'M1'!$A:$C,R$2,FALSE)),"SPECIFY METHOD")))</f>
        <v>Purple sea star</v>
      </c>
      <c r="S191" s="28">
        <f t="shared" si="3"/>
        <v>2</v>
      </c>
      <c r="T191" s="20">
        <v>0</v>
      </c>
      <c r="U191" s="20"/>
      <c r="V191" s="20"/>
      <c r="W191" s="20"/>
      <c r="X191" s="20"/>
      <c r="Y191" s="20"/>
      <c r="Z191" s="20"/>
      <c r="AA191" s="20"/>
      <c r="AB191" s="20">
        <v>1</v>
      </c>
      <c r="AC191" s="20">
        <v>1</v>
      </c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</row>
    <row r="192" spans="1:68" ht="12.75" customHeight="1">
      <c r="A192" s="21">
        <f t="shared" si="2"/>
        <v>190</v>
      </c>
      <c r="B192" s="20" t="str">
        <f t="shared" ref="B192:D192" si="370">IF(ISERROR(B191),IF(ISERROR(B190),IF(ISERROR(B189),"BLANK",B189),B190),B191)</f>
        <v>Isabelle Cote</v>
      </c>
      <c r="C192" s="20" t="str">
        <f t="shared" si="370"/>
        <v>Tom Bird</v>
      </c>
      <c r="D192" s="20" t="str">
        <f t="shared" si="370"/>
        <v>BMSC19</v>
      </c>
      <c r="E192" s="21" t="str">
        <f>IF(ISERROR(VLOOKUP($D192,SITES!$A:$E,2,FALSE)),"",VLOOKUP($D192,SITES!$A:$E,2,FALSE))</f>
        <v>Ed King SW Pyramid</v>
      </c>
      <c r="F192" s="19">
        <f>IF(ISERROR(VLOOKUP($D192,SITES!$A:$E,3,FALSE)),"",VLOOKUP($D192,SITES!$A:$E,3,FALSE))</f>
        <v>48.828601837158203</v>
      </c>
      <c r="G192" s="22">
        <f>IF(ISERROR(VLOOKUP($D192,SITES!$A:$E,4,FALSE)),"",VLOOKUP($D192,SITES!$A:$E,4,FALSE))</f>
        <v>-125.221298217773</v>
      </c>
      <c r="H192" s="23" t="str">
        <f t="shared" si="335"/>
        <v>4/25/2024</v>
      </c>
      <c r="I192" s="20">
        <f t="shared" ref="I192:M192" si="371">IF(ISERROR(I191),IF(ISERROR(I190),IF(ISERROR(I189),"BLANK",I189),I190),I191)</f>
        <v>3</v>
      </c>
      <c r="J192" s="20" t="str">
        <f t="shared" si="371"/>
        <v>W</v>
      </c>
      <c r="K192" s="27">
        <f t="shared" si="371"/>
        <v>0.50416666666666665</v>
      </c>
      <c r="L192" s="20">
        <f t="shared" si="371"/>
        <v>8.5</v>
      </c>
      <c r="M192" s="20">
        <f t="shared" si="371"/>
        <v>2</v>
      </c>
      <c r="N192" s="20">
        <v>2</v>
      </c>
      <c r="O192" s="20">
        <v>24</v>
      </c>
      <c r="P192" s="20" t="s">
        <v>41</v>
      </c>
      <c r="Q192" s="21" t="str">
        <f>IF($M192=1,IF(ISERROR(VLOOKUP($P192,'M1'!$A:$C,Q$2,FALSE)),"NOT PRESENT",VLOOKUP($P192,'M1'!$A:$C,Q$2,FALSE)),IF($M192=2,IF(ISERROR(VLOOKUP(DATA!$P192,'M2'!$A:$C,Q$2,FALSE)),"NOT PRESENT",VLOOKUP(DATA!$P192,'M2'!$A:$C,Q$2,FALSE)),IF($M192=0,IF(ISERROR(VLOOKUP($P192,'M1'!$A:$C,Q$2,FALSE)),IF(ISERROR(VLOOKUP(DATA!$P192,'M2'!$A:$C,Q$2,FALSE)),"NOT PRESENT",VLOOKUP(DATA!$P192,'M2'!$A:$C,Q$2,FALSE)),VLOOKUP($P192,'M1'!$A:$C,Q$2,FALSE)),"SPECIFY METHOD")))</f>
        <v>Mesocentrotus franciscanus</v>
      </c>
      <c r="R192" s="21" t="str">
        <f>IF($M192=1,IF(ISERROR(VLOOKUP($P192,'M1'!$A:$C,R$2,FALSE)),"NOT PRESENT",VLOOKUP($P192,'M1'!$A:$C,R$2,FALSE)),IF($M192=2,IF(ISERROR(VLOOKUP(DATA!$P192,'M2'!$A:$C,R$2,FALSE)),"NOT PRESENT",VLOOKUP(DATA!$P192,'M2'!$A:$C,R$2,FALSE)),IF($M192=0,IF(ISERROR(VLOOKUP($P192,'M1'!$A:$C,R$2,FALSE)),IF(ISERROR(VLOOKUP(DATA!$P192,'M2'!$A:$C,R$2,FALSE)),"NOT PRESENT",VLOOKUP(DATA!$P192,'M2'!$A:$C,R$2,FALSE)),VLOOKUP($P192,'M1'!$A:$C,R$2,FALSE)),"SPECIFY METHOD")))</f>
        <v>Red sea urchin</v>
      </c>
      <c r="S192" s="28">
        <f t="shared" si="3"/>
        <v>10</v>
      </c>
      <c r="T192" s="20">
        <v>0</v>
      </c>
      <c r="U192" s="20"/>
      <c r="V192" s="20">
        <v>2</v>
      </c>
      <c r="W192" s="20">
        <v>3</v>
      </c>
      <c r="X192" s="20">
        <v>3</v>
      </c>
      <c r="Y192" s="20">
        <v>2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</row>
    <row r="193" spans="1:68" ht="12.75" customHeight="1">
      <c r="A193" s="21">
        <f t="shared" si="2"/>
        <v>191</v>
      </c>
      <c r="B193" s="20" t="str">
        <f t="shared" ref="B193:D193" si="372">IF(ISERROR(B192),IF(ISERROR(B191),IF(ISERROR(B190),"BLANK",B190),B191),B192)</f>
        <v>Isabelle Cote</v>
      </c>
      <c r="C193" s="20" t="str">
        <f t="shared" si="372"/>
        <v>Tom Bird</v>
      </c>
      <c r="D193" s="20" t="str">
        <f t="shared" si="372"/>
        <v>BMSC19</v>
      </c>
      <c r="E193" s="21" t="str">
        <f>IF(ISERROR(VLOOKUP($D193,SITES!$A:$E,2,FALSE)),"",VLOOKUP($D193,SITES!$A:$E,2,FALSE))</f>
        <v>Ed King SW Pyramid</v>
      </c>
      <c r="F193" s="19">
        <f>IF(ISERROR(VLOOKUP($D193,SITES!$A:$E,3,FALSE)),"",VLOOKUP($D193,SITES!$A:$E,3,FALSE))</f>
        <v>48.828601837158203</v>
      </c>
      <c r="G193" s="22">
        <f>IF(ISERROR(VLOOKUP($D193,SITES!$A:$E,4,FALSE)),"",VLOOKUP($D193,SITES!$A:$E,4,FALSE))</f>
        <v>-125.221298217773</v>
      </c>
      <c r="H193" s="23" t="str">
        <f t="shared" si="335"/>
        <v>4/25/2024</v>
      </c>
      <c r="I193" s="20">
        <f t="shared" ref="I193:N193" si="373">IF(ISERROR(I192),IF(ISERROR(I191),IF(ISERROR(I190),"BLANK",I190),I191),I192)</f>
        <v>3</v>
      </c>
      <c r="J193" s="20" t="str">
        <f t="shared" si="373"/>
        <v>W</v>
      </c>
      <c r="K193" s="27">
        <f t="shared" si="373"/>
        <v>0.50416666666666665</v>
      </c>
      <c r="L193" s="20">
        <f t="shared" si="373"/>
        <v>8.5</v>
      </c>
      <c r="M193" s="20">
        <f t="shared" si="373"/>
        <v>2</v>
      </c>
      <c r="N193" s="20">
        <f t="shared" si="373"/>
        <v>2</v>
      </c>
      <c r="O193" s="20">
        <v>24</v>
      </c>
      <c r="P193" s="20" t="s">
        <v>65</v>
      </c>
      <c r="Q193" s="21" t="str">
        <f>IF($M193=1,IF(ISERROR(VLOOKUP($P193,'M1'!$A:$C,Q$2,FALSE)),"NOT PRESENT",VLOOKUP($P193,'M1'!$A:$C,Q$2,FALSE)),IF($M193=2,IF(ISERROR(VLOOKUP(DATA!$P193,'M2'!$A:$C,Q$2,FALSE)),"NOT PRESENT",VLOOKUP(DATA!$P193,'M2'!$A:$C,Q$2,FALSE)),IF($M193=0,IF(ISERROR(VLOOKUP($P193,'M1'!$A:$C,Q$2,FALSE)),IF(ISERROR(VLOOKUP(DATA!$P193,'M2'!$A:$C,Q$2,FALSE)),"NOT PRESENT",VLOOKUP(DATA!$P193,'M2'!$A:$C,Q$2,FALSE)),VLOOKUP($P193,'M1'!$A:$C,Q$2,FALSE)),"SPECIFY METHOD")))</f>
        <v>Strongylocentrotus purpuratus</v>
      </c>
      <c r="R193" s="21" t="str">
        <f>IF($M193=1,IF(ISERROR(VLOOKUP($P193,'M1'!$A:$C,R$2,FALSE)),"NOT PRESENT",VLOOKUP($P193,'M1'!$A:$C,R$2,FALSE)),IF($M193=2,IF(ISERROR(VLOOKUP(DATA!$P193,'M2'!$A:$C,R$2,FALSE)),"NOT PRESENT",VLOOKUP(DATA!$P193,'M2'!$A:$C,R$2,FALSE)),IF($M193=0,IF(ISERROR(VLOOKUP($P193,'M1'!$A:$C,R$2,FALSE)),IF(ISERROR(VLOOKUP(DATA!$P193,'M2'!$A:$C,R$2,FALSE)),"NOT PRESENT",VLOOKUP(DATA!$P193,'M2'!$A:$C,R$2,FALSE)),VLOOKUP($P193,'M1'!$A:$C,R$2,FALSE)),"SPECIFY METHOD")))</f>
        <v>Purple sea urchin (?)</v>
      </c>
      <c r="S193" s="28">
        <f t="shared" si="3"/>
        <v>1</v>
      </c>
      <c r="T193" s="20">
        <v>0</v>
      </c>
      <c r="U193" s="20"/>
      <c r="V193" s="20"/>
      <c r="W193" s="20"/>
      <c r="X193" s="20">
        <v>1</v>
      </c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</row>
    <row r="194" spans="1:68" ht="12.75" customHeight="1">
      <c r="A194" s="21">
        <f t="shared" si="2"/>
        <v>192</v>
      </c>
      <c r="B194" s="20" t="str">
        <f t="shared" ref="B194:D194" si="374">IF(ISERROR(B193),IF(ISERROR(B192),IF(ISERROR(B191),"BLANK",B191),B192),B193)</f>
        <v>Isabelle Cote</v>
      </c>
      <c r="C194" s="20" t="str">
        <f t="shared" si="374"/>
        <v>Tom Bird</v>
      </c>
      <c r="D194" s="20" t="str">
        <f t="shared" si="374"/>
        <v>BMSC19</v>
      </c>
      <c r="E194" s="21" t="str">
        <f>IF(ISERROR(VLOOKUP($D194,SITES!$A:$E,2,FALSE)),"",VLOOKUP($D194,SITES!$A:$E,2,FALSE))</f>
        <v>Ed King SW Pyramid</v>
      </c>
      <c r="F194" s="19">
        <f>IF(ISERROR(VLOOKUP($D194,SITES!$A:$E,3,FALSE)),"",VLOOKUP($D194,SITES!$A:$E,3,FALSE))</f>
        <v>48.828601837158203</v>
      </c>
      <c r="G194" s="22">
        <f>IF(ISERROR(VLOOKUP($D194,SITES!$A:$E,4,FALSE)),"",VLOOKUP($D194,SITES!$A:$E,4,FALSE))</f>
        <v>-125.221298217773</v>
      </c>
      <c r="H194" s="23" t="str">
        <f t="shared" si="335"/>
        <v>4/25/2024</v>
      </c>
      <c r="I194" s="20">
        <f t="shared" ref="I194:N194" si="375">IF(ISERROR(I193),IF(ISERROR(I192),IF(ISERROR(I191),"BLANK",I191),I192),I193)</f>
        <v>3</v>
      </c>
      <c r="J194" s="20" t="str">
        <f t="shared" si="375"/>
        <v>W</v>
      </c>
      <c r="K194" s="27">
        <f t="shared" si="375"/>
        <v>0.50416666666666665</v>
      </c>
      <c r="L194" s="20">
        <f t="shared" si="375"/>
        <v>8.5</v>
      </c>
      <c r="M194" s="20">
        <f t="shared" si="375"/>
        <v>2</v>
      </c>
      <c r="N194" s="20">
        <f t="shared" si="375"/>
        <v>2</v>
      </c>
      <c r="O194" s="20">
        <v>24</v>
      </c>
      <c r="P194" s="20" t="s">
        <v>38</v>
      </c>
      <c r="Q194" s="21" t="str">
        <f>IF($M194=1,IF(ISERROR(VLOOKUP($P194,'M1'!$A:$C,Q$2,FALSE)),"NOT PRESENT",VLOOKUP($P194,'M1'!$A:$C,Q$2,FALSE)),IF($M194=2,IF(ISERROR(VLOOKUP(DATA!$P194,'M2'!$A:$C,Q$2,FALSE)),"NOT PRESENT",VLOOKUP(DATA!$P194,'M2'!$A:$C,Q$2,FALSE)),IF($M194=0,IF(ISERROR(VLOOKUP($P194,'M1'!$A:$C,Q$2,FALSE)),IF(ISERROR(VLOOKUP(DATA!$P194,'M2'!$A:$C,Q$2,FALSE)),"NOT PRESENT",VLOOKUP(DATA!$P194,'M2'!$A:$C,Q$2,FALSE)),VLOOKUP($P194,'M1'!$A:$C,Q$2,FALSE)),"SPECIFY METHOD")))</f>
        <v>Pisaster ochraceus</v>
      </c>
      <c r="R194" s="21" t="str">
        <f>IF($M194=1,IF(ISERROR(VLOOKUP($P194,'M1'!$A:$C,R$2,FALSE)),"NOT PRESENT",VLOOKUP($P194,'M1'!$A:$C,R$2,FALSE)),IF($M194=2,IF(ISERROR(VLOOKUP(DATA!$P194,'M2'!$A:$C,R$2,FALSE)),"NOT PRESENT",VLOOKUP(DATA!$P194,'M2'!$A:$C,R$2,FALSE)),IF($M194=0,IF(ISERROR(VLOOKUP($P194,'M1'!$A:$C,R$2,FALSE)),IF(ISERROR(VLOOKUP(DATA!$P194,'M2'!$A:$C,R$2,FALSE)),"NOT PRESENT",VLOOKUP(DATA!$P194,'M2'!$A:$C,R$2,FALSE)),VLOOKUP($P194,'M1'!$A:$C,R$2,FALSE)),"SPECIFY METHOD")))</f>
        <v>Purple sea star</v>
      </c>
      <c r="S194" s="28">
        <f t="shared" si="3"/>
        <v>2</v>
      </c>
      <c r="T194" s="20">
        <v>0</v>
      </c>
      <c r="U194" s="20"/>
      <c r="V194" s="20"/>
      <c r="W194" s="20"/>
      <c r="X194" s="20"/>
      <c r="Y194" s="20"/>
      <c r="Z194" s="20"/>
      <c r="AA194" s="20">
        <v>1</v>
      </c>
      <c r="AB194" s="20"/>
      <c r="AC194" s="20">
        <v>1</v>
      </c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</row>
    <row r="195" spans="1:68" ht="12.75" customHeight="1">
      <c r="A195" s="21">
        <f t="shared" si="2"/>
        <v>193</v>
      </c>
      <c r="B195" s="20" t="str">
        <f t="shared" ref="B195:D195" si="376">IF(ISERROR(B194),IF(ISERROR(B193),IF(ISERROR(B192),"BLANK",B192),B193),B194)</f>
        <v>Isabelle Cote</v>
      </c>
      <c r="C195" s="20" t="str">
        <f t="shared" si="376"/>
        <v>Tom Bird</v>
      </c>
      <c r="D195" s="20" t="str">
        <f t="shared" si="376"/>
        <v>BMSC19</v>
      </c>
      <c r="E195" s="21" t="str">
        <f>IF(ISERROR(VLOOKUP($D195,SITES!$A:$E,2,FALSE)),"",VLOOKUP($D195,SITES!$A:$E,2,FALSE))</f>
        <v>Ed King SW Pyramid</v>
      </c>
      <c r="F195" s="19">
        <f>IF(ISERROR(VLOOKUP($D195,SITES!$A:$E,3,FALSE)),"",VLOOKUP($D195,SITES!$A:$E,3,FALSE))</f>
        <v>48.828601837158203</v>
      </c>
      <c r="G195" s="22">
        <f>IF(ISERROR(VLOOKUP($D195,SITES!$A:$E,4,FALSE)),"",VLOOKUP($D195,SITES!$A:$E,4,FALSE))</f>
        <v>-125.221298217773</v>
      </c>
      <c r="H195" s="23" t="str">
        <f t="shared" si="335"/>
        <v>4/25/2024</v>
      </c>
      <c r="I195" s="20">
        <f t="shared" ref="I195:M195" si="377">IF(ISERROR(I194),IF(ISERROR(I193),IF(ISERROR(I192),"BLANK",I192),I193),I194)</f>
        <v>3</v>
      </c>
      <c r="J195" s="20" t="str">
        <f t="shared" si="377"/>
        <v>W</v>
      </c>
      <c r="K195" s="27">
        <f t="shared" si="377"/>
        <v>0.50416666666666665</v>
      </c>
      <c r="L195" s="20">
        <f t="shared" si="377"/>
        <v>8.5</v>
      </c>
      <c r="M195" s="20">
        <f t="shared" si="377"/>
        <v>2</v>
      </c>
      <c r="N195" s="20">
        <v>1</v>
      </c>
      <c r="O195" s="20">
        <v>32</v>
      </c>
      <c r="P195" s="20" t="s">
        <v>39</v>
      </c>
      <c r="Q195" s="21" t="str">
        <f>IF($M195=1,IF(ISERROR(VLOOKUP($P195,'M1'!$A:$C,Q$2,FALSE)),"NOT PRESENT",VLOOKUP($P195,'M1'!$A:$C,Q$2,FALSE)),IF($M195=2,IF(ISERROR(VLOOKUP(DATA!$P195,'M2'!$A:$C,Q$2,FALSE)),"NOT PRESENT",VLOOKUP(DATA!$P195,'M2'!$A:$C,Q$2,FALSE)),IF($M195=0,IF(ISERROR(VLOOKUP($P195,'M1'!$A:$C,Q$2,FALSE)),IF(ISERROR(VLOOKUP(DATA!$P195,'M2'!$A:$C,Q$2,FALSE)),"NOT PRESENT",VLOOKUP(DATA!$P195,'M2'!$A:$C,Q$2,FALSE)),VLOOKUP($P195,'M1'!$A:$C,Q$2,FALSE)),"SPECIFY METHOD")))</f>
        <v>Dermasterias imbricata</v>
      </c>
      <c r="R195" s="21" t="str">
        <f>IF($M195=1,IF(ISERROR(VLOOKUP($P195,'M1'!$A:$C,R$2,FALSE)),"NOT PRESENT",VLOOKUP($P195,'M1'!$A:$C,R$2,FALSE)),IF($M195=2,IF(ISERROR(VLOOKUP(DATA!$P195,'M2'!$A:$C,R$2,FALSE)),"NOT PRESENT",VLOOKUP(DATA!$P195,'M2'!$A:$C,R$2,FALSE)),IF($M195=0,IF(ISERROR(VLOOKUP($P195,'M1'!$A:$C,R$2,FALSE)),IF(ISERROR(VLOOKUP(DATA!$P195,'M2'!$A:$C,R$2,FALSE)),"NOT PRESENT",VLOOKUP(DATA!$P195,'M2'!$A:$C,R$2,FALSE)),VLOOKUP($P195,'M1'!$A:$C,R$2,FALSE)),"SPECIFY METHOD")))</f>
        <v>Leather star</v>
      </c>
      <c r="S195" s="28">
        <f t="shared" si="3"/>
        <v>3</v>
      </c>
      <c r="T195" s="20">
        <v>0</v>
      </c>
      <c r="U195" s="20"/>
      <c r="V195" s="20"/>
      <c r="W195" s="20"/>
      <c r="X195" s="20"/>
      <c r="Y195" s="20">
        <v>2</v>
      </c>
      <c r="Z195" s="20">
        <v>1</v>
      </c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</row>
    <row r="196" spans="1:68" ht="12.75" customHeight="1">
      <c r="A196" s="21">
        <f t="shared" si="2"/>
        <v>194</v>
      </c>
      <c r="B196" s="20" t="str">
        <f t="shared" ref="B196:D196" si="378">IF(ISERROR(B195),IF(ISERROR(B194),IF(ISERROR(B193),"BLANK",B193),B194),B195)</f>
        <v>Isabelle Cote</v>
      </c>
      <c r="C196" s="20" t="str">
        <f t="shared" si="378"/>
        <v>Tom Bird</v>
      </c>
      <c r="D196" s="20" t="str">
        <f t="shared" si="378"/>
        <v>BMSC19</v>
      </c>
      <c r="E196" s="21" t="str">
        <f>IF(ISERROR(VLOOKUP($D196,SITES!$A:$E,2,FALSE)),"",VLOOKUP($D196,SITES!$A:$E,2,FALSE))</f>
        <v>Ed King SW Pyramid</v>
      </c>
      <c r="F196" s="19">
        <f>IF(ISERROR(VLOOKUP($D196,SITES!$A:$E,3,FALSE)),"",VLOOKUP($D196,SITES!$A:$E,3,FALSE))</f>
        <v>48.828601837158203</v>
      </c>
      <c r="G196" s="22">
        <f>IF(ISERROR(VLOOKUP($D196,SITES!$A:$E,4,FALSE)),"",VLOOKUP($D196,SITES!$A:$E,4,FALSE))</f>
        <v>-125.221298217773</v>
      </c>
      <c r="H196" s="23" t="str">
        <f t="shared" si="335"/>
        <v>4/25/2024</v>
      </c>
      <c r="I196" s="20">
        <f t="shared" ref="I196:N196" si="379">IF(ISERROR(I195),IF(ISERROR(I194),IF(ISERROR(I193),"BLANK",I193),I194),I195)</f>
        <v>3</v>
      </c>
      <c r="J196" s="20" t="str">
        <f t="shared" si="379"/>
        <v>W</v>
      </c>
      <c r="K196" s="27">
        <f t="shared" si="379"/>
        <v>0.50416666666666665</v>
      </c>
      <c r="L196" s="20">
        <f t="shared" si="379"/>
        <v>8.5</v>
      </c>
      <c r="M196" s="20">
        <f t="shared" si="379"/>
        <v>2</v>
      </c>
      <c r="N196" s="20">
        <f t="shared" si="379"/>
        <v>1</v>
      </c>
      <c r="O196" s="20">
        <v>32</v>
      </c>
      <c r="P196" s="20" t="s">
        <v>38</v>
      </c>
      <c r="Q196" s="21" t="str">
        <f>IF($M196=1,IF(ISERROR(VLOOKUP($P196,'M1'!$A:$C,Q$2,FALSE)),"NOT PRESENT",VLOOKUP($P196,'M1'!$A:$C,Q$2,FALSE)),IF($M196=2,IF(ISERROR(VLOOKUP(DATA!$P196,'M2'!$A:$C,Q$2,FALSE)),"NOT PRESENT",VLOOKUP(DATA!$P196,'M2'!$A:$C,Q$2,FALSE)),IF($M196=0,IF(ISERROR(VLOOKUP($P196,'M1'!$A:$C,Q$2,FALSE)),IF(ISERROR(VLOOKUP(DATA!$P196,'M2'!$A:$C,Q$2,FALSE)),"NOT PRESENT",VLOOKUP(DATA!$P196,'M2'!$A:$C,Q$2,FALSE)),VLOOKUP($P196,'M1'!$A:$C,Q$2,FALSE)),"SPECIFY METHOD")))</f>
        <v>Pisaster ochraceus</v>
      </c>
      <c r="R196" s="21" t="str">
        <f>IF($M196=1,IF(ISERROR(VLOOKUP($P196,'M1'!$A:$C,R$2,FALSE)),"NOT PRESENT",VLOOKUP($P196,'M1'!$A:$C,R$2,FALSE)),IF($M196=2,IF(ISERROR(VLOOKUP(DATA!$P196,'M2'!$A:$C,R$2,FALSE)),"NOT PRESENT",VLOOKUP(DATA!$P196,'M2'!$A:$C,R$2,FALSE)),IF($M196=0,IF(ISERROR(VLOOKUP($P196,'M1'!$A:$C,R$2,FALSE)),IF(ISERROR(VLOOKUP(DATA!$P196,'M2'!$A:$C,R$2,FALSE)),"NOT PRESENT",VLOOKUP(DATA!$P196,'M2'!$A:$C,R$2,FALSE)),VLOOKUP($P196,'M1'!$A:$C,R$2,FALSE)),"SPECIFY METHOD")))</f>
        <v>Purple sea star</v>
      </c>
      <c r="S196" s="28">
        <f t="shared" si="3"/>
        <v>2</v>
      </c>
      <c r="T196" s="20">
        <v>0</v>
      </c>
      <c r="U196" s="20"/>
      <c r="V196" s="20"/>
      <c r="W196" s="20"/>
      <c r="X196" s="20"/>
      <c r="Y196" s="20">
        <v>1</v>
      </c>
      <c r="Z196" s="20">
        <v>1</v>
      </c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</row>
    <row r="197" spans="1:68" ht="12.75" customHeight="1">
      <c r="A197" s="21">
        <f t="shared" si="2"/>
        <v>195</v>
      </c>
      <c r="B197" s="20" t="str">
        <f t="shared" ref="B197:D197" si="380">IF(ISERROR(B196),IF(ISERROR(B195),IF(ISERROR(B194),"BLANK",B194),B195),B196)</f>
        <v>Isabelle Cote</v>
      </c>
      <c r="C197" s="20" t="str">
        <f t="shared" si="380"/>
        <v>Tom Bird</v>
      </c>
      <c r="D197" s="20" t="str">
        <f t="shared" si="380"/>
        <v>BMSC19</v>
      </c>
      <c r="E197" s="21" t="str">
        <f>IF(ISERROR(VLOOKUP($D197,SITES!$A:$E,2,FALSE)),"",VLOOKUP($D197,SITES!$A:$E,2,FALSE))</f>
        <v>Ed King SW Pyramid</v>
      </c>
      <c r="F197" s="19">
        <f>IF(ISERROR(VLOOKUP($D197,SITES!$A:$E,3,FALSE)),"",VLOOKUP($D197,SITES!$A:$E,3,FALSE))</f>
        <v>48.828601837158203</v>
      </c>
      <c r="G197" s="22">
        <f>IF(ISERROR(VLOOKUP($D197,SITES!$A:$E,4,FALSE)),"",VLOOKUP($D197,SITES!$A:$E,4,FALSE))</f>
        <v>-125.221298217773</v>
      </c>
      <c r="H197" s="23" t="str">
        <f t="shared" si="335"/>
        <v>4/25/2024</v>
      </c>
      <c r="I197" s="20">
        <f t="shared" ref="I197:N197" si="381">IF(ISERROR(I196),IF(ISERROR(I195),IF(ISERROR(I194),"BLANK",I194),I195),I196)</f>
        <v>3</v>
      </c>
      <c r="J197" s="20" t="str">
        <f t="shared" si="381"/>
        <v>W</v>
      </c>
      <c r="K197" s="27">
        <f t="shared" si="381"/>
        <v>0.50416666666666665</v>
      </c>
      <c r="L197" s="20">
        <f t="shared" si="381"/>
        <v>8.5</v>
      </c>
      <c r="M197" s="20">
        <f t="shared" si="381"/>
        <v>2</v>
      </c>
      <c r="N197" s="20">
        <f t="shared" si="381"/>
        <v>1</v>
      </c>
      <c r="O197" s="20">
        <v>32</v>
      </c>
      <c r="P197" s="20" t="s">
        <v>41</v>
      </c>
      <c r="Q197" s="21" t="str">
        <f>IF($M197=1,IF(ISERROR(VLOOKUP($P197,'M1'!$A:$C,Q$2,FALSE)),"NOT PRESENT",VLOOKUP($P197,'M1'!$A:$C,Q$2,FALSE)),IF($M197=2,IF(ISERROR(VLOOKUP(DATA!$P197,'M2'!$A:$C,Q$2,FALSE)),"NOT PRESENT",VLOOKUP(DATA!$P197,'M2'!$A:$C,Q$2,FALSE)),IF($M197=0,IF(ISERROR(VLOOKUP($P197,'M1'!$A:$C,Q$2,FALSE)),IF(ISERROR(VLOOKUP(DATA!$P197,'M2'!$A:$C,Q$2,FALSE)),"NOT PRESENT",VLOOKUP(DATA!$P197,'M2'!$A:$C,Q$2,FALSE)),VLOOKUP($P197,'M1'!$A:$C,Q$2,FALSE)),"SPECIFY METHOD")))</f>
        <v>Mesocentrotus franciscanus</v>
      </c>
      <c r="R197" s="21" t="str">
        <f>IF($M197=1,IF(ISERROR(VLOOKUP($P197,'M1'!$A:$C,R$2,FALSE)),"NOT PRESENT",VLOOKUP($P197,'M1'!$A:$C,R$2,FALSE)),IF($M197=2,IF(ISERROR(VLOOKUP(DATA!$P197,'M2'!$A:$C,R$2,FALSE)),"NOT PRESENT",VLOOKUP(DATA!$P197,'M2'!$A:$C,R$2,FALSE)),IF($M197=0,IF(ISERROR(VLOOKUP($P197,'M1'!$A:$C,R$2,FALSE)),IF(ISERROR(VLOOKUP(DATA!$P197,'M2'!$A:$C,R$2,FALSE)),"NOT PRESENT",VLOOKUP(DATA!$P197,'M2'!$A:$C,R$2,FALSE)),VLOOKUP($P197,'M1'!$A:$C,R$2,FALSE)),"SPECIFY METHOD")))</f>
        <v>Red sea urchin</v>
      </c>
      <c r="S197" s="28">
        <f t="shared" si="3"/>
        <v>8</v>
      </c>
      <c r="T197" s="20">
        <v>0</v>
      </c>
      <c r="U197" s="20"/>
      <c r="V197" s="20">
        <v>3</v>
      </c>
      <c r="W197" s="20">
        <v>2</v>
      </c>
      <c r="X197" s="20">
        <v>1</v>
      </c>
      <c r="Y197" s="20"/>
      <c r="Z197" s="20">
        <v>2</v>
      </c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</row>
    <row r="198" spans="1:68" ht="12.75" customHeight="1">
      <c r="A198" s="21">
        <f t="shared" si="2"/>
        <v>196</v>
      </c>
      <c r="B198" s="20" t="str">
        <f t="shared" ref="B198:D198" si="382">IF(ISERROR(B197),IF(ISERROR(B196),IF(ISERROR(B195),"BLANK",B195),B196),B197)</f>
        <v>Isabelle Cote</v>
      </c>
      <c r="C198" s="20" t="str">
        <f t="shared" si="382"/>
        <v>Tom Bird</v>
      </c>
      <c r="D198" s="20" t="str">
        <f t="shared" si="382"/>
        <v>BMSC19</v>
      </c>
      <c r="E198" s="21" t="str">
        <f>IF(ISERROR(VLOOKUP($D198,SITES!$A:$E,2,FALSE)),"",VLOOKUP($D198,SITES!$A:$E,2,FALSE))</f>
        <v>Ed King SW Pyramid</v>
      </c>
      <c r="F198" s="19">
        <f>IF(ISERROR(VLOOKUP($D198,SITES!$A:$E,3,FALSE)),"",VLOOKUP($D198,SITES!$A:$E,3,FALSE))</f>
        <v>48.828601837158203</v>
      </c>
      <c r="G198" s="22">
        <f>IF(ISERROR(VLOOKUP($D198,SITES!$A:$E,4,FALSE)),"",VLOOKUP($D198,SITES!$A:$E,4,FALSE))</f>
        <v>-125.221298217773</v>
      </c>
      <c r="H198" s="23" t="str">
        <f t="shared" si="335"/>
        <v>4/25/2024</v>
      </c>
      <c r="I198" s="20">
        <f t="shared" ref="I198:N198" si="383">IF(ISERROR(I197),IF(ISERROR(I196),IF(ISERROR(I195),"BLANK",I195),I196),I197)</f>
        <v>3</v>
      </c>
      <c r="J198" s="20" t="str">
        <f t="shared" si="383"/>
        <v>W</v>
      </c>
      <c r="K198" s="27">
        <f t="shared" si="383"/>
        <v>0.50416666666666665</v>
      </c>
      <c r="L198" s="20">
        <f t="shared" si="383"/>
        <v>8.5</v>
      </c>
      <c r="M198" s="20">
        <f t="shared" si="383"/>
        <v>2</v>
      </c>
      <c r="N198" s="20">
        <f t="shared" si="383"/>
        <v>1</v>
      </c>
      <c r="O198" s="20">
        <v>32</v>
      </c>
      <c r="P198" s="20" t="s">
        <v>65</v>
      </c>
      <c r="Q198" s="21" t="str">
        <f>IF($M198=1,IF(ISERROR(VLOOKUP($P198,'M1'!$A:$C,Q$2,FALSE)),"NOT PRESENT",VLOOKUP($P198,'M1'!$A:$C,Q$2,FALSE)),IF($M198=2,IF(ISERROR(VLOOKUP(DATA!$P198,'M2'!$A:$C,Q$2,FALSE)),"NOT PRESENT",VLOOKUP(DATA!$P198,'M2'!$A:$C,Q$2,FALSE)),IF($M198=0,IF(ISERROR(VLOOKUP($P198,'M1'!$A:$C,Q$2,FALSE)),IF(ISERROR(VLOOKUP(DATA!$P198,'M2'!$A:$C,Q$2,FALSE)),"NOT PRESENT",VLOOKUP(DATA!$P198,'M2'!$A:$C,Q$2,FALSE)),VLOOKUP($P198,'M1'!$A:$C,Q$2,FALSE)),"SPECIFY METHOD")))</f>
        <v>Strongylocentrotus purpuratus</v>
      </c>
      <c r="R198" s="21" t="str">
        <f>IF($M198=1,IF(ISERROR(VLOOKUP($P198,'M1'!$A:$C,R$2,FALSE)),"NOT PRESENT",VLOOKUP($P198,'M1'!$A:$C,R$2,FALSE)),IF($M198=2,IF(ISERROR(VLOOKUP(DATA!$P198,'M2'!$A:$C,R$2,FALSE)),"NOT PRESENT",VLOOKUP(DATA!$P198,'M2'!$A:$C,R$2,FALSE)),IF($M198=0,IF(ISERROR(VLOOKUP($P198,'M1'!$A:$C,R$2,FALSE)),IF(ISERROR(VLOOKUP(DATA!$P198,'M2'!$A:$C,R$2,FALSE)),"NOT PRESENT",VLOOKUP(DATA!$P198,'M2'!$A:$C,R$2,FALSE)),VLOOKUP($P198,'M1'!$A:$C,R$2,FALSE)),"SPECIFY METHOD")))</f>
        <v>Purple sea urchin (?)</v>
      </c>
      <c r="S198" s="28">
        <f t="shared" si="3"/>
        <v>1</v>
      </c>
      <c r="T198" s="20">
        <v>0</v>
      </c>
      <c r="U198" s="20"/>
      <c r="V198" s="20"/>
      <c r="W198" s="20">
        <v>1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</row>
    <row r="199" spans="1:68" ht="12.75" customHeight="1">
      <c r="A199" s="21">
        <f t="shared" si="2"/>
        <v>197</v>
      </c>
      <c r="B199" s="20" t="str">
        <f t="shared" ref="B199:D199" si="384">IF(ISERROR(B198),IF(ISERROR(B197),IF(ISERROR(B196),"BLANK",B196),B197),B198)</f>
        <v>Isabelle Cote</v>
      </c>
      <c r="C199" s="20" t="str">
        <f t="shared" si="384"/>
        <v>Tom Bird</v>
      </c>
      <c r="D199" s="20" t="str">
        <f t="shared" si="384"/>
        <v>BMSC19</v>
      </c>
      <c r="E199" s="21" t="str">
        <f>IF(ISERROR(VLOOKUP($D199,SITES!$A:$E,2,FALSE)),"",VLOOKUP($D199,SITES!$A:$E,2,FALSE))</f>
        <v>Ed King SW Pyramid</v>
      </c>
      <c r="F199" s="19">
        <f>IF(ISERROR(VLOOKUP($D199,SITES!$A:$E,3,FALSE)),"",VLOOKUP($D199,SITES!$A:$E,3,FALSE))</f>
        <v>48.828601837158203</v>
      </c>
      <c r="G199" s="22">
        <f>IF(ISERROR(VLOOKUP($D199,SITES!$A:$E,4,FALSE)),"",VLOOKUP($D199,SITES!$A:$E,4,FALSE))</f>
        <v>-125.221298217773</v>
      </c>
      <c r="H199" s="23" t="str">
        <f t="shared" si="335"/>
        <v>4/25/2024</v>
      </c>
      <c r="I199" s="20">
        <f t="shared" ref="I199:M199" si="385">IF(ISERROR(I198),IF(ISERROR(I197),IF(ISERROR(I196),"BLANK",I196),I197),I198)</f>
        <v>3</v>
      </c>
      <c r="J199" s="20" t="str">
        <f t="shared" si="385"/>
        <v>W</v>
      </c>
      <c r="K199" s="27">
        <f t="shared" si="385"/>
        <v>0.50416666666666665</v>
      </c>
      <c r="L199" s="20">
        <f t="shared" si="385"/>
        <v>8.5</v>
      </c>
      <c r="M199" s="20">
        <f t="shared" si="385"/>
        <v>2</v>
      </c>
      <c r="N199" s="20">
        <v>2</v>
      </c>
      <c r="O199" s="20">
        <v>40</v>
      </c>
      <c r="P199" s="20" t="s">
        <v>41</v>
      </c>
      <c r="Q199" s="21" t="str">
        <f>IF($M199=1,IF(ISERROR(VLOOKUP($P199,'M1'!$A:$C,Q$2,FALSE)),"NOT PRESENT",VLOOKUP($P199,'M1'!$A:$C,Q$2,FALSE)),IF($M199=2,IF(ISERROR(VLOOKUP(DATA!$P199,'M2'!$A:$C,Q$2,FALSE)),"NOT PRESENT",VLOOKUP(DATA!$P199,'M2'!$A:$C,Q$2,FALSE)),IF($M199=0,IF(ISERROR(VLOOKUP($P199,'M1'!$A:$C,Q$2,FALSE)),IF(ISERROR(VLOOKUP(DATA!$P199,'M2'!$A:$C,Q$2,FALSE)),"NOT PRESENT",VLOOKUP(DATA!$P199,'M2'!$A:$C,Q$2,FALSE)),VLOOKUP($P199,'M1'!$A:$C,Q$2,FALSE)),"SPECIFY METHOD")))</f>
        <v>Mesocentrotus franciscanus</v>
      </c>
      <c r="R199" s="21" t="str">
        <f>IF($M199=1,IF(ISERROR(VLOOKUP($P199,'M1'!$A:$C,R$2,FALSE)),"NOT PRESENT",VLOOKUP($P199,'M1'!$A:$C,R$2,FALSE)),IF($M199=2,IF(ISERROR(VLOOKUP(DATA!$P199,'M2'!$A:$C,R$2,FALSE)),"NOT PRESENT",VLOOKUP(DATA!$P199,'M2'!$A:$C,R$2,FALSE)),IF($M199=0,IF(ISERROR(VLOOKUP($P199,'M1'!$A:$C,R$2,FALSE)),IF(ISERROR(VLOOKUP(DATA!$P199,'M2'!$A:$C,R$2,FALSE)),"NOT PRESENT",VLOOKUP(DATA!$P199,'M2'!$A:$C,R$2,FALSE)),VLOOKUP($P199,'M1'!$A:$C,R$2,FALSE)),"SPECIFY METHOD")))</f>
        <v>Red sea urchin</v>
      </c>
      <c r="S199" s="28">
        <f t="shared" si="3"/>
        <v>5</v>
      </c>
      <c r="T199" s="20">
        <v>0</v>
      </c>
      <c r="U199" s="20"/>
      <c r="V199" s="20">
        <v>1</v>
      </c>
      <c r="W199" s="20">
        <v>4</v>
      </c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</row>
    <row r="200" spans="1:68" ht="12.75" customHeight="1">
      <c r="A200" s="21">
        <f t="shared" si="2"/>
        <v>198</v>
      </c>
      <c r="B200" s="20" t="str">
        <f t="shared" ref="B200:D200" si="386">IF(ISERROR(B199),IF(ISERROR(B198),IF(ISERROR(B197),"BLANK",B197),B198),B199)</f>
        <v>Isabelle Cote</v>
      </c>
      <c r="C200" s="20" t="str">
        <f t="shared" si="386"/>
        <v>Tom Bird</v>
      </c>
      <c r="D200" s="20" t="str">
        <f t="shared" si="386"/>
        <v>BMSC19</v>
      </c>
      <c r="E200" s="21" t="str">
        <f>IF(ISERROR(VLOOKUP($D200,SITES!$A:$E,2,FALSE)),"",VLOOKUP($D200,SITES!$A:$E,2,FALSE))</f>
        <v>Ed King SW Pyramid</v>
      </c>
      <c r="F200" s="19">
        <f>IF(ISERROR(VLOOKUP($D200,SITES!$A:$E,3,FALSE)),"",VLOOKUP($D200,SITES!$A:$E,3,FALSE))</f>
        <v>48.828601837158203</v>
      </c>
      <c r="G200" s="22">
        <f>IF(ISERROR(VLOOKUP($D200,SITES!$A:$E,4,FALSE)),"",VLOOKUP($D200,SITES!$A:$E,4,FALSE))</f>
        <v>-125.221298217773</v>
      </c>
      <c r="H200" s="23" t="str">
        <f t="shared" si="335"/>
        <v>4/25/2024</v>
      </c>
      <c r="I200" s="20">
        <f t="shared" ref="I200:N200" si="387">IF(ISERROR(I199),IF(ISERROR(I198),IF(ISERROR(I197),"BLANK",I197),I198),I199)</f>
        <v>3</v>
      </c>
      <c r="J200" s="20" t="str">
        <f t="shared" si="387"/>
        <v>W</v>
      </c>
      <c r="K200" s="27">
        <f t="shared" si="387"/>
        <v>0.50416666666666665</v>
      </c>
      <c r="L200" s="20">
        <f t="shared" si="387"/>
        <v>8.5</v>
      </c>
      <c r="M200" s="20">
        <f t="shared" si="387"/>
        <v>2</v>
      </c>
      <c r="N200" s="20">
        <f t="shared" si="387"/>
        <v>2</v>
      </c>
      <c r="O200" s="20">
        <v>48</v>
      </c>
      <c r="P200" s="20" t="str">
        <f>IF(ISERROR(P199),IF(ISERROR(P198),IF(ISERROR(P197),"BLANK",P197),P198),P199)</f>
        <v>mfra</v>
      </c>
      <c r="Q200" s="21" t="str">
        <f>IF($M200=1,IF(ISERROR(VLOOKUP($P200,'M1'!$A:$C,Q$2,FALSE)),"NOT PRESENT",VLOOKUP($P200,'M1'!$A:$C,Q$2,FALSE)),IF($M200=2,IF(ISERROR(VLOOKUP(DATA!$P200,'M2'!$A:$C,Q$2,FALSE)),"NOT PRESENT",VLOOKUP(DATA!$P200,'M2'!$A:$C,Q$2,FALSE)),IF($M200=0,IF(ISERROR(VLOOKUP($P200,'M1'!$A:$C,Q$2,FALSE)),IF(ISERROR(VLOOKUP(DATA!$P200,'M2'!$A:$C,Q$2,FALSE)),"NOT PRESENT",VLOOKUP(DATA!$P200,'M2'!$A:$C,Q$2,FALSE)),VLOOKUP($P200,'M1'!$A:$C,Q$2,FALSE)),"SPECIFY METHOD")))</f>
        <v>Mesocentrotus franciscanus</v>
      </c>
      <c r="R200" s="21" t="str">
        <f>IF($M200=1,IF(ISERROR(VLOOKUP($P200,'M1'!$A:$C,R$2,FALSE)),"NOT PRESENT",VLOOKUP($P200,'M1'!$A:$C,R$2,FALSE)),IF($M200=2,IF(ISERROR(VLOOKUP(DATA!$P200,'M2'!$A:$C,R$2,FALSE)),"NOT PRESENT",VLOOKUP(DATA!$P200,'M2'!$A:$C,R$2,FALSE)),IF($M200=0,IF(ISERROR(VLOOKUP($P200,'M1'!$A:$C,R$2,FALSE)),IF(ISERROR(VLOOKUP(DATA!$P200,'M2'!$A:$C,R$2,FALSE)),"NOT PRESENT",VLOOKUP(DATA!$P200,'M2'!$A:$C,R$2,FALSE)),VLOOKUP($P200,'M1'!$A:$C,R$2,FALSE)),"SPECIFY METHOD")))</f>
        <v>Red sea urchin</v>
      </c>
      <c r="S200" s="28">
        <f t="shared" si="3"/>
        <v>5</v>
      </c>
      <c r="T200" s="20">
        <v>0</v>
      </c>
      <c r="U200" s="20"/>
      <c r="V200" s="20">
        <v>1</v>
      </c>
      <c r="W200" s="20">
        <v>3</v>
      </c>
      <c r="X200" s="20">
        <v>1</v>
      </c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</row>
    <row r="201" spans="1:68" ht="12.75" customHeight="1">
      <c r="A201" s="21">
        <f t="shared" si="2"/>
        <v>199</v>
      </c>
      <c r="B201" s="20" t="s">
        <v>56</v>
      </c>
      <c r="C201" s="20" t="s">
        <v>35</v>
      </c>
      <c r="D201" s="20" t="s">
        <v>66</v>
      </c>
      <c r="E201" s="21" t="str">
        <f>IF(ISERROR(VLOOKUP($D201,SITES!$A:$E,2,FALSE)),"",VLOOKUP($D201,SITES!$A:$E,2,FALSE))</f>
        <v>Dodger Channel</v>
      </c>
      <c r="F201" s="19">
        <f>IF(ISERROR(VLOOKUP($D201,SITES!$A:$E,3,FALSE)),"",VLOOKUP($D201,SITES!$A:$E,3,FALSE))</f>
        <v>48.828948974609297</v>
      </c>
      <c r="G201" s="22">
        <f>IF(ISERROR(VLOOKUP($D201,SITES!$A:$E,4,FALSE)),"",VLOOKUP($D201,SITES!$A:$E,4,FALSE))</f>
        <v>-125.19757080078099</v>
      </c>
      <c r="H201" s="23">
        <v>45407</v>
      </c>
      <c r="I201" s="20">
        <v>3</v>
      </c>
      <c r="J201" s="20" t="s">
        <v>59</v>
      </c>
      <c r="K201" s="27">
        <v>0.59513888888888888</v>
      </c>
      <c r="L201" s="20">
        <v>5</v>
      </c>
      <c r="M201" s="20">
        <v>2</v>
      </c>
      <c r="N201" s="20">
        <v>2</v>
      </c>
      <c r="O201" s="20">
        <v>40</v>
      </c>
      <c r="P201" s="20" t="s">
        <v>41</v>
      </c>
      <c r="Q201" s="21" t="str">
        <f>IF($M201=1,IF(ISERROR(VLOOKUP($P201,'M1'!$A:$C,Q$2,FALSE)),"NOT PRESENT",VLOOKUP($P201,'M1'!$A:$C,Q$2,FALSE)),IF($M201=2,IF(ISERROR(VLOOKUP(DATA!$P201,'M2'!$A:$C,Q$2,FALSE)),"NOT PRESENT",VLOOKUP(DATA!$P201,'M2'!$A:$C,Q$2,FALSE)),IF($M201=0,IF(ISERROR(VLOOKUP($P201,'M1'!$A:$C,Q$2,FALSE)),IF(ISERROR(VLOOKUP(DATA!$P201,'M2'!$A:$C,Q$2,FALSE)),"NOT PRESENT",VLOOKUP(DATA!$P201,'M2'!$A:$C,Q$2,FALSE)),VLOOKUP($P201,'M1'!$A:$C,Q$2,FALSE)),"SPECIFY METHOD")))</f>
        <v>Mesocentrotus franciscanus</v>
      </c>
      <c r="R201" s="21" t="str">
        <f>IF($M201=1,IF(ISERROR(VLOOKUP($P201,'M1'!$A:$C,R$2,FALSE)),"NOT PRESENT",VLOOKUP($P201,'M1'!$A:$C,R$2,FALSE)),IF($M201=2,IF(ISERROR(VLOOKUP(DATA!$P201,'M2'!$A:$C,R$2,FALSE)),"NOT PRESENT",VLOOKUP(DATA!$P201,'M2'!$A:$C,R$2,FALSE)),IF($M201=0,IF(ISERROR(VLOOKUP($P201,'M1'!$A:$C,R$2,FALSE)),IF(ISERROR(VLOOKUP(DATA!$P201,'M2'!$A:$C,R$2,FALSE)),"NOT PRESENT",VLOOKUP(DATA!$P201,'M2'!$A:$C,R$2,FALSE)),VLOOKUP($P201,'M1'!$A:$C,R$2,FALSE)),"SPECIFY METHOD")))</f>
        <v>Red sea urchin</v>
      </c>
      <c r="S201" s="28">
        <f t="shared" si="3"/>
        <v>4</v>
      </c>
      <c r="T201" s="20">
        <v>0</v>
      </c>
      <c r="U201" s="20"/>
      <c r="V201" s="20"/>
      <c r="W201" s="20"/>
      <c r="X201" s="20">
        <v>2</v>
      </c>
      <c r="Y201" s="20">
        <v>2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</row>
    <row r="202" spans="1:68" ht="12.75" customHeight="1">
      <c r="A202" s="21">
        <f t="shared" si="2"/>
        <v>200</v>
      </c>
      <c r="B202" s="20" t="str">
        <f t="shared" ref="B202:D202" si="388">IF(ISERROR(B201),IF(ISERROR(B200),IF(ISERROR(B199),"BLANK",B199),B200),B201)</f>
        <v>Claire Attridge</v>
      </c>
      <c r="C202" s="20" t="str">
        <f t="shared" si="388"/>
        <v>Em Lim</v>
      </c>
      <c r="D202" s="20" t="str">
        <f t="shared" si="388"/>
        <v>BMSC1</v>
      </c>
      <c r="E202" s="21" t="str">
        <f>IF(ISERROR(VLOOKUP($D202,SITES!$A:$E,2,FALSE)),"",VLOOKUP($D202,SITES!$A:$E,2,FALSE))</f>
        <v>Dodger Channel</v>
      </c>
      <c r="F202" s="19">
        <f>IF(ISERROR(VLOOKUP($D202,SITES!$A:$E,3,FALSE)),"",VLOOKUP($D202,SITES!$A:$E,3,FALSE))</f>
        <v>48.828948974609297</v>
      </c>
      <c r="G202" s="22">
        <f>IF(ISERROR(VLOOKUP($D202,SITES!$A:$E,4,FALSE)),"",VLOOKUP($D202,SITES!$A:$E,4,FALSE))</f>
        <v>-125.19757080078099</v>
      </c>
      <c r="H202" s="23">
        <f t="shared" ref="H202:N202" si="389">IF(ISERROR(H201),IF(ISERROR(H200),IF(ISERROR(H199),"BLANK",H199),H200),H201)</f>
        <v>45407</v>
      </c>
      <c r="I202" s="20">
        <f t="shared" si="389"/>
        <v>3</v>
      </c>
      <c r="J202" s="20" t="str">
        <f t="shared" si="389"/>
        <v>NE</v>
      </c>
      <c r="K202" s="27">
        <f t="shared" si="389"/>
        <v>0.59513888888888888</v>
      </c>
      <c r="L202" s="20">
        <f t="shared" si="389"/>
        <v>5</v>
      </c>
      <c r="M202" s="20">
        <f t="shared" si="389"/>
        <v>2</v>
      </c>
      <c r="N202" s="20">
        <f t="shared" si="389"/>
        <v>2</v>
      </c>
      <c r="O202" s="20">
        <v>24</v>
      </c>
      <c r="P202" s="20" t="str">
        <f>IF(ISERROR(P201),IF(ISERROR(P200),IF(ISERROR(P199),"BLANK",P199),P200),P201)</f>
        <v>mfra</v>
      </c>
      <c r="Q202" s="21" t="str">
        <f>IF($M202=1,IF(ISERROR(VLOOKUP($P202,'M1'!$A:$C,Q$2,FALSE)),"NOT PRESENT",VLOOKUP($P202,'M1'!$A:$C,Q$2,FALSE)),IF($M202=2,IF(ISERROR(VLOOKUP(DATA!$P202,'M2'!$A:$C,Q$2,FALSE)),"NOT PRESENT",VLOOKUP(DATA!$P202,'M2'!$A:$C,Q$2,FALSE)),IF($M202=0,IF(ISERROR(VLOOKUP($P202,'M1'!$A:$C,Q$2,FALSE)),IF(ISERROR(VLOOKUP(DATA!$P202,'M2'!$A:$C,Q$2,FALSE)),"NOT PRESENT",VLOOKUP(DATA!$P202,'M2'!$A:$C,Q$2,FALSE)),VLOOKUP($P202,'M1'!$A:$C,Q$2,FALSE)),"SPECIFY METHOD")))</f>
        <v>Mesocentrotus franciscanus</v>
      </c>
      <c r="R202" s="21" t="str">
        <f>IF($M202=1,IF(ISERROR(VLOOKUP($P202,'M1'!$A:$C,R$2,FALSE)),"NOT PRESENT",VLOOKUP($P202,'M1'!$A:$C,R$2,FALSE)),IF($M202=2,IF(ISERROR(VLOOKUP(DATA!$P202,'M2'!$A:$C,R$2,FALSE)),"NOT PRESENT",VLOOKUP(DATA!$P202,'M2'!$A:$C,R$2,FALSE)),IF($M202=0,IF(ISERROR(VLOOKUP($P202,'M1'!$A:$C,R$2,FALSE)),IF(ISERROR(VLOOKUP(DATA!$P202,'M2'!$A:$C,R$2,FALSE)),"NOT PRESENT",VLOOKUP(DATA!$P202,'M2'!$A:$C,R$2,FALSE)),VLOOKUP($P202,'M1'!$A:$C,R$2,FALSE)),"SPECIFY METHOD")))</f>
        <v>Red sea urchin</v>
      </c>
      <c r="S202" s="28">
        <f t="shared" si="3"/>
        <v>4</v>
      </c>
      <c r="T202" s="20">
        <v>0</v>
      </c>
      <c r="U202" s="20"/>
      <c r="V202" s="20"/>
      <c r="W202" s="20"/>
      <c r="X202" s="20">
        <v>3</v>
      </c>
      <c r="Y202" s="20">
        <v>1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</row>
    <row r="203" spans="1:68" ht="12.75" customHeight="1">
      <c r="A203" s="21">
        <f t="shared" si="2"/>
        <v>201</v>
      </c>
      <c r="B203" s="20" t="str">
        <f t="shared" ref="B203:D203" si="390">IF(ISERROR(B202),IF(ISERROR(B201),IF(ISERROR(B200),"BLANK",B200),B201),B202)</f>
        <v>Claire Attridge</v>
      </c>
      <c r="C203" s="20" t="str">
        <f t="shared" si="390"/>
        <v>Em Lim</v>
      </c>
      <c r="D203" s="20" t="str">
        <f t="shared" si="390"/>
        <v>BMSC1</v>
      </c>
      <c r="E203" s="21" t="str">
        <f>IF(ISERROR(VLOOKUP($D203,SITES!$A:$E,2,FALSE)),"",VLOOKUP($D203,SITES!$A:$E,2,FALSE))</f>
        <v>Dodger Channel</v>
      </c>
      <c r="F203" s="19">
        <f>IF(ISERROR(VLOOKUP($D203,SITES!$A:$E,3,FALSE)),"",VLOOKUP($D203,SITES!$A:$E,3,FALSE))</f>
        <v>48.828948974609297</v>
      </c>
      <c r="G203" s="22">
        <f>IF(ISERROR(VLOOKUP($D203,SITES!$A:$E,4,FALSE)),"",VLOOKUP($D203,SITES!$A:$E,4,FALSE))</f>
        <v>-125.19757080078099</v>
      </c>
      <c r="H203" s="23">
        <f t="shared" ref="H203:N203" si="391">IF(ISERROR(H202),IF(ISERROR(H201),IF(ISERROR(H200),"BLANK",H200),H201),H202)</f>
        <v>45407</v>
      </c>
      <c r="I203" s="20">
        <f t="shared" si="391"/>
        <v>3</v>
      </c>
      <c r="J203" s="20" t="str">
        <f t="shared" si="391"/>
        <v>NE</v>
      </c>
      <c r="K203" s="27">
        <f t="shared" si="391"/>
        <v>0.59513888888888888</v>
      </c>
      <c r="L203" s="20">
        <f t="shared" si="391"/>
        <v>5</v>
      </c>
      <c r="M203" s="20">
        <f t="shared" si="391"/>
        <v>2</v>
      </c>
      <c r="N203" s="20">
        <f t="shared" si="391"/>
        <v>2</v>
      </c>
      <c r="O203" s="20">
        <v>24</v>
      </c>
      <c r="P203" s="20" t="s">
        <v>38</v>
      </c>
      <c r="Q203" s="21" t="str">
        <f>IF($M203=1,IF(ISERROR(VLOOKUP($P203,'M1'!$A:$C,Q$2,FALSE)),"NOT PRESENT",VLOOKUP($P203,'M1'!$A:$C,Q$2,FALSE)),IF($M203=2,IF(ISERROR(VLOOKUP(DATA!$P203,'M2'!$A:$C,Q$2,FALSE)),"NOT PRESENT",VLOOKUP(DATA!$P203,'M2'!$A:$C,Q$2,FALSE)),IF($M203=0,IF(ISERROR(VLOOKUP($P203,'M1'!$A:$C,Q$2,FALSE)),IF(ISERROR(VLOOKUP(DATA!$P203,'M2'!$A:$C,Q$2,FALSE)),"NOT PRESENT",VLOOKUP(DATA!$P203,'M2'!$A:$C,Q$2,FALSE)),VLOOKUP($P203,'M1'!$A:$C,Q$2,FALSE)),"SPECIFY METHOD")))</f>
        <v>Pisaster ochraceus</v>
      </c>
      <c r="R203" s="21" t="str">
        <f>IF($M203=1,IF(ISERROR(VLOOKUP($P203,'M1'!$A:$C,R$2,FALSE)),"NOT PRESENT",VLOOKUP($P203,'M1'!$A:$C,R$2,FALSE)),IF($M203=2,IF(ISERROR(VLOOKUP(DATA!$P203,'M2'!$A:$C,R$2,FALSE)),"NOT PRESENT",VLOOKUP(DATA!$P203,'M2'!$A:$C,R$2,FALSE)),IF($M203=0,IF(ISERROR(VLOOKUP($P203,'M1'!$A:$C,R$2,FALSE)),IF(ISERROR(VLOOKUP(DATA!$P203,'M2'!$A:$C,R$2,FALSE)),"NOT PRESENT",VLOOKUP(DATA!$P203,'M2'!$A:$C,R$2,FALSE)),VLOOKUP($P203,'M1'!$A:$C,R$2,FALSE)),"SPECIFY METHOD")))</f>
        <v>Purple sea star</v>
      </c>
      <c r="S203" s="28">
        <f t="shared" si="3"/>
        <v>1</v>
      </c>
      <c r="T203" s="20">
        <v>0</v>
      </c>
      <c r="U203" s="20"/>
      <c r="V203" s="20"/>
      <c r="W203" s="20"/>
      <c r="X203" s="20"/>
      <c r="Y203" s="20"/>
      <c r="Z203" s="20"/>
      <c r="AA203" s="20">
        <v>1</v>
      </c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</row>
    <row r="204" spans="1:68" ht="12.75" customHeight="1">
      <c r="A204" s="21">
        <f t="shared" si="2"/>
        <v>202</v>
      </c>
      <c r="B204" s="20" t="str">
        <f t="shared" ref="B204:D204" si="392">IF(ISERROR(B203),IF(ISERROR(B202),IF(ISERROR(B201),"BLANK",B201),B202),B203)</f>
        <v>Claire Attridge</v>
      </c>
      <c r="C204" s="20" t="str">
        <f t="shared" si="392"/>
        <v>Em Lim</v>
      </c>
      <c r="D204" s="20" t="str">
        <f t="shared" si="392"/>
        <v>BMSC1</v>
      </c>
      <c r="E204" s="21" t="str">
        <f>IF(ISERROR(VLOOKUP($D204,SITES!$A:$E,2,FALSE)),"",VLOOKUP($D204,SITES!$A:$E,2,FALSE))</f>
        <v>Dodger Channel</v>
      </c>
      <c r="F204" s="19">
        <f>IF(ISERROR(VLOOKUP($D204,SITES!$A:$E,3,FALSE)),"",VLOOKUP($D204,SITES!$A:$E,3,FALSE))</f>
        <v>48.828948974609297</v>
      </c>
      <c r="G204" s="22">
        <f>IF(ISERROR(VLOOKUP($D204,SITES!$A:$E,4,FALSE)),"",VLOOKUP($D204,SITES!$A:$E,4,FALSE))</f>
        <v>-125.19757080078099</v>
      </c>
      <c r="H204" s="23">
        <f t="shared" ref="H204:N204" si="393">IF(ISERROR(H203),IF(ISERROR(H202),IF(ISERROR(H201),"BLANK",H201),H202),H203)</f>
        <v>45407</v>
      </c>
      <c r="I204" s="20">
        <f t="shared" si="393"/>
        <v>3</v>
      </c>
      <c r="J204" s="20" t="str">
        <f t="shared" si="393"/>
        <v>NE</v>
      </c>
      <c r="K204" s="27">
        <f t="shared" si="393"/>
        <v>0.59513888888888888</v>
      </c>
      <c r="L204" s="20">
        <f t="shared" si="393"/>
        <v>5</v>
      </c>
      <c r="M204" s="20">
        <f t="shared" si="393"/>
        <v>2</v>
      </c>
      <c r="N204" s="20">
        <f t="shared" si="393"/>
        <v>2</v>
      </c>
      <c r="O204" s="20">
        <v>8</v>
      </c>
      <c r="P204" s="20" t="s">
        <v>41</v>
      </c>
      <c r="Q204" s="21" t="str">
        <f>IF($M204=1,IF(ISERROR(VLOOKUP($P204,'M1'!$A:$C,Q$2,FALSE)),"NOT PRESENT",VLOOKUP($P204,'M1'!$A:$C,Q$2,FALSE)),IF($M204=2,IF(ISERROR(VLOOKUP(DATA!$P204,'M2'!$A:$C,Q$2,FALSE)),"NOT PRESENT",VLOOKUP(DATA!$P204,'M2'!$A:$C,Q$2,FALSE)),IF($M204=0,IF(ISERROR(VLOOKUP($P204,'M1'!$A:$C,Q$2,FALSE)),IF(ISERROR(VLOOKUP(DATA!$P204,'M2'!$A:$C,Q$2,FALSE)),"NOT PRESENT",VLOOKUP(DATA!$P204,'M2'!$A:$C,Q$2,FALSE)),VLOOKUP($P204,'M1'!$A:$C,Q$2,FALSE)),"SPECIFY METHOD")))</f>
        <v>Mesocentrotus franciscanus</v>
      </c>
      <c r="R204" s="21" t="str">
        <f>IF($M204=1,IF(ISERROR(VLOOKUP($P204,'M1'!$A:$C,R$2,FALSE)),"NOT PRESENT",VLOOKUP($P204,'M1'!$A:$C,R$2,FALSE)),IF($M204=2,IF(ISERROR(VLOOKUP(DATA!$P204,'M2'!$A:$C,R$2,FALSE)),"NOT PRESENT",VLOOKUP(DATA!$P204,'M2'!$A:$C,R$2,FALSE)),IF($M204=0,IF(ISERROR(VLOOKUP($P204,'M1'!$A:$C,R$2,FALSE)),IF(ISERROR(VLOOKUP(DATA!$P204,'M2'!$A:$C,R$2,FALSE)),"NOT PRESENT",VLOOKUP(DATA!$P204,'M2'!$A:$C,R$2,FALSE)),VLOOKUP($P204,'M1'!$A:$C,R$2,FALSE)),"SPECIFY METHOD")))</f>
        <v>Red sea urchin</v>
      </c>
      <c r="S204" s="28">
        <f t="shared" si="3"/>
        <v>7</v>
      </c>
      <c r="T204" s="20">
        <v>0</v>
      </c>
      <c r="U204" s="20"/>
      <c r="V204" s="20"/>
      <c r="W204" s="20"/>
      <c r="X204" s="20">
        <v>4</v>
      </c>
      <c r="Y204" s="20">
        <v>2</v>
      </c>
      <c r="Z204" s="20">
        <v>1</v>
      </c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</row>
    <row r="205" spans="1:68" ht="12.75" customHeight="1">
      <c r="A205" s="21">
        <f t="shared" si="2"/>
        <v>203</v>
      </c>
      <c r="B205" s="20" t="str">
        <f t="shared" ref="B205:D205" si="394">IF(ISERROR(#REF!),IF(ISERROR(B204),IF(ISERROR(B203),"BLANK",B203),B204),#REF!)</f>
        <v>Claire Attridge</v>
      </c>
      <c r="C205" s="20" t="str">
        <f t="shared" si="394"/>
        <v>Em Lim</v>
      </c>
      <c r="D205" s="20" t="str">
        <f t="shared" si="394"/>
        <v>BMSC1</v>
      </c>
      <c r="E205" s="21" t="str">
        <f>IF(ISERROR(VLOOKUP($D205,SITES!$A:$E,2,FALSE)),"",VLOOKUP($D205,SITES!$A:$E,2,FALSE))</f>
        <v>Dodger Channel</v>
      </c>
      <c r="F205" s="19">
        <f>IF(ISERROR(VLOOKUP($D205,SITES!$A:$E,3,FALSE)),"",VLOOKUP($D205,SITES!$A:$E,3,FALSE))</f>
        <v>48.828948974609297</v>
      </c>
      <c r="G205" s="22">
        <f>IF(ISERROR(VLOOKUP($D205,SITES!$A:$E,4,FALSE)),"",VLOOKUP($D205,SITES!$A:$E,4,FALSE))</f>
        <v>-125.19757080078099</v>
      </c>
      <c r="H205" s="23">
        <f t="shared" ref="H205:M205" si="395">IF(ISERROR(#REF!),IF(ISERROR(H204),IF(ISERROR(H203),"BLANK",H203),H204),#REF!)</f>
        <v>45407</v>
      </c>
      <c r="I205" s="20">
        <f t="shared" si="395"/>
        <v>3</v>
      </c>
      <c r="J205" s="20" t="str">
        <f t="shared" si="395"/>
        <v>NE</v>
      </c>
      <c r="K205" s="27">
        <f t="shared" si="395"/>
        <v>0.59513888888888888</v>
      </c>
      <c r="L205" s="20">
        <f t="shared" si="395"/>
        <v>5</v>
      </c>
      <c r="M205" s="20">
        <f t="shared" si="395"/>
        <v>2</v>
      </c>
      <c r="N205" s="20">
        <v>1</v>
      </c>
      <c r="O205" s="20">
        <v>0</v>
      </c>
      <c r="P205" s="20" t="s">
        <v>41</v>
      </c>
      <c r="Q205" s="21" t="str">
        <f>IF($M205=1,IF(ISERROR(VLOOKUP($P205,'M1'!$A:$C,Q$2,FALSE)),"NOT PRESENT",VLOOKUP($P205,'M1'!$A:$C,Q$2,FALSE)),IF($M205=2,IF(ISERROR(VLOOKUP(DATA!$P205,'M2'!$A:$C,Q$2,FALSE)),"NOT PRESENT",VLOOKUP(DATA!$P205,'M2'!$A:$C,Q$2,FALSE)),IF($M205=0,IF(ISERROR(VLOOKUP($P205,'M1'!$A:$C,Q$2,FALSE)),IF(ISERROR(VLOOKUP(DATA!$P205,'M2'!$A:$C,Q$2,FALSE)),"NOT PRESENT",VLOOKUP(DATA!$P205,'M2'!$A:$C,Q$2,FALSE)),VLOOKUP($P205,'M1'!$A:$C,Q$2,FALSE)),"SPECIFY METHOD")))</f>
        <v>Mesocentrotus franciscanus</v>
      </c>
      <c r="R205" s="21" t="str">
        <f>IF($M205=1,IF(ISERROR(VLOOKUP($P205,'M1'!$A:$C,R$2,FALSE)),"NOT PRESENT",VLOOKUP($P205,'M1'!$A:$C,R$2,FALSE)),IF($M205=2,IF(ISERROR(VLOOKUP(DATA!$P205,'M2'!$A:$C,R$2,FALSE)),"NOT PRESENT",VLOOKUP(DATA!$P205,'M2'!$A:$C,R$2,FALSE)),IF($M205=0,IF(ISERROR(VLOOKUP($P205,'M1'!$A:$C,R$2,FALSE)),IF(ISERROR(VLOOKUP(DATA!$P205,'M2'!$A:$C,R$2,FALSE)),"NOT PRESENT",VLOOKUP(DATA!$P205,'M2'!$A:$C,R$2,FALSE)),VLOOKUP($P205,'M1'!$A:$C,R$2,FALSE)),"SPECIFY METHOD")))</f>
        <v>Red sea urchin</v>
      </c>
      <c r="S205" s="28">
        <f t="shared" si="3"/>
        <v>4</v>
      </c>
      <c r="T205" s="20">
        <v>0</v>
      </c>
      <c r="U205" s="20"/>
      <c r="V205" s="20"/>
      <c r="W205" s="20"/>
      <c r="X205" s="20">
        <v>1</v>
      </c>
      <c r="Y205" s="20">
        <v>2</v>
      </c>
      <c r="Z205" s="20">
        <v>1</v>
      </c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</row>
    <row r="206" spans="1:68" ht="12.75" customHeight="1">
      <c r="A206" s="21">
        <f t="shared" si="2"/>
        <v>204</v>
      </c>
      <c r="B206" s="20" t="s">
        <v>35</v>
      </c>
      <c r="C206" s="20" t="s">
        <v>56</v>
      </c>
      <c r="D206" s="20" t="s">
        <v>66</v>
      </c>
      <c r="E206" s="21" t="str">
        <f>IF(ISERROR(VLOOKUP($D206,SITES!$A:$E,2,FALSE)),"",VLOOKUP($D206,SITES!$A:$E,2,FALSE))</f>
        <v>Dodger Channel</v>
      </c>
      <c r="F206" s="19">
        <f>IF(ISERROR(VLOOKUP($D206,SITES!$A:$E,3,FALSE)),"",VLOOKUP($D206,SITES!$A:$E,3,FALSE))</f>
        <v>48.828948974609297</v>
      </c>
      <c r="G206" s="22">
        <f>IF(ISERROR(VLOOKUP($D206,SITES!$A:$E,4,FALSE)),"",VLOOKUP($D206,SITES!$A:$E,4,FALSE))</f>
        <v>-125.19757080078099</v>
      </c>
      <c r="H206" s="23">
        <f t="shared" ref="H206:M206" si="396">IF(ISERROR(H205),IF(ISERROR(#REF!),IF(ISERROR(H204),"BLANK",H204),#REF!),H205)</f>
        <v>45407</v>
      </c>
      <c r="I206" s="20">
        <f t="shared" si="396"/>
        <v>3</v>
      </c>
      <c r="J206" s="20" t="str">
        <f t="shared" si="396"/>
        <v>NE</v>
      </c>
      <c r="K206" s="27">
        <f t="shared" si="396"/>
        <v>0.59513888888888888</v>
      </c>
      <c r="L206" s="20">
        <f t="shared" si="396"/>
        <v>5</v>
      </c>
      <c r="M206" s="20">
        <f t="shared" si="396"/>
        <v>2</v>
      </c>
      <c r="N206" s="20">
        <v>1</v>
      </c>
      <c r="O206" s="20">
        <v>48</v>
      </c>
      <c r="P206" s="20" t="s">
        <v>41</v>
      </c>
      <c r="Q206" s="21" t="str">
        <f>IF($M206=1,IF(ISERROR(VLOOKUP($P206,'M1'!$A:$C,Q$2,FALSE)),"NOT PRESENT",VLOOKUP($P206,'M1'!$A:$C,Q$2,FALSE)),IF($M206=2,IF(ISERROR(VLOOKUP(DATA!$P206,'M2'!$A:$C,Q$2,FALSE)),"NOT PRESENT",VLOOKUP(DATA!$P206,'M2'!$A:$C,Q$2,FALSE)),IF($M206=0,IF(ISERROR(VLOOKUP($P206,'M1'!$A:$C,Q$2,FALSE)),IF(ISERROR(VLOOKUP(DATA!$P206,'M2'!$A:$C,Q$2,FALSE)),"NOT PRESENT",VLOOKUP(DATA!$P206,'M2'!$A:$C,Q$2,FALSE)),VLOOKUP($P206,'M1'!$A:$C,Q$2,FALSE)),"SPECIFY METHOD")))</f>
        <v>Mesocentrotus franciscanus</v>
      </c>
      <c r="R206" s="21" t="str">
        <f>IF($M206=1,IF(ISERROR(VLOOKUP($P206,'M1'!$A:$C,R$2,FALSE)),"NOT PRESENT",VLOOKUP($P206,'M1'!$A:$C,R$2,FALSE)),IF($M206=2,IF(ISERROR(VLOOKUP(DATA!$P206,'M2'!$A:$C,R$2,FALSE)),"NOT PRESENT",VLOOKUP(DATA!$P206,'M2'!$A:$C,R$2,FALSE)),IF($M206=0,IF(ISERROR(VLOOKUP($P206,'M1'!$A:$C,R$2,FALSE)),IF(ISERROR(VLOOKUP(DATA!$P206,'M2'!$A:$C,R$2,FALSE)),"NOT PRESENT",VLOOKUP(DATA!$P206,'M2'!$A:$C,R$2,FALSE)),VLOOKUP($P206,'M1'!$A:$C,R$2,FALSE)),"SPECIFY METHOD")))</f>
        <v>Red sea urchin</v>
      </c>
      <c r="S206" s="28">
        <f t="shared" si="3"/>
        <v>10</v>
      </c>
      <c r="T206" s="20">
        <v>0</v>
      </c>
      <c r="U206" s="20"/>
      <c r="V206" s="20">
        <v>2</v>
      </c>
      <c r="W206" s="20">
        <v>3</v>
      </c>
      <c r="X206" s="20">
        <v>4</v>
      </c>
      <c r="Y206" s="20">
        <v>1</v>
      </c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</row>
    <row r="207" spans="1:68" ht="12.75" customHeight="1">
      <c r="A207" s="21">
        <f t="shared" si="2"/>
        <v>205</v>
      </c>
      <c r="B207" s="20" t="str">
        <f t="shared" ref="B207:D207" si="397">IF(ISERROR(B206),IF(ISERROR(B205),IF(ISERROR(#REF!),"BLANK",#REF!),B205),B206)</f>
        <v>Em Lim</v>
      </c>
      <c r="C207" s="20" t="str">
        <f t="shared" si="397"/>
        <v>Claire Attridge</v>
      </c>
      <c r="D207" s="20" t="str">
        <f t="shared" si="397"/>
        <v>BMSC1</v>
      </c>
      <c r="E207" s="21" t="str">
        <f>IF(ISERROR(VLOOKUP($D207,SITES!$A:$E,2,FALSE)),"",VLOOKUP($D207,SITES!$A:$E,2,FALSE))</f>
        <v>Dodger Channel</v>
      </c>
      <c r="F207" s="19">
        <f>IF(ISERROR(VLOOKUP($D207,SITES!$A:$E,3,FALSE)),"",VLOOKUP($D207,SITES!$A:$E,3,FALSE))</f>
        <v>48.828948974609297</v>
      </c>
      <c r="G207" s="22">
        <f>IF(ISERROR(VLOOKUP($D207,SITES!$A:$E,4,FALSE)),"",VLOOKUP($D207,SITES!$A:$E,4,FALSE))</f>
        <v>-125.19757080078099</v>
      </c>
      <c r="H207" s="23">
        <f t="shared" ref="H207:N207" si="398">IF(ISERROR(H206),IF(ISERROR(H205),IF(ISERROR(#REF!),"BLANK",#REF!),H205),H206)</f>
        <v>45407</v>
      </c>
      <c r="I207" s="20">
        <f t="shared" si="398"/>
        <v>3</v>
      </c>
      <c r="J207" s="20" t="str">
        <f t="shared" si="398"/>
        <v>NE</v>
      </c>
      <c r="K207" s="27">
        <f t="shared" si="398"/>
        <v>0.59513888888888888</v>
      </c>
      <c r="L207" s="20">
        <f t="shared" si="398"/>
        <v>5</v>
      </c>
      <c r="M207" s="20">
        <f t="shared" si="398"/>
        <v>2</v>
      </c>
      <c r="N207" s="20">
        <f t="shared" si="398"/>
        <v>1</v>
      </c>
      <c r="O207" s="20">
        <v>32</v>
      </c>
      <c r="P207" s="20" t="s">
        <v>41</v>
      </c>
      <c r="Q207" s="21" t="str">
        <f>IF($M207=1,IF(ISERROR(VLOOKUP($P207,'M1'!$A:$C,Q$2,FALSE)),"NOT PRESENT",VLOOKUP($P207,'M1'!$A:$C,Q$2,FALSE)),IF($M207=2,IF(ISERROR(VLOOKUP(DATA!$P207,'M2'!$A:$C,Q$2,FALSE)),"NOT PRESENT",VLOOKUP(DATA!$P207,'M2'!$A:$C,Q$2,FALSE)),IF($M207=0,IF(ISERROR(VLOOKUP($P207,'M1'!$A:$C,Q$2,FALSE)),IF(ISERROR(VLOOKUP(DATA!$P207,'M2'!$A:$C,Q$2,FALSE)),"NOT PRESENT",VLOOKUP(DATA!$P207,'M2'!$A:$C,Q$2,FALSE)),VLOOKUP($P207,'M1'!$A:$C,Q$2,FALSE)),"SPECIFY METHOD")))</f>
        <v>Mesocentrotus franciscanus</v>
      </c>
      <c r="R207" s="21" t="str">
        <f>IF($M207=1,IF(ISERROR(VLOOKUP($P207,'M1'!$A:$C,R$2,FALSE)),"NOT PRESENT",VLOOKUP($P207,'M1'!$A:$C,R$2,FALSE)),IF($M207=2,IF(ISERROR(VLOOKUP(DATA!$P207,'M2'!$A:$C,R$2,FALSE)),"NOT PRESENT",VLOOKUP(DATA!$P207,'M2'!$A:$C,R$2,FALSE)),IF($M207=0,IF(ISERROR(VLOOKUP($P207,'M1'!$A:$C,R$2,FALSE)),IF(ISERROR(VLOOKUP(DATA!$P207,'M2'!$A:$C,R$2,FALSE)),"NOT PRESENT",VLOOKUP(DATA!$P207,'M2'!$A:$C,R$2,FALSE)),VLOOKUP($P207,'M1'!$A:$C,R$2,FALSE)),"SPECIFY METHOD")))</f>
        <v>Red sea urchin</v>
      </c>
      <c r="S207" s="28">
        <f t="shared" si="3"/>
        <v>8</v>
      </c>
      <c r="T207" s="20">
        <v>0</v>
      </c>
      <c r="U207" s="20"/>
      <c r="V207" s="20"/>
      <c r="W207" s="20">
        <v>3</v>
      </c>
      <c r="X207" s="20">
        <v>5</v>
      </c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</row>
    <row r="208" spans="1:68" ht="12.75" customHeight="1">
      <c r="A208" s="21">
        <f t="shared" si="2"/>
        <v>206</v>
      </c>
      <c r="B208" s="20" t="str">
        <f t="shared" ref="B208:D208" si="399">IF(ISERROR(B207),IF(ISERROR(B206),IF(ISERROR(B205),"BLANK",B205),B206),B207)</f>
        <v>Em Lim</v>
      </c>
      <c r="C208" s="20" t="str">
        <f t="shared" si="399"/>
        <v>Claire Attridge</v>
      </c>
      <c r="D208" s="20" t="str">
        <f t="shared" si="399"/>
        <v>BMSC1</v>
      </c>
      <c r="E208" s="21" t="str">
        <f>IF(ISERROR(VLOOKUP($D208,SITES!$A:$E,2,FALSE)),"",VLOOKUP($D208,SITES!$A:$E,2,FALSE))</f>
        <v>Dodger Channel</v>
      </c>
      <c r="F208" s="19">
        <f>IF(ISERROR(VLOOKUP($D208,SITES!$A:$E,3,FALSE)),"",VLOOKUP($D208,SITES!$A:$E,3,FALSE))</f>
        <v>48.828948974609297</v>
      </c>
      <c r="G208" s="22">
        <f>IF(ISERROR(VLOOKUP($D208,SITES!$A:$E,4,FALSE)),"",VLOOKUP($D208,SITES!$A:$E,4,FALSE))</f>
        <v>-125.19757080078099</v>
      </c>
      <c r="H208" s="23">
        <f t="shared" ref="H208:N208" si="400">IF(ISERROR(H207),IF(ISERROR(H206),IF(ISERROR(H205),"BLANK",H205),H206),H207)</f>
        <v>45407</v>
      </c>
      <c r="I208" s="20">
        <f t="shared" si="400"/>
        <v>3</v>
      </c>
      <c r="J208" s="20" t="str">
        <f t="shared" si="400"/>
        <v>NE</v>
      </c>
      <c r="K208" s="27">
        <f t="shared" si="400"/>
        <v>0.59513888888888888</v>
      </c>
      <c r="L208" s="20">
        <f t="shared" si="400"/>
        <v>5</v>
      </c>
      <c r="M208" s="20">
        <f t="shared" si="400"/>
        <v>2</v>
      </c>
      <c r="N208" s="20">
        <f t="shared" si="400"/>
        <v>1</v>
      </c>
      <c r="O208" s="20">
        <v>16</v>
      </c>
      <c r="P208" s="20" t="s">
        <v>41</v>
      </c>
      <c r="Q208" s="21" t="str">
        <f>IF($M208=1,IF(ISERROR(VLOOKUP($P208,'M1'!$A:$C,Q$2,FALSE)),"NOT PRESENT",VLOOKUP($P208,'M1'!$A:$C,Q$2,FALSE)),IF($M208=2,IF(ISERROR(VLOOKUP(DATA!$P208,'M2'!$A:$C,Q$2,FALSE)),"NOT PRESENT",VLOOKUP(DATA!$P208,'M2'!$A:$C,Q$2,FALSE)),IF($M208=0,IF(ISERROR(VLOOKUP($P208,'M1'!$A:$C,Q$2,FALSE)),IF(ISERROR(VLOOKUP(DATA!$P208,'M2'!$A:$C,Q$2,FALSE)),"NOT PRESENT",VLOOKUP(DATA!$P208,'M2'!$A:$C,Q$2,FALSE)),VLOOKUP($P208,'M1'!$A:$C,Q$2,FALSE)),"SPECIFY METHOD")))</f>
        <v>Mesocentrotus franciscanus</v>
      </c>
      <c r="R208" s="21" t="str">
        <f>IF($M208=1,IF(ISERROR(VLOOKUP($P208,'M1'!$A:$C,R$2,FALSE)),"NOT PRESENT",VLOOKUP($P208,'M1'!$A:$C,R$2,FALSE)),IF($M208=2,IF(ISERROR(VLOOKUP(DATA!$P208,'M2'!$A:$C,R$2,FALSE)),"NOT PRESENT",VLOOKUP(DATA!$P208,'M2'!$A:$C,R$2,FALSE)),IF($M208=0,IF(ISERROR(VLOOKUP($P208,'M1'!$A:$C,R$2,FALSE)),IF(ISERROR(VLOOKUP(DATA!$P208,'M2'!$A:$C,R$2,FALSE)),"NOT PRESENT",VLOOKUP(DATA!$P208,'M2'!$A:$C,R$2,FALSE)),VLOOKUP($P208,'M1'!$A:$C,R$2,FALSE)),"SPECIFY METHOD")))</f>
        <v>Red sea urchin</v>
      </c>
      <c r="S208" s="28">
        <f t="shared" si="3"/>
        <v>7</v>
      </c>
      <c r="T208" s="20">
        <v>0</v>
      </c>
      <c r="U208" s="20"/>
      <c r="V208" s="20">
        <v>2</v>
      </c>
      <c r="W208" s="20">
        <v>3</v>
      </c>
      <c r="X208" s="20">
        <v>1</v>
      </c>
      <c r="Y208" s="20">
        <v>1</v>
      </c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</row>
    <row r="209" spans="1:68" ht="12.75" customHeight="1">
      <c r="A209" s="21">
        <f t="shared" si="2"/>
        <v>207</v>
      </c>
      <c r="B209" s="20" t="str">
        <f t="shared" ref="B209:D209" si="401">IF(ISERROR(B208),IF(ISERROR(B207),IF(ISERROR(B206),"BLANK",B206),B207),B208)</f>
        <v>Em Lim</v>
      </c>
      <c r="C209" s="20" t="str">
        <f t="shared" si="401"/>
        <v>Claire Attridge</v>
      </c>
      <c r="D209" s="20" t="str">
        <f t="shared" si="401"/>
        <v>BMSC1</v>
      </c>
      <c r="E209" s="21" t="str">
        <f>IF(ISERROR(VLOOKUP($D209,SITES!$A:$E,2,FALSE)),"",VLOOKUP($D209,SITES!$A:$E,2,FALSE))</f>
        <v>Dodger Channel</v>
      </c>
      <c r="F209" s="19">
        <f>IF(ISERROR(VLOOKUP($D209,SITES!$A:$E,3,FALSE)),"",VLOOKUP($D209,SITES!$A:$E,3,FALSE))</f>
        <v>48.828948974609297</v>
      </c>
      <c r="G209" s="22">
        <f>IF(ISERROR(VLOOKUP($D209,SITES!$A:$E,4,FALSE)),"",VLOOKUP($D209,SITES!$A:$E,4,FALSE))</f>
        <v>-125.19757080078099</v>
      </c>
      <c r="H209" s="23">
        <f t="shared" ref="H209:N209" si="402">IF(ISERROR(H208),IF(ISERROR(H207),IF(ISERROR(H206),"BLANK",H206),H207),H208)</f>
        <v>45407</v>
      </c>
      <c r="I209" s="20">
        <f t="shared" si="402"/>
        <v>3</v>
      </c>
      <c r="J209" s="20" t="str">
        <f t="shared" si="402"/>
        <v>NE</v>
      </c>
      <c r="K209" s="27">
        <f t="shared" si="402"/>
        <v>0.59513888888888888</v>
      </c>
      <c r="L209" s="20">
        <f t="shared" si="402"/>
        <v>5</v>
      </c>
      <c r="M209" s="20">
        <f t="shared" si="402"/>
        <v>2</v>
      </c>
      <c r="N209" s="20">
        <f t="shared" si="402"/>
        <v>1</v>
      </c>
      <c r="O209" s="20">
        <v>16</v>
      </c>
      <c r="P209" s="20" t="s">
        <v>38</v>
      </c>
      <c r="Q209" s="21" t="str">
        <f>IF($M209=1,IF(ISERROR(VLOOKUP($P209,'M1'!$A:$C,Q$2,FALSE)),"NOT PRESENT",VLOOKUP($P209,'M1'!$A:$C,Q$2,FALSE)),IF($M209=2,IF(ISERROR(VLOOKUP(DATA!$P209,'M2'!$A:$C,Q$2,FALSE)),"NOT PRESENT",VLOOKUP(DATA!$P209,'M2'!$A:$C,Q$2,FALSE)),IF($M209=0,IF(ISERROR(VLOOKUP($P209,'M1'!$A:$C,Q$2,FALSE)),IF(ISERROR(VLOOKUP(DATA!$P209,'M2'!$A:$C,Q$2,FALSE)),"NOT PRESENT",VLOOKUP(DATA!$P209,'M2'!$A:$C,Q$2,FALSE)),VLOOKUP($P209,'M1'!$A:$C,Q$2,FALSE)),"SPECIFY METHOD")))</f>
        <v>Pisaster ochraceus</v>
      </c>
      <c r="R209" s="21" t="str">
        <f>IF($M209=1,IF(ISERROR(VLOOKUP($P209,'M1'!$A:$C,R$2,FALSE)),"NOT PRESENT",VLOOKUP($P209,'M1'!$A:$C,R$2,FALSE)),IF($M209=2,IF(ISERROR(VLOOKUP(DATA!$P209,'M2'!$A:$C,R$2,FALSE)),"NOT PRESENT",VLOOKUP(DATA!$P209,'M2'!$A:$C,R$2,FALSE)),IF($M209=0,IF(ISERROR(VLOOKUP($P209,'M1'!$A:$C,R$2,FALSE)),IF(ISERROR(VLOOKUP(DATA!$P209,'M2'!$A:$C,R$2,FALSE)),"NOT PRESENT",VLOOKUP(DATA!$P209,'M2'!$A:$C,R$2,FALSE)),VLOOKUP($P209,'M1'!$A:$C,R$2,FALSE)),"SPECIFY METHOD")))</f>
        <v>Purple sea star</v>
      </c>
      <c r="S209" s="28">
        <f t="shared" si="3"/>
        <v>1</v>
      </c>
      <c r="T209" s="20">
        <v>0</v>
      </c>
      <c r="U209" s="20"/>
      <c r="V209" s="20"/>
      <c r="W209" s="20"/>
      <c r="X209" s="20"/>
      <c r="Y209" s="20">
        <v>1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</row>
    <row r="210" spans="1:68" ht="12.75" customHeight="1">
      <c r="A210" s="21">
        <f t="shared" si="2"/>
        <v>208</v>
      </c>
      <c r="B210" s="20" t="str">
        <f t="shared" ref="B210:D210" si="403">IF(ISERROR(B209),IF(ISERROR(B208),IF(ISERROR(B207),"BLANK",B207),B208),B209)</f>
        <v>Em Lim</v>
      </c>
      <c r="C210" s="20" t="str">
        <f t="shared" si="403"/>
        <v>Claire Attridge</v>
      </c>
      <c r="D210" s="20" t="str">
        <f t="shared" si="403"/>
        <v>BMSC1</v>
      </c>
      <c r="E210" s="21" t="str">
        <f>IF(ISERROR(VLOOKUP($D210,SITES!$A:$E,2,FALSE)),"",VLOOKUP($D210,SITES!$A:$E,2,FALSE))</f>
        <v>Dodger Channel</v>
      </c>
      <c r="F210" s="19">
        <f>IF(ISERROR(VLOOKUP($D210,SITES!$A:$E,3,FALSE)),"",VLOOKUP($D210,SITES!$A:$E,3,FALSE))</f>
        <v>48.828948974609297</v>
      </c>
      <c r="G210" s="22">
        <f>IF(ISERROR(VLOOKUP($D210,SITES!$A:$E,4,FALSE)),"",VLOOKUP($D210,SITES!$A:$E,4,FALSE))</f>
        <v>-125.19757080078099</v>
      </c>
      <c r="H210" s="23">
        <f t="shared" ref="H210:N210" si="404">IF(ISERROR(H209),IF(ISERROR(H208),IF(ISERROR(H207),"BLANK",H207),H208),H209)</f>
        <v>45407</v>
      </c>
      <c r="I210" s="20">
        <f t="shared" si="404"/>
        <v>3</v>
      </c>
      <c r="J210" s="20" t="str">
        <f t="shared" si="404"/>
        <v>NE</v>
      </c>
      <c r="K210" s="27">
        <f t="shared" si="404"/>
        <v>0.59513888888888888</v>
      </c>
      <c r="L210" s="20">
        <f t="shared" si="404"/>
        <v>5</v>
      </c>
      <c r="M210" s="20">
        <f t="shared" si="404"/>
        <v>2</v>
      </c>
      <c r="N210" s="20">
        <f t="shared" si="404"/>
        <v>1</v>
      </c>
      <c r="O210" s="20">
        <v>16</v>
      </c>
      <c r="P210" s="20" t="s">
        <v>39</v>
      </c>
      <c r="Q210" s="21" t="str">
        <f>IF($M210=1,IF(ISERROR(VLOOKUP($P210,'M1'!$A:$C,Q$2,FALSE)),"NOT PRESENT",VLOOKUP($P210,'M1'!$A:$C,Q$2,FALSE)),IF($M210=2,IF(ISERROR(VLOOKUP(DATA!$P210,'M2'!$A:$C,Q$2,FALSE)),"NOT PRESENT",VLOOKUP(DATA!$P210,'M2'!$A:$C,Q$2,FALSE)),IF($M210=0,IF(ISERROR(VLOOKUP($P210,'M1'!$A:$C,Q$2,FALSE)),IF(ISERROR(VLOOKUP(DATA!$P210,'M2'!$A:$C,Q$2,FALSE)),"NOT PRESENT",VLOOKUP(DATA!$P210,'M2'!$A:$C,Q$2,FALSE)),VLOOKUP($P210,'M1'!$A:$C,Q$2,FALSE)),"SPECIFY METHOD")))</f>
        <v>Dermasterias imbricata</v>
      </c>
      <c r="R210" s="21" t="str">
        <f>IF($M210=1,IF(ISERROR(VLOOKUP($P210,'M1'!$A:$C,R$2,FALSE)),"NOT PRESENT",VLOOKUP($P210,'M1'!$A:$C,R$2,FALSE)),IF($M210=2,IF(ISERROR(VLOOKUP(DATA!$P210,'M2'!$A:$C,R$2,FALSE)),"NOT PRESENT",VLOOKUP(DATA!$P210,'M2'!$A:$C,R$2,FALSE)),IF($M210=0,IF(ISERROR(VLOOKUP($P210,'M1'!$A:$C,R$2,FALSE)),IF(ISERROR(VLOOKUP(DATA!$P210,'M2'!$A:$C,R$2,FALSE)),"NOT PRESENT",VLOOKUP(DATA!$P210,'M2'!$A:$C,R$2,FALSE)),VLOOKUP($P210,'M1'!$A:$C,R$2,FALSE)),"SPECIFY METHOD")))</f>
        <v>Leather star</v>
      </c>
      <c r="S210" s="28">
        <f t="shared" si="3"/>
        <v>1</v>
      </c>
      <c r="T210" s="20">
        <v>0</v>
      </c>
      <c r="U210" s="20"/>
      <c r="V210" s="20"/>
      <c r="W210" s="20"/>
      <c r="X210" s="20"/>
      <c r="Y210" s="20">
        <v>1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</row>
    <row r="211" spans="1:68" ht="12.75" customHeight="1">
      <c r="A211" s="21">
        <f t="shared" si="2"/>
        <v>209</v>
      </c>
      <c r="B211" s="20" t="str">
        <f t="shared" ref="B211:D211" si="405">IF(ISERROR(B210),IF(ISERROR(B209),IF(ISERROR(B208),"BLANK",B208),B209),B210)</f>
        <v>Em Lim</v>
      </c>
      <c r="C211" s="20" t="str">
        <f t="shared" si="405"/>
        <v>Claire Attridge</v>
      </c>
      <c r="D211" s="20" t="str">
        <f t="shared" si="405"/>
        <v>BMSC1</v>
      </c>
      <c r="E211" s="21" t="str">
        <f>IF(ISERROR(VLOOKUP($D211,SITES!$A:$E,2,FALSE)),"",VLOOKUP($D211,SITES!$A:$E,2,FALSE))</f>
        <v>Dodger Channel</v>
      </c>
      <c r="F211" s="19">
        <f>IF(ISERROR(VLOOKUP($D211,SITES!$A:$E,3,FALSE)),"",VLOOKUP($D211,SITES!$A:$E,3,FALSE))</f>
        <v>48.828948974609297</v>
      </c>
      <c r="G211" s="22">
        <f>IF(ISERROR(VLOOKUP($D211,SITES!$A:$E,4,FALSE)),"",VLOOKUP($D211,SITES!$A:$E,4,FALSE))</f>
        <v>-125.19757080078099</v>
      </c>
      <c r="H211" s="23">
        <f t="shared" ref="H211:N211" si="406">IF(ISERROR(H210),IF(ISERROR(H209),IF(ISERROR(H208),"BLANK",H208),H209),H210)</f>
        <v>45407</v>
      </c>
      <c r="I211" s="20">
        <f t="shared" si="406"/>
        <v>3</v>
      </c>
      <c r="J211" s="20" t="str">
        <f t="shared" si="406"/>
        <v>NE</v>
      </c>
      <c r="K211" s="27">
        <f t="shared" si="406"/>
        <v>0.59513888888888888</v>
      </c>
      <c r="L211" s="20">
        <f t="shared" si="406"/>
        <v>5</v>
      </c>
      <c r="M211" s="20">
        <f t="shared" si="406"/>
        <v>2</v>
      </c>
      <c r="N211" s="20">
        <f t="shared" si="406"/>
        <v>1</v>
      </c>
      <c r="O211" s="20">
        <v>16</v>
      </c>
      <c r="P211" s="20" t="s">
        <v>70</v>
      </c>
      <c r="Q211" s="21" t="str">
        <f>IF($M211=1,IF(ISERROR(VLOOKUP($P211,'M1'!$A:$C,Q$2,FALSE)),"NOT PRESENT",VLOOKUP($P211,'M1'!$A:$C,Q$2,FALSE)),IF($M211=2,IF(ISERROR(VLOOKUP(DATA!$P211,'M2'!$A:$C,Q$2,FALSE)),"NOT PRESENT",VLOOKUP(DATA!$P211,'M2'!$A:$C,Q$2,FALSE)),IF($M211=0,IF(ISERROR(VLOOKUP($P211,'M1'!$A:$C,Q$2,FALSE)),IF(ISERROR(VLOOKUP(DATA!$P211,'M2'!$A:$C,Q$2,FALSE)),"NOT PRESENT",VLOOKUP(DATA!$P211,'M2'!$A:$C,Q$2,FALSE)),VLOOKUP($P211,'M1'!$A:$C,Q$2,FALSE)),"SPECIFY METHOD")))</f>
        <v>Stylasterias forreri</v>
      </c>
      <c r="R211" s="21" t="str">
        <f>IF($M211=1,IF(ISERROR(VLOOKUP($P211,'M1'!$A:$C,R$2,FALSE)),"NOT PRESENT",VLOOKUP($P211,'M1'!$A:$C,R$2,FALSE)),IF($M211=2,IF(ISERROR(VLOOKUP(DATA!$P211,'M2'!$A:$C,R$2,FALSE)),"NOT PRESENT",VLOOKUP(DATA!$P211,'M2'!$A:$C,R$2,FALSE)),IF($M211=0,IF(ISERROR(VLOOKUP($P211,'M1'!$A:$C,R$2,FALSE)),IF(ISERROR(VLOOKUP(DATA!$P211,'M2'!$A:$C,R$2,FALSE)),"NOT PRESENT",VLOOKUP(DATA!$P211,'M2'!$A:$C,R$2,FALSE)),VLOOKUP($P211,'M1'!$A:$C,R$2,FALSE)),"SPECIFY METHOD")))</f>
        <v>Velcro seastar</v>
      </c>
      <c r="S211" s="28">
        <f t="shared" si="3"/>
        <v>1</v>
      </c>
      <c r="T211" s="20">
        <v>0</v>
      </c>
      <c r="U211" s="20"/>
      <c r="V211" s="20"/>
      <c r="W211" s="20"/>
      <c r="X211" s="20">
        <v>1</v>
      </c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</row>
    <row r="212" spans="1:68" ht="12.75" customHeight="1">
      <c r="A212" s="21">
        <f t="shared" si="2"/>
        <v>210</v>
      </c>
      <c r="B212" s="20" t="s">
        <v>36</v>
      </c>
      <c r="C212" s="20" t="s">
        <v>25</v>
      </c>
      <c r="D212" s="20" t="s">
        <v>71</v>
      </c>
      <c r="E212" s="21" t="str">
        <f>IF(ISERROR(VLOOKUP($D212,SITES!$A:$E,2,FALSE)),"",VLOOKUP($D212,SITES!$A:$E,2,FALSE))</f>
        <v>Wizard Island South</v>
      </c>
      <c r="F212" s="19">
        <f>IF(ISERROR(VLOOKUP($D212,SITES!$A:$E,3,FALSE)),"",VLOOKUP($D212,SITES!$A:$E,3,FALSE))</f>
        <v>48.857467651367102</v>
      </c>
      <c r="G212" s="22">
        <f>IF(ISERROR(VLOOKUP($D212,SITES!$A:$E,4,FALSE)),"",VLOOKUP($D212,SITES!$A:$E,4,FALSE))</f>
        <v>-125.158233642578</v>
      </c>
      <c r="H212" s="20" t="s">
        <v>72</v>
      </c>
      <c r="I212" s="20">
        <v>1.5</v>
      </c>
      <c r="J212" s="20" t="s">
        <v>33</v>
      </c>
      <c r="K212" s="27">
        <v>0.49166666666666664</v>
      </c>
      <c r="L212" s="20">
        <v>5</v>
      </c>
      <c r="M212" s="20">
        <v>2</v>
      </c>
      <c r="N212" s="20">
        <v>1</v>
      </c>
      <c r="O212" s="20">
        <v>48</v>
      </c>
      <c r="P212" s="20" t="s">
        <v>41</v>
      </c>
      <c r="Q212" s="21" t="str">
        <f>IF($M212=1,IF(ISERROR(VLOOKUP($P212,'M1'!$A:$C,Q$2,FALSE)),"NOT PRESENT",VLOOKUP($P212,'M1'!$A:$C,Q$2,FALSE)),IF($M212=2,IF(ISERROR(VLOOKUP(DATA!$P212,'M2'!$A:$C,Q$2,FALSE)),"NOT PRESENT",VLOOKUP(DATA!$P212,'M2'!$A:$C,Q$2,FALSE)),IF($M212=0,IF(ISERROR(VLOOKUP($P212,'M1'!$A:$C,Q$2,FALSE)),IF(ISERROR(VLOOKUP(DATA!$P212,'M2'!$A:$C,Q$2,FALSE)),"NOT PRESENT",VLOOKUP(DATA!$P212,'M2'!$A:$C,Q$2,FALSE)),VLOOKUP($P212,'M1'!$A:$C,Q$2,FALSE)),"SPECIFY METHOD")))</f>
        <v>Mesocentrotus franciscanus</v>
      </c>
      <c r="R212" s="21" t="str">
        <f>IF($M212=1,IF(ISERROR(VLOOKUP($P212,'M1'!$A:$C,R$2,FALSE)),"NOT PRESENT",VLOOKUP($P212,'M1'!$A:$C,R$2,FALSE)),IF($M212=2,IF(ISERROR(VLOOKUP(DATA!$P212,'M2'!$A:$C,R$2,FALSE)),"NOT PRESENT",VLOOKUP(DATA!$P212,'M2'!$A:$C,R$2,FALSE)),IF($M212=0,IF(ISERROR(VLOOKUP($P212,'M1'!$A:$C,R$2,FALSE)),IF(ISERROR(VLOOKUP(DATA!$P212,'M2'!$A:$C,R$2,FALSE)),"NOT PRESENT",VLOOKUP(DATA!$P212,'M2'!$A:$C,R$2,FALSE)),VLOOKUP($P212,'M1'!$A:$C,R$2,FALSE)),"SPECIFY METHOD")))</f>
        <v>Red sea urchin</v>
      </c>
      <c r="S212" s="28">
        <f t="shared" si="3"/>
        <v>22</v>
      </c>
      <c r="T212" s="20">
        <v>0</v>
      </c>
      <c r="U212" s="20">
        <v>2</v>
      </c>
      <c r="V212" s="20">
        <v>13</v>
      </c>
      <c r="W212" s="20">
        <v>6</v>
      </c>
      <c r="X212" s="20">
        <v>1</v>
      </c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</row>
    <row r="213" spans="1:68" ht="12.75" customHeight="1">
      <c r="A213" s="21">
        <f t="shared" si="2"/>
        <v>211</v>
      </c>
      <c r="B213" s="20" t="str">
        <f t="shared" ref="B213:D213" si="407">IF(ISERROR(B212),IF(ISERROR(B211),IF(ISERROR(B210),"BLANK",B210),B211),B212)</f>
        <v>Isabelle Cote</v>
      </c>
      <c r="C213" s="20" t="str">
        <f t="shared" si="407"/>
        <v>Tom Bird</v>
      </c>
      <c r="D213" s="20" t="str">
        <f t="shared" si="407"/>
        <v>BMSC11</v>
      </c>
      <c r="E213" s="21" t="str">
        <f>IF(ISERROR(VLOOKUP($D213,SITES!$A:$E,2,FALSE)),"",VLOOKUP($D213,SITES!$A:$E,2,FALSE))</f>
        <v>Wizard Island South</v>
      </c>
      <c r="F213" s="19">
        <f>IF(ISERROR(VLOOKUP($D213,SITES!$A:$E,3,FALSE)),"",VLOOKUP($D213,SITES!$A:$E,3,FALSE))</f>
        <v>48.857467651367102</v>
      </c>
      <c r="G213" s="22">
        <f>IF(ISERROR(VLOOKUP($D213,SITES!$A:$E,4,FALSE)),"",VLOOKUP($D213,SITES!$A:$E,4,FALSE))</f>
        <v>-125.158233642578</v>
      </c>
      <c r="H213" s="23" t="str">
        <f t="shared" ref="H213:N213" si="408">IF(ISERROR(H212),IF(ISERROR(H211),IF(ISERROR(H210),"BLANK",H210),H211),H212)</f>
        <v>4/26/2024</v>
      </c>
      <c r="I213" s="20">
        <f t="shared" si="408"/>
        <v>1.5</v>
      </c>
      <c r="J213" s="20" t="str">
        <f t="shared" si="408"/>
        <v>SW</v>
      </c>
      <c r="K213" s="27">
        <f t="shared" si="408"/>
        <v>0.49166666666666664</v>
      </c>
      <c r="L213" s="20">
        <f t="shared" si="408"/>
        <v>5</v>
      </c>
      <c r="M213" s="20">
        <f t="shared" si="408"/>
        <v>2</v>
      </c>
      <c r="N213" s="20">
        <f t="shared" si="408"/>
        <v>1</v>
      </c>
      <c r="O213" s="20">
        <v>32</v>
      </c>
      <c r="P213" s="20" t="str">
        <f t="shared" ref="P213:P218" si="409">IF(ISERROR(P212),IF(ISERROR(P211),IF(ISERROR(P210),"BLANK",P210),P211),P212)</f>
        <v>mfra</v>
      </c>
      <c r="Q213" s="21" t="str">
        <f>IF($M213=1,IF(ISERROR(VLOOKUP($P213,'M1'!$A:$C,Q$2,FALSE)),"NOT PRESENT",VLOOKUP($P213,'M1'!$A:$C,Q$2,FALSE)),IF($M213=2,IF(ISERROR(VLOOKUP(DATA!$P213,'M2'!$A:$C,Q$2,FALSE)),"NOT PRESENT",VLOOKUP(DATA!$P213,'M2'!$A:$C,Q$2,FALSE)),IF($M213=0,IF(ISERROR(VLOOKUP($P213,'M1'!$A:$C,Q$2,FALSE)),IF(ISERROR(VLOOKUP(DATA!$P213,'M2'!$A:$C,Q$2,FALSE)),"NOT PRESENT",VLOOKUP(DATA!$P213,'M2'!$A:$C,Q$2,FALSE)),VLOOKUP($P213,'M1'!$A:$C,Q$2,FALSE)),"SPECIFY METHOD")))</f>
        <v>Mesocentrotus franciscanus</v>
      </c>
      <c r="R213" s="21" t="str">
        <f>IF($M213=1,IF(ISERROR(VLOOKUP($P213,'M1'!$A:$C,R$2,FALSE)),"NOT PRESENT",VLOOKUP($P213,'M1'!$A:$C,R$2,FALSE)),IF($M213=2,IF(ISERROR(VLOOKUP(DATA!$P213,'M2'!$A:$C,R$2,FALSE)),"NOT PRESENT",VLOOKUP(DATA!$P213,'M2'!$A:$C,R$2,FALSE)),IF($M213=0,IF(ISERROR(VLOOKUP($P213,'M1'!$A:$C,R$2,FALSE)),IF(ISERROR(VLOOKUP(DATA!$P213,'M2'!$A:$C,R$2,FALSE)),"NOT PRESENT",VLOOKUP(DATA!$P213,'M2'!$A:$C,R$2,FALSE)),VLOOKUP($P213,'M1'!$A:$C,R$2,FALSE)),"SPECIFY METHOD")))</f>
        <v>Red sea urchin</v>
      </c>
      <c r="S213" s="28">
        <f t="shared" si="3"/>
        <v>16</v>
      </c>
      <c r="T213" s="20">
        <v>0</v>
      </c>
      <c r="U213" s="20">
        <v>1</v>
      </c>
      <c r="V213" s="20">
        <v>13</v>
      </c>
      <c r="W213" s="20">
        <v>2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</row>
    <row r="214" spans="1:68" ht="12.75" customHeight="1">
      <c r="A214" s="21">
        <f t="shared" si="2"/>
        <v>212</v>
      </c>
      <c r="B214" s="20" t="str">
        <f t="shared" ref="B214:D214" si="410">IF(ISERROR(B213),IF(ISERROR(B212),IF(ISERROR(B211),"BLANK",B211),B212),B213)</f>
        <v>Isabelle Cote</v>
      </c>
      <c r="C214" s="20" t="str">
        <f t="shared" si="410"/>
        <v>Tom Bird</v>
      </c>
      <c r="D214" s="20" t="str">
        <f t="shared" si="410"/>
        <v>BMSC11</v>
      </c>
      <c r="E214" s="21" t="str">
        <f>IF(ISERROR(VLOOKUP($D214,SITES!$A:$E,2,FALSE)),"",VLOOKUP($D214,SITES!$A:$E,2,FALSE))</f>
        <v>Wizard Island South</v>
      </c>
      <c r="F214" s="19">
        <f>IF(ISERROR(VLOOKUP($D214,SITES!$A:$E,3,FALSE)),"",VLOOKUP($D214,SITES!$A:$E,3,FALSE))</f>
        <v>48.857467651367102</v>
      </c>
      <c r="G214" s="22">
        <f>IF(ISERROR(VLOOKUP($D214,SITES!$A:$E,4,FALSE)),"",VLOOKUP($D214,SITES!$A:$E,4,FALSE))</f>
        <v>-125.158233642578</v>
      </c>
      <c r="H214" s="23" t="str">
        <f t="shared" ref="H214:N214" si="411">IF(ISERROR(H213),IF(ISERROR(H212),IF(ISERROR(H211),"BLANK",H211),H212),H213)</f>
        <v>4/26/2024</v>
      </c>
      <c r="I214" s="20">
        <f t="shared" si="411"/>
        <v>1.5</v>
      </c>
      <c r="J214" s="20" t="str">
        <f t="shared" si="411"/>
        <v>SW</v>
      </c>
      <c r="K214" s="27">
        <f t="shared" si="411"/>
        <v>0.49166666666666664</v>
      </c>
      <c r="L214" s="20">
        <f t="shared" si="411"/>
        <v>5</v>
      </c>
      <c r="M214" s="20">
        <f t="shared" si="411"/>
        <v>2</v>
      </c>
      <c r="N214" s="20">
        <f t="shared" si="411"/>
        <v>1</v>
      </c>
      <c r="O214" s="20">
        <v>16</v>
      </c>
      <c r="P214" s="20" t="str">
        <f t="shared" si="409"/>
        <v>mfra</v>
      </c>
      <c r="Q214" s="21" t="str">
        <f>IF($M214=1,IF(ISERROR(VLOOKUP($P214,'M1'!$A:$C,Q$2,FALSE)),"NOT PRESENT",VLOOKUP($P214,'M1'!$A:$C,Q$2,FALSE)),IF($M214=2,IF(ISERROR(VLOOKUP(DATA!$P214,'M2'!$A:$C,Q$2,FALSE)),"NOT PRESENT",VLOOKUP(DATA!$P214,'M2'!$A:$C,Q$2,FALSE)),IF($M214=0,IF(ISERROR(VLOOKUP($P214,'M1'!$A:$C,Q$2,FALSE)),IF(ISERROR(VLOOKUP(DATA!$P214,'M2'!$A:$C,Q$2,FALSE)),"NOT PRESENT",VLOOKUP(DATA!$P214,'M2'!$A:$C,Q$2,FALSE)),VLOOKUP($P214,'M1'!$A:$C,Q$2,FALSE)),"SPECIFY METHOD")))</f>
        <v>Mesocentrotus franciscanus</v>
      </c>
      <c r="R214" s="21" t="str">
        <f>IF($M214=1,IF(ISERROR(VLOOKUP($P214,'M1'!$A:$C,R$2,FALSE)),"NOT PRESENT",VLOOKUP($P214,'M1'!$A:$C,R$2,FALSE)),IF($M214=2,IF(ISERROR(VLOOKUP(DATA!$P214,'M2'!$A:$C,R$2,FALSE)),"NOT PRESENT",VLOOKUP(DATA!$P214,'M2'!$A:$C,R$2,FALSE)),IF($M214=0,IF(ISERROR(VLOOKUP($P214,'M1'!$A:$C,R$2,FALSE)),IF(ISERROR(VLOOKUP(DATA!$P214,'M2'!$A:$C,R$2,FALSE)),"NOT PRESENT",VLOOKUP(DATA!$P214,'M2'!$A:$C,R$2,FALSE)),VLOOKUP($P214,'M1'!$A:$C,R$2,FALSE)),"SPECIFY METHOD")))</f>
        <v>Red sea urchin</v>
      </c>
      <c r="S214" s="28">
        <f t="shared" si="3"/>
        <v>11</v>
      </c>
      <c r="T214" s="20">
        <v>0</v>
      </c>
      <c r="U214" s="20">
        <v>1</v>
      </c>
      <c r="V214" s="20">
        <v>6</v>
      </c>
      <c r="W214" s="20">
        <v>2</v>
      </c>
      <c r="X214" s="20">
        <v>2</v>
      </c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</row>
    <row r="215" spans="1:68" ht="12.75" customHeight="1">
      <c r="A215" s="21">
        <f t="shared" si="2"/>
        <v>213</v>
      </c>
      <c r="B215" s="20" t="str">
        <f t="shared" ref="B215:C215" si="412">IF(ISERROR(B214),IF(ISERROR(B213),IF(ISERROR(B212),"BLANK",B212),B213),B214)</f>
        <v>Isabelle Cote</v>
      </c>
      <c r="C215" s="20" t="str">
        <f t="shared" si="412"/>
        <v>Tom Bird</v>
      </c>
      <c r="D215" s="20" t="s">
        <v>73</v>
      </c>
      <c r="E215" s="21" t="str">
        <f>IF(ISERROR(VLOOKUP($D215,SITES!$A:$E,2,FALSE)),"",VLOOKUP($D215,SITES!$A:$E,2,FALSE))</f>
        <v>Wizard Island North</v>
      </c>
      <c r="F215" s="19">
        <f>IF(ISERROR(VLOOKUP($D215,SITES!$A:$E,3,FALSE)),"",VLOOKUP($D215,SITES!$A:$E,3,FALSE))</f>
        <v>48.858283996582003</v>
      </c>
      <c r="G215" s="22">
        <f>IF(ISERROR(VLOOKUP($D215,SITES!$A:$E,4,FALSE)),"",VLOOKUP($D215,SITES!$A:$E,4,FALSE))</f>
        <v>-125.160919189453</v>
      </c>
      <c r="H215" s="23" t="str">
        <f t="shared" ref="H215:H233" si="413">IF(ISERROR(H214),IF(ISERROR(H213),IF(ISERROR(H212),"BLANK",H212),H213),H214)</f>
        <v>4/26/2024</v>
      </c>
      <c r="I215" s="20">
        <v>2</v>
      </c>
      <c r="J215" s="20" t="str">
        <f>IF(ISERROR(J214),IF(ISERROR(J213),IF(ISERROR(J212),"BLANK",J212),J213),J214)</f>
        <v>SW</v>
      </c>
      <c r="K215" s="27">
        <v>0.39513888888888887</v>
      </c>
      <c r="L215" s="20">
        <v>7</v>
      </c>
      <c r="M215" s="20">
        <f t="shared" ref="M215:N215" si="414">IF(ISERROR(M214),IF(ISERROR(M213),IF(ISERROR(M212),"BLANK",M212),M213),M214)</f>
        <v>2</v>
      </c>
      <c r="N215" s="20">
        <f t="shared" si="414"/>
        <v>1</v>
      </c>
      <c r="O215" s="20">
        <v>48</v>
      </c>
      <c r="P215" s="20" t="str">
        <f t="shared" si="409"/>
        <v>mfra</v>
      </c>
      <c r="Q215" s="21" t="str">
        <f>IF($M215=1,IF(ISERROR(VLOOKUP($P215,'M1'!$A:$C,Q$2,FALSE)),"NOT PRESENT",VLOOKUP($P215,'M1'!$A:$C,Q$2,FALSE)),IF($M215=2,IF(ISERROR(VLOOKUP(DATA!$P215,'M2'!$A:$C,Q$2,FALSE)),"NOT PRESENT",VLOOKUP(DATA!$P215,'M2'!$A:$C,Q$2,FALSE)),IF($M215=0,IF(ISERROR(VLOOKUP($P215,'M1'!$A:$C,Q$2,FALSE)),IF(ISERROR(VLOOKUP(DATA!$P215,'M2'!$A:$C,Q$2,FALSE)),"NOT PRESENT",VLOOKUP(DATA!$P215,'M2'!$A:$C,Q$2,FALSE)),VLOOKUP($P215,'M1'!$A:$C,Q$2,FALSE)),"SPECIFY METHOD")))</f>
        <v>Mesocentrotus franciscanus</v>
      </c>
      <c r="R215" s="21" t="str">
        <f>IF($M215=1,IF(ISERROR(VLOOKUP($P215,'M1'!$A:$C,R$2,FALSE)),"NOT PRESENT",VLOOKUP($P215,'M1'!$A:$C,R$2,FALSE)),IF($M215=2,IF(ISERROR(VLOOKUP(DATA!$P215,'M2'!$A:$C,R$2,FALSE)),"NOT PRESENT",VLOOKUP(DATA!$P215,'M2'!$A:$C,R$2,FALSE)),IF($M215=0,IF(ISERROR(VLOOKUP($P215,'M1'!$A:$C,R$2,FALSE)),IF(ISERROR(VLOOKUP(DATA!$P215,'M2'!$A:$C,R$2,FALSE)),"NOT PRESENT",VLOOKUP(DATA!$P215,'M2'!$A:$C,R$2,FALSE)),VLOOKUP($P215,'M1'!$A:$C,R$2,FALSE)),"SPECIFY METHOD")))</f>
        <v>Red sea urchin</v>
      </c>
      <c r="S215" s="28">
        <f t="shared" si="3"/>
        <v>9</v>
      </c>
      <c r="T215" s="20">
        <v>0</v>
      </c>
      <c r="U215" s="20"/>
      <c r="V215" s="20">
        <v>4</v>
      </c>
      <c r="W215" s="20">
        <v>1</v>
      </c>
      <c r="X215" s="20">
        <v>3</v>
      </c>
      <c r="Y215" s="20">
        <v>1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</row>
    <row r="216" spans="1:68" ht="12.75" customHeight="1">
      <c r="A216" s="21">
        <f t="shared" si="2"/>
        <v>214</v>
      </c>
      <c r="B216" s="20" t="str">
        <f t="shared" ref="B216:D216" si="415">IF(ISERROR(B215),IF(ISERROR(B214),IF(ISERROR(B213),"BLANK",B213),B214),B215)</f>
        <v>Isabelle Cote</v>
      </c>
      <c r="C216" s="20" t="str">
        <f t="shared" si="415"/>
        <v>Tom Bird</v>
      </c>
      <c r="D216" s="20" t="str">
        <f t="shared" si="415"/>
        <v>BMSC12</v>
      </c>
      <c r="E216" s="21" t="str">
        <f>IF(ISERROR(VLOOKUP($D216,SITES!$A:$E,2,FALSE)),"",VLOOKUP($D216,SITES!$A:$E,2,FALSE))</f>
        <v>Wizard Island North</v>
      </c>
      <c r="F216" s="19">
        <f>IF(ISERROR(VLOOKUP($D216,SITES!$A:$E,3,FALSE)),"",VLOOKUP($D216,SITES!$A:$E,3,FALSE))</f>
        <v>48.858283996582003</v>
      </c>
      <c r="G216" s="22">
        <f>IF(ISERROR(VLOOKUP($D216,SITES!$A:$E,4,FALSE)),"",VLOOKUP($D216,SITES!$A:$E,4,FALSE))</f>
        <v>-125.160919189453</v>
      </c>
      <c r="H216" s="23" t="str">
        <f t="shared" si="413"/>
        <v>4/26/2024</v>
      </c>
      <c r="I216" s="20">
        <f t="shared" ref="I216:N216" si="416">IF(ISERROR(I215),IF(ISERROR(I214),IF(ISERROR(I213),"BLANK",I213),I214),I215)</f>
        <v>2</v>
      </c>
      <c r="J216" s="20" t="str">
        <f t="shared" si="416"/>
        <v>SW</v>
      </c>
      <c r="K216" s="27">
        <f t="shared" si="416"/>
        <v>0.39513888888888887</v>
      </c>
      <c r="L216" s="20">
        <f t="shared" si="416"/>
        <v>7</v>
      </c>
      <c r="M216" s="20">
        <f t="shared" si="416"/>
        <v>2</v>
      </c>
      <c r="N216" s="20">
        <f t="shared" si="416"/>
        <v>1</v>
      </c>
      <c r="O216" s="20">
        <v>32</v>
      </c>
      <c r="P216" s="20" t="str">
        <f t="shared" si="409"/>
        <v>mfra</v>
      </c>
      <c r="Q216" s="21" t="str">
        <f>IF($M216=1,IF(ISERROR(VLOOKUP($P216,'M1'!$A:$C,Q$2,FALSE)),"NOT PRESENT",VLOOKUP($P216,'M1'!$A:$C,Q$2,FALSE)),IF($M216=2,IF(ISERROR(VLOOKUP(DATA!$P216,'M2'!$A:$C,Q$2,FALSE)),"NOT PRESENT",VLOOKUP(DATA!$P216,'M2'!$A:$C,Q$2,FALSE)),IF($M216=0,IF(ISERROR(VLOOKUP($P216,'M1'!$A:$C,Q$2,FALSE)),IF(ISERROR(VLOOKUP(DATA!$P216,'M2'!$A:$C,Q$2,FALSE)),"NOT PRESENT",VLOOKUP(DATA!$P216,'M2'!$A:$C,Q$2,FALSE)),VLOOKUP($P216,'M1'!$A:$C,Q$2,FALSE)),"SPECIFY METHOD")))</f>
        <v>Mesocentrotus franciscanus</v>
      </c>
      <c r="R216" s="21" t="str">
        <f>IF($M216=1,IF(ISERROR(VLOOKUP($P216,'M1'!$A:$C,R$2,FALSE)),"NOT PRESENT",VLOOKUP($P216,'M1'!$A:$C,R$2,FALSE)),IF($M216=2,IF(ISERROR(VLOOKUP(DATA!$P216,'M2'!$A:$C,R$2,FALSE)),"NOT PRESENT",VLOOKUP(DATA!$P216,'M2'!$A:$C,R$2,FALSE)),IF($M216=0,IF(ISERROR(VLOOKUP($P216,'M1'!$A:$C,R$2,FALSE)),IF(ISERROR(VLOOKUP(DATA!$P216,'M2'!$A:$C,R$2,FALSE)),"NOT PRESENT",VLOOKUP(DATA!$P216,'M2'!$A:$C,R$2,FALSE)),VLOOKUP($P216,'M1'!$A:$C,R$2,FALSE)),"SPECIFY METHOD")))</f>
        <v>Red sea urchin</v>
      </c>
      <c r="S216" s="28">
        <f t="shared" si="3"/>
        <v>6</v>
      </c>
      <c r="T216" s="20">
        <v>0</v>
      </c>
      <c r="U216" s="20"/>
      <c r="V216" s="20">
        <v>5</v>
      </c>
      <c r="W216" s="20">
        <v>1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</row>
    <row r="217" spans="1:68" ht="12.75" customHeight="1">
      <c r="A217" s="21">
        <f t="shared" si="2"/>
        <v>215</v>
      </c>
      <c r="B217" s="20" t="str">
        <f t="shared" ref="B217:D217" si="417">IF(ISERROR(B216),IF(ISERROR(B215),IF(ISERROR(B214),"BLANK",B214),B215),B216)</f>
        <v>Isabelle Cote</v>
      </c>
      <c r="C217" s="20" t="str">
        <f t="shared" si="417"/>
        <v>Tom Bird</v>
      </c>
      <c r="D217" s="20" t="str">
        <f t="shared" si="417"/>
        <v>BMSC12</v>
      </c>
      <c r="E217" s="21" t="str">
        <f>IF(ISERROR(VLOOKUP($D217,SITES!$A:$E,2,FALSE)),"",VLOOKUP($D217,SITES!$A:$E,2,FALSE))</f>
        <v>Wizard Island North</v>
      </c>
      <c r="F217" s="19">
        <f>IF(ISERROR(VLOOKUP($D217,SITES!$A:$E,3,FALSE)),"",VLOOKUP($D217,SITES!$A:$E,3,FALSE))</f>
        <v>48.858283996582003</v>
      </c>
      <c r="G217" s="22">
        <f>IF(ISERROR(VLOOKUP($D217,SITES!$A:$E,4,FALSE)),"",VLOOKUP($D217,SITES!$A:$E,4,FALSE))</f>
        <v>-125.160919189453</v>
      </c>
      <c r="H217" s="23" t="str">
        <f t="shared" si="413"/>
        <v>4/26/2024</v>
      </c>
      <c r="I217" s="20">
        <f t="shared" ref="I217:N217" si="418">IF(ISERROR(I216),IF(ISERROR(I215),IF(ISERROR(I214),"BLANK",I214),I215),I216)</f>
        <v>2</v>
      </c>
      <c r="J217" s="20" t="str">
        <f t="shared" si="418"/>
        <v>SW</v>
      </c>
      <c r="K217" s="27">
        <f t="shared" si="418"/>
        <v>0.39513888888888887</v>
      </c>
      <c r="L217" s="20">
        <f t="shared" si="418"/>
        <v>7</v>
      </c>
      <c r="M217" s="20">
        <f t="shared" si="418"/>
        <v>2</v>
      </c>
      <c r="N217" s="20">
        <f t="shared" si="418"/>
        <v>1</v>
      </c>
      <c r="O217" s="20">
        <v>16</v>
      </c>
      <c r="P217" s="20" t="str">
        <f t="shared" si="409"/>
        <v>mfra</v>
      </c>
      <c r="Q217" s="21" t="str">
        <f>IF($M217=1,IF(ISERROR(VLOOKUP($P217,'M1'!$A:$C,Q$2,FALSE)),"NOT PRESENT",VLOOKUP($P217,'M1'!$A:$C,Q$2,FALSE)),IF($M217=2,IF(ISERROR(VLOOKUP(DATA!$P217,'M2'!$A:$C,Q$2,FALSE)),"NOT PRESENT",VLOOKUP(DATA!$P217,'M2'!$A:$C,Q$2,FALSE)),IF($M217=0,IF(ISERROR(VLOOKUP($P217,'M1'!$A:$C,Q$2,FALSE)),IF(ISERROR(VLOOKUP(DATA!$P217,'M2'!$A:$C,Q$2,FALSE)),"NOT PRESENT",VLOOKUP(DATA!$P217,'M2'!$A:$C,Q$2,FALSE)),VLOOKUP($P217,'M1'!$A:$C,Q$2,FALSE)),"SPECIFY METHOD")))</f>
        <v>Mesocentrotus franciscanus</v>
      </c>
      <c r="R217" s="21" t="str">
        <f>IF($M217=1,IF(ISERROR(VLOOKUP($P217,'M1'!$A:$C,R$2,FALSE)),"NOT PRESENT",VLOOKUP($P217,'M1'!$A:$C,R$2,FALSE)),IF($M217=2,IF(ISERROR(VLOOKUP(DATA!$P217,'M2'!$A:$C,R$2,FALSE)),"NOT PRESENT",VLOOKUP(DATA!$P217,'M2'!$A:$C,R$2,FALSE)),IF($M217=0,IF(ISERROR(VLOOKUP($P217,'M1'!$A:$C,R$2,FALSE)),IF(ISERROR(VLOOKUP(DATA!$P217,'M2'!$A:$C,R$2,FALSE)),"NOT PRESENT",VLOOKUP(DATA!$P217,'M2'!$A:$C,R$2,FALSE)),VLOOKUP($P217,'M1'!$A:$C,R$2,FALSE)),"SPECIFY METHOD")))</f>
        <v>Red sea urchin</v>
      </c>
      <c r="S217" s="28">
        <f t="shared" si="3"/>
        <v>3</v>
      </c>
      <c r="T217" s="20">
        <v>0</v>
      </c>
      <c r="U217" s="20"/>
      <c r="V217" s="20"/>
      <c r="W217" s="20"/>
      <c r="X217" s="20">
        <v>2</v>
      </c>
      <c r="Y217" s="20">
        <v>1</v>
      </c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</row>
    <row r="218" spans="1:68" ht="12.75" customHeight="1">
      <c r="A218" s="21">
        <f t="shared" si="2"/>
        <v>216</v>
      </c>
      <c r="B218" s="20" t="str">
        <f t="shared" ref="B218:C218" si="419">IF(ISERROR(B217),IF(ISERROR(B216),IF(ISERROR(B215),"BLANK",B215),B216),B217)</f>
        <v>Isabelle Cote</v>
      </c>
      <c r="C218" s="20" t="str">
        <f t="shared" si="419"/>
        <v>Tom Bird</v>
      </c>
      <c r="D218" s="20" t="s">
        <v>74</v>
      </c>
      <c r="E218" s="21" t="str">
        <f>IF(ISERROR(VLOOKUP($D218,SITES!$A:$E,2,FALSE)),"",VLOOKUP($D218,SITES!$A:$E,2,FALSE))</f>
        <v>Ross Islets Slug Island</v>
      </c>
      <c r="F218" s="19">
        <f>IF(ISERROR(VLOOKUP($D218,SITES!$A:$E,3,FALSE)),"",VLOOKUP($D218,SITES!$A:$E,3,FALSE))</f>
        <v>48.870517730712798</v>
      </c>
      <c r="G218" s="22">
        <f>IF(ISERROR(VLOOKUP($D218,SITES!$A:$E,4,FALSE)),"",VLOOKUP($D218,SITES!$A:$E,4,FALSE))</f>
        <v>-125.160346984863</v>
      </c>
      <c r="H218" s="23" t="str">
        <f t="shared" si="413"/>
        <v>4/26/2024</v>
      </c>
      <c r="I218" s="20">
        <f t="shared" ref="I218:I228" si="420">IF(ISERROR(I217),IF(ISERROR(I216),IF(ISERROR(I215),"BLANK",I215),I216),I217)</f>
        <v>2</v>
      </c>
      <c r="J218" s="20" t="s">
        <v>68</v>
      </c>
      <c r="K218" s="27">
        <v>0.58750000000000002</v>
      </c>
      <c r="L218" s="20">
        <v>4.5</v>
      </c>
      <c r="M218" s="20">
        <f t="shared" ref="M218:N218" si="421">IF(ISERROR(M217),IF(ISERROR(M216),IF(ISERROR(M215),"BLANK",M215),M216),M217)</f>
        <v>2</v>
      </c>
      <c r="N218" s="20">
        <f t="shared" si="421"/>
        <v>1</v>
      </c>
      <c r="O218" s="20">
        <v>0</v>
      </c>
      <c r="P218" s="20" t="str">
        <f t="shared" si="409"/>
        <v>mfra</v>
      </c>
      <c r="Q218" s="21" t="str">
        <f>IF($M218=1,IF(ISERROR(VLOOKUP($P218,'M1'!$A:$C,Q$2,FALSE)),"NOT PRESENT",VLOOKUP($P218,'M1'!$A:$C,Q$2,FALSE)),IF($M218=2,IF(ISERROR(VLOOKUP(DATA!$P218,'M2'!$A:$C,Q$2,FALSE)),"NOT PRESENT",VLOOKUP(DATA!$P218,'M2'!$A:$C,Q$2,FALSE)),IF($M218=0,IF(ISERROR(VLOOKUP($P218,'M1'!$A:$C,Q$2,FALSE)),IF(ISERROR(VLOOKUP(DATA!$P218,'M2'!$A:$C,Q$2,FALSE)),"NOT PRESENT",VLOOKUP(DATA!$P218,'M2'!$A:$C,Q$2,FALSE)),VLOOKUP($P218,'M1'!$A:$C,Q$2,FALSE)),"SPECIFY METHOD")))</f>
        <v>Mesocentrotus franciscanus</v>
      </c>
      <c r="R218" s="21" t="str">
        <f>IF($M218=1,IF(ISERROR(VLOOKUP($P218,'M1'!$A:$C,R$2,FALSE)),"NOT PRESENT",VLOOKUP($P218,'M1'!$A:$C,R$2,FALSE)),IF($M218=2,IF(ISERROR(VLOOKUP(DATA!$P218,'M2'!$A:$C,R$2,FALSE)),"NOT PRESENT",VLOOKUP(DATA!$P218,'M2'!$A:$C,R$2,FALSE)),IF($M218=0,IF(ISERROR(VLOOKUP($P218,'M1'!$A:$C,R$2,FALSE)),IF(ISERROR(VLOOKUP(DATA!$P218,'M2'!$A:$C,R$2,FALSE)),"NOT PRESENT",VLOOKUP(DATA!$P218,'M2'!$A:$C,R$2,FALSE)),VLOOKUP($P218,'M1'!$A:$C,R$2,FALSE)),"SPECIFY METHOD")))</f>
        <v>Red sea urchin</v>
      </c>
      <c r="S218" s="28">
        <f t="shared" si="3"/>
        <v>6</v>
      </c>
      <c r="T218" s="20">
        <v>0</v>
      </c>
      <c r="U218" s="20"/>
      <c r="V218" s="20"/>
      <c r="W218" s="20"/>
      <c r="X218" s="20">
        <v>2</v>
      </c>
      <c r="Y218" s="20">
        <v>3</v>
      </c>
      <c r="Z218" s="20">
        <v>1</v>
      </c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</row>
    <row r="219" spans="1:68" ht="12.75" customHeight="1">
      <c r="A219" s="21">
        <f t="shared" si="2"/>
        <v>217</v>
      </c>
      <c r="B219" s="20" t="str">
        <f t="shared" ref="B219:D219" si="422">IF(ISERROR(B218),IF(ISERROR(B217),IF(ISERROR(B216),"BLANK",B216),B217),B218)</f>
        <v>Isabelle Cote</v>
      </c>
      <c r="C219" s="20" t="str">
        <f t="shared" si="422"/>
        <v>Tom Bird</v>
      </c>
      <c r="D219" s="20" t="str">
        <f t="shared" si="422"/>
        <v>BMSC10</v>
      </c>
      <c r="E219" s="21" t="str">
        <f>IF(ISERROR(VLOOKUP($D219,SITES!$A:$E,2,FALSE)),"",VLOOKUP($D219,SITES!$A:$E,2,FALSE))</f>
        <v>Ross Islets Slug Island</v>
      </c>
      <c r="F219" s="19">
        <f>IF(ISERROR(VLOOKUP($D219,SITES!$A:$E,3,FALSE)),"",VLOOKUP($D219,SITES!$A:$E,3,FALSE))</f>
        <v>48.870517730712798</v>
      </c>
      <c r="G219" s="22">
        <f>IF(ISERROR(VLOOKUP($D219,SITES!$A:$E,4,FALSE)),"",VLOOKUP($D219,SITES!$A:$E,4,FALSE))</f>
        <v>-125.160346984863</v>
      </c>
      <c r="H219" s="23" t="str">
        <f t="shared" si="413"/>
        <v>4/26/2024</v>
      </c>
      <c r="I219" s="20">
        <f t="shared" si="420"/>
        <v>2</v>
      </c>
      <c r="J219" s="20" t="str">
        <f t="shared" ref="J219:N219" si="423">IF(ISERROR(J218),IF(ISERROR(J217),IF(ISERROR(J216),"BLANK",J216),J217),J218)</f>
        <v>W</v>
      </c>
      <c r="K219" s="27">
        <f t="shared" si="423"/>
        <v>0.58750000000000002</v>
      </c>
      <c r="L219" s="20">
        <f t="shared" si="423"/>
        <v>4.5</v>
      </c>
      <c r="M219" s="20">
        <f t="shared" si="423"/>
        <v>2</v>
      </c>
      <c r="N219" s="20">
        <f t="shared" si="423"/>
        <v>1</v>
      </c>
      <c r="O219" s="20">
        <v>0</v>
      </c>
      <c r="P219" s="20" t="s">
        <v>39</v>
      </c>
      <c r="Q219" s="21" t="str">
        <f>IF($M219=1,IF(ISERROR(VLOOKUP($P219,'M1'!$A:$C,Q$2,FALSE)),"NOT PRESENT",VLOOKUP($P219,'M1'!$A:$C,Q$2,FALSE)),IF($M219=2,IF(ISERROR(VLOOKUP(DATA!$P219,'M2'!$A:$C,Q$2,FALSE)),"NOT PRESENT",VLOOKUP(DATA!$P219,'M2'!$A:$C,Q$2,FALSE)),IF($M219=0,IF(ISERROR(VLOOKUP($P219,'M1'!$A:$C,Q$2,FALSE)),IF(ISERROR(VLOOKUP(DATA!$P219,'M2'!$A:$C,Q$2,FALSE)),"NOT PRESENT",VLOOKUP(DATA!$P219,'M2'!$A:$C,Q$2,FALSE)),VLOOKUP($P219,'M1'!$A:$C,Q$2,FALSE)),"SPECIFY METHOD")))</f>
        <v>Dermasterias imbricata</v>
      </c>
      <c r="R219" s="21" t="str">
        <f>IF($M219=1,IF(ISERROR(VLOOKUP($P219,'M1'!$A:$C,R$2,FALSE)),"NOT PRESENT",VLOOKUP($P219,'M1'!$A:$C,R$2,FALSE)),IF($M219=2,IF(ISERROR(VLOOKUP(DATA!$P219,'M2'!$A:$C,R$2,FALSE)),"NOT PRESENT",VLOOKUP(DATA!$P219,'M2'!$A:$C,R$2,FALSE)),IF($M219=0,IF(ISERROR(VLOOKUP($P219,'M1'!$A:$C,R$2,FALSE)),IF(ISERROR(VLOOKUP(DATA!$P219,'M2'!$A:$C,R$2,FALSE)),"NOT PRESENT",VLOOKUP(DATA!$P219,'M2'!$A:$C,R$2,FALSE)),VLOOKUP($P219,'M1'!$A:$C,R$2,FALSE)),"SPECIFY METHOD")))</f>
        <v>Leather star</v>
      </c>
      <c r="S219" s="28">
        <f t="shared" si="3"/>
        <v>1</v>
      </c>
      <c r="T219" s="20">
        <v>0</v>
      </c>
      <c r="U219" s="20"/>
      <c r="V219" s="20"/>
      <c r="W219" s="20"/>
      <c r="X219" s="20"/>
      <c r="Y219" s="20">
        <v>1</v>
      </c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</row>
    <row r="220" spans="1:68" ht="12.75" customHeight="1">
      <c r="A220" s="21">
        <f t="shared" si="2"/>
        <v>218</v>
      </c>
      <c r="B220" s="20" t="str">
        <f t="shared" ref="B220:D220" si="424">IF(ISERROR(B219),IF(ISERROR(B218),IF(ISERROR(B217),"BLANK",B217),B218),B219)</f>
        <v>Isabelle Cote</v>
      </c>
      <c r="C220" s="20" t="str">
        <f t="shared" si="424"/>
        <v>Tom Bird</v>
      </c>
      <c r="D220" s="20" t="str">
        <f t="shared" si="424"/>
        <v>BMSC10</v>
      </c>
      <c r="E220" s="21" t="str">
        <f>IF(ISERROR(VLOOKUP($D220,SITES!$A:$E,2,FALSE)),"",VLOOKUP($D220,SITES!$A:$E,2,FALSE))</f>
        <v>Ross Islets Slug Island</v>
      </c>
      <c r="F220" s="19">
        <f>IF(ISERROR(VLOOKUP($D220,SITES!$A:$E,3,FALSE)),"",VLOOKUP($D220,SITES!$A:$E,3,FALSE))</f>
        <v>48.870517730712798</v>
      </c>
      <c r="G220" s="22">
        <f>IF(ISERROR(VLOOKUP($D220,SITES!$A:$E,4,FALSE)),"",VLOOKUP($D220,SITES!$A:$E,4,FALSE))</f>
        <v>-125.160346984863</v>
      </c>
      <c r="H220" s="23" t="str">
        <f t="shared" si="413"/>
        <v>4/26/2024</v>
      </c>
      <c r="I220" s="20">
        <f t="shared" si="420"/>
        <v>2</v>
      </c>
      <c r="J220" s="20" t="str">
        <f t="shared" ref="J220:M220" si="425">IF(ISERROR(J219),IF(ISERROR(J218),IF(ISERROR(J217),"BLANK",J217),J218),J219)</f>
        <v>W</v>
      </c>
      <c r="K220" s="27">
        <f t="shared" si="425"/>
        <v>0.58750000000000002</v>
      </c>
      <c r="L220" s="20">
        <f t="shared" si="425"/>
        <v>4.5</v>
      </c>
      <c r="M220" s="20">
        <f t="shared" si="425"/>
        <v>2</v>
      </c>
      <c r="N220" s="20">
        <v>2</v>
      </c>
      <c r="O220" s="20">
        <v>8</v>
      </c>
      <c r="P220" s="20" t="s">
        <v>41</v>
      </c>
      <c r="Q220" s="21" t="str">
        <f>IF($M220=1,IF(ISERROR(VLOOKUP($P220,'M1'!$A:$C,Q$2,FALSE)),"NOT PRESENT",VLOOKUP($P220,'M1'!$A:$C,Q$2,FALSE)),IF($M220=2,IF(ISERROR(VLOOKUP(DATA!$P220,'M2'!$A:$C,Q$2,FALSE)),"NOT PRESENT",VLOOKUP(DATA!$P220,'M2'!$A:$C,Q$2,FALSE)),IF($M220=0,IF(ISERROR(VLOOKUP($P220,'M1'!$A:$C,Q$2,FALSE)),IF(ISERROR(VLOOKUP(DATA!$P220,'M2'!$A:$C,Q$2,FALSE)),"NOT PRESENT",VLOOKUP(DATA!$P220,'M2'!$A:$C,Q$2,FALSE)),VLOOKUP($P220,'M1'!$A:$C,Q$2,FALSE)),"SPECIFY METHOD")))</f>
        <v>Mesocentrotus franciscanus</v>
      </c>
      <c r="R220" s="21" t="str">
        <f>IF($M220=1,IF(ISERROR(VLOOKUP($P220,'M1'!$A:$C,R$2,FALSE)),"NOT PRESENT",VLOOKUP($P220,'M1'!$A:$C,R$2,FALSE)),IF($M220=2,IF(ISERROR(VLOOKUP(DATA!$P220,'M2'!$A:$C,R$2,FALSE)),"NOT PRESENT",VLOOKUP(DATA!$P220,'M2'!$A:$C,R$2,FALSE)),IF($M220=0,IF(ISERROR(VLOOKUP($P220,'M1'!$A:$C,R$2,FALSE)),IF(ISERROR(VLOOKUP(DATA!$P220,'M2'!$A:$C,R$2,FALSE)),"NOT PRESENT",VLOOKUP(DATA!$P220,'M2'!$A:$C,R$2,FALSE)),VLOOKUP($P220,'M1'!$A:$C,R$2,FALSE)),"SPECIFY METHOD")))</f>
        <v>Red sea urchin</v>
      </c>
      <c r="S220" s="28">
        <f t="shared" si="3"/>
        <v>5</v>
      </c>
      <c r="T220" s="20">
        <v>0</v>
      </c>
      <c r="U220" s="20">
        <v>1</v>
      </c>
      <c r="V220" s="20"/>
      <c r="W220" s="20">
        <v>1</v>
      </c>
      <c r="X220" s="20"/>
      <c r="Y220" s="20"/>
      <c r="Z220" s="20">
        <v>3</v>
      </c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</row>
    <row r="221" spans="1:68" ht="12.75" customHeight="1">
      <c r="A221" s="21">
        <f t="shared" si="2"/>
        <v>219</v>
      </c>
      <c r="B221" s="20" t="str">
        <f t="shared" ref="B221:D221" si="426">IF(ISERROR(B220),IF(ISERROR(B219),IF(ISERROR(B218),"BLANK",B218),B219),B220)</f>
        <v>Isabelle Cote</v>
      </c>
      <c r="C221" s="20" t="str">
        <f t="shared" si="426"/>
        <v>Tom Bird</v>
      </c>
      <c r="D221" s="20" t="str">
        <f t="shared" si="426"/>
        <v>BMSC10</v>
      </c>
      <c r="E221" s="21" t="str">
        <f>IF(ISERROR(VLOOKUP($D221,SITES!$A:$E,2,FALSE)),"",VLOOKUP($D221,SITES!$A:$E,2,FALSE))</f>
        <v>Ross Islets Slug Island</v>
      </c>
      <c r="F221" s="19">
        <f>IF(ISERROR(VLOOKUP($D221,SITES!$A:$E,3,FALSE)),"",VLOOKUP($D221,SITES!$A:$E,3,FALSE))</f>
        <v>48.870517730712798</v>
      </c>
      <c r="G221" s="22">
        <f>IF(ISERROR(VLOOKUP($D221,SITES!$A:$E,4,FALSE)),"",VLOOKUP($D221,SITES!$A:$E,4,FALSE))</f>
        <v>-125.160346984863</v>
      </c>
      <c r="H221" s="23" t="str">
        <f t="shared" si="413"/>
        <v>4/26/2024</v>
      </c>
      <c r="I221" s="20">
        <f t="shared" si="420"/>
        <v>2</v>
      </c>
      <c r="J221" s="20" t="str">
        <f t="shared" ref="J221:M221" si="427">IF(ISERROR(J220),IF(ISERROR(J219),IF(ISERROR(J218),"BLANK",J218),J219),J220)</f>
        <v>W</v>
      </c>
      <c r="K221" s="27">
        <f t="shared" si="427"/>
        <v>0.58750000000000002</v>
      </c>
      <c r="L221" s="20">
        <f t="shared" si="427"/>
        <v>4.5</v>
      </c>
      <c r="M221" s="20">
        <f t="shared" si="427"/>
        <v>2</v>
      </c>
      <c r="N221" s="20">
        <v>2</v>
      </c>
      <c r="O221" s="20">
        <v>8</v>
      </c>
      <c r="P221" s="20" t="s">
        <v>40</v>
      </c>
      <c r="Q221" s="21" t="str">
        <f>IF($M221=1,IF(ISERROR(VLOOKUP($P221,'M1'!$A:$C,Q$2,FALSE)),"NOT PRESENT",VLOOKUP($P221,'M1'!$A:$C,Q$2,FALSE)),IF($M221=2,IF(ISERROR(VLOOKUP(DATA!$P221,'M2'!$A:$C,Q$2,FALSE)),"NOT PRESENT",VLOOKUP(DATA!$P221,'M2'!$A:$C,Q$2,FALSE)),IF($M221=0,IF(ISERROR(VLOOKUP($P221,'M1'!$A:$C,Q$2,FALSE)),IF(ISERROR(VLOOKUP(DATA!$P221,'M2'!$A:$C,Q$2,FALSE)),"NOT PRESENT",VLOOKUP(DATA!$P221,'M2'!$A:$C,Q$2,FALSE)),VLOOKUP($P221,'M1'!$A:$C,Q$2,FALSE)),"SPECIFY METHOD")))</f>
        <v>Patiria miniata</v>
      </c>
      <c r="R221" s="21" t="str">
        <f>IF($M221=1,IF(ISERROR(VLOOKUP($P221,'M1'!$A:$C,R$2,FALSE)),"NOT PRESENT",VLOOKUP($P221,'M1'!$A:$C,R$2,FALSE)),IF($M221=2,IF(ISERROR(VLOOKUP(DATA!$P221,'M2'!$A:$C,R$2,FALSE)),"NOT PRESENT",VLOOKUP(DATA!$P221,'M2'!$A:$C,R$2,FALSE)),IF($M221=0,IF(ISERROR(VLOOKUP($P221,'M1'!$A:$C,R$2,FALSE)),IF(ISERROR(VLOOKUP(DATA!$P221,'M2'!$A:$C,R$2,FALSE)),"NOT PRESENT",VLOOKUP(DATA!$P221,'M2'!$A:$C,R$2,FALSE)),VLOOKUP($P221,'M1'!$A:$C,R$2,FALSE)),"SPECIFY METHOD")))</f>
        <v>Bat star</v>
      </c>
      <c r="S221" s="28">
        <f t="shared" si="3"/>
        <v>1</v>
      </c>
      <c r="T221" s="20">
        <v>0</v>
      </c>
      <c r="U221" s="20"/>
      <c r="V221" s="20"/>
      <c r="W221" s="20"/>
      <c r="X221" s="20"/>
      <c r="Y221" s="20"/>
      <c r="Z221" s="20">
        <v>1</v>
      </c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</row>
    <row r="222" spans="1:68" ht="12.75" customHeight="1">
      <c r="A222" s="21">
        <f t="shared" si="2"/>
        <v>220</v>
      </c>
      <c r="B222" s="20" t="str">
        <f t="shared" ref="B222:D222" si="428">IF(ISERROR(B221),IF(ISERROR(B220),IF(ISERROR(B219),"BLANK",B219),B220),B221)</f>
        <v>Isabelle Cote</v>
      </c>
      <c r="C222" s="20" t="str">
        <f t="shared" si="428"/>
        <v>Tom Bird</v>
      </c>
      <c r="D222" s="20" t="str">
        <f t="shared" si="428"/>
        <v>BMSC10</v>
      </c>
      <c r="E222" s="21" t="str">
        <f>IF(ISERROR(VLOOKUP($D222,SITES!$A:$E,2,FALSE)),"",VLOOKUP($D222,SITES!$A:$E,2,FALSE))</f>
        <v>Ross Islets Slug Island</v>
      </c>
      <c r="F222" s="19">
        <f>IF(ISERROR(VLOOKUP($D222,SITES!$A:$E,3,FALSE)),"",VLOOKUP($D222,SITES!$A:$E,3,FALSE))</f>
        <v>48.870517730712798</v>
      </c>
      <c r="G222" s="22">
        <f>IF(ISERROR(VLOOKUP($D222,SITES!$A:$E,4,FALSE)),"",VLOOKUP($D222,SITES!$A:$E,4,FALSE))</f>
        <v>-125.160346984863</v>
      </c>
      <c r="H222" s="23" t="str">
        <f t="shared" si="413"/>
        <v>4/26/2024</v>
      </c>
      <c r="I222" s="20">
        <f t="shared" si="420"/>
        <v>2</v>
      </c>
      <c r="J222" s="20" t="str">
        <f t="shared" ref="J222:N222" si="429">IF(ISERROR(J221),IF(ISERROR(J220),IF(ISERROR(J219),"BLANK",J219),J220),J221)</f>
        <v>W</v>
      </c>
      <c r="K222" s="27">
        <f t="shared" si="429"/>
        <v>0.58750000000000002</v>
      </c>
      <c r="L222" s="20">
        <f t="shared" si="429"/>
        <v>4.5</v>
      </c>
      <c r="M222" s="20">
        <f t="shared" si="429"/>
        <v>2</v>
      </c>
      <c r="N222" s="20">
        <f t="shared" si="429"/>
        <v>2</v>
      </c>
      <c r="O222" s="20">
        <v>16</v>
      </c>
      <c r="P222" s="20" t="s">
        <v>41</v>
      </c>
      <c r="Q222" s="21" t="str">
        <f>IF($M222=1,IF(ISERROR(VLOOKUP($P222,'M1'!$A:$C,Q$2,FALSE)),"NOT PRESENT",VLOOKUP($P222,'M1'!$A:$C,Q$2,FALSE)),IF($M222=2,IF(ISERROR(VLOOKUP(DATA!$P222,'M2'!$A:$C,Q$2,FALSE)),"NOT PRESENT",VLOOKUP(DATA!$P222,'M2'!$A:$C,Q$2,FALSE)),IF($M222=0,IF(ISERROR(VLOOKUP($P222,'M1'!$A:$C,Q$2,FALSE)),IF(ISERROR(VLOOKUP(DATA!$P222,'M2'!$A:$C,Q$2,FALSE)),"NOT PRESENT",VLOOKUP(DATA!$P222,'M2'!$A:$C,Q$2,FALSE)),VLOOKUP($P222,'M1'!$A:$C,Q$2,FALSE)),"SPECIFY METHOD")))</f>
        <v>Mesocentrotus franciscanus</v>
      </c>
      <c r="R222" s="21" t="str">
        <f>IF($M222=1,IF(ISERROR(VLOOKUP($P222,'M1'!$A:$C,R$2,FALSE)),"NOT PRESENT",VLOOKUP($P222,'M1'!$A:$C,R$2,FALSE)),IF($M222=2,IF(ISERROR(VLOOKUP(DATA!$P222,'M2'!$A:$C,R$2,FALSE)),"NOT PRESENT",VLOOKUP(DATA!$P222,'M2'!$A:$C,R$2,FALSE)),IF($M222=0,IF(ISERROR(VLOOKUP($P222,'M1'!$A:$C,R$2,FALSE)),IF(ISERROR(VLOOKUP(DATA!$P222,'M2'!$A:$C,R$2,FALSE)),"NOT PRESENT",VLOOKUP(DATA!$P222,'M2'!$A:$C,R$2,FALSE)),VLOOKUP($P222,'M1'!$A:$C,R$2,FALSE)),"SPECIFY METHOD")))</f>
        <v>Red sea urchin</v>
      </c>
      <c r="S222" s="28">
        <f t="shared" si="3"/>
        <v>3</v>
      </c>
      <c r="T222" s="20">
        <v>0</v>
      </c>
      <c r="U222" s="20"/>
      <c r="V222" s="20"/>
      <c r="W222" s="20"/>
      <c r="X222" s="20">
        <v>3</v>
      </c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</row>
    <row r="223" spans="1:68" ht="12.75" customHeight="1">
      <c r="A223" s="21">
        <f t="shared" si="2"/>
        <v>221</v>
      </c>
      <c r="B223" s="20" t="str">
        <f t="shared" ref="B223:D223" si="430">IF(ISERROR(B222),IF(ISERROR(B221),IF(ISERROR(B220),"BLANK",B220),B221),B222)</f>
        <v>Isabelle Cote</v>
      </c>
      <c r="C223" s="20" t="str">
        <f t="shared" si="430"/>
        <v>Tom Bird</v>
      </c>
      <c r="D223" s="20" t="str">
        <f t="shared" si="430"/>
        <v>BMSC10</v>
      </c>
      <c r="E223" s="21" t="str">
        <f>IF(ISERROR(VLOOKUP($D223,SITES!$A:$E,2,FALSE)),"",VLOOKUP($D223,SITES!$A:$E,2,FALSE))</f>
        <v>Ross Islets Slug Island</v>
      </c>
      <c r="F223" s="19">
        <f>IF(ISERROR(VLOOKUP($D223,SITES!$A:$E,3,FALSE)),"",VLOOKUP($D223,SITES!$A:$E,3,FALSE))</f>
        <v>48.870517730712798</v>
      </c>
      <c r="G223" s="22">
        <f>IF(ISERROR(VLOOKUP($D223,SITES!$A:$E,4,FALSE)),"",VLOOKUP($D223,SITES!$A:$E,4,FALSE))</f>
        <v>-125.160346984863</v>
      </c>
      <c r="H223" s="23" t="str">
        <f t="shared" si="413"/>
        <v>4/26/2024</v>
      </c>
      <c r="I223" s="20">
        <f t="shared" si="420"/>
        <v>2</v>
      </c>
      <c r="J223" s="20" t="str">
        <f t="shared" ref="J223:M223" si="431">IF(ISERROR(J222),IF(ISERROR(J221),IF(ISERROR(J220),"BLANK",J220),J221),J222)</f>
        <v>W</v>
      </c>
      <c r="K223" s="27">
        <f t="shared" si="431"/>
        <v>0.58750000000000002</v>
      </c>
      <c r="L223" s="20">
        <f t="shared" si="431"/>
        <v>4.5</v>
      </c>
      <c r="M223" s="20">
        <f t="shared" si="431"/>
        <v>2</v>
      </c>
      <c r="N223" s="20">
        <v>2</v>
      </c>
      <c r="O223" s="20">
        <v>24</v>
      </c>
      <c r="P223" s="20" t="str">
        <f t="shared" ref="P223:P224" si="432">IF(ISERROR(P222),IF(ISERROR(P221),IF(ISERROR(P220),"BLANK",P220),P221),P222)</f>
        <v>mfra</v>
      </c>
      <c r="Q223" s="21" t="str">
        <f>IF($M223=1,IF(ISERROR(VLOOKUP($P223,'M1'!$A:$C,Q$2,FALSE)),"NOT PRESENT",VLOOKUP($P223,'M1'!$A:$C,Q$2,FALSE)),IF($M223=2,IF(ISERROR(VLOOKUP(DATA!$P223,'M2'!$A:$C,Q$2,FALSE)),"NOT PRESENT",VLOOKUP(DATA!$P223,'M2'!$A:$C,Q$2,FALSE)),IF($M223=0,IF(ISERROR(VLOOKUP($P223,'M1'!$A:$C,Q$2,FALSE)),IF(ISERROR(VLOOKUP(DATA!$P223,'M2'!$A:$C,Q$2,FALSE)),"NOT PRESENT",VLOOKUP(DATA!$P223,'M2'!$A:$C,Q$2,FALSE)),VLOOKUP($P223,'M1'!$A:$C,Q$2,FALSE)),"SPECIFY METHOD")))</f>
        <v>Mesocentrotus franciscanus</v>
      </c>
      <c r="R223" s="21" t="str">
        <f>IF($M223=1,IF(ISERROR(VLOOKUP($P223,'M1'!$A:$C,R$2,FALSE)),"NOT PRESENT",VLOOKUP($P223,'M1'!$A:$C,R$2,FALSE)),IF($M223=2,IF(ISERROR(VLOOKUP(DATA!$P223,'M2'!$A:$C,R$2,FALSE)),"NOT PRESENT",VLOOKUP(DATA!$P223,'M2'!$A:$C,R$2,FALSE)),IF($M223=0,IF(ISERROR(VLOOKUP($P223,'M1'!$A:$C,R$2,FALSE)),IF(ISERROR(VLOOKUP(DATA!$P223,'M2'!$A:$C,R$2,FALSE)),"NOT PRESENT",VLOOKUP(DATA!$P223,'M2'!$A:$C,R$2,FALSE)),VLOOKUP($P223,'M1'!$A:$C,R$2,FALSE)),"SPECIFY METHOD")))</f>
        <v>Red sea urchin</v>
      </c>
      <c r="S223" s="28">
        <f t="shared" si="3"/>
        <v>3</v>
      </c>
      <c r="T223" s="20">
        <v>0</v>
      </c>
      <c r="U223" s="20"/>
      <c r="V223" s="20"/>
      <c r="W223" s="20">
        <v>1</v>
      </c>
      <c r="X223" s="20">
        <v>2</v>
      </c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</row>
    <row r="224" spans="1:68" ht="12.75" customHeight="1">
      <c r="A224" s="21">
        <f t="shared" si="2"/>
        <v>222</v>
      </c>
      <c r="B224" s="20" t="str">
        <f t="shared" ref="B224:D224" si="433">IF(ISERROR(B223),IF(ISERROR(B222),IF(ISERROR(B221),"BLANK",B221),B222),B223)</f>
        <v>Isabelle Cote</v>
      </c>
      <c r="C224" s="20" t="str">
        <f t="shared" si="433"/>
        <v>Tom Bird</v>
      </c>
      <c r="D224" s="20" t="str">
        <f t="shared" si="433"/>
        <v>BMSC10</v>
      </c>
      <c r="E224" s="21" t="str">
        <f>IF(ISERROR(VLOOKUP($D224,SITES!$A:$E,2,FALSE)),"",VLOOKUP($D224,SITES!$A:$E,2,FALSE))</f>
        <v>Ross Islets Slug Island</v>
      </c>
      <c r="F224" s="19">
        <f>IF(ISERROR(VLOOKUP($D224,SITES!$A:$E,3,FALSE)),"",VLOOKUP($D224,SITES!$A:$E,3,FALSE))</f>
        <v>48.870517730712798</v>
      </c>
      <c r="G224" s="22">
        <f>IF(ISERROR(VLOOKUP($D224,SITES!$A:$E,4,FALSE)),"",VLOOKUP($D224,SITES!$A:$E,4,FALSE))</f>
        <v>-125.160346984863</v>
      </c>
      <c r="H224" s="23" t="str">
        <f t="shared" si="413"/>
        <v>4/26/2024</v>
      </c>
      <c r="I224" s="20">
        <f t="shared" si="420"/>
        <v>2</v>
      </c>
      <c r="J224" s="20" t="str">
        <f t="shared" ref="J224:N224" si="434">IF(ISERROR(J223),IF(ISERROR(J222),IF(ISERROR(J221),"BLANK",J221),J222),J223)</f>
        <v>W</v>
      </c>
      <c r="K224" s="27">
        <f t="shared" si="434"/>
        <v>0.58750000000000002</v>
      </c>
      <c r="L224" s="20">
        <f t="shared" si="434"/>
        <v>4.5</v>
      </c>
      <c r="M224" s="20">
        <f t="shared" si="434"/>
        <v>2</v>
      </c>
      <c r="N224" s="20">
        <f t="shared" si="434"/>
        <v>2</v>
      </c>
      <c r="O224" s="20">
        <v>32</v>
      </c>
      <c r="P224" s="20" t="str">
        <f t="shared" si="432"/>
        <v>mfra</v>
      </c>
      <c r="Q224" s="21" t="str">
        <f>IF($M224=1,IF(ISERROR(VLOOKUP($P224,'M1'!$A:$C,Q$2,FALSE)),"NOT PRESENT",VLOOKUP($P224,'M1'!$A:$C,Q$2,FALSE)),IF($M224=2,IF(ISERROR(VLOOKUP(DATA!$P224,'M2'!$A:$C,Q$2,FALSE)),"NOT PRESENT",VLOOKUP(DATA!$P224,'M2'!$A:$C,Q$2,FALSE)),IF($M224=0,IF(ISERROR(VLOOKUP($P224,'M1'!$A:$C,Q$2,FALSE)),IF(ISERROR(VLOOKUP(DATA!$P224,'M2'!$A:$C,Q$2,FALSE)),"NOT PRESENT",VLOOKUP(DATA!$P224,'M2'!$A:$C,Q$2,FALSE)),VLOOKUP($P224,'M1'!$A:$C,Q$2,FALSE)),"SPECIFY METHOD")))</f>
        <v>Mesocentrotus franciscanus</v>
      </c>
      <c r="R224" s="21" t="str">
        <f>IF($M224=1,IF(ISERROR(VLOOKUP($P224,'M1'!$A:$C,R$2,FALSE)),"NOT PRESENT",VLOOKUP($P224,'M1'!$A:$C,R$2,FALSE)),IF($M224=2,IF(ISERROR(VLOOKUP(DATA!$P224,'M2'!$A:$C,R$2,FALSE)),"NOT PRESENT",VLOOKUP(DATA!$P224,'M2'!$A:$C,R$2,FALSE)),IF($M224=0,IF(ISERROR(VLOOKUP($P224,'M1'!$A:$C,R$2,FALSE)),IF(ISERROR(VLOOKUP(DATA!$P224,'M2'!$A:$C,R$2,FALSE)),"NOT PRESENT",VLOOKUP(DATA!$P224,'M2'!$A:$C,R$2,FALSE)),VLOOKUP($P224,'M1'!$A:$C,R$2,FALSE)),"SPECIFY METHOD")))</f>
        <v>Red sea urchin</v>
      </c>
      <c r="S224" s="28">
        <f t="shared" si="3"/>
        <v>5</v>
      </c>
      <c r="T224" s="20">
        <v>0</v>
      </c>
      <c r="U224" s="20"/>
      <c r="V224" s="20"/>
      <c r="W224" s="20">
        <v>2</v>
      </c>
      <c r="X224" s="20">
        <v>2</v>
      </c>
      <c r="Y224" s="20">
        <v>1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</row>
    <row r="225" spans="1:68" ht="12.75" customHeight="1">
      <c r="A225" s="21">
        <f t="shared" si="2"/>
        <v>223</v>
      </c>
      <c r="B225" s="20" t="str">
        <f t="shared" ref="B225:D225" si="435">IF(ISERROR(B224),IF(ISERROR(B223),IF(ISERROR(B222),"BLANK",B222),B223),B224)</f>
        <v>Isabelle Cote</v>
      </c>
      <c r="C225" s="20" t="str">
        <f t="shared" si="435"/>
        <v>Tom Bird</v>
      </c>
      <c r="D225" s="20" t="str">
        <f t="shared" si="435"/>
        <v>BMSC10</v>
      </c>
      <c r="E225" s="21" t="str">
        <f>IF(ISERROR(VLOOKUP($D225,SITES!$A:$E,2,FALSE)),"",VLOOKUP($D225,SITES!$A:$E,2,FALSE))</f>
        <v>Ross Islets Slug Island</v>
      </c>
      <c r="F225" s="19">
        <f>IF(ISERROR(VLOOKUP($D225,SITES!$A:$E,3,FALSE)),"",VLOOKUP($D225,SITES!$A:$E,3,FALSE))</f>
        <v>48.870517730712798</v>
      </c>
      <c r="G225" s="22">
        <f>IF(ISERROR(VLOOKUP($D225,SITES!$A:$E,4,FALSE)),"",VLOOKUP($D225,SITES!$A:$E,4,FALSE))</f>
        <v>-125.160346984863</v>
      </c>
      <c r="H225" s="23" t="str">
        <f t="shared" si="413"/>
        <v>4/26/2024</v>
      </c>
      <c r="I225" s="20">
        <f t="shared" si="420"/>
        <v>2</v>
      </c>
      <c r="J225" s="20" t="str">
        <f t="shared" ref="J225:N225" si="436">IF(ISERROR(J224),IF(ISERROR(J223),IF(ISERROR(J222),"BLANK",J222),J223),J224)</f>
        <v>W</v>
      </c>
      <c r="K225" s="27">
        <f t="shared" si="436"/>
        <v>0.58750000000000002</v>
      </c>
      <c r="L225" s="20">
        <f t="shared" si="436"/>
        <v>4.5</v>
      </c>
      <c r="M225" s="20">
        <f t="shared" si="436"/>
        <v>2</v>
      </c>
      <c r="N225" s="20">
        <f t="shared" si="436"/>
        <v>2</v>
      </c>
      <c r="O225" s="20">
        <v>32</v>
      </c>
      <c r="P225" s="20" t="s">
        <v>40</v>
      </c>
      <c r="Q225" s="21" t="str">
        <f>IF($M225=1,IF(ISERROR(VLOOKUP($P225,'M1'!$A:$C,Q$2,FALSE)),"NOT PRESENT",VLOOKUP($P225,'M1'!$A:$C,Q$2,FALSE)),IF($M225=2,IF(ISERROR(VLOOKUP(DATA!$P225,'M2'!$A:$C,Q$2,FALSE)),"NOT PRESENT",VLOOKUP(DATA!$P225,'M2'!$A:$C,Q$2,FALSE)),IF($M225=0,IF(ISERROR(VLOOKUP($P225,'M1'!$A:$C,Q$2,FALSE)),IF(ISERROR(VLOOKUP(DATA!$P225,'M2'!$A:$C,Q$2,FALSE)),"NOT PRESENT",VLOOKUP(DATA!$P225,'M2'!$A:$C,Q$2,FALSE)),VLOOKUP($P225,'M1'!$A:$C,Q$2,FALSE)),"SPECIFY METHOD")))</f>
        <v>Patiria miniata</v>
      </c>
      <c r="R225" s="21" t="str">
        <f>IF($M225=1,IF(ISERROR(VLOOKUP($P225,'M1'!$A:$C,R$2,FALSE)),"NOT PRESENT",VLOOKUP($P225,'M1'!$A:$C,R$2,FALSE)),IF($M225=2,IF(ISERROR(VLOOKUP(DATA!$P225,'M2'!$A:$C,R$2,FALSE)),"NOT PRESENT",VLOOKUP(DATA!$P225,'M2'!$A:$C,R$2,FALSE)),IF($M225=0,IF(ISERROR(VLOOKUP($P225,'M1'!$A:$C,R$2,FALSE)),IF(ISERROR(VLOOKUP(DATA!$P225,'M2'!$A:$C,R$2,FALSE)),"NOT PRESENT",VLOOKUP(DATA!$P225,'M2'!$A:$C,R$2,FALSE)),VLOOKUP($P225,'M1'!$A:$C,R$2,FALSE)),"SPECIFY METHOD")))</f>
        <v>Bat star</v>
      </c>
      <c r="S225" s="28">
        <f t="shared" si="3"/>
        <v>1</v>
      </c>
      <c r="T225" s="20">
        <v>0</v>
      </c>
      <c r="U225" s="20"/>
      <c r="V225" s="20"/>
      <c r="W225" s="20"/>
      <c r="X225" s="20"/>
      <c r="Y225" s="20">
        <v>1</v>
      </c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</row>
    <row r="226" spans="1:68" ht="12.75" customHeight="1">
      <c r="A226" s="21">
        <f t="shared" si="2"/>
        <v>224</v>
      </c>
      <c r="B226" s="20" t="str">
        <f t="shared" ref="B226:D226" si="437">IF(ISERROR(B225),IF(ISERROR(B224),IF(ISERROR(B223),"BLANK",B223),B224),B225)</f>
        <v>Isabelle Cote</v>
      </c>
      <c r="C226" s="20" t="str">
        <f t="shared" si="437"/>
        <v>Tom Bird</v>
      </c>
      <c r="D226" s="20" t="str">
        <f t="shared" si="437"/>
        <v>BMSC10</v>
      </c>
      <c r="E226" s="21" t="str">
        <f>IF(ISERROR(VLOOKUP($D226,SITES!$A:$E,2,FALSE)),"",VLOOKUP($D226,SITES!$A:$E,2,FALSE))</f>
        <v>Ross Islets Slug Island</v>
      </c>
      <c r="F226" s="19">
        <f>IF(ISERROR(VLOOKUP($D226,SITES!$A:$E,3,FALSE)),"",VLOOKUP($D226,SITES!$A:$E,3,FALSE))</f>
        <v>48.870517730712798</v>
      </c>
      <c r="G226" s="22">
        <f>IF(ISERROR(VLOOKUP($D226,SITES!$A:$E,4,FALSE)),"",VLOOKUP($D226,SITES!$A:$E,4,FALSE))</f>
        <v>-125.160346984863</v>
      </c>
      <c r="H226" s="23" t="str">
        <f t="shared" si="413"/>
        <v>4/26/2024</v>
      </c>
      <c r="I226" s="20">
        <f t="shared" si="420"/>
        <v>2</v>
      </c>
      <c r="J226" s="20" t="str">
        <f t="shared" ref="J226:M226" si="438">IF(ISERROR(J225),IF(ISERROR(J224),IF(ISERROR(J223),"BLANK",J223),J224),J225)</f>
        <v>W</v>
      </c>
      <c r="K226" s="27">
        <f t="shared" si="438"/>
        <v>0.58750000000000002</v>
      </c>
      <c r="L226" s="20">
        <f t="shared" si="438"/>
        <v>4.5</v>
      </c>
      <c r="M226" s="20">
        <f t="shared" si="438"/>
        <v>2</v>
      </c>
      <c r="N226" s="20">
        <v>2</v>
      </c>
      <c r="O226" s="20">
        <v>40</v>
      </c>
      <c r="P226" s="20" t="s">
        <v>41</v>
      </c>
      <c r="Q226" s="21" t="str">
        <f>IF($M226=1,IF(ISERROR(VLOOKUP($P226,'M1'!$A:$C,Q$2,FALSE)),"NOT PRESENT",VLOOKUP($P226,'M1'!$A:$C,Q$2,FALSE)),IF($M226=2,IF(ISERROR(VLOOKUP(DATA!$P226,'M2'!$A:$C,Q$2,FALSE)),"NOT PRESENT",VLOOKUP(DATA!$P226,'M2'!$A:$C,Q$2,FALSE)),IF($M226=0,IF(ISERROR(VLOOKUP($P226,'M1'!$A:$C,Q$2,FALSE)),IF(ISERROR(VLOOKUP(DATA!$P226,'M2'!$A:$C,Q$2,FALSE)),"NOT PRESENT",VLOOKUP(DATA!$P226,'M2'!$A:$C,Q$2,FALSE)),VLOOKUP($P226,'M1'!$A:$C,Q$2,FALSE)),"SPECIFY METHOD")))</f>
        <v>Mesocentrotus franciscanus</v>
      </c>
      <c r="R226" s="21" t="str">
        <f>IF($M226=1,IF(ISERROR(VLOOKUP($P226,'M1'!$A:$C,R$2,FALSE)),"NOT PRESENT",VLOOKUP($P226,'M1'!$A:$C,R$2,FALSE)),IF($M226=2,IF(ISERROR(VLOOKUP(DATA!$P226,'M2'!$A:$C,R$2,FALSE)),"NOT PRESENT",VLOOKUP(DATA!$P226,'M2'!$A:$C,R$2,FALSE)),IF($M226=0,IF(ISERROR(VLOOKUP($P226,'M1'!$A:$C,R$2,FALSE)),IF(ISERROR(VLOOKUP(DATA!$P226,'M2'!$A:$C,R$2,FALSE)),"NOT PRESENT",VLOOKUP(DATA!$P226,'M2'!$A:$C,R$2,FALSE)),VLOOKUP($P226,'M1'!$A:$C,R$2,FALSE)),"SPECIFY METHOD")))</f>
        <v>Red sea urchin</v>
      </c>
      <c r="S226" s="28">
        <f t="shared" si="3"/>
        <v>1</v>
      </c>
      <c r="T226" s="20">
        <v>0</v>
      </c>
      <c r="U226" s="20"/>
      <c r="V226" s="20"/>
      <c r="W226" s="20">
        <v>1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</row>
    <row r="227" spans="1:68" ht="12.75" customHeight="1">
      <c r="A227" s="21">
        <f t="shared" si="2"/>
        <v>225</v>
      </c>
      <c r="B227" s="20" t="str">
        <f t="shared" ref="B227:D227" si="439">IF(ISERROR(B226),IF(ISERROR(B225),IF(ISERROR(B224),"BLANK",B224),B225),B226)</f>
        <v>Isabelle Cote</v>
      </c>
      <c r="C227" s="20" t="str">
        <f t="shared" si="439"/>
        <v>Tom Bird</v>
      </c>
      <c r="D227" s="20" t="str">
        <f t="shared" si="439"/>
        <v>BMSC10</v>
      </c>
      <c r="E227" s="21" t="str">
        <f>IF(ISERROR(VLOOKUP($D227,SITES!$A:$E,2,FALSE)),"",VLOOKUP($D227,SITES!$A:$E,2,FALSE))</f>
        <v>Ross Islets Slug Island</v>
      </c>
      <c r="F227" s="19">
        <f>IF(ISERROR(VLOOKUP($D227,SITES!$A:$E,3,FALSE)),"",VLOOKUP($D227,SITES!$A:$E,3,FALSE))</f>
        <v>48.870517730712798</v>
      </c>
      <c r="G227" s="22">
        <f>IF(ISERROR(VLOOKUP($D227,SITES!$A:$E,4,FALSE)),"",VLOOKUP($D227,SITES!$A:$E,4,FALSE))</f>
        <v>-125.160346984863</v>
      </c>
      <c r="H227" s="23" t="str">
        <f t="shared" si="413"/>
        <v>4/26/2024</v>
      </c>
      <c r="I227" s="20">
        <f t="shared" si="420"/>
        <v>2</v>
      </c>
      <c r="J227" s="20" t="str">
        <f t="shared" ref="J227:M227" si="440">IF(ISERROR(J226),IF(ISERROR(J225),IF(ISERROR(J224),"BLANK",J224),J225),J226)</f>
        <v>W</v>
      </c>
      <c r="K227" s="27">
        <f t="shared" si="440"/>
        <v>0.58750000000000002</v>
      </c>
      <c r="L227" s="20">
        <f t="shared" si="440"/>
        <v>4.5</v>
      </c>
      <c r="M227" s="20">
        <f t="shared" si="440"/>
        <v>2</v>
      </c>
      <c r="N227" s="20">
        <v>2</v>
      </c>
      <c r="O227" s="20">
        <v>40</v>
      </c>
      <c r="P227" s="20" t="s">
        <v>40</v>
      </c>
      <c r="Q227" s="21" t="str">
        <f>IF($M227=1,IF(ISERROR(VLOOKUP($P227,'M1'!$A:$C,Q$2,FALSE)),"NOT PRESENT",VLOOKUP($P227,'M1'!$A:$C,Q$2,FALSE)),IF($M227=2,IF(ISERROR(VLOOKUP(DATA!$P227,'M2'!$A:$C,Q$2,FALSE)),"NOT PRESENT",VLOOKUP(DATA!$P227,'M2'!$A:$C,Q$2,FALSE)),IF($M227=0,IF(ISERROR(VLOOKUP($P227,'M1'!$A:$C,Q$2,FALSE)),IF(ISERROR(VLOOKUP(DATA!$P227,'M2'!$A:$C,Q$2,FALSE)),"NOT PRESENT",VLOOKUP(DATA!$P227,'M2'!$A:$C,Q$2,FALSE)),VLOOKUP($P227,'M1'!$A:$C,Q$2,FALSE)),"SPECIFY METHOD")))</f>
        <v>Patiria miniata</v>
      </c>
      <c r="R227" s="21" t="str">
        <f>IF($M227=1,IF(ISERROR(VLOOKUP($P227,'M1'!$A:$C,R$2,FALSE)),"NOT PRESENT",VLOOKUP($P227,'M1'!$A:$C,R$2,FALSE)),IF($M227=2,IF(ISERROR(VLOOKUP(DATA!$P227,'M2'!$A:$C,R$2,FALSE)),"NOT PRESENT",VLOOKUP(DATA!$P227,'M2'!$A:$C,R$2,FALSE)),IF($M227=0,IF(ISERROR(VLOOKUP($P227,'M1'!$A:$C,R$2,FALSE)),IF(ISERROR(VLOOKUP(DATA!$P227,'M2'!$A:$C,R$2,FALSE)),"NOT PRESENT",VLOOKUP(DATA!$P227,'M2'!$A:$C,R$2,FALSE)),VLOOKUP($P227,'M1'!$A:$C,R$2,FALSE)),"SPECIFY METHOD")))</f>
        <v>Bat star</v>
      </c>
      <c r="S227" s="28">
        <f t="shared" si="3"/>
        <v>1</v>
      </c>
      <c r="T227" s="20">
        <v>0</v>
      </c>
      <c r="U227" s="20"/>
      <c r="V227" s="20"/>
      <c r="W227" s="20"/>
      <c r="X227" s="20">
        <v>1</v>
      </c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</row>
    <row r="228" spans="1:68" ht="12.75" customHeight="1">
      <c r="A228" s="21">
        <f t="shared" si="2"/>
        <v>226</v>
      </c>
      <c r="B228" s="20" t="str">
        <f t="shared" ref="B228:D228" si="441">IF(ISERROR(B227),IF(ISERROR(B226),IF(ISERROR(B225),"BLANK",B225),B226),B227)</f>
        <v>Isabelle Cote</v>
      </c>
      <c r="C228" s="20" t="str">
        <f t="shared" si="441"/>
        <v>Tom Bird</v>
      </c>
      <c r="D228" s="20" t="str">
        <f t="shared" si="441"/>
        <v>BMSC10</v>
      </c>
      <c r="E228" s="21" t="str">
        <f>IF(ISERROR(VLOOKUP($D228,SITES!$A:$E,2,FALSE)),"",VLOOKUP($D228,SITES!$A:$E,2,FALSE))</f>
        <v>Ross Islets Slug Island</v>
      </c>
      <c r="F228" s="19">
        <f>IF(ISERROR(VLOOKUP($D228,SITES!$A:$E,3,FALSE)),"",VLOOKUP($D228,SITES!$A:$E,3,FALSE))</f>
        <v>48.870517730712798</v>
      </c>
      <c r="G228" s="22">
        <f>IF(ISERROR(VLOOKUP($D228,SITES!$A:$E,4,FALSE)),"",VLOOKUP($D228,SITES!$A:$E,4,FALSE))</f>
        <v>-125.160346984863</v>
      </c>
      <c r="H228" s="23" t="str">
        <f t="shared" si="413"/>
        <v>4/26/2024</v>
      </c>
      <c r="I228" s="20">
        <f t="shared" si="420"/>
        <v>2</v>
      </c>
      <c r="J228" s="20" t="str">
        <f t="shared" ref="J228:N228" si="442">IF(ISERROR(J227),IF(ISERROR(J226),IF(ISERROR(J225),"BLANK",J225),J226),J227)</f>
        <v>W</v>
      </c>
      <c r="K228" s="27">
        <f t="shared" si="442"/>
        <v>0.58750000000000002</v>
      </c>
      <c r="L228" s="20">
        <f t="shared" si="442"/>
        <v>4.5</v>
      </c>
      <c r="M228" s="20">
        <f t="shared" si="442"/>
        <v>2</v>
      </c>
      <c r="N228" s="20">
        <f t="shared" si="442"/>
        <v>2</v>
      </c>
      <c r="O228" s="20">
        <v>48</v>
      </c>
      <c r="P228" s="20" t="s">
        <v>41</v>
      </c>
      <c r="Q228" s="21" t="str">
        <f>IF($M228=1,IF(ISERROR(VLOOKUP($P228,'M1'!$A:$C,Q$2,FALSE)),"NOT PRESENT",VLOOKUP($P228,'M1'!$A:$C,Q$2,FALSE)),IF($M228=2,IF(ISERROR(VLOOKUP(DATA!$P228,'M2'!$A:$C,Q$2,FALSE)),"NOT PRESENT",VLOOKUP(DATA!$P228,'M2'!$A:$C,Q$2,FALSE)),IF($M228=0,IF(ISERROR(VLOOKUP($P228,'M1'!$A:$C,Q$2,FALSE)),IF(ISERROR(VLOOKUP(DATA!$P228,'M2'!$A:$C,Q$2,FALSE)),"NOT PRESENT",VLOOKUP(DATA!$P228,'M2'!$A:$C,Q$2,FALSE)),VLOOKUP($P228,'M1'!$A:$C,Q$2,FALSE)),"SPECIFY METHOD")))</f>
        <v>Mesocentrotus franciscanus</v>
      </c>
      <c r="R228" s="21" t="str">
        <f>IF($M228=1,IF(ISERROR(VLOOKUP($P228,'M1'!$A:$C,R$2,FALSE)),"NOT PRESENT",VLOOKUP($P228,'M1'!$A:$C,R$2,FALSE)),IF($M228=2,IF(ISERROR(VLOOKUP(DATA!$P228,'M2'!$A:$C,R$2,FALSE)),"NOT PRESENT",VLOOKUP(DATA!$P228,'M2'!$A:$C,R$2,FALSE)),IF($M228=0,IF(ISERROR(VLOOKUP($P228,'M1'!$A:$C,R$2,FALSE)),IF(ISERROR(VLOOKUP(DATA!$P228,'M2'!$A:$C,R$2,FALSE)),"NOT PRESENT",VLOOKUP(DATA!$P228,'M2'!$A:$C,R$2,FALSE)),VLOOKUP($P228,'M1'!$A:$C,R$2,FALSE)),"SPECIFY METHOD")))</f>
        <v>Red sea urchin</v>
      </c>
      <c r="S228" s="28">
        <f t="shared" si="3"/>
        <v>2</v>
      </c>
      <c r="T228" s="20">
        <v>0</v>
      </c>
      <c r="U228" s="20"/>
      <c r="V228" s="20"/>
      <c r="W228" s="20">
        <v>1</v>
      </c>
      <c r="X228" s="20">
        <v>1</v>
      </c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</row>
    <row r="229" spans="1:68" ht="12.75" customHeight="1">
      <c r="A229" s="21">
        <f t="shared" si="2"/>
        <v>227</v>
      </c>
      <c r="B229" s="20" t="s">
        <v>56</v>
      </c>
      <c r="C229" s="20" t="s">
        <v>35</v>
      </c>
      <c r="D229" s="20" t="s">
        <v>73</v>
      </c>
      <c r="E229" s="21" t="str">
        <f>IF(ISERROR(VLOOKUP($D229,SITES!$A:$E,2,FALSE)),"",VLOOKUP($D229,SITES!$A:$E,2,FALSE))</f>
        <v>Wizard Island North</v>
      </c>
      <c r="F229" s="19">
        <f>IF(ISERROR(VLOOKUP($D229,SITES!$A:$E,3,FALSE)),"",VLOOKUP($D229,SITES!$A:$E,3,FALSE))</f>
        <v>48.858283996582003</v>
      </c>
      <c r="G229" s="22">
        <f>IF(ISERROR(VLOOKUP($D229,SITES!$A:$E,4,FALSE)),"",VLOOKUP($D229,SITES!$A:$E,4,FALSE))</f>
        <v>-125.160919189453</v>
      </c>
      <c r="H229" s="23" t="str">
        <f t="shared" si="413"/>
        <v>4/26/2024</v>
      </c>
      <c r="I229" s="20">
        <v>2.5</v>
      </c>
      <c r="J229" s="20" t="s">
        <v>59</v>
      </c>
      <c r="K229" s="27">
        <v>0.39513888888888887</v>
      </c>
      <c r="L229" s="20">
        <f t="shared" ref="L229:N229" si="443">IF(ISERROR(L228),IF(ISERROR(L227),IF(ISERROR(L226),"BLANK",L226),L227),L228)</f>
        <v>4.5</v>
      </c>
      <c r="M229" s="20">
        <f t="shared" si="443"/>
        <v>2</v>
      </c>
      <c r="N229" s="20">
        <f t="shared" si="443"/>
        <v>2</v>
      </c>
      <c r="O229" s="20">
        <v>40</v>
      </c>
      <c r="P229" s="20" t="s">
        <v>41</v>
      </c>
      <c r="Q229" s="21" t="str">
        <f>IF($M229=1,IF(ISERROR(VLOOKUP($P229,'M1'!$A:$C,Q$2,FALSE)),"NOT PRESENT",VLOOKUP($P229,'M1'!$A:$C,Q$2,FALSE)),IF($M229=2,IF(ISERROR(VLOOKUP(DATA!$P229,'M2'!$A:$C,Q$2,FALSE)),"NOT PRESENT",VLOOKUP(DATA!$P229,'M2'!$A:$C,Q$2,FALSE)),IF($M229=0,IF(ISERROR(VLOOKUP($P229,'M1'!$A:$C,Q$2,FALSE)),IF(ISERROR(VLOOKUP(DATA!$P229,'M2'!$A:$C,Q$2,FALSE)),"NOT PRESENT",VLOOKUP(DATA!$P229,'M2'!$A:$C,Q$2,FALSE)),VLOOKUP($P229,'M1'!$A:$C,Q$2,FALSE)),"SPECIFY METHOD")))</f>
        <v>Mesocentrotus franciscanus</v>
      </c>
      <c r="R229" s="21" t="str">
        <f>IF($M229=1,IF(ISERROR(VLOOKUP($P229,'M1'!$A:$C,R$2,FALSE)),"NOT PRESENT",VLOOKUP($P229,'M1'!$A:$C,R$2,FALSE)),IF($M229=2,IF(ISERROR(VLOOKUP(DATA!$P229,'M2'!$A:$C,R$2,FALSE)),"NOT PRESENT",VLOOKUP(DATA!$P229,'M2'!$A:$C,R$2,FALSE)),IF($M229=0,IF(ISERROR(VLOOKUP($P229,'M1'!$A:$C,R$2,FALSE)),IF(ISERROR(VLOOKUP(DATA!$P229,'M2'!$A:$C,R$2,FALSE)),"NOT PRESENT",VLOOKUP(DATA!$P229,'M2'!$A:$C,R$2,FALSE)),VLOOKUP($P229,'M1'!$A:$C,R$2,FALSE)),"SPECIFY METHOD")))</f>
        <v>Red sea urchin</v>
      </c>
      <c r="S229" s="28">
        <f t="shared" si="3"/>
        <v>7</v>
      </c>
      <c r="T229" s="20">
        <v>0</v>
      </c>
      <c r="U229" s="20"/>
      <c r="V229" s="20"/>
      <c r="W229" s="20">
        <v>2</v>
      </c>
      <c r="X229" s="20">
        <v>4</v>
      </c>
      <c r="Y229" s="20">
        <v>1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</row>
    <row r="230" spans="1:68" ht="12.75" customHeight="1">
      <c r="A230" s="21">
        <f t="shared" si="2"/>
        <v>228</v>
      </c>
      <c r="B230" s="20" t="str">
        <f t="shared" ref="B230:D230" si="444">IF(ISERROR(B229),IF(ISERROR(B228),IF(ISERROR(B227),"BLANK",B227),B228),B229)</f>
        <v>Claire Attridge</v>
      </c>
      <c r="C230" s="20" t="str">
        <f t="shared" si="444"/>
        <v>Em Lim</v>
      </c>
      <c r="D230" s="20" t="str">
        <f t="shared" si="444"/>
        <v>BMSC12</v>
      </c>
      <c r="E230" s="21" t="str">
        <f>IF(ISERROR(VLOOKUP($D230,SITES!$A:$E,2,FALSE)),"",VLOOKUP($D230,SITES!$A:$E,2,FALSE))</f>
        <v>Wizard Island North</v>
      </c>
      <c r="F230" s="19">
        <f>IF(ISERROR(VLOOKUP($D230,SITES!$A:$E,3,FALSE)),"",VLOOKUP($D230,SITES!$A:$E,3,FALSE))</f>
        <v>48.858283996582003</v>
      </c>
      <c r="G230" s="22">
        <f>IF(ISERROR(VLOOKUP($D230,SITES!$A:$E,4,FALSE)),"",VLOOKUP($D230,SITES!$A:$E,4,FALSE))</f>
        <v>-125.160919189453</v>
      </c>
      <c r="H230" s="23" t="str">
        <f t="shared" si="413"/>
        <v>4/26/2024</v>
      </c>
      <c r="I230" s="20">
        <f t="shared" ref="I230:N230" si="445">IF(ISERROR(I229),IF(ISERROR(I228),IF(ISERROR(I227),"BLANK",I227),I228),I229)</f>
        <v>2.5</v>
      </c>
      <c r="J230" s="20" t="str">
        <f t="shared" si="445"/>
        <v>NE</v>
      </c>
      <c r="K230" s="27">
        <f t="shared" si="445"/>
        <v>0.39513888888888887</v>
      </c>
      <c r="L230" s="20">
        <f t="shared" si="445"/>
        <v>4.5</v>
      </c>
      <c r="M230" s="20">
        <f t="shared" si="445"/>
        <v>2</v>
      </c>
      <c r="N230" s="20">
        <f t="shared" si="445"/>
        <v>2</v>
      </c>
      <c r="O230" s="20">
        <v>24</v>
      </c>
      <c r="P230" s="20" t="str">
        <f t="shared" ref="P230:P233" si="446">IF(ISERROR(P229),IF(ISERROR(P228),IF(ISERROR(P227),"BLANK",P227),P228),P229)</f>
        <v>mfra</v>
      </c>
      <c r="Q230" s="21" t="str">
        <f>IF($M230=1,IF(ISERROR(VLOOKUP($P230,'M1'!$A:$C,Q$2,FALSE)),"NOT PRESENT",VLOOKUP($P230,'M1'!$A:$C,Q$2,FALSE)),IF($M230=2,IF(ISERROR(VLOOKUP(DATA!$P230,'M2'!$A:$C,Q$2,FALSE)),"NOT PRESENT",VLOOKUP(DATA!$P230,'M2'!$A:$C,Q$2,FALSE)),IF($M230=0,IF(ISERROR(VLOOKUP($P230,'M1'!$A:$C,Q$2,FALSE)),IF(ISERROR(VLOOKUP(DATA!$P230,'M2'!$A:$C,Q$2,FALSE)),"NOT PRESENT",VLOOKUP(DATA!$P230,'M2'!$A:$C,Q$2,FALSE)),VLOOKUP($P230,'M1'!$A:$C,Q$2,FALSE)),"SPECIFY METHOD")))</f>
        <v>Mesocentrotus franciscanus</v>
      </c>
      <c r="R230" s="21" t="str">
        <f>IF($M230=1,IF(ISERROR(VLOOKUP($P230,'M1'!$A:$C,R$2,FALSE)),"NOT PRESENT",VLOOKUP($P230,'M1'!$A:$C,R$2,FALSE)),IF($M230=2,IF(ISERROR(VLOOKUP(DATA!$P230,'M2'!$A:$C,R$2,FALSE)),"NOT PRESENT",VLOOKUP(DATA!$P230,'M2'!$A:$C,R$2,FALSE)),IF($M230=0,IF(ISERROR(VLOOKUP($P230,'M1'!$A:$C,R$2,FALSE)),IF(ISERROR(VLOOKUP(DATA!$P230,'M2'!$A:$C,R$2,FALSE)),"NOT PRESENT",VLOOKUP(DATA!$P230,'M2'!$A:$C,R$2,FALSE)),VLOOKUP($P230,'M1'!$A:$C,R$2,FALSE)),"SPECIFY METHOD")))</f>
        <v>Red sea urchin</v>
      </c>
      <c r="S230" s="28">
        <f t="shared" si="3"/>
        <v>7</v>
      </c>
      <c r="T230" s="20">
        <v>0</v>
      </c>
      <c r="U230" s="20"/>
      <c r="V230" s="20">
        <v>1</v>
      </c>
      <c r="W230" s="20"/>
      <c r="X230" s="20">
        <v>2</v>
      </c>
      <c r="Y230" s="20">
        <v>4</v>
      </c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</row>
    <row r="231" spans="1:68" ht="12.75" customHeight="1">
      <c r="A231" s="21">
        <f t="shared" si="2"/>
        <v>229</v>
      </c>
      <c r="B231" s="20" t="str">
        <f t="shared" ref="B231:D231" si="447">IF(ISERROR(B230),IF(ISERROR(B229),IF(ISERROR(B228),"BLANK",B228),B229),B230)</f>
        <v>Claire Attridge</v>
      </c>
      <c r="C231" s="20" t="str">
        <f t="shared" si="447"/>
        <v>Em Lim</v>
      </c>
      <c r="D231" s="20" t="str">
        <f t="shared" si="447"/>
        <v>BMSC12</v>
      </c>
      <c r="E231" s="21" t="str">
        <f>IF(ISERROR(VLOOKUP($D231,SITES!$A:$E,2,FALSE)),"",VLOOKUP($D231,SITES!$A:$E,2,FALSE))</f>
        <v>Wizard Island North</v>
      </c>
      <c r="F231" s="19">
        <f>IF(ISERROR(VLOOKUP($D231,SITES!$A:$E,3,FALSE)),"",VLOOKUP($D231,SITES!$A:$E,3,FALSE))</f>
        <v>48.858283996582003</v>
      </c>
      <c r="G231" s="22">
        <f>IF(ISERROR(VLOOKUP($D231,SITES!$A:$E,4,FALSE)),"",VLOOKUP($D231,SITES!$A:$E,4,FALSE))</f>
        <v>-125.160919189453</v>
      </c>
      <c r="H231" s="23" t="str">
        <f t="shared" si="413"/>
        <v>4/26/2024</v>
      </c>
      <c r="I231" s="20">
        <f t="shared" ref="I231:N231" si="448">IF(ISERROR(I230),IF(ISERROR(I229),IF(ISERROR(I228),"BLANK",I228),I229),I230)</f>
        <v>2.5</v>
      </c>
      <c r="J231" s="20" t="str">
        <f t="shared" si="448"/>
        <v>NE</v>
      </c>
      <c r="K231" s="27">
        <f t="shared" si="448"/>
        <v>0.39513888888888887</v>
      </c>
      <c r="L231" s="20">
        <f t="shared" si="448"/>
        <v>4.5</v>
      </c>
      <c r="M231" s="20">
        <f t="shared" si="448"/>
        <v>2</v>
      </c>
      <c r="N231" s="20">
        <f t="shared" si="448"/>
        <v>2</v>
      </c>
      <c r="O231" s="20">
        <v>8</v>
      </c>
      <c r="P231" s="20" t="str">
        <f t="shared" si="446"/>
        <v>mfra</v>
      </c>
      <c r="Q231" s="21" t="str">
        <f>IF($M231=1,IF(ISERROR(VLOOKUP($P231,'M1'!$A:$C,Q$2,FALSE)),"NOT PRESENT",VLOOKUP($P231,'M1'!$A:$C,Q$2,FALSE)),IF($M231=2,IF(ISERROR(VLOOKUP(DATA!$P231,'M2'!$A:$C,Q$2,FALSE)),"NOT PRESENT",VLOOKUP(DATA!$P231,'M2'!$A:$C,Q$2,FALSE)),IF($M231=0,IF(ISERROR(VLOOKUP($P231,'M1'!$A:$C,Q$2,FALSE)),IF(ISERROR(VLOOKUP(DATA!$P231,'M2'!$A:$C,Q$2,FALSE)),"NOT PRESENT",VLOOKUP(DATA!$P231,'M2'!$A:$C,Q$2,FALSE)),VLOOKUP($P231,'M1'!$A:$C,Q$2,FALSE)),"SPECIFY METHOD")))</f>
        <v>Mesocentrotus franciscanus</v>
      </c>
      <c r="R231" s="21" t="str">
        <f>IF($M231=1,IF(ISERROR(VLOOKUP($P231,'M1'!$A:$C,R$2,FALSE)),"NOT PRESENT",VLOOKUP($P231,'M1'!$A:$C,R$2,FALSE)),IF($M231=2,IF(ISERROR(VLOOKUP(DATA!$P231,'M2'!$A:$C,R$2,FALSE)),"NOT PRESENT",VLOOKUP(DATA!$P231,'M2'!$A:$C,R$2,FALSE)),IF($M231=0,IF(ISERROR(VLOOKUP($P231,'M1'!$A:$C,R$2,FALSE)),IF(ISERROR(VLOOKUP(DATA!$P231,'M2'!$A:$C,R$2,FALSE)),"NOT PRESENT",VLOOKUP(DATA!$P231,'M2'!$A:$C,R$2,FALSE)),VLOOKUP($P231,'M1'!$A:$C,R$2,FALSE)),"SPECIFY METHOD")))</f>
        <v>Red sea urchin</v>
      </c>
      <c r="S231" s="28">
        <f t="shared" si="3"/>
        <v>7</v>
      </c>
      <c r="T231" s="20">
        <v>0</v>
      </c>
      <c r="U231" s="20">
        <v>1</v>
      </c>
      <c r="V231" s="20"/>
      <c r="W231" s="20">
        <v>2</v>
      </c>
      <c r="X231" s="20"/>
      <c r="Y231" s="20">
        <v>2</v>
      </c>
      <c r="Z231" s="20">
        <v>2</v>
      </c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</row>
    <row r="232" spans="1:68" ht="12.75" customHeight="1">
      <c r="A232" s="21">
        <f t="shared" si="2"/>
        <v>230</v>
      </c>
      <c r="B232" s="20" t="str">
        <f t="shared" ref="B232:D232" si="449">IF(ISERROR(B231),IF(ISERROR(B230),IF(ISERROR(B229),"BLANK",B229),B230),B231)</f>
        <v>Claire Attridge</v>
      </c>
      <c r="C232" s="20" t="str">
        <f t="shared" si="449"/>
        <v>Em Lim</v>
      </c>
      <c r="D232" s="20" t="str">
        <f t="shared" si="449"/>
        <v>BMSC12</v>
      </c>
      <c r="E232" s="21" t="str">
        <f>IF(ISERROR(VLOOKUP($D232,SITES!$A:$E,2,FALSE)),"",VLOOKUP($D232,SITES!$A:$E,2,FALSE))</f>
        <v>Wizard Island North</v>
      </c>
      <c r="F232" s="19">
        <f>IF(ISERROR(VLOOKUP($D232,SITES!$A:$E,3,FALSE)),"",VLOOKUP($D232,SITES!$A:$E,3,FALSE))</f>
        <v>48.858283996582003</v>
      </c>
      <c r="G232" s="22">
        <f>IF(ISERROR(VLOOKUP($D232,SITES!$A:$E,4,FALSE)),"",VLOOKUP($D232,SITES!$A:$E,4,FALSE))</f>
        <v>-125.160919189453</v>
      </c>
      <c r="H232" s="23" t="str">
        <f t="shared" si="413"/>
        <v>4/26/2024</v>
      </c>
      <c r="I232" s="20">
        <f t="shared" ref="I232:N232" si="450">IF(ISERROR(I231),IF(ISERROR(I230),IF(ISERROR(I229),"BLANK",I229),I230),I231)</f>
        <v>2.5</v>
      </c>
      <c r="J232" s="20" t="str">
        <f t="shared" si="450"/>
        <v>NE</v>
      </c>
      <c r="K232" s="27">
        <f t="shared" si="450"/>
        <v>0.39513888888888887</v>
      </c>
      <c r="L232" s="20">
        <f t="shared" si="450"/>
        <v>4.5</v>
      </c>
      <c r="M232" s="20">
        <f t="shared" si="450"/>
        <v>2</v>
      </c>
      <c r="N232" s="20">
        <f t="shared" si="450"/>
        <v>2</v>
      </c>
      <c r="O232" s="20">
        <v>0</v>
      </c>
      <c r="P232" s="20" t="str">
        <f t="shared" si="446"/>
        <v>mfra</v>
      </c>
      <c r="Q232" s="21" t="str">
        <f>IF($M232=1,IF(ISERROR(VLOOKUP($P232,'M1'!$A:$C,Q$2,FALSE)),"NOT PRESENT",VLOOKUP($P232,'M1'!$A:$C,Q$2,FALSE)),IF($M232=2,IF(ISERROR(VLOOKUP(DATA!$P232,'M2'!$A:$C,Q$2,FALSE)),"NOT PRESENT",VLOOKUP(DATA!$P232,'M2'!$A:$C,Q$2,FALSE)),IF($M232=0,IF(ISERROR(VLOOKUP($P232,'M1'!$A:$C,Q$2,FALSE)),IF(ISERROR(VLOOKUP(DATA!$P232,'M2'!$A:$C,Q$2,FALSE)),"NOT PRESENT",VLOOKUP(DATA!$P232,'M2'!$A:$C,Q$2,FALSE)),VLOOKUP($P232,'M1'!$A:$C,Q$2,FALSE)),"SPECIFY METHOD")))</f>
        <v>Mesocentrotus franciscanus</v>
      </c>
      <c r="R232" s="21" t="str">
        <f>IF($M232=1,IF(ISERROR(VLOOKUP($P232,'M1'!$A:$C,R$2,FALSE)),"NOT PRESENT",VLOOKUP($P232,'M1'!$A:$C,R$2,FALSE)),IF($M232=2,IF(ISERROR(VLOOKUP(DATA!$P232,'M2'!$A:$C,R$2,FALSE)),"NOT PRESENT",VLOOKUP(DATA!$P232,'M2'!$A:$C,R$2,FALSE)),IF($M232=0,IF(ISERROR(VLOOKUP($P232,'M1'!$A:$C,R$2,FALSE)),IF(ISERROR(VLOOKUP(DATA!$P232,'M2'!$A:$C,R$2,FALSE)),"NOT PRESENT",VLOOKUP(DATA!$P232,'M2'!$A:$C,R$2,FALSE)),VLOOKUP($P232,'M1'!$A:$C,R$2,FALSE)),"SPECIFY METHOD")))</f>
        <v>Red sea urchin</v>
      </c>
      <c r="S232" s="28">
        <f t="shared" si="3"/>
        <v>8</v>
      </c>
      <c r="T232" s="20">
        <v>0</v>
      </c>
      <c r="U232" s="20"/>
      <c r="V232" s="20"/>
      <c r="W232" s="20">
        <v>1</v>
      </c>
      <c r="X232" s="20">
        <v>4</v>
      </c>
      <c r="Y232" s="20">
        <v>2</v>
      </c>
      <c r="Z232" s="20">
        <v>1</v>
      </c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</row>
    <row r="233" spans="1:68" ht="12.75" customHeight="1">
      <c r="A233" s="21">
        <f t="shared" si="2"/>
        <v>231</v>
      </c>
      <c r="B233" s="20" t="str">
        <f t="shared" ref="B233:C233" si="451">IF(ISERROR(B232),IF(ISERROR(B231),IF(ISERROR(B230),"BLANK",B230),B231),B232)</f>
        <v>Claire Attridge</v>
      </c>
      <c r="C233" s="20" t="str">
        <f t="shared" si="451"/>
        <v>Em Lim</v>
      </c>
      <c r="D233" s="20" t="s">
        <v>71</v>
      </c>
      <c r="E233" s="21" t="str">
        <f>IF(ISERROR(VLOOKUP($D233,SITES!$A:$E,2,FALSE)),"",VLOOKUP($D233,SITES!$A:$E,2,FALSE))</f>
        <v>Wizard Island South</v>
      </c>
      <c r="F233" s="19">
        <f>IF(ISERROR(VLOOKUP($D233,SITES!$A:$E,3,FALSE)),"",VLOOKUP($D233,SITES!$A:$E,3,FALSE))</f>
        <v>48.857467651367102</v>
      </c>
      <c r="G233" s="22">
        <f>IF(ISERROR(VLOOKUP($D233,SITES!$A:$E,4,FALSE)),"",VLOOKUP($D233,SITES!$A:$E,4,FALSE))</f>
        <v>-125.158233642578</v>
      </c>
      <c r="H233" s="23" t="str">
        <f t="shared" si="413"/>
        <v>4/26/2024</v>
      </c>
      <c r="I233" s="20">
        <v>1.5</v>
      </c>
      <c r="J233" s="20" t="s">
        <v>33</v>
      </c>
      <c r="K233" s="27">
        <v>0.49166666666666664</v>
      </c>
      <c r="L233" s="20">
        <v>7.5</v>
      </c>
      <c r="M233" s="20">
        <f t="shared" ref="M233:N233" si="452">IF(ISERROR(M232),IF(ISERROR(M231),IF(ISERROR(M230),"BLANK",M230),M231),M232)</f>
        <v>2</v>
      </c>
      <c r="N233" s="20">
        <f t="shared" si="452"/>
        <v>2</v>
      </c>
      <c r="O233" s="20">
        <v>40</v>
      </c>
      <c r="P233" s="20" t="str">
        <f t="shared" si="446"/>
        <v>mfra</v>
      </c>
      <c r="Q233" s="21" t="str">
        <f>IF($M233=1,IF(ISERROR(VLOOKUP($P233,'M1'!$A:$C,Q$2,FALSE)),"NOT PRESENT",VLOOKUP($P233,'M1'!$A:$C,Q$2,FALSE)),IF($M233=2,IF(ISERROR(VLOOKUP(DATA!$P233,'M2'!$A:$C,Q$2,FALSE)),"NOT PRESENT",VLOOKUP(DATA!$P233,'M2'!$A:$C,Q$2,FALSE)),IF($M233=0,IF(ISERROR(VLOOKUP($P233,'M1'!$A:$C,Q$2,FALSE)),IF(ISERROR(VLOOKUP(DATA!$P233,'M2'!$A:$C,Q$2,FALSE)),"NOT PRESENT",VLOOKUP(DATA!$P233,'M2'!$A:$C,Q$2,FALSE)),VLOOKUP($P233,'M1'!$A:$C,Q$2,FALSE)),"SPECIFY METHOD")))</f>
        <v>Mesocentrotus franciscanus</v>
      </c>
      <c r="R233" s="21" t="str">
        <f>IF($M233=1,IF(ISERROR(VLOOKUP($P233,'M1'!$A:$C,R$2,FALSE)),"NOT PRESENT",VLOOKUP($P233,'M1'!$A:$C,R$2,FALSE)),IF($M233=2,IF(ISERROR(VLOOKUP(DATA!$P233,'M2'!$A:$C,R$2,FALSE)),"NOT PRESENT",VLOOKUP(DATA!$P233,'M2'!$A:$C,R$2,FALSE)),IF($M233=0,IF(ISERROR(VLOOKUP($P233,'M1'!$A:$C,R$2,FALSE)),IF(ISERROR(VLOOKUP(DATA!$P233,'M2'!$A:$C,R$2,FALSE)),"NOT PRESENT",VLOOKUP(DATA!$P233,'M2'!$A:$C,R$2,FALSE)),VLOOKUP($P233,'M1'!$A:$C,R$2,FALSE)),"SPECIFY METHOD")))</f>
        <v>Red sea urchin</v>
      </c>
      <c r="S233" s="28">
        <f t="shared" si="3"/>
        <v>11</v>
      </c>
      <c r="T233" s="20">
        <v>0</v>
      </c>
      <c r="U233" s="20">
        <v>3</v>
      </c>
      <c r="V233" s="20">
        <v>5</v>
      </c>
      <c r="W233" s="20">
        <v>3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</row>
    <row r="234" spans="1:68" ht="12.75" customHeight="1">
      <c r="A234" s="21">
        <f t="shared" si="2"/>
        <v>232</v>
      </c>
      <c r="B234" s="20" t="str">
        <f t="shared" ref="B234:D234" si="453">IF(ISERROR(#REF!),IF(ISERROR(#REF!),IF(ISERROR(B233),"BLANK",B233),#REF!),#REF!)</f>
        <v>Claire Attridge</v>
      </c>
      <c r="C234" s="20" t="str">
        <f t="shared" si="453"/>
        <v>Em Lim</v>
      </c>
      <c r="D234" s="20" t="str">
        <f t="shared" si="453"/>
        <v>BMSC11</v>
      </c>
      <c r="E234" s="21" t="str">
        <f>IF(ISERROR(VLOOKUP($D234,SITES!$A:$E,2,FALSE)),"",VLOOKUP($D234,SITES!$A:$E,2,FALSE))</f>
        <v>Wizard Island South</v>
      </c>
      <c r="F234" s="19">
        <f>IF(ISERROR(VLOOKUP($D234,SITES!$A:$E,3,FALSE)),"",VLOOKUP($D234,SITES!$A:$E,3,FALSE))</f>
        <v>48.857467651367102</v>
      </c>
      <c r="G234" s="22">
        <f>IF(ISERROR(VLOOKUP($D234,SITES!$A:$E,4,FALSE)),"",VLOOKUP($D234,SITES!$A:$E,4,FALSE))</f>
        <v>-125.158233642578</v>
      </c>
      <c r="H234" s="23" t="str">
        <f t="shared" ref="H234:N234" si="454">IF(ISERROR(#REF!),IF(ISERROR(#REF!),IF(ISERROR(H233),"BLANK",H233),#REF!),#REF!)</f>
        <v>4/26/2024</v>
      </c>
      <c r="I234" s="20">
        <f t="shared" si="454"/>
        <v>1.5</v>
      </c>
      <c r="J234" s="20" t="str">
        <f t="shared" si="454"/>
        <v>SW</v>
      </c>
      <c r="K234" s="27">
        <f t="shared" si="454"/>
        <v>0.49166666666666664</v>
      </c>
      <c r="L234" s="20">
        <f t="shared" si="454"/>
        <v>7.5</v>
      </c>
      <c r="M234" s="20">
        <f t="shared" si="454"/>
        <v>2</v>
      </c>
      <c r="N234" s="20">
        <f t="shared" si="454"/>
        <v>2</v>
      </c>
      <c r="O234" s="20">
        <v>8</v>
      </c>
      <c r="P234" s="20" t="s">
        <v>41</v>
      </c>
      <c r="Q234" s="21" t="str">
        <f>IF($M234=1,IF(ISERROR(VLOOKUP($P234,'M1'!$A:$C,Q$2,FALSE)),"NOT PRESENT",VLOOKUP($P234,'M1'!$A:$C,Q$2,FALSE)),IF($M234=2,IF(ISERROR(VLOOKUP(DATA!$P234,'M2'!$A:$C,Q$2,FALSE)),"NOT PRESENT",VLOOKUP(DATA!$P234,'M2'!$A:$C,Q$2,FALSE)),IF($M234=0,IF(ISERROR(VLOOKUP($P234,'M1'!$A:$C,Q$2,FALSE)),IF(ISERROR(VLOOKUP(DATA!$P234,'M2'!$A:$C,Q$2,FALSE)),"NOT PRESENT",VLOOKUP(DATA!$P234,'M2'!$A:$C,Q$2,FALSE)),VLOOKUP($P234,'M1'!$A:$C,Q$2,FALSE)),"SPECIFY METHOD")))</f>
        <v>Mesocentrotus franciscanus</v>
      </c>
      <c r="R234" s="21" t="str">
        <f>IF($M234=1,IF(ISERROR(VLOOKUP($P234,'M1'!$A:$C,R$2,FALSE)),"NOT PRESENT",VLOOKUP($P234,'M1'!$A:$C,R$2,FALSE)),IF($M234=2,IF(ISERROR(VLOOKUP(DATA!$P234,'M2'!$A:$C,R$2,FALSE)),"NOT PRESENT",VLOOKUP(DATA!$P234,'M2'!$A:$C,R$2,FALSE)),IF($M234=0,IF(ISERROR(VLOOKUP($P234,'M1'!$A:$C,R$2,FALSE)),IF(ISERROR(VLOOKUP(DATA!$P234,'M2'!$A:$C,R$2,FALSE)),"NOT PRESENT",VLOOKUP(DATA!$P234,'M2'!$A:$C,R$2,FALSE)),VLOOKUP($P234,'M1'!$A:$C,R$2,FALSE)),"SPECIFY METHOD")))</f>
        <v>Red sea urchin</v>
      </c>
      <c r="S234" s="28">
        <f t="shared" si="3"/>
        <v>2</v>
      </c>
      <c r="T234" s="20">
        <v>0</v>
      </c>
      <c r="U234" s="20"/>
      <c r="V234" s="20"/>
      <c r="W234" s="20"/>
      <c r="X234" s="20">
        <v>2</v>
      </c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</row>
    <row r="235" spans="1:68" ht="12.75" customHeight="1">
      <c r="A235" s="21">
        <f t="shared" si="2"/>
        <v>233</v>
      </c>
      <c r="B235" s="20" t="str">
        <f t="shared" ref="B235:D235" si="455">IF(ISERROR(B234),IF(ISERROR(#REF!),IF(ISERROR(#REF!),"BLANK",#REF!),#REF!),B234)</f>
        <v>Claire Attridge</v>
      </c>
      <c r="C235" s="20" t="str">
        <f t="shared" si="455"/>
        <v>Em Lim</v>
      </c>
      <c r="D235" s="20" t="str">
        <f t="shared" si="455"/>
        <v>BMSC11</v>
      </c>
      <c r="E235" s="21" t="str">
        <f>IF(ISERROR(VLOOKUP($D235,SITES!$A:$E,2,FALSE)),"",VLOOKUP($D235,SITES!$A:$E,2,FALSE))</f>
        <v>Wizard Island South</v>
      </c>
      <c r="F235" s="19">
        <f>IF(ISERROR(VLOOKUP($D235,SITES!$A:$E,3,FALSE)),"",VLOOKUP($D235,SITES!$A:$E,3,FALSE))</f>
        <v>48.857467651367102</v>
      </c>
      <c r="G235" s="22">
        <f>IF(ISERROR(VLOOKUP($D235,SITES!$A:$E,4,FALSE)),"",VLOOKUP($D235,SITES!$A:$E,4,FALSE))</f>
        <v>-125.158233642578</v>
      </c>
      <c r="H235" s="23" t="str">
        <f t="shared" ref="H235:N235" si="456">IF(ISERROR(H234),IF(ISERROR(#REF!),IF(ISERROR(#REF!),"BLANK",#REF!),#REF!),H234)</f>
        <v>4/26/2024</v>
      </c>
      <c r="I235" s="20">
        <f t="shared" si="456"/>
        <v>1.5</v>
      </c>
      <c r="J235" s="20" t="str">
        <f t="shared" si="456"/>
        <v>SW</v>
      </c>
      <c r="K235" s="27">
        <f t="shared" si="456"/>
        <v>0.49166666666666664</v>
      </c>
      <c r="L235" s="20">
        <f t="shared" si="456"/>
        <v>7.5</v>
      </c>
      <c r="M235" s="20">
        <f t="shared" si="456"/>
        <v>2</v>
      </c>
      <c r="N235" s="20">
        <f t="shared" si="456"/>
        <v>2</v>
      </c>
      <c r="O235" s="20">
        <v>0</v>
      </c>
      <c r="P235" s="20" t="str">
        <f>IF(ISERROR(P234),IF(ISERROR(#REF!),IF(ISERROR(#REF!),"BLANK",#REF!),#REF!),P234)</f>
        <v>mfra</v>
      </c>
      <c r="Q235" s="21" t="str">
        <f>IF($M235=1,IF(ISERROR(VLOOKUP($P235,'M1'!$A:$C,Q$2,FALSE)),"NOT PRESENT",VLOOKUP($P235,'M1'!$A:$C,Q$2,FALSE)),IF($M235=2,IF(ISERROR(VLOOKUP(DATA!$P235,'M2'!$A:$C,Q$2,FALSE)),"NOT PRESENT",VLOOKUP(DATA!$P235,'M2'!$A:$C,Q$2,FALSE)),IF($M235=0,IF(ISERROR(VLOOKUP($P235,'M1'!$A:$C,Q$2,FALSE)),IF(ISERROR(VLOOKUP(DATA!$P235,'M2'!$A:$C,Q$2,FALSE)),"NOT PRESENT",VLOOKUP(DATA!$P235,'M2'!$A:$C,Q$2,FALSE)),VLOOKUP($P235,'M1'!$A:$C,Q$2,FALSE)),"SPECIFY METHOD")))</f>
        <v>Mesocentrotus franciscanus</v>
      </c>
      <c r="R235" s="21" t="str">
        <f>IF($M235=1,IF(ISERROR(VLOOKUP($P235,'M1'!$A:$C,R$2,FALSE)),"NOT PRESENT",VLOOKUP($P235,'M1'!$A:$C,R$2,FALSE)),IF($M235=2,IF(ISERROR(VLOOKUP(DATA!$P235,'M2'!$A:$C,R$2,FALSE)),"NOT PRESENT",VLOOKUP(DATA!$P235,'M2'!$A:$C,R$2,FALSE)),IF($M235=0,IF(ISERROR(VLOOKUP($P235,'M1'!$A:$C,R$2,FALSE)),IF(ISERROR(VLOOKUP(DATA!$P235,'M2'!$A:$C,R$2,FALSE)),"NOT PRESENT",VLOOKUP(DATA!$P235,'M2'!$A:$C,R$2,FALSE)),VLOOKUP($P235,'M1'!$A:$C,R$2,FALSE)),"SPECIFY METHOD")))</f>
        <v>Red sea urchin</v>
      </c>
      <c r="S235" s="28">
        <f t="shared" si="3"/>
        <v>10</v>
      </c>
      <c r="T235" s="20">
        <v>0</v>
      </c>
      <c r="U235" s="20">
        <v>1</v>
      </c>
      <c r="V235" s="20">
        <v>2</v>
      </c>
      <c r="W235" s="20">
        <v>2</v>
      </c>
      <c r="X235" s="20">
        <v>4</v>
      </c>
      <c r="Y235" s="20">
        <v>1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</row>
    <row r="236" spans="1:68" ht="12.75" customHeight="1">
      <c r="A236" s="21">
        <f t="shared" si="2"/>
        <v>234</v>
      </c>
      <c r="B236" s="20" t="s">
        <v>35</v>
      </c>
      <c r="C236" s="20" t="s">
        <v>56</v>
      </c>
      <c r="D236" s="20" t="s">
        <v>73</v>
      </c>
      <c r="E236" s="21" t="str">
        <f>IF(ISERROR(VLOOKUP($D236,SITES!$A:$E,2,FALSE)),"",VLOOKUP($D236,SITES!$A:$E,2,FALSE))</f>
        <v>Wizard Island North</v>
      </c>
      <c r="F236" s="19">
        <f>IF(ISERROR(VLOOKUP($D236,SITES!$A:$E,3,FALSE)),"",VLOOKUP($D236,SITES!$A:$E,3,FALSE))</f>
        <v>48.858283996582003</v>
      </c>
      <c r="G236" s="22">
        <f>IF(ISERROR(VLOOKUP($D236,SITES!$A:$E,4,FALSE)),"",VLOOKUP($D236,SITES!$A:$E,4,FALSE))</f>
        <v>-125.160919189453</v>
      </c>
      <c r="H236" s="23" t="str">
        <f>IF(ISERROR(#REF!),IF(ISERROR(H235),IF(ISERROR(H234),"BLANK",H234),H235),#REF!)</f>
        <v>4/26/2024</v>
      </c>
      <c r="I236" s="20">
        <v>2.5</v>
      </c>
      <c r="J236" s="20" t="s">
        <v>59</v>
      </c>
      <c r="K236" s="27">
        <v>0.39513888888888887</v>
      </c>
      <c r="L236" s="20">
        <v>4.5</v>
      </c>
      <c r="M236" s="20">
        <v>2</v>
      </c>
      <c r="N236" s="20">
        <v>1</v>
      </c>
      <c r="O236" s="20">
        <v>48</v>
      </c>
      <c r="P236" s="20" t="s">
        <v>41</v>
      </c>
      <c r="Q236" s="21" t="str">
        <f>IF($M236=1,IF(ISERROR(VLOOKUP($P236,'M1'!$A:$C,Q$2,FALSE)),"NOT PRESENT",VLOOKUP($P236,'M1'!$A:$C,Q$2,FALSE)),IF($M236=2,IF(ISERROR(VLOOKUP(DATA!$P236,'M2'!$A:$C,Q$2,FALSE)),"NOT PRESENT",VLOOKUP(DATA!$P236,'M2'!$A:$C,Q$2,FALSE)),IF($M236=0,IF(ISERROR(VLOOKUP($P236,'M1'!$A:$C,Q$2,FALSE)),IF(ISERROR(VLOOKUP(DATA!$P236,'M2'!$A:$C,Q$2,FALSE)),"NOT PRESENT",VLOOKUP(DATA!$P236,'M2'!$A:$C,Q$2,FALSE)),VLOOKUP($P236,'M1'!$A:$C,Q$2,FALSE)),"SPECIFY METHOD")))</f>
        <v>Mesocentrotus franciscanus</v>
      </c>
      <c r="R236" s="21" t="str">
        <f>IF($M236=1,IF(ISERROR(VLOOKUP($P236,'M1'!$A:$C,R$2,FALSE)),"NOT PRESENT",VLOOKUP($P236,'M1'!$A:$C,R$2,FALSE)),IF($M236=2,IF(ISERROR(VLOOKUP(DATA!$P236,'M2'!$A:$C,R$2,FALSE)),"NOT PRESENT",VLOOKUP(DATA!$P236,'M2'!$A:$C,R$2,FALSE)),IF($M236=0,IF(ISERROR(VLOOKUP($P236,'M1'!$A:$C,R$2,FALSE)),IF(ISERROR(VLOOKUP(DATA!$P236,'M2'!$A:$C,R$2,FALSE)),"NOT PRESENT",VLOOKUP(DATA!$P236,'M2'!$A:$C,R$2,FALSE)),VLOOKUP($P236,'M1'!$A:$C,R$2,FALSE)),"SPECIFY METHOD")))</f>
        <v>Red sea urchin</v>
      </c>
      <c r="S236" s="28">
        <f t="shared" si="3"/>
        <v>10</v>
      </c>
      <c r="T236" s="20">
        <v>0</v>
      </c>
      <c r="U236" s="20"/>
      <c r="V236" s="20">
        <v>4</v>
      </c>
      <c r="W236" s="20">
        <v>1</v>
      </c>
      <c r="X236" s="20">
        <v>3</v>
      </c>
      <c r="Y236" s="20">
        <v>2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</row>
    <row r="237" spans="1:68" ht="12.75" customHeight="1">
      <c r="A237" s="21">
        <f t="shared" si="2"/>
        <v>235</v>
      </c>
      <c r="B237" s="20" t="str">
        <f t="shared" ref="B237:D237" si="457">IF(ISERROR(B236),IF(ISERROR(#REF!),IF(ISERROR(B235),"BLANK",B235),#REF!),B236)</f>
        <v>Em Lim</v>
      </c>
      <c r="C237" s="20" t="str">
        <f t="shared" si="457"/>
        <v>Claire Attridge</v>
      </c>
      <c r="D237" s="20" t="str">
        <f t="shared" si="457"/>
        <v>BMSC12</v>
      </c>
      <c r="E237" s="21" t="str">
        <f>IF(ISERROR(VLOOKUP($D237,SITES!$A:$E,2,FALSE)),"",VLOOKUP($D237,SITES!$A:$E,2,FALSE))</f>
        <v>Wizard Island North</v>
      </c>
      <c r="F237" s="19">
        <f>IF(ISERROR(VLOOKUP($D237,SITES!$A:$E,3,FALSE)),"",VLOOKUP($D237,SITES!$A:$E,3,FALSE))</f>
        <v>48.858283996582003</v>
      </c>
      <c r="G237" s="22">
        <f>IF(ISERROR(VLOOKUP($D237,SITES!$A:$E,4,FALSE)),"",VLOOKUP($D237,SITES!$A:$E,4,FALSE))</f>
        <v>-125.160919189453</v>
      </c>
      <c r="H237" s="23" t="str">
        <f t="shared" ref="H237:N237" si="458">IF(ISERROR(H236),IF(ISERROR(#REF!),IF(ISERROR(H235),"BLANK",H235),#REF!),H236)</f>
        <v>4/26/2024</v>
      </c>
      <c r="I237" s="20">
        <f t="shared" si="458"/>
        <v>2.5</v>
      </c>
      <c r="J237" s="20" t="str">
        <f t="shared" si="458"/>
        <v>NE</v>
      </c>
      <c r="K237" s="27">
        <f t="shared" si="458"/>
        <v>0.39513888888888887</v>
      </c>
      <c r="L237" s="20">
        <f t="shared" si="458"/>
        <v>4.5</v>
      </c>
      <c r="M237" s="20">
        <f t="shared" si="458"/>
        <v>2</v>
      </c>
      <c r="N237" s="20">
        <f t="shared" si="458"/>
        <v>1</v>
      </c>
      <c r="O237" s="20">
        <v>48</v>
      </c>
      <c r="P237" s="20" t="s">
        <v>40</v>
      </c>
      <c r="Q237" s="21" t="str">
        <f>IF($M237=1,IF(ISERROR(VLOOKUP($P237,'M1'!$A:$C,Q$2,FALSE)),"NOT PRESENT",VLOOKUP($P237,'M1'!$A:$C,Q$2,FALSE)),IF($M237=2,IF(ISERROR(VLOOKUP(DATA!$P237,'M2'!$A:$C,Q$2,FALSE)),"NOT PRESENT",VLOOKUP(DATA!$P237,'M2'!$A:$C,Q$2,FALSE)),IF($M237=0,IF(ISERROR(VLOOKUP($P237,'M1'!$A:$C,Q$2,FALSE)),IF(ISERROR(VLOOKUP(DATA!$P237,'M2'!$A:$C,Q$2,FALSE)),"NOT PRESENT",VLOOKUP(DATA!$P237,'M2'!$A:$C,Q$2,FALSE)),VLOOKUP($P237,'M1'!$A:$C,Q$2,FALSE)),"SPECIFY METHOD")))</f>
        <v>Patiria miniata</v>
      </c>
      <c r="R237" s="21" t="str">
        <f>IF($M237=1,IF(ISERROR(VLOOKUP($P237,'M1'!$A:$C,R$2,FALSE)),"NOT PRESENT",VLOOKUP($P237,'M1'!$A:$C,R$2,FALSE)),IF($M237=2,IF(ISERROR(VLOOKUP(DATA!$P237,'M2'!$A:$C,R$2,FALSE)),"NOT PRESENT",VLOOKUP(DATA!$P237,'M2'!$A:$C,R$2,FALSE)),IF($M237=0,IF(ISERROR(VLOOKUP($P237,'M1'!$A:$C,R$2,FALSE)),IF(ISERROR(VLOOKUP(DATA!$P237,'M2'!$A:$C,R$2,FALSE)),"NOT PRESENT",VLOOKUP(DATA!$P237,'M2'!$A:$C,R$2,FALSE)),VLOOKUP($P237,'M1'!$A:$C,R$2,FALSE)),"SPECIFY METHOD")))</f>
        <v>Bat star</v>
      </c>
      <c r="S237" s="28">
        <f t="shared" si="3"/>
        <v>3</v>
      </c>
      <c r="T237" s="20">
        <v>0</v>
      </c>
      <c r="U237" s="20"/>
      <c r="V237" s="20"/>
      <c r="W237" s="20"/>
      <c r="X237" s="20">
        <v>1</v>
      </c>
      <c r="Y237" s="20">
        <v>1</v>
      </c>
      <c r="Z237" s="20">
        <v>1</v>
      </c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</row>
    <row r="238" spans="1:68" ht="12.75" customHeight="1">
      <c r="A238" s="21">
        <f t="shared" si="2"/>
        <v>236</v>
      </c>
      <c r="B238" s="20" t="str">
        <f t="shared" ref="B238:D238" si="459">IF(ISERROR(B237),IF(ISERROR(B236),IF(ISERROR(#REF!),"BLANK",#REF!),B236),B237)</f>
        <v>Em Lim</v>
      </c>
      <c r="C238" s="20" t="str">
        <f t="shared" si="459"/>
        <v>Claire Attridge</v>
      </c>
      <c r="D238" s="20" t="str">
        <f t="shared" si="459"/>
        <v>BMSC12</v>
      </c>
      <c r="E238" s="21" t="str">
        <f>IF(ISERROR(VLOOKUP($D238,SITES!$A:$E,2,FALSE)),"",VLOOKUP($D238,SITES!$A:$E,2,FALSE))</f>
        <v>Wizard Island North</v>
      </c>
      <c r="F238" s="19">
        <f>IF(ISERROR(VLOOKUP($D238,SITES!$A:$E,3,FALSE)),"",VLOOKUP($D238,SITES!$A:$E,3,FALSE))</f>
        <v>48.858283996582003</v>
      </c>
      <c r="G238" s="22">
        <f>IF(ISERROR(VLOOKUP($D238,SITES!$A:$E,4,FALSE)),"",VLOOKUP($D238,SITES!$A:$E,4,FALSE))</f>
        <v>-125.160919189453</v>
      </c>
      <c r="H238" s="23" t="str">
        <f t="shared" ref="H238:N238" si="460">IF(ISERROR(H237),IF(ISERROR(H236),IF(ISERROR(#REF!),"BLANK",#REF!),H236),H237)</f>
        <v>4/26/2024</v>
      </c>
      <c r="I238" s="20">
        <f t="shared" si="460"/>
        <v>2.5</v>
      </c>
      <c r="J238" s="20" t="str">
        <f t="shared" si="460"/>
        <v>NE</v>
      </c>
      <c r="K238" s="27">
        <f t="shared" si="460"/>
        <v>0.39513888888888887</v>
      </c>
      <c r="L238" s="20">
        <f t="shared" si="460"/>
        <v>4.5</v>
      </c>
      <c r="M238" s="20">
        <f t="shared" si="460"/>
        <v>2</v>
      </c>
      <c r="N238" s="20">
        <f t="shared" si="460"/>
        <v>1</v>
      </c>
      <c r="O238" s="20">
        <v>32</v>
      </c>
      <c r="P238" s="20" t="s">
        <v>41</v>
      </c>
      <c r="Q238" s="21" t="str">
        <f>IF($M238=1,IF(ISERROR(VLOOKUP($P238,'M1'!$A:$C,Q$2,FALSE)),"NOT PRESENT",VLOOKUP($P238,'M1'!$A:$C,Q$2,FALSE)),IF($M238=2,IF(ISERROR(VLOOKUP(DATA!$P238,'M2'!$A:$C,Q$2,FALSE)),"NOT PRESENT",VLOOKUP(DATA!$P238,'M2'!$A:$C,Q$2,FALSE)),IF($M238=0,IF(ISERROR(VLOOKUP($P238,'M1'!$A:$C,Q$2,FALSE)),IF(ISERROR(VLOOKUP(DATA!$P238,'M2'!$A:$C,Q$2,FALSE)),"NOT PRESENT",VLOOKUP(DATA!$P238,'M2'!$A:$C,Q$2,FALSE)),VLOOKUP($P238,'M1'!$A:$C,Q$2,FALSE)),"SPECIFY METHOD")))</f>
        <v>Mesocentrotus franciscanus</v>
      </c>
      <c r="R238" s="21" t="str">
        <f>IF($M238=1,IF(ISERROR(VLOOKUP($P238,'M1'!$A:$C,R$2,FALSE)),"NOT PRESENT",VLOOKUP($P238,'M1'!$A:$C,R$2,FALSE)),IF($M238=2,IF(ISERROR(VLOOKUP(DATA!$P238,'M2'!$A:$C,R$2,FALSE)),"NOT PRESENT",VLOOKUP(DATA!$P238,'M2'!$A:$C,R$2,FALSE)),IF($M238=0,IF(ISERROR(VLOOKUP($P238,'M1'!$A:$C,R$2,FALSE)),IF(ISERROR(VLOOKUP(DATA!$P238,'M2'!$A:$C,R$2,FALSE)),"NOT PRESENT",VLOOKUP(DATA!$P238,'M2'!$A:$C,R$2,FALSE)),VLOOKUP($P238,'M1'!$A:$C,R$2,FALSE)),"SPECIFY METHOD")))</f>
        <v>Red sea urchin</v>
      </c>
      <c r="S238" s="28">
        <f t="shared" si="3"/>
        <v>12</v>
      </c>
      <c r="T238" s="20">
        <v>0</v>
      </c>
      <c r="U238" s="20"/>
      <c r="V238" s="20">
        <v>2</v>
      </c>
      <c r="W238" s="20">
        <v>5</v>
      </c>
      <c r="X238" s="20">
        <v>3</v>
      </c>
      <c r="Y238" s="20">
        <v>2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</row>
    <row r="239" spans="1:68" ht="12.75" customHeight="1">
      <c r="A239" s="21">
        <f t="shared" si="2"/>
        <v>237</v>
      </c>
      <c r="B239" s="20" t="str">
        <f t="shared" ref="B239:D239" si="461">IF(ISERROR(B238),IF(ISERROR(B237),IF(ISERROR(B236),"BLANK",B236),B237),B238)</f>
        <v>Em Lim</v>
      </c>
      <c r="C239" s="20" t="str">
        <f t="shared" si="461"/>
        <v>Claire Attridge</v>
      </c>
      <c r="D239" s="20" t="str">
        <f t="shared" si="461"/>
        <v>BMSC12</v>
      </c>
      <c r="E239" s="21" t="str">
        <f>IF(ISERROR(VLOOKUP($D239,SITES!$A:$E,2,FALSE)),"",VLOOKUP($D239,SITES!$A:$E,2,FALSE))</f>
        <v>Wizard Island North</v>
      </c>
      <c r="F239" s="19">
        <f>IF(ISERROR(VLOOKUP($D239,SITES!$A:$E,3,FALSE)),"",VLOOKUP($D239,SITES!$A:$E,3,FALSE))</f>
        <v>48.858283996582003</v>
      </c>
      <c r="G239" s="22">
        <f>IF(ISERROR(VLOOKUP($D239,SITES!$A:$E,4,FALSE)),"",VLOOKUP($D239,SITES!$A:$E,4,FALSE))</f>
        <v>-125.160919189453</v>
      </c>
      <c r="H239" s="23" t="str">
        <f t="shared" ref="H239:N239" si="462">IF(ISERROR(H238),IF(ISERROR(H237),IF(ISERROR(H236),"BLANK",H236),H237),H238)</f>
        <v>4/26/2024</v>
      </c>
      <c r="I239" s="20">
        <f t="shared" si="462"/>
        <v>2.5</v>
      </c>
      <c r="J239" s="20" t="str">
        <f t="shared" si="462"/>
        <v>NE</v>
      </c>
      <c r="K239" s="27">
        <f t="shared" si="462"/>
        <v>0.39513888888888887</v>
      </c>
      <c r="L239" s="20">
        <f t="shared" si="462"/>
        <v>4.5</v>
      </c>
      <c r="M239" s="20">
        <f t="shared" si="462"/>
        <v>2</v>
      </c>
      <c r="N239" s="20">
        <f t="shared" si="462"/>
        <v>1</v>
      </c>
      <c r="O239" s="20">
        <v>16</v>
      </c>
      <c r="P239" s="20" t="s">
        <v>41</v>
      </c>
      <c r="Q239" s="21" t="str">
        <f>IF($M239=1,IF(ISERROR(VLOOKUP($P239,'M1'!$A:$C,Q$2,FALSE)),"NOT PRESENT",VLOOKUP($P239,'M1'!$A:$C,Q$2,FALSE)),IF($M239=2,IF(ISERROR(VLOOKUP(DATA!$P239,'M2'!$A:$C,Q$2,FALSE)),"NOT PRESENT",VLOOKUP(DATA!$P239,'M2'!$A:$C,Q$2,FALSE)),IF($M239=0,IF(ISERROR(VLOOKUP($P239,'M1'!$A:$C,Q$2,FALSE)),IF(ISERROR(VLOOKUP(DATA!$P239,'M2'!$A:$C,Q$2,FALSE)),"NOT PRESENT",VLOOKUP(DATA!$P239,'M2'!$A:$C,Q$2,FALSE)),VLOOKUP($P239,'M1'!$A:$C,Q$2,FALSE)),"SPECIFY METHOD")))</f>
        <v>Mesocentrotus franciscanus</v>
      </c>
      <c r="R239" s="21" t="str">
        <f>IF($M239=1,IF(ISERROR(VLOOKUP($P239,'M1'!$A:$C,R$2,FALSE)),"NOT PRESENT",VLOOKUP($P239,'M1'!$A:$C,R$2,FALSE)),IF($M239=2,IF(ISERROR(VLOOKUP(DATA!$P239,'M2'!$A:$C,R$2,FALSE)),"NOT PRESENT",VLOOKUP(DATA!$P239,'M2'!$A:$C,R$2,FALSE)),IF($M239=0,IF(ISERROR(VLOOKUP($P239,'M1'!$A:$C,R$2,FALSE)),IF(ISERROR(VLOOKUP(DATA!$P239,'M2'!$A:$C,R$2,FALSE)),"NOT PRESENT",VLOOKUP(DATA!$P239,'M2'!$A:$C,R$2,FALSE)),VLOOKUP($P239,'M1'!$A:$C,R$2,FALSE)),"SPECIFY METHOD")))</f>
        <v>Red sea urchin</v>
      </c>
      <c r="S239" s="28">
        <f t="shared" si="3"/>
        <v>11</v>
      </c>
      <c r="T239" s="20">
        <v>0</v>
      </c>
      <c r="U239" s="20"/>
      <c r="V239" s="20">
        <v>2</v>
      </c>
      <c r="W239" s="20">
        <v>5</v>
      </c>
      <c r="X239" s="20">
        <v>4</v>
      </c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</row>
    <row r="240" spans="1:68" ht="12.75" customHeight="1">
      <c r="A240" s="21">
        <f t="shared" si="2"/>
        <v>238</v>
      </c>
      <c r="B240" s="20" t="str">
        <f t="shared" ref="B240:C240" si="463">IF(ISERROR(B239),IF(ISERROR(B238),IF(ISERROR(B237),"BLANK",B237),B238),B239)</f>
        <v>Em Lim</v>
      </c>
      <c r="C240" s="20" t="str">
        <f t="shared" si="463"/>
        <v>Claire Attridge</v>
      </c>
      <c r="D240" s="20" t="s">
        <v>71</v>
      </c>
      <c r="E240" s="21" t="str">
        <f>IF(ISERROR(VLOOKUP($D240,SITES!$A:$E,2,FALSE)),"",VLOOKUP($D240,SITES!$A:$E,2,FALSE))</f>
        <v>Wizard Island South</v>
      </c>
      <c r="F240" s="19">
        <f>IF(ISERROR(VLOOKUP($D240,SITES!$A:$E,3,FALSE)),"",VLOOKUP($D240,SITES!$A:$E,3,FALSE))</f>
        <v>48.857467651367102</v>
      </c>
      <c r="G240" s="22">
        <f>IF(ISERROR(VLOOKUP($D240,SITES!$A:$E,4,FALSE)),"",VLOOKUP($D240,SITES!$A:$E,4,FALSE))</f>
        <v>-125.158233642578</v>
      </c>
      <c r="H240" s="23" t="str">
        <f t="shared" ref="H240:H253" si="464">IF(ISERROR(H239),IF(ISERROR(H238),IF(ISERROR(H237),"BLANK",H237),H238),H239)</f>
        <v>4/26/2024</v>
      </c>
      <c r="I240" s="20">
        <v>1.5</v>
      </c>
      <c r="J240" s="20" t="s">
        <v>33</v>
      </c>
      <c r="K240" s="27">
        <v>0.49166666666666664</v>
      </c>
      <c r="L240" s="20">
        <v>7.5</v>
      </c>
      <c r="M240" s="20">
        <f t="shared" ref="M240:N240" si="465">IF(ISERROR(M239),IF(ISERROR(M238),IF(ISERROR(M237),"BLANK",M237),M238),M239)</f>
        <v>2</v>
      </c>
      <c r="N240" s="20">
        <f t="shared" si="465"/>
        <v>1</v>
      </c>
      <c r="O240" s="20">
        <v>48</v>
      </c>
      <c r="P240" s="20" t="s">
        <v>41</v>
      </c>
      <c r="Q240" s="21" t="str">
        <f>IF($M240=1,IF(ISERROR(VLOOKUP($P240,'M1'!$A:$C,Q$2,FALSE)),"NOT PRESENT",VLOOKUP($P240,'M1'!$A:$C,Q$2,FALSE)),IF($M240=2,IF(ISERROR(VLOOKUP(DATA!$P240,'M2'!$A:$C,Q$2,FALSE)),"NOT PRESENT",VLOOKUP(DATA!$P240,'M2'!$A:$C,Q$2,FALSE)),IF($M240=0,IF(ISERROR(VLOOKUP($P240,'M1'!$A:$C,Q$2,FALSE)),IF(ISERROR(VLOOKUP(DATA!$P240,'M2'!$A:$C,Q$2,FALSE)),"NOT PRESENT",VLOOKUP(DATA!$P240,'M2'!$A:$C,Q$2,FALSE)),VLOOKUP($P240,'M1'!$A:$C,Q$2,FALSE)),"SPECIFY METHOD")))</f>
        <v>Mesocentrotus franciscanus</v>
      </c>
      <c r="R240" s="21" t="str">
        <f>IF($M240=1,IF(ISERROR(VLOOKUP($P240,'M1'!$A:$C,R$2,FALSE)),"NOT PRESENT",VLOOKUP($P240,'M1'!$A:$C,R$2,FALSE)),IF($M240=2,IF(ISERROR(VLOOKUP(DATA!$P240,'M2'!$A:$C,R$2,FALSE)),"NOT PRESENT",VLOOKUP(DATA!$P240,'M2'!$A:$C,R$2,FALSE)),IF($M240=0,IF(ISERROR(VLOOKUP($P240,'M1'!$A:$C,R$2,FALSE)),IF(ISERROR(VLOOKUP(DATA!$P240,'M2'!$A:$C,R$2,FALSE)),"NOT PRESENT",VLOOKUP(DATA!$P240,'M2'!$A:$C,R$2,FALSE)),VLOOKUP($P240,'M1'!$A:$C,R$2,FALSE)),"SPECIFY METHOD")))</f>
        <v>Red sea urchin</v>
      </c>
      <c r="S240" s="28">
        <f t="shared" si="3"/>
        <v>8</v>
      </c>
      <c r="T240" s="20">
        <v>0</v>
      </c>
      <c r="U240" s="20"/>
      <c r="V240" s="20">
        <v>2</v>
      </c>
      <c r="W240" s="20">
        <v>5</v>
      </c>
      <c r="X240" s="20">
        <v>1</v>
      </c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</row>
    <row r="241" spans="1:68" ht="12.75" customHeight="1">
      <c r="A241" s="21">
        <f t="shared" si="2"/>
        <v>239</v>
      </c>
      <c r="B241" s="20" t="str">
        <f t="shared" ref="B241:D241" si="466">IF(ISERROR(B240),IF(ISERROR(B239),IF(ISERROR(B238),"BLANK",B238),B239),B240)</f>
        <v>Em Lim</v>
      </c>
      <c r="C241" s="20" t="str">
        <f t="shared" si="466"/>
        <v>Claire Attridge</v>
      </c>
      <c r="D241" s="20" t="str">
        <f t="shared" si="466"/>
        <v>BMSC11</v>
      </c>
      <c r="E241" s="21" t="str">
        <f>IF(ISERROR(VLOOKUP($D241,SITES!$A:$E,2,FALSE)),"",VLOOKUP($D241,SITES!$A:$E,2,FALSE))</f>
        <v>Wizard Island South</v>
      </c>
      <c r="F241" s="19">
        <f>IF(ISERROR(VLOOKUP($D241,SITES!$A:$E,3,FALSE)),"",VLOOKUP($D241,SITES!$A:$E,3,FALSE))</f>
        <v>48.857467651367102</v>
      </c>
      <c r="G241" s="22">
        <f>IF(ISERROR(VLOOKUP($D241,SITES!$A:$E,4,FALSE)),"",VLOOKUP($D241,SITES!$A:$E,4,FALSE))</f>
        <v>-125.158233642578</v>
      </c>
      <c r="H241" s="23" t="str">
        <f t="shared" si="464"/>
        <v>4/26/2024</v>
      </c>
      <c r="I241" s="20">
        <f t="shared" ref="I241:N241" si="467">IF(ISERROR(I240),IF(ISERROR(I239),IF(ISERROR(I238),"BLANK",I238),I239),I240)</f>
        <v>1.5</v>
      </c>
      <c r="J241" s="20" t="str">
        <f t="shared" si="467"/>
        <v>SW</v>
      </c>
      <c r="K241" s="27">
        <f t="shared" si="467"/>
        <v>0.49166666666666664</v>
      </c>
      <c r="L241" s="20">
        <f t="shared" si="467"/>
        <v>7.5</v>
      </c>
      <c r="M241" s="20">
        <f t="shared" si="467"/>
        <v>2</v>
      </c>
      <c r="N241" s="20">
        <f t="shared" si="467"/>
        <v>1</v>
      </c>
      <c r="O241" s="20">
        <v>32</v>
      </c>
      <c r="P241" s="20" t="s">
        <v>41</v>
      </c>
      <c r="Q241" s="21" t="str">
        <f>IF($M241=1,IF(ISERROR(VLOOKUP($P241,'M1'!$A:$C,Q$2,FALSE)),"NOT PRESENT",VLOOKUP($P241,'M1'!$A:$C,Q$2,FALSE)),IF($M241=2,IF(ISERROR(VLOOKUP(DATA!$P241,'M2'!$A:$C,Q$2,FALSE)),"NOT PRESENT",VLOOKUP(DATA!$P241,'M2'!$A:$C,Q$2,FALSE)),IF($M241=0,IF(ISERROR(VLOOKUP($P241,'M1'!$A:$C,Q$2,FALSE)),IF(ISERROR(VLOOKUP(DATA!$P241,'M2'!$A:$C,Q$2,FALSE)),"NOT PRESENT",VLOOKUP(DATA!$P241,'M2'!$A:$C,Q$2,FALSE)),VLOOKUP($P241,'M1'!$A:$C,Q$2,FALSE)),"SPECIFY METHOD")))</f>
        <v>Mesocentrotus franciscanus</v>
      </c>
      <c r="R241" s="21" t="str">
        <f>IF($M241=1,IF(ISERROR(VLOOKUP($P241,'M1'!$A:$C,R$2,FALSE)),"NOT PRESENT",VLOOKUP($P241,'M1'!$A:$C,R$2,FALSE)),IF($M241=2,IF(ISERROR(VLOOKUP(DATA!$P241,'M2'!$A:$C,R$2,FALSE)),"NOT PRESENT",VLOOKUP(DATA!$P241,'M2'!$A:$C,R$2,FALSE)),IF($M241=0,IF(ISERROR(VLOOKUP($P241,'M1'!$A:$C,R$2,FALSE)),IF(ISERROR(VLOOKUP(DATA!$P241,'M2'!$A:$C,R$2,FALSE)),"NOT PRESENT",VLOOKUP(DATA!$P241,'M2'!$A:$C,R$2,FALSE)),VLOOKUP($P241,'M1'!$A:$C,R$2,FALSE)),"SPECIFY METHOD")))</f>
        <v>Red sea urchin</v>
      </c>
      <c r="S241" s="28">
        <f t="shared" si="3"/>
        <v>15</v>
      </c>
      <c r="T241" s="20">
        <v>0</v>
      </c>
      <c r="U241" s="20">
        <v>3</v>
      </c>
      <c r="V241" s="20">
        <v>10</v>
      </c>
      <c r="W241" s="20">
        <v>2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</row>
    <row r="242" spans="1:68" ht="12.75" customHeight="1">
      <c r="A242" s="21">
        <f t="shared" si="2"/>
        <v>240</v>
      </c>
      <c r="B242" s="20" t="str">
        <f t="shared" ref="B242:D242" si="468">IF(ISERROR(B241),IF(ISERROR(B240),IF(ISERROR(B239),"BLANK",B239),B240),B241)</f>
        <v>Em Lim</v>
      </c>
      <c r="C242" s="20" t="str">
        <f t="shared" si="468"/>
        <v>Claire Attridge</v>
      </c>
      <c r="D242" s="20" t="str">
        <f t="shared" si="468"/>
        <v>BMSC11</v>
      </c>
      <c r="E242" s="21" t="str">
        <f>IF(ISERROR(VLOOKUP($D242,SITES!$A:$E,2,FALSE)),"",VLOOKUP($D242,SITES!$A:$E,2,FALSE))</f>
        <v>Wizard Island South</v>
      </c>
      <c r="F242" s="19">
        <f>IF(ISERROR(VLOOKUP($D242,SITES!$A:$E,3,FALSE)),"",VLOOKUP($D242,SITES!$A:$E,3,FALSE))</f>
        <v>48.857467651367102</v>
      </c>
      <c r="G242" s="22">
        <f>IF(ISERROR(VLOOKUP($D242,SITES!$A:$E,4,FALSE)),"",VLOOKUP($D242,SITES!$A:$E,4,FALSE))</f>
        <v>-125.158233642578</v>
      </c>
      <c r="H242" s="23" t="str">
        <f t="shared" si="464"/>
        <v>4/26/2024</v>
      </c>
      <c r="I242" s="20">
        <f t="shared" ref="I242:N242" si="469">IF(ISERROR(I241),IF(ISERROR(I240),IF(ISERROR(I239),"BLANK",I239),I240),I241)</f>
        <v>1.5</v>
      </c>
      <c r="J242" s="20" t="str">
        <f t="shared" si="469"/>
        <v>SW</v>
      </c>
      <c r="K242" s="27">
        <f t="shared" si="469"/>
        <v>0.49166666666666664</v>
      </c>
      <c r="L242" s="20">
        <f t="shared" si="469"/>
        <v>7.5</v>
      </c>
      <c r="M242" s="20">
        <f t="shared" si="469"/>
        <v>2</v>
      </c>
      <c r="N242" s="20">
        <f t="shared" si="469"/>
        <v>1</v>
      </c>
      <c r="O242" s="20">
        <v>16</v>
      </c>
      <c r="P242" s="20" t="s">
        <v>41</v>
      </c>
      <c r="Q242" s="21" t="str">
        <f>IF($M242=1,IF(ISERROR(VLOOKUP($P242,'M1'!$A:$C,Q$2,FALSE)),"NOT PRESENT",VLOOKUP($P242,'M1'!$A:$C,Q$2,FALSE)),IF($M242=2,IF(ISERROR(VLOOKUP(DATA!$P242,'M2'!$A:$C,Q$2,FALSE)),"NOT PRESENT",VLOOKUP(DATA!$P242,'M2'!$A:$C,Q$2,FALSE)),IF($M242=0,IF(ISERROR(VLOOKUP($P242,'M1'!$A:$C,Q$2,FALSE)),IF(ISERROR(VLOOKUP(DATA!$P242,'M2'!$A:$C,Q$2,FALSE)),"NOT PRESENT",VLOOKUP(DATA!$P242,'M2'!$A:$C,Q$2,FALSE)),VLOOKUP($P242,'M1'!$A:$C,Q$2,FALSE)),"SPECIFY METHOD")))</f>
        <v>Mesocentrotus franciscanus</v>
      </c>
      <c r="R242" s="21" t="str">
        <f>IF($M242=1,IF(ISERROR(VLOOKUP($P242,'M1'!$A:$C,R$2,FALSE)),"NOT PRESENT",VLOOKUP($P242,'M1'!$A:$C,R$2,FALSE)),IF($M242=2,IF(ISERROR(VLOOKUP(DATA!$P242,'M2'!$A:$C,R$2,FALSE)),"NOT PRESENT",VLOOKUP(DATA!$P242,'M2'!$A:$C,R$2,FALSE)),IF($M242=0,IF(ISERROR(VLOOKUP($P242,'M1'!$A:$C,R$2,FALSE)),IF(ISERROR(VLOOKUP(DATA!$P242,'M2'!$A:$C,R$2,FALSE)),"NOT PRESENT",VLOOKUP(DATA!$P242,'M2'!$A:$C,R$2,FALSE)),VLOOKUP($P242,'M1'!$A:$C,R$2,FALSE)),"SPECIFY METHOD")))</f>
        <v>Red sea urchin</v>
      </c>
      <c r="S242" s="28">
        <f t="shared" si="3"/>
        <v>8</v>
      </c>
      <c r="T242" s="20">
        <v>0</v>
      </c>
      <c r="U242" s="20"/>
      <c r="V242" s="20">
        <v>4</v>
      </c>
      <c r="W242" s="20">
        <v>3</v>
      </c>
      <c r="X242" s="20">
        <v>1</v>
      </c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</row>
    <row r="243" spans="1:68" ht="12.75" customHeight="1">
      <c r="A243" s="21">
        <f t="shared" si="2"/>
        <v>241</v>
      </c>
      <c r="B243" s="20" t="s">
        <v>25</v>
      </c>
      <c r="C243" s="20" t="s">
        <v>36</v>
      </c>
      <c r="D243" s="20" t="s">
        <v>71</v>
      </c>
      <c r="E243" s="21" t="str">
        <f>IF(ISERROR(VLOOKUP($D243,SITES!$A:$E,2,FALSE)),"",VLOOKUP($D243,SITES!$A:$E,2,FALSE))</f>
        <v>Wizard Island South</v>
      </c>
      <c r="F243" s="19">
        <f>IF(ISERROR(VLOOKUP($D243,SITES!$A:$E,3,FALSE)),"",VLOOKUP($D243,SITES!$A:$E,3,FALSE))</f>
        <v>48.857467651367102</v>
      </c>
      <c r="G243" s="22">
        <f>IF(ISERROR(VLOOKUP($D243,SITES!$A:$E,4,FALSE)),"",VLOOKUP($D243,SITES!$A:$E,4,FALSE))</f>
        <v>-125.158233642578</v>
      </c>
      <c r="H243" s="23" t="str">
        <f t="shared" si="464"/>
        <v>4/26/2024</v>
      </c>
      <c r="I243" s="20">
        <v>1.5</v>
      </c>
      <c r="J243" s="20" t="s">
        <v>33</v>
      </c>
      <c r="K243" s="27">
        <v>0.49166666666666664</v>
      </c>
      <c r="L243" s="20">
        <v>5</v>
      </c>
      <c r="M243" s="20">
        <v>2</v>
      </c>
      <c r="N243" s="20">
        <v>2</v>
      </c>
      <c r="O243" s="20">
        <v>40</v>
      </c>
      <c r="P243" s="20" t="s">
        <v>41</v>
      </c>
      <c r="Q243" s="21" t="str">
        <f>IF($M243=1,IF(ISERROR(VLOOKUP($P243,'M1'!$A:$C,Q$2,FALSE)),"NOT PRESENT",VLOOKUP($P243,'M1'!$A:$C,Q$2,FALSE)),IF($M243=2,IF(ISERROR(VLOOKUP(DATA!$P243,'M2'!$A:$C,Q$2,FALSE)),"NOT PRESENT",VLOOKUP(DATA!$P243,'M2'!$A:$C,Q$2,FALSE)),IF($M243=0,IF(ISERROR(VLOOKUP($P243,'M1'!$A:$C,Q$2,FALSE)),IF(ISERROR(VLOOKUP(DATA!$P243,'M2'!$A:$C,Q$2,FALSE)),"NOT PRESENT",VLOOKUP(DATA!$P243,'M2'!$A:$C,Q$2,FALSE)),VLOOKUP($P243,'M1'!$A:$C,Q$2,FALSE)),"SPECIFY METHOD")))</f>
        <v>Mesocentrotus franciscanus</v>
      </c>
      <c r="R243" s="21" t="str">
        <f>IF($M243=1,IF(ISERROR(VLOOKUP($P243,'M1'!$A:$C,R$2,FALSE)),"NOT PRESENT",VLOOKUP($P243,'M1'!$A:$C,R$2,FALSE)),IF($M243=2,IF(ISERROR(VLOOKUP(DATA!$P243,'M2'!$A:$C,R$2,FALSE)),"NOT PRESENT",VLOOKUP(DATA!$P243,'M2'!$A:$C,R$2,FALSE)),IF($M243=0,IF(ISERROR(VLOOKUP($P243,'M1'!$A:$C,R$2,FALSE)),IF(ISERROR(VLOOKUP(DATA!$P243,'M2'!$A:$C,R$2,FALSE)),"NOT PRESENT",VLOOKUP(DATA!$P243,'M2'!$A:$C,R$2,FALSE)),VLOOKUP($P243,'M1'!$A:$C,R$2,FALSE)),"SPECIFY METHOD")))</f>
        <v>Red sea urchin</v>
      </c>
      <c r="S243" s="28">
        <f t="shared" si="3"/>
        <v>10</v>
      </c>
      <c r="T243" s="20">
        <v>0</v>
      </c>
      <c r="U243" s="20">
        <v>3</v>
      </c>
      <c r="V243" s="20">
        <v>5</v>
      </c>
      <c r="W243" s="20">
        <v>1</v>
      </c>
      <c r="X243" s="20">
        <v>1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</row>
    <row r="244" spans="1:68" ht="12.75" customHeight="1">
      <c r="A244" s="21">
        <f t="shared" si="2"/>
        <v>242</v>
      </c>
      <c r="B244" s="20" t="str">
        <f t="shared" ref="B244:D244" si="470">IF(ISERROR(B243),IF(ISERROR(B242),IF(ISERROR(B241),"BLANK",B241),B242),B243)</f>
        <v>Tom Bird</v>
      </c>
      <c r="C244" s="20" t="str">
        <f t="shared" si="470"/>
        <v>Isabelle Cote</v>
      </c>
      <c r="D244" s="20" t="str">
        <f t="shared" si="470"/>
        <v>BMSC11</v>
      </c>
      <c r="E244" s="21" t="str">
        <f>IF(ISERROR(VLOOKUP($D244,SITES!$A:$E,2,FALSE)),"",VLOOKUP($D244,SITES!$A:$E,2,FALSE))</f>
        <v>Wizard Island South</v>
      </c>
      <c r="F244" s="19">
        <f>IF(ISERROR(VLOOKUP($D244,SITES!$A:$E,3,FALSE)),"",VLOOKUP($D244,SITES!$A:$E,3,FALSE))</f>
        <v>48.857467651367102</v>
      </c>
      <c r="G244" s="22">
        <f>IF(ISERROR(VLOOKUP($D244,SITES!$A:$E,4,FALSE)),"",VLOOKUP($D244,SITES!$A:$E,4,FALSE))</f>
        <v>-125.158233642578</v>
      </c>
      <c r="H244" s="23" t="str">
        <f t="shared" si="464"/>
        <v>4/26/2024</v>
      </c>
      <c r="I244" s="20">
        <f t="shared" ref="I244:K244" si="471">IF(ISERROR(I243),IF(ISERROR(I242),IF(ISERROR(I241),"BLANK",I241),I242),I243)</f>
        <v>1.5</v>
      </c>
      <c r="J244" s="20" t="str">
        <f t="shared" si="471"/>
        <v>SW</v>
      </c>
      <c r="K244" s="27">
        <f t="shared" si="471"/>
        <v>0.49166666666666664</v>
      </c>
      <c r="L244" s="20">
        <v>5</v>
      </c>
      <c r="M244" s="20">
        <f t="shared" ref="M244:N244" si="472">IF(ISERROR(M243),IF(ISERROR(M242),IF(ISERROR(M241),"BLANK",M241),M242),M243)</f>
        <v>2</v>
      </c>
      <c r="N244" s="20">
        <f t="shared" si="472"/>
        <v>2</v>
      </c>
      <c r="O244" s="20">
        <v>40</v>
      </c>
      <c r="P244" s="20" t="s">
        <v>39</v>
      </c>
      <c r="Q244" s="21" t="str">
        <f>IF($M244=1,IF(ISERROR(VLOOKUP($P244,'M1'!$A:$C,Q$2,FALSE)),"NOT PRESENT",VLOOKUP($P244,'M1'!$A:$C,Q$2,FALSE)),IF($M244=2,IF(ISERROR(VLOOKUP(DATA!$P244,'M2'!$A:$C,Q$2,FALSE)),"NOT PRESENT",VLOOKUP(DATA!$P244,'M2'!$A:$C,Q$2,FALSE)),IF($M244=0,IF(ISERROR(VLOOKUP($P244,'M1'!$A:$C,Q$2,FALSE)),IF(ISERROR(VLOOKUP(DATA!$P244,'M2'!$A:$C,Q$2,FALSE)),"NOT PRESENT",VLOOKUP(DATA!$P244,'M2'!$A:$C,Q$2,FALSE)),VLOOKUP($P244,'M1'!$A:$C,Q$2,FALSE)),"SPECIFY METHOD")))</f>
        <v>Dermasterias imbricata</v>
      </c>
      <c r="R244" s="21" t="str">
        <f>IF($M244=1,IF(ISERROR(VLOOKUP($P244,'M1'!$A:$C,R$2,FALSE)),"NOT PRESENT",VLOOKUP($P244,'M1'!$A:$C,R$2,FALSE)),IF($M244=2,IF(ISERROR(VLOOKUP(DATA!$P244,'M2'!$A:$C,R$2,FALSE)),"NOT PRESENT",VLOOKUP(DATA!$P244,'M2'!$A:$C,R$2,FALSE)),IF($M244=0,IF(ISERROR(VLOOKUP($P244,'M1'!$A:$C,R$2,FALSE)),IF(ISERROR(VLOOKUP(DATA!$P244,'M2'!$A:$C,R$2,FALSE)),"NOT PRESENT",VLOOKUP(DATA!$P244,'M2'!$A:$C,R$2,FALSE)),VLOOKUP($P244,'M1'!$A:$C,R$2,FALSE)),"SPECIFY METHOD")))</f>
        <v>Leather star</v>
      </c>
      <c r="S244" s="28">
        <f t="shared" si="3"/>
        <v>2</v>
      </c>
      <c r="T244" s="20">
        <v>0</v>
      </c>
      <c r="U244" s="20"/>
      <c r="V244" s="20">
        <v>1</v>
      </c>
      <c r="W244" s="20">
        <v>1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</row>
    <row r="245" spans="1:68" ht="12.75" customHeight="1">
      <c r="A245" s="21">
        <f t="shared" si="2"/>
        <v>243</v>
      </c>
      <c r="B245" s="20" t="str">
        <f t="shared" ref="B245:D245" si="473">IF(ISERROR(B244),IF(ISERROR(B243),IF(ISERROR(B242),"BLANK",B242),B243),B244)</f>
        <v>Tom Bird</v>
      </c>
      <c r="C245" s="20" t="str">
        <f t="shared" si="473"/>
        <v>Isabelle Cote</v>
      </c>
      <c r="D245" s="20" t="str">
        <f t="shared" si="473"/>
        <v>BMSC11</v>
      </c>
      <c r="E245" s="21" t="str">
        <f>IF(ISERROR(VLOOKUP($D245,SITES!$A:$E,2,FALSE)),"",VLOOKUP($D245,SITES!$A:$E,2,FALSE))</f>
        <v>Wizard Island South</v>
      </c>
      <c r="F245" s="19">
        <f>IF(ISERROR(VLOOKUP($D245,SITES!$A:$E,3,FALSE)),"",VLOOKUP($D245,SITES!$A:$E,3,FALSE))</f>
        <v>48.857467651367102</v>
      </c>
      <c r="G245" s="22">
        <f>IF(ISERROR(VLOOKUP($D245,SITES!$A:$E,4,FALSE)),"",VLOOKUP($D245,SITES!$A:$E,4,FALSE))</f>
        <v>-125.158233642578</v>
      </c>
      <c r="H245" s="23" t="str">
        <f t="shared" si="464"/>
        <v>4/26/2024</v>
      </c>
      <c r="I245" s="20">
        <f t="shared" ref="I245:N245" si="474">IF(ISERROR(I244),IF(ISERROR(I243),IF(ISERROR(I242),"BLANK",I242),I243),I244)</f>
        <v>1.5</v>
      </c>
      <c r="J245" s="20" t="str">
        <f t="shared" si="474"/>
        <v>SW</v>
      </c>
      <c r="K245" s="27">
        <f t="shared" si="474"/>
        <v>0.49166666666666664</v>
      </c>
      <c r="L245" s="20">
        <f t="shared" si="474"/>
        <v>5</v>
      </c>
      <c r="M245" s="20">
        <f t="shared" si="474"/>
        <v>2</v>
      </c>
      <c r="N245" s="20">
        <f t="shared" si="474"/>
        <v>2</v>
      </c>
      <c r="O245" s="20">
        <v>24</v>
      </c>
      <c r="P245" s="20" t="s">
        <v>41</v>
      </c>
      <c r="Q245" s="21" t="str">
        <f>IF($M245=1,IF(ISERROR(VLOOKUP($P245,'M1'!$A:$C,Q$2,FALSE)),"NOT PRESENT",VLOOKUP($P245,'M1'!$A:$C,Q$2,FALSE)),IF($M245=2,IF(ISERROR(VLOOKUP(DATA!$P245,'M2'!$A:$C,Q$2,FALSE)),"NOT PRESENT",VLOOKUP(DATA!$P245,'M2'!$A:$C,Q$2,FALSE)),IF($M245=0,IF(ISERROR(VLOOKUP($P245,'M1'!$A:$C,Q$2,FALSE)),IF(ISERROR(VLOOKUP(DATA!$P245,'M2'!$A:$C,Q$2,FALSE)),"NOT PRESENT",VLOOKUP(DATA!$P245,'M2'!$A:$C,Q$2,FALSE)),VLOOKUP($P245,'M1'!$A:$C,Q$2,FALSE)),"SPECIFY METHOD")))</f>
        <v>Mesocentrotus franciscanus</v>
      </c>
      <c r="R245" s="21" t="str">
        <f>IF($M245=1,IF(ISERROR(VLOOKUP($P245,'M1'!$A:$C,R$2,FALSE)),"NOT PRESENT",VLOOKUP($P245,'M1'!$A:$C,R$2,FALSE)),IF($M245=2,IF(ISERROR(VLOOKUP(DATA!$P245,'M2'!$A:$C,R$2,FALSE)),"NOT PRESENT",VLOOKUP(DATA!$P245,'M2'!$A:$C,R$2,FALSE)),IF($M245=0,IF(ISERROR(VLOOKUP($P245,'M1'!$A:$C,R$2,FALSE)),IF(ISERROR(VLOOKUP(DATA!$P245,'M2'!$A:$C,R$2,FALSE)),"NOT PRESENT",VLOOKUP(DATA!$P245,'M2'!$A:$C,R$2,FALSE)),VLOOKUP($P245,'M1'!$A:$C,R$2,FALSE)),"SPECIFY METHOD")))</f>
        <v>Red sea urchin</v>
      </c>
      <c r="S245" s="28">
        <f t="shared" si="3"/>
        <v>11</v>
      </c>
      <c r="T245" s="20">
        <v>0</v>
      </c>
      <c r="U245" s="20"/>
      <c r="V245" s="20">
        <v>2</v>
      </c>
      <c r="W245" s="20">
        <v>3</v>
      </c>
      <c r="X245" s="20">
        <v>1</v>
      </c>
      <c r="Y245" s="20">
        <v>2</v>
      </c>
      <c r="Z245" s="20">
        <v>1</v>
      </c>
      <c r="AA245" s="20">
        <v>2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</row>
    <row r="246" spans="1:68" ht="12.75" customHeight="1">
      <c r="A246" s="21">
        <f t="shared" si="2"/>
        <v>244</v>
      </c>
      <c r="B246" s="20" t="str">
        <f t="shared" ref="B246:D246" si="475">IF(ISERROR(B245),IF(ISERROR(B244),IF(ISERROR(B243),"BLANK",B243),B244),B245)</f>
        <v>Tom Bird</v>
      </c>
      <c r="C246" s="20" t="str">
        <f t="shared" si="475"/>
        <v>Isabelle Cote</v>
      </c>
      <c r="D246" s="20" t="str">
        <f t="shared" si="475"/>
        <v>BMSC11</v>
      </c>
      <c r="E246" s="21" t="str">
        <f>IF(ISERROR(VLOOKUP($D246,SITES!$A:$E,2,FALSE)),"",VLOOKUP($D246,SITES!$A:$E,2,FALSE))</f>
        <v>Wizard Island South</v>
      </c>
      <c r="F246" s="19">
        <f>IF(ISERROR(VLOOKUP($D246,SITES!$A:$E,3,FALSE)),"",VLOOKUP($D246,SITES!$A:$E,3,FALSE))</f>
        <v>48.857467651367102</v>
      </c>
      <c r="G246" s="22">
        <f>IF(ISERROR(VLOOKUP($D246,SITES!$A:$E,4,FALSE)),"",VLOOKUP($D246,SITES!$A:$E,4,FALSE))</f>
        <v>-125.158233642578</v>
      </c>
      <c r="H246" s="23" t="str">
        <f t="shared" si="464"/>
        <v>4/26/2024</v>
      </c>
      <c r="I246" s="20">
        <f t="shared" ref="I246:N246" si="476">IF(ISERROR(I245),IF(ISERROR(I244),IF(ISERROR(I243),"BLANK",I243),I244),I245)</f>
        <v>1.5</v>
      </c>
      <c r="J246" s="20" t="str">
        <f t="shared" si="476"/>
        <v>SW</v>
      </c>
      <c r="K246" s="27">
        <f t="shared" si="476"/>
        <v>0.49166666666666664</v>
      </c>
      <c r="L246" s="20">
        <f t="shared" si="476"/>
        <v>5</v>
      </c>
      <c r="M246" s="20">
        <f t="shared" si="476"/>
        <v>2</v>
      </c>
      <c r="N246" s="20">
        <f t="shared" si="476"/>
        <v>2</v>
      </c>
      <c r="O246" s="20">
        <v>8</v>
      </c>
      <c r="P246" s="20" t="s">
        <v>41</v>
      </c>
      <c r="Q246" s="21" t="str">
        <f>IF($M246=1,IF(ISERROR(VLOOKUP($P246,'M1'!$A:$C,Q$2,FALSE)),"NOT PRESENT",VLOOKUP($P246,'M1'!$A:$C,Q$2,FALSE)),IF($M246=2,IF(ISERROR(VLOOKUP(DATA!$P246,'M2'!$A:$C,Q$2,FALSE)),"NOT PRESENT",VLOOKUP(DATA!$P246,'M2'!$A:$C,Q$2,FALSE)),IF($M246=0,IF(ISERROR(VLOOKUP($P246,'M1'!$A:$C,Q$2,FALSE)),IF(ISERROR(VLOOKUP(DATA!$P246,'M2'!$A:$C,Q$2,FALSE)),"NOT PRESENT",VLOOKUP(DATA!$P246,'M2'!$A:$C,Q$2,FALSE)),VLOOKUP($P246,'M1'!$A:$C,Q$2,FALSE)),"SPECIFY METHOD")))</f>
        <v>Mesocentrotus franciscanus</v>
      </c>
      <c r="R246" s="21" t="str">
        <f>IF($M246=1,IF(ISERROR(VLOOKUP($P246,'M1'!$A:$C,R$2,FALSE)),"NOT PRESENT",VLOOKUP($P246,'M1'!$A:$C,R$2,FALSE)),IF($M246=2,IF(ISERROR(VLOOKUP(DATA!$P246,'M2'!$A:$C,R$2,FALSE)),"NOT PRESENT",VLOOKUP(DATA!$P246,'M2'!$A:$C,R$2,FALSE)),IF($M246=0,IF(ISERROR(VLOOKUP($P246,'M1'!$A:$C,R$2,FALSE)),IF(ISERROR(VLOOKUP(DATA!$P246,'M2'!$A:$C,R$2,FALSE)),"NOT PRESENT",VLOOKUP(DATA!$P246,'M2'!$A:$C,R$2,FALSE)),VLOOKUP($P246,'M1'!$A:$C,R$2,FALSE)),"SPECIFY METHOD")))</f>
        <v>Red sea urchin</v>
      </c>
      <c r="S246" s="28">
        <f t="shared" si="3"/>
        <v>10</v>
      </c>
      <c r="T246" s="20">
        <v>0</v>
      </c>
      <c r="U246" s="20"/>
      <c r="V246" s="20">
        <v>2</v>
      </c>
      <c r="W246" s="20">
        <v>4</v>
      </c>
      <c r="X246" s="20">
        <v>1</v>
      </c>
      <c r="Y246" s="20">
        <v>1</v>
      </c>
      <c r="Z246" s="20">
        <v>1</v>
      </c>
      <c r="AA246" s="20">
        <v>1</v>
      </c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</row>
    <row r="247" spans="1:68" ht="12.75" customHeight="1">
      <c r="A247" s="21">
        <f t="shared" si="2"/>
        <v>245</v>
      </c>
      <c r="B247" s="20" t="str">
        <f t="shared" ref="B247:D247" si="477">IF(ISERROR(B246),IF(ISERROR(B245),IF(ISERROR(B244),"BLANK",B244),B245),B246)</f>
        <v>Tom Bird</v>
      </c>
      <c r="C247" s="20" t="str">
        <f t="shared" si="477"/>
        <v>Isabelle Cote</v>
      </c>
      <c r="D247" s="20" t="str">
        <f t="shared" si="477"/>
        <v>BMSC11</v>
      </c>
      <c r="E247" s="21" t="str">
        <f>IF(ISERROR(VLOOKUP($D247,SITES!$A:$E,2,FALSE)),"",VLOOKUP($D247,SITES!$A:$E,2,FALSE))</f>
        <v>Wizard Island South</v>
      </c>
      <c r="F247" s="19">
        <f>IF(ISERROR(VLOOKUP($D247,SITES!$A:$E,3,FALSE)),"",VLOOKUP($D247,SITES!$A:$E,3,FALSE))</f>
        <v>48.857467651367102</v>
      </c>
      <c r="G247" s="22">
        <f>IF(ISERROR(VLOOKUP($D247,SITES!$A:$E,4,FALSE)),"",VLOOKUP($D247,SITES!$A:$E,4,FALSE))</f>
        <v>-125.158233642578</v>
      </c>
      <c r="H247" s="23" t="str">
        <f t="shared" si="464"/>
        <v>4/26/2024</v>
      </c>
      <c r="I247" s="20">
        <f t="shared" ref="I247:N247" si="478">IF(ISERROR(I246),IF(ISERROR(I245),IF(ISERROR(I244),"BLANK",I244),I245),I246)</f>
        <v>1.5</v>
      </c>
      <c r="J247" s="20" t="str">
        <f t="shared" si="478"/>
        <v>SW</v>
      </c>
      <c r="K247" s="27">
        <f t="shared" si="478"/>
        <v>0.49166666666666664</v>
      </c>
      <c r="L247" s="20">
        <f t="shared" si="478"/>
        <v>5</v>
      </c>
      <c r="M247" s="20">
        <f t="shared" si="478"/>
        <v>2</v>
      </c>
      <c r="N247" s="20">
        <f t="shared" si="478"/>
        <v>2</v>
      </c>
      <c r="O247" s="20">
        <v>0</v>
      </c>
      <c r="P247" s="20" t="s">
        <v>41</v>
      </c>
      <c r="Q247" s="21" t="str">
        <f>IF($M247=1,IF(ISERROR(VLOOKUP($P247,'M1'!$A:$C,Q$2,FALSE)),"NOT PRESENT",VLOOKUP($P247,'M1'!$A:$C,Q$2,FALSE)),IF($M247=2,IF(ISERROR(VLOOKUP(DATA!$P247,'M2'!$A:$C,Q$2,FALSE)),"NOT PRESENT",VLOOKUP(DATA!$P247,'M2'!$A:$C,Q$2,FALSE)),IF($M247=0,IF(ISERROR(VLOOKUP($P247,'M1'!$A:$C,Q$2,FALSE)),IF(ISERROR(VLOOKUP(DATA!$P247,'M2'!$A:$C,Q$2,FALSE)),"NOT PRESENT",VLOOKUP(DATA!$P247,'M2'!$A:$C,Q$2,FALSE)),VLOOKUP($P247,'M1'!$A:$C,Q$2,FALSE)),"SPECIFY METHOD")))</f>
        <v>Mesocentrotus franciscanus</v>
      </c>
      <c r="R247" s="21" t="str">
        <f>IF($M247=1,IF(ISERROR(VLOOKUP($P247,'M1'!$A:$C,R$2,FALSE)),"NOT PRESENT",VLOOKUP($P247,'M1'!$A:$C,R$2,FALSE)),IF($M247=2,IF(ISERROR(VLOOKUP(DATA!$P247,'M2'!$A:$C,R$2,FALSE)),"NOT PRESENT",VLOOKUP(DATA!$P247,'M2'!$A:$C,R$2,FALSE)),IF($M247=0,IF(ISERROR(VLOOKUP($P247,'M1'!$A:$C,R$2,FALSE)),IF(ISERROR(VLOOKUP(DATA!$P247,'M2'!$A:$C,R$2,FALSE)),"NOT PRESENT",VLOOKUP(DATA!$P247,'M2'!$A:$C,R$2,FALSE)),VLOOKUP($P247,'M1'!$A:$C,R$2,FALSE)),"SPECIFY METHOD")))</f>
        <v>Red sea urchin</v>
      </c>
      <c r="S247" s="28">
        <f t="shared" si="3"/>
        <v>16</v>
      </c>
      <c r="T247" s="20">
        <v>0</v>
      </c>
      <c r="U247" s="20">
        <v>4</v>
      </c>
      <c r="V247" s="20">
        <v>2</v>
      </c>
      <c r="W247" s="20">
        <v>3</v>
      </c>
      <c r="X247" s="20">
        <v>4</v>
      </c>
      <c r="Y247" s="20">
        <v>2</v>
      </c>
      <c r="Z247" s="20">
        <v>1</v>
      </c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</row>
    <row r="248" spans="1:68" ht="12.75" customHeight="1">
      <c r="A248" s="21">
        <f t="shared" si="2"/>
        <v>246</v>
      </c>
      <c r="B248" s="20" t="str">
        <f t="shared" ref="B248:C248" si="479">IF(ISERROR(B247),IF(ISERROR(B246),IF(ISERROR(B245),"BLANK",B245),B246),B247)</f>
        <v>Tom Bird</v>
      </c>
      <c r="C248" s="20" t="str">
        <f t="shared" si="479"/>
        <v>Isabelle Cote</v>
      </c>
      <c r="D248" s="20" t="s">
        <v>73</v>
      </c>
      <c r="E248" s="21" t="str">
        <f>IF(ISERROR(VLOOKUP($D248,SITES!$A:$E,2,FALSE)),"",VLOOKUP($D248,SITES!$A:$E,2,FALSE))</f>
        <v>Wizard Island North</v>
      </c>
      <c r="F248" s="19">
        <f>IF(ISERROR(VLOOKUP($D248,SITES!$A:$E,3,FALSE)),"",VLOOKUP($D248,SITES!$A:$E,3,FALSE))</f>
        <v>48.858283996582003</v>
      </c>
      <c r="G248" s="22">
        <f>IF(ISERROR(VLOOKUP($D248,SITES!$A:$E,4,FALSE)),"",VLOOKUP($D248,SITES!$A:$E,4,FALSE))</f>
        <v>-125.160919189453</v>
      </c>
      <c r="H248" s="23" t="str">
        <f t="shared" si="464"/>
        <v>4/26/2024</v>
      </c>
      <c r="I248" s="20">
        <v>2</v>
      </c>
      <c r="J248" s="20" t="str">
        <f>IF(ISERROR(J247),IF(ISERROR(J246),IF(ISERROR(J245),"BLANK",J245),J246),J247)</f>
        <v>SW</v>
      </c>
      <c r="K248" s="27">
        <v>0.39513888888888887</v>
      </c>
      <c r="L248" s="20">
        <v>7</v>
      </c>
      <c r="M248" s="20">
        <f t="shared" ref="M248:N248" si="480">IF(ISERROR(M247),IF(ISERROR(M246),IF(ISERROR(M245),"BLANK",M245),M246),M247)</f>
        <v>2</v>
      </c>
      <c r="N248" s="20">
        <f t="shared" si="480"/>
        <v>2</v>
      </c>
      <c r="O248" s="20">
        <v>40</v>
      </c>
      <c r="P248" s="20" t="s">
        <v>41</v>
      </c>
      <c r="Q248" s="21" t="str">
        <f>IF($M248=1,IF(ISERROR(VLOOKUP($P248,'M1'!$A:$C,Q$2,FALSE)),"NOT PRESENT",VLOOKUP($P248,'M1'!$A:$C,Q$2,FALSE)),IF($M248=2,IF(ISERROR(VLOOKUP(DATA!$P248,'M2'!$A:$C,Q$2,FALSE)),"NOT PRESENT",VLOOKUP(DATA!$P248,'M2'!$A:$C,Q$2,FALSE)),IF($M248=0,IF(ISERROR(VLOOKUP($P248,'M1'!$A:$C,Q$2,FALSE)),IF(ISERROR(VLOOKUP(DATA!$P248,'M2'!$A:$C,Q$2,FALSE)),"NOT PRESENT",VLOOKUP(DATA!$P248,'M2'!$A:$C,Q$2,FALSE)),VLOOKUP($P248,'M1'!$A:$C,Q$2,FALSE)),"SPECIFY METHOD")))</f>
        <v>Mesocentrotus franciscanus</v>
      </c>
      <c r="R248" s="21" t="str">
        <f>IF($M248=1,IF(ISERROR(VLOOKUP($P248,'M1'!$A:$C,R$2,FALSE)),"NOT PRESENT",VLOOKUP($P248,'M1'!$A:$C,R$2,FALSE)),IF($M248=2,IF(ISERROR(VLOOKUP(DATA!$P248,'M2'!$A:$C,R$2,FALSE)),"NOT PRESENT",VLOOKUP(DATA!$P248,'M2'!$A:$C,R$2,FALSE)),IF($M248=0,IF(ISERROR(VLOOKUP($P248,'M1'!$A:$C,R$2,FALSE)),IF(ISERROR(VLOOKUP(DATA!$P248,'M2'!$A:$C,R$2,FALSE)),"NOT PRESENT",VLOOKUP(DATA!$P248,'M2'!$A:$C,R$2,FALSE)),VLOOKUP($P248,'M1'!$A:$C,R$2,FALSE)),"SPECIFY METHOD")))</f>
        <v>Red sea urchin</v>
      </c>
      <c r="S248" s="28">
        <f t="shared" si="3"/>
        <v>4</v>
      </c>
      <c r="T248" s="20">
        <v>0</v>
      </c>
      <c r="U248" s="20"/>
      <c r="V248" s="20">
        <v>3</v>
      </c>
      <c r="W248" s="20"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</row>
    <row r="249" spans="1:68" ht="12.75" customHeight="1">
      <c r="A249" s="21">
        <f t="shared" si="2"/>
        <v>247</v>
      </c>
      <c r="B249" s="20" t="str">
        <f t="shared" ref="B249:D249" si="481">IF(ISERROR(B248),IF(ISERROR(B247),IF(ISERROR(B246),"BLANK",B246),B247),B248)</f>
        <v>Tom Bird</v>
      </c>
      <c r="C249" s="20" t="str">
        <f t="shared" si="481"/>
        <v>Isabelle Cote</v>
      </c>
      <c r="D249" s="20" t="str">
        <f t="shared" si="481"/>
        <v>BMSC12</v>
      </c>
      <c r="E249" s="21" t="str">
        <f>IF(ISERROR(VLOOKUP($D249,SITES!$A:$E,2,FALSE)),"",VLOOKUP($D249,SITES!$A:$E,2,FALSE))</f>
        <v>Wizard Island North</v>
      </c>
      <c r="F249" s="19">
        <f>IF(ISERROR(VLOOKUP($D249,SITES!$A:$E,3,FALSE)),"",VLOOKUP($D249,SITES!$A:$E,3,FALSE))</f>
        <v>48.858283996582003</v>
      </c>
      <c r="G249" s="22">
        <f>IF(ISERROR(VLOOKUP($D249,SITES!$A:$E,4,FALSE)),"",VLOOKUP($D249,SITES!$A:$E,4,FALSE))</f>
        <v>-125.160919189453</v>
      </c>
      <c r="H249" s="23" t="str">
        <f t="shared" si="464"/>
        <v>4/26/2024</v>
      </c>
      <c r="I249" s="20">
        <f t="shared" ref="I249:N249" si="482">IF(ISERROR(I248),IF(ISERROR(I247),IF(ISERROR(I246),"BLANK",I246),I247),I248)</f>
        <v>2</v>
      </c>
      <c r="J249" s="20" t="str">
        <f t="shared" si="482"/>
        <v>SW</v>
      </c>
      <c r="K249" s="27">
        <f t="shared" si="482"/>
        <v>0.39513888888888887</v>
      </c>
      <c r="L249" s="20">
        <f t="shared" si="482"/>
        <v>7</v>
      </c>
      <c r="M249" s="20">
        <f t="shared" si="482"/>
        <v>2</v>
      </c>
      <c r="N249" s="20">
        <f t="shared" si="482"/>
        <v>2</v>
      </c>
      <c r="O249" s="20">
        <v>40</v>
      </c>
      <c r="P249" s="20" t="s">
        <v>40</v>
      </c>
      <c r="Q249" s="21" t="str">
        <f>IF($M249=1,IF(ISERROR(VLOOKUP($P249,'M1'!$A:$C,Q$2,FALSE)),"NOT PRESENT",VLOOKUP($P249,'M1'!$A:$C,Q$2,FALSE)),IF($M249=2,IF(ISERROR(VLOOKUP(DATA!$P249,'M2'!$A:$C,Q$2,FALSE)),"NOT PRESENT",VLOOKUP(DATA!$P249,'M2'!$A:$C,Q$2,FALSE)),IF($M249=0,IF(ISERROR(VLOOKUP($P249,'M1'!$A:$C,Q$2,FALSE)),IF(ISERROR(VLOOKUP(DATA!$P249,'M2'!$A:$C,Q$2,FALSE)),"NOT PRESENT",VLOOKUP(DATA!$P249,'M2'!$A:$C,Q$2,FALSE)),VLOOKUP($P249,'M1'!$A:$C,Q$2,FALSE)),"SPECIFY METHOD")))</f>
        <v>Patiria miniata</v>
      </c>
      <c r="R249" s="21" t="str">
        <f>IF($M249=1,IF(ISERROR(VLOOKUP($P249,'M1'!$A:$C,R$2,FALSE)),"NOT PRESENT",VLOOKUP($P249,'M1'!$A:$C,R$2,FALSE)),IF($M249=2,IF(ISERROR(VLOOKUP(DATA!$P249,'M2'!$A:$C,R$2,FALSE)),"NOT PRESENT",VLOOKUP(DATA!$P249,'M2'!$A:$C,R$2,FALSE)),IF($M249=0,IF(ISERROR(VLOOKUP($P249,'M1'!$A:$C,R$2,FALSE)),IF(ISERROR(VLOOKUP(DATA!$P249,'M2'!$A:$C,R$2,FALSE)),"NOT PRESENT",VLOOKUP(DATA!$P249,'M2'!$A:$C,R$2,FALSE)),VLOOKUP($P249,'M1'!$A:$C,R$2,FALSE)),"SPECIFY METHOD")))</f>
        <v>Bat star</v>
      </c>
      <c r="S249" s="28">
        <f t="shared" si="3"/>
        <v>1</v>
      </c>
      <c r="T249" s="20">
        <v>0</v>
      </c>
      <c r="U249" s="20"/>
      <c r="V249" s="20"/>
      <c r="W249" s="20"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</row>
    <row r="250" spans="1:68" ht="12.75" customHeight="1">
      <c r="A250" s="21">
        <f t="shared" si="2"/>
        <v>248</v>
      </c>
      <c r="B250" s="20" t="str">
        <f t="shared" ref="B250:D250" si="483">IF(ISERROR(B249),IF(ISERROR(B248),IF(ISERROR(B247),"BLANK",B247),B248),B249)</f>
        <v>Tom Bird</v>
      </c>
      <c r="C250" s="20" t="str">
        <f t="shared" si="483"/>
        <v>Isabelle Cote</v>
      </c>
      <c r="D250" s="20" t="str">
        <f t="shared" si="483"/>
        <v>BMSC12</v>
      </c>
      <c r="E250" s="21" t="str">
        <f>IF(ISERROR(VLOOKUP($D250,SITES!$A:$E,2,FALSE)),"",VLOOKUP($D250,SITES!$A:$E,2,FALSE))</f>
        <v>Wizard Island North</v>
      </c>
      <c r="F250" s="19">
        <f>IF(ISERROR(VLOOKUP($D250,SITES!$A:$E,3,FALSE)),"",VLOOKUP($D250,SITES!$A:$E,3,FALSE))</f>
        <v>48.858283996582003</v>
      </c>
      <c r="G250" s="22">
        <f>IF(ISERROR(VLOOKUP($D250,SITES!$A:$E,4,FALSE)),"",VLOOKUP($D250,SITES!$A:$E,4,FALSE))</f>
        <v>-125.160919189453</v>
      </c>
      <c r="H250" s="23" t="str">
        <f t="shared" si="464"/>
        <v>4/26/2024</v>
      </c>
      <c r="I250" s="20">
        <f t="shared" ref="I250:N250" si="484">IF(ISERROR(I249),IF(ISERROR(I248),IF(ISERROR(I247),"BLANK",I247),I248),I249)</f>
        <v>2</v>
      </c>
      <c r="J250" s="20" t="str">
        <f t="shared" si="484"/>
        <v>SW</v>
      </c>
      <c r="K250" s="27">
        <f t="shared" si="484"/>
        <v>0.39513888888888887</v>
      </c>
      <c r="L250" s="20">
        <f t="shared" si="484"/>
        <v>7</v>
      </c>
      <c r="M250" s="20">
        <f t="shared" si="484"/>
        <v>2</v>
      </c>
      <c r="N250" s="20">
        <f t="shared" si="484"/>
        <v>2</v>
      </c>
      <c r="O250" s="20">
        <v>24</v>
      </c>
      <c r="P250" s="20" t="s">
        <v>41</v>
      </c>
      <c r="Q250" s="21" t="str">
        <f>IF($M250=1,IF(ISERROR(VLOOKUP($P250,'M1'!$A:$C,Q$2,FALSE)),"NOT PRESENT",VLOOKUP($P250,'M1'!$A:$C,Q$2,FALSE)),IF($M250=2,IF(ISERROR(VLOOKUP(DATA!$P250,'M2'!$A:$C,Q$2,FALSE)),"NOT PRESENT",VLOOKUP(DATA!$P250,'M2'!$A:$C,Q$2,FALSE)),IF($M250=0,IF(ISERROR(VLOOKUP($P250,'M1'!$A:$C,Q$2,FALSE)),IF(ISERROR(VLOOKUP(DATA!$P250,'M2'!$A:$C,Q$2,FALSE)),"NOT PRESENT",VLOOKUP(DATA!$P250,'M2'!$A:$C,Q$2,FALSE)),VLOOKUP($P250,'M1'!$A:$C,Q$2,FALSE)),"SPECIFY METHOD")))</f>
        <v>Mesocentrotus franciscanus</v>
      </c>
      <c r="R250" s="21" t="str">
        <f>IF($M250=1,IF(ISERROR(VLOOKUP($P250,'M1'!$A:$C,R$2,FALSE)),"NOT PRESENT",VLOOKUP($P250,'M1'!$A:$C,R$2,FALSE)),IF($M250=2,IF(ISERROR(VLOOKUP(DATA!$P250,'M2'!$A:$C,R$2,FALSE)),"NOT PRESENT",VLOOKUP(DATA!$P250,'M2'!$A:$C,R$2,FALSE)),IF($M250=0,IF(ISERROR(VLOOKUP($P250,'M1'!$A:$C,R$2,FALSE)),IF(ISERROR(VLOOKUP(DATA!$P250,'M2'!$A:$C,R$2,FALSE)),"NOT PRESENT",VLOOKUP(DATA!$P250,'M2'!$A:$C,R$2,FALSE)),VLOOKUP($P250,'M1'!$A:$C,R$2,FALSE)),"SPECIFY METHOD")))</f>
        <v>Red sea urchin</v>
      </c>
      <c r="S250" s="28">
        <f t="shared" si="3"/>
        <v>4</v>
      </c>
      <c r="T250" s="20">
        <v>0</v>
      </c>
      <c r="U250" s="20"/>
      <c r="V250" s="20">
        <v>4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</row>
    <row r="251" spans="1:68" ht="12.75" customHeight="1">
      <c r="A251" s="21">
        <f t="shared" si="2"/>
        <v>249</v>
      </c>
      <c r="B251" s="20" t="str">
        <f t="shared" ref="B251:D251" si="485">IF(ISERROR(B250),IF(ISERROR(B249),IF(ISERROR(B248),"BLANK",B248),B249),B250)</f>
        <v>Tom Bird</v>
      </c>
      <c r="C251" s="20" t="str">
        <f t="shared" si="485"/>
        <v>Isabelle Cote</v>
      </c>
      <c r="D251" s="20" t="str">
        <f t="shared" si="485"/>
        <v>BMSC12</v>
      </c>
      <c r="E251" s="21" t="str">
        <f>IF(ISERROR(VLOOKUP($D251,SITES!$A:$E,2,FALSE)),"",VLOOKUP($D251,SITES!$A:$E,2,FALSE))</f>
        <v>Wizard Island North</v>
      </c>
      <c r="F251" s="19">
        <f>IF(ISERROR(VLOOKUP($D251,SITES!$A:$E,3,FALSE)),"",VLOOKUP($D251,SITES!$A:$E,3,FALSE))</f>
        <v>48.858283996582003</v>
      </c>
      <c r="G251" s="22">
        <f>IF(ISERROR(VLOOKUP($D251,SITES!$A:$E,4,FALSE)),"",VLOOKUP($D251,SITES!$A:$E,4,FALSE))</f>
        <v>-125.160919189453</v>
      </c>
      <c r="H251" s="23" t="str">
        <f t="shared" si="464"/>
        <v>4/26/2024</v>
      </c>
      <c r="I251" s="20">
        <f t="shared" ref="I251:N251" si="486">IF(ISERROR(I250),IF(ISERROR(I249),IF(ISERROR(I248),"BLANK",I248),I249),I250)</f>
        <v>2</v>
      </c>
      <c r="J251" s="20" t="str">
        <f t="shared" si="486"/>
        <v>SW</v>
      </c>
      <c r="K251" s="27">
        <f t="shared" si="486"/>
        <v>0.39513888888888887</v>
      </c>
      <c r="L251" s="20">
        <f t="shared" si="486"/>
        <v>7</v>
      </c>
      <c r="M251" s="20">
        <f t="shared" si="486"/>
        <v>2</v>
      </c>
      <c r="N251" s="20">
        <f t="shared" si="486"/>
        <v>2</v>
      </c>
      <c r="O251" s="20">
        <v>8</v>
      </c>
      <c r="P251" s="20" t="s">
        <v>41</v>
      </c>
      <c r="Q251" s="21" t="str">
        <f>IF($M251=1,IF(ISERROR(VLOOKUP($P251,'M1'!$A:$C,Q$2,FALSE)),"NOT PRESENT",VLOOKUP($P251,'M1'!$A:$C,Q$2,FALSE)),IF($M251=2,IF(ISERROR(VLOOKUP(DATA!$P251,'M2'!$A:$C,Q$2,FALSE)),"NOT PRESENT",VLOOKUP(DATA!$P251,'M2'!$A:$C,Q$2,FALSE)),IF($M251=0,IF(ISERROR(VLOOKUP($P251,'M1'!$A:$C,Q$2,FALSE)),IF(ISERROR(VLOOKUP(DATA!$P251,'M2'!$A:$C,Q$2,FALSE)),"NOT PRESENT",VLOOKUP(DATA!$P251,'M2'!$A:$C,Q$2,FALSE)),VLOOKUP($P251,'M1'!$A:$C,Q$2,FALSE)),"SPECIFY METHOD")))</f>
        <v>Mesocentrotus franciscanus</v>
      </c>
      <c r="R251" s="21" t="str">
        <f>IF($M251=1,IF(ISERROR(VLOOKUP($P251,'M1'!$A:$C,R$2,FALSE)),"NOT PRESENT",VLOOKUP($P251,'M1'!$A:$C,R$2,FALSE)),IF($M251=2,IF(ISERROR(VLOOKUP(DATA!$P251,'M2'!$A:$C,R$2,FALSE)),"NOT PRESENT",VLOOKUP(DATA!$P251,'M2'!$A:$C,R$2,FALSE)),IF($M251=0,IF(ISERROR(VLOOKUP($P251,'M1'!$A:$C,R$2,FALSE)),IF(ISERROR(VLOOKUP(DATA!$P251,'M2'!$A:$C,R$2,FALSE)),"NOT PRESENT",VLOOKUP(DATA!$P251,'M2'!$A:$C,R$2,FALSE)),VLOOKUP($P251,'M1'!$A:$C,R$2,FALSE)),"SPECIFY METHOD")))</f>
        <v>Red sea urchin</v>
      </c>
      <c r="S251" s="28">
        <f t="shared" si="3"/>
        <v>8</v>
      </c>
      <c r="T251" s="20">
        <v>0</v>
      </c>
      <c r="U251" s="20"/>
      <c r="V251" s="20">
        <v>3</v>
      </c>
      <c r="W251" s="20">
        <v>3</v>
      </c>
      <c r="X251" s="20">
        <v>2</v>
      </c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</row>
    <row r="252" spans="1:68" ht="12.75" customHeight="1">
      <c r="A252" s="21">
        <f t="shared" si="2"/>
        <v>250</v>
      </c>
      <c r="B252" s="20" t="str">
        <f t="shared" ref="B252:D252" si="487">IF(ISERROR(B251),IF(ISERROR(B250),IF(ISERROR(B249),"BLANK",B249),B250),B251)</f>
        <v>Tom Bird</v>
      </c>
      <c r="C252" s="20" t="str">
        <f t="shared" si="487"/>
        <v>Isabelle Cote</v>
      </c>
      <c r="D252" s="20" t="str">
        <f t="shared" si="487"/>
        <v>BMSC12</v>
      </c>
      <c r="E252" s="21" t="str">
        <f>IF(ISERROR(VLOOKUP($D252,SITES!$A:$E,2,FALSE)),"",VLOOKUP($D252,SITES!$A:$E,2,FALSE))</f>
        <v>Wizard Island North</v>
      </c>
      <c r="F252" s="19">
        <f>IF(ISERROR(VLOOKUP($D252,SITES!$A:$E,3,FALSE)),"",VLOOKUP($D252,SITES!$A:$E,3,FALSE))</f>
        <v>48.858283996582003</v>
      </c>
      <c r="G252" s="22">
        <f>IF(ISERROR(VLOOKUP($D252,SITES!$A:$E,4,FALSE)),"",VLOOKUP($D252,SITES!$A:$E,4,FALSE))</f>
        <v>-125.160919189453</v>
      </c>
      <c r="H252" s="23" t="str">
        <f t="shared" si="464"/>
        <v>4/26/2024</v>
      </c>
      <c r="I252" s="20">
        <f t="shared" ref="I252:N252" si="488">IF(ISERROR(I251),IF(ISERROR(I250),IF(ISERROR(I249),"BLANK",I249),I250),I251)</f>
        <v>2</v>
      </c>
      <c r="J252" s="20" t="str">
        <f t="shared" si="488"/>
        <v>SW</v>
      </c>
      <c r="K252" s="27">
        <f t="shared" si="488"/>
        <v>0.39513888888888887</v>
      </c>
      <c r="L252" s="20">
        <f t="shared" si="488"/>
        <v>7</v>
      </c>
      <c r="M252" s="20">
        <f t="shared" si="488"/>
        <v>2</v>
      </c>
      <c r="N252" s="20">
        <f t="shared" si="488"/>
        <v>2</v>
      </c>
      <c r="O252" s="20">
        <v>8</v>
      </c>
      <c r="P252" s="20" t="s">
        <v>49</v>
      </c>
      <c r="Q252" s="21" t="str">
        <f>IF($M252=1,IF(ISERROR(VLOOKUP($P252,'M1'!$A:$C,Q$2,FALSE)),"NOT PRESENT",VLOOKUP($P252,'M1'!$A:$C,Q$2,FALSE)),IF($M252=2,IF(ISERROR(VLOOKUP(DATA!$P252,'M2'!$A:$C,Q$2,FALSE)),"NOT PRESENT",VLOOKUP(DATA!$P252,'M2'!$A:$C,Q$2,FALSE)),IF($M252=0,IF(ISERROR(VLOOKUP($P252,'M1'!$A:$C,Q$2,FALSE)),IF(ISERROR(VLOOKUP(DATA!$P252,'M2'!$A:$C,Q$2,FALSE)),"NOT PRESENT",VLOOKUP(DATA!$P252,'M2'!$A:$C,Q$2,FALSE)),VLOOKUP($P252,'M1'!$A:$C,Q$2,FALSE)),"SPECIFY METHOD")))</f>
        <v>Henricia sp.</v>
      </c>
      <c r="R252" s="21" t="str">
        <f>IF($M252=1,IF(ISERROR(VLOOKUP($P252,'M1'!$A:$C,R$2,FALSE)),"NOT PRESENT",VLOOKUP($P252,'M1'!$A:$C,R$2,FALSE)),IF($M252=2,IF(ISERROR(VLOOKUP(DATA!$P252,'M2'!$A:$C,R$2,FALSE)),"NOT PRESENT",VLOOKUP(DATA!$P252,'M2'!$A:$C,R$2,FALSE)),IF($M252=0,IF(ISERROR(VLOOKUP($P252,'M1'!$A:$C,R$2,FALSE)),IF(ISERROR(VLOOKUP(DATA!$P252,'M2'!$A:$C,R$2,FALSE)),"NOT PRESENT",VLOOKUP(DATA!$P252,'M2'!$A:$C,R$2,FALSE)),VLOOKUP($P252,'M1'!$A:$C,R$2,FALSE)),"SPECIFY METHOD")))</f>
        <v>Unidentified blood star</v>
      </c>
      <c r="S252" s="28">
        <f t="shared" si="3"/>
        <v>1</v>
      </c>
      <c r="T252" s="20">
        <v>0</v>
      </c>
      <c r="U252" s="20"/>
      <c r="V252" s="20">
        <v>1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</row>
    <row r="253" spans="1:68" ht="12.75" customHeight="1">
      <c r="A253" s="21">
        <f t="shared" si="2"/>
        <v>251</v>
      </c>
      <c r="B253" s="20" t="str">
        <f t="shared" ref="B253:D253" si="489">IF(ISERROR(B252),IF(ISERROR(B251),IF(ISERROR(B250),"BLANK",B250),B251),B252)</f>
        <v>Tom Bird</v>
      </c>
      <c r="C253" s="20" t="str">
        <f t="shared" si="489"/>
        <v>Isabelle Cote</v>
      </c>
      <c r="D253" s="20" t="str">
        <f t="shared" si="489"/>
        <v>BMSC12</v>
      </c>
      <c r="E253" s="21" t="str">
        <f>IF(ISERROR(VLOOKUP($D253,SITES!$A:$E,2,FALSE)),"",VLOOKUP($D253,SITES!$A:$E,2,FALSE))</f>
        <v>Wizard Island North</v>
      </c>
      <c r="F253" s="19">
        <f>IF(ISERROR(VLOOKUP($D253,SITES!$A:$E,3,FALSE)),"",VLOOKUP($D253,SITES!$A:$E,3,FALSE))</f>
        <v>48.858283996582003</v>
      </c>
      <c r="G253" s="22">
        <f>IF(ISERROR(VLOOKUP($D253,SITES!$A:$E,4,FALSE)),"",VLOOKUP($D253,SITES!$A:$E,4,FALSE))</f>
        <v>-125.160919189453</v>
      </c>
      <c r="H253" s="23" t="str">
        <f t="shared" si="464"/>
        <v>4/26/2024</v>
      </c>
      <c r="I253" s="20">
        <f t="shared" ref="I253:N253" si="490">IF(ISERROR(I252),IF(ISERROR(I251),IF(ISERROR(I250),"BLANK",I250),I251),I252)</f>
        <v>2</v>
      </c>
      <c r="J253" s="20" t="str">
        <f t="shared" si="490"/>
        <v>SW</v>
      </c>
      <c r="K253" s="27">
        <f t="shared" si="490"/>
        <v>0.39513888888888887</v>
      </c>
      <c r="L253" s="20">
        <f t="shared" si="490"/>
        <v>7</v>
      </c>
      <c r="M253" s="20">
        <f t="shared" si="490"/>
        <v>2</v>
      </c>
      <c r="N253" s="20">
        <f t="shared" si="490"/>
        <v>2</v>
      </c>
      <c r="O253" s="20">
        <v>0</v>
      </c>
      <c r="P253" s="20" t="s">
        <v>41</v>
      </c>
      <c r="Q253" s="21" t="str">
        <f>IF($M253=1,IF(ISERROR(VLOOKUP($P253,'M1'!$A:$C,Q$2,FALSE)),"NOT PRESENT",VLOOKUP($P253,'M1'!$A:$C,Q$2,FALSE)),IF($M253=2,IF(ISERROR(VLOOKUP(DATA!$P253,'M2'!$A:$C,Q$2,FALSE)),"NOT PRESENT",VLOOKUP(DATA!$P253,'M2'!$A:$C,Q$2,FALSE)),IF($M253=0,IF(ISERROR(VLOOKUP($P253,'M1'!$A:$C,Q$2,FALSE)),IF(ISERROR(VLOOKUP(DATA!$P253,'M2'!$A:$C,Q$2,FALSE)),"NOT PRESENT",VLOOKUP(DATA!$P253,'M2'!$A:$C,Q$2,FALSE)),VLOOKUP($P253,'M1'!$A:$C,Q$2,FALSE)),"SPECIFY METHOD")))</f>
        <v>Mesocentrotus franciscanus</v>
      </c>
      <c r="R253" s="21" t="str">
        <f>IF($M253=1,IF(ISERROR(VLOOKUP($P253,'M1'!$A:$C,R$2,FALSE)),"NOT PRESENT",VLOOKUP($P253,'M1'!$A:$C,R$2,FALSE)),IF($M253=2,IF(ISERROR(VLOOKUP(DATA!$P253,'M2'!$A:$C,R$2,FALSE)),"NOT PRESENT",VLOOKUP(DATA!$P253,'M2'!$A:$C,R$2,FALSE)),IF($M253=0,IF(ISERROR(VLOOKUP($P253,'M1'!$A:$C,R$2,FALSE)),IF(ISERROR(VLOOKUP(DATA!$P253,'M2'!$A:$C,R$2,FALSE)),"NOT PRESENT",VLOOKUP(DATA!$P253,'M2'!$A:$C,R$2,FALSE)),VLOOKUP($P253,'M1'!$A:$C,R$2,FALSE)),"SPECIFY METHOD")))</f>
        <v>Red sea urchin</v>
      </c>
      <c r="S253" s="28">
        <f t="shared" si="3"/>
        <v>9</v>
      </c>
      <c r="T253" s="20">
        <v>0</v>
      </c>
      <c r="U253" s="20">
        <v>1</v>
      </c>
      <c r="V253" s="20">
        <v>6</v>
      </c>
      <c r="W253" s="20">
        <v>2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</row>
    <row r="254" spans="1:68" ht="12.75" customHeight="1">
      <c r="A254" s="21">
        <f t="shared" si="2"/>
        <v>252</v>
      </c>
      <c r="B254" s="20" t="s">
        <v>75</v>
      </c>
      <c r="C254" s="20" t="s">
        <v>35</v>
      </c>
      <c r="D254" s="20" t="s">
        <v>76</v>
      </c>
      <c r="E254" s="21" t="str">
        <f>IF(ISERROR(VLOOKUP($D254,SITES!$A:$E,2,FALSE)),"",VLOOKUP($D254,SITES!$A:$E,2,FALSE))</f>
        <v>Ohiat</v>
      </c>
      <c r="F254" s="19">
        <f>IF(ISERROR(VLOOKUP($D254,SITES!$A:$E,3,FALSE)),"",VLOOKUP($D254,SITES!$A:$E,3,FALSE))</f>
        <v>48.855583190917898</v>
      </c>
      <c r="G254" s="22">
        <f>IF(ISERROR(VLOOKUP($D254,SITES!$A:$E,4,FALSE)),"",VLOOKUP($D254,SITES!$A:$E,4,FALSE))</f>
        <v>-125.183799743652</v>
      </c>
      <c r="H254" s="23">
        <v>45411</v>
      </c>
      <c r="I254" s="20">
        <v>3.5</v>
      </c>
      <c r="J254" s="20" t="s">
        <v>68</v>
      </c>
      <c r="K254" s="27">
        <v>0.51597222222222228</v>
      </c>
      <c r="L254" s="20">
        <v>6</v>
      </c>
      <c r="M254" s="20">
        <v>2</v>
      </c>
      <c r="N254" s="20">
        <v>2</v>
      </c>
      <c r="O254" s="20">
        <v>0</v>
      </c>
      <c r="P254" s="20" t="s">
        <v>41</v>
      </c>
      <c r="Q254" s="21" t="str">
        <f>IF($M254=1,IF(ISERROR(VLOOKUP($P254,'M1'!$A:$C,Q$2,FALSE)),"NOT PRESENT",VLOOKUP($P254,'M1'!$A:$C,Q$2,FALSE)),IF($M254=2,IF(ISERROR(VLOOKUP(DATA!$P254,'M2'!$A:$C,Q$2,FALSE)),"NOT PRESENT",VLOOKUP(DATA!$P254,'M2'!$A:$C,Q$2,FALSE)),IF($M254=0,IF(ISERROR(VLOOKUP($P254,'M1'!$A:$C,Q$2,FALSE)),IF(ISERROR(VLOOKUP(DATA!$P254,'M2'!$A:$C,Q$2,FALSE)),"NOT PRESENT",VLOOKUP(DATA!$P254,'M2'!$A:$C,Q$2,FALSE)),VLOOKUP($P254,'M1'!$A:$C,Q$2,FALSE)),"SPECIFY METHOD")))</f>
        <v>Mesocentrotus franciscanus</v>
      </c>
      <c r="R254" s="21" t="str">
        <f>IF($M254=1,IF(ISERROR(VLOOKUP($P254,'M1'!$A:$C,R$2,FALSE)),"NOT PRESENT",VLOOKUP($P254,'M1'!$A:$C,R$2,FALSE)),IF($M254=2,IF(ISERROR(VLOOKUP(DATA!$P254,'M2'!$A:$C,R$2,FALSE)),"NOT PRESENT",VLOOKUP(DATA!$P254,'M2'!$A:$C,R$2,FALSE)),IF($M254=0,IF(ISERROR(VLOOKUP($P254,'M1'!$A:$C,R$2,FALSE)),IF(ISERROR(VLOOKUP(DATA!$P254,'M2'!$A:$C,R$2,FALSE)),"NOT PRESENT",VLOOKUP(DATA!$P254,'M2'!$A:$C,R$2,FALSE)),VLOOKUP($P254,'M1'!$A:$C,R$2,FALSE)),"SPECIFY METHOD")))</f>
        <v>Red sea urchin</v>
      </c>
      <c r="S254" s="28">
        <f t="shared" si="3"/>
        <v>11</v>
      </c>
      <c r="T254" s="20">
        <v>0</v>
      </c>
      <c r="U254" s="20"/>
      <c r="V254" s="20">
        <v>9</v>
      </c>
      <c r="W254" s="20">
        <v>2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</row>
    <row r="255" spans="1:68" ht="12.75" customHeight="1">
      <c r="A255" s="21">
        <f t="shared" si="2"/>
        <v>253</v>
      </c>
      <c r="B255" s="20" t="str">
        <f t="shared" ref="B255:D255" si="491">IF(ISERROR(B254),IF(ISERROR(B253),IF(ISERROR(B252),"BLANK",B252),B253),B254)</f>
        <v>Valesca de Groot</v>
      </c>
      <c r="C255" s="20" t="str">
        <f t="shared" si="491"/>
        <v>Em Lim</v>
      </c>
      <c r="D255" s="20" t="str">
        <f t="shared" si="491"/>
        <v>BMSC3</v>
      </c>
      <c r="E255" s="21" t="str">
        <f>IF(ISERROR(VLOOKUP($D255,SITES!$A:$E,2,FALSE)),"",VLOOKUP($D255,SITES!$A:$E,2,FALSE))</f>
        <v>Ohiat</v>
      </c>
      <c r="F255" s="19">
        <f>IF(ISERROR(VLOOKUP($D255,SITES!$A:$E,3,FALSE)),"",VLOOKUP($D255,SITES!$A:$E,3,FALSE))</f>
        <v>48.855583190917898</v>
      </c>
      <c r="G255" s="22">
        <f>IF(ISERROR(VLOOKUP($D255,SITES!$A:$E,4,FALSE)),"",VLOOKUP($D255,SITES!$A:$E,4,FALSE))</f>
        <v>-125.183799743652</v>
      </c>
      <c r="H255" s="23">
        <f t="shared" ref="H255:N255" si="492">IF(ISERROR(H254),IF(ISERROR(H253),IF(ISERROR(H252),"BLANK",H252),H253),H254)</f>
        <v>45411</v>
      </c>
      <c r="I255" s="20">
        <f t="shared" si="492"/>
        <v>3.5</v>
      </c>
      <c r="J255" s="20" t="str">
        <f t="shared" si="492"/>
        <v>W</v>
      </c>
      <c r="K255" s="27">
        <f t="shared" si="492"/>
        <v>0.51597222222222228</v>
      </c>
      <c r="L255" s="20">
        <f t="shared" si="492"/>
        <v>6</v>
      </c>
      <c r="M255" s="20">
        <f t="shared" si="492"/>
        <v>2</v>
      </c>
      <c r="N255" s="20">
        <f t="shared" si="492"/>
        <v>2</v>
      </c>
      <c r="O255" s="20">
        <v>16</v>
      </c>
      <c r="P255" s="20" t="s">
        <v>41</v>
      </c>
      <c r="Q255" s="21" t="str">
        <f>IF($M255=1,IF(ISERROR(VLOOKUP($P255,'M1'!$A:$C,Q$2,FALSE)),"NOT PRESENT",VLOOKUP($P255,'M1'!$A:$C,Q$2,FALSE)),IF($M255=2,IF(ISERROR(VLOOKUP(DATA!$P255,'M2'!$A:$C,Q$2,FALSE)),"NOT PRESENT",VLOOKUP(DATA!$P255,'M2'!$A:$C,Q$2,FALSE)),IF($M255=0,IF(ISERROR(VLOOKUP($P255,'M1'!$A:$C,Q$2,FALSE)),IF(ISERROR(VLOOKUP(DATA!$P255,'M2'!$A:$C,Q$2,FALSE)),"NOT PRESENT",VLOOKUP(DATA!$P255,'M2'!$A:$C,Q$2,FALSE)),VLOOKUP($P255,'M1'!$A:$C,Q$2,FALSE)),"SPECIFY METHOD")))</f>
        <v>Mesocentrotus franciscanus</v>
      </c>
      <c r="R255" s="21" t="str">
        <f>IF($M255=1,IF(ISERROR(VLOOKUP($P255,'M1'!$A:$C,R$2,FALSE)),"NOT PRESENT",VLOOKUP($P255,'M1'!$A:$C,R$2,FALSE)),IF($M255=2,IF(ISERROR(VLOOKUP(DATA!$P255,'M2'!$A:$C,R$2,FALSE)),"NOT PRESENT",VLOOKUP(DATA!$P255,'M2'!$A:$C,R$2,FALSE)),IF($M255=0,IF(ISERROR(VLOOKUP($P255,'M1'!$A:$C,R$2,FALSE)),IF(ISERROR(VLOOKUP(DATA!$P255,'M2'!$A:$C,R$2,FALSE)),"NOT PRESENT",VLOOKUP(DATA!$P255,'M2'!$A:$C,R$2,FALSE)),VLOOKUP($P255,'M1'!$A:$C,R$2,FALSE)),"SPECIFY METHOD")))</f>
        <v>Red sea urchin</v>
      </c>
      <c r="S255" s="28">
        <f t="shared" si="3"/>
        <v>11</v>
      </c>
      <c r="T255" s="20">
        <v>0</v>
      </c>
      <c r="U255" s="20"/>
      <c r="V255" s="20">
        <v>9</v>
      </c>
      <c r="W255" s="20">
        <v>2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</row>
    <row r="256" spans="1:68" ht="12.75" customHeight="1">
      <c r="A256" s="21">
        <f t="shared" si="2"/>
        <v>254</v>
      </c>
      <c r="B256" s="20" t="str">
        <f t="shared" ref="B256:D256" si="493">IF(ISERROR(B255),IF(ISERROR(B254),IF(ISERROR(B253),"BLANK",B253),B254),B255)</f>
        <v>Valesca de Groot</v>
      </c>
      <c r="C256" s="20" t="str">
        <f t="shared" si="493"/>
        <v>Em Lim</v>
      </c>
      <c r="D256" s="20" t="str">
        <f t="shared" si="493"/>
        <v>BMSC3</v>
      </c>
      <c r="E256" s="21" t="str">
        <f>IF(ISERROR(VLOOKUP($D256,SITES!$A:$E,2,FALSE)),"",VLOOKUP($D256,SITES!$A:$E,2,FALSE))</f>
        <v>Ohiat</v>
      </c>
      <c r="F256" s="19">
        <f>IF(ISERROR(VLOOKUP($D256,SITES!$A:$E,3,FALSE)),"",VLOOKUP($D256,SITES!$A:$E,3,FALSE))</f>
        <v>48.855583190917898</v>
      </c>
      <c r="G256" s="22">
        <f>IF(ISERROR(VLOOKUP($D256,SITES!$A:$E,4,FALSE)),"",VLOOKUP($D256,SITES!$A:$E,4,FALSE))</f>
        <v>-125.183799743652</v>
      </c>
      <c r="H256" s="23">
        <f t="shared" ref="H256:N256" si="494">IF(ISERROR(H255),IF(ISERROR(H254),IF(ISERROR(H253),"BLANK",H253),H254),H255)</f>
        <v>45411</v>
      </c>
      <c r="I256" s="20">
        <f t="shared" si="494"/>
        <v>3.5</v>
      </c>
      <c r="J256" s="20" t="str">
        <f t="shared" si="494"/>
        <v>W</v>
      </c>
      <c r="K256" s="27">
        <f t="shared" si="494"/>
        <v>0.51597222222222228</v>
      </c>
      <c r="L256" s="20">
        <f t="shared" si="494"/>
        <v>6</v>
      </c>
      <c r="M256" s="20">
        <f t="shared" si="494"/>
        <v>2</v>
      </c>
      <c r="N256" s="20">
        <f t="shared" si="494"/>
        <v>2</v>
      </c>
      <c r="O256" s="20">
        <v>16</v>
      </c>
      <c r="P256" s="20" t="s">
        <v>40</v>
      </c>
      <c r="Q256" s="21" t="str">
        <f>IF($M256=1,IF(ISERROR(VLOOKUP($P256,'M1'!$A:$C,Q$2,FALSE)),"NOT PRESENT",VLOOKUP($P256,'M1'!$A:$C,Q$2,FALSE)),IF($M256=2,IF(ISERROR(VLOOKUP(DATA!$P256,'M2'!$A:$C,Q$2,FALSE)),"NOT PRESENT",VLOOKUP(DATA!$P256,'M2'!$A:$C,Q$2,FALSE)),IF($M256=0,IF(ISERROR(VLOOKUP($P256,'M1'!$A:$C,Q$2,FALSE)),IF(ISERROR(VLOOKUP(DATA!$P256,'M2'!$A:$C,Q$2,FALSE)),"NOT PRESENT",VLOOKUP(DATA!$P256,'M2'!$A:$C,Q$2,FALSE)),VLOOKUP($P256,'M1'!$A:$C,Q$2,FALSE)),"SPECIFY METHOD")))</f>
        <v>Patiria miniata</v>
      </c>
      <c r="R256" s="21" t="str">
        <f>IF($M256=1,IF(ISERROR(VLOOKUP($P256,'M1'!$A:$C,R$2,FALSE)),"NOT PRESENT",VLOOKUP($P256,'M1'!$A:$C,R$2,FALSE)),IF($M256=2,IF(ISERROR(VLOOKUP(DATA!$P256,'M2'!$A:$C,R$2,FALSE)),"NOT PRESENT",VLOOKUP(DATA!$P256,'M2'!$A:$C,R$2,FALSE)),IF($M256=0,IF(ISERROR(VLOOKUP($P256,'M1'!$A:$C,R$2,FALSE)),IF(ISERROR(VLOOKUP(DATA!$P256,'M2'!$A:$C,R$2,FALSE)),"NOT PRESENT",VLOOKUP(DATA!$P256,'M2'!$A:$C,R$2,FALSE)),VLOOKUP($P256,'M1'!$A:$C,R$2,FALSE)),"SPECIFY METHOD")))</f>
        <v>Bat star</v>
      </c>
      <c r="S256" s="28">
        <f t="shared" si="3"/>
        <v>1</v>
      </c>
      <c r="T256" s="20">
        <v>0</v>
      </c>
      <c r="U256" s="20"/>
      <c r="V256" s="20"/>
      <c r="W256" s="20"/>
      <c r="X256" s="20">
        <v>1</v>
      </c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</row>
    <row r="257" spans="1:68" ht="12.75" customHeight="1">
      <c r="A257" s="21">
        <f t="shared" si="2"/>
        <v>255</v>
      </c>
      <c r="B257" s="20" t="str">
        <f t="shared" ref="B257:D257" si="495">IF(ISERROR(B256),IF(ISERROR(B255),IF(ISERROR(B254),"BLANK",B254),B255),B256)</f>
        <v>Valesca de Groot</v>
      </c>
      <c r="C257" s="20" t="str">
        <f t="shared" si="495"/>
        <v>Em Lim</v>
      </c>
      <c r="D257" s="20" t="str">
        <f t="shared" si="495"/>
        <v>BMSC3</v>
      </c>
      <c r="E257" s="21" t="str">
        <f>IF(ISERROR(VLOOKUP($D257,SITES!$A:$E,2,FALSE)),"",VLOOKUP($D257,SITES!$A:$E,2,FALSE))</f>
        <v>Ohiat</v>
      </c>
      <c r="F257" s="19">
        <f>IF(ISERROR(VLOOKUP($D257,SITES!$A:$E,3,FALSE)),"",VLOOKUP($D257,SITES!$A:$E,3,FALSE))</f>
        <v>48.855583190917898</v>
      </c>
      <c r="G257" s="22">
        <f>IF(ISERROR(VLOOKUP($D257,SITES!$A:$E,4,FALSE)),"",VLOOKUP($D257,SITES!$A:$E,4,FALSE))</f>
        <v>-125.183799743652</v>
      </c>
      <c r="H257" s="23">
        <f t="shared" ref="H257:N257" si="496">IF(ISERROR(H256),IF(ISERROR(H255),IF(ISERROR(H254),"BLANK",H254),H255),H256)</f>
        <v>45411</v>
      </c>
      <c r="I257" s="20">
        <f t="shared" si="496"/>
        <v>3.5</v>
      </c>
      <c r="J257" s="20" t="str">
        <f t="shared" si="496"/>
        <v>W</v>
      </c>
      <c r="K257" s="27">
        <f t="shared" si="496"/>
        <v>0.51597222222222228</v>
      </c>
      <c r="L257" s="20">
        <f t="shared" si="496"/>
        <v>6</v>
      </c>
      <c r="M257" s="20">
        <f t="shared" si="496"/>
        <v>2</v>
      </c>
      <c r="N257" s="20">
        <f t="shared" si="496"/>
        <v>2</v>
      </c>
      <c r="O257" s="20">
        <v>32</v>
      </c>
      <c r="P257" s="20" t="s">
        <v>41</v>
      </c>
      <c r="Q257" s="21" t="str">
        <f>IF($M257=1,IF(ISERROR(VLOOKUP($P257,'M1'!$A:$C,Q$2,FALSE)),"NOT PRESENT",VLOOKUP($P257,'M1'!$A:$C,Q$2,FALSE)),IF($M257=2,IF(ISERROR(VLOOKUP(DATA!$P257,'M2'!$A:$C,Q$2,FALSE)),"NOT PRESENT",VLOOKUP(DATA!$P257,'M2'!$A:$C,Q$2,FALSE)),IF($M257=0,IF(ISERROR(VLOOKUP($P257,'M1'!$A:$C,Q$2,FALSE)),IF(ISERROR(VLOOKUP(DATA!$P257,'M2'!$A:$C,Q$2,FALSE)),"NOT PRESENT",VLOOKUP(DATA!$P257,'M2'!$A:$C,Q$2,FALSE)),VLOOKUP($P257,'M1'!$A:$C,Q$2,FALSE)),"SPECIFY METHOD")))</f>
        <v>Mesocentrotus franciscanus</v>
      </c>
      <c r="R257" s="21" t="str">
        <f>IF($M257=1,IF(ISERROR(VLOOKUP($P257,'M1'!$A:$C,R$2,FALSE)),"NOT PRESENT",VLOOKUP($P257,'M1'!$A:$C,R$2,FALSE)),IF($M257=2,IF(ISERROR(VLOOKUP(DATA!$P257,'M2'!$A:$C,R$2,FALSE)),"NOT PRESENT",VLOOKUP(DATA!$P257,'M2'!$A:$C,R$2,FALSE)),IF($M257=0,IF(ISERROR(VLOOKUP($P257,'M1'!$A:$C,R$2,FALSE)),IF(ISERROR(VLOOKUP(DATA!$P257,'M2'!$A:$C,R$2,FALSE)),"NOT PRESENT",VLOOKUP(DATA!$P257,'M2'!$A:$C,R$2,FALSE)),VLOOKUP($P257,'M1'!$A:$C,R$2,FALSE)),"SPECIFY METHOD")))</f>
        <v>Red sea urchin</v>
      </c>
      <c r="S257" s="28">
        <f t="shared" si="3"/>
        <v>2</v>
      </c>
      <c r="T257" s="20">
        <v>0</v>
      </c>
      <c r="U257" s="20"/>
      <c r="V257" s="20">
        <v>2</v>
      </c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</row>
    <row r="258" spans="1:68" ht="12.75" customHeight="1">
      <c r="A258" s="21">
        <f t="shared" ref="A258:A396" si="497">MAX($A$1:$A257)+1</f>
        <v>256</v>
      </c>
      <c r="B258" s="20" t="str">
        <f t="shared" ref="B258:D258" si="498">IF(ISERROR(B257),IF(ISERROR(B256),IF(ISERROR(B255),"BLANK",B255),B256),B257)</f>
        <v>Valesca de Groot</v>
      </c>
      <c r="C258" s="20" t="str">
        <f t="shared" si="498"/>
        <v>Em Lim</v>
      </c>
      <c r="D258" s="20" t="str">
        <f t="shared" si="498"/>
        <v>BMSC3</v>
      </c>
      <c r="E258" s="21" t="str">
        <f>IF(ISERROR(VLOOKUP($D258,SITES!$A:$E,2,FALSE)),"",VLOOKUP($D258,SITES!$A:$E,2,FALSE))</f>
        <v>Ohiat</v>
      </c>
      <c r="F258" s="19">
        <f>IF(ISERROR(VLOOKUP($D258,SITES!$A:$E,3,FALSE)),"",VLOOKUP($D258,SITES!$A:$E,3,FALSE))</f>
        <v>48.855583190917898</v>
      </c>
      <c r="G258" s="22">
        <f>IF(ISERROR(VLOOKUP($D258,SITES!$A:$E,4,FALSE)),"",VLOOKUP($D258,SITES!$A:$E,4,FALSE))</f>
        <v>-125.183799743652</v>
      </c>
      <c r="H258" s="23">
        <f t="shared" ref="H258:N258" si="499">IF(ISERROR(H257),IF(ISERROR(H256),IF(ISERROR(H255),"BLANK",H255),H256),H257)</f>
        <v>45411</v>
      </c>
      <c r="I258" s="20">
        <f t="shared" si="499"/>
        <v>3.5</v>
      </c>
      <c r="J258" s="20" t="str">
        <f t="shared" si="499"/>
        <v>W</v>
      </c>
      <c r="K258" s="27">
        <f t="shared" si="499"/>
        <v>0.51597222222222228</v>
      </c>
      <c r="L258" s="20">
        <f t="shared" si="499"/>
        <v>6</v>
      </c>
      <c r="M258" s="20">
        <f t="shared" si="499"/>
        <v>2</v>
      </c>
      <c r="N258" s="20">
        <f t="shared" si="499"/>
        <v>2</v>
      </c>
      <c r="O258" s="20">
        <v>32</v>
      </c>
      <c r="P258" s="20" t="s">
        <v>40</v>
      </c>
      <c r="Q258" s="21" t="str">
        <f>IF($M258=1,IF(ISERROR(VLOOKUP($P258,'M1'!$A:$C,Q$2,FALSE)),"NOT PRESENT",VLOOKUP($P258,'M1'!$A:$C,Q$2,FALSE)),IF($M258=2,IF(ISERROR(VLOOKUP(DATA!$P258,'M2'!$A:$C,Q$2,FALSE)),"NOT PRESENT",VLOOKUP(DATA!$P258,'M2'!$A:$C,Q$2,FALSE)),IF($M258=0,IF(ISERROR(VLOOKUP($P258,'M1'!$A:$C,Q$2,FALSE)),IF(ISERROR(VLOOKUP(DATA!$P258,'M2'!$A:$C,Q$2,FALSE)),"NOT PRESENT",VLOOKUP(DATA!$P258,'M2'!$A:$C,Q$2,FALSE)),VLOOKUP($P258,'M1'!$A:$C,Q$2,FALSE)),"SPECIFY METHOD")))</f>
        <v>Patiria miniata</v>
      </c>
      <c r="R258" s="21" t="str">
        <f>IF($M258=1,IF(ISERROR(VLOOKUP($P258,'M1'!$A:$C,R$2,FALSE)),"NOT PRESENT",VLOOKUP($P258,'M1'!$A:$C,R$2,FALSE)),IF($M258=2,IF(ISERROR(VLOOKUP(DATA!$P258,'M2'!$A:$C,R$2,FALSE)),"NOT PRESENT",VLOOKUP(DATA!$P258,'M2'!$A:$C,R$2,FALSE)),IF($M258=0,IF(ISERROR(VLOOKUP($P258,'M1'!$A:$C,R$2,FALSE)),IF(ISERROR(VLOOKUP(DATA!$P258,'M2'!$A:$C,R$2,FALSE)),"NOT PRESENT",VLOOKUP(DATA!$P258,'M2'!$A:$C,R$2,FALSE)),VLOOKUP($P258,'M1'!$A:$C,R$2,FALSE)),"SPECIFY METHOD")))</f>
        <v>Bat star</v>
      </c>
      <c r="S258" s="28">
        <f t="shared" ref="S258:S396" si="500">SUM(T258:AV258)</f>
        <v>2</v>
      </c>
      <c r="T258" s="20">
        <v>0</v>
      </c>
      <c r="U258" s="20"/>
      <c r="V258" s="20"/>
      <c r="W258" s="20"/>
      <c r="X258" s="20">
        <v>1</v>
      </c>
      <c r="Y258" s="20">
        <v>1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</row>
    <row r="259" spans="1:68" ht="12.75" customHeight="1">
      <c r="A259" s="21">
        <f t="shared" si="497"/>
        <v>257</v>
      </c>
      <c r="B259" s="20" t="str">
        <f t="shared" ref="B259:D259" si="501">IF(ISERROR(B258),IF(ISERROR(B257),IF(ISERROR(B256),"BLANK",B256),B257),B258)</f>
        <v>Valesca de Groot</v>
      </c>
      <c r="C259" s="20" t="str">
        <f t="shared" si="501"/>
        <v>Em Lim</v>
      </c>
      <c r="D259" s="20" t="str">
        <f t="shared" si="501"/>
        <v>BMSC3</v>
      </c>
      <c r="E259" s="21" t="str">
        <f>IF(ISERROR(VLOOKUP($D259,SITES!$A:$E,2,FALSE)),"",VLOOKUP($D259,SITES!$A:$E,2,FALSE))</f>
        <v>Ohiat</v>
      </c>
      <c r="F259" s="19">
        <f>IF(ISERROR(VLOOKUP($D259,SITES!$A:$E,3,FALSE)),"",VLOOKUP($D259,SITES!$A:$E,3,FALSE))</f>
        <v>48.855583190917898</v>
      </c>
      <c r="G259" s="22">
        <f>IF(ISERROR(VLOOKUP($D259,SITES!$A:$E,4,FALSE)),"",VLOOKUP($D259,SITES!$A:$E,4,FALSE))</f>
        <v>-125.183799743652</v>
      </c>
      <c r="H259" s="23">
        <f t="shared" ref="H259:N259" si="502">IF(ISERROR(H258),IF(ISERROR(H257),IF(ISERROR(H256),"BLANK",H256),H257),H258)</f>
        <v>45411</v>
      </c>
      <c r="I259" s="20">
        <f t="shared" si="502"/>
        <v>3.5</v>
      </c>
      <c r="J259" s="20" t="str">
        <f t="shared" si="502"/>
        <v>W</v>
      </c>
      <c r="K259" s="27">
        <f t="shared" si="502"/>
        <v>0.51597222222222228</v>
      </c>
      <c r="L259" s="20">
        <f t="shared" si="502"/>
        <v>6</v>
      </c>
      <c r="M259" s="20">
        <f t="shared" si="502"/>
        <v>2</v>
      </c>
      <c r="N259" s="20">
        <f t="shared" si="502"/>
        <v>2</v>
      </c>
      <c r="O259" s="20">
        <v>48</v>
      </c>
      <c r="P259" s="20" t="s">
        <v>41</v>
      </c>
      <c r="Q259" s="21" t="str">
        <f>IF($M259=1,IF(ISERROR(VLOOKUP($P259,'M1'!$A:$C,Q$2,FALSE)),"NOT PRESENT",VLOOKUP($P259,'M1'!$A:$C,Q$2,FALSE)),IF($M259=2,IF(ISERROR(VLOOKUP(DATA!$P259,'M2'!$A:$C,Q$2,FALSE)),"NOT PRESENT",VLOOKUP(DATA!$P259,'M2'!$A:$C,Q$2,FALSE)),IF($M259=0,IF(ISERROR(VLOOKUP($P259,'M1'!$A:$C,Q$2,FALSE)),IF(ISERROR(VLOOKUP(DATA!$P259,'M2'!$A:$C,Q$2,FALSE)),"NOT PRESENT",VLOOKUP(DATA!$P259,'M2'!$A:$C,Q$2,FALSE)),VLOOKUP($P259,'M1'!$A:$C,Q$2,FALSE)),"SPECIFY METHOD")))</f>
        <v>Mesocentrotus franciscanus</v>
      </c>
      <c r="R259" s="21" t="str">
        <f>IF($M259=1,IF(ISERROR(VLOOKUP($P259,'M1'!$A:$C,R$2,FALSE)),"NOT PRESENT",VLOOKUP($P259,'M1'!$A:$C,R$2,FALSE)),IF($M259=2,IF(ISERROR(VLOOKUP(DATA!$P259,'M2'!$A:$C,R$2,FALSE)),"NOT PRESENT",VLOOKUP(DATA!$P259,'M2'!$A:$C,R$2,FALSE)),IF($M259=0,IF(ISERROR(VLOOKUP($P259,'M1'!$A:$C,R$2,FALSE)),IF(ISERROR(VLOOKUP(DATA!$P259,'M2'!$A:$C,R$2,FALSE)),"NOT PRESENT",VLOOKUP(DATA!$P259,'M2'!$A:$C,R$2,FALSE)),VLOOKUP($P259,'M1'!$A:$C,R$2,FALSE)),"SPECIFY METHOD")))</f>
        <v>Red sea urchin</v>
      </c>
      <c r="S259" s="28">
        <f t="shared" si="500"/>
        <v>10</v>
      </c>
      <c r="T259" s="20">
        <v>0</v>
      </c>
      <c r="U259" s="20"/>
      <c r="V259" s="20">
        <v>9</v>
      </c>
      <c r="W259" s="20">
        <v>1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</row>
    <row r="260" spans="1:68" ht="12.75" customHeight="1">
      <c r="A260" s="21">
        <f t="shared" si="497"/>
        <v>258</v>
      </c>
      <c r="B260" s="20" t="str">
        <f t="shared" ref="B260:D260" si="503">IF(ISERROR(B259),IF(ISERROR(B258),IF(ISERROR(B257),"BLANK",B257),B258),B259)</f>
        <v>Valesca de Groot</v>
      </c>
      <c r="C260" s="20" t="str">
        <f t="shared" si="503"/>
        <v>Em Lim</v>
      </c>
      <c r="D260" s="20" t="str">
        <f t="shared" si="503"/>
        <v>BMSC3</v>
      </c>
      <c r="E260" s="21" t="str">
        <f>IF(ISERROR(VLOOKUP($D260,SITES!$A:$E,2,FALSE)),"",VLOOKUP($D260,SITES!$A:$E,2,FALSE))</f>
        <v>Ohiat</v>
      </c>
      <c r="F260" s="19">
        <f>IF(ISERROR(VLOOKUP($D260,SITES!$A:$E,3,FALSE)),"",VLOOKUP($D260,SITES!$A:$E,3,FALSE))</f>
        <v>48.855583190917898</v>
      </c>
      <c r="G260" s="22">
        <f>IF(ISERROR(VLOOKUP($D260,SITES!$A:$E,4,FALSE)),"",VLOOKUP($D260,SITES!$A:$E,4,FALSE))</f>
        <v>-125.183799743652</v>
      </c>
      <c r="H260" s="23">
        <f t="shared" ref="H260:N260" si="504">IF(ISERROR(H259),IF(ISERROR(H258),IF(ISERROR(H257),"BLANK",H257),H258),H259)</f>
        <v>45411</v>
      </c>
      <c r="I260" s="20">
        <f t="shared" si="504"/>
        <v>3.5</v>
      </c>
      <c r="J260" s="20" t="str">
        <f t="shared" si="504"/>
        <v>W</v>
      </c>
      <c r="K260" s="27">
        <f t="shared" si="504"/>
        <v>0.51597222222222228</v>
      </c>
      <c r="L260" s="20">
        <f t="shared" si="504"/>
        <v>6</v>
      </c>
      <c r="M260" s="20">
        <f t="shared" si="504"/>
        <v>2</v>
      </c>
      <c r="N260" s="20">
        <f t="shared" si="504"/>
        <v>2</v>
      </c>
      <c r="O260" s="20">
        <v>48</v>
      </c>
      <c r="P260" s="20" t="s">
        <v>42</v>
      </c>
      <c r="Q260" s="21" t="str">
        <f>IF($M260=1,IF(ISERROR(VLOOKUP($P260,'M1'!$A:$C,Q$2,FALSE)),"NOT PRESENT",VLOOKUP($P260,'M1'!$A:$C,Q$2,FALSE)),IF($M260=2,IF(ISERROR(VLOOKUP(DATA!$P260,'M2'!$A:$C,Q$2,FALSE)),"NOT PRESENT",VLOOKUP(DATA!$P260,'M2'!$A:$C,Q$2,FALSE)),IF($M260=0,IF(ISERROR(VLOOKUP($P260,'M1'!$A:$C,Q$2,FALSE)),IF(ISERROR(VLOOKUP(DATA!$P260,'M2'!$A:$C,Q$2,FALSE)),"NOT PRESENT",VLOOKUP(DATA!$P260,'M2'!$A:$C,Q$2,FALSE)),VLOOKUP($P260,'M1'!$A:$C,Q$2,FALSE)),"SPECIFY METHOD")))</f>
        <v>Orthasterias koehleri</v>
      </c>
      <c r="R260" s="21" t="str">
        <f>IF($M260=1,IF(ISERROR(VLOOKUP($P260,'M1'!$A:$C,R$2,FALSE)),"NOT PRESENT",VLOOKUP($P260,'M1'!$A:$C,R$2,FALSE)),IF($M260=2,IF(ISERROR(VLOOKUP(DATA!$P260,'M2'!$A:$C,R$2,FALSE)),"NOT PRESENT",VLOOKUP(DATA!$P260,'M2'!$A:$C,R$2,FALSE)),IF($M260=0,IF(ISERROR(VLOOKUP($P260,'M1'!$A:$C,R$2,FALSE)),IF(ISERROR(VLOOKUP(DATA!$P260,'M2'!$A:$C,R$2,FALSE)),"NOT PRESENT",VLOOKUP(DATA!$P260,'M2'!$A:$C,R$2,FALSE)),VLOOKUP($P260,'M1'!$A:$C,R$2,FALSE)),"SPECIFY METHOD")))</f>
        <v>Rainbow star</v>
      </c>
      <c r="S260" s="28">
        <f t="shared" si="500"/>
        <v>1</v>
      </c>
      <c r="T260" s="20">
        <v>0</v>
      </c>
      <c r="U260" s="20"/>
      <c r="V260" s="20"/>
      <c r="W260" s="20">
        <v>1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</row>
    <row r="261" spans="1:68" ht="12.75" customHeight="1">
      <c r="A261" s="21">
        <f t="shared" si="497"/>
        <v>259</v>
      </c>
      <c r="B261" s="20" t="str">
        <f t="shared" ref="B261:D261" si="505">IF(ISERROR(B260),IF(ISERROR(B259),IF(ISERROR(B258),"BLANK",B258),B259),B260)</f>
        <v>Valesca de Groot</v>
      </c>
      <c r="C261" s="20" t="str">
        <f t="shared" si="505"/>
        <v>Em Lim</v>
      </c>
      <c r="D261" s="20" t="str">
        <f t="shared" si="505"/>
        <v>BMSC3</v>
      </c>
      <c r="E261" s="21" t="str">
        <f>IF(ISERROR(VLOOKUP($D261,SITES!$A:$E,2,FALSE)),"",VLOOKUP($D261,SITES!$A:$E,2,FALSE))</f>
        <v>Ohiat</v>
      </c>
      <c r="F261" s="19">
        <f>IF(ISERROR(VLOOKUP($D261,SITES!$A:$E,3,FALSE)),"",VLOOKUP($D261,SITES!$A:$E,3,FALSE))</f>
        <v>48.855583190917898</v>
      </c>
      <c r="G261" s="22">
        <f>IF(ISERROR(VLOOKUP($D261,SITES!$A:$E,4,FALSE)),"",VLOOKUP($D261,SITES!$A:$E,4,FALSE))</f>
        <v>-125.183799743652</v>
      </c>
      <c r="H261" s="23">
        <f t="shared" ref="H261:N261" si="506">IF(ISERROR(H260),IF(ISERROR(H259),IF(ISERROR(H258),"BLANK",H258),H259),H260)</f>
        <v>45411</v>
      </c>
      <c r="I261" s="20">
        <f t="shared" si="506"/>
        <v>3.5</v>
      </c>
      <c r="J261" s="20" t="str">
        <f t="shared" si="506"/>
        <v>W</v>
      </c>
      <c r="K261" s="27">
        <f t="shared" si="506"/>
        <v>0.51597222222222228</v>
      </c>
      <c r="L261" s="20">
        <f t="shared" si="506"/>
        <v>6</v>
      </c>
      <c r="M261" s="20">
        <f t="shared" si="506"/>
        <v>2</v>
      </c>
      <c r="N261" s="20">
        <f t="shared" si="506"/>
        <v>2</v>
      </c>
      <c r="O261" s="20">
        <v>8</v>
      </c>
      <c r="P261" s="20" t="s">
        <v>41</v>
      </c>
      <c r="Q261" s="21" t="str">
        <f>IF($M261=1,IF(ISERROR(VLOOKUP($P261,'M1'!$A:$C,Q$2,FALSE)),"NOT PRESENT",VLOOKUP($P261,'M1'!$A:$C,Q$2,FALSE)),IF($M261=2,IF(ISERROR(VLOOKUP(DATA!$P261,'M2'!$A:$C,Q$2,FALSE)),"NOT PRESENT",VLOOKUP(DATA!$P261,'M2'!$A:$C,Q$2,FALSE)),IF($M261=0,IF(ISERROR(VLOOKUP($P261,'M1'!$A:$C,Q$2,FALSE)),IF(ISERROR(VLOOKUP(DATA!$P261,'M2'!$A:$C,Q$2,FALSE)),"NOT PRESENT",VLOOKUP(DATA!$P261,'M2'!$A:$C,Q$2,FALSE)),VLOOKUP($P261,'M1'!$A:$C,Q$2,FALSE)),"SPECIFY METHOD")))</f>
        <v>Mesocentrotus franciscanus</v>
      </c>
      <c r="R261" s="21" t="str">
        <f>IF($M261=1,IF(ISERROR(VLOOKUP($P261,'M1'!$A:$C,R$2,FALSE)),"NOT PRESENT",VLOOKUP($P261,'M1'!$A:$C,R$2,FALSE)),IF($M261=2,IF(ISERROR(VLOOKUP(DATA!$P261,'M2'!$A:$C,R$2,FALSE)),"NOT PRESENT",VLOOKUP(DATA!$P261,'M2'!$A:$C,R$2,FALSE)),IF($M261=0,IF(ISERROR(VLOOKUP($P261,'M1'!$A:$C,R$2,FALSE)),IF(ISERROR(VLOOKUP(DATA!$P261,'M2'!$A:$C,R$2,FALSE)),"NOT PRESENT",VLOOKUP(DATA!$P261,'M2'!$A:$C,R$2,FALSE)),VLOOKUP($P261,'M1'!$A:$C,R$2,FALSE)),"SPECIFY METHOD")))</f>
        <v>Red sea urchin</v>
      </c>
      <c r="S261" s="28">
        <f t="shared" si="500"/>
        <v>5</v>
      </c>
      <c r="T261" s="20">
        <v>0</v>
      </c>
      <c r="U261" s="20">
        <v>1</v>
      </c>
      <c r="V261" s="20">
        <v>3</v>
      </c>
      <c r="W261" s="20"/>
      <c r="X261" s="20">
        <v>1</v>
      </c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</row>
    <row r="262" spans="1:68" ht="12.75" customHeight="1">
      <c r="A262" s="21">
        <f t="shared" si="497"/>
        <v>260</v>
      </c>
      <c r="B262" s="20" t="str">
        <f t="shared" ref="B262:D262" si="507">IF(ISERROR(B261),IF(ISERROR(B260),IF(ISERROR(B259),"BLANK",B259),B260),B261)</f>
        <v>Valesca de Groot</v>
      </c>
      <c r="C262" s="20" t="str">
        <f t="shared" si="507"/>
        <v>Em Lim</v>
      </c>
      <c r="D262" s="20" t="str">
        <f t="shared" si="507"/>
        <v>BMSC3</v>
      </c>
      <c r="E262" s="21" t="str">
        <f>IF(ISERROR(VLOOKUP($D262,SITES!$A:$E,2,FALSE)),"",VLOOKUP($D262,SITES!$A:$E,2,FALSE))</f>
        <v>Ohiat</v>
      </c>
      <c r="F262" s="19">
        <f>IF(ISERROR(VLOOKUP($D262,SITES!$A:$E,3,FALSE)),"",VLOOKUP($D262,SITES!$A:$E,3,FALSE))</f>
        <v>48.855583190917898</v>
      </c>
      <c r="G262" s="22">
        <f>IF(ISERROR(VLOOKUP($D262,SITES!$A:$E,4,FALSE)),"",VLOOKUP($D262,SITES!$A:$E,4,FALSE))</f>
        <v>-125.183799743652</v>
      </c>
      <c r="H262" s="23">
        <f t="shared" ref="H262:N262" si="508">IF(ISERROR(H261),IF(ISERROR(H260),IF(ISERROR(H259),"BLANK",H259),H260),H261)</f>
        <v>45411</v>
      </c>
      <c r="I262" s="20">
        <f t="shared" si="508"/>
        <v>3.5</v>
      </c>
      <c r="J262" s="20" t="str">
        <f t="shared" si="508"/>
        <v>W</v>
      </c>
      <c r="K262" s="27">
        <f t="shared" si="508"/>
        <v>0.51597222222222228</v>
      </c>
      <c r="L262" s="20">
        <f t="shared" si="508"/>
        <v>6</v>
      </c>
      <c r="M262" s="20">
        <f t="shared" si="508"/>
        <v>2</v>
      </c>
      <c r="N262" s="20">
        <f t="shared" si="508"/>
        <v>2</v>
      </c>
      <c r="O262" s="20">
        <v>8</v>
      </c>
      <c r="P262" s="20" t="s">
        <v>65</v>
      </c>
      <c r="Q262" s="21" t="str">
        <f>IF($M262=1,IF(ISERROR(VLOOKUP($P262,'M1'!$A:$C,Q$2,FALSE)),"NOT PRESENT",VLOOKUP($P262,'M1'!$A:$C,Q$2,FALSE)),IF($M262=2,IF(ISERROR(VLOOKUP(DATA!$P262,'M2'!$A:$C,Q$2,FALSE)),"NOT PRESENT",VLOOKUP(DATA!$P262,'M2'!$A:$C,Q$2,FALSE)),IF($M262=0,IF(ISERROR(VLOOKUP($P262,'M1'!$A:$C,Q$2,FALSE)),IF(ISERROR(VLOOKUP(DATA!$P262,'M2'!$A:$C,Q$2,FALSE)),"NOT PRESENT",VLOOKUP(DATA!$P262,'M2'!$A:$C,Q$2,FALSE)),VLOOKUP($P262,'M1'!$A:$C,Q$2,FALSE)),"SPECIFY METHOD")))</f>
        <v>Strongylocentrotus purpuratus</v>
      </c>
      <c r="R262" s="21" t="str">
        <f>IF($M262=1,IF(ISERROR(VLOOKUP($P262,'M1'!$A:$C,R$2,FALSE)),"NOT PRESENT",VLOOKUP($P262,'M1'!$A:$C,R$2,FALSE)),IF($M262=2,IF(ISERROR(VLOOKUP(DATA!$P262,'M2'!$A:$C,R$2,FALSE)),"NOT PRESENT",VLOOKUP(DATA!$P262,'M2'!$A:$C,R$2,FALSE)),IF($M262=0,IF(ISERROR(VLOOKUP($P262,'M1'!$A:$C,R$2,FALSE)),IF(ISERROR(VLOOKUP(DATA!$P262,'M2'!$A:$C,R$2,FALSE)),"NOT PRESENT",VLOOKUP(DATA!$P262,'M2'!$A:$C,R$2,FALSE)),VLOOKUP($P262,'M1'!$A:$C,R$2,FALSE)),"SPECIFY METHOD")))</f>
        <v>Purple sea urchin (?)</v>
      </c>
      <c r="S262" s="28">
        <f t="shared" si="500"/>
        <v>1</v>
      </c>
      <c r="T262" s="20">
        <v>0</v>
      </c>
      <c r="U262" s="20"/>
      <c r="V262" s="20">
        <v>1</v>
      </c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</row>
    <row r="263" spans="1:68" ht="12.75" customHeight="1">
      <c r="A263" s="21">
        <f t="shared" si="497"/>
        <v>261</v>
      </c>
      <c r="B263" s="20" t="str">
        <f t="shared" ref="B263:D263" si="509">IF(ISERROR(B262),IF(ISERROR(B261),IF(ISERROR(B260),"BLANK",B260),B261),B262)</f>
        <v>Valesca de Groot</v>
      </c>
      <c r="C263" s="20" t="str">
        <f t="shared" si="509"/>
        <v>Em Lim</v>
      </c>
      <c r="D263" s="20" t="str">
        <f t="shared" si="509"/>
        <v>BMSC3</v>
      </c>
      <c r="E263" s="21" t="str">
        <f>IF(ISERROR(VLOOKUP($D263,SITES!$A:$E,2,FALSE)),"",VLOOKUP($D263,SITES!$A:$E,2,FALSE))</f>
        <v>Ohiat</v>
      </c>
      <c r="F263" s="19">
        <f>IF(ISERROR(VLOOKUP($D263,SITES!$A:$E,3,FALSE)),"",VLOOKUP($D263,SITES!$A:$E,3,FALSE))</f>
        <v>48.855583190917898</v>
      </c>
      <c r="G263" s="22">
        <f>IF(ISERROR(VLOOKUP($D263,SITES!$A:$E,4,FALSE)),"",VLOOKUP($D263,SITES!$A:$E,4,FALSE))</f>
        <v>-125.183799743652</v>
      </c>
      <c r="H263" s="23">
        <f t="shared" ref="H263:N263" si="510">IF(ISERROR(H262),IF(ISERROR(H261),IF(ISERROR(H260),"BLANK",H260),H261),H262)</f>
        <v>45411</v>
      </c>
      <c r="I263" s="20">
        <f t="shared" si="510"/>
        <v>3.5</v>
      </c>
      <c r="J263" s="20" t="str">
        <f t="shared" si="510"/>
        <v>W</v>
      </c>
      <c r="K263" s="27">
        <f t="shared" si="510"/>
        <v>0.51597222222222228</v>
      </c>
      <c r="L263" s="20">
        <f t="shared" si="510"/>
        <v>6</v>
      </c>
      <c r="M263" s="20">
        <f t="shared" si="510"/>
        <v>2</v>
      </c>
      <c r="N263" s="20">
        <f t="shared" si="510"/>
        <v>2</v>
      </c>
      <c r="O263" s="20">
        <v>8</v>
      </c>
      <c r="P263" s="20" t="s">
        <v>42</v>
      </c>
      <c r="Q263" s="21" t="str">
        <f>IF($M263=1,IF(ISERROR(VLOOKUP($P263,'M1'!$A:$C,Q$2,FALSE)),"NOT PRESENT",VLOOKUP($P263,'M1'!$A:$C,Q$2,FALSE)),IF($M263=2,IF(ISERROR(VLOOKUP(DATA!$P263,'M2'!$A:$C,Q$2,FALSE)),"NOT PRESENT",VLOOKUP(DATA!$P263,'M2'!$A:$C,Q$2,FALSE)),IF($M263=0,IF(ISERROR(VLOOKUP($P263,'M1'!$A:$C,Q$2,FALSE)),IF(ISERROR(VLOOKUP(DATA!$P263,'M2'!$A:$C,Q$2,FALSE)),"NOT PRESENT",VLOOKUP(DATA!$P263,'M2'!$A:$C,Q$2,FALSE)),VLOOKUP($P263,'M1'!$A:$C,Q$2,FALSE)),"SPECIFY METHOD")))</f>
        <v>Orthasterias koehleri</v>
      </c>
      <c r="R263" s="21" t="str">
        <f>IF($M263=1,IF(ISERROR(VLOOKUP($P263,'M1'!$A:$C,R$2,FALSE)),"NOT PRESENT",VLOOKUP($P263,'M1'!$A:$C,R$2,FALSE)),IF($M263=2,IF(ISERROR(VLOOKUP(DATA!$P263,'M2'!$A:$C,R$2,FALSE)),"NOT PRESENT",VLOOKUP(DATA!$P263,'M2'!$A:$C,R$2,FALSE)),IF($M263=0,IF(ISERROR(VLOOKUP($P263,'M1'!$A:$C,R$2,FALSE)),IF(ISERROR(VLOOKUP(DATA!$P263,'M2'!$A:$C,R$2,FALSE)),"NOT PRESENT",VLOOKUP(DATA!$P263,'M2'!$A:$C,R$2,FALSE)),VLOOKUP($P263,'M1'!$A:$C,R$2,FALSE)),"SPECIFY METHOD")))</f>
        <v>Rainbow star</v>
      </c>
      <c r="S263" s="28">
        <f t="shared" si="500"/>
        <v>1</v>
      </c>
      <c r="T263" s="20">
        <v>0</v>
      </c>
      <c r="U263" s="20"/>
      <c r="V263" s="20"/>
      <c r="W263" s="20">
        <v>1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</row>
    <row r="264" spans="1:68" ht="12.75" customHeight="1">
      <c r="A264" s="21">
        <f t="shared" si="497"/>
        <v>262</v>
      </c>
      <c r="B264" s="20" t="str">
        <f t="shared" ref="B264:D264" si="511">IF(ISERROR(B263),IF(ISERROR(B262),IF(ISERROR(B261),"BLANK",B261),B262),B263)</f>
        <v>Valesca de Groot</v>
      </c>
      <c r="C264" s="20" t="str">
        <f t="shared" si="511"/>
        <v>Em Lim</v>
      </c>
      <c r="D264" s="20" t="str">
        <f t="shared" si="511"/>
        <v>BMSC3</v>
      </c>
      <c r="E264" s="21" t="str">
        <f>IF(ISERROR(VLOOKUP($D264,SITES!$A:$E,2,FALSE)),"",VLOOKUP($D264,SITES!$A:$E,2,FALSE))</f>
        <v>Ohiat</v>
      </c>
      <c r="F264" s="19">
        <f>IF(ISERROR(VLOOKUP($D264,SITES!$A:$E,3,FALSE)),"",VLOOKUP($D264,SITES!$A:$E,3,FALSE))</f>
        <v>48.855583190917898</v>
      </c>
      <c r="G264" s="22">
        <f>IF(ISERROR(VLOOKUP($D264,SITES!$A:$E,4,FALSE)),"",VLOOKUP($D264,SITES!$A:$E,4,FALSE))</f>
        <v>-125.183799743652</v>
      </c>
      <c r="H264" s="23">
        <f t="shared" ref="H264:N264" si="512">IF(ISERROR(H263),IF(ISERROR(H262),IF(ISERROR(H261),"BLANK",H261),H262),H263)</f>
        <v>45411</v>
      </c>
      <c r="I264" s="20">
        <f t="shared" si="512"/>
        <v>3.5</v>
      </c>
      <c r="J264" s="20" t="str">
        <f t="shared" si="512"/>
        <v>W</v>
      </c>
      <c r="K264" s="27">
        <f t="shared" si="512"/>
        <v>0.51597222222222228</v>
      </c>
      <c r="L264" s="20">
        <f t="shared" si="512"/>
        <v>6</v>
      </c>
      <c r="M264" s="20">
        <f t="shared" si="512"/>
        <v>2</v>
      </c>
      <c r="N264" s="20">
        <f t="shared" si="512"/>
        <v>2</v>
      </c>
      <c r="O264" s="20">
        <v>24</v>
      </c>
      <c r="P264" s="20" t="s">
        <v>41</v>
      </c>
      <c r="Q264" s="21" t="str">
        <f>IF($M264=1,IF(ISERROR(VLOOKUP($P264,'M1'!$A:$C,Q$2,FALSE)),"NOT PRESENT",VLOOKUP($P264,'M1'!$A:$C,Q$2,FALSE)),IF($M264=2,IF(ISERROR(VLOOKUP(DATA!$P264,'M2'!$A:$C,Q$2,FALSE)),"NOT PRESENT",VLOOKUP(DATA!$P264,'M2'!$A:$C,Q$2,FALSE)),IF($M264=0,IF(ISERROR(VLOOKUP($P264,'M1'!$A:$C,Q$2,FALSE)),IF(ISERROR(VLOOKUP(DATA!$P264,'M2'!$A:$C,Q$2,FALSE)),"NOT PRESENT",VLOOKUP(DATA!$P264,'M2'!$A:$C,Q$2,FALSE)),VLOOKUP($P264,'M1'!$A:$C,Q$2,FALSE)),"SPECIFY METHOD")))</f>
        <v>Mesocentrotus franciscanus</v>
      </c>
      <c r="R264" s="21" t="str">
        <f>IF($M264=1,IF(ISERROR(VLOOKUP($P264,'M1'!$A:$C,R$2,FALSE)),"NOT PRESENT",VLOOKUP($P264,'M1'!$A:$C,R$2,FALSE)),IF($M264=2,IF(ISERROR(VLOOKUP(DATA!$P264,'M2'!$A:$C,R$2,FALSE)),"NOT PRESENT",VLOOKUP(DATA!$P264,'M2'!$A:$C,R$2,FALSE)),IF($M264=0,IF(ISERROR(VLOOKUP($P264,'M1'!$A:$C,R$2,FALSE)),IF(ISERROR(VLOOKUP(DATA!$P264,'M2'!$A:$C,R$2,FALSE)),"NOT PRESENT",VLOOKUP(DATA!$P264,'M2'!$A:$C,R$2,FALSE)),VLOOKUP($P264,'M1'!$A:$C,R$2,FALSE)),"SPECIFY METHOD")))</f>
        <v>Red sea urchin</v>
      </c>
      <c r="S264" s="28">
        <f t="shared" si="500"/>
        <v>1</v>
      </c>
      <c r="T264" s="20">
        <v>0</v>
      </c>
      <c r="U264" s="20"/>
      <c r="V264" s="20"/>
      <c r="W264" s="20">
        <v>1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</row>
    <row r="265" spans="1:68" ht="12.75" customHeight="1">
      <c r="A265" s="21">
        <f t="shared" si="497"/>
        <v>263</v>
      </c>
      <c r="B265" s="20" t="str">
        <f t="shared" ref="B265:D265" si="513">IF(ISERROR(B264),IF(ISERROR(B263),IF(ISERROR(B262),"BLANK",B262),B263),B264)</f>
        <v>Valesca de Groot</v>
      </c>
      <c r="C265" s="20" t="str">
        <f t="shared" si="513"/>
        <v>Em Lim</v>
      </c>
      <c r="D265" s="20" t="str">
        <f t="shared" si="513"/>
        <v>BMSC3</v>
      </c>
      <c r="E265" s="21" t="str">
        <f>IF(ISERROR(VLOOKUP($D265,SITES!$A:$E,2,FALSE)),"",VLOOKUP($D265,SITES!$A:$E,2,FALSE))</f>
        <v>Ohiat</v>
      </c>
      <c r="F265" s="19">
        <f>IF(ISERROR(VLOOKUP($D265,SITES!$A:$E,3,FALSE)),"",VLOOKUP($D265,SITES!$A:$E,3,FALSE))</f>
        <v>48.855583190917898</v>
      </c>
      <c r="G265" s="22">
        <f>IF(ISERROR(VLOOKUP($D265,SITES!$A:$E,4,FALSE)),"",VLOOKUP($D265,SITES!$A:$E,4,FALSE))</f>
        <v>-125.183799743652</v>
      </c>
      <c r="H265" s="23">
        <f t="shared" ref="H265:N265" si="514">IF(ISERROR(H264),IF(ISERROR(H263),IF(ISERROR(H262),"BLANK",H262),H263),H264)</f>
        <v>45411</v>
      </c>
      <c r="I265" s="20">
        <f t="shared" si="514"/>
        <v>3.5</v>
      </c>
      <c r="J265" s="20" t="str">
        <f t="shared" si="514"/>
        <v>W</v>
      </c>
      <c r="K265" s="27">
        <f t="shared" si="514"/>
        <v>0.51597222222222228</v>
      </c>
      <c r="L265" s="20">
        <f t="shared" si="514"/>
        <v>6</v>
      </c>
      <c r="M265" s="20">
        <f t="shared" si="514"/>
        <v>2</v>
      </c>
      <c r="N265" s="20">
        <f t="shared" si="514"/>
        <v>2</v>
      </c>
      <c r="O265" s="20">
        <v>24</v>
      </c>
      <c r="P265" s="20" t="s">
        <v>40</v>
      </c>
      <c r="Q265" s="21" t="str">
        <f>IF($M265=1,IF(ISERROR(VLOOKUP($P265,'M1'!$A:$C,Q$2,FALSE)),"NOT PRESENT",VLOOKUP($P265,'M1'!$A:$C,Q$2,FALSE)),IF($M265=2,IF(ISERROR(VLOOKUP(DATA!$P265,'M2'!$A:$C,Q$2,FALSE)),"NOT PRESENT",VLOOKUP(DATA!$P265,'M2'!$A:$C,Q$2,FALSE)),IF($M265=0,IF(ISERROR(VLOOKUP($P265,'M1'!$A:$C,Q$2,FALSE)),IF(ISERROR(VLOOKUP(DATA!$P265,'M2'!$A:$C,Q$2,FALSE)),"NOT PRESENT",VLOOKUP(DATA!$P265,'M2'!$A:$C,Q$2,FALSE)),VLOOKUP($P265,'M1'!$A:$C,Q$2,FALSE)),"SPECIFY METHOD")))</f>
        <v>Patiria miniata</v>
      </c>
      <c r="R265" s="21" t="str">
        <f>IF($M265=1,IF(ISERROR(VLOOKUP($P265,'M1'!$A:$C,R$2,FALSE)),"NOT PRESENT",VLOOKUP($P265,'M1'!$A:$C,R$2,FALSE)),IF($M265=2,IF(ISERROR(VLOOKUP(DATA!$P265,'M2'!$A:$C,R$2,FALSE)),"NOT PRESENT",VLOOKUP(DATA!$P265,'M2'!$A:$C,R$2,FALSE)),IF($M265=0,IF(ISERROR(VLOOKUP($P265,'M1'!$A:$C,R$2,FALSE)),IF(ISERROR(VLOOKUP(DATA!$P265,'M2'!$A:$C,R$2,FALSE)),"NOT PRESENT",VLOOKUP(DATA!$P265,'M2'!$A:$C,R$2,FALSE)),VLOOKUP($P265,'M1'!$A:$C,R$2,FALSE)),"SPECIFY METHOD")))</f>
        <v>Bat star</v>
      </c>
      <c r="S265" s="28">
        <f t="shared" si="500"/>
        <v>2</v>
      </c>
      <c r="T265" s="20">
        <v>0</v>
      </c>
      <c r="U265" s="20"/>
      <c r="V265" s="20"/>
      <c r="W265" s="20">
        <v>1</v>
      </c>
      <c r="X265" s="20">
        <v>1</v>
      </c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</row>
    <row r="266" spans="1:68" ht="12.75" customHeight="1">
      <c r="A266" s="21">
        <f t="shared" si="497"/>
        <v>264</v>
      </c>
      <c r="B266" s="20" t="str">
        <f t="shared" ref="B266:D266" si="515">IF(ISERROR(B265),IF(ISERROR(B264),IF(ISERROR(B263),"BLANK",B263),B264),B265)</f>
        <v>Valesca de Groot</v>
      </c>
      <c r="C266" s="20" t="str">
        <f t="shared" si="515"/>
        <v>Em Lim</v>
      </c>
      <c r="D266" s="20" t="str">
        <f t="shared" si="515"/>
        <v>BMSC3</v>
      </c>
      <c r="E266" s="21" t="str">
        <f>IF(ISERROR(VLOOKUP($D266,SITES!$A:$E,2,FALSE)),"",VLOOKUP($D266,SITES!$A:$E,2,FALSE))</f>
        <v>Ohiat</v>
      </c>
      <c r="F266" s="19">
        <f>IF(ISERROR(VLOOKUP($D266,SITES!$A:$E,3,FALSE)),"",VLOOKUP($D266,SITES!$A:$E,3,FALSE))</f>
        <v>48.855583190917898</v>
      </c>
      <c r="G266" s="22">
        <f>IF(ISERROR(VLOOKUP($D266,SITES!$A:$E,4,FALSE)),"",VLOOKUP($D266,SITES!$A:$E,4,FALSE))</f>
        <v>-125.183799743652</v>
      </c>
      <c r="H266" s="23">
        <f t="shared" ref="H266:N266" si="516">IF(ISERROR(H265),IF(ISERROR(H264),IF(ISERROR(H263),"BLANK",H263),H264),H265)</f>
        <v>45411</v>
      </c>
      <c r="I266" s="20">
        <f t="shared" si="516"/>
        <v>3.5</v>
      </c>
      <c r="J266" s="20" t="str">
        <f t="shared" si="516"/>
        <v>W</v>
      </c>
      <c r="K266" s="27">
        <f t="shared" si="516"/>
        <v>0.51597222222222228</v>
      </c>
      <c r="L266" s="20">
        <f t="shared" si="516"/>
        <v>6</v>
      </c>
      <c r="M266" s="20">
        <f t="shared" si="516"/>
        <v>2</v>
      </c>
      <c r="N266" s="20">
        <f t="shared" si="516"/>
        <v>2</v>
      </c>
      <c r="O266" s="20">
        <v>24</v>
      </c>
      <c r="P266" s="20" t="s">
        <v>39</v>
      </c>
      <c r="Q266" s="21" t="str">
        <f>IF($M266=1,IF(ISERROR(VLOOKUP($P266,'M1'!$A:$C,Q$2,FALSE)),"NOT PRESENT",VLOOKUP($P266,'M1'!$A:$C,Q$2,FALSE)),IF($M266=2,IF(ISERROR(VLOOKUP(DATA!$P266,'M2'!$A:$C,Q$2,FALSE)),"NOT PRESENT",VLOOKUP(DATA!$P266,'M2'!$A:$C,Q$2,FALSE)),IF($M266=0,IF(ISERROR(VLOOKUP($P266,'M1'!$A:$C,Q$2,FALSE)),IF(ISERROR(VLOOKUP(DATA!$P266,'M2'!$A:$C,Q$2,FALSE)),"NOT PRESENT",VLOOKUP(DATA!$P266,'M2'!$A:$C,Q$2,FALSE)),VLOOKUP($P266,'M1'!$A:$C,Q$2,FALSE)),"SPECIFY METHOD")))</f>
        <v>Dermasterias imbricata</v>
      </c>
      <c r="R266" s="21" t="str">
        <f>IF($M266=1,IF(ISERROR(VLOOKUP($P266,'M1'!$A:$C,R$2,FALSE)),"NOT PRESENT",VLOOKUP($P266,'M1'!$A:$C,R$2,FALSE)),IF($M266=2,IF(ISERROR(VLOOKUP(DATA!$P266,'M2'!$A:$C,R$2,FALSE)),"NOT PRESENT",VLOOKUP(DATA!$P266,'M2'!$A:$C,R$2,FALSE)),IF($M266=0,IF(ISERROR(VLOOKUP($P266,'M1'!$A:$C,R$2,FALSE)),IF(ISERROR(VLOOKUP(DATA!$P266,'M2'!$A:$C,R$2,FALSE)),"NOT PRESENT",VLOOKUP(DATA!$P266,'M2'!$A:$C,R$2,FALSE)),VLOOKUP($P266,'M1'!$A:$C,R$2,FALSE)),"SPECIFY METHOD")))</f>
        <v>Leather star</v>
      </c>
      <c r="S266" s="28">
        <f t="shared" si="500"/>
        <v>1</v>
      </c>
      <c r="T266" s="20">
        <v>0</v>
      </c>
      <c r="U266" s="20"/>
      <c r="V266" s="20"/>
      <c r="W266" s="20"/>
      <c r="X266" s="20"/>
      <c r="Y266" s="20"/>
      <c r="Z266" s="20">
        <v>1</v>
      </c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</row>
    <row r="267" spans="1:68" ht="12.75" customHeight="1">
      <c r="A267" s="21">
        <f t="shared" si="497"/>
        <v>265</v>
      </c>
      <c r="B267" s="20" t="str">
        <f t="shared" ref="B267:D267" si="517">IF(ISERROR(B266),IF(ISERROR(B265),IF(ISERROR(B264),"BLANK",B264),B265),B266)</f>
        <v>Valesca de Groot</v>
      </c>
      <c r="C267" s="20" t="str">
        <f t="shared" si="517"/>
        <v>Em Lim</v>
      </c>
      <c r="D267" s="20" t="str">
        <f t="shared" si="517"/>
        <v>BMSC3</v>
      </c>
      <c r="E267" s="21" t="str">
        <f>IF(ISERROR(VLOOKUP($D267,SITES!$A:$E,2,FALSE)),"",VLOOKUP($D267,SITES!$A:$E,2,FALSE))</f>
        <v>Ohiat</v>
      </c>
      <c r="F267" s="19">
        <f>IF(ISERROR(VLOOKUP($D267,SITES!$A:$E,3,FALSE)),"",VLOOKUP($D267,SITES!$A:$E,3,FALSE))</f>
        <v>48.855583190917898</v>
      </c>
      <c r="G267" s="22">
        <f>IF(ISERROR(VLOOKUP($D267,SITES!$A:$E,4,FALSE)),"",VLOOKUP($D267,SITES!$A:$E,4,FALSE))</f>
        <v>-125.183799743652</v>
      </c>
      <c r="H267" s="23">
        <f t="shared" ref="H267:N267" si="518">IF(ISERROR(H266),IF(ISERROR(H265),IF(ISERROR(H264),"BLANK",H264),H265),H266)</f>
        <v>45411</v>
      </c>
      <c r="I267" s="20">
        <f t="shared" si="518"/>
        <v>3.5</v>
      </c>
      <c r="J267" s="20" t="str">
        <f t="shared" si="518"/>
        <v>W</v>
      </c>
      <c r="K267" s="27">
        <f t="shared" si="518"/>
        <v>0.51597222222222228</v>
      </c>
      <c r="L267" s="20">
        <f t="shared" si="518"/>
        <v>6</v>
      </c>
      <c r="M267" s="20">
        <f t="shared" si="518"/>
        <v>2</v>
      </c>
      <c r="N267" s="20">
        <f t="shared" si="518"/>
        <v>2</v>
      </c>
      <c r="O267" s="20">
        <v>24</v>
      </c>
      <c r="P267" s="20" t="s">
        <v>42</v>
      </c>
      <c r="Q267" s="21" t="str">
        <f>IF($M267=1,IF(ISERROR(VLOOKUP($P267,'M1'!$A:$C,Q$2,FALSE)),"NOT PRESENT",VLOOKUP($P267,'M1'!$A:$C,Q$2,FALSE)),IF($M267=2,IF(ISERROR(VLOOKUP(DATA!$P267,'M2'!$A:$C,Q$2,FALSE)),"NOT PRESENT",VLOOKUP(DATA!$P267,'M2'!$A:$C,Q$2,FALSE)),IF($M267=0,IF(ISERROR(VLOOKUP($P267,'M1'!$A:$C,Q$2,FALSE)),IF(ISERROR(VLOOKUP(DATA!$P267,'M2'!$A:$C,Q$2,FALSE)),"NOT PRESENT",VLOOKUP(DATA!$P267,'M2'!$A:$C,Q$2,FALSE)),VLOOKUP($P267,'M1'!$A:$C,Q$2,FALSE)),"SPECIFY METHOD")))</f>
        <v>Orthasterias koehleri</v>
      </c>
      <c r="R267" s="21" t="str">
        <f>IF($M267=1,IF(ISERROR(VLOOKUP($P267,'M1'!$A:$C,R$2,FALSE)),"NOT PRESENT",VLOOKUP($P267,'M1'!$A:$C,R$2,FALSE)),IF($M267=2,IF(ISERROR(VLOOKUP(DATA!$P267,'M2'!$A:$C,R$2,FALSE)),"NOT PRESENT",VLOOKUP(DATA!$P267,'M2'!$A:$C,R$2,FALSE)),IF($M267=0,IF(ISERROR(VLOOKUP($P267,'M1'!$A:$C,R$2,FALSE)),IF(ISERROR(VLOOKUP(DATA!$P267,'M2'!$A:$C,R$2,FALSE)),"NOT PRESENT",VLOOKUP(DATA!$P267,'M2'!$A:$C,R$2,FALSE)),VLOOKUP($P267,'M1'!$A:$C,R$2,FALSE)),"SPECIFY METHOD")))</f>
        <v>Rainbow star</v>
      </c>
      <c r="S267" s="28">
        <f t="shared" si="500"/>
        <v>1</v>
      </c>
      <c r="T267" s="20">
        <v>0</v>
      </c>
      <c r="U267" s="20"/>
      <c r="V267" s="20"/>
      <c r="W267" s="20">
        <v>1</v>
      </c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</row>
    <row r="268" spans="1:68" ht="12.75" customHeight="1">
      <c r="A268" s="21">
        <f t="shared" si="497"/>
        <v>266</v>
      </c>
      <c r="B268" s="20" t="str">
        <f t="shared" ref="B268:D268" si="519">IF(ISERROR(B267),IF(ISERROR(B266),IF(ISERROR(B265),"BLANK",B265),B266),B267)</f>
        <v>Valesca de Groot</v>
      </c>
      <c r="C268" s="20" t="str">
        <f t="shared" si="519"/>
        <v>Em Lim</v>
      </c>
      <c r="D268" s="20" t="str">
        <f t="shared" si="519"/>
        <v>BMSC3</v>
      </c>
      <c r="E268" s="21" t="str">
        <f>IF(ISERROR(VLOOKUP($D268,SITES!$A:$E,2,FALSE)),"",VLOOKUP($D268,SITES!$A:$E,2,FALSE))</f>
        <v>Ohiat</v>
      </c>
      <c r="F268" s="19">
        <f>IF(ISERROR(VLOOKUP($D268,SITES!$A:$E,3,FALSE)),"",VLOOKUP($D268,SITES!$A:$E,3,FALSE))</f>
        <v>48.855583190917898</v>
      </c>
      <c r="G268" s="22">
        <f>IF(ISERROR(VLOOKUP($D268,SITES!$A:$E,4,FALSE)),"",VLOOKUP($D268,SITES!$A:$E,4,FALSE))</f>
        <v>-125.183799743652</v>
      </c>
      <c r="H268" s="23">
        <f t="shared" ref="H268:N268" si="520">IF(ISERROR(H267),IF(ISERROR(H266),IF(ISERROR(H265),"BLANK",H265),H266),H267)</f>
        <v>45411</v>
      </c>
      <c r="I268" s="20">
        <f t="shared" si="520"/>
        <v>3.5</v>
      </c>
      <c r="J268" s="20" t="str">
        <f t="shared" si="520"/>
        <v>W</v>
      </c>
      <c r="K268" s="27">
        <f t="shared" si="520"/>
        <v>0.51597222222222228</v>
      </c>
      <c r="L268" s="20">
        <f t="shared" si="520"/>
        <v>6</v>
      </c>
      <c r="M268" s="20">
        <f t="shared" si="520"/>
        <v>2</v>
      </c>
      <c r="N268" s="20">
        <f t="shared" si="520"/>
        <v>2</v>
      </c>
      <c r="O268" s="20">
        <v>40</v>
      </c>
      <c r="P268" s="20" t="s">
        <v>41</v>
      </c>
      <c r="Q268" s="21" t="str">
        <f>IF($M268=1,IF(ISERROR(VLOOKUP($P268,'M1'!$A:$C,Q$2,FALSE)),"NOT PRESENT",VLOOKUP($P268,'M1'!$A:$C,Q$2,FALSE)),IF($M268=2,IF(ISERROR(VLOOKUP(DATA!$P268,'M2'!$A:$C,Q$2,FALSE)),"NOT PRESENT",VLOOKUP(DATA!$P268,'M2'!$A:$C,Q$2,FALSE)),IF($M268=0,IF(ISERROR(VLOOKUP($P268,'M1'!$A:$C,Q$2,FALSE)),IF(ISERROR(VLOOKUP(DATA!$P268,'M2'!$A:$C,Q$2,FALSE)),"NOT PRESENT",VLOOKUP(DATA!$P268,'M2'!$A:$C,Q$2,FALSE)),VLOOKUP($P268,'M1'!$A:$C,Q$2,FALSE)),"SPECIFY METHOD")))</f>
        <v>Mesocentrotus franciscanus</v>
      </c>
      <c r="R268" s="21" t="str">
        <f>IF($M268=1,IF(ISERROR(VLOOKUP($P268,'M1'!$A:$C,R$2,FALSE)),"NOT PRESENT",VLOOKUP($P268,'M1'!$A:$C,R$2,FALSE)),IF($M268=2,IF(ISERROR(VLOOKUP(DATA!$P268,'M2'!$A:$C,R$2,FALSE)),"NOT PRESENT",VLOOKUP(DATA!$P268,'M2'!$A:$C,R$2,FALSE)),IF($M268=0,IF(ISERROR(VLOOKUP($P268,'M1'!$A:$C,R$2,FALSE)),IF(ISERROR(VLOOKUP(DATA!$P268,'M2'!$A:$C,R$2,FALSE)),"NOT PRESENT",VLOOKUP(DATA!$P268,'M2'!$A:$C,R$2,FALSE)),VLOOKUP($P268,'M1'!$A:$C,R$2,FALSE)),"SPECIFY METHOD")))</f>
        <v>Red sea urchin</v>
      </c>
      <c r="S268" s="28">
        <f t="shared" si="500"/>
        <v>6</v>
      </c>
      <c r="T268" s="20">
        <v>0</v>
      </c>
      <c r="U268" s="20"/>
      <c r="V268" s="20">
        <v>4</v>
      </c>
      <c r="W268" s="20">
        <v>2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</row>
    <row r="269" spans="1:68" ht="12.75" customHeight="1">
      <c r="A269" s="21">
        <f t="shared" si="497"/>
        <v>267</v>
      </c>
      <c r="B269" s="20" t="str">
        <f t="shared" ref="B269:D269" si="521">IF(ISERROR(B268),IF(ISERROR(B267),IF(ISERROR(B266),"BLANK",B266),B267),B268)</f>
        <v>Valesca de Groot</v>
      </c>
      <c r="C269" s="20" t="str">
        <f t="shared" si="521"/>
        <v>Em Lim</v>
      </c>
      <c r="D269" s="20" t="str">
        <f t="shared" si="521"/>
        <v>BMSC3</v>
      </c>
      <c r="E269" s="21" t="str">
        <f>IF(ISERROR(VLOOKUP($D269,SITES!$A:$E,2,FALSE)),"",VLOOKUP($D269,SITES!$A:$E,2,FALSE))</f>
        <v>Ohiat</v>
      </c>
      <c r="F269" s="19">
        <f>IF(ISERROR(VLOOKUP($D269,SITES!$A:$E,3,FALSE)),"",VLOOKUP($D269,SITES!$A:$E,3,FALSE))</f>
        <v>48.855583190917898</v>
      </c>
      <c r="G269" s="22">
        <f>IF(ISERROR(VLOOKUP($D269,SITES!$A:$E,4,FALSE)),"",VLOOKUP($D269,SITES!$A:$E,4,FALSE))</f>
        <v>-125.183799743652</v>
      </c>
      <c r="H269" s="23">
        <f t="shared" ref="H269:N269" si="522">IF(ISERROR(H268),IF(ISERROR(H267),IF(ISERROR(H266),"BLANK",H266),H267),H268)</f>
        <v>45411</v>
      </c>
      <c r="I269" s="20">
        <f t="shared" si="522"/>
        <v>3.5</v>
      </c>
      <c r="J269" s="20" t="str">
        <f t="shared" si="522"/>
        <v>W</v>
      </c>
      <c r="K269" s="27">
        <f t="shared" si="522"/>
        <v>0.51597222222222228</v>
      </c>
      <c r="L269" s="20">
        <f t="shared" si="522"/>
        <v>6</v>
      </c>
      <c r="M269" s="20">
        <f t="shared" si="522"/>
        <v>2</v>
      </c>
      <c r="N269" s="20">
        <f t="shared" si="522"/>
        <v>2</v>
      </c>
      <c r="O269" s="20">
        <v>40</v>
      </c>
      <c r="P269" s="20" t="s">
        <v>40</v>
      </c>
      <c r="Q269" s="21" t="str">
        <f>IF($M269=1,IF(ISERROR(VLOOKUP($P269,'M1'!$A:$C,Q$2,FALSE)),"NOT PRESENT",VLOOKUP($P269,'M1'!$A:$C,Q$2,FALSE)),IF($M269=2,IF(ISERROR(VLOOKUP(DATA!$P269,'M2'!$A:$C,Q$2,FALSE)),"NOT PRESENT",VLOOKUP(DATA!$P269,'M2'!$A:$C,Q$2,FALSE)),IF($M269=0,IF(ISERROR(VLOOKUP($P269,'M1'!$A:$C,Q$2,FALSE)),IF(ISERROR(VLOOKUP(DATA!$P269,'M2'!$A:$C,Q$2,FALSE)),"NOT PRESENT",VLOOKUP(DATA!$P269,'M2'!$A:$C,Q$2,FALSE)),VLOOKUP($P269,'M1'!$A:$C,Q$2,FALSE)),"SPECIFY METHOD")))</f>
        <v>Patiria miniata</v>
      </c>
      <c r="R269" s="21" t="str">
        <f>IF($M269=1,IF(ISERROR(VLOOKUP($P269,'M1'!$A:$C,R$2,FALSE)),"NOT PRESENT",VLOOKUP($P269,'M1'!$A:$C,R$2,FALSE)),IF($M269=2,IF(ISERROR(VLOOKUP(DATA!$P269,'M2'!$A:$C,R$2,FALSE)),"NOT PRESENT",VLOOKUP(DATA!$P269,'M2'!$A:$C,R$2,FALSE)),IF($M269=0,IF(ISERROR(VLOOKUP($P269,'M1'!$A:$C,R$2,FALSE)),IF(ISERROR(VLOOKUP(DATA!$P269,'M2'!$A:$C,R$2,FALSE)),"NOT PRESENT",VLOOKUP(DATA!$P269,'M2'!$A:$C,R$2,FALSE)),VLOOKUP($P269,'M1'!$A:$C,R$2,FALSE)),"SPECIFY METHOD")))</f>
        <v>Bat star</v>
      </c>
      <c r="S269" s="28">
        <f t="shared" si="500"/>
        <v>1</v>
      </c>
      <c r="T269" s="20">
        <v>0</v>
      </c>
      <c r="U269" s="20"/>
      <c r="V269" s="20"/>
      <c r="W269" s="20"/>
      <c r="X269" s="20"/>
      <c r="Y269" s="20">
        <v>1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</row>
    <row r="270" spans="1:68" ht="12.75" customHeight="1">
      <c r="A270" s="21">
        <f t="shared" si="497"/>
        <v>268</v>
      </c>
      <c r="B270" s="20" t="s">
        <v>35</v>
      </c>
      <c r="C270" s="20" t="s">
        <v>56</v>
      </c>
      <c r="D270" s="20" t="s">
        <v>77</v>
      </c>
      <c r="E270" s="21" t="str">
        <f>IF(ISERROR(VLOOKUP($D270,SITES!$A:$E,2,FALSE)),"",VLOOKUP($D270,SITES!$A:$E,2,FALSE))</f>
        <v>Kii xin</v>
      </c>
      <c r="F270" s="19">
        <f>IF(ISERROR(VLOOKUP($D270,SITES!$A:$E,3,FALSE)),"",VLOOKUP($D270,SITES!$A:$E,3,FALSE))</f>
        <v>48.815116882324197</v>
      </c>
      <c r="G270" s="22">
        <f>IF(ISERROR(VLOOKUP($D270,SITES!$A:$E,4,FALSE)),"",VLOOKUP($D270,SITES!$A:$E,4,FALSE))</f>
        <v>-125.175331115722</v>
      </c>
      <c r="H270" s="23">
        <f>IF(ISERROR(H269),IF(ISERROR(H268),IF(ISERROR(H267),"BLANK",H267),H268),H269)</f>
        <v>45411</v>
      </c>
      <c r="I270" s="20">
        <v>3</v>
      </c>
      <c r="J270" s="20" t="s">
        <v>59</v>
      </c>
      <c r="K270" s="27">
        <v>0.42291666666666666</v>
      </c>
      <c r="L270" s="20">
        <v>8.5</v>
      </c>
      <c r="M270" s="20">
        <v>2</v>
      </c>
      <c r="N270" s="20">
        <v>1</v>
      </c>
      <c r="O270" s="20">
        <v>48</v>
      </c>
      <c r="P270" s="20" t="s">
        <v>41</v>
      </c>
      <c r="Q270" s="21" t="str">
        <f>IF($M270=1,IF(ISERROR(VLOOKUP($P270,'M1'!$A:$C,Q$2,FALSE)),"NOT PRESENT",VLOOKUP($P270,'M1'!$A:$C,Q$2,FALSE)),IF($M270=2,IF(ISERROR(VLOOKUP(DATA!$P270,'M2'!$A:$C,Q$2,FALSE)),"NOT PRESENT",VLOOKUP(DATA!$P270,'M2'!$A:$C,Q$2,FALSE)),IF($M270=0,IF(ISERROR(VLOOKUP($P270,'M1'!$A:$C,Q$2,FALSE)),IF(ISERROR(VLOOKUP(DATA!$P270,'M2'!$A:$C,Q$2,FALSE)),"NOT PRESENT",VLOOKUP(DATA!$P270,'M2'!$A:$C,Q$2,FALSE)),VLOOKUP($P270,'M1'!$A:$C,Q$2,FALSE)),"SPECIFY METHOD")))</f>
        <v>Mesocentrotus franciscanus</v>
      </c>
      <c r="R270" s="21" t="str">
        <f>IF($M270=1,IF(ISERROR(VLOOKUP($P270,'M1'!$A:$C,R$2,FALSE)),"NOT PRESENT",VLOOKUP($P270,'M1'!$A:$C,R$2,FALSE)),IF($M270=2,IF(ISERROR(VLOOKUP(DATA!$P270,'M2'!$A:$C,R$2,FALSE)),"NOT PRESENT",VLOOKUP(DATA!$P270,'M2'!$A:$C,R$2,FALSE)),IF($M270=0,IF(ISERROR(VLOOKUP($P270,'M1'!$A:$C,R$2,FALSE)),IF(ISERROR(VLOOKUP(DATA!$P270,'M2'!$A:$C,R$2,FALSE)),"NOT PRESENT",VLOOKUP(DATA!$P270,'M2'!$A:$C,R$2,FALSE)),VLOOKUP($P270,'M1'!$A:$C,R$2,FALSE)),"SPECIFY METHOD")))</f>
        <v>Red sea urchin</v>
      </c>
      <c r="S270" s="28">
        <f t="shared" si="500"/>
        <v>4</v>
      </c>
      <c r="T270" s="20">
        <v>0</v>
      </c>
      <c r="V270" s="20">
        <v>1</v>
      </c>
      <c r="W270" s="20">
        <v>2</v>
      </c>
      <c r="X270" s="20">
        <v>1</v>
      </c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</row>
    <row r="271" spans="1:68" ht="12.75" customHeight="1">
      <c r="A271" s="21">
        <f t="shared" si="497"/>
        <v>269</v>
      </c>
      <c r="B271" s="20" t="str">
        <f t="shared" ref="B271:D271" si="523">IF(ISERROR(B270),IF(ISERROR(#REF!),IF(ISERROR(#REF!),"BLANK",#REF!),#REF!),B270)</f>
        <v>Em Lim</v>
      </c>
      <c r="C271" s="20" t="str">
        <f t="shared" si="523"/>
        <v>Claire Attridge</v>
      </c>
      <c r="D271" s="20" t="str">
        <f t="shared" si="523"/>
        <v>BMSC4</v>
      </c>
      <c r="E271" s="21" t="str">
        <f>IF(ISERROR(VLOOKUP($D271,SITES!$A:$E,2,FALSE)),"",VLOOKUP($D271,SITES!$A:$E,2,FALSE))</f>
        <v>Kii xin</v>
      </c>
      <c r="F271" s="19">
        <f>IF(ISERROR(VLOOKUP($D271,SITES!$A:$E,3,FALSE)),"",VLOOKUP($D271,SITES!$A:$E,3,FALSE))</f>
        <v>48.815116882324197</v>
      </c>
      <c r="G271" s="22">
        <f>IF(ISERROR(VLOOKUP($D271,SITES!$A:$E,4,FALSE)),"",VLOOKUP($D271,SITES!$A:$E,4,FALSE))</f>
        <v>-125.175331115722</v>
      </c>
      <c r="H271" s="23">
        <f t="shared" ref="H271:N271" si="524">IF(ISERROR(H270),IF(ISERROR(#REF!),IF(ISERROR(#REF!),"BLANK",#REF!),#REF!),H270)</f>
        <v>45411</v>
      </c>
      <c r="I271" s="20">
        <f t="shared" si="524"/>
        <v>3</v>
      </c>
      <c r="J271" s="20" t="str">
        <f t="shared" si="524"/>
        <v>NE</v>
      </c>
      <c r="K271" s="27">
        <f t="shared" si="524"/>
        <v>0.42291666666666666</v>
      </c>
      <c r="L271" s="20">
        <f t="shared" si="524"/>
        <v>8.5</v>
      </c>
      <c r="M271" s="20">
        <f t="shared" si="524"/>
        <v>2</v>
      </c>
      <c r="N271" s="20">
        <f t="shared" si="524"/>
        <v>1</v>
      </c>
      <c r="O271" s="20">
        <v>48</v>
      </c>
      <c r="P271" s="20" t="s">
        <v>38</v>
      </c>
      <c r="Q271" s="21" t="str">
        <f>IF($M271=1,IF(ISERROR(VLOOKUP($P271,'M1'!$A:$C,Q$2,FALSE)),"NOT PRESENT",VLOOKUP($P271,'M1'!$A:$C,Q$2,FALSE)),IF($M271=2,IF(ISERROR(VLOOKUP(DATA!$P271,'M2'!$A:$C,Q$2,FALSE)),"NOT PRESENT",VLOOKUP(DATA!$P271,'M2'!$A:$C,Q$2,FALSE)),IF($M271=0,IF(ISERROR(VLOOKUP($P271,'M1'!$A:$C,Q$2,FALSE)),IF(ISERROR(VLOOKUP(DATA!$P271,'M2'!$A:$C,Q$2,FALSE)),"NOT PRESENT",VLOOKUP(DATA!$P271,'M2'!$A:$C,Q$2,FALSE)),VLOOKUP($P271,'M1'!$A:$C,Q$2,FALSE)),"SPECIFY METHOD")))</f>
        <v>Pisaster ochraceus</v>
      </c>
      <c r="R271" s="21" t="str">
        <f>IF($M271=1,IF(ISERROR(VLOOKUP($P271,'M1'!$A:$C,R$2,FALSE)),"NOT PRESENT",VLOOKUP($P271,'M1'!$A:$C,R$2,FALSE)),IF($M271=2,IF(ISERROR(VLOOKUP(DATA!$P271,'M2'!$A:$C,R$2,FALSE)),"NOT PRESENT",VLOOKUP(DATA!$P271,'M2'!$A:$C,R$2,FALSE)),IF($M271=0,IF(ISERROR(VLOOKUP($P271,'M1'!$A:$C,R$2,FALSE)),IF(ISERROR(VLOOKUP(DATA!$P271,'M2'!$A:$C,R$2,FALSE)),"NOT PRESENT",VLOOKUP(DATA!$P271,'M2'!$A:$C,R$2,FALSE)),VLOOKUP($P271,'M1'!$A:$C,R$2,FALSE)),"SPECIFY METHOD")))</f>
        <v>Purple sea star</v>
      </c>
      <c r="S271" s="28">
        <f t="shared" si="500"/>
        <v>1</v>
      </c>
      <c r="T271" s="20">
        <v>0</v>
      </c>
      <c r="V271" s="20"/>
      <c r="W271" s="20">
        <v>1</v>
      </c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</row>
    <row r="272" spans="1:68" ht="12.75" customHeight="1">
      <c r="A272" s="21">
        <f t="shared" si="497"/>
        <v>270</v>
      </c>
      <c r="B272" s="20" t="str">
        <f t="shared" ref="B272:D272" si="525">IF(ISERROR(B271),IF(ISERROR(B270),IF(ISERROR(#REF!),"BLANK",#REF!),B270),B271)</f>
        <v>Em Lim</v>
      </c>
      <c r="C272" s="20" t="str">
        <f t="shared" si="525"/>
        <v>Claire Attridge</v>
      </c>
      <c r="D272" s="20" t="str">
        <f t="shared" si="525"/>
        <v>BMSC4</v>
      </c>
      <c r="E272" s="21" t="str">
        <f>IF(ISERROR(VLOOKUP($D272,SITES!$A:$E,2,FALSE)),"",VLOOKUP($D272,SITES!$A:$E,2,FALSE))</f>
        <v>Kii xin</v>
      </c>
      <c r="F272" s="19">
        <f>IF(ISERROR(VLOOKUP($D272,SITES!$A:$E,3,FALSE)),"",VLOOKUP($D272,SITES!$A:$E,3,FALSE))</f>
        <v>48.815116882324197</v>
      </c>
      <c r="G272" s="22">
        <f>IF(ISERROR(VLOOKUP($D272,SITES!$A:$E,4,FALSE)),"",VLOOKUP($D272,SITES!$A:$E,4,FALSE))</f>
        <v>-125.175331115722</v>
      </c>
      <c r="H272" s="23">
        <f t="shared" ref="H272:M272" si="526">IF(ISERROR(H271),IF(ISERROR(H270),IF(ISERROR(#REF!),"BLANK",#REF!),H270),H271)</f>
        <v>45411</v>
      </c>
      <c r="I272" s="20">
        <f t="shared" si="526"/>
        <v>3</v>
      </c>
      <c r="J272" s="20" t="str">
        <f t="shared" si="526"/>
        <v>NE</v>
      </c>
      <c r="K272" s="27">
        <f t="shared" si="526"/>
        <v>0.42291666666666666</v>
      </c>
      <c r="L272" s="20">
        <f t="shared" si="526"/>
        <v>8.5</v>
      </c>
      <c r="M272" s="20">
        <f t="shared" si="526"/>
        <v>2</v>
      </c>
      <c r="N272" s="20">
        <v>2</v>
      </c>
      <c r="O272" s="20">
        <v>40</v>
      </c>
      <c r="P272" s="20" t="s">
        <v>41</v>
      </c>
      <c r="Q272" s="21" t="str">
        <f>IF($M272=1,IF(ISERROR(VLOOKUP($P272,'M1'!$A:$C,Q$2,FALSE)),"NOT PRESENT",VLOOKUP($P272,'M1'!$A:$C,Q$2,FALSE)),IF($M272=2,IF(ISERROR(VLOOKUP(DATA!$P272,'M2'!$A:$C,Q$2,FALSE)),"NOT PRESENT",VLOOKUP(DATA!$P272,'M2'!$A:$C,Q$2,FALSE)),IF($M272=0,IF(ISERROR(VLOOKUP($P272,'M1'!$A:$C,Q$2,FALSE)),IF(ISERROR(VLOOKUP(DATA!$P272,'M2'!$A:$C,Q$2,FALSE)),"NOT PRESENT",VLOOKUP(DATA!$P272,'M2'!$A:$C,Q$2,FALSE)),VLOOKUP($P272,'M1'!$A:$C,Q$2,FALSE)),"SPECIFY METHOD")))</f>
        <v>Mesocentrotus franciscanus</v>
      </c>
      <c r="R272" s="21" t="str">
        <f>IF($M272=1,IF(ISERROR(VLOOKUP($P272,'M1'!$A:$C,R$2,FALSE)),"NOT PRESENT",VLOOKUP($P272,'M1'!$A:$C,R$2,FALSE)),IF($M272=2,IF(ISERROR(VLOOKUP(DATA!$P272,'M2'!$A:$C,R$2,FALSE)),"NOT PRESENT",VLOOKUP(DATA!$P272,'M2'!$A:$C,R$2,FALSE)),IF($M272=0,IF(ISERROR(VLOOKUP($P272,'M1'!$A:$C,R$2,FALSE)),IF(ISERROR(VLOOKUP(DATA!$P272,'M2'!$A:$C,R$2,FALSE)),"NOT PRESENT",VLOOKUP(DATA!$P272,'M2'!$A:$C,R$2,FALSE)),VLOOKUP($P272,'M1'!$A:$C,R$2,FALSE)),"SPECIFY METHOD")))</f>
        <v>Red sea urchin</v>
      </c>
      <c r="S272" s="28">
        <f t="shared" si="500"/>
        <v>3</v>
      </c>
      <c r="T272" s="20">
        <v>0</v>
      </c>
      <c r="V272" s="20"/>
      <c r="W272" s="20">
        <v>2</v>
      </c>
      <c r="X272" s="20">
        <v>1</v>
      </c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</row>
    <row r="273" spans="1:68" ht="12.75" customHeight="1">
      <c r="A273" s="21">
        <f t="shared" si="497"/>
        <v>271</v>
      </c>
      <c r="B273" s="20" t="str">
        <f t="shared" ref="B273:D273" si="527">IF(ISERROR(B272),IF(ISERROR(B271),IF(ISERROR(B270),"BLANK",B270),B271),B272)</f>
        <v>Em Lim</v>
      </c>
      <c r="C273" s="20" t="str">
        <f t="shared" si="527"/>
        <v>Claire Attridge</v>
      </c>
      <c r="D273" s="20" t="str">
        <f t="shared" si="527"/>
        <v>BMSC4</v>
      </c>
      <c r="E273" s="21" t="str">
        <f>IF(ISERROR(VLOOKUP($D273,SITES!$A:$E,2,FALSE)),"",VLOOKUP($D273,SITES!$A:$E,2,FALSE))</f>
        <v>Kii xin</v>
      </c>
      <c r="F273" s="19">
        <f>IF(ISERROR(VLOOKUP($D273,SITES!$A:$E,3,FALSE)),"",VLOOKUP($D273,SITES!$A:$E,3,FALSE))</f>
        <v>48.815116882324197</v>
      </c>
      <c r="G273" s="22">
        <f>IF(ISERROR(VLOOKUP($D273,SITES!$A:$E,4,FALSE)),"",VLOOKUP($D273,SITES!$A:$E,4,FALSE))</f>
        <v>-125.175331115722</v>
      </c>
      <c r="H273" s="23">
        <f t="shared" ref="H273:M273" si="528">IF(ISERROR(H272),IF(ISERROR(H271),IF(ISERROR(H270),"BLANK",H270),H271),H272)</f>
        <v>45411</v>
      </c>
      <c r="I273" s="20">
        <f t="shared" si="528"/>
        <v>3</v>
      </c>
      <c r="J273" s="20" t="str">
        <f t="shared" si="528"/>
        <v>NE</v>
      </c>
      <c r="K273" s="27">
        <f t="shared" si="528"/>
        <v>0.42291666666666666</v>
      </c>
      <c r="L273" s="20">
        <f t="shared" si="528"/>
        <v>8.5</v>
      </c>
      <c r="M273" s="20">
        <f t="shared" si="528"/>
        <v>2</v>
      </c>
      <c r="N273" s="20">
        <v>2</v>
      </c>
      <c r="O273" s="20">
        <v>40</v>
      </c>
      <c r="P273" s="20" t="s">
        <v>39</v>
      </c>
      <c r="Q273" s="21" t="str">
        <f>IF($M273=1,IF(ISERROR(VLOOKUP($P273,'M1'!$A:$C,Q$2,FALSE)),"NOT PRESENT",VLOOKUP($P273,'M1'!$A:$C,Q$2,FALSE)),IF($M273=2,IF(ISERROR(VLOOKUP(DATA!$P273,'M2'!$A:$C,Q$2,FALSE)),"NOT PRESENT",VLOOKUP(DATA!$P273,'M2'!$A:$C,Q$2,FALSE)),IF($M273=0,IF(ISERROR(VLOOKUP($P273,'M1'!$A:$C,Q$2,FALSE)),IF(ISERROR(VLOOKUP(DATA!$P273,'M2'!$A:$C,Q$2,FALSE)),"NOT PRESENT",VLOOKUP(DATA!$P273,'M2'!$A:$C,Q$2,FALSE)),VLOOKUP($P273,'M1'!$A:$C,Q$2,FALSE)),"SPECIFY METHOD")))</f>
        <v>Dermasterias imbricata</v>
      </c>
      <c r="R273" s="21" t="str">
        <f>IF($M273=1,IF(ISERROR(VLOOKUP($P273,'M1'!$A:$C,R$2,FALSE)),"NOT PRESENT",VLOOKUP($P273,'M1'!$A:$C,R$2,FALSE)),IF($M273=2,IF(ISERROR(VLOOKUP(DATA!$P273,'M2'!$A:$C,R$2,FALSE)),"NOT PRESENT",VLOOKUP(DATA!$P273,'M2'!$A:$C,R$2,FALSE)),IF($M273=0,IF(ISERROR(VLOOKUP($P273,'M1'!$A:$C,R$2,FALSE)),IF(ISERROR(VLOOKUP(DATA!$P273,'M2'!$A:$C,R$2,FALSE)),"NOT PRESENT",VLOOKUP(DATA!$P273,'M2'!$A:$C,R$2,FALSE)),VLOOKUP($P273,'M1'!$A:$C,R$2,FALSE)),"SPECIFY METHOD")))</f>
        <v>Leather star</v>
      </c>
      <c r="S273" s="28">
        <f t="shared" si="500"/>
        <v>2</v>
      </c>
      <c r="T273" s="20">
        <v>0</v>
      </c>
      <c r="V273" s="20"/>
      <c r="W273" s="20">
        <v>2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</row>
    <row r="274" spans="1:68" ht="12.75" customHeight="1">
      <c r="A274" s="21">
        <f t="shared" si="497"/>
        <v>272</v>
      </c>
      <c r="B274" s="20" t="str">
        <f t="shared" ref="B274:D274" si="529">IF(ISERROR(B273),IF(ISERROR(B272),IF(ISERROR(B271),"BLANK",B271),B272),B273)</f>
        <v>Em Lim</v>
      </c>
      <c r="C274" s="20" t="str">
        <f t="shared" si="529"/>
        <v>Claire Attridge</v>
      </c>
      <c r="D274" s="20" t="str">
        <f t="shared" si="529"/>
        <v>BMSC4</v>
      </c>
      <c r="E274" s="21" t="str">
        <f>IF(ISERROR(VLOOKUP($D274,SITES!$A:$E,2,FALSE)),"",VLOOKUP($D274,SITES!$A:$E,2,FALSE))</f>
        <v>Kii xin</v>
      </c>
      <c r="F274" s="19">
        <f>IF(ISERROR(VLOOKUP($D274,SITES!$A:$E,3,FALSE)),"",VLOOKUP($D274,SITES!$A:$E,3,FALSE))</f>
        <v>48.815116882324197</v>
      </c>
      <c r="G274" s="22">
        <f>IF(ISERROR(VLOOKUP($D274,SITES!$A:$E,4,FALSE)),"",VLOOKUP($D274,SITES!$A:$E,4,FALSE))</f>
        <v>-125.175331115722</v>
      </c>
      <c r="H274" s="23">
        <f t="shared" ref="H274:M274" si="530">IF(ISERROR(H273),IF(ISERROR(H272),IF(ISERROR(H271),"BLANK",H271),H272),H273)</f>
        <v>45411</v>
      </c>
      <c r="I274" s="20">
        <f t="shared" si="530"/>
        <v>3</v>
      </c>
      <c r="J274" s="20" t="str">
        <f t="shared" si="530"/>
        <v>NE</v>
      </c>
      <c r="K274" s="27">
        <f t="shared" si="530"/>
        <v>0.42291666666666666</v>
      </c>
      <c r="L274" s="20">
        <f t="shared" si="530"/>
        <v>8.5</v>
      </c>
      <c r="M274" s="20">
        <f t="shared" si="530"/>
        <v>2</v>
      </c>
      <c r="N274" s="20">
        <v>1</v>
      </c>
      <c r="O274" s="20">
        <v>32</v>
      </c>
      <c r="P274" s="20" t="s">
        <v>41</v>
      </c>
      <c r="Q274" s="21" t="str">
        <f>IF($M274=1,IF(ISERROR(VLOOKUP($P274,'M1'!$A:$C,Q$2,FALSE)),"NOT PRESENT",VLOOKUP($P274,'M1'!$A:$C,Q$2,FALSE)),IF($M274=2,IF(ISERROR(VLOOKUP(DATA!$P274,'M2'!$A:$C,Q$2,FALSE)),"NOT PRESENT",VLOOKUP(DATA!$P274,'M2'!$A:$C,Q$2,FALSE)),IF($M274=0,IF(ISERROR(VLOOKUP($P274,'M1'!$A:$C,Q$2,FALSE)),IF(ISERROR(VLOOKUP(DATA!$P274,'M2'!$A:$C,Q$2,FALSE)),"NOT PRESENT",VLOOKUP(DATA!$P274,'M2'!$A:$C,Q$2,FALSE)),VLOOKUP($P274,'M1'!$A:$C,Q$2,FALSE)),"SPECIFY METHOD")))</f>
        <v>Mesocentrotus franciscanus</v>
      </c>
      <c r="R274" s="21" t="str">
        <f>IF($M274=1,IF(ISERROR(VLOOKUP($P274,'M1'!$A:$C,R$2,FALSE)),"NOT PRESENT",VLOOKUP($P274,'M1'!$A:$C,R$2,FALSE)),IF($M274=2,IF(ISERROR(VLOOKUP(DATA!$P274,'M2'!$A:$C,R$2,FALSE)),"NOT PRESENT",VLOOKUP(DATA!$P274,'M2'!$A:$C,R$2,FALSE)),IF($M274=0,IF(ISERROR(VLOOKUP($P274,'M1'!$A:$C,R$2,FALSE)),IF(ISERROR(VLOOKUP(DATA!$P274,'M2'!$A:$C,R$2,FALSE)),"NOT PRESENT",VLOOKUP(DATA!$P274,'M2'!$A:$C,R$2,FALSE)),VLOOKUP($P274,'M1'!$A:$C,R$2,FALSE)),"SPECIFY METHOD")))</f>
        <v>Red sea urchin</v>
      </c>
      <c r="S274" s="28">
        <f t="shared" si="500"/>
        <v>2</v>
      </c>
      <c r="T274" s="20">
        <v>0</v>
      </c>
      <c r="U274" s="20"/>
      <c r="V274" s="20"/>
      <c r="W274" s="20">
        <v>1</v>
      </c>
      <c r="X274" s="20">
        <v>1</v>
      </c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</row>
    <row r="275" spans="1:68" ht="12.75" customHeight="1">
      <c r="A275" s="21">
        <f t="shared" si="497"/>
        <v>273</v>
      </c>
      <c r="B275" s="20" t="str">
        <f t="shared" ref="B275:D275" si="531">IF(ISERROR(B274),IF(ISERROR(B273),IF(ISERROR(B272),"BLANK",B272),B273),B274)</f>
        <v>Em Lim</v>
      </c>
      <c r="C275" s="20" t="str">
        <f t="shared" si="531"/>
        <v>Claire Attridge</v>
      </c>
      <c r="D275" s="20" t="str">
        <f t="shared" si="531"/>
        <v>BMSC4</v>
      </c>
      <c r="E275" s="21" t="str">
        <f>IF(ISERROR(VLOOKUP($D275,SITES!$A:$E,2,FALSE)),"",VLOOKUP($D275,SITES!$A:$E,2,FALSE))</f>
        <v>Kii xin</v>
      </c>
      <c r="F275" s="19">
        <f>IF(ISERROR(VLOOKUP($D275,SITES!$A:$E,3,FALSE)),"",VLOOKUP($D275,SITES!$A:$E,3,FALSE))</f>
        <v>48.815116882324197</v>
      </c>
      <c r="G275" s="22">
        <f>IF(ISERROR(VLOOKUP($D275,SITES!$A:$E,4,FALSE)),"",VLOOKUP($D275,SITES!$A:$E,4,FALSE))</f>
        <v>-125.175331115722</v>
      </c>
      <c r="H275" s="23">
        <f t="shared" ref="H275:M275" si="532">IF(ISERROR(H274),IF(ISERROR(H273),IF(ISERROR(H272),"BLANK",H272),H273),H274)</f>
        <v>45411</v>
      </c>
      <c r="I275" s="20">
        <f t="shared" si="532"/>
        <v>3</v>
      </c>
      <c r="J275" s="20" t="str">
        <f t="shared" si="532"/>
        <v>NE</v>
      </c>
      <c r="K275" s="27">
        <f t="shared" si="532"/>
        <v>0.42291666666666666</v>
      </c>
      <c r="L275" s="20">
        <f t="shared" si="532"/>
        <v>8.5</v>
      </c>
      <c r="M275" s="20">
        <f t="shared" si="532"/>
        <v>2</v>
      </c>
      <c r="N275" s="20">
        <v>1</v>
      </c>
      <c r="O275" s="20">
        <v>32</v>
      </c>
      <c r="P275" s="20" t="s">
        <v>38</v>
      </c>
      <c r="Q275" s="21" t="str">
        <f>IF($M275=1,IF(ISERROR(VLOOKUP($P275,'M1'!$A:$C,Q$2,FALSE)),"NOT PRESENT",VLOOKUP($P275,'M1'!$A:$C,Q$2,FALSE)),IF($M275=2,IF(ISERROR(VLOOKUP(DATA!$P275,'M2'!$A:$C,Q$2,FALSE)),"NOT PRESENT",VLOOKUP(DATA!$P275,'M2'!$A:$C,Q$2,FALSE)),IF($M275=0,IF(ISERROR(VLOOKUP($P275,'M1'!$A:$C,Q$2,FALSE)),IF(ISERROR(VLOOKUP(DATA!$P275,'M2'!$A:$C,Q$2,FALSE)),"NOT PRESENT",VLOOKUP(DATA!$P275,'M2'!$A:$C,Q$2,FALSE)),VLOOKUP($P275,'M1'!$A:$C,Q$2,FALSE)),"SPECIFY METHOD")))</f>
        <v>Pisaster ochraceus</v>
      </c>
      <c r="R275" s="21" t="str">
        <f>IF($M275=1,IF(ISERROR(VLOOKUP($P275,'M1'!$A:$C,R$2,FALSE)),"NOT PRESENT",VLOOKUP($P275,'M1'!$A:$C,R$2,FALSE)),IF($M275=2,IF(ISERROR(VLOOKUP(DATA!$P275,'M2'!$A:$C,R$2,FALSE)),"NOT PRESENT",VLOOKUP(DATA!$P275,'M2'!$A:$C,R$2,FALSE)),IF($M275=0,IF(ISERROR(VLOOKUP($P275,'M1'!$A:$C,R$2,FALSE)),IF(ISERROR(VLOOKUP(DATA!$P275,'M2'!$A:$C,R$2,FALSE)),"NOT PRESENT",VLOOKUP(DATA!$P275,'M2'!$A:$C,R$2,FALSE)),VLOOKUP($P275,'M1'!$A:$C,R$2,FALSE)),"SPECIFY METHOD")))</f>
        <v>Purple sea star</v>
      </c>
      <c r="S275" s="28">
        <f t="shared" si="500"/>
        <v>1</v>
      </c>
      <c r="T275" s="20">
        <v>0</v>
      </c>
      <c r="U275" s="20"/>
      <c r="V275" s="20"/>
      <c r="W275" s="20"/>
      <c r="X275" s="20"/>
      <c r="Y275" s="20"/>
      <c r="Z275" s="20">
        <v>1</v>
      </c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</row>
    <row r="276" spans="1:68" ht="12.75" customHeight="1">
      <c r="A276" s="21">
        <f t="shared" si="497"/>
        <v>274</v>
      </c>
      <c r="B276" s="20" t="str">
        <f t="shared" ref="B276:D276" si="533">IF(ISERROR(B275),IF(ISERROR(B274),IF(ISERROR(B273),"BLANK",B273),B274),B275)</f>
        <v>Em Lim</v>
      </c>
      <c r="C276" s="20" t="str">
        <f t="shared" si="533"/>
        <v>Claire Attridge</v>
      </c>
      <c r="D276" s="20" t="str">
        <f t="shared" si="533"/>
        <v>BMSC4</v>
      </c>
      <c r="E276" s="21" t="str">
        <f>IF(ISERROR(VLOOKUP($D276,SITES!$A:$E,2,FALSE)),"",VLOOKUP($D276,SITES!$A:$E,2,FALSE))</f>
        <v>Kii xin</v>
      </c>
      <c r="F276" s="19">
        <f>IF(ISERROR(VLOOKUP($D276,SITES!$A:$E,3,FALSE)),"",VLOOKUP($D276,SITES!$A:$E,3,FALSE))</f>
        <v>48.815116882324197</v>
      </c>
      <c r="G276" s="22">
        <f>IF(ISERROR(VLOOKUP($D276,SITES!$A:$E,4,FALSE)),"",VLOOKUP($D276,SITES!$A:$E,4,FALSE))</f>
        <v>-125.175331115722</v>
      </c>
      <c r="H276" s="23">
        <f t="shared" ref="H276:M276" si="534">IF(ISERROR(H275),IF(ISERROR(H274),IF(ISERROR(H273),"BLANK",H273),H274),H275)</f>
        <v>45411</v>
      </c>
      <c r="I276" s="20">
        <f t="shared" si="534"/>
        <v>3</v>
      </c>
      <c r="J276" s="20" t="str">
        <f t="shared" si="534"/>
        <v>NE</v>
      </c>
      <c r="K276" s="27">
        <f t="shared" si="534"/>
        <v>0.42291666666666666</v>
      </c>
      <c r="L276" s="20">
        <f t="shared" si="534"/>
        <v>8.5</v>
      </c>
      <c r="M276" s="20">
        <f t="shared" si="534"/>
        <v>2</v>
      </c>
      <c r="N276" s="20">
        <v>1</v>
      </c>
      <c r="O276" s="20">
        <v>32</v>
      </c>
      <c r="P276" s="20" t="s">
        <v>78</v>
      </c>
      <c r="Q276" s="21" t="str">
        <f>IF($M276=1,IF(ISERROR(VLOOKUP($P276,'M1'!$A:$C,Q$2,FALSE)),"NOT PRESENT",VLOOKUP($P276,'M1'!$A:$C,Q$2,FALSE)),IF($M276=2,IF(ISERROR(VLOOKUP(DATA!$P276,'M2'!$A:$C,Q$2,FALSE)),"NOT PRESENT",VLOOKUP(DATA!$P276,'M2'!$A:$C,Q$2,FALSE)),IF($M276=0,IF(ISERROR(VLOOKUP($P276,'M1'!$A:$C,Q$2,FALSE)),IF(ISERROR(VLOOKUP(DATA!$P276,'M2'!$A:$C,Q$2,FALSE)),"NOT PRESENT",VLOOKUP(DATA!$P276,'M2'!$A:$C,Q$2,FALSE)),VLOOKUP($P276,'M1'!$A:$C,Q$2,FALSE)),"SPECIFY METHOD")))</f>
        <v>Henricia sp.</v>
      </c>
      <c r="R276" s="21" t="str">
        <f>IF($M276=1,IF(ISERROR(VLOOKUP($P276,'M1'!$A:$C,R$2,FALSE)),"NOT PRESENT",VLOOKUP($P276,'M1'!$A:$C,R$2,FALSE)),IF($M276=2,IF(ISERROR(VLOOKUP(DATA!$P276,'M2'!$A:$C,R$2,FALSE)),"NOT PRESENT",VLOOKUP(DATA!$P276,'M2'!$A:$C,R$2,FALSE)),IF($M276=0,IF(ISERROR(VLOOKUP($P276,'M1'!$A:$C,R$2,FALSE)),IF(ISERROR(VLOOKUP(DATA!$P276,'M2'!$A:$C,R$2,FALSE)),"NOT PRESENT",VLOOKUP(DATA!$P276,'M2'!$A:$C,R$2,FALSE)),VLOOKUP($P276,'M1'!$A:$C,R$2,FALSE)),"SPECIFY METHOD")))</f>
        <v>Unidentified blood star</v>
      </c>
      <c r="S276" s="28">
        <f t="shared" si="500"/>
        <v>1</v>
      </c>
      <c r="T276" s="20">
        <v>0</v>
      </c>
      <c r="U276" s="20"/>
      <c r="V276" s="20"/>
      <c r="W276" s="20">
        <v>1</v>
      </c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</row>
    <row r="277" spans="1:68" ht="12.75" customHeight="1">
      <c r="A277" s="21">
        <f t="shared" si="497"/>
        <v>275</v>
      </c>
      <c r="B277" s="20" t="str">
        <f t="shared" ref="B277:D277" si="535">IF(ISERROR(B276),IF(ISERROR(B275),IF(ISERROR(B274),"BLANK",B274),B275),B276)</f>
        <v>Em Lim</v>
      </c>
      <c r="C277" s="20" t="str">
        <f t="shared" si="535"/>
        <v>Claire Attridge</v>
      </c>
      <c r="D277" s="20" t="str">
        <f t="shared" si="535"/>
        <v>BMSC4</v>
      </c>
      <c r="E277" s="21" t="str">
        <f>IF(ISERROR(VLOOKUP($D277,SITES!$A:$E,2,FALSE)),"",VLOOKUP($D277,SITES!$A:$E,2,FALSE))</f>
        <v>Kii xin</v>
      </c>
      <c r="F277" s="19">
        <f>IF(ISERROR(VLOOKUP($D277,SITES!$A:$E,3,FALSE)),"",VLOOKUP($D277,SITES!$A:$E,3,FALSE))</f>
        <v>48.815116882324197</v>
      </c>
      <c r="G277" s="22">
        <f>IF(ISERROR(VLOOKUP($D277,SITES!$A:$E,4,FALSE)),"",VLOOKUP($D277,SITES!$A:$E,4,FALSE))</f>
        <v>-125.175331115722</v>
      </c>
      <c r="H277" s="23">
        <f t="shared" ref="H277:M277" si="536">IF(ISERROR(H276),IF(ISERROR(H275),IF(ISERROR(H274),"BLANK",H274),H275),H276)</f>
        <v>45411</v>
      </c>
      <c r="I277" s="20">
        <f t="shared" si="536"/>
        <v>3</v>
      </c>
      <c r="J277" s="20" t="str">
        <f t="shared" si="536"/>
        <v>NE</v>
      </c>
      <c r="K277" s="27">
        <f t="shared" si="536"/>
        <v>0.42291666666666666</v>
      </c>
      <c r="L277" s="20">
        <f t="shared" si="536"/>
        <v>8.5</v>
      </c>
      <c r="M277" s="20">
        <f t="shared" si="536"/>
        <v>2</v>
      </c>
      <c r="N277" s="20">
        <v>1</v>
      </c>
      <c r="O277" s="20">
        <v>32</v>
      </c>
      <c r="P277" s="20" t="s">
        <v>39</v>
      </c>
      <c r="Q277" s="21" t="str">
        <f>IF($M277=1,IF(ISERROR(VLOOKUP($P277,'M1'!$A:$C,Q$2,FALSE)),"NOT PRESENT",VLOOKUP($P277,'M1'!$A:$C,Q$2,FALSE)),IF($M277=2,IF(ISERROR(VLOOKUP(DATA!$P277,'M2'!$A:$C,Q$2,FALSE)),"NOT PRESENT",VLOOKUP(DATA!$P277,'M2'!$A:$C,Q$2,FALSE)),IF($M277=0,IF(ISERROR(VLOOKUP($P277,'M1'!$A:$C,Q$2,FALSE)),IF(ISERROR(VLOOKUP(DATA!$P277,'M2'!$A:$C,Q$2,FALSE)),"NOT PRESENT",VLOOKUP(DATA!$P277,'M2'!$A:$C,Q$2,FALSE)),VLOOKUP($P277,'M1'!$A:$C,Q$2,FALSE)),"SPECIFY METHOD")))</f>
        <v>Dermasterias imbricata</v>
      </c>
      <c r="R277" s="21" t="str">
        <f>IF($M277=1,IF(ISERROR(VLOOKUP($P277,'M1'!$A:$C,R$2,FALSE)),"NOT PRESENT",VLOOKUP($P277,'M1'!$A:$C,R$2,FALSE)),IF($M277=2,IF(ISERROR(VLOOKUP(DATA!$P277,'M2'!$A:$C,R$2,FALSE)),"NOT PRESENT",VLOOKUP(DATA!$P277,'M2'!$A:$C,R$2,FALSE)),IF($M277=0,IF(ISERROR(VLOOKUP($P277,'M1'!$A:$C,R$2,FALSE)),IF(ISERROR(VLOOKUP(DATA!$P277,'M2'!$A:$C,R$2,FALSE)),"NOT PRESENT",VLOOKUP(DATA!$P277,'M2'!$A:$C,R$2,FALSE)),VLOOKUP($P277,'M1'!$A:$C,R$2,FALSE)),"SPECIFY METHOD")))</f>
        <v>Leather star</v>
      </c>
      <c r="S277" s="28">
        <f t="shared" si="500"/>
        <v>1</v>
      </c>
      <c r="T277" s="20">
        <v>0</v>
      </c>
      <c r="U277" s="20"/>
      <c r="V277" s="20"/>
      <c r="W277" s="20"/>
      <c r="X277" s="20">
        <v>1</v>
      </c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</row>
    <row r="278" spans="1:68" ht="12.75" customHeight="1">
      <c r="A278" s="21">
        <f t="shared" si="497"/>
        <v>276</v>
      </c>
      <c r="B278" s="20" t="str">
        <f t="shared" ref="B278:D278" si="537">IF(ISERROR(B277),IF(ISERROR(B276),IF(ISERROR(B275),"BLANK",B275),B276),B277)</f>
        <v>Em Lim</v>
      </c>
      <c r="C278" s="20" t="str">
        <f t="shared" si="537"/>
        <v>Claire Attridge</v>
      </c>
      <c r="D278" s="20" t="str">
        <f t="shared" si="537"/>
        <v>BMSC4</v>
      </c>
      <c r="E278" s="21" t="str">
        <f>IF(ISERROR(VLOOKUP($D278,SITES!$A:$E,2,FALSE)),"",VLOOKUP($D278,SITES!$A:$E,2,FALSE))</f>
        <v>Kii xin</v>
      </c>
      <c r="F278" s="19">
        <f>IF(ISERROR(VLOOKUP($D278,SITES!$A:$E,3,FALSE)),"",VLOOKUP($D278,SITES!$A:$E,3,FALSE))</f>
        <v>48.815116882324197</v>
      </c>
      <c r="G278" s="22">
        <f>IF(ISERROR(VLOOKUP($D278,SITES!$A:$E,4,FALSE)),"",VLOOKUP($D278,SITES!$A:$E,4,FALSE))</f>
        <v>-125.175331115722</v>
      </c>
      <c r="H278" s="23">
        <f t="shared" ref="H278:M278" si="538">IF(ISERROR(H277),IF(ISERROR(H276),IF(ISERROR(H275),"BLANK",H275),H276),H277)</f>
        <v>45411</v>
      </c>
      <c r="I278" s="20">
        <f t="shared" si="538"/>
        <v>3</v>
      </c>
      <c r="J278" s="20" t="str">
        <f t="shared" si="538"/>
        <v>NE</v>
      </c>
      <c r="K278" s="27">
        <f t="shared" si="538"/>
        <v>0.42291666666666666</v>
      </c>
      <c r="L278" s="20">
        <f t="shared" si="538"/>
        <v>8.5</v>
      </c>
      <c r="M278" s="20">
        <f t="shared" si="538"/>
        <v>2</v>
      </c>
      <c r="N278" s="20">
        <v>2</v>
      </c>
      <c r="O278" s="20">
        <v>24</v>
      </c>
      <c r="P278" s="20" t="s">
        <v>41</v>
      </c>
      <c r="Q278" s="21" t="str">
        <f>IF($M278=1,IF(ISERROR(VLOOKUP($P278,'M1'!$A:$C,Q$2,FALSE)),"NOT PRESENT",VLOOKUP($P278,'M1'!$A:$C,Q$2,FALSE)),IF($M278=2,IF(ISERROR(VLOOKUP(DATA!$P278,'M2'!$A:$C,Q$2,FALSE)),"NOT PRESENT",VLOOKUP(DATA!$P278,'M2'!$A:$C,Q$2,FALSE)),IF($M278=0,IF(ISERROR(VLOOKUP($P278,'M1'!$A:$C,Q$2,FALSE)),IF(ISERROR(VLOOKUP(DATA!$P278,'M2'!$A:$C,Q$2,FALSE)),"NOT PRESENT",VLOOKUP(DATA!$P278,'M2'!$A:$C,Q$2,FALSE)),VLOOKUP($P278,'M1'!$A:$C,Q$2,FALSE)),"SPECIFY METHOD")))</f>
        <v>Mesocentrotus franciscanus</v>
      </c>
      <c r="R278" s="21" t="str">
        <f>IF($M278=1,IF(ISERROR(VLOOKUP($P278,'M1'!$A:$C,R$2,FALSE)),"NOT PRESENT",VLOOKUP($P278,'M1'!$A:$C,R$2,FALSE)),IF($M278=2,IF(ISERROR(VLOOKUP(DATA!$P278,'M2'!$A:$C,R$2,FALSE)),"NOT PRESENT",VLOOKUP(DATA!$P278,'M2'!$A:$C,R$2,FALSE)),IF($M278=0,IF(ISERROR(VLOOKUP($P278,'M1'!$A:$C,R$2,FALSE)),IF(ISERROR(VLOOKUP(DATA!$P278,'M2'!$A:$C,R$2,FALSE)),"NOT PRESENT",VLOOKUP(DATA!$P278,'M2'!$A:$C,R$2,FALSE)),VLOOKUP($P278,'M1'!$A:$C,R$2,FALSE)),"SPECIFY METHOD")))</f>
        <v>Red sea urchin</v>
      </c>
      <c r="S278" s="28">
        <f t="shared" si="500"/>
        <v>6</v>
      </c>
      <c r="T278" s="20">
        <v>0</v>
      </c>
      <c r="U278" s="20"/>
      <c r="V278" s="20"/>
      <c r="W278" s="20">
        <v>1</v>
      </c>
      <c r="X278" s="20">
        <v>3</v>
      </c>
      <c r="Y278" s="20">
        <v>2</v>
      </c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</row>
    <row r="279" spans="1:68" ht="12.75" customHeight="1">
      <c r="A279" s="21">
        <f t="shared" si="497"/>
        <v>277</v>
      </c>
      <c r="B279" s="20" t="str">
        <f t="shared" ref="B279:D279" si="539">IF(ISERROR(B278),IF(ISERROR(B277),IF(ISERROR(B276),"BLANK",B276),B277),B278)</f>
        <v>Em Lim</v>
      </c>
      <c r="C279" s="20" t="str">
        <f t="shared" si="539"/>
        <v>Claire Attridge</v>
      </c>
      <c r="D279" s="20" t="str">
        <f t="shared" si="539"/>
        <v>BMSC4</v>
      </c>
      <c r="E279" s="21" t="str">
        <f>IF(ISERROR(VLOOKUP($D279,SITES!$A:$E,2,FALSE)),"",VLOOKUP($D279,SITES!$A:$E,2,FALSE))</f>
        <v>Kii xin</v>
      </c>
      <c r="F279" s="19">
        <f>IF(ISERROR(VLOOKUP($D279,SITES!$A:$E,3,FALSE)),"",VLOOKUP($D279,SITES!$A:$E,3,FALSE))</f>
        <v>48.815116882324197</v>
      </c>
      <c r="G279" s="22">
        <f>IF(ISERROR(VLOOKUP($D279,SITES!$A:$E,4,FALSE)),"",VLOOKUP($D279,SITES!$A:$E,4,FALSE))</f>
        <v>-125.175331115722</v>
      </c>
      <c r="H279" s="23">
        <f t="shared" ref="H279:M279" si="540">IF(ISERROR(H278),IF(ISERROR(H277),IF(ISERROR(H276),"BLANK",H276),H277),H278)</f>
        <v>45411</v>
      </c>
      <c r="I279" s="20">
        <f t="shared" si="540"/>
        <v>3</v>
      </c>
      <c r="J279" s="20" t="str">
        <f t="shared" si="540"/>
        <v>NE</v>
      </c>
      <c r="K279" s="27">
        <f t="shared" si="540"/>
        <v>0.42291666666666666</v>
      </c>
      <c r="L279" s="20">
        <f t="shared" si="540"/>
        <v>8.5</v>
      </c>
      <c r="M279" s="20">
        <f t="shared" si="540"/>
        <v>2</v>
      </c>
      <c r="N279" s="20">
        <v>2</v>
      </c>
      <c r="O279" s="20">
        <v>24</v>
      </c>
      <c r="P279" s="20" t="s">
        <v>40</v>
      </c>
      <c r="Q279" s="21" t="str">
        <f>IF($M279=1,IF(ISERROR(VLOOKUP($P279,'M1'!$A:$C,Q$2,FALSE)),"NOT PRESENT",VLOOKUP($P279,'M1'!$A:$C,Q$2,FALSE)),IF($M279=2,IF(ISERROR(VLOOKUP(DATA!$P279,'M2'!$A:$C,Q$2,FALSE)),"NOT PRESENT",VLOOKUP(DATA!$P279,'M2'!$A:$C,Q$2,FALSE)),IF($M279=0,IF(ISERROR(VLOOKUP($P279,'M1'!$A:$C,Q$2,FALSE)),IF(ISERROR(VLOOKUP(DATA!$P279,'M2'!$A:$C,Q$2,FALSE)),"NOT PRESENT",VLOOKUP(DATA!$P279,'M2'!$A:$C,Q$2,FALSE)),VLOOKUP($P279,'M1'!$A:$C,Q$2,FALSE)),"SPECIFY METHOD")))</f>
        <v>Patiria miniata</v>
      </c>
      <c r="R279" s="21" t="str">
        <f>IF($M279=1,IF(ISERROR(VLOOKUP($P279,'M1'!$A:$C,R$2,FALSE)),"NOT PRESENT",VLOOKUP($P279,'M1'!$A:$C,R$2,FALSE)),IF($M279=2,IF(ISERROR(VLOOKUP(DATA!$P279,'M2'!$A:$C,R$2,FALSE)),"NOT PRESENT",VLOOKUP(DATA!$P279,'M2'!$A:$C,R$2,FALSE)),IF($M279=0,IF(ISERROR(VLOOKUP($P279,'M1'!$A:$C,R$2,FALSE)),IF(ISERROR(VLOOKUP(DATA!$P279,'M2'!$A:$C,R$2,FALSE)),"NOT PRESENT",VLOOKUP(DATA!$P279,'M2'!$A:$C,R$2,FALSE)),VLOOKUP($P279,'M1'!$A:$C,R$2,FALSE)),"SPECIFY METHOD")))</f>
        <v>Bat star</v>
      </c>
      <c r="S279" s="28">
        <f t="shared" si="500"/>
        <v>1</v>
      </c>
      <c r="T279" s="20">
        <v>0</v>
      </c>
      <c r="U279" s="20"/>
      <c r="V279" s="20"/>
      <c r="W279" s="20"/>
      <c r="X279" s="20">
        <v>1</v>
      </c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</row>
    <row r="280" spans="1:68" ht="12.75" customHeight="1">
      <c r="A280" s="21">
        <f t="shared" si="497"/>
        <v>278</v>
      </c>
      <c r="B280" s="20" t="str">
        <f t="shared" ref="B280:D280" si="541">IF(ISERROR(B279),IF(ISERROR(B278),IF(ISERROR(B277),"BLANK",B277),B278),B279)</f>
        <v>Em Lim</v>
      </c>
      <c r="C280" s="20" t="str">
        <f t="shared" si="541"/>
        <v>Claire Attridge</v>
      </c>
      <c r="D280" s="20" t="str">
        <f t="shared" si="541"/>
        <v>BMSC4</v>
      </c>
      <c r="E280" s="21" t="str">
        <f>IF(ISERROR(VLOOKUP($D280,SITES!$A:$E,2,FALSE)),"",VLOOKUP($D280,SITES!$A:$E,2,FALSE))</f>
        <v>Kii xin</v>
      </c>
      <c r="F280" s="19">
        <f>IF(ISERROR(VLOOKUP($D280,SITES!$A:$E,3,FALSE)),"",VLOOKUP($D280,SITES!$A:$E,3,FALSE))</f>
        <v>48.815116882324197</v>
      </c>
      <c r="G280" s="22">
        <f>IF(ISERROR(VLOOKUP($D280,SITES!$A:$E,4,FALSE)),"",VLOOKUP($D280,SITES!$A:$E,4,FALSE))</f>
        <v>-125.175331115722</v>
      </c>
      <c r="H280" s="23">
        <f t="shared" ref="H280:N280" si="542">IF(ISERROR(H279),IF(ISERROR(H278),IF(ISERROR(H277),"BLANK",H277),H278),H279)</f>
        <v>45411</v>
      </c>
      <c r="I280" s="20">
        <f t="shared" si="542"/>
        <v>3</v>
      </c>
      <c r="J280" s="20" t="str">
        <f t="shared" si="542"/>
        <v>NE</v>
      </c>
      <c r="K280" s="27">
        <f t="shared" si="542"/>
        <v>0.42291666666666666</v>
      </c>
      <c r="L280" s="20">
        <f t="shared" si="542"/>
        <v>8.5</v>
      </c>
      <c r="M280" s="20">
        <f t="shared" si="542"/>
        <v>2</v>
      </c>
      <c r="N280" s="20">
        <f t="shared" si="542"/>
        <v>2</v>
      </c>
      <c r="O280" s="20">
        <v>16</v>
      </c>
      <c r="P280" s="20" t="s">
        <v>41</v>
      </c>
      <c r="Q280" s="21" t="str">
        <f>IF($M280=1,IF(ISERROR(VLOOKUP($P280,'M1'!$A:$C,Q$2,FALSE)),"NOT PRESENT",VLOOKUP($P280,'M1'!$A:$C,Q$2,FALSE)),IF($M280=2,IF(ISERROR(VLOOKUP(DATA!$P280,'M2'!$A:$C,Q$2,FALSE)),"NOT PRESENT",VLOOKUP(DATA!$P280,'M2'!$A:$C,Q$2,FALSE)),IF($M280=0,IF(ISERROR(VLOOKUP($P280,'M1'!$A:$C,Q$2,FALSE)),IF(ISERROR(VLOOKUP(DATA!$P280,'M2'!$A:$C,Q$2,FALSE)),"NOT PRESENT",VLOOKUP(DATA!$P280,'M2'!$A:$C,Q$2,FALSE)),VLOOKUP($P280,'M1'!$A:$C,Q$2,FALSE)),"SPECIFY METHOD")))</f>
        <v>Mesocentrotus franciscanus</v>
      </c>
      <c r="R280" s="21" t="str">
        <f>IF($M280=1,IF(ISERROR(VLOOKUP($P280,'M1'!$A:$C,R$2,FALSE)),"NOT PRESENT",VLOOKUP($P280,'M1'!$A:$C,R$2,FALSE)),IF($M280=2,IF(ISERROR(VLOOKUP(DATA!$P280,'M2'!$A:$C,R$2,FALSE)),"NOT PRESENT",VLOOKUP(DATA!$P280,'M2'!$A:$C,R$2,FALSE)),IF($M280=0,IF(ISERROR(VLOOKUP($P280,'M1'!$A:$C,R$2,FALSE)),IF(ISERROR(VLOOKUP(DATA!$P280,'M2'!$A:$C,R$2,FALSE)),"NOT PRESENT",VLOOKUP(DATA!$P280,'M2'!$A:$C,R$2,FALSE)),VLOOKUP($P280,'M1'!$A:$C,R$2,FALSE)),"SPECIFY METHOD")))</f>
        <v>Red sea urchin</v>
      </c>
      <c r="S280" s="28">
        <f t="shared" si="500"/>
        <v>7</v>
      </c>
      <c r="T280" s="20">
        <v>0</v>
      </c>
      <c r="U280" s="20"/>
      <c r="V280" s="20"/>
      <c r="W280" s="20">
        <v>2</v>
      </c>
      <c r="X280" s="20">
        <v>2</v>
      </c>
      <c r="Y280" s="20">
        <v>2</v>
      </c>
      <c r="Z280" s="20">
        <v>1</v>
      </c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</row>
    <row r="281" spans="1:68" ht="12.75" customHeight="1">
      <c r="A281" s="21">
        <f t="shared" si="497"/>
        <v>279</v>
      </c>
      <c r="B281" s="20" t="str">
        <f t="shared" ref="B281:D281" si="543">IF(ISERROR(B280),IF(ISERROR(B279),IF(ISERROR(B278),"BLANK",B278),B279),B280)</f>
        <v>Em Lim</v>
      </c>
      <c r="C281" s="20" t="str">
        <f t="shared" si="543"/>
        <v>Claire Attridge</v>
      </c>
      <c r="D281" s="20" t="str">
        <f t="shared" si="543"/>
        <v>BMSC4</v>
      </c>
      <c r="E281" s="21" t="str">
        <f>IF(ISERROR(VLOOKUP($D281,SITES!$A:$E,2,FALSE)),"",VLOOKUP($D281,SITES!$A:$E,2,FALSE))</f>
        <v>Kii xin</v>
      </c>
      <c r="F281" s="19">
        <f>IF(ISERROR(VLOOKUP($D281,SITES!$A:$E,3,FALSE)),"",VLOOKUP($D281,SITES!$A:$E,3,FALSE))</f>
        <v>48.815116882324197</v>
      </c>
      <c r="G281" s="22">
        <f>IF(ISERROR(VLOOKUP($D281,SITES!$A:$E,4,FALSE)),"",VLOOKUP($D281,SITES!$A:$E,4,FALSE))</f>
        <v>-125.175331115722</v>
      </c>
      <c r="H281" s="23">
        <f t="shared" ref="H281:M281" si="544">IF(ISERROR(H280),IF(ISERROR(H279),IF(ISERROR(H278),"BLANK",H278),H279),H280)</f>
        <v>45411</v>
      </c>
      <c r="I281" s="20">
        <f t="shared" si="544"/>
        <v>3</v>
      </c>
      <c r="J281" s="20" t="str">
        <f t="shared" si="544"/>
        <v>NE</v>
      </c>
      <c r="K281" s="27">
        <f t="shared" si="544"/>
        <v>0.42291666666666666</v>
      </c>
      <c r="L281" s="20">
        <f t="shared" si="544"/>
        <v>8.5</v>
      </c>
      <c r="M281" s="20">
        <f t="shared" si="544"/>
        <v>2</v>
      </c>
      <c r="N281" s="20">
        <v>2</v>
      </c>
      <c r="O281" s="20">
        <v>8</v>
      </c>
      <c r="P281" s="20" t="s">
        <v>41</v>
      </c>
      <c r="Q281" s="21" t="str">
        <f>IF($M281=1,IF(ISERROR(VLOOKUP($P281,'M1'!$A:$C,Q$2,FALSE)),"NOT PRESENT",VLOOKUP($P281,'M1'!$A:$C,Q$2,FALSE)),IF($M281=2,IF(ISERROR(VLOOKUP(DATA!$P281,'M2'!$A:$C,Q$2,FALSE)),"NOT PRESENT",VLOOKUP(DATA!$P281,'M2'!$A:$C,Q$2,FALSE)),IF($M281=0,IF(ISERROR(VLOOKUP($P281,'M1'!$A:$C,Q$2,FALSE)),IF(ISERROR(VLOOKUP(DATA!$P281,'M2'!$A:$C,Q$2,FALSE)),"NOT PRESENT",VLOOKUP(DATA!$P281,'M2'!$A:$C,Q$2,FALSE)),VLOOKUP($P281,'M1'!$A:$C,Q$2,FALSE)),"SPECIFY METHOD")))</f>
        <v>Mesocentrotus franciscanus</v>
      </c>
      <c r="R281" s="21" t="str">
        <f>IF($M281=1,IF(ISERROR(VLOOKUP($P281,'M1'!$A:$C,R$2,FALSE)),"NOT PRESENT",VLOOKUP($P281,'M1'!$A:$C,R$2,FALSE)),IF($M281=2,IF(ISERROR(VLOOKUP(DATA!$P281,'M2'!$A:$C,R$2,FALSE)),"NOT PRESENT",VLOOKUP(DATA!$P281,'M2'!$A:$C,R$2,FALSE)),IF($M281=0,IF(ISERROR(VLOOKUP($P281,'M1'!$A:$C,R$2,FALSE)),IF(ISERROR(VLOOKUP(DATA!$P281,'M2'!$A:$C,R$2,FALSE)),"NOT PRESENT",VLOOKUP(DATA!$P281,'M2'!$A:$C,R$2,FALSE)),VLOOKUP($P281,'M1'!$A:$C,R$2,FALSE)),"SPECIFY METHOD")))</f>
        <v>Red sea urchin</v>
      </c>
      <c r="S281" s="28">
        <f t="shared" si="500"/>
        <v>4</v>
      </c>
      <c r="T281" s="20">
        <v>0</v>
      </c>
      <c r="U281" s="20"/>
      <c r="V281" s="20">
        <v>1</v>
      </c>
      <c r="W281" s="20">
        <v>1</v>
      </c>
      <c r="X281" s="20">
        <v>2</v>
      </c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</row>
    <row r="282" spans="1:68" ht="12.75" customHeight="1">
      <c r="A282" s="21">
        <f t="shared" si="497"/>
        <v>280</v>
      </c>
      <c r="B282" s="20" t="str">
        <f t="shared" ref="B282:D282" si="545">IF(ISERROR(B281),IF(ISERROR(B280),IF(ISERROR(B279),"BLANK",B279),B280),B281)</f>
        <v>Em Lim</v>
      </c>
      <c r="C282" s="20" t="str">
        <f t="shared" si="545"/>
        <v>Claire Attridge</v>
      </c>
      <c r="D282" s="20" t="str">
        <f t="shared" si="545"/>
        <v>BMSC4</v>
      </c>
      <c r="E282" s="21" t="str">
        <f>IF(ISERROR(VLOOKUP($D282,SITES!$A:$E,2,FALSE)),"",VLOOKUP($D282,SITES!$A:$E,2,FALSE))</f>
        <v>Kii xin</v>
      </c>
      <c r="F282" s="19">
        <f>IF(ISERROR(VLOOKUP($D282,SITES!$A:$E,3,FALSE)),"",VLOOKUP($D282,SITES!$A:$E,3,FALSE))</f>
        <v>48.815116882324197</v>
      </c>
      <c r="G282" s="22">
        <f>IF(ISERROR(VLOOKUP($D282,SITES!$A:$E,4,FALSE)),"",VLOOKUP($D282,SITES!$A:$E,4,FALSE))</f>
        <v>-125.175331115722</v>
      </c>
      <c r="H282" s="23">
        <f t="shared" ref="H282:M282" si="546">IF(ISERROR(H281),IF(ISERROR(H280),IF(ISERROR(H279),"BLANK",H279),H280),H281)</f>
        <v>45411</v>
      </c>
      <c r="I282" s="20">
        <f t="shared" si="546"/>
        <v>3</v>
      </c>
      <c r="J282" s="20" t="str">
        <f t="shared" si="546"/>
        <v>NE</v>
      </c>
      <c r="K282" s="27">
        <f t="shared" si="546"/>
        <v>0.42291666666666666</v>
      </c>
      <c r="L282" s="20">
        <f t="shared" si="546"/>
        <v>8.5</v>
      </c>
      <c r="M282" s="20">
        <f t="shared" si="546"/>
        <v>2</v>
      </c>
      <c r="N282" s="20">
        <v>2</v>
      </c>
      <c r="O282" s="20">
        <v>8</v>
      </c>
      <c r="P282" s="20" t="s">
        <v>42</v>
      </c>
      <c r="Q282" s="21" t="str">
        <f>IF($M282=1,IF(ISERROR(VLOOKUP($P282,'M1'!$A:$C,Q$2,FALSE)),"NOT PRESENT",VLOOKUP($P282,'M1'!$A:$C,Q$2,FALSE)),IF($M282=2,IF(ISERROR(VLOOKUP(DATA!$P282,'M2'!$A:$C,Q$2,FALSE)),"NOT PRESENT",VLOOKUP(DATA!$P282,'M2'!$A:$C,Q$2,FALSE)),IF($M282=0,IF(ISERROR(VLOOKUP($P282,'M1'!$A:$C,Q$2,FALSE)),IF(ISERROR(VLOOKUP(DATA!$P282,'M2'!$A:$C,Q$2,FALSE)),"NOT PRESENT",VLOOKUP(DATA!$P282,'M2'!$A:$C,Q$2,FALSE)),VLOOKUP($P282,'M1'!$A:$C,Q$2,FALSE)),"SPECIFY METHOD")))</f>
        <v>Orthasterias koehleri</v>
      </c>
      <c r="R282" s="21" t="str">
        <f>IF($M282=1,IF(ISERROR(VLOOKUP($P282,'M1'!$A:$C,R$2,FALSE)),"NOT PRESENT",VLOOKUP($P282,'M1'!$A:$C,R$2,FALSE)),IF($M282=2,IF(ISERROR(VLOOKUP(DATA!$P282,'M2'!$A:$C,R$2,FALSE)),"NOT PRESENT",VLOOKUP(DATA!$P282,'M2'!$A:$C,R$2,FALSE)),IF($M282=0,IF(ISERROR(VLOOKUP($P282,'M1'!$A:$C,R$2,FALSE)),IF(ISERROR(VLOOKUP(DATA!$P282,'M2'!$A:$C,R$2,FALSE)),"NOT PRESENT",VLOOKUP(DATA!$P282,'M2'!$A:$C,R$2,FALSE)),VLOOKUP($P282,'M1'!$A:$C,R$2,FALSE)),"SPECIFY METHOD")))</f>
        <v>Rainbow star</v>
      </c>
      <c r="S282" s="28">
        <f t="shared" si="500"/>
        <v>1</v>
      </c>
      <c r="T282" s="20">
        <v>0</v>
      </c>
      <c r="U282" s="20"/>
      <c r="V282" s="20"/>
      <c r="W282" s="20">
        <v>1</v>
      </c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</row>
    <row r="283" spans="1:68" ht="12.75" customHeight="1">
      <c r="A283" s="21">
        <f t="shared" si="497"/>
        <v>281</v>
      </c>
      <c r="B283" s="20" t="str">
        <f t="shared" ref="B283:D283" si="547">IF(ISERROR(B282),IF(ISERROR(B281),IF(ISERROR(B280),"BLANK",B280),B281),B282)</f>
        <v>Em Lim</v>
      </c>
      <c r="C283" s="20" t="str">
        <f t="shared" si="547"/>
        <v>Claire Attridge</v>
      </c>
      <c r="D283" s="20" t="str">
        <f t="shared" si="547"/>
        <v>BMSC4</v>
      </c>
      <c r="E283" s="21" t="str">
        <f>IF(ISERROR(VLOOKUP($D283,SITES!$A:$E,2,FALSE)),"",VLOOKUP($D283,SITES!$A:$E,2,FALSE))</f>
        <v>Kii xin</v>
      </c>
      <c r="F283" s="19">
        <f>IF(ISERROR(VLOOKUP($D283,SITES!$A:$E,3,FALSE)),"",VLOOKUP($D283,SITES!$A:$E,3,FALSE))</f>
        <v>48.815116882324197</v>
      </c>
      <c r="G283" s="22">
        <f>IF(ISERROR(VLOOKUP($D283,SITES!$A:$E,4,FALSE)),"",VLOOKUP($D283,SITES!$A:$E,4,FALSE))</f>
        <v>-125.175331115722</v>
      </c>
      <c r="H283" s="23">
        <f t="shared" ref="H283:M283" si="548">IF(ISERROR(H282),IF(ISERROR(H281),IF(ISERROR(H280),"BLANK",H280),H281),H282)</f>
        <v>45411</v>
      </c>
      <c r="I283" s="20">
        <f t="shared" si="548"/>
        <v>3</v>
      </c>
      <c r="J283" s="20" t="str">
        <f t="shared" si="548"/>
        <v>NE</v>
      </c>
      <c r="K283" s="27">
        <f t="shared" si="548"/>
        <v>0.42291666666666666</v>
      </c>
      <c r="L283" s="20">
        <f t="shared" si="548"/>
        <v>8.5</v>
      </c>
      <c r="M283" s="20">
        <f t="shared" si="548"/>
        <v>2</v>
      </c>
      <c r="N283" s="20">
        <v>1</v>
      </c>
      <c r="O283" s="20">
        <v>0</v>
      </c>
      <c r="P283" s="20" t="s">
        <v>41</v>
      </c>
      <c r="Q283" s="21" t="str">
        <f>IF($M283=1,IF(ISERROR(VLOOKUP($P283,'M1'!$A:$C,Q$2,FALSE)),"NOT PRESENT",VLOOKUP($P283,'M1'!$A:$C,Q$2,FALSE)),IF($M283=2,IF(ISERROR(VLOOKUP(DATA!$P283,'M2'!$A:$C,Q$2,FALSE)),"NOT PRESENT",VLOOKUP(DATA!$P283,'M2'!$A:$C,Q$2,FALSE)),IF($M283=0,IF(ISERROR(VLOOKUP($P283,'M1'!$A:$C,Q$2,FALSE)),IF(ISERROR(VLOOKUP(DATA!$P283,'M2'!$A:$C,Q$2,FALSE)),"NOT PRESENT",VLOOKUP(DATA!$P283,'M2'!$A:$C,Q$2,FALSE)),VLOOKUP($P283,'M1'!$A:$C,Q$2,FALSE)),"SPECIFY METHOD")))</f>
        <v>Mesocentrotus franciscanus</v>
      </c>
      <c r="R283" s="21" t="str">
        <f>IF($M283=1,IF(ISERROR(VLOOKUP($P283,'M1'!$A:$C,R$2,FALSE)),"NOT PRESENT",VLOOKUP($P283,'M1'!$A:$C,R$2,FALSE)),IF($M283=2,IF(ISERROR(VLOOKUP(DATA!$P283,'M2'!$A:$C,R$2,FALSE)),"NOT PRESENT",VLOOKUP(DATA!$P283,'M2'!$A:$C,R$2,FALSE)),IF($M283=0,IF(ISERROR(VLOOKUP($P283,'M1'!$A:$C,R$2,FALSE)),IF(ISERROR(VLOOKUP(DATA!$P283,'M2'!$A:$C,R$2,FALSE)),"NOT PRESENT",VLOOKUP(DATA!$P283,'M2'!$A:$C,R$2,FALSE)),VLOOKUP($P283,'M1'!$A:$C,R$2,FALSE)),"SPECIFY METHOD")))</f>
        <v>Red sea urchin</v>
      </c>
      <c r="S283" s="28">
        <f t="shared" si="500"/>
        <v>7</v>
      </c>
      <c r="T283" s="20">
        <v>0</v>
      </c>
      <c r="U283" s="20"/>
      <c r="V283" s="20">
        <v>2</v>
      </c>
      <c r="W283" s="20">
        <v>4</v>
      </c>
      <c r="X283" s="20">
        <v>1</v>
      </c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</row>
    <row r="284" spans="1:68" ht="12.75" customHeight="1">
      <c r="A284" s="21">
        <f t="shared" si="497"/>
        <v>282</v>
      </c>
      <c r="B284" s="20" t="str">
        <f t="shared" ref="B284:D284" si="549">IF(ISERROR(B283),IF(ISERROR(B282),IF(ISERROR(B281),"BLANK",B281),B282),B283)</f>
        <v>Em Lim</v>
      </c>
      <c r="C284" s="20" t="str">
        <f t="shared" si="549"/>
        <v>Claire Attridge</v>
      </c>
      <c r="D284" s="20" t="str">
        <f t="shared" si="549"/>
        <v>BMSC4</v>
      </c>
      <c r="E284" s="21" t="str">
        <f>IF(ISERROR(VLOOKUP($D284,SITES!$A:$E,2,FALSE)),"",VLOOKUP($D284,SITES!$A:$E,2,FALSE))</f>
        <v>Kii xin</v>
      </c>
      <c r="F284" s="19">
        <f>IF(ISERROR(VLOOKUP($D284,SITES!$A:$E,3,FALSE)),"",VLOOKUP($D284,SITES!$A:$E,3,FALSE))</f>
        <v>48.815116882324197</v>
      </c>
      <c r="G284" s="22">
        <f>IF(ISERROR(VLOOKUP($D284,SITES!$A:$E,4,FALSE)),"",VLOOKUP($D284,SITES!$A:$E,4,FALSE))</f>
        <v>-125.175331115722</v>
      </c>
      <c r="H284" s="23">
        <f t="shared" ref="H284:M284" si="550">IF(ISERROR(H283),IF(ISERROR(H282),IF(ISERROR(H281),"BLANK",H281),H282),H283)</f>
        <v>45411</v>
      </c>
      <c r="I284" s="20">
        <f t="shared" si="550"/>
        <v>3</v>
      </c>
      <c r="J284" s="20" t="str">
        <f t="shared" si="550"/>
        <v>NE</v>
      </c>
      <c r="K284" s="27">
        <f t="shared" si="550"/>
        <v>0.42291666666666666</v>
      </c>
      <c r="L284" s="20">
        <f t="shared" si="550"/>
        <v>8.5</v>
      </c>
      <c r="M284" s="20">
        <f t="shared" si="550"/>
        <v>2</v>
      </c>
      <c r="N284" s="20">
        <v>1</v>
      </c>
      <c r="O284" s="20">
        <v>0</v>
      </c>
      <c r="P284" s="20" t="s">
        <v>39</v>
      </c>
      <c r="Q284" s="21" t="str">
        <f>IF($M284=1,IF(ISERROR(VLOOKUP($P284,'M1'!$A:$C,Q$2,FALSE)),"NOT PRESENT",VLOOKUP($P284,'M1'!$A:$C,Q$2,FALSE)),IF($M284=2,IF(ISERROR(VLOOKUP(DATA!$P284,'M2'!$A:$C,Q$2,FALSE)),"NOT PRESENT",VLOOKUP(DATA!$P284,'M2'!$A:$C,Q$2,FALSE)),IF($M284=0,IF(ISERROR(VLOOKUP($P284,'M1'!$A:$C,Q$2,FALSE)),IF(ISERROR(VLOOKUP(DATA!$P284,'M2'!$A:$C,Q$2,FALSE)),"NOT PRESENT",VLOOKUP(DATA!$P284,'M2'!$A:$C,Q$2,FALSE)),VLOOKUP($P284,'M1'!$A:$C,Q$2,FALSE)),"SPECIFY METHOD")))</f>
        <v>Dermasterias imbricata</v>
      </c>
      <c r="R284" s="21" t="str">
        <f>IF($M284=1,IF(ISERROR(VLOOKUP($P284,'M1'!$A:$C,R$2,FALSE)),"NOT PRESENT",VLOOKUP($P284,'M1'!$A:$C,R$2,FALSE)),IF($M284=2,IF(ISERROR(VLOOKUP(DATA!$P284,'M2'!$A:$C,R$2,FALSE)),"NOT PRESENT",VLOOKUP(DATA!$P284,'M2'!$A:$C,R$2,FALSE)),IF($M284=0,IF(ISERROR(VLOOKUP($P284,'M1'!$A:$C,R$2,FALSE)),IF(ISERROR(VLOOKUP(DATA!$P284,'M2'!$A:$C,R$2,FALSE)),"NOT PRESENT",VLOOKUP(DATA!$P284,'M2'!$A:$C,R$2,FALSE)),VLOOKUP($P284,'M1'!$A:$C,R$2,FALSE)),"SPECIFY METHOD")))</f>
        <v>Leather star</v>
      </c>
      <c r="S284" s="28">
        <f t="shared" si="500"/>
        <v>1</v>
      </c>
      <c r="T284" s="20">
        <v>0</v>
      </c>
      <c r="U284" s="20"/>
      <c r="V284" s="20"/>
      <c r="W284" s="20"/>
      <c r="X284" s="20">
        <v>1</v>
      </c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</row>
    <row r="285" spans="1:68" ht="12.75" customHeight="1">
      <c r="A285" s="21">
        <f t="shared" si="497"/>
        <v>283</v>
      </c>
      <c r="B285" s="20" t="s">
        <v>56</v>
      </c>
      <c r="C285" s="20" t="s">
        <v>35</v>
      </c>
      <c r="D285" s="20" t="s">
        <v>79</v>
      </c>
      <c r="E285" s="21" t="str">
        <f>IF(ISERROR(VLOOKUP($D285,SITES!$A:$E,2,FALSE)),"",VLOOKUP($D285,SITES!$A:$E,2,FALSE))</f>
        <v>Kirby</v>
      </c>
      <c r="F285" s="19">
        <f>IF(ISERROR(VLOOKUP($D285,SITES!$A:$E,3,FALSE)),"",VLOOKUP($D285,SITES!$A:$E,3,FALSE))</f>
        <v>48.850399017333899</v>
      </c>
      <c r="G285" s="22">
        <f>IF(ISERROR(VLOOKUP($D285,SITES!$A:$E,4,FALSE)),"",VLOOKUP($D285,SITES!$A:$E,4,FALSE))</f>
        <v>-125.198768615722</v>
      </c>
      <c r="H285" s="23">
        <v>45411</v>
      </c>
      <c r="I285" s="20">
        <v>3.5</v>
      </c>
      <c r="J285" s="20" t="s">
        <v>80</v>
      </c>
      <c r="K285" s="27">
        <v>0.61875000000000002</v>
      </c>
      <c r="L285" s="20">
        <v>4</v>
      </c>
      <c r="M285" s="20">
        <v>2</v>
      </c>
      <c r="N285" s="20">
        <v>2</v>
      </c>
      <c r="O285" s="20">
        <v>0</v>
      </c>
      <c r="P285" s="20" t="s">
        <v>41</v>
      </c>
      <c r="Q285" s="21" t="str">
        <f>IF($M285=1,IF(ISERROR(VLOOKUP($P285,'M1'!$A:$C,Q$2,FALSE)),"NOT PRESENT",VLOOKUP($P285,'M1'!$A:$C,Q$2,FALSE)),IF($M285=2,IF(ISERROR(VLOOKUP(DATA!$P285,'M2'!$A:$C,Q$2,FALSE)),"NOT PRESENT",VLOOKUP(DATA!$P285,'M2'!$A:$C,Q$2,FALSE)),IF($M285=0,IF(ISERROR(VLOOKUP($P285,'M1'!$A:$C,Q$2,FALSE)),IF(ISERROR(VLOOKUP(DATA!$P285,'M2'!$A:$C,Q$2,FALSE)),"NOT PRESENT",VLOOKUP(DATA!$P285,'M2'!$A:$C,Q$2,FALSE)),VLOOKUP($P285,'M1'!$A:$C,Q$2,FALSE)),"SPECIFY METHOD")))</f>
        <v>Mesocentrotus franciscanus</v>
      </c>
      <c r="R285" s="21" t="str">
        <f>IF($M285=1,IF(ISERROR(VLOOKUP($P285,'M1'!$A:$C,R$2,FALSE)),"NOT PRESENT",VLOOKUP($P285,'M1'!$A:$C,R$2,FALSE)),IF($M285=2,IF(ISERROR(VLOOKUP(DATA!$P285,'M2'!$A:$C,R$2,FALSE)),"NOT PRESENT",VLOOKUP(DATA!$P285,'M2'!$A:$C,R$2,FALSE)),IF($M285=0,IF(ISERROR(VLOOKUP($P285,'M1'!$A:$C,R$2,FALSE)),IF(ISERROR(VLOOKUP(DATA!$P285,'M2'!$A:$C,R$2,FALSE)),"NOT PRESENT",VLOOKUP(DATA!$P285,'M2'!$A:$C,R$2,FALSE)),VLOOKUP($P285,'M1'!$A:$C,R$2,FALSE)),"SPECIFY METHOD")))</f>
        <v>Red sea urchin</v>
      </c>
      <c r="S285" s="28">
        <f t="shared" si="500"/>
        <v>6</v>
      </c>
      <c r="T285" s="20">
        <v>0</v>
      </c>
      <c r="U285" s="20"/>
      <c r="V285" s="20">
        <v>2</v>
      </c>
      <c r="W285" s="20">
        <v>3</v>
      </c>
      <c r="X285" s="20">
        <v>1</v>
      </c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</row>
    <row r="286" spans="1:68" ht="12.75" customHeight="1">
      <c r="A286" s="21">
        <f t="shared" si="497"/>
        <v>284</v>
      </c>
      <c r="B286" s="20" t="str">
        <f t="shared" ref="B286:D286" si="551">IF(ISERROR(B285),IF(ISERROR(B284),IF(ISERROR(B283),"BLANK",B283),B284),B285)</f>
        <v>Claire Attridge</v>
      </c>
      <c r="C286" s="20" t="str">
        <f t="shared" si="551"/>
        <v>Em Lim</v>
      </c>
      <c r="D286" s="20" t="str">
        <f t="shared" si="551"/>
        <v>BMSC2</v>
      </c>
      <c r="E286" s="21" t="str">
        <f>IF(ISERROR(VLOOKUP($D286,SITES!$A:$E,2,FALSE)),"",VLOOKUP($D286,SITES!$A:$E,2,FALSE))</f>
        <v>Kirby</v>
      </c>
      <c r="F286" s="19">
        <f>IF(ISERROR(VLOOKUP($D286,SITES!$A:$E,3,FALSE)),"",VLOOKUP($D286,SITES!$A:$E,3,FALSE))</f>
        <v>48.850399017333899</v>
      </c>
      <c r="G286" s="22">
        <f>IF(ISERROR(VLOOKUP($D286,SITES!$A:$E,4,FALSE)),"",VLOOKUP($D286,SITES!$A:$E,4,FALSE))</f>
        <v>-125.198768615722</v>
      </c>
      <c r="H286" s="23">
        <f t="shared" ref="H286:N286" si="552">IF(ISERROR(H285),IF(ISERROR(H284),IF(ISERROR(H283),"BLANK",H283),H284),H285)</f>
        <v>45411</v>
      </c>
      <c r="I286" s="20">
        <f t="shared" si="552"/>
        <v>3.5</v>
      </c>
      <c r="J286" s="20" t="str">
        <f t="shared" si="552"/>
        <v>N</v>
      </c>
      <c r="K286" s="27">
        <f t="shared" si="552"/>
        <v>0.61875000000000002</v>
      </c>
      <c r="L286" s="20">
        <f t="shared" si="552"/>
        <v>4</v>
      </c>
      <c r="M286" s="20">
        <f t="shared" si="552"/>
        <v>2</v>
      </c>
      <c r="N286" s="20">
        <f t="shared" si="552"/>
        <v>2</v>
      </c>
      <c r="O286" s="20">
        <v>8</v>
      </c>
      <c r="P286" s="20" t="s">
        <v>41</v>
      </c>
      <c r="Q286" s="21" t="str">
        <f>IF($M286=1,IF(ISERROR(VLOOKUP($P286,'M1'!$A:$C,Q$2,FALSE)),"NOT PRESENT",VLOOKUP($P286,'M1'!$A:$C,Q$2,FALSE)),IF($M286=2,IF(ISERROR(VLOOKUP(DATA!$P286,'M2'!$A:$C,Q$2,FALSE)),"NOT PRESENT",VLOOKUP(DATA!$P286,'M2'!$A:$C,Q$2,FALSE)),IF($M286=0,IF(ISERROR(VLOOKUP($P286,'M1'!$A:$C,Q$2,FALSE)),IF(ISERROR(VLOOKUP(DATA!$P286,'M2'!$A:$C,Q$2,FALSE)),"NOT PRESENT",VLOOKUP(DATA!$P286,'M2'!$A:$C,Q$2,FALSE)),VLOOKUP($P286,'M1'!$A:$C,Q$2,FALSE)),"SPECIFY METHOD")))</f>
        <v>Mesocentrotus franciscanus</v>
      </c>
      <c r="R286" s="21" t="str">
        <f>IF($M286=1,IF(ISERROR(VLOOKUP($P286,'M1'!$A:$C,R$2,FALSE)),"NOT PRESENT",VLOOKUP($P286,'M1'!$A:$C,R$2,FALSE)),IF($M286=2,IF(ISERROR(VLOOKUP(DATA!$P286,'M2'!$A:$C,R$2,FALSE)),"NOT PRESENT",VLOOKUP(DATA!$P286,'M2'!$A:$C,R$2,FALSE)),IF($M286=0,IF(ISERROR(VLOOKUP($P286,'M1'!$A:$C,R$2,FALSE)),IF(ISERROR(VLOOKUP(DATA!$P286,'M2'!$A:$C,R$2,FALSE)),"NOT PRESENT",VLOOKUP(DATA!$P286,'M2'!$A:$C,R$2,FALSE)),VLOOKUP($P286,'M1'!$A:$C,R$2,FALSE)),"SPECIFY METHOD")))</f>
        <v>Red sea urchin</v>
      </c>
      <c r="S286" s="28">
        <f t="shared" si="500"/>
        <v>6</v>
      </c>
      <c r="T286" s="20">
        <v>0</v>
      </c>
      <c r="U286" s="20"/>
      <c r="V286" s="20">
        <v>2</v>
      </c>
      <c r="W286" s="20">
        <v>4</v>
      </c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</row>
    <row r="287" spans="1:68" ht="12.75" customHeight="1">
      <c r="A287" s="21">
        <f t="shared" si="497"/>
        <v>285</v>
      </c>
      <c r="B287" s="20" t="str">
        <f t="shared" ref="B287:D287" si="553">IF(ISERROR(B286),IF(ISERROR(B285),IF(ISERROR(B284),"BLANK",B284),B285),B286)</f>
        <v>Claire Attridge</v>
      </c>
      <c r="C287" s="20" t="str">
        <f t="shared" si="553"/>
        <v>Em Lim</v>
      </c>
      <c r="D287" s="20" t="str">
        <f t="shared" si="553"/>
        <v>BMSC2</v>
      </c>
      <c r="E287" s="21" t="str">
        <f>IF(ISERROR(VLOOKUP($D287,SITES!$A:$E,2,FALSE)),"",VLOOKUP($D287,SITES!$A:$E,2,FALSE))</f>
        <v>Kirby</v>
      </c>
      <c r="F287" s="19">
        <f>IF(ISERROR(VLOOKUP($D287,SITES!$A:$E,3,FALSE)),"",VLOOKUP($D287,SITES!$A:$E,3,FALSE))</f>
        <v>48.850399017333899</v>
      </c>
      <c r="G287" s="22">
        <f>IF(ISERROR(VLOOKUP($D287,SITES!$A:$E,4,FALSE)),"",VLOOKUP($D287,SITES!$A:$E,4,FALSE))</f>
        <v>-125.198768615722</v>
      </c>
      <c r="H287" s="23">
        <f t="shared" ref="H287:N287" si="554">IF(ISERROR(H286),IF(ISERROR(H285),IF(ISERROR(H284),"BLANK",H284),H285),H286)</f>
        <v>45411</v>
      </c>
      <c r="I287" s="20">
        <f t="shared" si="554"/>
        <v>3.5</v>
      </c>
      <c r="J287" s="20" t="str">
        <f t="shared" si="554"/>
        <v>N</v>
      </c>
      <c r="K287" s="27">
        <f t="shared" si="554"/>
        <v>0.61875000000000002</v>
      </c>
      <c r="L287" s="20">
        <f t="shared" si="554"/>
        <v>4</v>
      </c>
      <c r="M287" s="20">
        <f t="shared" si="554"/>
        <v>2</v>
      </c>
      <c r="N287" s="20">
        <f t="shared" si="554"/>
        <v>2</v>
      </c>
      <c r="O287" s="20">
        <v>16</v>
      </c>
      <c r="P287" s="20" t="s">
        <v>41</v>
      </c>
      <c r="Q287" s="21" t="str">
        <f>IF($M287=1,IF(ISERROR(VLOOKUP($P287,'M1'!$A:$C,Q$2,FALSE)),"NOT PRESENT",VLOOKUP($P287,'M1'!$A:$C,Q$2,FALSE)),IF($M287=2,IF(ISERROR(VLOOKUP(DATA!$P287,'M2'!$A:$C,Q$2,FALSE)),"NOT PRESENT",VLOOKUP(DATA!$P287,'M2'!$A:$C,Q$2,FALSE)),IF($M287=0,IF(ISERROR(VLOOKUP($P287,'M1'!$A:$C,Q$2,FALSE)),IF(ISERROR(VLOOKUP(DATA!$P287,'M2'!$A:$C,Q$2,FALSE)),"NOT PRESENT",VLOOKUP(DATA!$P287,'M2'!$A:$C,Q$2,FALSE)),VLOOKUP($P287,'M1'!$A:$C,Q$2,FALSE)),"SPECIFY METHOD")))</f>
        <v>Mesocentrotus franciscanus</v>
      </c>
      <c r="R287" s="21" t="str">
        <f>IF($M287=1,IF(ISERROR(VLOOKUP($P287,'M1'!$A:$C,R$2,FALSE)),"NOT PRESENT",VLOOKUP($P287,'M1'!$A:$C,R$2,FALSE)),IF($M287=2,IF(ISERROR(VLOOKUP(DATA!$P287,'M2'!$A:$C,R$2,FALSE)),"NOT PRESENT",VLOOKUP(DATA!$P287,'M2'!$A:$C,R$2,FALSE)),IF($M287=0,IF(ISERROR(VLOOKUP($P287,'M1'!$A:$C,R$2,FALSE)),IF(ISERROR(VLOOKUP(DATA!$P287,'M2'!$A:$C,R$2,FALSE)),"NOT PRESENT",VLOOKUP(DATA!$P287,'M2'!$A:$C,R$2,FALSE)),VLOOKUP($P287,'M1'!$A:$C,R$2,FALSE)),"SPECIFY METHOD")))</f>
        <v>Red sea urchin</v>
      </c>
      <c r="S287" s="28">
        <f t="shared" si="500"/>
        <v>7</v>
      </c>
      <c r="T287" s="20">
        <v>0</v>
      </c>
      <c r="U287" s="20"/>
      <c r="V287" s="20">
        <v>1</v>
      </c>
      <c r="W287" s="20">
        <v>4</v>
      </c>
      <c r="X287" s="20">
        <v>2</v>
      </c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</row>
    <row r="288" spans="1:68" ht="12.75" customHeight="1">
      <c r="A288" s="21">
        <f t="shared" si="497"/>
        <v>286</v>
      </c>
      <c r="B288" s="20" t="str">
        <f t="shared" ref="B288:D288" si="555">IF(ISERROR(B287),IF(ISERROR(B286),IF(ISERROR(B285),"BLANK",B285),B286),B287)</f>
        <v>Claire Attridge</v>
      </c>
      <c r="C288" s="20" t="str">
        <f t="shared" si="555"/>
        <v>Em Lim</v>
      </c>
      <c r="D288" s="20" t="str">
        <f t="shared" si="555"/>
        <v>BMSC2</v>
      </c>
      <c r="E288" s="21" t="str">
        <f>IF(ISERROR(VLOOKUP($D288,SITES!$A:$E,2,FALSE)),"",VLOOKUP($D288,SITES!$A:$E,2,FALSE))</f>
        <v>Kirby</v>
      </c>
      <c r="F288" s="19">
        <f>IF(ISERROR(VLOOKUP($D288,SITES!$A:$E,3,FALSE)),"",VLOOKUP($D288,SITES!$A:$E,3,FALSE))</f>
        <v>48.850399017333899</v>
      </c>
      <c r="G288" s="22">
        <f>IF(ISERROR(VLOOKUP($D288,SITES!$A:$E,4,FALSE)),"",VLOOKUP($D288,SITES!$A:$E,4,FALSE))</f>
        <v>-125.198768615722</v>
      </c>
      <c r="H288" s="23">
        <f t="shared" ref="H288:N288" si="556">IF(ISERROR(H287),IF(ISERROR(H286),IF(ISERROR(H285),"BLANK",H285),H286),H287)</f>
        <v>45411</v>
      </c>
      <c r="I288" s="20">
        <f t="shared" si="556"/>
        <v>3.5</v>
      </c>
      <c r="J288" s="20" t="str">
        <f t="shared" si="556"/>
        <v>N</v>
      </c>
      <c r="K288" s="27">
        <f t="shared" si="556"/>
        <v>0.61875000000000002</v>
      </c>
      <c r="L288" s="20">
        <f t="shared" si="556"/>
        <v>4</v>
      </c>
      <c r="M288" s="20">
        <f t="shared" si="556"/>
        <v>2</v>
      </c>
      <c r="N288" s="20">
        <f t="shared" si="556"/>
        <v>2</v>
      </c>
      <c r="O288" s="20">
        <v>16</v>
      </c>
      <c r="P288" s="20" t="s">
        <v>40</v>
      </c>
      <c r="Q288" s="21" t="str">
        <f>IF($M288=1,IF(ISERROR(VLOOKUP($P288,'M1'!$A:$C,Q$2,FALSE)),"NOT PRESENT",VLOOKUP($P288,'M1'!$A:$C,Q$2,FALSE)),IF($M288=2,IF(ISERROR(VLOOKUP(DATA!$P288,'M2'!$A:$C,Q$2,FALSE)),"NOT PRESENT",VLOOKUP(DATA!$P288,'M2'!$A:$C,Q$2,FALSE)),IF($M288=0,IF(ISERROR(VLOOKUP($P288,'M1'!$A:$C,Q$2,FALSE)),IF(ISERROR(VLOOKUP(DATA!$P288,'M2'!$A:$C,Q$2,FALSE)),"NOT PRESENT",VLOOKUP(DATA!$P288,'M2'!$A:$C,Q$2,FALSE)),VLOOKUP($P288,'M1'!$A:$C,Q$2,FALSE)),"SPECIFY METHOD")))</f>
        <v>Patiria miniata</v>
      </c>
      <c r="R288" s="21" t="str">
        <f>IF($M288=1,IF(ISERROR(VLOOKUP($P288,'M1'!$A:$C,R$2,FALSE)),"NOT PRESENT",VLOOKUP($P288,'M1'!$A:$C,R$2,FALSE)),IF($M288=2,IF(ISERROR(VLOOKUP(DATA!$P288,'M2'!$A:$C,R$2,FALSE)),"NOT PRESENT",VLOOKUP(DATA!$P288,'M2'!$A:$C,R$2,FALSE)),IF($M288=0,IF(ISERROR(VLOOKUP($P288,'M1'!$A:$C,R$2,FALSE)),IF(ISERROR(VLOOKUP(DATA!$P288,'M2'!$A:$C,R$2,FALSE)),"NOT PRESENT",VLOOKUP(DATA!$P288,'M2'!$A:$C,R$2,FALSE)),VLOOKUP($P288,'M1'!$A:$C,R$2,FALSE)),"SPECIFY METHOD")))</f>
        <v>Bat star</v>
      </c>
      <c r="S288" s="28">
        <f t="shared" si="500"/>
        <v>1</v>
      </c>
      <c r="T288" s="20">
        <v>0</v>
      </c>
      <c r="U288" s="20"/>
      <c r="V288" s="20"/>
      <c r="W288" s="20"/>
      <c r="X288" s="20"/>
      <c r="Y288" s="20"/>
      <c r="Z288" s="20">
        <v>1</v>
      </c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</row>
    <row r="289" spans="1:68" ht="12.75" customHeight="1">
      <c r="A289" s="21">
        <f t="shared" si="497"/>
        <v>287</v>
      </c>
      <c r="B289" s="20" t="str">
        <f t="shared" ref="B289:D289" si="557">IF(ISERROR(B288),IF(ISERROR(B287),IF(ISERROR(B286),"BLANK",B286),B287),B288)</f>
        <v>Claire Attridge</v>
      </c>
      <c r="C289" s="20" t="str">
        <f t="shared" si="557"/>
        <v>Em Lim</v>
      </c>
      <c r="D289" s="20" t="str">
        <f t="shared" si="557"/>
        <v>BMSC2</v>
      </c>
      <c r="E289" s="21" t="str">
        <f>IF(ISERROR(VLOOKUP($D289,SITES!$A:$E,2,FALSE)),"",VLOOKUP($D289,SITES!$A:$E,2,FALSE))</f>
        <v>Kirby</v>
      </c>
      <c r="F289" s="19">
        <f>IF(ISERROR(VLOOKUP($D289,SITES!$A:$E,3,FALSE)),"",VLOOKUP($D289,SITES!$A:$E,3,FALSE))</f>
        <v>48.850399017333899</v>
      </c>
      <c r="G289" s="22">
        <f>IF(ISERROR(VLOOKUP($D289,SITES!$A:$E,4,FALSE)),"",VLOOKUP($D289,SITES!$A:$E,4,FALSE))</f>
        <v>-125.198768615722</v>
      </c>
      <c r="H289" s="23">
        <f t="shared" ref="H289:N289" si="558">IF(ISERROR(H288),IF(ISERROR(H287),IF(ISERROR(H286),"BLANK",H286),H287),H288)</f>
        <v>45411</v>
      </c>
      <c r="I289" s="20">
        <f t="shared" si="558"/>
        <v>3.5</v>
      </c>
      <c r="J289" s="20" t="str">
        <f t="shared" si="558"/>
        <v>N</v>
      </c>
      <c r="K289" s="27">
        <f t="shared" si="558"/>
        <v>0.61875000000000002</v>
      </c>
      <c r="L289" s="20">
        <f t="shared" si="558"/>
        <v>4</v>
      </c>
      <c r="M289" s="20">
        <f t="shared" si="558"/>
        <v>2</v>
      </c>
      <c r="N289" s="20">
        <f t="shared" si="558"/>
        <v>2</v>
      </c>
      <c r="O289" s="20">
        <v>24</v>
      </c>
      <c r="P289" s="20" t="s">
        <v>40</v>
      </c>
      <c r="Q289" s="21" t="str">
        <f>IF($M289=1,IF(ISERROR(VLOOKUP($P289,'M1'!$A:$C,Q$2,FALSE)),"NOT PRESENT",VLOOKUP($P289,'M1'!$A:$C,Q$2,FALSE)),IF($M289=2,IF(ISERROR(VLOOKUP(DATA!$P289,'M2'!$A:$C,Q$2,FALSE)),"NOT PRESENT",VLOOKUP(DATA!$P289,'M2'!$A:$C,Q$2,FALSE)),IF($M289=0,IF(ISERROR(VLOOKUP($P289,'M1'!$A:$C,Q$2,FALSE)),IF(ISERROR(VLOOKUP(DATA!$P289,'M2'!$A:$C,Q$2,FALSE)),"NOT PRESENT",VLOOKUP(DATA!$P289,'M2'!$A:$C,Q$2,FALSE)),VLOOKUP($P289,'M1'!$A:$C,Q$2,FALSE)),"SPECIFY METHOD")))</f>
        <v>Patiria miniata</v>
      </c>
      <c r="R289" s="21" t="str">
        <f>IF($M289=1,IF(ISERROR(VLOOKUP($P289,'M1'!$A:$C,R$2,FALSE)),"NOT PRESENT",VLOOKUP($P289,'M1'!$A:$C,R$2,FALSE)),IF($M289=2,IF(ISERROR(VLOOKUP(DATA!$P289,'M2'!$A:$C,R$2,FALSE)),"NOT PRESENT",VLOOKUP(DATA!$P289,'M2'!$A:$C,R$2,FALSE)),IF($M289=0,IF(ISERROR(VLOOKUP($P289,'M1'!$A:$C,R$2,FALSE)),IF(ISERROR(VLOOKUP(DATA!$P289,'M2'!$A:$C,R$2,FALSE)),"NOT PRESENT",VLOOKUP(DATA!$P289,'M2'!$A:$C,R$2,FALSE)),VLOOKUP($P289,'M1'!$A:$C,R$2,FALSE)),"SPECIFY METHOD")))</f>
        <v>Bat star</v>
      </c>
      <c r="S289" s="28">
        <f t="shared" si="500"/>
        <v>1</v>
      </c>
      <c r="T289" s="20">
        <v>0</v>
      </c>
      <c r="U289" s="20"/>
      <c r="V289" s="20"/>
      <c r="W289" s="20"/>
      <c r="X289" s="20"/>
      <c r="Y289" s="20">
        <v>1</v>
      </c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</row>
    <row r="290" spans="1:68" ht="12.75" customHeight="1">
      <c r="A290" s="21">
        <f t="shared" si="497"/>
        <v>288</v>
      </c>
      <c r="B290" s="20" t="str">
        <f t="shared" ref="B290:D290" si="559">IF(ISERROR(B289),IF(ISERROR(B288),IF(ISERROR(B287),"BLANK",B287),B288),B289)</f>
        <v>Claire Attridge</v>
      </c>
      <c r="C290" s="20" t="str">
        <f t="shared" si="559"/>
        <v>Em Lim</v>
      </c>
      <c r="D290" s="20" t="str">
        <f t="shared" si="559"/>
        <v>BMSC2</v>
      </c>
      <c r="E290" s="21" t="str">
        <f>IF(ISERROR(VLOOKUP($D290,SITES!$A:$E,2,FALSE)),"",VLOOKUP($D290,SITES!$A:$E,2,FALSE))</f>
        <v>Kirby</v>
      </c>
      <c r="F290" s="19">
        <f>IF(ISERROR(VLOOKUP($D290,SITES!$A:$E,3,FALSE)),"",VLOOKUP($D290,SITES!$A:$E,3,FALSE))</f>
        <v>48.850399017333899</v>
      </c>
      <c r="G290" s="22">
        <f>IF(ISERROR(VLOOKUP($D290,SITES!$A:$E,4,FALSE)),"",VLOOKUP($D290,SITES!$A:$E,4,FALSE))</f>
        <v>-125.198768615722</v>
      </c>
      <c r="H290" s="23">
        <f t="shared" ref="H290:N290" si="560">IF(ISERROR(H289),IF(ISERROR(H288),IF(ISERROR(H287),"BLANK",H287),H288),H289)</f>
        <v>45411</v>
      </c>
      <c r="I290" s="20">
        <f t="shared" si="560"/>
        <v>3.5</v>
      </c>
      <c r="J290" s="20" t="str">
        <f t="shared" si="560"/>
        <v>N</v>
      </c>
      <c r="K290" s="27">
        <f t="shared" si="560"/>
        <v>0.61875000000000002</v>
      </c>
      <c r="L290" s="20">
        <f t="shared" si="560"/>
        <v>4</v>
      </c>
      <c r="M290" s="20">
        <f t="shared" si="560"/>
        <v>2</v>
      </c>
      <c r="N290" s="20">
        <f t="shared" si="560"/>
        <v>2</v>
      </c>
      <c r="O290" s="20">
        <v>32</v>
      </c>
      <c r="P290" s="20" t="s">
        <v>41</v>
      </c>
      <c r="Q290" s="21" t="str">
        <f>IF($M290=1,IF(ISERROR(VLOOKUP($P290,'M1'!$A:$C,Q$2,FALSE)),"NOT PRESENT",VLOOKUP($P290,'M1'!$A:$C,Q$2,FALSE)),IF($M290=2,IF(ISERROR(VLOOKUP(DATA!$P290,'M2'!$A:$C,Q$2,FALSE)),"NOT PRESENT",VLOOKUP(DATA!$P290,'M2'!$A:$C,Q$2,FALSE)),IF($M290=0,IF(ISERROR(VLOOKUP($P290,'M1'!$A:$C,Q$2,FALSE)),IF(ISERROR(VLOOKUP(DATA!$P290,'M2'!$A:$C,Q$2,FALSE)),"NOT PRESENT",VLOOKUP(DATA!$P290,'M2'!$A:$C,Q$2,FALSE)),VLOOKUP($P290,'M1'!$A:$C,Q$2,FALSE)),"SPECIFY METHOD")))</f>
        <v>Mesocentrotus franciscanus</v>
      </c>
      <c r="R290" s="21" t="str">
        <f>IF($M290=1,IF(ISERROR(VLOOKUP($P290,'M1'!$A:$C,R$2,FALSE)),"NOT PRESENT",VLOOKUP($P290,'M1'!$A:$C,R$2,FALSE)),IF($M290=2,IF(ISERROR(VLOOKUP(DATA!$P290,'M2'!$A:$C,R$2,FALSE)),"NOT PRESENT",VLOOKUP(DATA!$P290,'M2'!$A:$C,R$2,FALSE)),IF($M290=0,IF(ISERROR(VLOOKUP($P290,'M1'!$A:$C,R$2,FALSE)),IF(ISERROR(VLOOKUP(DATA!$P290,'M2'!$A:$C,R$2,FALSE)),"NOT PRESENT",VLOOKUP(DATA!$P290,'M2'!$A:$C,R$2,FALSE)),VLOOKUP($P290,'M1'!$A:$C,R$2,FALSE)),"SPECIFY METHOD")))</f>
        <v>Red sea urchin</v>
      </c>
      <c r="S290" s="28">
        <f t="shared" si="500"/>
        <v>6</v>
      </c>
      <c r="T290" s="20">
        <v>0</v>
      </c>
      <c r="U290" s="20"/>
      <c r="V290" s="20"/>
      <c r="W290" s="20">
        <v>2</v>
      </c>
      <c r="X290" s="20">
        <v>3</v>
      </c>
      <c r="Y290" s="20">
        <v>1</v>
      </c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</row>
    <row r="291" spans="1:68" ht="12.75" customHeight="1">
      <c r="A291" s="21">
        <f t="shared" si="497"/>
        <v>289</v>
      </c>
      <c r="B291" s="20" t="str">
        <f t="shared" ref="B291:D291" si="561">IF(ISERROR(B290),IF(ISERROR(B289),IF(ISERROR(B288),"BLANK",B288),B289),B290)</f>
        <v>Claire Attridge</v>
      </c>
      <c r="C291" s="20" t="str">
        <f t="shared" si="561"/>
        <v>Em Lim</v>
      </c>
      <c r="D291" s="20" t="str">
        <f t="shared" si="561"/>
        <v>BMSC2</v>
      </c>
      <c r="E291" s="21" t="str">
        <f>IF(ISERROR(VLOOKUP($D291,SITES!$A:$E,2,FALSE)),"",VLOOKUP($D291,SITES!$A:$E,2,FALSE))</f>
        <v>Kirby</v>
      </c>
      <c r="F291" s="19">
        <f>IF(ISERROR(VLOOKUP($D291,SITES!$A:$E,3,FALSE)),"",VLOOKUP($D291,SITES!$A:$E,3,FALSE))</f>
        <v>48.850399017333899</v>
      </c>
      <c r="G291" s="22">
        <f>IF(ISERROR(VLOOKUP($D291,SITES!$A:$E,4,FALSE)),"",VLOOKUP($D291,SITES!$A:$E,4,FALSE))</f>
        <v>-125.198768615722</v>
      </c>
      <c r="H291" s="23">
        <f t="shared" ref="H291:N291" si="562">IF(ISERROR(H290),IF(ISERROR(H289),IF(ISERROR(H288),"BLANK",H288),H289),H290)</f>
        <v>45411</v>
      </c>
      <c r="I291" s="20">
        <f t="shared" si="562"/>
        <v>3.5</v>
      </c>
      <c r="J291" s="20" t="str">
        <f t="shared" si="562"/>
        <v>N</v>
      </c>
      <c r="K291" s="27">
        <f t="shared" si="562"/>
        <v>0.61875000000000002</v>
      </c>
      <c r="L291" s="20">
        <f t="shared" si="562"/>
        <v>4</v>
      </c>
      <c r="M291" s="20">
        <f t="shared" si="562"/>
        <v>2</v>
      </c>
      <c r="N291" s="20">
        <f t="shared" si="562"/>
        <v>2</v>
      </c>
      <c r="O291" s="20">
        <v>32</v>
      </c>
      <c r="P291" s="20" t="s">
        <v>42</v>
      </c>
      <c r="Q291" s="21" t="str">
        <f>IF($M291=1,IF(ISERROR(VLOOKUP($P291,'M1'!$A:$C,Q$2,FALSE)),"NOT PRESENT",VLOOKUP($P291,'M1'!$A:$C,Q$2,FALSE)),IF($M291=2,IF(ISERROR(VLOOKUP(DATA!$P291,'M2'!$A:$C,Q$2,FALSE)),"NOT PRESENT",VLOOKUP(DATA!$P291,'M2'!$A:$C,Q$2,FALSE)),IF($M291=0,IF(ISERROR(VLOOKUP($P291,'M1'!$A:$C,Q$2,FALSE)),IF(ISERROR(VLOOKUP(DATA!$P291,'M2'!$A:$C,Q$2,FALSE)),"NOT PRESENT",VLOOKUP(DATA!$P291,'M2'!$A:$C,Q$2,FALSE)),VLOOKUP($P291,'M1'!$A:$C,Q$2,FALSE)),"SPECIFY METHOD")))</f>
        <v>Orthasterias koehleri</v>
      </c>
      <c r="R291" s="21" t="str">
        <f>IF($M291=1,IF(ISERROR(VLOOKUP($P291,'M1'!$A:$C,R$2,FALSE)),"NOT PRESENT",VLOOKUP($P291,'M1'!$A:$C,R$2,FALSE)),IF($M291=2,IF(ISERROR(VLOOKUP(DATA!$P291,'M2'!$A:$C,R$2,FALSE)),"NOT PRESENT",VLOOKUP(DATA!$P291,'M2'!$A:$C,R$2,FALSE)),IF($M291=0,IF(ISERROR(VLOOKUP($P291,'M1'!$A:$C,R$2,FALSE)),IF(ISERROR(VLOOKUP(DATA!$P291,'M2'!$A:$C,R$2,FALSE)),"NOT PRESENT",VLOOKUP(DATA!$P291,'M2'!$A:$C,R$2,FALSE)),VLOOKUP($P291,'M1'!$A:$C,R$2,FALSE)),"SPECIFY METHOD")))</f>
        <v>Rainbow star</v>
      </c>
      <c r="S291" s="28">
        <f t="shared" si="500"/>
        <v>1</v>
      </c>
      <c r="T291" s="20">
        <v>0</v>
      </c>
      <c r="U291" s="20"/>
      <c r="V291" s="20"/>
      <c r="W291" s="20"/>
      <c r="X291" s="20"/>
      <c r="Y291" s="20"/>
      <c r="Z291" s="20">
        <v>1</v>
      </c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</row>
    <row r="292" spans="1:68" ht="12.75" customHeight="1">
      <c r="A292" s="21">
        <f t="shared" si="497"/>
        <v>290</v>
      </c>
      <c r="B292" s="20" t="str">
        <f t="shared" ref="B292:D292" si="563">IF(ISERROR(B291),IF(ISERROR(B290),IF(ISERROR(B289),"BLANK",B289),B290),B291)</f>
        <v>Claire Attridge</v>
      </c>
      <c r="C292" s="20" t="str">
        <f t="shared" si="563"/>
        <v>Em Lim</v>
      </c>
      <c r="D292" s="20" t="str">
        <f t="shared" si="563"/>
        <v>BMSC2</v>
      </c>
      <c r="E292" s="21" t="str">
        <f>IF(ISERROR(VLOOKUP($D292,SITES!$A:$E,2,FALSE)),"",VLOOKUP($D292,SITES!$A:$E,2,FALSE))</f>
        <v>Kirby</v>
      </c>
      <c r="F292" s="19">
        <f>IF(ISERROR(VLOOKUP($D292,SITES!$A:$E,3,FALSE)),"",VLOOKUP($D292,SITES!$A:$E,3,FALSE))</f>
        <v>48.850399017333899</v>
      </c>
      <c r="G292" s="22">
        <f>IF(ISERROR(VLOOKUP($D292,SITES!$A:$E,4,FALSE)),"",VLOOKUP($D292,SITES!$A:$E,4,FALSE))</f>
        <v>-125.198768615722</v>
      </c>
      <c r="H292" s="23">
        <f t="shared" ref="H292:N292" si="564">IF(ISERROR(H291),IF(ISERROR(H290),IF(ISERROR(H289),"BLANK",H289),H290),H291)</f>
        <v>45411</v>
      </c>
      <c r="I292" s="20">
        <f t="shared" si="564"/>
        <v>3.5</v>
      </c>
      <c r="J292" s="20" t="str">
        <f t="shared" si="564"/>
        <v>N</v>
      </c>
      <c r="K292" s="27">
        <f t="shared" si="564"/>
        <v>0.61875000000000002</v>
      </c>
      <c r="L292" s="20">
        <f t="shared" si="564"/>
        <v>4</v>
      </c>
      <c r="M292" s="20">
        <f t="shared" si="564"/>
        <v>2</v>
      </c>
      <c r="N292" s="20">
        <f t="shared" si="564"/>
        <v>2</v>
      </c>
      <c r="O292" s="20">
        <v>32</v>
      </c>
      <c r="P292" s="20" t="s">
        <v>39</v>
      </c>
      <c r="Q292" s="21" t="str">
        <f>IF($M292=1,IF(ISERROR(VLOOKUP($P292,'M1'!$A:$C,Q$2,FALSE)),"NOT PRESENT",VLOOKUP($P292,'M1'!$A:$C,Q$2,FALSE)),IF($M292=2,IF(ISERROR(VLOOKUP(DATA!$P292,'M2'!$A:$C,Q$2,FALSE)),"NOT PRESENT",VLOOKUP(DATA!$P292,'M2'!$A:$C,Q$2,FALSE)),IF($M292=0,IF(ISERROR(VLOOKUP($P292,'M1'!$A:$C,Q$2,FALSE)),IF(ISERROR(VLOOKUP(DATA!$P292,'M2'!$A:$C,Q$2,FALSE)),"NOT PRESENT",VLOOKUP(DATA!$P292,'M2'!$A:$C,Q$2,FALSE)),VLOOKUP($P292,'M1'!$A:$C,Q$2,FALSE)),"SPECIFY METHOD")))</f>
        <v>Dermasterias imbricata</v>
      </c>
      <c r="R292" s="21" t="str">
        <f>IF($M292=1,IF(ISERROR(VLOOKUP($P292,'M1'!$A:$C,R$2,FALSE)),"NOT PRESENT",VLOOKUP($P292,'M1'!$A:$C,R$2,FALSE)),IF($M292=2,IF(ISERROR(VLOOKUP(DATA!$P292,'M2'!$A:$C,R$2,FALSE)),"NOT PRESENT",VLOOKUP(DATA!$P292,'M2'!$A:$C,R$2,FALSE)),IF($M292=0,IF(ISERROR(VLOOKUP($P292,'M1'!$A:$C,R$2,FALSE)),IF(ISERROR(VLOOKUP(DATA!$P292,'M2'!$A:$C,R$2,FALSE)),"NOT PRESENT",VLOOKUP(DATA!$P292,'M2'!$A:$C,R$2,FALSE)),VLOOKUP($P292,'M1'!$A:$C,R$2,FALSE)),"SPECIFY METHOD")))</f>
        <v>Leather star</v>
      </c>
      <c r="S292" s="28">
        <f t="shared" si="500"/>
        <v>1</v>
      </c>
      <c r="T292" s="20">
        <v>0</v>
      </c>
      <c r="U292" s="20"/>
      <c r="V292" s="20"/>
      <c r="W292" s="20"/>
      <c r="X292" s="20"/>
      <c r="Y292" s="20">
        <v>1</v>
      </c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</row>
    <row r="293" spans="1:68" ht="12.75" customHeight="1">
      <c r="A293" s="21">
        <f t="shared" si="497"/>
        <v>291</v>
      </c>
      <c r="B293" s="20" t="str">
        <f t="shared" ref="B293:D293" si="565">IF(ISERROR(B292),IF(ISERROR(B291),IF(ISERROR(B290),"BLANK",B290),B291),B292)</f>
        <v>Claire Attridge</v>
      </c>
      <c r="C293" s="20" t="str">
        <f t="shared" si="565"/>
        <v>Em Lim</v>
      </c>
      <c r="D293" s="20" t="str">
        <f t="shared" si="565"/>
        <v>BMSC2</v>
      </c>
      <c r="E293" s="21" t="str">
        <f>IF(ISERROR(VLOOKUP($D293,SITES!$A:$E,2,FALSE)),"",VLOOKUP($D293,SITES!$A:$E,2,FALSE))</f>
        <v>Kirby</v>
      </c>
      <c r="F293" s="19">
        <f>IF(ISERROR(VLOOKUP($D293,SITES!$A:$E,3,FALSE)),"",VLOOKUP($D293,SITES!$A:$E,3,FALSE))</f>
        <v>48.850399017333899</v>
      </c>
      <c r="G293" s="22">
        <f>IF(ISERROR(VLOOKUP($D293,SITES!$A:$E,4,FALSE)),"",VLOOKUP($D293,SITES!$A:$E,4,FALSE))</f>
        <v>-125.198768615722</v>
      </c>
      <c r="H293" s="23">
        <f t="shared" ref="H293:N293" si="566">IF(ISERROR(H292),IF(ISERROR(H291),IF(ISERROR(H290),"BLANK",H290),H291),H292)</f>
        <v>45411</v>
      </c>
      <c r="I293" s="20">
        <f t="shared" si="566"/>
        <v>3.5</v>
      </c>
      <c r="J293" s="20" t="str">
        <f t="shared" si="566"/>
        <v>N</v>
      </c>
      <c r="K293" s="27">
        <f t="shared" si="566"/>
        <v>0.61875000000000002</v>
      </c>
      <c r="L293" s="20">
        <f t="shared" si="566"/>
        <v>4</v>
      </c>
      <c r="M293" s="20">
        <f t="shared" si="566"/>
        <v>2</v>
      </c>
      <c r="N293" s="20">
        <f t="shared" si="566"/>
        <v>2</v>
      </c>
      <c r="O293" s="20">
        <v>40</v>
      </c>
      <c r="P293" s="20" t="s">
        <v>41</v>
      </c>
      <c r="Q293" s="21" t="str">
        <f>IF($M293=1,IF(ISERROR(VLOOKUP($P293,'M1'!$A:$C,Q$2,FALSE)),"NOT PRESENT",VLOOKUP($P293,'M1'!$A:$C,Q$2,FALSE)),IF($M293=2,IF(ISERROR(VLOOKUP(DATA!$P293,'M2'!$A:$C,Q$2,FALSE)),"NOT PRESENT",VLOOKUP(DATA!$P293,'M2'!$A:$C,Q$2,FALSE)),IF($M293=0,IF(ISERROR(VLOOKUP($P293,'M1'!$A:$C,Q$2,FALSE)),IF(ISERROR(VLOOKUP(DATA!$P293,'M2'!$A:$C,Q$2,FALSE)),"NOT PRESENT",VLOOKUP(DATA!$P293,'M2'!$A:$C,Q$2,FALSE)),VLOOKUP($P293,'M1'!$A:$C,Q$2,FALSE)),"SPECIFY METHOD")))</f>
        <v>Mesocentrotus franciscanus</v>
      </c>
      <c r="R293" s="21" t="str">
        <f>IF($M293=1,IF(ISERROR(VLOOKUP($P293,'M1'!$A:$C,R$2,FALSE)),"NOT PRESENT",VLOOKUP($P293,'M1'!$A:$C,R$2,FALSE)),IF($M293=2,IF(ISERROR(VLOOKUP(DATA!$P293,'M2'!$A:$C,R$2,FALSE)),"NOT PRESENT",VLOOKUP(DATA!$P293,'M2'!$A:$C,R$2,FALSE)),IF($M293=0,IF(ISERROR(VLOOKUP($P293,'M1'!$A:$C,R$2,FALSE)),IF(ISERROR(VLOOKUP(DATA!$P293,'M2'!$A:$C,R$2,FALSE)),"NOT PRESENT",VLOOKUP(DATA!$P293,'M2'!$A:$C,R$2,FALSE)),VLOOKUP($P293,'M1'!$A:$C,R$2,FALSE)),"SPECIFY METHOD")))</f>
        <v>Red sea urchin</v>
      </c>
      <c r="S293" s="28">
        <f t="shared" si="500"/>
        <v>4</v>
      </c>
      <c r="T293" s="20">
        <v>0</v>
      </c>
      <c r="U293" s="20"/>
      <c r="V293" s="20"/>
      <c r="W293" s="20">
        <v>3</v>
      </c>
      <c r="X293" s="20">
        <v>1</v>
      </c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</row>
    <row r="294" spans="1:68" ht="12.75" customHeight="1">
      <c r="A294" s="21">
        <f t="shared" si="497"/>
        <v>292</v>
      </c>
      <c r="B294" s="20" t="str">
        <f t="shared" ref="B294:D294" si="567">IF(ISERROR(B293),IF(ISERROR(B292),IF(ISERROR(B291),"BLANK",B291),B292),B293)</f>
        <v>Claire Attridge</v>
      </c>
      <c r="C294" s="20" t="str">
        <f t="shared" si="567"/>
        <v>Em Lim</v>
      </c>
      <c r="D294" s="20" t="str">
        <f t="shared" si="567"/>
        <v>BMSC2</v>
      </c>
      <c r="E294" s="21" t="str">
        <f>IF(ISERROR(VLOOKUP($D294,SITES!$A:$E,2,FALSE)),"",VLOOKUP($D294,SITES!$A:$E,2,FALSE))</f>
        <v>Kirby</v>
      </c>
      <c r="F294" s="19">
        <f>IF(ISERROR(VLOOKUP($D294,SITES!$A:$E,3,FALSE)),"",VLOOKUP($D294,SITES!$A:$E,3,FALSE))</f>
        <v>48.850399017333899</v>
      </c>
      <c r="G294" s="22">
        <f>IF(ISERROR(VLOOKUP($D294,SITES!$A:$E,4,FALSE)),"",VLOOKUP($D294,SITES!$A:$E,4,FALSE))</f>
        <v>-125.198768615722</v>
      </c>
      <c r="H294" s="23">
        <f t="shared" ref="H294:N294" si="568">IF(ISERROR(H293),IF(ISERROR(H292),IF(ISERROR(H291),"BLANK",H291),H292),H293)</f>
        <v>45411</v>
      </c>
      <c r="I294" s="20">
        <f t="shared" si="568"/>
        <v>3.5</v>
      </c>
      <c r="J294" s="20" t="str">
        <f t="shared" si="568"/>
        <v>N</v>
      </c>
      <c r="K294" s="27">
        <f t="shared" si="568"/>
        <v>0.61875000000000002</v>
      </c>
      <c r="L294" s="20">
        <f t="shared" si="568"/>
        <v>4</v>
      </c>
      <c r="M294" s="20">
        <f t="shared" si="568"/>
        <v>2</v>
      </c>
      <c r="N294" s="20">
        <f t="shared" si="568"/>
        <v>2</v>
      </c>
      <c r="O294" s="20">
        <v>48</v>
      </c>
      <c r="P294" s="20" t="s">
        <v>41</v>
      </c>
      <c r="Q294" s="21" t="str">
        <f>IF($M294=1,IF(ISERROR(VLOOKUP($P294,'M1'!$A:$C,Q$2,FALSE)),"NOT PRESENT",VLOOKUP($P294,'M1'!$A:$C,Q$2,FALSE)),IF($M294=2,IF(ISERROR(VLOOKUP(DATA!$P294,'M2'!$A:$C,Q$2,FALSE)),"NOT PRESENT",VLOOKUP(DATA!$P294,'M2'!$A:$C,Q$2,FALSE)),IF($M294=0,IF(ISERROR(VLOOKUP($P294,'M1'!$A:$C,Q$2,FALSE)),IF(ISERROR(VLOOKUP(DATA!$P294,'M2'!$A:$C,Q$2,FALSE)),"NOT PRESENT",VLOOKUP(DATA!$P294,'M2'!$A:$C,Q$2,FALSE)),VLOOKUP($P294,'M1'!$A:$C,Q$2,FALSE)),"SPECIFY METHOD")))</f>
        <v>Mesocentrotus franciscanus</v>
      </c>
      <c r="R294" s="21" t="str">
        <f>IF($M294=1,IF(ISERROR(VLOOKUP($P294,'M1'!$A:$C,R$2,FALSE)),"NOT PRESENT",VLOOKUP($P294,'M1'!$A:$C,R$2,FALSE)),IF($M294=2,IF(ISERROR(VLOOKUP(DATA!$P294,'M2'!$A:$C,R$2,FALSE)),"NOT PRESENT",VLOOKUP(DATA!$P294,'M2'!$A:$C,R$2,FALSE)),IF($M294=0,IF(ISERROR(VLOOKUP($P294,'M1'!$A:$C,R$2,FALSE)),IF(ISERROR(VLOOKUP(DATA!$P294,'M2'!$A:$C,R$2,FALSE)),"NOT PRESENT",VLOOKUP(DATA!$P294,'M2'!$A:$C,R$2,FALSE)),VLOOKUP($P294,'M1'!$A:$C,R$2,FALSE)),"SPECIFY METHOD")))</f>
        <v>Red sea urchin</v>
      </c>
      <c r="S294" s="28">
        <f t="shared" si="500"/>
        <v>4</v>
      </c>
      <c r="T294" s="20">
        <v>0</v>
      </c>
      <c r="U294" s="20"/>
      <c r="V294" s="20">
        <v>1</v>
      </c>
      <c r="W294" s="20">
        <v>1</v>
      </c>
      <c r="X294" s="20">
        <v>2</v>
      </c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</row>
    <row r="295" spans="1:68" ht="12.75" customHeight="1">
      <c r="A295" s="41">
        <f t="shared" si="497"/>
        <v>293</v>
      </c>
      <c r="B295" s="42" t="s">
        <v>75</v>
      </c>
      <c r="C295" s="42" t="s">
        <v>35</v>
      </c>
      <c r="D295" s="42" t="s">
        <v>81</v>
      </c>
      <c r="E295" s="41" t="str">
        <f>IF(ISERROR(VLOOKUP($D295,SITES!$A:$E,2,FALSE)),"",VLOOKUP($D295,SITES!$A:$E,2,FALSE))</f>
        <v>Dixon SW</v>
      </c>
      <c r="F295" s="43">
        <f>IF(ISERROR(VLOOKUP($D295,SITES!$A:$E,3,FALSE)),"",VLOOKUP($D295,SITES!$A:$E,3,FALSE))</f>
        <v>48.85205078125</v>
      </c>
      <c r="G295" s="44">
        <f>IF(ISERROR(VLOOKUP($D295,SITES!$A:$E,4,FALSE)),"",VLOOKUP($D295,SITES!$A:$E,4,FALSE))</f>
        <v>-125.123565673828</v>
      </c>
      <c r="H295" s="45">
        <v>45412</v>
      </c>
      <c r="I295" s="42">
        <v>3.5</v>
      </c>
      <c r="J295" s="42" t="s">
        <v>45</v>
      </c>
      <c r="K295" s="46">
        <v>0.40347222222222223</v>
      </c>
      <c r="L295" s="42">
        <v>6.5</v>
      </c>
      <c r="M295" s="42">
        <v>2</v>
      </c>
      <c r="N295" s="42">
        <v>2</v>
      </c>
      <c r="O295" s="42">
        <v>0</v>
      </c>
      <c r="P295" s="42" t="s">
        <v>41</v>
      </c>
      <c r="Q295" s="41" t="str">
        <f>IF($M295=1,IF(ISERROR(VLOOKUP($P295,'M1'!$A:$C,Q$2,FALSE)),"NOT PRESENT",VLOOKUP($P295,'M1'!$A:$C,Q$2,FALSE)),IF($M295=2,IF(ISERROR(VLOOKUP(DATA!$P295,'M2'!$A:$C,Q$2,FALSE)),"NOT PRESENT",VLOOKUP(DATA!$P295,'M2'!$A:$C,Q$2,FALSE)),IF($M295=0,IF(ISERROR(VLOOKUP($P295,'M1'!$A:$C,Q$2,FALSE)),IF(ISERROR(VLOOKUP(DATA!$P295,'M2'!$A:$C,Q$2,FALSE)),"NOT PRESENT",VLOOKUP(DATA!$P295,'M2'!$A:$C,Q$2,FALSE)),VLOOKUP($P295,'M1'!$A:$C,Q$2,FALSE)),"SPECIFY METHOD")))</f>
        <v>Mesocentrotus franciscanus</v>
      </c>
      <c r="R295" s="41" t="str">
        <f>IF($M295=1,IF(ISERROR(VLOOKUP($P295,'M1'!$A:$C,R$2,FALSE)),"NOT PRESENT",VLOOKUP($P295,'M1'!$A:$C,R$2,FALSE)),IF($M295=2,IF(ISERROR(VLOOKUP(DATA!$P295,'M2'!$A:$C,R$2,FALSE)),"NOT PRESENT",VLOOKUP(DATA!$P295,'M2'!$A:$C,R$2,FALSE)),IF($M295=0,IF(ISERROR(VLOOKUP($P295,'M1'!$A:$C,R$2,FALSE)),IF(ISERROR(VLOOKUP(DATA!$P295,'M2'!$A:$C,R$2,FALSE)),"NOT PRESENT",VLOOKUP(DATA!$P295,'M2'!$A:$C,R$2,FALSE)),VLOOKUP($P295,'M1'!$A:$C,R$2,FALSE)),"SPECIFY METHOD")))</f>
        <v>Red sea urchin</v>
      </c>
      <c r="S295" s="47">
        <f t="shared" si="500"/>
        <v>14</v>
      </c>
      <c r="T295" s="42">
        <v>0</v>
      </c>
      <c r="U295" s="42">
        <v>3</v>
      </c>
      <c r="V295" s="42">
        <v>7</v>
      </c>
      <c r="W295" s="42">
        <v>2</v>
      </c>
      <c r="X295" s="42">
        <v>2</v>
      </c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  <c r="BO295" s="42"/>
      <c r="BP295" s="42"/>
    </row>
    <row r="296" spans="1:68" ht="12.75" customHeight="1">
      <c r="A296" s="41">
        <f t="shared" si="497"/>
        <v>294</v>
      </c>
      <c r="B296" s="42" t="str">
        <f t="shared" ref="B296:D296" si="569">IF(ISERROR(B295),IF(ISERROR(B294),IF(ISERROR(B293),"BLANK",B293),B294),B295)</f>
        <v>Valesca de Groot</v>
      </c>
      <c r="C296" s="42" t="str">
        <f t="shared" si="569"/>
        <v>Em Lim</v>
      </c>
      <c r="D296" s="42" t="str">
        <f t="shared" si="569"/>
        <v>BMSC21</v>
      </c>
      <c r="E296" s="41" t="str">
        <f>IF(ISERROR(VLOOKUP($D296,SITES!$A:$E,2,FALSE)),"",VLOOKUP($D296,SITES!$A:$E,2,FALSE))</f>
        <v>Dixon SW</v>
      </c>
      <c r="F296" s="43">
        <f>IF(ISERROR(VLOOKUP($D296,SITES!$A:$E,3,FALSE)),"",VLOOKUP($D296,SITES!$A:$E,3,FALSE))</f>
        <v>48.85205078125</v>
      </c>
      <c r="G296" s="44">
        <f>IF(ISERROR(VLOOKUP($D296,SITES!$A:$E,4,FALSE)),"",VLOOKUP($D296,SITES!$A:$E,4,FALSE))</f>
        <v>-125.123565673828</v>
      </c>
      <c r="H296" s="45">
        <f t="shared" ref="H296:N296" si="570">IF(ISERROR(H295),IF(ISERROR(H294),IF(ISERROR(H293),"BLANK",H293),H294),H295)</f>
        <v>45412</v>
      </c>
      <c r="I296" s="42">
        <f t="shared" si="570"/>
        <v>3.5</v>
      </c>
      <c r="J296" s="42" t="str">
        <f t="shared" si="570"/>
        <v>E</v>
      </c>
      <c r="K296" s="46">
        <f t="shared" si="570"/>
        <v>0.40347222222222223</v>
      </c>
      <c r="L296" s="42">
        <f t="shared" si="570"/>
        <v>6.5</v>
      </c>
      <c r="M296" s="42">
        <f t="shared" si="570"/>
        <v>2</v>
      </c>
      <c r="N296" s="42">
        <f t="shared" si="570"/>
        <v>2</v>
      </c>
      <c r="O296" s="42">
        <v>16</v>
      </c>
      <c r="P296" s="42" t="s">
        <v>41</v>
      </c>
      <c r="Q296" s="41" t="str">
        <f>IF($M296=1,IF(ISERROR(VLOOKUP($P296,'M1'!$A:$C,Q$2,FALSE)),"NOT PRESENT",VLOOKUP($P296,'M1'!$A:$C,Q$2,FALSE)),IF($M296=2,IF(ISERROR(VLOOKUP(DATA!$P296,'M2'!$A:$C,Q$2,FALSE)),"NOT PRESENT",VLOOKUP(DATA!$P296,'M2'!$A:$C,Q$2,FALSE)),IF($M296=0,IF(ISERROR(VLOOKUP($P296,'M1'!$A:$C,Q$2,FALSE)),IF(ISERROR(VLOOKUP(DATA!$P296,'M2'!$A:$C,Q$2,FALSE)),"NOT PRESENT",VLOOKUP(DATA!$P296,'M2'!$A:$C,Q$2,FALSE)),VLOOKUP($P296,'M1'!$A:$C,Q$2,FALSE)),"SPECIFY METHOD")))</f>
        <v>Mesocentrotus franciscanus</v>
      </c>
      <c r="R296" s="41" t="str">
        <f>IF($M296=1,IF(ISERROR(VLOOKUP($P296,'M1'!$A:$C,R$2,FALSE)),"NOT PRESENT",VLOOKUP($P296,'M1'!$A:$C,R$2,FALSE)),IF($M296=2,IF(ISERROR(VLOOKUP(DATA!$P296,'M2'!$A:$C,R$2,FALSE)),"NOT PRESENT",VLOOKUP(DATA!$P296,'M2'!$A:$C,R$2,FALSE)),IF($M296=0,IF(ISERROR(VLOOKUP($P296,'M1'!$A:$C,R$2,FALSE)),IF(ISERROR(VLOOKUP(DATA!$P296,'M2'!$A:$C,R$2,FALSE)),"NOT PRESENT",VLOOKUP(DATA!$P296,'M2'!$A:$C,R$2,FALSE)),VLOOKUP($P296,'M1'!$A:$C,R$2,FALSE)),"SPECIFY METHOD")))</f>
        <v>Red sea urchin</v>
      </c>
      <c r="S296" s="47">
        <f t="shared" si="500"/>
        <v>7</v>
      </c>
      <c r="T296" s="42">
        <v>0</v>
      </c>
      <c r="U296" s="42">
        <v>2</v>
      </c>
      <c r="V296" s="42">
        <v>5</v>
      </c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</row>
    <row r="297" spans="1:68" ht="12.75" customHeight="1">
      <c r="A297" s="41">
        <f t="shared" si="497"/>
        <v>295</v>
      </c>
      <c r="B297" s="42" t="str">
        <f t="shared" ref="B297:D297" si="571">IF(ISERROR(B296),IF(ISERROR(B295),IF(ISERROR(B294),"BLANK",B294),B295),B296)</f>
        <v>Valesca de Groot</v>
      </c>
      <c r="C297" s="42" t="str">
        <f t="shared" si="571"/>
        <v>Em Lim</v>
      </c>
      <c r="D297" s="42" t="str">
        <f t="shared" si="571"/>
        <v>BMSC21</v>
      </c>
      <c r="E297" s="41" t="str">
        <f>IF(ISERROR(VLOOKUP($D297,SITES!$A:$E,2,FALSE)),"",VLOOKUP($D297,SITES!$A:$E,2,FALSE))</f>
        <v>Dixon SW</v>
      </c>
      <c r="F297" s="43">
        <f>IF(ISERROR(VLOOKUP($D297,SITES!$A:$E,3,FALSE)),"",VLOOKUP($D297,SITES!$A:$E,3,FALSE))</f>
        <v>48.85205078125</v>
      </c>
      <c r="G297" s="44">
        <f>IF(ISERROR(VLOOKUP($D297,SITES!$A:$E,4,FALSE)),"",VLOOKUP($D297,SITES!$A:$E,4,FALSE))</f>
        <v>-125.123565673828</v>
      </c>
      <c r="H297" s="45">
        <f t="shared" ref="H297:N297" si="572">IF(ISERROR(H296),IF(ISERROR(H295),IF(ISERROR(H294),"BLANK",H294),H295),H296)</f>
        <v>45412</v>
      </c>
      <c r="I297" s="42">
        <f t="shared" si="572"/>
        <v>3.5</v>
      </c>
      <c r="J297" s="42" t="str">
        <f t="shared" si="572"/>
        <v>E</v>
      </c>
      <c r="K297" s="46">
        <f t="shared" si="572"/>
        <v>0.40347222222222223</v>
      </c>
      <c r="L297" s="42">
        <f t="shared" si="572"/>
        <v>6.5</v>
      </c>
      <c r="M297" s="42">
        <f t="shared" si="572"/>
        <v>2</v>
      </c>
      <c r="N297" s="42">
        <f t="shared" si="572"/>
        <v>2</v>
      </c>
      <c r="O297" s="42">
        <v>32</v>
      </c>
      <c r="P297" s="42" t="s">
        <v>41</v>
      </c>
      <c r="Q297" s="41" t="str">
        <f>IF($M297=1,IF(ISERROR(VLOOKUP($P297,'M1'!$A:$C,Q$2,FALSE)),"NOT PRESENT",VLOOKUP($P297,'M1'!$A:$C,Q$2,FALSE)),IF($M297=2,IF(ISERROR(VLOOKUP(DATA!$P297,'M2'!$A:$C,Q$2,FALSE)),"NOT PRESENT",VLOOKUP(DATA!$P297,'M2'!$A:$C,Q$2,FALSE)),IF($M297=0,IF(ISERROR(VLOOKUP($P297,'M1'!$A:$C,Q$2,FALSE)),IF(ISERROR(VLOOKUP(DATA!$P297,'M2'!$A:$C,Q$2,FALSE)),"NOT PRESENT",VLOOKUP(DATA!$P297,'M2'!$A:$C,Q$2,FALSE)),VLOOKUP($P297,'M1'!$A:$C,Q$2,FALSE)),"SPECIFY METHOD")))</f>
        <v>Mesocentrotus franciscanus</v>
      </c>
      <c r="R297" s="41" t="str">
        <f>IF($M297=1,IF(ISERROR(VLOOKUP($P297,'M1'!$A:$C,R$2,FALSE)),"NOT PRESENT",VLOOKUP($P297,'M1'!$A:$C,R$2,FALSE)),IF($M297=2,IF(ISERROR(VLOOKUP(DATA!$P297,'M2'!$A:$C,R$2,FALSE)),"NOT PRESENT",VLOOKUP(DATA!$P297,'M2'!$A:$C,R$2,FALSE)),IF($M297=0,IF(ISERROR(VLOOKUP($P297,'M1'!$A:$C,R$2,FALSE)),IF(ISERROR(VLOOKUP(DATA!$P297,'M2'!$A:$C,R$2,FALSE)),"NOT PRESENT",VLOOKUP(DATA!$P297,'M2'!$A:$C,R$2,FALSE)),VLOOKUP($P297,'M1'!$A:$C,R$2,FALSE)),"SPECIFY METHOD")))</f>
        <v>Red sea urchin</v>
      </c>
      <c r="S297" s="47">
        <f t="shared" si="500"/>
        <v>0</v>
      </c>
      <c r="T297" s="42">
        <v>0</v>
      </c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</row>
    <row r="298" spans="1:68" ht="12.75" customHeight="1">
      <c r="A298" s="41">
        <f t="shared" si="497"/>
        <v>296</v>
      </c>
      <c r="B298" s="42" t="str">
        <f t="shared" ref="B298:D298" si="573">IF(ISERROR(B297),IF(ISERROR(B296),IF(ISERROR(B295),"BLANK",B295),B296),B297)</f>
        <v>Valesca de Groot</v>
      </c>
      <c r="C298" s="42" t="str">
        <f t="shared" si="573"/>
        <v>Em Lim</v>
      </c>
      <c r="D298" s="42" t="str">
        <f t="shared" si="573"/>
        <v>BMSC21</v>
      </c>
      <c r="E298" s="41" t="str">
        <f>IF(ISERROR(VLOOKUP($D298,SITES!$A:$E,2,FALSE)),"",VLOOKUP($D298,SITES!$A:$E,2,FALSE))</f>
        <v>Dixon SW</v>
      </c>
      <c r="F298" s="43">
        <f>IF(ISERROR(VLOOKUP($D298,SITES!$A:$E,3,FALSE)),"",VLOOKUP($D298,SITES!$A:$E,3,FALSE))</f>
        <v>48.85205078125</v>
      </c>
      <c r="G298" s="44">
        <f>IF(ISERROR(VLOOKUP($D298,SITES!$A:$E,4,FALSE)),"",VLOOKUP($D298,SITES!$A:$E,4,FALSE))</f>
        <v>-125.123565673828</v>
      </c>
      <c r="H298" s="45">
        <f t="shared" ref="H298:N298" si="574">IF(ISERROR(H297),IF(ISERROR(H296),IF(ISERROR(H295),"BLANK",H295),H296),H297)</f>
        <v>45412</v>
      </c>
      <c r="I298" s="42">
        <f t="shared" si="574"/>
        <v>3.5</v>
      </c>
      <c r="J298" s="42" t="str">
        <f t="shared" si="574"/>
        <v>E</v>
      </c>
      <c r="K298" s="46">
        <f t="shared" si="574"/>
        <v>0.40347222222222223</v>
      </c>
      <c r="L298" s="42">
        <f t="shared" si="574"/>
        <v>6.5</v>
      </c>
      <c r="M298" s="42">
        <f t="shared" si="574"/>
        <v>2</v>
      </c>
      <c r="N298" s="42">
        <f t="shared" si="574"/>
        <v>2</v>
      </c>
      <c r="O298" s="42">
        <v>48</v>
      </c>
      <c r="P298" s="42" t="s">
        <v>41</v>
      </c>
      <c r="Q298" s="41" t="str">
        <f>IF($M298=1,IF(ISERROR(VLOOKUP($P298,'M1'!$A:$C,Q$2,FALSE)),"NOT PRESENT",VLOOKUP($P298,'M1'!$A:$C,Q$2,FALSE)),IF($M298=2,IF(ISERROR(VLOOKUP(DATA!$P298,'M2'!$A:$C,Q$2,FALSE)),"NOT PRESENT",VLOOKUP(DATA!$P298,'M2'!$A:$C,Q$2,FALSE)),IF($M298=0,IF(ISERROR(VLOOKUP($P298,'M1'!$A:$C,Q$2,FALSE)),IF(ISERROR(VLOOKUP(DATA!$P298,'M2'!$A:$C,Q$2,FALSE)),"NOT PRESENT",VLOOKUP(DATA!$P298,'M2'!$A:$C,Q$2,FALSE)),VLOOKUP($P298,'M1'!$A:$C,Q$2,FALSE)),"SPECIFY METHOD")))</f>
        <v>Mesocentrotus franciscanus</v>
      </c>
      <c r="R298" s="41" t="str">
        <f>IF($M298=1,IF(ISERROR(VLOOKUP($P298,'M1'!$A:$C,R$2,FALSE)),"NOT PRESENT",VLOOKUP($P298,'M1'!$A:$C,R$2,FALSE)),IF($M298=2,IF(ISERROR(VLOOKUP(DATA!$P298,'M2'!$A:$C,R$2,FALSE)),"NOT PRESENT",VLOOKUP(DATA!$P298,'M2'!$A:$C,R$2,FALSE)),IF($M298=0,IF(ISERROR(VLOOKUP($P298,'M1'!$A:$C,R$2,FALSE)),IF(ISERROR(VLOOKUP(DATA!$P298,'M2'!$A:$C,R$2,FALSE)),"NOT PRESENT",VLOOKUP(DATA!$P298,'M2'!$A:$C,R$2,FALSE)),VLOOKUP($P298,'M1'!$A:$C,R$2,FALSE)),"SPECIFY METHOD")))</f>
        <v>Red sea urchin</v>
      </c>
      <c r="S298" s="47">
        <f t="shared" si="500"/>
        <v>6</v>
      </c>
      <c r="T298" s="42">
        <v>0</v>
      </c>
      <c r="U298" s="42"/>
      <c r="V298" s="42">
        <v>4</v>
      </c>
      <c r="W298" s="42">
        <v>2</v>
      </c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</row>
    <row r="299" spans="1:68" ht="12.75" customHeight="1">
      <c r="A299" s="41">
        <f t="shared" si="497"/>
        <v>297</v>
      </c>
      <c r="B299" s="42" t="str">
        <f t="shared" ref="B299:D299" si="575">IF(ISERROR(B298),IF(ISERROR(B297),IF(ISERROR(B296),"BLANK",B296),B297),B298)</f>
        <v>Valesca de Groot</v>
      </c>
      <c r="C299" s="42" t="str">
        <f t="shared" si="575"/>
        <v>Em Lim</v>
      </c>
      <c r="D299" s="42" t="str">
        <f t="shared" si="575"/>
        <v>BMSC21</v>
      </c>
      <c r="E299" s="41" t="str">
        <f>IF(ISERROR(VLOOKUP($D299,SITES!$A:$E,2,FALSE)),"",VLOOKUP($D299,SITES!$A:$E,2,FALSE))</f>
        <v>Dixon SW</v>
      </c>
      <c r="F299" s="43">
        <f>IF(ISERROR(VLOOKUP($D299,SITES!$A:$E,3,FALSE)),"",VLOOKUP($D299,SITES!$A:$E,3,FALSE))</f>
        <v>48.85205078125</v>
      </c>
      <c r="G299" s="44">
        <f>IF(ISERROR(VLOOKUP($D299,SITES!$A:$E,4,FALSE)),"",VLOOKUP($D299,SITES!$A:$E,4,FALSE))</f>
        <v>-125.123565673828</v>
      </c>
      <c r="H299" s="45">
        <f t="shared" ref="H299:N299" si="576">IF(ISERROR(H298),IF(ISERROR(H297),IF(ISERROR(H296),"BLANK",H296),H297),H298)</f>
        <v>45412</v>
      </c>
      <c r="I299" s="42">
        <f t="shared" si="576"/>
        <v>3.5</v>
      </c>
      <c r="J299" s="42" t="str">
        <f t="shared" si="576"/>
        <v>E</v>
      </c>
      <c r="K299" s="46">
        <f t="shared" si="576"/>
        <v>0.40347222222222223</v>
      </c>
      <c r="L299" s="42">
        <f t="shared" si="576"/>
        <v>6.5</v>
      </c>
      <c r="M299" s="42">
        <f t="shared" si="576"/>
        <v>2</v>
      </c>
      <c r="N299" s="42">
        <f t="shared" si="576"/>
        <v>2</v>
      </c>
      <c r="O299" s="42">
        <v>8</v>
      </c>
      <c r="P299" s="42" t="s">
        <v>41</v>
      </c>
      <c r="Q299" s="41" t="str">
        <f>IF($M299=1,IF(ISERROR(VLOOKUP($P299,'M1'!$A:$C,Q$2,FALSE)),"NOT PRESENT",VLOOKUP($P299,'M1'!$A:$C,Q$2,FALSE)),IF($M299=2,IF(ISERROR(VLOOKUP(DATA!$P299,'M2'!$A:$C,Q$2,FALSE)),"NOT PRESENT",VLOOKUP(DATA!$P299,'M2'!$A:$C,Q$2,FALSE)),IF($M299=0,IF(ISERROR(VLOOKUP($P299,'M1'!$A:$C,Q$2,FALSE)),IF(ISERROR(VLOOKUP(DATA!$P299,'M2'!$A:$C,Q$2,FALSE)),"NOT PRESENT",VLOOKUP(DATA!$P299,'M2'!$A:$C,Q$2,FALSE)),VLOOKUP($P299,'M1'!$A:$C,Q$2,FALSE)),"SPECIFY METHOD")))</f>
        <v>Mesocentrotus franciscanus</v>
      </c>
      <c r="R299" s="41" t="str">
        <f>IF($M299=1,IF(ISERROR(VLOOKUP($P299,'M1'!$A:$C,R$2,FALSE)),"NOT PRESENT",VLOOKUP($P299,'M1'!$A:$C,R$2,FALSE)),IF($M299=2,IF(ISERROR(VLOOKUP(DATA!$P299,'M2'!$A:$C,R$2,FALSE)),"NOT PRESENT",VLOOKUP(DATA!$P299,'M2'!$A:$C,R$2,FALSE)),IF($M299=0,IF(ISERROR(VLOOKUP($P299,'M1'!$A:$C,R$2,FALSE)),IF(ISERROR(VLOOKUP(DATA!$P299,'M2'!$A:$C,R$2,FALSE)),"NOT PRESENT",VLOOKUP(DATA!$P299,'M2'!$A:$C,R$2,FALSE)),VLOOKUP($P299,'M1'!$A:$C,R$2,FALSE)),"SPECIFY METHOD")))</f>
        <v>Red sea urchin</v>
      </c>
      <c r="S299" s="47">
        <f t="shared" si="500"/>
        <v>7</v>
      </c>
      <c r="T299" s="42">
        <v>0</v>
      </c>
      <c r="U299" s="42"/>
      <c r="V299" s="42">
        <v>4</v>
      </c>
      <c r="W299" s="42">
        <v>3</v>
      </c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</row>
    <row r="300" spans="1:68" ht="12.75" customHeight="1">
      <c r="A300" s="41">
        <f t="shared" si="497"/>
        <v>298</v>
      </c>
      <c r="B300" s="42" t="str">
        <f t="shared" ref="B300:D300" si="577">IF(ISERROR(B299),IF(ISERROR(B298),IF(ISERROR(B297),"BLANK",B297),B298),B299)</f>
        <v>Valesca de Groot</v>
      </c>
      <c r="C300" s="42" t="str">
        <f t="shared" si="577"/>
        <v>Em Lim</v>
      </c>
      <c r="D300" s="42" t="str">
        <f t="shared" si="577"/>
        <v>BMSC21</v>
      </c>
      <c r="E300" s="41" t="str">
        <f>IF(ISERROR(VLOOKUP($D300,SITES!$A:$E,2,FALSE)),"",VLOOKUP($D300,SITES!$A:$E,2,FALSE))</f>
        <v>Dixon SW</v>
      </c>
      <c r="F300" s="43">
        <f>IF(ISERROR(VLOOKUP($D300,SITES!$A:$E,3,FALSE)),"",VLOOKUP($D300,SITES!$A:$E,3,FALSE))</f>
        <v>48.85205078125</v>
      </c>
      <c r="G300" s="44">
        <f>IF(ISERROR(VLOOKUP($D300,SITES!$A:$E,4,FALSE)),"",VLOOKUP($D300,SITES!$A:$E,4,FALSE))</f>
        <v>-125.123565673828</v>
      </c>
      <c r="H300" s="45">
        <f t="shared" ref="H300:N300" si="578">IF(ISERROR(H299),IF(ISERROR(H298),IF(ISERROR(H297),"BLANK",H297),H298),H299)</f>
        <v>45412</v>
      </c>
      <c r="I300" s="42">
        <f t="shared" si="578"/>
        <v>3.5</v>
      </c>
      <c r="J300" s="42" t="str">
        <f t="shared" si="578"/>
        <v>E</v>
      </c>
      <c r="K300" s="46">
        <f t="shared" si="578"/>
        <v>0.40347222222222223</v>
      </c>
      <c r="L300" s="42">
        <f t="shared" si="578"/>
        <v>6.5</v>
      </c>
      <c r="M300" s="42">
        <f t="shared" si="578"/>
        <v>2</v>
      </c>
      <c r="N300" s="42">
        <f t="shared" si="578"/>
        <v>2</v>
      </c>
      <c r="O300" s="42">
        <v>24</v>
      </c>
      <c r="P300" s="42" t="s">
        <v>41</v>
      </c>
      <c r="Q300" s="41" t="str">
        <f>IF($M300=1,IF(ISERROR(VLOOKUP($P300,'M1'!$A:$C,Q$2,FALSE)),"NOT PRESENT",VLOOKUP($P300,'M1'!$A:$C,Q$2,FALSE)),IF($M300=2,IF(ISERROR(VLOOKUP(DATA!$P300,'M2'!$A:$C,Q$2,FALSE)),"NOT PRESENT",VLOOKUP(DATA!$P300,'M2'!$A:$C,Q$2,FALSE)),IF($M300=0,IF(ISERROR(VLOOKUP($P300,'M1'!$A:$C,Q$2,FALSE)),IF(ISERROR(VLOOKUP(DATA!$P300,'M2'!$A:$C,Q$2,FALSE)),"NOT PRESENT",VLOOKUP(DATA!$P300,'M2'!$A:$C,Q$2,FALSE)),VLOOKUP($P300,'M1'!$A:$C,Q$2,FALSE)),"SPECIFY METHOD")))</f>
        <v>Mesocentrotus franciscanus</v>
      </c>
      <c r="R300" s="41" t="str">
        <f>IF($M300=1,IF(ISERROR(VLOOKUP($P300,'M1'!$A:$C,R$2,FALSE)),"NOT PRESENT",VLOOKUP($P300,'M1'!$A:$C,R$2,FALSE)),IF($M300=2,IF(ISERROR(VLOOKUP(DATA!$P300,'M2'!$A:$C,R$2,FALSE)),"NOT PRESENT",VLOOKUP(DATA!$P300,'M2'!$A:$C,R$2,FALSE)),IF($M300=0,IF(ISERROR(VLOOKUP($P300,'M1'!$A:$C,R$2,FALSE)),IF(ISERROR(VLOOKUP(DATA!$P300,'M2'!$A:$C,R$2,FALSE)),"NOT PRESENT",VLOOKUP(DATA!$P300,'M2'!$A:$C,R$2,FALSE)),VLOOKUP($P300,'M1'!$A:$C,R$2,FALSE)),"SPECIFY METHOD")))</f>
        <v>Red sea urchin</v>
      </c>
      <c r="S300" s="47">
        <f t="shared" si="500"/>
        <v>11</v>
      </c>
      <c r="T300" s="42">
        <v>0</v>
      </c>
      <c r="U300" s="42">
        <v>1</v>
      </c>
      <c r="V300" s="42">
        <v>4</v>
      </c>
      <c r="W300" s="42">
        <v>6</v>
      </c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</row>
    <row r="301" spans="1:68" ht="12.75" customHeight="1">
      <c r="A301" s="41">
        <f t="shared" si="497"/>
        <v>299</v>
      </c>
      <c r="B301" s="42" t="str">
        <f t="shared" ref="B301:D301" si="579">IF(ISERROR(B300),IF(ISERROR(B299),IF(ISERROR(B298),"BLANK",B298),B299),B300)</f>
        <v>Valesca de Groot</v>
      </c>
      <c r="C301" s="42" t="str">
        <f t="shared" si="579"/>
        <v>Em Lim</v>
      </c>
      <c r="D301" s="42" t="str">
        <f t="shared" si="579"/>
        <v>BMSC21</v>
      </c>
      <c r="E301" s="41" t="str">
        <f>IF(ISERROR(VLOOKUP($D301,SITES!$A:$E,2,FALSE)),"",VLOOKUP($D301,SITES!$A:$E,2,FALSE))</f>
        <v>Dixon SW</v>
      </c>
      <c r="F301" s="43">
        <f>IF(ISERROR(VLOOKUP($D301,SITES!$A:$E,3,FALSE)),"",VLOOKUP($D301,SITES!$A:$E,3,FALSE))</f>
        <v>48.85205078125</v>
      </c>
      <c r="G301" s="44">
        <f>IF(ISERROR(VLOOKUP($D301,SITES!$A:$E,4,FALSE)),"",VLOOKUP($D301,SITES!$A:$E,4,FALSE))</f>
        <v>-125.123565673828</v>
      </c>
      <c r="H301" s="45">
        <f t="shared" ref="H301:N301" si="580">IF(ISERROR(H300),IF(ISERROR(H299),IF(ISERROR(H298),"BLANK",H298),H299),H300)</f>
        <v>45412</v>
      </c>
      <c r="I301" s="42">
        <f t="shared" si="580"/>
        <v>3.5</v>
      </c>
      <c r="J301" s="42" t="str">
        <f t="shared" si="580"/>
        <v>E</v>
      </c>
      <c r="K301" s="46">
        <f t="shared" si="580"/>
        <v>0.40347222222222223</v>
      </c>
      <c r="L301" s="42">
        <f t="shared" si="580"/>
        <v>6.5</v>
      </c>
      <c r="M301" s="42">
        <f t="shared" si="580"/>
        <v>2</v>
      </c>
      <c r="N301" s="42">
        <f t="shared" si="580"/>
        <v>2</v>
      </c>
      <c r="O301" s="42">
        <v>24</v>
      </c>
      <c r="P301" s="42" t="s">
        <v>39</v>
      </c>
      <c r="Q301" s="41" t="str">
        <f>IF($M301=1,IF(ISERROR(VLOOKUP($P301,'M1'!$A:$C,Q$2,FALSE)),"NOT PRESENT",VLOOKUP($P301,'M1'!$A:$C,Q$2,FALSE)),IF($M301=2,IF(ISERROR(VLOOKUP(DATA!$P301,'M2'!$A:$C,Q$2,FALSE)),"NOT PRESENT",VLOOKUP(DATA!$P301,'M2'!$A:$C,Q$2,FALSE)),IF($M301=0,IF(ISERROR(VLOOKUP($P301,'M1'!$A:$C,Q$2,FALSE)),IF(ISERROR(VLOOKUP(DATA!$P301,'M2'!$A:$C,Q$2,FALSE)),"NOT PRESENT",VLOOKUP(DATA!$P301,'M2'!$A:$C,Q$2,FALSE)),VLOOKUP($P301,'M1'!$A:$C,Q$2,FALSE)),"SPECIFY METHOD")))</f>
        <v>Dermasterias imbricata</v>
      </c>
      <c r="R301" s="41" t="str">
        <f>IF($M301=1,IF(ISERROR(VLOOKUP($P301,'M1'!$A:$C,R$2,FALSE)),"NOT PRESENT",VLOOKUP($P301,'M1'!$A:$C,R$2,FALSE)),IF($M301=2,IF(ISERROR(VLOOKUP(DATA!$P301,'M2'!$A:$C,R$2,FALSE)),"NOT PRESENT",VLOOKUP(DATA!$P301,'M2'!$A:$C,R$2,FALSE)),IF($M301=0,IF(ISERROR(VLOOKUP($P301,'M1'!$A:$C,R$2,FALSE)),IF(ISERROR(VLOOKUP(DATA!$P301,'M2'!$A:$C,R$2,FALSE)),"NOT PRESENT",VLOOKUP(DATA!$P301,'M2'!$A:$C,R$2,FALSE)),VLOOKUP($P301,'M1'!$A:$C,R$2,FALSE)),"SPECIFY METHOD")))</f>
        <v>Leather star</v>
      </c>
      <c r="S301" s="47">
        <f t="shared" si="500"/>
        <v>1</v>
      </c>
      <c r="T301" s="42">
        <v>0</v>
      </c>
      <c r="U301" s="42"/>
      <c r="V301" s="42"/>
      <c r="W301" s="42"/>
      <c r="X301" s="42">
        <v>1</v>
      </c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2"/>
      <c r="BP301" s="42"/>
    </row>
    <row r="302" spans="1:68" ht="12.75" customHeight="1">
      <c r="A302" s="41">
        <f t="shared" si="497"/>
        <v>300</v>
      </c>
      <c r="B302" s="42" t="str">
        <f t="shared" ref="B302:D302" si="581">IF(ISERROR(B301),IF(ISERROR(B300),IF(ISERROR(B299),"BLANK",B299),B300),B301)</f>
        <v>Valesca de Groot</v>
      </c>
      <c r="C302" s="42" t="str">
        <f t="shared" si="581"/>
        <v>Em Lim</v>
      </c>
      <c r="D302" s="42" t="str">
        <f t="shared" si="581"/>
        <v>BMSC21</v>
      </c>
      <c r="E302" s="41" t="str">
        <f>IF(ISERROR(VLOOKUP($D302,SITES!$A:$E,2,FALSE)),"",VLOOKUP($D302,SITES!$A:$E,2,FALSE))</f>
        <v>Dixon SW</v>
      </c>
      <c r="F302" s="43">
        <f>IF(ISERROR(VLOOKUP($D302,SITES!$A:$E,3,FALSE)),"",VLOOKUP($D302,SITES!$A:$E,3,FALSE))</f>
        <v>48.85205078125</v>
      </c>
      <c r="G302" s="44">
        <f>IF(ISERROR(VLOOKUP($D302,SITES!$A:$E,4,FALSE)),"",VLOOKUP($D302,SITES!$A:$E,4,FALSE))</f>
        <v>-125.123565673828</v>
      </c>
      <c r="H302" s="45">
        <f t="shared" ref="H302:N302" si="582">IF(ISERROR(H301),IF(ISERROR(H300),IF(ISERROR(H299),"BLANK",H299),H300),H301)</f>
        <v>45412</v>
      </c>
      <c r="I302" s="42">
        <f t="shared" si="582"/>
        <v>3.5</v>
      </c>
      <c r="J302" s="42" t="str">
        <f t="shared" si="582"/>
        <v>E</v>
      </c>
      <c r="K302" s="46">
        <f t="shared" si="582"/>
        <v>0.40347222222222223</v>
      </c>
      <c r="L302" s="42">
        <f t="shared" si="582"/>
        <v>6.5</v>
      </c>
      <c r="M302" s="42">
        <f t="shared" si="582"/>
        <v>2</v>
      </c>
      <c r="N302" s="42">
        <f t="shared" si="582"/>
        <v>2</v>
      </c>
      <c r="O302" s="42">
        <v>40</v>
      </c>
      <c r="P302" s="42" t="s">
        <v>41</v>
      </c>
      <c r="Q302" s="41" t="str">
        <f>IF($M302=1,IF(ISERROR(VLOOKUP($P302,'M1'!$A:$C,Q$2,FALSE)),"NOT PRESENT",VLOOKUP($P302,'M1'!$A:$C,Q$2,FALSE)),IF($M302=2,IF(ISERROR(VLOOKUP(DATA!$P302,'M2'!$A:$C,Q$2,FALSE)),"NOT PRESENT",VLOOKUP(DATA!$P302,'M2'!$A:$C,Q$2,FALSE)),IF($M302=0,IF(ISERROR(VLOOKUP($P302,'M1'!$A:$C,Q$2,FALSE)),IF(ISERROR(VLOOKUP(DATA!$P302,'M2'!$A:$C,Q$2,FALSE)),"NOT PRESENT",VLOOKUP(DATA!$P302,'M2'!$A:$C,Q$2,FALSE)),VLOOKUP($P302,'M1'!$A:$C,Q$2,FALSE)),"SPECIFY METHOD")))</f>
        <v>Mesocentrotus franciscanus</v>
      </c>
      <c r="R302" s="41" t="str">
        <f>IF($M302=1,IF(ISERROR(VLOOKUP($P302,'M1'!$A:$C,R$2,FALSE)),"NOT PRESENT",VLOOKUP($P302,'M1'!$A:$C,R$2,FALSE)),IF($M302=2,IF(ISERROR(VLOOKUP(DATA!$P302,'M2'!$A:$C,R$2,FALSE)),"NOT PRESENT",VLOOKUP(DATA!$P302,'M2'!$A:$C,R$2,FALSE)),IF($M302=0,IF(ISERROR(VLOOKUP($P302,'M1'!$A:$C,R$2,FALSE)),IF(ISERROR(VLOOKUP(DATA!$P302,'M2'!$A:$C,R$2,FALSE)),"NOT PRESENT",VLOOKUP(DATA!$P302,'M2'!$A:$C,R$2,FALSE)),VLOOKUP($P302,'M1'!$A:$C,R$2,FALSE)),"SPECIFY METHOD")))</f>
        <v>Red sea urchin</v>
      </c>
      <c r="S302" s="47">
        <f t="shared" si="500"/>
        <v>6</v>
      </c>
      <c r="T302" s="42">
        <v>0</v>
      </c>
      <c r="U302" s="42">
        <v>1</v>
      </c>
      <c r="V302" s="42">
        <v>3</v>
      </c>
      <c r="W302" s="42">
        <v>2</v>
      </c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2"/>
      <c r="BP302" s="42"/>
    </row>
    <row r="303" spans="1:68" ht="12.75" customHeight="1">
      <c r="A303" s="48">
        <f t="shared" si="497"/>
        <v>301</v>
      </c>
      <c r="B303" s="49" t="s">
        <v>56</v>
      </c>
      <c r="C303" s="49" t="str">
        <f>IF(ISERROR(C302),IF(ISERROR(C301),IF(ISERROR(C300),"BLANK",C300),C301),C302)</f>
        <v>Em Lim</v>
      </c>
      <c r="D303" s="49" t="s">
        <v>82</v>
      </c>
      <c r="E303" s="48" t="str">
        <f>IF(ISERROR(VLOOKUP($D303,SITES!$A:$E,2,FALSE)),"",VLOOKUP($D303,SITES!$A:$E,2,FALSE))</f>
        <v>Dixon Inside</v>
      </c>
      <c r="F303" s="50">
        <f>IF(ISERROR(VLOOKUP($D303,SITES!$A:$E,3,FALSE)),"",VLOOKUP($D303,SITES!$A:$E,3,FALSE))</f>
        <v>48.8542671203613</v>
      </c>
      <c r="G303" s="51">
        <f>IF(ISERROR(VLOOKUP($D303,SITES!$A:$E,4,FALSE)),"",VLOOKUP($D303,SITES!$A:$E,4,FALSE))</f>
        <v>-125.11703491210901</v>
      </c>
      <c r="H303" s="52">
        <f t="shared" ref="H303:H310" si="583">IF(ISERROR(H302),IF(ISERROR(H301),IF(ISERROR(H300),"BLANK",H300),H301),H302)</f>
        <v>45412</v>
      </c>
      <c r="I303" s="49">
        <v>2</v>
      </c>
      <c r="J303" s="49" t="s">
        <v>45</v>
      </c>
      <c r="K303" s="53">
        <v>0.49513888888888891</v>
      </c>
      <c r="L303" s="49">
        <v>5.5</v>
      </c>
      <c r="M303" s="49">
        <v>2</v>
      </c>
      <c r="N303" s="49">
        <v>2</v>
      </c>
      <c r="O303" s="49">
        <v>0</v>
      </c>
      <c r="P303" s="49" t="s">
        <v>40</v>
      </c>
      <c r="Q303" s="48" t="str">
        <f>IF($M303=1,IF(ISERROR(VLOOKUP($P303,'M1'!$A:$C,Q$2,FALSE)),"NOT PRESENT",VLOOKUP($P303,'M1'!$A:$C,Q$2,FALSE)),IF($M303=2,IF(ISERROR(VLOOKUP(DATA!$P303,'M2'!$A:$C,Q$2,FALSE)),"NOT PRESENT",VLOOKUP(DATA!$P303,'M2'!$A:$C,Q$2,FALSE)),IF($M303=0,IF(ISERROR(VLOOKUP($P303,'M1'!$A:$C,Q$2,FALSE)),IF(ISERROR(VLOOKUP(DATA!$P303,'M2'!$A:$C,Q$2,FALSE)),"NOT PRESENT",VLOOKUP(DATA!$P303,'M2'!$A:$C,Q$2,FALSE)),VLOOKUP($P303,'M1'!$A:$C,Q$2,FALSE)),"SPECIFY METHOD")))</f>
        <v>Patiria miniata</v>
      </c>
      <c r="R303" s="48" t="str">
        <f>IF($M303=1,IF(ISERROR(VLOOKUP($P303,'M1'!$A:$C,R$2,FALSE)),"NOT PRESENT",VLOOKUP($P303,'M1'!$A:$C,R$2,FALSE)),IF($M303=2,IF(ISERROR(VLOOKUP(DATA!$P303,'M2'!$A:$C,R$2,FALSE)),"NOT PRESENT",VLOOKUP(DATA!$P303,'M2'!$A:$C,R$2,FALSE)),IF($M303=0,IF(ISERROR(VLOOKUP($P303,'M1'!$A:$C,R$2,FALSE)),IF(ISERROR(VLOOKUP(DATA!$P303,'M2'!$A:$C,R$2,FALSE)),"NOT PRESENT",VLOOKUP(DATA!$P303,'M2'!$A:$C,R$2,FALSE)),VLOOKUP($P303,'M1'!$A:$C,R$2,FALSE)),"SPECIFY METHOD")))</f>
        <v>Bat star</v>
      </c>
      <c r="S303" s="54">
        <f t="shared" si="500"/>
        <v>1</v>
      </c>
      <c r="T303" s="49">
        <v>0</v>
      </c>
      <c r="U303" s="49"/>
      <c r="V303" s="49"/>
      <c r="W303" s="49"/>
      <c r="X303" s="49"/>
      <c r="Y303" s="49"/>
      <c r="Z303" s="49">
        <v>1</v>
      </c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</row>
    <row r="304" spans="1:68" ht="12.75" customHeight="1">
      <c r="A304" s="48">
        <f t="shared" si="497"/>
        <v>302</v>
      </c>
      <c r="B304" s="49" t="str">
        <f t="shared" ref="B304:D304" si="584">IF(ISERROR(B303),IF(ISERROR(B302),IF(ISERROR(B301),"BLANK",B301),B302),B303)</f>
        <v>Claire Attridge</v>
      </c>
      <c r="C304" s="49" t="str">
        <f t="shared" si="584"/>
        <v>Em Lim</v>
      </c>
      <c r="D304" s="49" t="str">
        <f t="shared" si="584"/>
        <v>BMSC22</v>
      </c>
      <c r="E304" s="48" t="str">
        <f>IF(ISERROR(VLOOKUP($D304,SITES!$A:$E,2,FALSE)),"",VLOOKUP($D304,SITES!$A:$E,2,FALSE))</f>
        <v>Dixon Inside</v>
      </c>
      <c r="F304" s="50">
        <f>IF(ISERROR(VLOOKUP($D304,SITES!$A:$E,3,FALSE)),"",VLOOKUP($D304,SITES!$A:$E,3,FALSE))</f>
        <v>48.8542671203613</v>
      </c>
      <c r="G304" s="51">
        <f>IF(ISERROR(VLOOKUP($D304,SITES!$A:$E,4,FALSE)),"",VLOOKUP($D304,SITES!$A:$E,4,FALSE))</f>
        <v>-125.11703491210901</v>
      </c>
      <c r="H304" s="52">
        <f t="shared" si="583"/>
        <v>45412</v>
      </c>
      <c r="I304" s="49">
        <f t="shared" ref="I304:N304" si="585">IF(ISERROR(I303),IF(ISERROR(I302),IF(ISERROR(I301),"BLANK",I301),I302),I303)</f>
        <v>2</v>
      </c>
      <c r="J304" s="49" t="str">
        <f t="shared" si="585"/>
        <v>E</v>
      </c>
      <c r="K304" s="53">
        <f t="shared" si="585"/>
        <v>0.49513888888888891</v>
      </c>
      <c r="L304" s="49">
        <f t="shared" si="585"/>
        <v>5.5</v>
      </c>
      <c r="M304" s="49">
        <f t="shared" si="585"/>
        <v>2</v>
      </c>
      <c r="N304" s="49">
        <f t="shared" si="585"/>
        <v>2</v>
      </c>
      <c r="O304" s="49">
        <v>8</v>
      </c>
      <c r="P304" s="49" t="s">
        <v>40</v>
      </c>
      <c r="Q304" s="48" t="str">
        <f>IF($M304=1,IF(ISERROR(VLOOKUP($P304,'M1'!$A:$C,Q$2,FALSE)),"NOT PRESENT",VLOOKUP($P304,'M1'!$A:$C,Q$2,FALSE)),IF($M304=2,IF(ISERROR(VLOOKUP(DATA!$P304,'M2'!$A:$C,Q$2,FALSE)),"NOT PRESENT",VLOOKUP(DATA!$P304,'M2'!$A:$C,Q$2,FALSE)),IF($M304=0,IF(ISERROR(VLOOKUP($P304,'M1'!$A:$C,Q$2,FALSE)),IF(ISERROR(VLOOKUP(DATA!$P304,'M2'!$A:$C,Q$2,FALSE)),"NOT PRESENT",VLOOKUP(DATA!$P304,'M2'!$A:$C,Q$2,FALSE)),VLOOKUP($P304,'M1'!$A:$C,Q$2,FALSE)),"SPECIFY METHOD")))</f>
        <v>Patiria miniata</v>
      </c>
      <c r="R304" s="48" t="str">
        <f>IF($M304=1,IF(ISERROR(VLOOKUP($P304,'M1'!$A:$C,R$2,FALSE)),"NOT PRESENT",VLOOKUP($P304,'M1'!$A:$C,R$2,FALSE)),IF($M304=2,IF(ISERROR(VLOOKUP(DATA!$P304,'M2'!$A:$C,R$2,FALSE)),"NOT PRESENT",VLOOKUP(DATA!$P304,'M2'!$A:$C,R$2,FALSE)),IF($M304=0,IF(ISERROR(VLOOKUP($P304,'M1'!$A:$C,R$2,FALSE)),IF(ISERROR(VLOOKUP(DATA!$P304,'M2'!$A:$C,R$2,FALSE)),"NOT PRESENT",VLOOKUP(DATA!$P304,'M2'!$A:$C,R$2,FALSE)),VLOOKUP($P304,'M1'!$A:$C,R$2,FALSE)),"SPECIFY METHOD")))</f>
        <v>Bat star</v>
      </c>
      <c r="S304" s="54">
        <f t="shared" si="500"/>
        <v>1</v>
      </c>
      <c r="T304" s="49">
        <v>0</v>
      </c>
      <c r="U304" s="49"/>
      <c r="V304" s="49"/>
      <c r="W304" s="49"/>
      <c r="X304" s="49"/>
      <c r="Y304" s="49"/>
      <c r="Z304" s="49"/>
      <c r="AA304" s="49">
        <v>1</v>
      </c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</row>
    <row r="305" spans="1:68" ht="12.75" customHeight="1">
      <c r="A305" s="48">
        <f t="shared" si="497"/>
        <v>303</v>
      </c>
      <c r="B305" s="49" t="str">
        <f t="shared" ref="B305:D305" si="586">IF(ISERROR(B304),IF(ISERROR(B303),IF(ISERROR(B302),"BLANK",B302),B303),B304)</f>
        <v>Claire Attridge</v>
      </c>
      <c r="C305" s="49" t="str">
        <f t="shared" si="586"/>
        <v>Em Lim</v>
      </c>
      <c r="D305" s="49" t="str">
        <f t="shared" si="586"/>
        <v>BMSC22</v>
      </c>
      <c r="E305" s="48" t="str">
        <f>IF(ISERROR(VLOOKUP($D305,SITES!$A:$E,2,FALSE)),"",VLOOKUP($D305,SITES!$A:$E,2,FALSE))</f>
        <v>Dixon Inside</v>
      </c>
      <c r="F305" s="50">
        <f>IF(ISERROR(VLOOKUP($D305,SITES!$A:$E,3,FALSE)),"",VLOOKUP($D305,SITES!$A:$E,3,FALSE))</f>
        <v>48.8542671203613</v>
      </c>
      <c r="G305" s="51">
        <f>IF(ISERROR(VLOOKUP($D305,SITES!$A:$E,4,FALSE)),"",VLOOKUP($D305,SITES!$A:$E,4,FALSE))</f>
        <v>-125.11703491210901</v>
      </c>
      <c r="H305" s="52">
        <f t="shared" si="583"/>
        <v>45412</v>
      </c>
      <c r="I305" s="49">
        <f t="shared" ref="I305:N305" si="587">IF(ISERROR(I304),IF(ISERROR(I303),IF(ISERROR(I302),"BLANK",I302),I303),I304)</f>
        <v>2</v>
      </c>
      <c r="J305" s="49" t="str">
        <f t="shared" si="587"/>
        <v>E</v>
      </c>
      <c r="K305" s="53">
        <f t="shared" si="587"/>
        <v>0.49513888888888891</v>
      </c>
      <c r="L305" s="49">
        <f t="shared" si="587"/>
        <v>5.5</v>
      </c>
      <c r="M305" s="49">
        <f t="shared" si="587"/>
        <v>2</v>
      </c>
      <c r="N305" s="49">
        <f t="shared" si="587"/>
        <v>2</v>
      </c>
      <c r="O305" s="49">
        <v>16</v>
      </c>
      <c r="P305" s="49" t="s">
        <v>41</v>
      </c>
      <c r="Q305" s="48" t="str">
        <f>IF($M305=1,IF(ISERROR(VLOOKUP($P305,'M1'!$A:$C,Q$2,FALSE)),"NOT PRESENT",VLOOKUP($P305,'M1'!$A:$C,Q$2,FALSE)),IF($M305=2,IF(ISERROR(VLOOKUP(DATA!$P305,'M2'!$A:$C,Q$2,FALSE)),"NOT PRESENT",VLOOKUP(DATA!$P305,'M2'!$A:$C,Q$2,FALSE)),IF($M305=0,IF(ISERROR(VLOOKUP($P305,'M1'!$A:$C,Q$2,FALSE)),IF(ISERROR(VLOOKUP(DATA!$P305,'M2'!$A:$C,Q$2,FALSE)),"NOT PRESENT",VLOOKUP(DATA!$P305,'M2'!$A:$C,Q$2,FALSE)),VLOOKUP($P305,'M1'!$A:$C,Q$2,FALSE)),"SPECIFY METHOD")))</f>
        <v>Mesocentrotus franciscanus</v>
      </c>
      <c r="R305" s="48" t="str">
        <f>IF($M305=1,IF(ISERROR(VLOOKUP($P305,'M1'!$A:$C,R$2,FALSE)),"NOT PRESENT",VLOOKUP($P305,'M1'!$A:$C,R$2,FALSE)),IF($M305=2,IF(ISERROR(VLOOKUP(DATA!$P305,'M2'!$A:$C,R$2,FALSE)),"NOT PRESENT",VLOOKUP(DATA!$P305,'M2'!$A:$C,R$2,FALSE)),IF($M305=0,IF(ISERROR(VLOOKUP($P305,'M1'!$A:$C,R$2,FALSE)),IF(ISERROR(VLOOKUP(DATA!$P305,'M2'!$A:$C,R$2,FALSE)),"NOT PRESENT",VLOOKUP(DATA!$P305,'M2'!$A:$C,R$2,FALSE)),VLOOKUP($P305,'M1'!$A:$C,R$2,FALSE)),"SPECIFY METHOD")))</f>
        <v>Red sea urchin</v>
      </c>
      <c r="S305" s="54">
        <f t="shared" si="500"/>
        <v>3</v>
      </c>
      <c r="T305" s="49">
        <v>0</v>
      </c>
      <c r="U305" s="49"/>
      <c r="V305" s="49"/>
      <c r="W305" s="49"/>
      <c r="X305" s="49">
        <v>1</v>
      </c>
      <c r="Y305" s="49">
        <v>1</v>
      </c>
      <c r="Z305" s="49">
        <v>1</v>
      </c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</row>
    <row r="306" spans="1:68" ht="12.75" customHeight="1">
      <c r="A306" s="48">
        <f t="shared" si="497"/>
        <v>304</v>
      </c>
      <c r="B306" s="49" t="str">
        <f t="shared" ref="B306:D306" si="588">IF(ISERROR(B305),IF(ISERROR(B304),IF(ISERROR(B303),"BLANK",B303),B304),B305)</f>
        <v>Claire Attridge</v>
      </c>
      <c r="C306" s="49" t="str">
        <f t="shared" si="588"/>
        <v>Em Lim</v>
      </c>
      <c r="D306" s="49" t="str">
        <f t="shared" si="588"/>
        <v>BMSC22</v>
      </c>
      <c r="E306" s="48" t="str">
        <f>IF(ISERROR(VLOOKUP($D306,SITES!$A:$E,2,FALSE)),"",VLOOKUP($D306,SITES!$A:$E,2,FALSE))</f>
        <v>Dixon Inside</v>
      </c>
      <c r="F306" s="50">
        <f>IF(ISERROR(VLOOKUP($D306,SITES!$A:$E,3,FALSE)),"",VLOOKUP($D306,SITES!$A:$E,3,FALSE))</f>
        <v>48.8542671203613</v>
      </c>
      <c r="G306" s="51">
        <f>IF(ISERROR(VLOOKUP($D306,SITES!$A:$E,4,FALSE)),"",VLOOKUP($D306,SITES!$A:$E,4,FALSE))</f>
        <v>-125.11703491210901</v>
      </c>
      <c r="H306" s="52">
        <f t="shared" si="583"/>
        <v>45412</v>
      </c>
      <c r="I306" s="49">
        <f t="shared" ref="I306:N306" si="589">IF(ISERROR(I305),IF(ISERROR(I304),IF(ISERROR(I303),"BLANK",I303),I304),I305)</f>
        <v>2</v>
      </c>
      <c r="J306" s="49" t="str">
        <f t="shared" si="589"/>
        <v>E</v>
      </c>
      <c r="K306" s="53">
        <f t="shared" si="589"/>
        <v>0.49513888888888891</v>
      </c>
      <c r="L306" s="49">
        <f t="shared" si="589"/>
        <v>5.5</v>
      </c>
      <c r="M306" s="49">
        <f t="shared" si="589"/>
        <v>2</v>
      </c>
      <c r="N306" s="49">
        <f t="shared" si="589"/>
        <v>2</v>
      </c>
      <c r="O306" s="49">
        <v>24</v>
      </c>
      <c r="P306" s="49" t="s">
        <v>39</v>
      </c>
      <c r="Q306" s="48" t="str">
        <f>IF($M306=1,IF(ISERROR(VLOOKUP($P306,'M1'!$A:$C,Q$2,FALSE)),"NOT PRESENT",VLOOKUP($P306,'M1'!$A:$C,Q$2,FALSE)),IF($M306=2,IF(ISERROR(VLOOKUP(DATA!$P306,'M2'!$A:$C,Q$2,FALSE)),"NOT PRESENT",VLOOKUP(DATA!$P306,'M2'!$A:$C,Q$2,FALSE)),IF($M306=0,IF(ISERROR(VLOOKUP($P306,'M1'!$A:$C,Q$2,FALSE)),IF(ISERROR(VLOOKUP(DATA!$P306,'M2'!$A:$C,Q$2,FALSE)),"NOT PRESENT",VLOOKUP(DATA!$P306,'M2'!$A:$C,Q$2,FALSE)),VLOOKUP($P306,'M1'!$A:$C,Q$2,FALSE)),"SPECIFY METHOD")))</f>
        <v>Dermasterias imbricata</v>
      </c>
      <c r="R306" s="48" t="str">
        <f>IF($M306=1,IF(ISERROR(VLOOKUP($P306,'M1'!$A:$C,R$2,FALSE)),"NOT PRESENT",VLOOKUP($P306,'M1'!$A:$C,R$2,FALSE)),IF($M306=2,IF(ISERROR(VLOOKUP(DATA!$P306,'M2'!$A:$C,R$2,FALSE)),"NOT PRESENT",VLOOKUP(DATA!$P306,'M2'!$A:$C,R$2,FALSE)),IF($M306=0,IF(ISERROR(VLOOKUP($P306,'M1'!$A:$C,R$2,FALSE)),IF(ISERROR(VLOOKUP(DATA!$P306,'M2'!$A:$C,R$2,FALSE)),"NOT PRESENT",VLOOKUP(DATA!$P306,'M2'!$A:$C,R$2,FALSE)),VLOOKUP($P306,'M1'!$A:$C,R$2,FALSE)),"SPECIFY METHOD")))</f>
        <v>Leather star</v>
      </c>
      <c r="S306" s="54">
        <f t="shared" si="500"/>
        <v>1</v>
      </c>
      <c r="T306" s="49">
        <v>0</v>
      </c>
      <c r="U306" s="49"/>
      <c r="V306" s="49">
        <v>1</v>
      </c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</row>
    <row r="307" spans="1:68" ht="12.75" customHeight="1">
      <c r="A307" s="48">
        <f t="shared" si="497"/>
        <v>305</v>
      </c>
      <c r="B307" s="49" t="str">
        <f t="shared" ref="B307:D307" si="590">IF(ISERROR(B306),IF(ISERROR(B305),IF(ISERROR(B304),"BLANK",B304),B305),B306)</f>
        <v>Claire Attridge</v>
      </c>
      <c r="C307" s="49" t="str">
        <f t="shared" si="590"/>
        <v>Em Lim</v>
      </c>
      <c r="D307" s="49" t="str">
        <f t="shared" si="590"/>
        <v>BMSC22</v>
      </c>
      <c r="E307" s="48" t="str">
        <f>IF(ISERROR(VLOOKUP($D307,SITES!$A:$E,2,FALSE)),"",VLOOKUP($D307,SITES!$A:$E,2,FALSE))</f>
        <v>Dixon Inside</v>
      </c>
      <c r="F307" s="50">
        <f>IF(ISERROR(VLOOKUP($D307,SITES!$A:$E,3,FALSE)),"",VLOOKUP($D307,SITES!$A:$E,3,FALSE))</f>
        <v>48.8542671203613</v>
      </c>
      <c r="G307" s="51">
        <f>IF(ISERROR(VLOOKUP($D307,SITES!$A:$E,4,FALSE)),"",VLOOKUP($D307,SITES!$A:$E,4,FALSE))</f>
        <v>-125.11703491210901</v>
      </c>
      <c r="H307" s="52">
        <f t="shared" si="583"/>
        <v>45412</v>
      </c>
      <c r="I307" s="49">
        <f t="shared" ref="I307:N307" si="591">IF(ISERROR(I306),IF(ISERROR(I305),IF(ISERROR(I304),"BLANK",I304),I305),I306)</f>
        <v>2</v>
      </c>
      <c r="J307" s="49" t="str">
        <f t="shared" si="591"/>
        <v>E</v>
      </c>
      <c r="K307" s="53">
        <f t="shared" si="591"/>
        <v>0.49513888888888891</v>
      </c>
      <c r="L307" s="49">
        <f t="shared" si="591"/>
        <v>5.5</v>
      </c>
      <c r="M307" s="49">
        <f t="shared" si="591"/>
        <v>2</v>
      </c>
      <c r="N307" s="49">
        <f t="shared" si="591"/>
        <v>2</v>
      </c>
      <c r="O307" s="49">
        <v>32</v>
      </c>
      <c r="P307" s="49" t="s">
        <v>41</v>
      </c>
      <c r="Q307" s="48" t="str">
        <f>IF($M307=1,IF(ISERROR(VLOOKUP($P307,'M1'!$A:$C,Q$2,FALSE)),"NOT PRESENT",VLOOKUP($P307,'M1'!$A:$C,Q$2,FALSE)),IF($M307=2,IF(ISERROR(VLOOKUP(DATA!$P307,'M2'!$A:$C,Q$2,FALSE)),"NOT PRESENT",VLOOKUP(DATA!$P307,'M2'!$A:$C,Q$2,FALSE)),IF($M307=0,IF(ISERROR(VLOOKUP($P307,'M1'!$A:$C,Q$2,FALSE)),IF(ISERROR(VLOOKUP(DATA!$P307,'M2'!$A:$C,Q$2,FALSE)),"NOT PRESENT",VLOOKUP(DATA!$P307,'M2'!$A:$C,Q$2,FALSE)),VLOOKUP($P307,'M1'!$A:$C,Q$2,FALSE)),"SPECIFY METHOD")))</f>
        <v>Mesocentrotus franciscanus</v>
      </c>
      <c r="R307" s="48" t="str">
        <f>IF($M307=1,IF(ISERROR(VLOOKUP($P307,'M1'!$A:$C,R$2,FALSE)),"NOT PRESENT",VLOOKUP($P307,'M1'!$A:$C,R$2,FALSE)),IF($M307=2,IF(ISERROR(VLOOKUP(DATA!$P307,'M2'!$A:$C,R$2,FALSE)),"NOT PRESENT",VLOOKUP(DATA!$P307,'M2'!$A:$C,R$2,FALSE)),IF($M307=0,IF(ISERROR(VLOOKUP($P307,'M1'!$A:$C,R$2,FALSE)),IF(ISERROR(VLOOKUP(DATA!$P307,'M2'!$A:$C,R$2,FALSE)),"NOT PRESENT",VLOOKUP(DATA!$P307,'M2'!$A:$C,R$2,FALSE)),VLOOKUP($P307,'M1'!$A:$C,R$2,FALSE)),"SPECIFY METHOD")))</f>
        <v>Red sea urchin</v>
      </c>
      <c r="S307" s="54">
        <f t="shared" si="500"/>
        <v>4</v>
      </c>
      <c r="T307" s="49">
        <v>0</v>
      </c>
      <c r="U307" s="49"/>
      <c r="V307" s="49">
        <v>1</v>
      </c>
      <c r="W307" s="49"/>
      <c r="X307" s="49">
        <v>1</v>
      </c>
      <c r="Y307" s="49">
        <v>2</v>
      </c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</row>
    <row r="308" spans="1:68" ht="12.75" customHeight="1">
      <c r="A308" s="48">
        <f t="shared" si="497"/>
        <v>306</v>
      </c>
      <c r="B308" s="49" t="str">
        <f t="shared" ref="B308:D308" si="592">IF(ISERROR(B307),IF(ISERROR(B306),IF(ISERROR(B305),"BLANK",B305),B306),B307)</f>
        <v>Claire Attridge</v>
      </c>
      <c r="C308" s="49" t="str">
        <f t="shared" si="592"/>
        <v>Em Lim</v>
      </c>
      <c r="D308" s="49" t="str">
        <f t="shared" si="592"/>
        <v>BMSC22</v>
      </c>
      <c r="E308" s="48" t="str">
        <f>IF(ISERROR(VLOOKUP($D308,SITES!$A:$E,2,FALSE)),"",VLOOKUP($D308,SITES!$A:$E,2,FALSE))</f>
        <v>Dixon Inside</v>
      </c>
      <c r="F308" s="50">
        <f>IF(ISERROR(VLOOKUP($D308,SITES!$A:$E,3,FALSE)),"",VLOOKUP($D308,SITES!$A:$E,3,FALSE))</f>
        <v>48.8542671203613</v>
      </c>
      <c r="G308" s="51">
        <f>IF(ISERROR(VLOOKUP($D308,SITES!$A:$E,4,FALSE)),"",VLOOKUP($D308,SITES!$A:$E,4,FALSE))</f>
        <v>-125.11703491210901</v>
      </c>
      <c r="H308" s="52">
        <f t="shared" si="583"/>
        <v>45412</v>
      </c>
      <c r="I308" s="49">
        <f t="shared" ref="I308:N308" si="593">IF(ISERROR(I307),IF(ISERROR(I306),IF(ISERROR(I305),"BLANK",I305),I306),I307)</f>
        <v>2</v>
      </c>
      <c r="J308" s="49" t="str">
        <f t="shared" si="593"/>
        <v>E</v>
      </c>
      <c r="K308" s="53">
        <f t="shared" si="593"/>
        <v>0.49513888888888891</v>
      </c>
      <c r="L308" s="49">
        <f t="shared" si="593"/>
        <v>5.5</v>
      </c>
      <c r="M308" s="49">
        <f t="shared" si="593"/>
        <v>2</v>
      </c>
      <c r="N308" s="49">
        <f t="shared" si="593"/>
        <v>2</v>
      </c>
      <c r="O308" s="49">
        <v>40</v>
      </c>
      <c r="P308" s="49" t="s">
        <v>41</v>
      </c>
      <c r="Q308" s="48" t="str">
        <f>IF($M308=1,IF(ISERROR(VLOOKUP($P308,'M1'!$A:$C,Q$2,FALSE)),"NOT PRESENT",VLOOKUP($P308,'M1'!$A:$C,Q$2,FALSE)),IF($M308=2,IF(ISERROR(VLOOKUP(DATA!$P308,'M2'!$A:$C,Q$2,FALSE)),"NOT PRESENT",VLOOKUP(DATA!$P308,'M2'!$A:$C,Q$2,FALSE)),IF($M308=0,IF(ISERROR(VLOOKUP($P308,'M1'!$A:$C,Q$2,FALSE)),IF(ISERROR(VLOOKUP(DATA!$P308,'M2'!$A:$C,Q$2,FALSE)),"NOT PRESENT",VLOOKUP(DATA!$P308,'M2'!$A:$C,Q$2,FALSE)),VLOOKUP($P308,'M1'!$A:$C,Q$2,FALSE)),"SPECIFY METHOD")))</f>
        <v>Mesocentrotus franciscanus</v>
      </c>
      <c r="R308" s="48" t="str">
        <f>IF($M308=1,IF(ISERROR(VLOOKUP($P308,'M1'!$A:$C,R$2,FALSE)),"NOT PRESENT",VLOOKUP($P308,'M1'!$A:$C,R$2,FALSE)),IF($M308=2,IF(ISERROR(VLOOKUP(DATA!$P308,'M2'!$A:$C,R$2,FALSE)),"NOT PRESENT",VLOOKUP(DATA!$P308,'M2'!$A:$C,R$2,FALSE)),IF($M308=0,IF(ISERROR(VLOOKUP($P308,'M1'!$A:$C,R$2,FALSE)),IF(ISERROR(VLOOKUP(DATA!$P308,'M2'!$A:$C,R$2,FALSE)),"NOT PRESENT",VLOOKUP(DATA!$P308,'M2'!$A:$C,R$2,FALSE)),VLOOKUP($P308,'M1'!$A:$C,R$2,FALSE)),"SPECIFY METHOD")))</f>
        <v>Red sea urchin</v>
      </c>
      <c r="S308" s="54">
        <f t="shared" si="500"/>
        <v>5</v>
      </c>
      <c r="T308" s="49">
        <v>0</v>
      </c>
      <c r="U308" s="49"/>
      <c r="V308" s="49">
        <v>1</v>
      </c>
      <c r="W308" s="49">
        <v>3</v>
      </c>
      <c r="X308" s="49">
        <v>1</v>
      </c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</row>
    <row r="309" spans="1:68" ht="12.75" customHeight="1">
      <c r="A309" s="48">
        <f t="shared" si="497"/>
        <v>307</v>
      </c>
      <c r="B309" s="49" t="str">
        <f t="shared" ref="B309:D309" si="594">IF(ISERROR(B308),IF(ISERROR(B307),IF(ISERROR(B306),"BLANK",B306),B307),B308)</f>
        <v>Claire Attridge</v>
      </c>
      <c r="C309" s="49" t="str">
        <f t="shared" si="594"/>
        <v>Em Lim</v>
      </c>
      <c r="D309" s="49" t="str">
        <f t="shared" si="594"/>
        <v>BMSC22</v>
      </c>
      <c r="E309" s="48" t="str">
        <f>IF(ISERROR(VLOOKUP($D309,SITES!$A:$E,2,FALSE)),"",VLOOKUP($D309,SITES!$A:$E,2,FALSE))</f>
        <v>Dixon Inside</v>
      </c>
      <c r="F309" s="50">
        <f>IF(ISERROR(VLOOKUP($D309,SITES!$A:$E,3,FALSE)),"",VLOOKUP($D309,SITES!$A:$E,3,FALSE))</f>
        <v>48.8542671203613</v>
      </c>
      <c r="G309" s="51">
        <f>IF(ISERROR(VLOOKUP($D309,SITES!$A:$E,4,FALSE)),"",VLOOKUP($D309,SITES!$A:$E,4,FALSE))</f>
        <v>-125.11703491210901</v>
      </c>
      <c r="H309" s="52">
        <f t="shared" si="583"/>
        <v>45412</v>
      </c>
      <c r="I309" s="49">
        <f t="shared" ref="I309:N309" si="595">IF(ISERROR(I308),IF(ISERROR(I307),IF(ISERROR(I306),"BLANK",I306),I307),I308)</f>
        <v>2</v>
      </c>
      <c r="J309" s="49" t="str">
        <f t="shared" si="595"/>
        <v>E</v>
      </c>
      <c r="K309" s="53">
        <f t="shared" si="595"/>
        <v>0.49513888888888891</v>
      </c>
      <c r="L309" s="49">
        <f t="shared" si="595"/>
        <v>5.5</v>
      </c>
      <c r="M309" s="49">
        <f t="shared" si="595"/>
        <v>2</v>
      </c>
      <c r="N309" s="49">
        <f t="shared" si="595"/>
        <v>2</v>
      </c>
      <c r="O309" s="49">
        <v>48</v>
      </c>
      <c r="P309" s="49" t="str">
        <f>IF(ISERROR(P308),IF(ISERROR(P307),IF(ISERROR(P306),"BLANK",P306),P307),P308)</f>
        <v>mfra</v>
      </c>
      <c r="Q309" s="48" t="str">
        <f>IF($M309=1,IF(ISERROR(VLOOKUP($P309,'M1'!$A:$C,Q$2,FALSE)),"NOT PRESENT",VLOOKUP($P309,'M1'!$A:$C,Q$2,FALSE)),IF($M309=2,IF(ISERROR(VLOOKUP(DATA!$P309,'M2'!$A:$C,Q$2,FALSE)),"NOT PRESENT",VLOOKUP(DATA!$P309,'M2'!$A:$C,Q$2,FALSE)),IF($M309=0,IF(ISERROR(VLOOKUP($P309,'M1'!$A:$C,Q$2,FALSE)),IF(ISERROR(VLOOKUP(DATA!$P309,'M2'!$A:$C,Q$2,FALSE)),"NOT PRESENT",VLOOKUP(DATA!$P309,'M2'!$A:$C,Q$2,FALSE)),VLOOKUP($P309,'M1'!$A:$C,Q$2,FALSE)),"SPECIFY METHOD")))</f>
        <v>Mesocentrotus franciscanus</v>
      </c>
      <c r="R309" s="48" t="str">
        <f>IF($M309=1,IF(ISERROR(VLOOKUP($P309,'M1'!$A:$C,R$2,FALSE)),"NOT PRESENT",VLOOKUP($P309,'M1'!$A:$C,R$2,FALSE)),IF($M309=2,IF(ISERROR(VLOOKUP(DATA!$P309,'M2'!$A:$C,R$2,FALSE)),"NOT PRESENT",VLOOKUP(DATA!$P309,'M2'!$A:$C,R$2,FALSE)),IF($M309=0,IF(ISERROR(VLOOKUP($P309,'M1'!$A:$C,R$2,FALSE)),IF(ISERROR(VLOOKUP(DATA!$P309,'M2'!$A:$C,R$2,FALSE)),"NOT PRESENT",VLOOKUP(DATA!$P309,'M2'!$A:$C,R$2,FALSE)),VLOOKUP($P309,'M1'!$A:$C,R$2,FALSE)),"SPECIFY METHOD")))</f>
        <v>Red sea urchin</v>
      </c>
      <c r="S309" s="54">
        <f t="shared" si="500"/>
        <v>4</v>
      </c>
      <c r="T309" s="49">
        <v>0</v>
      </c>
      <c r="U309" s="49"/>
      <c r="V309" s="49">
        <v>1</v>
      </c>
      <c r="W309" s="49">
        <v>2</v>
      </c>
      <c r="X309" s="49"/>
      <c r="Y309" s="49">
        <v>1</v>
      </c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</row>
    <row r="310" spans="1:68" ht="12.75" customHeight="1">
      <c r="A310" s="48">
        <f t="shared" si="497"/>
        <v>308</v>
      </c>
      <c r="B310" s="49" t="str">
        <f t="shared" ref="B310:D310" si="596">IF(ISERROR(B309),IF(ISERROR(B308),IF(ISERROR(B307),"BLANK",B307),B308),B309)</f>
        <v>Claire Attridge</v>
      </c>
      <c r="C310" s="49" t="str">
        <f t="shared" si="596"/>
        <v>Em Lim</v>
      </c>
      <c r="D310" s="49" t="str">
        <f t="shared" si="596"/>
        <v>BMSC22</v>
      </c>
      <c r="E310" s="48" t="str">
        <f>IF(ISERROR(VLOOKUP($D310,SITES!$A:$E,2,FALSE)),"",VLOOKUP($D310,SITES!$A:$E,2,FALSE))</f>
        <v>Dixon Inside</v>
      </c>
      <c r="F310" s="50">
        <f>IF(ISERROR(VLOOKUP($D310,SITES!$A:$E,3,FALSE)),"",VLOOKUP($D310,SITES!$A:$E,3,FALSE))</f>
        <v>48.8542671203613</v>
      </c>
      <c r="G310" s="51">
        <f>IF(ISERROR(VLOOKUP($D310,SITES!$A:$E,4,FALSE)),"",VLOOKUP($D310,SITES!$A:$E,4,FALSE))</f>
        <v>-125.11703491210901</v>
      </c>
      <c r="H310" s="52">
        <f t="shared" si="583"/>
        <v>45412</v>
      </c>
      <c r="I310" s="49">
        <f t="shared" ref="I310:N310" si="597">IF(ISERROR(I309),IF(ISERROR(I308),IF(ISERROR(I307),"BLANK",I307),I308),I309)</f>
        <v>2</v>
      </c>
      <c r="J310" s="49" t="str">
        <f t="shared" si="597"/>
        <v>E</v>
      </c>
      <c r="K310" s="53">
        <f t="shared" si="597"/>
        <v>0.49513888888888891</v>
      </c>
      <c r="L310" s="49">
        <f t="shared" si="597"/>
        <v>5.5</v>
      </c>
      <c r="M310" s="49">
        <f t="shared" si="597"/>
        <v>2</v>
      </c>
      <c r="N310" s="49">
        <f t="shared" si="597"/>
        <v>2</v>
      </c>
      <c r="O310" s="49">
        <v>48</v>
      </c>
      <c r="P310" s="49" t="s">
        <v>53</v>
      </c>
      <c r="Q310" s="48" t="str">
        <f>IF($M310=1,IF(ISERROR(VLOOKUP($P310,'M1'!$A:$C,Q$2,FALSE)),"NOT PRESENT",VLOOKUP($P310,'M1'!$A:$C,Q$2,FALSE)),IF($M310=2,IF(ISERROR(VLOOKUP(DATA!$P310,'M2'!$A:$C,Q$2,FALSE)),"NOT PRESENT",VLOOKUP(DATA!$P310,'M2'!$A:$C,Q$2,FALSE)),IF($M310=0,IF(ISERROR(VLOOKUP($P310,'M1'!$A:$C,Q$2,FALSE)),IF(ISERROR(VLOOKUP(DATA!$P310,'M2'!$A:$C,Q$2,FALSE)),"NOT PRESENT",VLOOKUP(DATA!$P310,'M2'!$A:$C,Q$2,FALSE)),VLOOKUP($P310,'M1'!$A:$C,Q$2,FALSE)),"SPECIFY METHOD")))</f>
        <v>Evasterias troschelii</v>
      </c>
      <c r="R310" s="48" t="str">
        <f>IF($M310=1,IF(ISERROR(VLOOKUP($P310,'M1'!$A:$C,R$2,FALSE)),"NOT PRESENT",VLOOKUP($P310,'M1'!$A:$C,R$2,FALSE)),IF($M310=2,IF(ISERROR(VLOOKUP(DATA!$P310,'M2'!$A:$C,R$2,FALSE)),"NOT PRESENT",VLOOKUP(DATA!$P310,'M2'!$A:$C,R$2,FALSE)),IF($M310=0,IF(ISERROR(VLOOKUP($P310,'M1'!$A:$C,R$2,FALSE)),IF(ISERROR(VLOOKUP(DATA!$P310,'M2'!$A:$C,R$2,FALSE)),"NOT PRESENT",VLOOKUP(DATA!$P310,'M2'!$A:$C,R$2,FALSE)),VLOOKUP($P310,'M1'!$A:$C,R$2,FALSE)),"SPECIFY METHOD")))</f>
        <v>Mottled starfish</v>
      </c>
      <c r="S310" s="54">
        <f t="shared" si="500"/>
        <v>1</v>
      </c>
      <c r="T310" s="49">
        <v>0</v>
      </c>
      <c r="U310" s="49">
        <v>1</v>
      </c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</row>
    <row r="311" spans="1:68" ht="12.75" customHeight="1">
      <c r="A311" s="21">
        <f t="shared" si="497"/>
        <v>309</v>
      </c>
      <c r="B311" s="20" t="s">
        <v>75</v>
      </c>
      <c r="C311" s="20" t="s">
        <v>35</v>
      </c>
      <c r="D311" s="20" t="s">
        <v>83</v>
      </c>
      <c r="E311" s="21" t="str">
        <f>IF(ISERROR(VLOOKUP($D311,SITES!$A:$E,2,FALSE)),"",VLOOKUP($D311,SITES!$A:$E,2,FALSE))</f>
        <v>Effingham West</v>
      </c>
      <c r="F311" s="19">
        <f>IF(ISERROR(VLOOKUP($D311,SITES!$A:$E,3,FALSE)),"",VLOOKUP($D311,SITES!$A:$E,3,FALSE))</f>
        <v>48.865032196044901</v>
      </c>
      <c r="G311" s="22">
        <f>IF(ISERROR(VLOOKUP($D311,SITES!$A:$E,4,FALSE)),"",VLOOKUP($D311,SITES!$A:$E,4,FALSE))</f>
        <v>-125.313720703125</v>
      </c>
      <c r="H311" s="23">
        <v>45413</v>
      </c>
      <c r="I311" s="20">
        <v>3</v>
      </c>
      <c r="J311" s="20" t="s">
        <v>68</v>
      </c>
      <c r="K311" s="27">
        <v>0.62013888888888891</v>
      </c>
      <c r="L311" s="20">
        <v>3</v>
      </c>
      <c r="M311" s="20">
        <v>2</v>
      </c>
      <c r="N311" s="20">
        <v>2</v>
      </c>
      <c r="O311" s="20">
        <v>8</v>
      </c>
      <c r="P311" s="20" t="s">
        <v>41</v>
      </c>
      <c r="Q311" s="21" t="str">
        <f>IF($M311=1,IF(ISERROR(VLOOKUP($P311,'M1'!$A:$C,Q$2,FALSE)),"NOT PRESENT",VLOOKUP($P311,'M1'!$A:$C,Q$2,FALSE)),IF($M311=2,IF(ISERROR(VLOOKUP(DATA!$P311,'M2'!$A:$C,Q$2,FALSE)),"NOT PRESENT",VLOOKUP(DATA!$P311,'M2'!$A:$C,Q$2,FALSE)),IF($M311=0,IF(ISERROR(VLOOKUP($P311,'M1'!$A:$C,Q$2,FALSE)),IF(ISERROR(VLOOKUP(DATA!$P311,'M2'!$A:$C,Q$2,FALSE)),"NOT PRESENT",VLOOKUP(DATA!$P311,'M2'!$A:$C,Q$2,FALSE)),VLOOKUP($P311,'M1'!$A:$C,Q$2,FALSE)),"SPECIFY METHOD")))</f>
        <v>Mesocentrotus franciscanus</v>
      </c>
      <c r="R311" s="21" t="str">
        <f>IF($M311=1,IF(ISERROR(VLOOKUP($P311,'M1'!$A:$C,R$2,FALSE)),"NOT PRESENT",VLOOKUP($P311,'M1'!$A:$C,R$2,FALSE)),IF($M311=2,IF(ISERROR(VLOOKUP(DATA!$P311,'M2'!$A:$C,R$2,FALSE)),"NOT PRESENT",VLOOKUP(DATA!$P311,'M2'!$A:$C,R$2,FALSE)),IF($M311=0,IF(ISERROR(VLOOKUP($P311,'M1'!$A:$C,R$2,FALSE)),IF(ISERROR(VLOOKUP(DATA!$P311,'M2'!$A:$C,R$2,FALSE)),"NOT PRESENT",VLOOKUP(DATA!$P311,'M2'!$A:$C,R$2,FALSE)),VLOOKUP($P311,'M1'!$A:$C,R$2,FALSE)),"SPECIFY METHOD")))</f>
        <v>Red sea urchin</v>
      </c>
      <c r="S311" s="28">
        <f t="shared" si="500"/>
        <v>8</v>
      </c>
      <c r="T311" s="20">
        <v>0</v>
      </c>
      <c r="U311" s="20">
        <v>3</v>
      </c>
      <c r="V311" s="20">
        <v>2</v>
      </c>
      <c r="W311" s="20"/>
      <c r="X311" s="20">
        <v>3</v>
      </c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</row>
    <row r="312" spans="1:68" ht="12.75" customHeight="1">
      <c r="A312" s="21">
        <f t="shared" si="497"/>
        <v>310</v>
      </c>
      <c r="B312" s="20" t="str">
        <f t="shared" ref="B312:D312" si="598">IF(ISERROR(B311),IF(ISERROR(B310),IF(ISERROR(B309),"BLANK",B309),B310),B311)</f>
        <v>Valesca de Groot</v>
      </c>
      <c r="C312" s="20" t="str">
        <f t="shared" si="598"/>
        <v>Em Lim</v>
      </c>
      <c r="D312" s="20" t="str">
        <f t="shared" si="598"/>
        <v>BMSC13</v>
      </c>
      <c r="E312" s="21" t="str">
        <f>IF(ISERROR(VLOOKUP($D312,SITES!$A:$E,2,FALSE)),"",VLOOKUP($D312,SITES!$A:$E,2,FALSE))</f>
        <v>Effingham West</v>
      </c>
      <c r="F312" s="19">
        <f>IF(ISERROR(VLOOKUP($D312,SITES!$A:$E,3,FALSE)),"",VLOOKUP($D312,SITES!$A:$E,3,FALSE))</f>
        <v>48.865032196044901</v>
      </c>
      <c r="G312" s="22">
        <f>IF(ISERROR(VLOOKUP($D312,SITES!$A:$E,4,FALSE)),"",VLOOKUP($D312,SITES!$A:$E,4,FALSE))</f>
        <v>-125.313720703125</v>
      </c>
      <c r="H312" s="23">
        <f t="shared" ref="H312:N312" si="599">IF(ISERROR(H311),IF(ISERROR(H310),IF(ISERROR(H309),"BLANK",H309),H310),H311)</f>
        <v>45413</v>
      </c>
      <c r="I312" s="20">
        <f t="shared" si="599"/>
        <v>3</v>
      </c>
      <c r="J312" s="20" t="str">
        <f t="shared" si="599"/>
        <v>W</v>
      </c>
      <c r="K312" s="27">
        <f t="shared" si="599"/>
        <v>0.62013888888888891</v>
      </c>
      <c r="L312" s="20">
        <f t="shared" si="599"/>
        <v>3</v>
      </c>
      <c r="M312" s="20">
        <f t="shared" si="599"/>
        <v>2</v>
      </c>
      <c r="N312" s="20">
        <f t="shared" si="599"/>
        <v>2</v>
      </c>
      <c r="O312" s="20">
        <v>8</v>
      </c>
      <c r="P312" s="20" t="s">
        <v>40</v>
      </c>
      <c r="Q312" s="21" t="str">
        <f>IF($M312=1,IF(ISERROR(VLOOKUP($P312,'M1'!$A:$C,Q$2,FALSE)),"NOT PRESENT",VLOOKUP($P312,'M1'!$A:$C,Q$2,FALSE)),IF($M312=2,IF(ISERROR(VLOOKUP(DATA!$P312,'M2'!$A:$C,Q$2,FALSE)),"NOT PRESENT",VLOOKUP(DATA!$P312,'M2'!$A:$C,Q$2,FALSE)),IF($M312=0,IF(ISERROR(VLOOKUP($P312,'M1'!$A:$C,Q$2,FALSE)),IF(ISERROR(VLOOKUP(DATA!$P312,'M2'!$A:$C,Q$2,FALSE)),"NOT PRESENT",VLOOKUP(DATA!$P312,'M2'!$A:$C,Q$2,FALSE)),VLOOKUP($P312,'M1'!$A:$C,Q$2,FALSE)),"SPECIFY METHOD")))</f>
        <v>Patiria miniata</v>
      </c>
      <c r="R312" s="21" t="str">
        <f>IF($M312=1,IF(ISERROR(VLOOKUP($P312,'M1'!$A:$C,R$2,FALSE)),"NOT PRESENT",VLOOKUP($P312,'M1'!$A:$C,R$2,FALSE)),IF($M312=2,IF(ISERROR(VLOOKUP(DATA!$P312,'M2'!$A:$C,R$2,FALSE)),"NOT PRESENT",VLOOKUP(DATA!$P312,'M2'!$A:$C,R$2,FALSE)),IF($M312=0,IF(ISERROR(VLOOKUP($P312,'M1'!$A:$C,R$2,FALSE)),IF(ISERROR(VLOOKUP(DATA!$P312,'M2'!$A:$C,R$2,FALSE)),"NOT PRESENT",VLOOKUP(DATA!$P312,'M2'!$A:$C,R$2,FALSE)),VLOOKUP($P312,'M1'!$A:$C,R$2,FALSE)),"SPECIFY METHOD")))</f>
        <v>Bat star</v>
      </c>
      <c r="S312" s="28">
        <f t="shared" si="500"/>
        <v>2</v>
      </c>
      <c r="T312" s="20">
        <v>0</v>
      </c>
      <c r="U312" s="20"/>
      <c r="V312" s="20"/>
      <c r="W312" s="20">
        <v>1</v>
      </c>
      <c r="X312" s="20">
        <v>1</v>
      </c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</row>
    <row r="313" spans="1:68" ht="12.75" customHeight="1">
      <c r="A313" s="21">
        <f t="shared" si="497"/>
        <v>311</v>
      </c>
      <c r="B313" s="20" t="str">
        <f t="shared" ref="B313:D313" si="600">IF(ISERROR(B312),IF(ISERROR(B311),IF(ISERROR(B310),"BLANK",B310),B311),B312)</f>
        <v>Valesca de Groot</v>
      </c>
      <c r="C313" s="20" t="str">
        <f t="shared" si="600"/>
        <v>Em Lim</v>
      </c>
      <c r="D313" s="20" t="str">
        <f t="shared" si="600"/>
        <v>BMSC13</v>
      </c>
      <c r="E313" s="21" t="str">
        <f>IF(ISERROR(VLOOKUP($D313,SITES!$A:$E,2,FALSE)),"",VLOOKUP($D313,SITES!$A:$E,2,FALSE))</f>
        <v>Effingham West</v>
      </c>
      <c r="F313" s="19">
        <f>IF(ISERROR(VLOOKUP($D313,SITES!$A:$E,3,FALSE)),"",VLOOKUP($D313,SITES!$A:$E,3,FALSE))</f>
        <v>48.865032196044901</v>
      </c>
      <c r="G313" s="22">
        <f>IF(ISERROR(VLOOKUP($D313,SITES!$A:$E,4,FALSE)),"",VLOOKUP($D313,SITES!$A:$E,4,FALSE))</f>
        <v>-125.313720703125</v>
      </c>
      <c r="H313" s="23">
        <f t="shared" ref="H313:N313" si="601">IF(ISERROR(H312),IF(ISERROR(H311),IF(ISERROR(H310),"BLANK",H310),H311),H312)</f>
        <v>45413</v>
      </c>
      <c r="I313" s="20">
        <f t="shared" si="601"/>
        <v>3</v>
      </c>
      <c r="J313" s="20" t="str">
        <f t="shared" si="601"/>
        <v>W</v>
      </c>
      <c r="K313" s="27">
        <f t="shared" si="601"/>
        <v>0.62013888888888891</v>
      </c>
      <c r="L313" s="20">
        <f t="shared" si="601"/>
        <v>3</v>
      </c>
      <c r="M313" s="20">
        <f t="shared" si="601"/>
        <v>2</v>
      </c>
      <c r="N313" s="20">
        <f t="shared" si="601"/>
        <v>2</v>
      </c>
      <c r="O313" s="20">
        <v>24</v>
      </c>
      <c r="P313" s="20" t="s">
        <v>41</v>
      </c>
      <c r="Q313" s="21" t="str">
        <f>IF($M313=1,IF(ISERROR(VLOOKUP($P313,'M1'!$A:$C,Q$2,FALSE)),"NOT PRESENT",VLOOKUP($P313,'M1'!$A:$C,Q$2,FALSE)),IF($M313=2,IF(ISERROR(VLOOKUP(DATA!$P313,'M2'!$A:$C,Q$2,FALSE)),"NOT PRESENT",VLOOKUP(DATA!$P313,'M2'!$A:$C,Q$2,FALSE)),IF($M313=0,IF(ISERROR(VLOOKUP($P313,'M1'!$A:$C,Q$2,FALSE)),IF(ISERROR(VLOOKUP(DATA!$P313,'M2'!$A:$C,Q$2,FALSE)),"NOT PRESENT",VLOOKUP(DATA!$P313,'M2'!$A:$C,Q$2,FALSE)),VLOOKUP($P313,'M1'!$A:$C,Q$2,FALSE)),"SPECIFY METHOD")))</f>
        <v>Mesocentrotus franciscanus</v>
      </c>
      <c r="R313" s="21" t="str">
        <f>IF($M313=1,IF(ISERROR(VLOOKUP($P313,'M1'!$A:$C,R$2,FALSE)),"NOT PRESENT",VLOOKUP($P313,'M1'!$A:$C,R$2,FALSE)),IF($M313=2,IF(ISERROR(VLOOKUP(DATA!$P313,'M2'!$A:$C,R$2,FALSE)),"NOT PRESENT",VLOOKUP(DATA!$P313,'M2'!$A:$C,R$2,FALSE)),IF($M313=0,IF(ISERROR(VLOOKUP($P313,'M1'!$A:$C,R$2,FALSE)),IF(ISERROR(VLOOKUP(DATA!$P313,'M2'!$A:$C,R$2,FALSE)),"NOT PRESENT",VLOOKUP(DATA!$P313,'M2'!$A:$C,R$2,FALSE)),VLOOKUP($P313,'M1'!$A:$C,R$2,FALSE)),"SPECIFY METHOD")))</f>
        <v>Red sea urchin</v>
      </c>
      <c r="S313" s="28">
        <f t="shared" si="500"/>
        <v>12</v>
      </c>
      <c r="T313" s="20">
        <v>0</v>
      </c>
      <c r="U313" s="20">
        <v>3</v>
      </c>
      <c r="V313" s="20">
        <v>6</v>
      </c>
      <c r="W313" s="20">
        <v>1</v>
      </c>
      <c r="X313" s="20">
        <v>2</v>
      </c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</row>
    <row r="314" spans="1:68" ht="12.75" customHeight="1">
      <c r="A314" s="21">
        <f t="shared" si="497"/>
        <v>312</v>
      </c>
      <c r="B314" s="20" t="str">
        <f t="shared" ref="B314:D314" si="602">IF(ISERROR(B313),IF(ISERROR(B312),IF(ISERROR(B311),"BLANK",B311),B312),B313)</f>
        <v>Valesca de Groot</v>
      </c>
      <c r="C314" s="20" t="str">
        <f t="shared" si="602"/>
        <v>Em Lim</v>
      </c>
      <c r="D314" s="20" t="str">
        <f t="shared" si="602"/>
        <v>BMSC13</v>
      </c>
      <c r="E314" s="21" t="str">
        <f>IF(ISERROR(VLOOKUP($D314,SITES!$A:$E,2,FALSE)),"",VLOOKUP($D314,SITES!$A:$E,2,FALSE))</f>
        <v>Effingham West</v>
      </c>
      <c r="F314" s="19">
        <f>IF(ISERROR(VLOOKUP($D314,SITES!$A:$E,3,FALSE)),"",VLOOKUP($D314,SITES!$A:$E,3,FALSE))</f>
        <v>48.865032196044901</v>
      </c>
      <c r="G314" s="22">
        <f>IF(ISERROR(VLOOKUP($D314,SITES!$A:$E,4,FALSE)),"",VLOOKUP($D314,SITES!$A:$E,4,FALSE))</f>
        <v>-125.313720703125</v>
      </c>
      <c r="H314" s="23">
        <f t="shared" ref="H314:N314" si="603">IF(ISERROR(H313),IF(ISERROR(H312),IF(ISERROR(H311),"BLANK",H311),H312),H313)</f>
        <v>45413</v>
      </c>
      <c r="I314" s="20">
        <f t="shared" si="603"/>
        <v>3</v>
      </c>
      <c r="J314" s="20" t="str">
        <f t="shared" si="603"/>
        <v>W</v>
      </c>
      <c r="K314" s="27">
        <f t="shared" si="603"/>
        <v>0.62013888888888891</v>
      </c>
      <c r="L314" s="20">
        <f t="shared" si="603"/>
        <v>3</v>
      </c>
      <c r="M314" s="20">
        <f t="shared" si="603"/>
        <v>2</v>
      </c>
      <c r="N314" s="20">
        <f t="shared" si="603"/>
        <v>2</v>
      </c>
      <c r="O314" s="20">
        <v>24</v>
      </c>
      <c r="P314" s="20" t="s">
        <v>40</v>
      </c>
      <c r="Q314" s="21" t="str">
        <f>IF($M314=1,IF(ISERROR(VLOOKUP($P314,'M1'!$A:$C,Q$2,FALSE)),"NOT PRESENT",VLOOKUP($P314,'M1'!$A:$C,Q$2,FALSE)),IF($M314=2,IF(ISERROR(VLOOKUP(DATA!$P314,'M2'!$A:$C,Q$2,FALSE)),"NOT PRESENT",VLOOKUP(DATA!$P314,'M2'!$A:$C,Q$2,FALSE)),IF($M314=0,IF(ISERROR(VLOOKUP($P314,'M1'!$A:$C,Q$2,FALSE)),IF(ISERROR(VLOOKUP(DATA!$P314,'M2'!$A:$C,Q$2,FALSE)),"NOT PRESENT",VLOOKUP(DATA!$P314,'M2'!$A:$C,Q$2,FALSE)),VLOOKUP($P314,'M1'!$A:$C,Q$2,FALSE)),"SPECIFY METHOD")))</f>
        <v>Patiria miniata</v>
      </c>
      <c r="R314" s="21" t="str">
        <f>IF($M314=1,IF(ISERROR(VLOOKUP($P314,'M1'!$A:$C,R$2,FALSE)),"NOT PRESENT",VLOOKUP($P314,'M1'!$A:$C,R$2,FALSE)),IF($M314=2,IF(ISERROR(VLOOKUP(DATA!$P314,'M2'!$A:$C,R$2,FALSE)),"NOT PRESENT",VLOOKUP(DATA!$P314,'M2'!$A:$C,R$2,FALSE)),IF($M314=0,IF(ISERROR(VLOOKUP($P314,'M1'!$A:$C,R$2,FALSE)),IF(ISERROR(VLOOKUP(DATA!$P314,'M2'!$A:$C,R$2,FALSE)),"NOT PRESENT",VLOOKUP(DATA!$P314,'M2'!$A:$C,R$2,FALSE)),VLOOKUP($P314,'M1'!$A:$C,R$2,FALSE)),"SPECIFY METHOD")))</f>
        <v>Bat star</v>
      </c>
      <c r="S314" s="28">
        <f t="shared" si="500"/>
        <v>1</v>
      </c>
      <c r="T314" s="20">
        <v>0</v>
      </c>
      <c r="U314" s="20"/>
      <c r="V314" s="20"/>
      <c r="W314" s="20"/>
      <c r="X314" s="20">
        <v>1</v>
      </c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</row>
    <row r="315" spans="1:68" ht="12.75" customHeight="1">
      <c r="A315" s="21">
        <f t="shared" si="497"/>
        <v>313</v>
      </c>
      <c r="B315" s="20" t="str">
        <f t="shared" ref="B315:D315" si="604">IF(ISERROR(B314),IF(ISERROR(B313),IF(ISERROR(B312),"BLANK",B312),B313),B314)</f>
        <v>Valesca de Groot</v>
      </c>
      <c r="C315" s="20" t="str">
        <f t="shared" si="604"/>
        <v>Em Lim</v>
      </c>
      <c r="D315" s="20" t="str">
        <f t="shared" si="604"/>
        <v>BMSC13</v>
      </c>
      <c r="E315" s="21" t="str">
        <f>IF(ISERROR(VLOOKUP($D315,SITES!$A:$E,2,FALSE)),"",VLOOKUP($D315,SITES!$A:$E,2,FALSE))</f>
        <v>Effingham West</v>
      </c>
      <c r="F315" s="19">
        <f>IF(ISERROR(VLOOKUP($D315,SITES!$A:$E,3,FALSE)),"",VLOOKUP($D315,SITES!$A:$E,3,FALSE))</f>
        <v>48.865032196044901</v>
      </c>
      <c r="G315" s="22">
        <f>IF(ISERROR(VLOOKUP($D315,SITES!$A:$E,4,FALSE)),"",VLOOKUP($D315,SITES!$A:$E,4,FALSE))</f>
        <v>-125.313720703125</v>
      </c>
      <c r="H315" s="23">
        <f t="shared" ref="H315:N315" si="605">IF(ISERROR(H314),IF(ISERROR(H313),IF(ISERROR(H312),"BLANK",H312),H313),H314)</f>
        <v>45413</v>
      </c>
      <c r="I315" s="20">
        <f t="shared" si="605"/>
        <v>3</v>
      </c>
      <c r="J315" s="20" t="str">
        <f t="shared" si="605"/>
        <v>W</v>
      </c>
      <c r="K315" s="27">
        <f t="shared" si="605"/>
        <v>0.62013888888888891</v>
      </c>
      <c r="L315" s="20">
        <f t="shared" si="605"/>
        <v>3</v>
      </c>
      <c r="M315" s="20">
        <f t="shared" si="605"/>
        <v>2</v>
      </c>
      <c r="N315" s="20">
        <f t="shared" si="605"/>
        <v>2</v>
      </c>
      <c r="O315" s="20">
        <v>40</v>
      </c>
      <c r="P315" s="20" t="s">
        <v>41</v>
      </c>
      <c r="Q315" s="21" t="str">
        <f>IF($M315=1,IF(ISERROR(VLOOKUP($P315,'M1'!$A:$C,Q$2,FALSE)),"NOT PRESENT",VLOOKUP($P315,'M1'!$A:$C,Q$2,FALSE)),IF($M315=2,IF(ISERROR(VLOOKUP(DATA!$P315,'M2'!$A:$C,Q$2,FALSE)),"NOT PRESENT",VLOOKUP(DATA!$P315,'M2'!$A:$C,Q$2,FALSE)),IF($M315=0,IF(ISERROR(VLOOKUP($P315,'M1'!$A:$C,Q$2,FALSE)),IF(ISERROR(VLOOKUP(DATA!$P315,'M2'!$A:$C,Q$2,FALSE)),"NOT PRESENT",VLOOKUP(DATA!$P315,'M2'!$A:$C,Q$2,FALSE)),VLOOKUP($P315,'M1'!$A:$C,Q$2,FALSE)),"SPECIFY METHOD")))</f>
        <v>Mesocentrotus franciscanus</v>
      </c>
      <c r="R315" s="21" t="str">
        <f>IF($M315=1,IF(ISERROR(VLOOKUP($P315,'M1'!$A:$C,R$2,FALSE)),"NOT PRESENT",VLOOKUP($P315,'M1'!$A:$C,R$2,FALSE)),IF($M315=2,IF(ISERROR(VLOOKUP(DATA!$P315,'M2'!$A:$C,R$2,FALSE)),"NOT PRESENT",VLOOKUP(DATA!$P315,'M2'!$A:$C,R$2,FALSE)),IF($M315=0,IF(ISERROR(VLOOKUP($P315,'M1'!$A:$C,R$2,FALSE)),IF(ISERROR(VLOOKUP(DATA!$P315,'M2'!$A:$C,R$2,FALSE)),"NOT PRESENT",VLOOKUP(DATA!$P315,'M2'!$A:$C,R$2,FALSE)),VLOOKUP($P315,'M1'!$A:$C,R$2,FALSE)),"SPECIFY METHOD")))</f>
        <v>Red sea urchin</v>
      </c>
      <c r="S315" s="28">
        <f t="shared" si="500"/>
        <v>10</v>
      </c>
      <c r="T315" s="20">
        <v>0</v>
      </c>
      <c r="U315" s="20">
        <v>1</v>
      </c>
      <c r="V315" s="20">
        <v>3</v>
      </c>
      <c r="W315" s="20">
        <v>4</v>
      </c>
      <c r="X315" s="20">
        <v>2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</row>
    <row r="316" spans="1:68" ht="12.75" customHeight="1">
      <c r="A316" s="21">
        <f t="shared" si="497"/>
        <v>314</v>
      </c>
      <c r="B316" s="20" t="str">
        <f t="shared" ref="B316:D316" si="606">IF(ISERROR(B315),IF(ISERROR(B314),IF(ISERROR(B313),"BLANK",B313),B314),B315)</f>
        <v>Valesca de Groot</v>
      </c>
      <c r="C316" s="20" t="str">
        <f t="shared" si="606"/>
        <v>Em Lim</v>
      </c>
      <c r="D316" s="20" t="str">
        <f t="shared" si="606"/>
        <v>BMSC13</v>
      </c>
      <c r="E316" s="21" t="str">
        <f>IF(ISERROR(VLOOKUP($D316,SITES!$A:$E,2,FALSE)),"",VLOOKUP($D316,SITES!$A:$E,2,FALSE))</f>
        <v>Effingham West</v>
      </c>
      <c r="F316" s="19">
        <f>IF(ISERROR(VLOOKUP($D316,SITES!$A:$E,3,FALSE)),"",VLOOKUP($D316,SITES!$A:$E,3,FALSE))</f>
        <v>48.865032196044901</v>
      </c>
      <c r="G316" s="22">
        <f>IF(ISERROR(VLOOKUP($D316,SITES!$A:$E,4,FALSE)),"",VLOOKUP($D316,SITES!$A:$E,4,FALSE))</f>
        <v>-125.313720703125</v>
      </c>
      <c r="H316" s="23">
        <f t="shared" ref="H316:N316" si="607">IF(ISERROR(H315),IF(ISERROR(H314),IF(ISERROR(H313),"BLANK",H313),H314),H315)</f>
        <v>45413</v>
      </c>
      <c r="I316" s="20">
        <f t="shared" si="607"/>
        <v>3</v>
      </c>
      <c r="J316" s="20" t="str">
        <f t="shared" si="607"/>
        <v>W</v>
      </c>
      <c r="K316" s="27">
        <f t="shared" si="607"/>
        <v>0.62013888888888891</v>
      </c>
      <c r="L316" s="20">
        <f t="shared" si="607"/>
        <v>3</v>
      </c>
      <c r="M316" s="20">
        <f t="shared" si="607"/>
        <v>2</v>
      </c>
      <c r="N316" s="20">
        <f t="shared" si="607"/>
        <v>2</v>
      </c>
      <c r="O316" s="20">
        <v>40</v>
      </c>
      <c r="P316" s="20" t="s">
        <v>40</v>
      </c>
      <c r="Q316" s="21" t="str">
        <f>IF($M316=1,IF(ISERROR(VLOOKUP($P316,'M1'!$A:$C,Q$2,FALSE)),"NOT PRESENT",VLOOKUP($P316,'M1'!$A:$C,Q$2,FALSE)),IF($M316=2,IF(ISERROR(VLOOKUP(DATA!$P316,'M2'!$A:$C,Q$2,FALSE)),"NOT PRESENT",VLOOKUP(DATA!$P316,'M2'!$A:$C,Q$2,FALSE)),IF($M316=0,IF(ISERROR(VLOOKUP($P316,'M1'!$A:$C,Q$2,FALSE)),IF(ISERROR(VLOOKUP(DATA!$P316,'M2'!$A:$C,Q$2,FALSE)),"NOT PRESENT",VLOOKUP(DATA!$P316,'M2'!$A:$C,Q$2,FALSE)),VLOOKUP($P316,'M1'!$A:$C,Q$2,FALSE)),"SPECIFY METHOD")))</f>
        <v>Patiria miniata</v>
      </c>
      <c r="R316" s="21" t="str">
        <f>IF($M316=1,IF(ISERROR(VLOOKUP($P316,'M1'!$A:$C,R$2,FALSE)),"NOT PRESENT",VLOOKUP($P316,'M1'!$A:$C,R$2,FALSE)),IF($M316=2,IF(ISERROR(VLOOKUP(DATA!$P316,'M2'!$A:$C,R$2,FALSE)),"NOT PRESENT",VLOOKUP(DATA!$P316,'M2'!$A:$C,R$2,FALSE)),IF($M316=0,IF(ISERROR(VLOOKUP($P316,'M1'!$A:$C,R$2,FALSE)),IF(ISERROR(VLOOKUP(DATA!$P316,'M2'!$A:$C,R$2,FALSE)),"NOT PRESENT",VLOOKUP(DATA!$P316,'M2'!$A:$C,R$2,FALSE)),VLOOKUP($P316,'M1'!$A:$C,R$2,FALSE)),"SPECIFY METHOD")))</f>
        <v>Bat star</v>
      </c>
      <c r="S316" s="28">
        <f t="shared" si="500"/>
        <v>6</v>
      </c>
      <c r="T316" s="20">
        <v>0</v>
      </c>
      <c r="U316" s="20"/>
      <c r="V316" s="20">
        <v>2</v>
      </c>
      <c r="W316" s="20">
        <v>3</v>
      </c>
      <c r="X316" s="20">
        <v>1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</row>
    <row r="317" spans="1:68" ht="12.75" customHeight="1">
      <c r="A317" s="21">
        <f t="shared" si="497"/>
        <v>315</v>
      </c>
      <c r="B317" s="20" t="s">
        <v>35</v>
      </c>
      <c r="C317" s="20" t="s">
        <v>24</v>
      </c>
      <c r="D317" s="20" t="s">
        <v>84</v>
      </c>
      <c r="E317" s="21" t="str">
        <f>IF(ISERROR(VLOOKUP($D317,SITES!$A:$E,2,FALSE)),"",VLOOKUP($D317,SITES!$A:$E,2,FALSE))</f>
        <v>Wouwer Channel</v>
      </c>
      <c r="F317" s="19">
        <f>IF(ISERROR(VLOOKUP($D317,SITES!$A:$E,3,FALSE)),"",VLOOKUP($D317,SITES!$A:$E,3,FALSE))</f>
        <v>48.865482330322202</v>
      </c>
      <c r="G317" s="22">
        <f>IF(ISERROR(VLOOKUP($D317,SITES!$A:$E,4,FALSE)),"",VLOOKUP($D317,SITES!$A:$E,4,FALSE))</f>
        <v>-125.36148071289</v>
      </c>
      <c r="H317" s="23">
        <v>45414</v>
      </c>
      <c r="I317" s="20">
        <v>2.5</v>
      </c>
      <c r="J317" s="20" t="s">
        <v>59</v>
      </c>
      <c r="K317" s="27">
        <v>0.63194444444444442</v>
      </c>
      <c r="L317" s="20">
        <v>5.8</v>
      </c>
      <c r="M317" s="20">
        <v>2</v>
      </c>
      <c r="N317" s="20">
        <v>1</v>
      </c>
      <c r="O317" s="20">
        <v>0</v>
      </c>
      <c r="P317" s="20" t="s">
        <v>41</v>
      </c>
      <c r="Q317" s="21" t="str">
        <f>IF($M317=1,IF(ISERROR(VLOOKUP($P317,'M1'!$A:$C,Q$2,FALSE)),"NOT PRESENT",VLOOKUP($P317,'M1'!$A:$C,Q$2,FALSE)),IF($M317=2,IF(ISERROR(VLOOKUP(DATA!$P317,'M2'!$A:$C,Q$2,FALSE)),"NOT PRESENT",VLOOKUP(DATA!$P317,'M2'!$A:$C,Q$2,FALSE)),IF($M317=0,IF(ISERROR(VLOOKUP($P317,'M1'!$A:$C,Q$2,FALSE)),IF(ISERROR(VLOOKUP(DATA!$P317,'M2'!$A:$C,Q$2,FALSE)),"NOT PRESENT",VLOOKUP(DATA!$P317,'M2'!$A:$C,Q$2,FALSE)),VLOOKUP($P317,'M1'!$A:$C,Q$2,FALSE)),"SPECIFY METHOD")))</f>
        <v>Mesocentrotus franciscanus</v>
      </c>
      <c r="R317" s="21" t="str">
        <f>IF($M317=1,IF(ISERROR(VLOOKUP($P317,'M1'!$A:$C,R$2,FALSE)),"NOT PRESENT",VLOOKUP($P317,'M1'!$A:$C,R$2,FALSE)),IF($M317=2,IF(ISERROR(VLOOKUP(DATA!$P317,'M2'!$A:$C,R$2,FALSE)),"NOT PRESENT",VLOOKUP(DATA!$P317,'M2'!$A:$C,R$2,FALSE)),IF($M317=0,IF(ISERROR(VLOOKUP($P317,'M1'!$A:$C,R$2,FALSE)),IF(ISERROR(VLOOKUP(DATA!$P317,'M2'!$A:$C,R$2,FALSE)),"NOT PRESENT",VLOOKUP(DATA!$P317,'M2'!$A:$C,R$2,FALSE)),VLOOKUP($P317,'M1'!$A:$C,R$2,FALSE)),"SPECIFY METHOD")))</f>
        <v>Red sea urchin</v>
      </c>
      <c r="S317" s="28">
        <f t="shared" si="500"/>
        <v>1</v>
      </c>
      <c r="T317" s="20">
        <v>0</v>
      </c>
      <c r="U317" s="20"/>
      <c r="V317" s="20"/>
      <c r="W317" s="20"/>
      <c r="X317" s="20">
        <v>1</v>
      </c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</row>
    <row r="318" spans="1:68" ht="12.75" customHeight="1">
      <c r="A318" s="21">
        <f t="shared" si="497"/>
        <v>316</v>
      </c>
      <c r="B318" s="20" t="str">
        <f t="shared" ref="B318:D318" si="608">IF(ISERROR(B317),IF(ISERROR(B316),IF(ISERROR(B315),"BLANK",B315),B316),B317)</f>
        <v>Em Lim</v>
      </c>
      <c r="C318" s="20" t="str">
        <f t="shared" si="608"/>
        <v>Jasmin Schuster</v>
      </c>
      <c r="D318" s="20" t="str">
        <f t="shared" si="608"/>
        <v>BMSC17</v>
      </c>
      <c r="E318" s="21" t="str">
        <f>IF(ISERROR(VLOOKUP($D318,SITES!$A:$E,2,FALSE)),"",VLOOKUP($D318,SITES!$A:$E,2,FALSE))</f>
        <v>Wouwer Channel</v>
      </c>
      <c r="F318" s="19">
        <f>IF(ISERROR(VLOOKUP($D318,SITES!$A:$E,3,FALSE)),"",VLOOKUP($D318,SITES!$A:$E,3,FALSE))</f>
        <v>48.865482330322202</v>
      </c>
      <c r="G318" s="22">
        <f>IF(ISERROR(VLOOKUP($D318,SITES!$A:$E,4,FALSE)),"",VLOOKUP($D318,SITES!$A:$E,4,FALSE))</f>
        <v>-125.36148071289</v>
      </c>
      <c r="H318" s="23">
        <f t="shared" ref="H318:M318" si="609">IF(ISERROR(H317),IF(ISERROR(H316),IF(ISERROR(H315),"BLANK",H315),H316),H317)</f>
        <v>45414</v>
      </c>
      <c r="I318" s="20">
        <f t="shared" si="609"/>
        <v>2.5</v>
      </c>
      <c r="J318" s="20" t="str">
        <f t="shared" si="609"/>
        <v>NE</v>
      </c>
      <c r="K318" s="27">
        <f t="shared" si="609"/>
        <v>0.63194444444444442</v>
      </c>
      <c r="L318" s="20">
        <f t="shared" si="609"/>
        <v>5.8</v>
      </c>
      <c r="M318" s="20">
        <f t="shared" si="609"/>
        <v>2</v>
      </c>
      <c r="N318" s="20">
        <v>1</v>
      </c>
      <c r="O318" s="20">
        <v>0</v>
      </c>
      <c r="P318" s="20" t="s">
        <v>40</v>
      </c>
      <c r="Q318" s="21" t="str">
        <f>IF($M318=1,IF(ISERROR(VLOOKUP($P318,'M1'!$A:$C,Q$2,FALSE)),"NOT PRESENT",VLOOKUP($P318,'M1'!$A:$C,Q$2,FALSE)),IF($M318=2,IF(ISERROR(VLOOKUP(DATA!$P318,'M2'!$A:$C,Q$2,FALSE)),"NOT PRESENT",VLOOKUP(DATA!$P318,'M2'!$A:$C,Q$2,FALSE)),IF($M318=0,IF(ISERROR(VLOOKUP($P318,'M1'!$A:$C,Q$2,FALSE)),IF(ISERROR(VLOOKUP(DATA!$P318,'M2'!$A:$C,Q$2,FALSE)),"NOT PRESENT",VLOOKUP(DATA!$P318,'M2'!$A:$C,Q$2,FALSE)),VLOOKUP($P318,'M1'!$A:$C,Q$2,FALSE)),"SPECIFY METHOD")))</f>
        <v>Patiria miniata</v>
      </c>
      <c r="R318" s="21" t="str">
        <f>IF($M318=1,IF(ISERROR(VLOOKUP($P318,'M1'!$A:$C,R$2,FALSE)),"NOT PRESENT",VLOOKUP($P318,'M1'!$A:$C,R$2,FALSE)),IF($M318=2,IF(ISERROR(VLOOKUP(DATA!$P318,'M2'!$A:$C,R$2,FALSE)),"NOT PRESENT",VLOOKUP(DATA!$P318,'M2'!$A:$C,R$2,FALSE)),IF($M318=0,IF(ISERROR(VLOOKUP($P318,'M1'!$A:$C,R$2,FALSE)),IF(ISERROR(VLOOKUP(DATA!$P318,'M2'!$A:$C,R$2,FALSE)),"NOT PRESENT",VLOOKUP(DATA!$P318,'M2'!$A:$C,R$2,FALSE)),VLOOKUP($P318,'M1'!$A:$C,R$2,FALSE)),"SPECIFY METHOD")))</f>
        <v>Bat star</v>
      </c>
      <c r="S318" s="28">
        <f t="shared" si="500"/>
        <v>1</v>
      </c>
      <c r="T318" s="20">
        <v>0</v>
      </c>
      <c r="U318" s="20"/>
      <c r="V318" s="20"/>
      <c r="W318" s="20"/>
      <c r="X318" s="20">
        <v>1</v>
      </c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</row>
    <row r="319" spans="1:68" ht="12.75" customHeight="1">
      <c r="A319" s="21">
        <f t="shared" si="497"/>
        <v>317</v>
      </c>
      <c r="B319" s="20" t="str">
        <f t="shared" ref="B319:D319" si="610">IF(ISERROR(B318),IF(ISERROR(B317),IF(ISERROR(B316),"BLANK",B316),B317),B318)</f>
        <v>Em Lim</v>
      </c>
      <c r="C319" s="20" t="str">
        <f t="shared" si="610"/>
        <v>Jasmin Schuster</v>
      </c>
      <c r="D319" s="20" t="str">
        <f t="shared" si="610"/>
        <v>BMSC17</v>
      </c>
      <c r="E319" s="21" t="str">
        <f>IF(ISERROR(VLOOKUP($D319,SITES!$A:$E,2,FALSE)),"",VLOOKUP($D319,SITES!$A:$E,2,FALSE))</f>
        <v>Wouwer Channel</v>
      </c>
      <c r="F319" s="19">
        <f>IF(ISERROR(VLOOKUP($D319,SITES!$A:$E,3,FALSE)),"",VLOOKUP($D319,SITES!$A:$E,3,FALSE))</f>
        <v>48.865482330322202</v>
      </c>
      <c r="G319" s="22">
        <f>IF(ISERROR(VLOOKUP($D319,SITES!$A:$E,4,FALSE)),"",VLOOKUP($D319,SITES!$A:$E,4,FALSE))</f>
        <v>-125.36148071289</v>
      </c>
      <c r="H319" s="23">
        <f t="shared" ref="H319:M319" si="611">IF(ISERROR(H318),IF(ISERROR(H317),IF(ISERROR(H316),"BLANK",H316),H317),H318)</f>
        <v>45414</v>
      </c>
      <c r="I319" s="20">
        <f t="shared" si="611"/>
        <v>2.5</v>
      </c>
      <c r="J319" s="20" t="str">
        <f t="shared" si="611"/>
        <v>NE</v>
      </c>
      <c r="K319" s="27">
        <f t="shared" si="611"/>
        <v>0.63194444444444442</v>
      </c>
      <c r="L319" s="20">
        <f t="shared" si="611"/>
        <v>5.8</v>
      </c>
      <c r="M319" s="20">
        <f t="shared" si="611"/>
        <v>2</v>
      </c>
      <c r="N319" s="20">
        <v>2</v>
      </c>
      <c r="O319" s="20">
        <v>8</v>
      </c>
      <c r="P319" s="20" t="s">
        <v>41</v>
      </c>
      <c r="Q319" s="21" t="str">
        <f>IF($M319=1,IF(ISERROR(VLOOKUP($P319,'M1'!$A:$C,Q$2,FALSE)),"NOT PRESENT",VLOOKUP($P319,'M1'!$A:$C,Q$2,FALSE)),IF($M319=2,IF(ISERROR(VLOOKUP(DATA!$P319,'M2'!$A:$C,Q$2,FALSE)),"NOT PRESENT",VLOOKUP(DATA!$P319,'M2'!$A:$C,Q$2,FALSE)),IF($M319=0,IF(ISERROR(VLOOKUP($P319,'M1'!$A:$C,Q$2,FALSE)),IF(ISERROR(VLOOKUP(DATA!$P319,'M2'!$A:$C,Q$2,FALSE)),"NOT PRESENT",VLOOKUP(DATA!$P319,'M2'!$A:$C,Q$2,FALSE)),VLOOKUP($P319,'M1'!$A:$C,Q$2,FALSE)),"SPECIFY METHOD")))</f>
        <v>Mesocentrotus franciscanus</v>
      </c>
      <c r="R319" s="21" t="str">
        <f>IF($M319=1,IF(ISERROR(VLOOKUP($P319,'M1'!$A:$C,R$2,FALSE)),"NOT PRESENT",VLOOKUP($P319,'M1'!$A:$C,R$2,FALSE)),IF($M319=2,IF(ISERROR(VLOOKUP(DATA!$P319,'M2'!$A:$C,R$2,FALSE)),"NOT PRESENT",VLOOKUP(DATA!$P319,'M2'!$A:$C,R$2,FALSE)),IF($M319=0,IF(ISERROR(VLOOKUP($P319,'M1'!$A:$C,R$2,FALSE)),IF(ISERROR(VLOOKUP(DATA!$P319,'M2'!$A:$C,R$2,FALSE)),"NOT PRESENT",VLOOKUP(DATA!$P319,'M2'!$A:$C,R$2,FALSE)),VLOOKUP($P319,'M1'!$A:$C,R$2,FALSE)),"SPECIFY METHOD")))</f>
        <v>Red sea urchin</v>
      </c>
      <c r="S319" s="28">
        <f t="shared" si="500"/>
        <v>1</v>
      </c>
      <c r="T319" s="20">
        <v>0</v>
      </c>
      <c r="U319" s="20"/>
      <c r="V319" s="20"/>
      <c r="W319" s="20"/>
      <c r="X319" s="20"/>
      <c r="Y319" s="20">
        <v>1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</row>
    <row r="320" spans="1:68" ht="12.75" customHeight="1">
      <c r="A320" s="21">
        <f t="shared" si="497"/>
        <v>318</v>
      </c>
      <c r="B320" s="20" t="str">
        <f t="shared" ref="B320:D320" si="612">IF(ISERROR(B319),IF(ISERROR(B318),IF(ISERROR(B317),"BLANK",B317),B318),B319)</f>
        <v>Em Lim</v>
      </c>
      <c r="C320" s="20" t="str">
        <f t="shared" si="612"/>
        <v>Jasmin Schuster</v>
      </c>
      <c r="D320" s="20" t="str">
        <f t="shared" si="612"/>
        <v>BMSC17</v>
      </c>
      <c r="E320" s="21" t="str">
        <f>IF(ISERROR(VLOOKUP($D320,SITES!$A:$E,2,FALSE)),"",VLOOKUP($D320,SITES!$A:$E,2,FALSE))</f>
        <v>Wouwer Channel</v>
      </c>
      <c r="F320" s="19">
        <f>IF(ISERROR(VLOOKUP($D320,SITES!$A:$E,3,FALSE)),"",VLOOKUP($D320,SITES!$A:$E,3,FALSE))</f>
        <v>48.865482330322202</v>
      </c>
      <c r="G320" s="22">
        <f>IF(ISERROR(VLOOKUP($D320,SITES!$A:$E,4,FALSE)),"",VLOOKUP($D320,SITES!$A:$E,4,FALSE))</f>
        <v>-125.36148071289</v>
      </c>
      <c r="H320" s="23">
        <f t="shared" ref="H320:M320" si="613">IF(ISERROR(H319),IF(ISERROR(H318),IF(ISERROR(H317),"BLANK",H317),H318),H319)</f>
        <v>45414</v>
      </c>
      <c r="I320" s="20">
        <f t="shared" si="613"/>
        <v>2.5</v>
      </c>
      <c r="J320" s="20" t="str">
        <f t="shared" si="613"/>
        <v>NE</v>
      </c>
      <c r="K320" s="27">
        <f t="shared" si="613"/>
        <v>0.63194444444444442</v>
      </c>
      <c r="L320" s="20">
        <f t="shared" si="613"/>
        <v>5.8</v>
      </c>
      <c r="M320" s="20">
        <f t="shared" si="613"/>
        <v>2</v>
      </c>
      <c r="N320" s="20">
        <v>2</v>
      </c>
      <c r="O320" s="20">
        <v>8</v>
      </c>
      <c r="P320" s="20" t="s">
        <v>40</v>
      </c>
      <c r="Q320" s="21" t="str">
        <f>IF($M320=1,IF(ISERROR(VLOOKUP($P320,'M1'!$A:$C,Q$2,FALSE)),"NOT PRESENT",VLOOKUP($P320,'M1'!$A:$C,Q$2,FALSE)),IF($M320=2,IF(ISERROR(VLOOKUP(DATA!$P320,'M2'!$A:$C,Q$2,FALSE)),"NOT PRESENT",VLOOKUP(DATA!$P320,'M2'!$A:$C,Q$2,FALSE)),IF($M320=0,IF(ISERROR(VLOOKUP($P320,'M1'!$A:$C,Q$2,FALSE)),IF(ISERROR(VLOOKUP(DATA!$P320,'M2'!$A:$C,Q$2,FALSE)),"NOT PRESENT",VLOOKUP(DATA!$P320,'M2'!$A:$C,Q$2,FALSE)),VLOOKUP($P320,'M1'!$A:$C,Q$2,FALSE)),"SPECIFY METHOD")))</f>
        <v>Patiria miniata</v>
      </c>
      <c r="R320" s="21" t="str">
        <f>IF($M320=1,IF(ISERROR(VLOOKUP($P320,'M1'!$A:$C,R$2,FALSE)),"NOT PRESENT",VLOOKUP($P320,'M1'!$A:$C,R$2,FALSE)),IF($M320=2,IF(ISERROR(VLOOKUP(DATA!$P320,'M2'!$A:$C,R$2,FALSE)),"NOT PRESENT",VLOOKUP(DATA!$P320,'M2'!$A:$C,R$2,FALSE)),IF($M320=0,IF(ISERROR(VLOOKUP($P320,'M1'!$A:$C,R$2,FALSE)),IF(ISERROR(VLOOKUP(DATA!$P320,'M2'!$A:$C,R$2,FALSE)),"NOT PRESENT",VLOOKUP(DATA!$P320,'M2'!$A:$C,R$2,FALSE)),VLOOKUP($P320,'M1'!$A:$C,R$2,FALSE)),"SPECIFY METHOD")))</f>
        <v>Bat star</v>
      </c>
      <c r="S320" s="28">
        <f t="shared" si="500"/>
        <v>1</v>
      </c>
      <c r="T320" s="20">
        <v>0</v>
      </c>
      <c r="U320" s="20"/>
      <c r="V320" s="20">
        <v>1</v>
      </c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</row>
    <row r="321" spans="1:68" ht="12.75" customHeight="1">
      <c r="A321" s="21">
        <f t="shared" si="497"/>
        <v>319</v>
      </c>
      <c r="B321" s="20" t="str">
        <f t="shared" ref="B321:D321" si="614">IF(ISERROR(B320),IF(ISERROR(B319),IF(ISERROR(B318),"BLANK",B318),B319),B320)</f>
        <v>Em Lim</v>
      </c>
      <c r="C321" s="20" t="str">
        <f t="shared" si="614"/>
        <v>Jasmin Schuster</v>
      </c>
      <c r="D321" s="20" t="str">
        <f t="shared" si="614"/>
        <v>BMSC17</v>
      </c>
      <c r="E321" s="21" t="str">
        <f>IF(ISERROR(VLOOKUP($D321,SITES!$A:$E,2,FALSE)),"",VLOOKUP($D321,SITES!$A:$E,2,FALSE))</f>
        <v>Wouwer Channel</v>
      </c>
      <c r="F321" s="19">
        <f>IF(ISERROR(VLOOKUP($D321,SITES!$A:$E,3,FALSE)),"",VLOOKUP($D321,SITES!$A:$E,3,FALSE))</f>
        <v>48.865482330322202</v>
      </c>
      <c r="G321" s="22">
        <f>IF(ISERROR(VLOOKUP($D321,SITES!$A:$E,4,FALSE)),"",VLOOKUP($D321,SITES!$A:$E,4,FALSE))</f>
        <v>-125.36148071289</v>
      </c>
      <c r="H321" s="23">
        <f t="shared" ref="H321:M321" si="615">IF(ISERROR(H320),IF(ISERROR(H319),IF(ISERROR(H318),"BLANK",H318),H319),H320)</f>
        <v>45414</v>
      </c>
      <c r="I321" s="20">
        <f t="shared" si="615"/>
        <v>2.5</v>
      </c>
      <c r="J321" s="20" t="str">
        <f t="shared" si="615"/>
        <v>NE</v>
      </c>
      <c r="K321" s="27">
        <f t="shared" si="615"/>
        <v>0.63194444444444442</v>
      </c>
      <c r="L321" s="20">
        <f t="shared" si="615"/>
        <v>5.8</v>
      </c>
      <c r="M321" s="20">
        <f t="shared" si="615"/>
        <v>2</v>
      </c>
      <c r="N321" s="20">
        <v>1</v>
      </c>
      <c r="O321" s="20">
        <v>16</v>
      </c>
      <c r="P321" s="20" t="s">
        <v>41</v>
      </c>
      <c r="Q321" s="21" t="str">
        <f>IF($M321=1,IF(ISERROR(VLOOKUP($P321,'M1'!$A:$C,Q$2,FALSE)),"NOT PRESENT",VLOOKUP($P321,'M1'!$A:$C,Q$2,FALSE)),IF($M321=2,IF(ISERROR(VLOOKUP(DATA!$P321,'M2'!$A:$C,Q$2,FALSE)),"NOT PRESENT",VLOOKUP(DATA!$P321,'M2'!$A:$C,Q$2,FALSE)),IF($M321=0,IF(ISERROR(VLOOKUP($P321,'M1'!$A:$C,Q$2,FALSE)),IF(ISERROR(VLOOKUP(DATA!$P321,'M2'!$A:$C,Q$2,FALSE)),"NOT PRESENT",VLOOKUP(DATA!$P321,'M2'!$A:$C,Q$2,FALSE)),VLOOKUP($P321,'M1'!$A:$C,Q$2,FALSE)),"SPECIFY METHOD")))</f>
        <v>Mesocentrotus franciscanus</v>
      </c>
      <c r="R321" s="21" t="str">
        <f>IF($M321=1,IF(ISERROR(VLOOKUP($P321,'M1'!$A:$C,R$2,FALSE)),"NOT PRESENT",VLOOKUP($P321,'M1'!$A:$C,R$2,FALSE)),IF($M321=2,IF(ISERROR(VLOOKUP(DATA!$P321,'M2'!$A:$C,R$2,FALSE)),"NOT PRESENT",VLOOKUP(DATA!$P321,'M2'!$A:$C,R$2,FALSE)),IF($M321=0,IF(ISERROR(VLOOKUP($P321,'M1'!$A:$C,R$2,FALSE)),IF(ISERROR(VLOOKUP(DATA!$P321,'M2'!$A:$C,R$2,FALSE)),"NOT PRESENT",VLOOKUP(DATA!$P321,'M2'!$A:$C,R$2,FALSE)),VLOOKUP($P321,'M1'!$A:$C,R$2,FALSE)),"SPECIFY METHOD")))</f>
        <v>Red sea urchin</v>
      </c>
      <c r="S321" s="28">
        <f t="shared" si="500"/>
        <v>4</v>
      </c>
      <c r="T321" s="20">
        <v>0</v>
      </c>
      <c r="U321" s="20"/>
      <c r="V321" s="20">
        <v>1</v>
      </c>
      <c r="W321" s="20">
        <v>1</v>
      </c>
      <c r="X321" s="20">
        <v>1</v>
      </c>
      <c r="Y321" s="20">
        <v>1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</row>
    <row r="322" spans="1:68" ht="12.75" customHeight="1">
      <c r="A322" s="21">
        <f t="shared" si="497"/>
        <v>320</v>
      </c>
      <c r="B322" s="20" t="str">
        <f t="shared" ref="B322:D322" si="616">IF(ISERROR(B321),IF(ISERROR(B320),IF(ISERROR(B319),"BLANK",B319),B320),B321)</f>
        <v>Em Lim</v>
      </c>
      <c r="C322" s="20" t="str">
        <f t="shared" si="616"/>
        <v>Jasmin Schuster</v>
      </c>
      <c r="D322" s="20" t="str">
        <f t="shared" si="616"/>
        <v>BMSC17</v>
      </c>
      <c r="E322" s="21" t="str">
        <f>IF(ISERROR(VLOOKUP($D322,SITES!$A:$E,2,FALSE)),"",VLOOKUP($D322,SITES!$A:$E,2,FALSE))</f>
        <v>Wouwer Channel</v>
      </c>
      <c r="F322" s="19">
        <f>IF(ISERROR(VLOOKUP($D322,SITES!$A:$E,3,FALSE)),"",VLOOKUP($D322,SITES!$A:$E,3,FALSE))</f>
        <v>48.865482330322202</v>
      </c>
      <c r="G322" s="22">
        <f>IF(ISERROR(VLOOKUP($D322,SITES!$A:$E,4,FALSE)),"",VLOOKUP($D322,SITES!$A:$E,4,FALSE))</f>
        <v>-125.36148071289</v>
      </c>
      <c r="H322" s="23">
        <f t="shared" ref="H322:M322" si="617">IF(ISERROR(H321),IF(ISERROR(H320),IF(ISERROR(H319),"BLANK",H319),H320),H321)</f>
        <v>45414</v>
      </c>
      <c r="I322" s="20">
        <f t="shared" si="617"/>
        <v>2.5</v>
      </c>
      <c r="J322" s="20" t="str">
        <f t="shared" si="617"/>
        <v>NE</v>
      </c>
      <c r="K322" s="27">
        <f t="shared" si="617"/>
        <v>0.63194444444444442</v>
      </c>
      <c r="L322" s="20">
        <f t="shared" si="617"/>
        <v>5.8</v>
      </c>
      <c r="M322" s="20">
        <f t="shared" si="617"/>
        <v>2</v>
      </c>
      <c r="N322" s="20">
        <v>2</v>
      </c>
      <c r="O322" s="20">
        <v>24</v>
      </c>
      <c r="P322" s="20" t="s">
        <v>41</v>
      </c>
      <c r="Q322" s="21" t="str">
        <f>IF($M322=1,IF(ISERROR(VLOOKUP($P322,'M1'!$A:$C,Q$2,FALSE)),"NOT PRESENT",VLOOKUP($P322,'M1'!$A:$C,Q$2,FALSE)),IF($M322=2,IF(ISERROR(VLOOKUP(DATA!$P322,'M2'!$A:$C,Q$2,FALSE)),"NOT PRESENT",VLOOKUP(DATA!$P322,'M2'!$A:$C,Q$2,FALSE)),IF($M322=0,IF(ISERROR(VLOOKUP($P322,'M1'!$A:$C,Q$2,FALSE)),IF(ISERROR(VLOOKUP(DATA!$P322,'M2'!$A:$C,Q$2,FALSE)),"NOT PRESENT",VLOOKUP(DATA!$P322,'M2'!$A:$C,Q$2,FALSE)),VLOOKUP($P322,'M1'!$A:$C,Q$2,FALSE)),"SPECIFY METHOD")))</f>
        <v>Mesocentrotus franciscanus</v>
      </c>
      <c r="R322" s="21" t="str">
        <f>IF($M322=1,IF(ISERROR(VLOOKUP($P322,'M1'!$A:$C,R$2,FALSE)),"NOT PRESENT",VLOOKUP($P322,'M1'!$A:$C,R$2,FALSE)),IF($M322=2,IF(ISERROR(VLOOKUP(DATA!$P322,'M2'!$A:$C,R$2,FALSE)),"NOT PRESENT",VLOOKUP(DATA!$P322,'M2'!$A:$C,R$2,FALSE)),IF($M322=0,IF(ISERROR(VLOOKUP($P322,'M1'!$A:$C,R$2,FALSE)),IF(ISERROR(VLOOKUP(DATA!$P322,'M2'!$A:$C,R$2,FALSE)),"NOT PRESENT",VLOOKUP(DATA!$P322,'M2'!$A:$C,R$2,FALSE)),VLOOKUP($P322,'M1'!$A:$C,R$2,FALSE)),"SPECIFY METHOD")))</f>
        <v>Red sea urchin</v>
      </c>
      <c r="S322" s="28">
        <f t="shared" si="500"/>
        <v>1</v>
      </c>
      <c r="T322" s="20">
        <v>0</v>
      </c>
      <c r="U322" s="20"/>
      <c r="V322" s="20"/>
      <c r="W322" s="20"/>
      <c r="X322" s="20"/>
      <c r="Y322" s="20">
        <v>1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</row>
    <row r="323" spans="1:68" ht="12.75" customHeight="1">
      <c r="A323" s="21">
        <f t="shared" si="497"/>
        <v>321</v>
      </c>
      <c r="B323" s="20" t="str">
        <f t="shared" ref="B323:D323" si="618">IF(ISERROR(B322),IF(ISERROR(B321),IF(ISERROR(B320),"BLANK",B320),B321),B322)</f>
        <v>Em Lim</v>
      </c>
      <c r="C323" s="20" t="str">
        <f t="shared" si="618"/>
        <v>Jasmin Schuster</v>
      </c>
      <c r="D323" s="20" t="str">
        <f t="shared" si="618"/>
        <v>BMSC17</v>
      </c>
      <c r="E323" s="21" t="str">
        <f>IF(ISERROR(VLOOKUP($D323,SITES!$A:$E,2,FALSE)),"",VLOOKUP($D323,SITES!$A:$E,2,FALSE))</f>
        <v>Wouwer Channel</v>
      </c>
      <c r="F323" s="19">
        <f>IF(ISERROR(VLOOKUP($D323,SITES!$A:$E,3,FALSE)),"",VLOOKUP($D323,SITES!$A:$E,3,FALSE))</f>
        <v>48.865482330322202</v>
      </c>
      <c r="G323" s="22">
        <f>IF(ISERROR(VLOOKUP($D323,SITES!$A:$E,4,FALSE)),"",VLOOKUP($D323,SITES!$A:$E,4,FALSE))</f>
        <v>-125.36148071289</v>
      </c>
      <c r="H323" s="23">
        <f t="shared" ref="H323:M323" si="619">IF(ISERROR(H322),IF(ISERROR(H321),IF(ISERROR(H320),"BLANK",H320),H321),H322)</f>
        <v>45414</v>
      </c>
      <c r="I323" s="20">
        <f t="shared" si="619"/>
        <v>2.5</v>
      </c>
      <c r="J323" s="20" t="str">
        <f t="shared" si="619"/>
        <v>NE</v>
      </c>
      <c r="K323" s="27">
        <f t="shared" si="619"/>
        <v>0.63194444444444442</v>
      </c>
      <c r="L323" s="20">
        <f t="shared" si="619"/>
        <v>5.8</v>
      </c>
      <c r="M323" s="20">
        <f t="shared" si="619"/>
        <v>2</v>
      </c>
      <c r="N323" s="20">
        <v>1</v>
      </c>
      <c r="O323" s="20">
        <v>32</v>
      </c>
      <c r="P323" s="20" t="s">
        <v>41</v>
      </c>
      <c r="Q323" s="21" t="str">
        <f>IF($M323=1,IF(ISERROR(VLOOKUP($P323,'M1'!$A:$C,Q$2,FALSE)),"NOT PRESENT",VLOOKUP($P323,'M1'!$A:$C,Q$2,FALSE)),IF($M323=2,IF(ISERROR(VLOOKUP(DATA!$P323,'M2'!$A:$C,Q$2,FALSE)),"NOT PRESENT",VLOOKUP(DATA!$P323,'M2'!$A:$C,Q$2,FALSE)),IF($M323=0,IF(ISERROR(VLOOKUP($P323,'M1'!$A:$C,Q$2,FALSE)),IF(ISERROR(VLOOKUP(DATA!$P323,'M2'!$A:$C,Q$2,FALSE)),"NOT PRESENT",VLOOKUP(DATA!$P323,'M2'!$A:$C,Q$2,FALSE)),VLOOKUP($P323,'M1'!$A:$C,Q$2,FALSE)),"SPECIFY METHOD")))</f>
        <v>Mesocentrotus franciscanus</v>
      </c>
      <c r="R323" s="21" t="str">
        <f>IF($M323=1,IF(ISERROR(VLOOKUP($P323,'M1'!$A:$C,R$2,FALSE)),"NOT PRESENT",VLOOKUP($P323,'M1'!$A:$C,R$2,FALSE)),IF($M323=2,IF(ISERROR(VLOOKUP(DATA!$P323,'M2'!$A:$C,R$2,FALSE)),"NOT PRESENT",VLOOKUP(DATA!$P323,'M2'!$A:$C,R$2,FALSE)),IF($M323=0,IF(ISERROR(VLOOKUP($P323,'M1'!$A:$C,R$2,FALSE)),IF(ISERROR(VLOOKUP(DATA!$P323,'M2'!$A:$C,R$2,FALSE)),"NOT PRESENT",VLOOKUP(DATA!$P323,'M2'!$A:$C,R$2,FALSE)),VLOOKUP($P323,'M1'!$A:$C,R$2,FALSE)),"SPECIFY METHOD")))</f>
        <v>Red sea urchin</v>
      </c>
      <c r="S323" s="28">
        <f t="shared" si="500"/>
        <v>1</v>
      </c>
      <c r="T323" s="20">
        <v>0</v>
      </c>
      <c r="U323" s="20"/>
      <c r="V323" s="20"/>
      <c r="W323" s="20"/>
      <c r="X323" s="20">
        <v>1</v>
      </c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</row>
    <row r="324" spans="1:68" ht="12.75" customHeight="1">
      <c r="A324" s="21">
        <f t="shared" si="497"/>
        <v>322</v>
      </c>
      <c r="B324" s="20" t="str">
        <f t="shared" ref="B324:D324" si="620">IF(ISERROR(B323),IF(ISERROR(B322),IF(ISERROR(B321),"BLANK",B321),B322),B323)</f>
        <v>Em Lim</v>
      </c>
      <c r="C324" s="20" t="str">
        <f t="shared" si="620"/>
        <v>Jasmin Schuster</v>
      </c>
      <c r="D324" s="20" t="str">
        <f t="shared" si="620"/>
        <v>BMSC17</v>
      </c>
      <c r="E324" s="21" t="str">
        <f>IF(ISERROR(VLOOKUP($D324,SITES!$A:$E,2,FALSE)),"",VLOOKUP($D324,SITES!$A:$E,2,FALSE))</f>
        <v>Wouwer Channel</v>
      </c>
      <c r="F324" s="19">
        <f>IF(ISERROR(VLOOKUP($D324,SITES!$A:$E,3,FALSE)),"",VLOOKUP($D324,SITES!$A:$E,3,FALSE))</f>
        <v>48.865482330322202</v>
      </c>
      <c r="G324" s="22">
        <f>IF(ISERROR(VLOOKUP($D324,SITES!$A:$E,4,FALSE)),"",VLOOKUP($D324,SITES!$A:$E,4,FALSE))</f>
        <v>-125.36148071289</v>
      </c>
      <c r="H324" s="23">
        <f t="shared" ref="H324:M324" si="621">IF(ISERROR(H323),IF(ISERROR(H322),IF(ISERROR(H321),"BLANK",H321),H322),H323)</f>
        <v>45414</v>
      </c>
      <c r="I324" s="20">
        <f t="shared" si="621"/>
        <v>2.5</v>
      </c>
      <c r="J324" s="20" t="str">
        <f t="shared" si="621"/>
        <v>NE</v>
      </c>
      <c r="K324" s="27">
        <f t="shared" si="621"/>
        <v>0.63194444444444442</v>
      </c>
      <c r="L324" s="20">
        <f t="shared" si="621"/>
        <v>5.8</v>
      </c>
      <c r="M324" s="20">
        <f t="shared" si="621"/>
        <v>2</v>
      </c>
      <c r="N324" s="20">
        <v>1</v>
      </c>
      <c r="O324" s="20">
        <v>32</v>
      </c>
      <c r="P324" s="20" t="s">
        <v>40</v>
      </c>
      <c r="Q324" s="21" t="str">
        <f>IF($M324=1,IF(ISERROR(VLOOKUP($P324,'M1'!$A:$C,Q$2,FALSE)),"NOT PRESENT",VLOOKUP($P324,'M1'!$A:$C,Q$2,FALSE)),IF($M324=2,IF(ISERROR(VLOOKUP(DATA!$P324,'M2'!$A:$C,Q$2,FALSE)),"NOT PRESENT",VLOOKUP(DATA!$P324,'M2'!$A:$C,Q$2,FALSE)),IF($M324=0,IF(ISERROR(VLOOKUP($P324,'M1'!$A:$C,Q$2,FALSE)),IF(ISERROR(VLOOKUP(DATA!$P324,'M2'!$A:$C,Q$2,FALSE)),"NOT PRESENT",VLOOKUP(DATA!$P324,'M2'!$A:$C,Q$2,FALSE)),VLOOKUP($P324,'M1'!$A:$C,Q$2,FALSE)),"SPECIFY METHOD")))</f>
        <v>Patiria miniata</v>
      </c>
      <c r="R324" s="21" t="str">
        <f>IF($M324=1,IF(ISERROR(VLOOKUP($P324,'M1'!$A:$C,R$2,FALSE)),"NOT PRESENT",VLOOKUP($P324,'M1'!$A:$C,R$2,FALSE)),IF($M324=2,IF(ISERROR(VLOOKUP(DATA!$P324,'M2'!$A:$C,R$2,FALSE)),"NOT PRESENT",VLOOKUP(DATA!$P324,'M2'!$A:$C,R$2,FALSE)),IF($M324=0,IF(ISERROR(VLOOKUP($P324,'M1'!$A:$C,R$2,FALSE)),IF(ISERROR(VLOOKUP(DATA!$P324,'M2'!$A:$C,R$2,FALSE)),"NOT PRESENT",VLOOKUP(DATA!$P324,'M2'!$A:$C,R$2,FALSE)),VLOOKUP($P324,'M1'!$A:$C,R$2,FALSE)),"SPECIFY METHOD")))</f>
        <v>Bat star</v>
      </c>
      <c r="S324" s="28">
        <f t="shared" si="500"/>
        <v>1</v>
      </c>
      <c r="T324" s="20">
        <v>0</v>
      </c>
      <c r="U324" s="20"/>
      <c r="V324" s="20"/>
      <c r="W324" s="20"/>
      <c r="X324" s="20">
        <v>1</v>
      </c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</row>
    <row r="325" spans="1:68" ht="12.75" customHeight="1">
      <c r="A325" s="21">
        <f t="shared" si="497"/>
        <v>323</v>
      </c>
      <c r="B325" s="20" t="str">
        <f t="shared" ref="B325:D325" si="622">IF(ISERROR(B324),IF(ISERROR(B323),IF(ISERROR(B322),"BLANK",B322),B323),B324)</f>
        <v>Em Lim</v>
      </c>
      <c r="C325" s="20" t="str">
        <f t="shared" si="622"/>
        <v>Jasmin Schuster</v>
      </c>
      <c r="D325" s="20" t="str">
        <f t="shared" si="622"/>
        <v>BMSC17</v>
      </c>
      <c r="E325" s="21" t="str">
        <f>IF(ISERROR(VLOOKUP($D325,SITES!$A:$E,2,FALSE)),"",VLOOKUP($D325,SITES!$A:$E,2,FALSE))</f>
        <v>Wouwer Channel</v>
      </c>
      <c r="F325" s="19">
        <f>IF(ISERROR(VLOOKUP($D325,SITES!$A:$E,3,FALSE)),"",VLOOKUP($D325,SITES!$A:$E,3,FALSE))</f>
        <v>48.865482330322202</v>
      </c>
      <c r="G325" s="22">
        <f>IF(ISERROR(VLOOKUP($D325,SITES!$A:$E,4,FALSE)),"",VLOOKUP($D325,SITES!$A:$E,4,FALSE))</f>
        <v>-125.36148071289</v>
      </c>
      <c r="H325" s="23">
        <f t="shared" ref="H325:M325" si="623">IF(ISERROR(H324),IF(ISERROR(H323),IF(ISERROR(H322),"BLANK",H322),H323),H324)</f>
        <v>45414</v>
      </c>
      <c r="I325" s="20">
        <f t="shared" si="623"/>
        <v>2.5</v>
      </c>
      <c r="J325" s="20" t="str">
        <f t="shared" si="623"/>
        <v>NE</v>
      </c>
      <c r="K325" s="27">
        <f t="shared" si="623"/>
        <v>0.63194444444444442</v>
      </c>
      <c r="L325" s="20">
        <f t="shared" si="623"/>
        <v>5.8</v>
      </c>
      <c r="M325" s="20">
        <f t="shared" si="623"/>
        <v>2</v>
      </c>
      <c r="N325" s="20">
        <v>2</v>
      </c>
      <c r="O325" s="20">
        <v>40</v>
      </c>
      <c r="P325" s="20" t="s">
        <v>41</v>
      </c>
      <c r="Q325" s="21" t="str">
        <f>IF($M325=1,IF(ISERROR(VLOOKUP($P325,'M1'!$A:$C,Q$2,FALSE)),"NOT PRESENT",VLOOKUP($P325,'M1'!$A:$C,Q$2,FALSE)),IF($M325=2,IF(ISERROR(VLOOKUP(DATA!$P325,'M2'!$A:$C,Q$2,FALSE)),"NOT PRESENT",VLOOKUP(DATA!$P325,'M2'!$A:$C,Q$2,FALSE)),IF($M325=0,IF(ISERROR(VLOOKUP($P325,'M1'!$A:$C,Q$2,FALSE)),IF(ISERROR(VLOOKUP(DATA!$P325,'M2'!$A:$C,Q$2,FALSE)),"NOT PRESENT",VLOOKUP(DATA!$P325,'M2'!$A:$C,Q$2,FALSE)),VLOOKUP($P325,'M1'!$A:$C,Q$2,FALSE)),"SPECIFY METHOD")))</f>
        <v>Mesocentrotus franciscanus</v>
      </c>
      <c r="R325" s="21" t="str">
        <f>IF($M325=1,IF(ISERROR(VLOOKUP($P325,'M1'!$A:$C,R$2,FALSE)),"NOT PRESENT",VLOOKUP($P325,'M1'!$A:$C,R$2,FALSE)),IF($M325=2,IF(ISERROR(VLOOKUP(DATA!$P325,'M2'!$A:$C,R$2,FALSE)),"NOT PRESENT",VLOOKUP(DATA!$P325,'M2'!$A:$C,R$2,FALSE)),IF($M325=0,IF(ISERROR(VLOOKUP($P325,'M1'!$A:$C,R$2,FALSE)),IF(ISERROR(VLOOKUP(DATA!$P325,'M2'!$A:$C,R$2,FALSE)),"NOT PRESENT",VLOOKUP(DATA!$P325,'M2'!$A:$C,R$2,FALSE)),VLOOKUP($P325,'M1'!$A:$C,R$2,FALSE)),"SPECIFY METHOD")))</f>
        <v>Red sea urchin</v>
      </c>
      <c r="S325" s="28">
        <f t="shared" si="500"/>
        <v>5</v>
      </c>
      <c r="T325" s="20">
        <v>0</v>
      </c>
      <c r="U325" s="20"/>
      <c r="V325" s="20"/>
      <c r="W325" s="20">
        <v>2</v>
      </c>
      <c r="X325" s="20">
        <v>2</v>
      </c>
      <c r="Y325" s="20">
        <v>1</v>
      </c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</row>
    <row r="326" spans="1:68" ht="12.75" customHeight="1">
      <c r="A326" s="21">
        <f t="shared" si="497"/>
        <v>324</v>
      </c>
      <c r="B326" s="20" t="str">
        <f t="shared" ref="B326:D326" si="624">IF(ISERROR(B325),IF(ISERROR(B324),IF(ISERROR(B323),"BLANK",B323),B324),B325)</f>
        <v>Em Lim</v>
      </c>
      <c r="C326" s="20" t="str">
        <f t="shared" si="624"/>
        <v>Jasmin Schuster</v>
      </c>
      <c r="D326" s="20" t="str">
        <f t="shared" si="624"/>
        <v>BMSC17</v>
      </c>
      <c r="E326" s="21" t="str">
        <f>IF(ISERROR(VLOOKUP($D326,SITES!$A:$E,2,FALSE)),"",VLOOKUP($D326,SITES!$A:$E,2,FALSE))</f>
        <v>Wouwer Channel</v>
      </c>
      <c r="F326" s="19">
        <f>IF(ISERROR(VLOOKUP($D326,SITES!$A:$E,3,FALSE)),"",VLOOKUP($D326,SITES!$A:$E,3,FALSE))</f>
        <v>48.865482330322202</v>
      </c>
      <c r="G326" s="22">
        <f>IF(ISERROR(VLOOKUP($D326,SITES!$A:$E,4,FALSE)),"",VLOOKUP($D326,SITES!$A:$E,4,FALSE))</f>
        <v>-125.36148071289</v>
      </c>
      <c r="H326" s="23">
        <f t="shared" ref="H326:M326" si="625">IF(ISERROR(H325),IF(ISERROR(H324),IF(ISERROR(H323),"BLANK",H323),H324),H325)</f>
        <v>45414</v>
      </c>
      <c r="I326" s="20">
        <f t="shared" si="625"/>
        <v>2.5</v>
      </c>
      <c r="J326" s="20" t="str">
        <f t="shared" si="625"/>
        <v>NE</v>
      </c>
      <c r="K326" s="27">
        <f t="shared" si="625"/>
        <v>0.63194444444444442</v>
      </c>
      <c r="L326" s="20">
        <f t="shared" si="625"/>
        <v>5.8</v>
      </c>
      <c r="M326" s="20">
        <f t="shared" si="625"/>
        <v>2</v>
      </c>
      <c r="N326" s="20">
        <v>1</v>
      </c>
      <c r="O326" s="20">
        <v>48</v>
      </c>
      <c r="P326" s="20" t="s">
        <v>41</v>
      </c>
      <c r="Q326" s="21" t="str">
        <f>IF($M326=1,IF(ISERROR(VLOOKUP($P326,'M1'!$A:$C,Q$2,FALSE)),"NOT PRESENT",VLOOKUP($P326,'M1'!$A:$C,Q$2,FALSE)),IF($M326=2,IF(ISERROR(VLOOKUP(DATA!$P326,'M2'!$A:$C,Q$2,FALSE)),"NOT PRESENT",VLOOKUP(DATA!$P326,'M2'!$A:$C,Q$2,FALSE)),IF($M326=0,IF(ISERROR(VLOOKUP($P326,'M1'!$A:$C,Q$2,FALSE)),IF(ISERROR(VLOOKUP(DATA!$P326,'M2'!$A:$C,Q$2,FALSE)),"NOT PRESENT",VLOOKUP(DATA!$P326,'M2'!$A:$C,Q$2,FALSE)),VLOOKUP($P326,'M1'!$A:$C,Q$2,FALSE)),"SPECIFY METHOD")))</f>
        <v>Mesocentrotus franciscanus</v>
      </c>
      <c r="R326" s="21" t="str">
        <f>IF($M326=1,IF(ISERROR(VLOOKUP($P326,'M1'!$A:$C,R$2,FALSE)),"NOT PRESENT",VLOOKUP($P326,'M1'!$A:$C,R$2,FALSE)),IF($M326=2,IF(ISERROR(VLOOKUP(DATA!$P326,'M2'!$A:$C,R$2,FALSE)),"NOT PRESENT",VLOOKUP(DATA!$P326,'M2'!$A:$C,R$2,FALSE)),IF($M326=0,IF(ISERROR(VLOOKUP($P326,'M1'!$A:$C,R$2,FALSE)),IF(ISERROR(VLOOKUP(DATA!$P326,'M2'!$A:$C,R$2,FALSE)),"NOT PRESENT",VLOOKUP(DATA!$P326,'M2'!$A:$C,R$2,FALSE)),VLOOKUP($P326,'M1'!$A:$C,R$2,FALSE)),"SPECIFY METHOD")))</f>
        <v>Red sea urchin</v>
      </c>
      <c r="S326" s="28">
        <f t="shared" si="500"/>
        <v>1</v>
      </c>
      <c r="T326" s="20">
        <v>0</v>
      </c>
      <c r="U326" s="20"/>
      <c r="V326" s="20"/>
      <c r="W326" s="20"/>
      <c r="X326" s="20"/>
      <c r="Y326" s="20">
        <v>1</v>
      </c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</row>
    <row r="327" spans="1:68" ht="12.75" customHeight="1">
      <c r="A327" s="21">
        <f t="shared" si="497"/>
        <v>325</v>
      </c>
      <c r="B327" s="20" t="str">
        <f t="shared" ref="B327:B349" si="626">IF(ISERROR(B326),IF(ISERROR(B325),IF(ISERROR(B324),"BLANK",B324),B325),B326)</f>
        <v>Em Lim</v>
      </c>
      <c r="C327" s="20" t="s">
        <v>75</v>
      </c>
      <c r="D327" s="20" t="s">
        <v>83</v>
      </c>
      <c r="E327" s="21" t="str">
        <f>IF(ISERROR(VLOOKUP($D327,SITES!$A:$E,2,FALSE)),"",VLOOKUP($D327,SITES!$A:$E,2,FALSE))</f>
        <v>Effingham West</v>
      </c>
      <c r="F327" s="19">
        <f>IF(ISERROR(VLOOKUP($D327,SITES!$A:$E,3,FALSE)),"",VLOOKUP($D327,SITES!$A:$E,3,FALSE))</f>
        <v>48.865032196044901</v>
      </c>
      <c r="G327" s="22">
        <f>IF(ISERROR(VLOOKUP($D327,SITES!$A:$E,4,FALSE)),"",VLOOKUP($D327,SITES!$A:$E,4,FALSE))</f>
        <v>-125.313720703125</v>
      </c>
      <c r="H327" s="23">
        <v>45413</v>
      </c>
      <c r="I327" s="20">
        <v>3</v>
      </c>
      <c r="J327" s="20" t="s">
        <v>68</v>
      </c>
      <c r="K327" s="27">
        <v>0.62013888888888891</v>
      </c>
      <c r="L327" s="20">
        <v>3</v>
      </c>
      <c r="M327" s="20">
        <v>2</v>
      </c>
      <c r="N327" s="20">
        <v>2</v>
      </c>
      <c r="O327" s="20">
        <v>48</v>
      </c>
      <c r="P327" s="20" t="s">
        <v>41</v>
      </c>
      <c r="Q327" s="21" t="str">
        <f>IF($M327=1,IF(ISERROR(VLOOKUP($P327,'M1'!$A:$C,Q$2,FALSE)),"NOT PRESENT",VLOOKUP($P327,'M1'!$A:$C,Q$2,FALSE)),IF($M327=2,IF(ISERROR(VLOOKUP(DATA!$P327,'M2'!$A:$C,Q$2,FALSE)),"NOT PRESENT",VLOOKUP(DATA!$P327,'M2'!$A:$C,Q$2,FALSE)),IF($M327=0,IF(ISERROR(VLOOKUP($P327,'M1'!$A:$C,Q$2,FALSE)),IF(ISERROR(VLOOKUP(DATA!$P327,'M2'!$A:$C,Q$2,FALSE)),"NOT PRESENT",VLOOKUP(DATA!$P327,'M2'!$A:$C,Q$2,FALSE)),VLOOKUP($P327,'M1'!$A:$C,Q$2,FALSE)),"SPECIFY METHOD")))</f>
        <v>Mesocentrotus franciscanus</v>
      </c>
      <c r="R327" s="21" t="str">
        <f>IF($M327=1,IF(ISERROR(VLOOKUP($P327,'M1'!$A:$C,R$2,FALSE)),"NOT PRESENT",VLOOKUP($P327,'M1'!$A:$C,R$2,FALSE)),IF($M327=2,IF(ISERROR(VLOOKUP(DATA!$P327,'M2'!$A:$C,R$2,FALSE)),"NOT PRESENT",VLOOKUP(DATA!$P327,'M2'!$A:$C,R$2,FALSE)),IF($M327=0,IF(ISERROR(VLOOKUP($P327,'M1'!$A:$C,R$2,FALSE)),IF(ISERROR(VLOOKUP(DATA!$P327,'M2'!$A:$C,R$2,FALSE)),"NOT PRESENT",VLOOKUP(DATA!$P327,'M2'!$A:$C,R$2,FALSE)),VLOOKUP($P327,'M1'!$A:$C,R$2,FALSE)),"SPECIFY METHOD")))</f>
        <v>Red sea urchin</v>
      </c>
      <c r="S327" s="28">
        <f t="shared" si="500"/>
        <v>9</v>
      </c>
      <c r="T327" s="20">
        <v>0</v>
      </c>
      <c r="U327" s="20">
        <v>2</v>
      </c>
      <c r="V327" s="20">
        <v>2</v>
      </c>
      <c r="W327" s="20">
        <v>3</v>
      </c>
      <c r="X327" s="20">
        <v>1</v>
      </c>
      <c r="Y327" s="20">
        <v>1</v>
      </c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</row>
    <row r="328" spans="1:68" ht="12.75" customHeight="1">
      <c r="A328" s="21">
        <f t="shared" si="497"/>
        <v>326</v>
      </c>
      <c r="B328" s="20" t="str">
        <f t="shared" si="626"/>
        <v>Em Lim</v>
      </c>
      <c r="C328" s="20" t="str">
        <f t="shared" ref="C328:D328" si="627">IF(ISERROR(C327),IF(ISERROR(C326),IF(ISERROR(C325),"BLANK",C325),C326),C327)</f>
        <v>Valesca de Groot</v>
      </c>
      <c r="D328" s="20" t="str">
        <f t="shared" si="627"/>
        <v>BMSC13</v>
      </c>
      <c r="E328" s="21" t="str">
        <f>IF(ISERROR(VLOOKUP($D328,SITES!$A:$E,2,FALSE)),"",VLOOKUP($D328,SITES!$A:$E,2,FALSE))</f>
        <v>Effingham West</v>
      </c>
      <c r="F328" s="19">
        <f>IF(ISERROR(VLOOKUP($D328,SITES!$A:$E,3,FALSE)),"",VLOOKUP($D328,SITES!$A:$E,3,FALSE))</f>
        <v>48.865032196044901</v>
      </c>
      <c r="G328" s="22">
        <f>IF(ISERROR(VLOOKUP($D328,SITES!$A:$E,4,FALSE)),"",VLOOKUP($D328,SITES!$A:$E,4,FALSE))</f>
        <v>-125.313720703125</v>
      </c>
      <c r="H328" s="23">
        <f t="shared" ref="H328:M328" si="628">IF(ISERROR(H327),IF(ISERROR(H326),IF(ISERROR(H325),"BLANK",H325),H326),H327)</f>
        <v>45413</v>
      </c>
      <c r="I328" s="20">
        <f t="shared" si="628"/>
        <v>3</v>
      </c>
      <c r="J328" s="20" t="str">
        <f t="shared" si="628"/>
        <v>W</v>
      </c>
      <c r="K328" s="27">
        <f t="shared" si="628"/>
        <v>0.62013888888888891</v>
      </c>
      <c r="L328" s="20">
        <f t="shared" si="628"/>
        <v>3</v>
      </c>
      <c r="M328" s="20">
        <f t="shared" si="628"/>
        <v>2</v>
      </c>
      <c r="N328" s="20">
        <v>2</v>
      </c>
      <c r="O328" s="20">
        <v>48</v>
      </c>
      <c r="P328" s="20" t="s">
        <v>42</v>
      </c>
      <c r="Q328" s="21" t="str">
        <f>IF($M328=1,IF(ISERROR(VLOOKUP($P328,'M1'!$A:$C,Q$2,FALSE)),"NOT PRESENT",VLOOKUP($P328,'M1'!$A:$C,Q$2,FALSE)),IF($M328=2,IF(ISERROR(VLOOKUP(DATA!$P328,'M2'!$A:$C,Q$2,FALSE)),"NOT PRESENT",VLOOKUP(DATA!$P328,'M2'!$A:$C,Q$2,FALSE)),IF($M328=0,IF(ISERROR(VLOOKUP($P328,'M1'!$A:$C,Q$2,FALSE)),IF(ISERROR(VLOOKUP(DATA!$P328,'M2'!$A:$C,Q$2,FALSE)),"NOT PRESENT",VLOOKUP(DATA!$P328,'M2'!$A:$C,Q$2,FALSE)),VLOOKUP($P328,'M1'!$A:$C,Q$2,FALSE)),"SPECIFY METHOD")))</f>
        <v>Orthasterias koehleri</v>
      </c>
      <c r="R328" s="21" t="str">
        <f>IF($M328=1,IF(ISERROR(VLOOKUP($P328,'M1'!$A:$C,R$2,FALSE)),"NOT PRESENT",VLOOKUP($P328,'M1'!$A:$C,R$2,FALSE)),IF($M328=2,IF(ISERROR(VLOOKUP(DATA!$P328,'M2'!$A:$C,R$2,FALSE)),"NOT PRESENT",VLOOKUP(DATA!$P328,'M2'!$A:$C,R$2,FALSE)),IF($M328=0,IF(ISERROR(VLOOKUP($P328,'M1'!$A:$C,R$2,FALSE)),IF(ISERROR(VLOOKUP(DATA!$P328,'M2'!$A:$C,R$2,FALSE)),"NOT PRESENT",VLOOKUP(DATA!$P328,'M2'!$A:$C,R$2,FALSE)),VLOOKUP($P328,'M1'!$A:$C,R$2,FALSE)),"SPECIFY METHOD")))</f>
        <v>Rainbow star</v>
      </c>
      <c r="S328" s="28">
        <f t="shared" si="500"/>
        <v>1</v>
      </c>
      <c r="T328" s="20">
        <v>0</v>
      </c>
      <c r="U328" s="20"/>
      <c r="V328" s="20">
        <v>1</v>
      </c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</row>
    <row r="329" spans="1:68" ht="12.75" customHeight="1">
      <c r="A329" s="21">
        <f t="shared" si="497"/>
        <v>327</v>
      </c>
      <c r="B329" s="20" t="str">
        <f t="shared" si="626"/>
        <v>Em Lim</v>
      </c>
      <c r="C329" s="20" t="str">
        <f t="shared" ref="C329:D329" si="629">IF(ISERROR(C328),IF(ISERROR(C327),IF(ISERROR(C326),"BLANK",C326),C327),C328)</f>
        <v>Valesca de Groot</v>
      </c>
      <c r="D329" s="20" t="str">
        <f t="shared" si="629"/>
        <v>BMSC13</v>
      </c>
      <c r="E329" s="21" t="str">
        <f>IF(ISERROR(VLOOKUP($D329,SITES!$A:$E,2,FALSE)),"",VLOOKUP($D329,SITES!$A:$E,2,FALSE))</f>
        <v>Effingham West</v>
      </c>
      <c r="F329" s="19">
        <f>IF(ISERROR(VLOOKUP($D329,SITES!$A:$E,3,FALSE)),"",VLOOKUP($D329,SITES!$A:$E,3,FALSE))</f>
        <v>48.865032196044901</v>
      </c>
      <c r="G329" s="22">
        <f>IF(ISERROR(VLOOKUP($D329,SITES!$A:$E,4,FALSE)),"",VLOOKUP($D329,SITES!$A:$E,4,FALSE))</f>
        <v>-125.313720703125</v>
      </c>
      <c r="H329" s="23">
        <f t="shared" ref="H329:M329" si="630">IF(ISERROR(H328),IF(ISERROR(H327),IF(ISERROR(H326),"BLANK",H326),H327),H328)</f>
        <v>45413</v>
      </c>
      <c r="I329" s="20">
        <f t="shared" si="630"/>
        <v>3</v>
      </c>
      <c r="J329" s="20" t="str">
        <f t="shared" si="630"/>
        <v>W</v>
      </c>
      <c r="K329" s="27">
        <f t="shared" si="630"/>
        <v>0.62013888888888891</v>
      </c>
      <c r="L329" s="20">
        <f t="shared" si="630"/>
        <v>3</v>
      </c>
      <c r="M329" s="20">
        <f t="shared" si="630"/>
        <v>2</v>
      </c>
      <c r="N329" s="20">
        <v>2</v>
      </c>
      <c r="O329" s="2">
        <v>48</v>
      </c>
      <c r="P329" s="2" t="s">
        <v>40</v>
      </c>
      <c r="Q329" s="21" t="str">
        <f>IF($M329=1,IF(ISERROR(VLOOKUP($P329,'M1'!$A:$C,Q$2,FALSE)),"NOT PRESENT",VLOOKUP($P329,'M1'!$A:$C,Q$2,FALSE)),IF($M329=2,IF(ISERROR(VLOOKUP(DATA!$P329,'M2'!$A:$C,Q$2,FALSE)),"NOT PRESENT",VLOOKUP(DATA!$P329,'M2'!$A:$C,Q$2,FALSE)),IF($M329=0,IF(ISERROR(VLOOKUP($P329,'M1'!$A:$C,Q$2,FALSE)),IF(ISERROR(VLOOKUP(DATA!$P329,'M2'!$A:$C,Q$2,FALSE)),"NOT PRESENT",VLOOKUP(DATA!$P329,'M2'!$A:$C,Q$2,FALSE)),VLOOKUP($P329,'M1'!$A:$C,Q$2,FALSE)),"SPECIFY METHOD")))</f>
        <v>Patiria miniata</v>
      </c>
      <c r="R329" s="21" t="str">
        <f>IF($M329=1,IF(ISERROR(VLOOKUP($P329,'M1'!$A:$C,R$2,FALSE)),"NOT PRESENT",VLOOKUP($P329,'M1'!$A:$C,R$2,FALSE)),IF($M329=2,IF(ISERROR(VLOOKUP(DATA!$P329,'M2'!$A:$C,R$2,FALSE)),"NOT PRESENT",VLOOKUP(DATA!$P329,'M2'!$A:$C,R$2,FALSE)),IF($M329=0,IF(ISERROR(VLOOKUP($P329,'M1'!$A:$C,R$2,FALSE)),IF(ISERROR(VLOOKUP(DATA!$P329,'M2'!$A:$C,R$2,FALSE)),"NOT PRESENT",VLOOKUP(DATA!$P329,'M2'!$A:$C,R$2,FALSE)),VLOOKUP($P329,'M1'!$A:$C,R$2,FALSE)),"SPECIFY METHOD")))</f>
        <v>Bat star</v>
      </c>
      <c r="S329" s="28">
        <f t="shared" si="500"/>
        <v>1</v>
      </c>
      <c r="T329" s="20">
        <v>0</v>
      </c>
      <c r="U329" s="20"/>
      <c r="V329" s="20"/>
      <c r="W329" s="20"/>
      <c r="X329" s="20">
        <v>1</v>
      </c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</row>
    <row r="330" spans="1:68" ht="12.75" customHeight="1">
      <c r="A330" s="21">
        <f t="shared" si="497"/>
        <v>328</v>
      </c>
      <c r="B330" s="20" t="str">
        <f t="shared" si="626"/>
        <v>Em Lim</v>
      </c>
      <c r="C330" s="20" t="str">
        <f t="shared" ref="C330:D330" si="631">IF(ISERROR(C329),IF(ISERROR(C328),IF(ISERROR(C327),"BLANK",C327),C328),C329)</f>
        <v>Valesca de Groot</v>
      </c>
      <c r="D330" s="20" t="str">
        <f t="shared" si="631"/>
        <v>BMSC13</v>
      </c>
      <c r="E330" s="21" t="str">
        <f>IF(ISERROR(VLOOKUP($D330,SITES!$A:$E,2,FALSE)),"",VLOOKUP($D330,SITES!$A:$E,2,FALSE))</f>
        <v>Effingham West</v>
      </c>
      <c r="F330" s="19">
        <f>IF(ISERROR(VLOOKUP($D330,SITES!$A:$E,3,FALSE)),"",VLOOKUP($D330,SITES!$A:$E,3,FALSE))</f>
        <v>48.865032196044901</v>
      </c>
      <c r="G330" s="22">
        <f>IF(ISERROR(VLOOKUP($D330,SITES!$A:$E,4,FALSE)),"",VLOOKUP($D330,SITES!$A:$E,4,FALSE))</f>
        <v>-125.313720703125</v>
      </c>
      <c r="H330" s="23">
        <f t="shared" ref="H330:N330" si="632">IF(ISERROR(H329),IF(ISERROR(H328),IF(ISERROR(H327),"BLANK",H327),H328),H329)</f>
        <v>45413</v>
      </c>
      <c r="I330" s="20">
        <f t="shared" si="632"/>
        <v>3</v>
      </c>
      <c r="J330" s="20" t="str">
        <f t="shared" si="632"/>
        <v>W</v>
      </c>
      <c r="K330" s="27">
        <f t="shared" si="632"/>
        <v>0.62013888888888891</v>
      </c>
      <c r="L330" s="20">
        <f t="shared" si="632"/>
        <v>3</v>
      </c>
      <c r="M330" s="20">
        <f t="shared" si="632"/>
        <v>2</v>
      </c>
      <c r="N330" s="20">
        <f t="shared" si="632"/>
        <v>2</v>
      </c>
      <c r="O330" s="20">
        <v>32</v>
      </c>
      <c r="P330" s="20" t="s">
        <v>41</v>
      </c>
      <c r="Q330" s="21" t="str">
        <f>IF($M330=1,IF(ISERROR(VLOOKUP($P330,'M1'!$A:$C,Q$2,FALSE)),"NOT PRESENT",VLOOKUP($P330,'M1'!$A:$C,Q$2,FALSE)),IF($M330=2,IF(ISERROR(VLOOKUP(DATA!$P330,'M2'!$A:$C,Q$2,FALSE)),"NOT PRESENT",VLOOKUP(DATA!$P330,'M2'!$A:$C,Q$2,FALSE)),IF($M330=0,IF(ISERROR(VLOOKUP($P330,'M1'!$A:$C,Q$2,FALSE)),IF(ISERROR(VLOOKUP(DATA!$P330,'M2'!$A:$C,Q$2,FALSE)),"NOT PRESENT",VLOOKUP(DATA!$P330,'M2'!$A:$C,Q$2,FALSE)),VLOOKUP($P330,'M1'!$A:$C,Q$2,FALSE)),"SPECIFY METHOD")))</f>
        <v>Mesocentrotus franciscanus</v>
      </c>
      <c r="R330" s="21" t="str">
        <f>IF($M330=1,IF(ISERROR(VLOOKUP($P330,'M1'!$A:$C,R$2,FALSE)),"NOT PRESENT",VLOOKUP($P330,'M1'!$A:$C,R$2,FALSE)),IF($M330=2,IF(ISERROR(VLOOKUP(DATA!$P330,'M2'!$A:$C,R$2,FALSE)),"NOT PRESENT",VLOOKUP(DATA!$P330,'M2'!$A:$C,R$2,FALSE)),IF($M330=0,IF(ISERROR(VLOOKUP($P330,'M1'!$A:$C,R$2,FALSE)),IF(ISERROR(VLOOKUP(DATA!$P330,'M2'!$A:$C,R$2,FALSE)),"NOT PRESENT",VLOOKUP(DATA!$P330,'M2'!$A:$C,R$2,FALSE)),VLOOKUP($P330,'M1'!$A:$C,R$2,FALSE)),"SPECIFY METHOD")))</f>
        <v>Red sea urchin</v>
      </c>
      <c r="S330" s="28">
        <f t="shared" si="500"/>
        <v>11</v>
      </c>
      <c r="T330" s="20">
        <v>0</v>
      </c>
      <c r="U330" s="20">
        <v>2</v>
      </c>
      <c r="V330" s="20">
        <v>2</v>
      </c>
      <c r="W330" s="20">
        <v>3</v>
      </c>
      <c r="X330" s="20">
        <v>3</v>
      </c>
      <c r="Y330" s="20">
        <v>1</v>
      </c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</row>
    <row r="331" spans="1:68" ht="12.75" customHeight="1">
      <c r="A331" s="21">
        <f t="shared" si="497"/>
        <v>329</v>
      </c>
      <c r="B331" s="20" t="str">
        <f t="shared" si="626"/>
        <v>Em Lim</v>
      </c>
      <c r="C331" s="20" t="str">
        <f t="shared" ref="C331:D331" si="633">IF(ISERROR(C330),IF(ISERROR(C329),IF(ISERROR(C328),"BLANK",C328),C329),C330)</f>
        <v>Valesca de Groot</v>
      </c>
      <c r="D331" s="20" t="str">
        <f t="shared" si="633"/>
        <v>BMSC13</v>
      </c>
      <c r="E331" s="21" t="str">
        <f>IF(ISERROR(VLOOKUP($D331,SITES!$A:$E,2,FALSE)),"",VLOOKUP($D331,SITES!$A:$E,2,FALSE))</f>
        <v>Effingham West</v>
      </c>
      <c r="F331" s="19">
        <f>IF(ISERROR(VLOOKUP($D331,SITES!$A:$E,3,FALSE)),"",VLOOKUP($D331,SITES!$A:$E,3,FALSE))</f>
        <v>48.865032196044901</v>
      </c>
      <c r="G331" s="22">
        <f>IF(ISERROR(VLOOKUP($D331,SITES!$A:$E,4,FALSE)),"",VLOOKUP($D331,SITES!$A:$E,4,FALSE))</f>
        <v>-125.313720703125</v>
      </c>
      <c r="H331" s="23">
        <f t="shared" ref="H331:N331" si="634">IF(ISERROR(H330),IF(ISERROR(H329),IF(ISERROR(H328),"BLANK",H328),H329),H330)</f>
        <v>45413</v>
      </c>
      <c r="I331" s="20">
        <f t="shared" si="634"/>
        <v>3</v>
      </c>
      <c r="J331" s="20" t="str">
        <f t="shared" si="634"/>
        <v>W</v>
      </c>
      <c r="K331" s="27">
        <f t="shared" si="634"/>
        <v>0.62013888888888891</v>
      </c>
      <c r="L331" s="20">
        <f t="shared" si="634"/>
        <v>3</v>
      </c>
      <c r="M331" s="20">
        <f t="shared" si="634"/>
        <v>2</v>
      </c>
      <c r="N331" s="20">
        <f t="shared" si="634"/>
        <v>2</v>
      </c>
      <c r="O331" s="20">
        <v>32</v>
      </c>
      <c r="P331" s="20" t="s">
        <v>40</v>
      </c>
      <c r="Q331" s="21" t="str">
        <f>IF($M331=1,IF(ISERROR(VLOOKUP($P331,'M1'!$A:$C,Q$2,FALSE)),"NOT PRESENT",VLOOKUP($P331,'M1'!$A:$C,Q$2,FALSE)),IF($M331=2,IF(ISERROR(VLOOKUP(DATA!$P331,'M2'!$A:$C,Q$2,FALSE)),"NOT PRESENT",VLOOKUP(DATA!$P331,'M2'!$A:$C,Q$2,FALSE)),IF($M331=0,IF(ISERROR(VLOOKUP($P331,'M1'!$A:$C,Q$2,FALSE)),IF(ISERROR(VLOOKUP(DATA!$P331,'M2'!$A:$C,Q$2,FALSE)),"NOT PRESENT",VLOOKUP(DATA!$P331,'M2'!$A:$C,Q$2,FALSE)),VLOOKUP($P331,'M1'!$A:$C,Q$2,FALSE)),"SPECIFY METHOD")))</f>
        <v>Patiria miniata</v>
      </c>
      <c r="R331" s="21" t="str">
        <f>IF($M331=1,IF(ISERROR(VLOOKUP($P331,'M1'!$A:$C,R$2,FALSE)),"NOT PRESENT",VLOOKUP($P331,'M1'!$A:$C,R$2,FALSE)),IF($M331=2,IF(ISERROR(VLOOKUP(DATA!$P331,'M2'!$A:$C,R$2,FALSE)),"NOT PRESENT",VLOOKUP(DATA!$P331,'M2'!$A:$C,R$2,FALSE)),IF($M331=0,IF(ISERROR(VLOOKUP($P331,'M1'!$A:$C,R$2,FALSE)),IF(ISERROR(VLOOKUP(DATA!$P331,'M2'!$A:$C,R$2,FALSE)),"NOT PRESENT",VLOOKUP(DATA!$P331,'M2'!$A:$C,R$2,FALSE)),VLOOKUP($P331,'M1'!$A:$C,R$2,FALSE)),"SPECIFY METHOD")))</f>
        <v>Bat star</v>
      </c>
      <c r="S331" s="28">
        <f t="shared" si="500"/>
        <v>1</v>
      </c>
      <c r="T331" s="20">
        <v>0</v>
      </c>
      <c r="U331" s="20"/>
      <c r="V331" s="20"/>
      <c r="W331" s="20"/>
      <c r="X331" s="20">
        <v>1</v>
      </c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</row>
    <row r="332" spans="1:68" ht="12.75" customHeight="1">
      <c r="A332" s="21">
        <f t="shared" si="497"/>
        <v>330</v>
      </c>
      <c r="B332" s="20" t="str">
        <f t="shared" si="626"/>
        <v>Em Lim</v>
      </c>
      <c r="C332" s="20" t="str">
        <f t="shared" ref="C332:D332" si="635">IF(ISERROR(C331),IF(ISERROR(C330),IF(ISERROR(C329),"BLANK",C329),C330),C331)</f>
        <v>Valesca de Groot</v>
      </c>
      <c r="D332" s="20" t="str">
        <f t="shared" si="635"/>
        <v>BMSC13</v>
      </c>
      <c r="E332" s="21" t="str">
        <f>IF(ISERROR(VLOOKUP($D332,SITES!$A:$E,2,FALSE)),"",VLOOKUP($D332,SITES!$A:$E,2,FALSE))</f>
        <v>Effingham West</v>
      </c>
      <c r="F332" s="19">
        <f>IF(ISERROR(VLOOKUP($D332,SITES!$A:$E,3,FALSE)),"",VLOOKUP($D332,SITES!$A:$E,3,FALSE))</f>
        <v>48.865032196044901</v>
      </c>
      <c r="G332" s="22">
        <f>IF(ISERROR(VLOOKUP($D332,SITES!$A:$E,4,FALSE)),"",VLOOKUP($D332,SITES!$A:$E,4,FALSE))</f>
        <v>-125.313720703125</v>
      </c>
      <c r="H332" s="23">
        <f t="shared" ref="H332:N332" si="636">IF(ISERROR(H331),IF(ISERROR(H330),IF(ISERROR(H329),"BLANK",H329),H330),H331)</f>
        <v>45413</v>
      </c>
      <c r="I332" s="20">
        <f t="shared" si="636"/>
        <v>3</v>
      </c>
      <c r="J332" s="20" t="str">
        <f t="shared" si="636"/>
        <v>W</v>
      </c>
      <c r="K332" s="27">
        <f t="shared" si="636"/>
        <v>0.62013888888888891</v>
      </c>
      <c r="L332" s="20">
        <f t="shared" si="636"/>
        <v>3</v>
      </c>
      <c r="M332" s="20">
        <f t="shared" si="636"/>
        <v>2</v>
      </c>
      <c r="N332" s="20">
        <f t="shared" si="636"/>
        <v>2</v>
      </c>
      <c r="O332" s="20">
        <v>16</v>
      </c>
      <c r="P332" s="20" t="s">
        <v>41</v>
      </c>
      <c r="Q332" s="21" t="str">
        <f>IF($M332=1,IF(ISERROR(VLOOKUP($P332,'M1'!$A:$C,Q$2,FALSE)),"NOT PRESENT",VLOOKUP($P332,'M1'!$A:$C,Q$2,FALSE)),IF($M332=2,IF(ISERROR(VLOOKUP(DATA!$P332,'M2'!$A:$C,Q$2,FALSE)),"NOT PRESENT",VLOOKUP(DATA!$P332,'M2'!$A:$C,Q$2,FALSE)),IF($M332=0,IF(ISERROR(VLOOKUP($P332,'M1'!$A:$C,Q$2,FALSE)),IF(ISERROR(VLOOKUP(DATA!$P332,'M2'!$A:$C,Q$2,FALSE)),"NOT PRESENT",VLOOKUP(DATA!$P332,'M2'!$A:$C,Q$2,FALSE)),VLOOKUP($P332,'M1'!$A:$C,Q$2,FALSE)),"SPECIFY METHOD")))</f>
        <v>Mesocentrotus franciscanus</v>
      </c>
      <c r="R332" s="21" t="str">
        <f>IF($M332=1,IF(ISERROR(VLOOKUP($P332,'M1'!$A:$C,R$2,FALSE)),"NOT PRESENT",VLOOKUP($P332,'M1'!$A:$C,R$2,FALSE)),IF($M332=2,IF(ISERROR(VLOOKUP(DATA!$P332,'M2'!$A:$C,R$2,FALSE)),"NOT PRESENT",VLOOKUP(DATA!$P332,'M2'!$A:$C,R$2,FALSE)),IF($M332=0,IF(ISERROR(VLOOKUP($P332,'M1'!$A:$C,R$2,FALSE)),IF(ISERROR(VLOOKUP(DATA!$P332,'M2'!$A:$C,R$2,FALSE)),"NOT PRESENT",VLOOKUP(DATA!$P332,'M2'!$A:$C,R$2,FALSE)),VLOOKUP($P332,'M1'!$A:$C,R$2,FALSE)),"SPECIFY METHOD")))</f>
        <v>Red sea urchin</v>
      </c>
      <c r="S332" s="28">
        <f t="shared" si="500"/>
        <v>10</v>
      </c>
      <c r="T332" s="20">
        <v>0</v>
      </c>
      <c r="U332" s="20">
        <v>2</v>
      </c>
      <c r="V332" s="20">
        <v>1</v>
      </c>
      <c r="W332" s="20">
        <v>2</v>
      </c>
      <c r="X332" s="20">
        <v>4</v>
      </c>
      <c r="Y332" s="20">
        <v>1</v>
      </c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</row>
    <row r="333" spans="1:68" ht="12.75" customHeight="1">
      <c r="A333" s="21">
        <f t="shared" si="497"/>
        <v>331</v>
      </c>
      <c r="B333" s="20" t="str">
        <f t="shared" si="626"/>
        <v>Em Lim</v>
      </c>
      <c r="C333" s="20" t="str">
        <f t="shared" ref="C333:D333" si="637">IF(ISERROR(C332),IF(ISERROR(C331),IF(ISERROR(C330),"BLANK",C330),C331),C332)</f>
        <v>Valesca de Groot</v>
      </c>
      <c r="D333" s="20" t="str">
        <f t="shared" si="637"/>
        <v>BMSC13</v>
      </c>
      <c r="E333" s="21" t="str">
        <f>IF(ISERROR(VLOOKUP($D333,SITES!$A:$E,2,FALSE)),"",VLOOKUP($D333,SITES!$A:$E,2,FALSE))</f>
        <v>Effingham West</v>
      </c>
      <c r="F333" s="19">
        <f>IF(ISERROR(VLOOKUP($D333,SITES!$A:$E,3,FALSE)),"",VLOOKUP($D333,SITES!$A:$E,3,FALSE))</f>
        <v>48.865032196044901</v>
      </c>
      <c r="G333" s="22">
        <f>IF(ISERROR(VLOOKUP($D333,SITES!$A:$E,4,FALSE)),"",VLOOKUP($D333,SITES!$A:$E,4,FALSE))</f>
        <v>-125.313720703125</v>
      </c>
      <c r="H333" s="23">
        <f t="shared" ref="H333:N333" si="638">IF(ISERROR(H332),IF(ISERROR(H331),IF(ISERROR(H330),"BLANK",H330),H331),H332)</f>
        <v>45413</v>
      </c>
      <c r="I333" s="20">
        <f t="shared" si="638"/>
        <v>3</v>
      </c>
      <c r="J333" s="20" t="str">
        <f t="shared" si="638"/>
        <v>W</v>
      </c>
      <c r="K333" s="27">
        <f t="shared" si="638"/>
        <v>0.62013888888888891</v>
      </c>
      <c r="L333" s="20">
        <f t="shared" si="638"/>
        <v>3</v>
      </c>
      <c r="M333" s="20">
        <f t="shared" si="638"/>
        <v>2</v>
      </c>
      <c r="N333" s="20">
        <f t="shared" si="638"/>
        <v>2</v>
      </c>
      <c r="O333" s="20">
        <v>16</v>
      </c>
      <c r="P333" s="20" t="s">
        <v>40</v>
      </c>
      <c r="Q333" s="21" t="str">
        <f>IF($M333=1,IF(ISERROR(VLOOKUP($P333,'M1'!$A:$C,Q$2,FALSE)),"NOT PRESENT",VLOOKUP($P333,'M1'!$A:$C,Q$2,FALSE)),IF($M333=2,IF(ISERROR(VLOOKUP(DATA!$P333,'M2'!$A:$C,Q$2,FALSE)),"NOT PRESENT",VLOOKUP(DATA!$P333,'M2'!$A:$C,Q$2,FALSE)),IF($M333=0,IF(ISERROR(VLOOKUP($P333,'M1'!$A:$C,Q$2,FALSE)),IF(ISERROR(VLOOKUP(DATA!$P333,'M2'!$A:$C,Q$2,FALSE)),"NOT PRESENT",VLOOKUP(DATA!$P333,'M2'!$A:$C,Q$2,FALSE)),VLOOKUP($P333,'M1'!$A:$C,Q$2,FALSE)),"SPECIFY METHOD")))</f>
        <v>Patiria miniata</v>
      </c>
      <c r="R333" s="21" t="str">
        <f>IF($M333=1,IF(ISERROR(VLOOKUP($P333,'M1'!$A:$C,R$2,FALSE)),"NOT PRESENT",VLOOKUP($P333,'M1'!$A:$C,R$2,FALSE)),IF($M333=2,IF(ISERROR(VLOOKUP(DATA!$P333,'M2'!$A:$C,R$2,FALSE)),"NOT PRESENT",VLOOKUP(DATA!$P333,'M2'!$A:$C,R$2,FALSE)),IF($M333=0,IF(ISERROR(VLOOKUP($P333,'M1'!$A:$C,R$2,FALSE)),IF(ISERROR(VLOOKUP(DATA!$P333,'M2'!$A:$C,R$2,FALSE)),"NOT PRESENT",VLOOKUP(DATA!$P333,'M2'!$A:$C,R$2,FALSE)),VLOOKUP($P333,'M1'!$A:$C,R$2,FALSE)),"SPECIFY METHOD")))</f>
        <v>Bat star</v>
      </c>
      <c r="S333" s="28">
        <f t="shared" si="500"/>
        <v>1</v>
      </c>
      <c r="T333" s="20">
        <v>0</v>
      </c>
      <c r="U333" s="20"/>
      <c r="V333" s="20"/>
      <c r="W333" s="20"/>
      <c r="X333" s="20">
        <v>1</v>
      </c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</row>
    <row r="334" spans="1:68" ht="12.75" customHeight="1">
      <c r="A334" s="21">
        <f t="shared" si="497"/>
        <v>332</v>
      </c>
      <c r="B334" s="20" t="str">
        <f t="shared" si="626"/>
        <v>Em Lim</v>
      </c>
      <c r="C334" s="20" t="str">
        <f t="shared" ref="C334:D334" si="639">IF(ISERROR(C333),IF(ISERROR(C332),IF(ISERROR(C331),"BLANK",C331),C332),C333)</f>
        <v>Valesca de Groot</v>
      </c>
      <c r="D334" s="20" t="str">
        <f t="shared" si="639"/>
        <v>BMSC13</v>
      </c>
      <c r="E334" s="21" t="str">
        <f>IF(ISERROR(VLOOKUP($D334,SITES!$A:$E,2,FALSE)),"",VLOOKUP($D334,SITES!$A:$E,2,FALSE))</f>
        <v>Effingham West</v>
      </c>
      <c r="F334" s="19">
        <f>IF(ISERROR(VLOOKUP($D334,SITES!$A:$E,3,FALSE)),"",VLOOKUP($D334,SITES!$A:$E,3,FALSE))</f>
        <v>48.865032196044901</v>
      </c>
      <c r="G334" s="22">
        <f>IF(ISERROR(VLOOKUP($D334,SITES!$A:$E,4,FALSE)),"",VLOOKUP($D334,SITES!$A:$E,4,FALSE))</f>
        <v>-125.313720703125</v>
      </c>
      <c r="H334" s="23">
        <f t="shared" ref="H334:N334" si="640">IF(ISERROR(H333),IF(ISERROR(H332),IF(ISERROR(H331),"BLANK",H331),H332),H333)</f>
        <v>45413</v>
      </c>
      <c r="I334" s="20">
        <f t="shared" si="640"/>
        <v>3</v>
      </c>
      <c r="J334" s="20" t="str">
        <f t="shared" si="640"/>
        <v>W</v>
      </c>
      <c r="K334" s="27">
        <f t="shared" si="640"/>
        <v>0.62013888888888891</v>
      </c>
      <c r="L334" s="20">
        <f t="shared" si="640"/>
        <v>3</v>
      </c>
      <c r="M334" s="20">
        <f t="shared" si="640"/>
        <v>2</v>
      </c>
      <c r="N334" s="20">
        <f t="shared" si="640"/>
        <v>2</v>
      </c>
      <c r="O334" s="20">
        <v>0</v>
      </c>
      <c r="P334" s="20" t="s">
        <v>41</v>
      </c>
      <c r="Q334" s="21" t="str">
        <f>IF($M334=1,IF(ISERROR(VLOOKUP($P334,'M1'!$A:$C,Q$2,FALSE)),"NOT PRESENT",VLOOKUP($P334,'M1'!$A:$C,Q$2,FALSE)),IF($M334=2,IF(ISERROR(VLOOKUP(DATA!$P334,'M2'!$A:$C,Q$2,FALSE)),"NOT PRESENT",VLOOKUP(DATA!$P334,'M2'!$A:$C,Q$2,FALSE)),IF($M334=0,IF(ISERROR(VLOOKUP($P334,'M1'!$A:$C,Q$2,FALSE)),IF(ISERROR(VLOOKUP(DATA!$P334,'M2'!$A:$C,Q$2,FALSE)),"NOT PRESENT",VLOOKUP(DATA!$P334,'M2'!$A:$C,Q$2,FALSE)),VLOOKUP($P334,'M1'!$A:$C,Q$2,FALSE)),"SPECIFY METHOD")))</f>
        <v>Mesocentrotus franciscanus</v>
      </c>
      <c r="R334" s="21" t="str">
        <f>IF($M334=1,IF(ISERROR(VLOOKUP($P334,'M1'!$A:$C,R$2,FALSE)),"NOT PRESENT",VLOOKUP($P334,'M1'!$A:$C,R$2,FALSE)),IF($M334=2,IF(ISERROR(VLOOKUP(DATA!$P334,'M2'!$A:$C,R$2,FALSE)),"NOT PRESENT",VLOOKUP(DATA!$P334,'M2'!$A:$C,R$2,FALSE)),IF($M334=0,IF(ISERROR(VLOOKUP($P334,'M1'!$A:$C,R$2,FALSE)),IF(ISERROR(VLOOKUP(DATA!$P334,'M2'!$A:$C,R$2,FALSE)),"NOT PRESENT",VLOOKUP(DATA!$P334,'M2'!$A:$C,R$2,FALSE)),VLOOKUP($P334,'M1'!$A:$C,R$2,FALSE)),"SPECIFY METHOD")))</f>
        <v>Red sea urchin</v>
      </c>
      <c r="S334" s="28">
        <f t="shared" si="500"/>
        <v>1</v>
      </c>
      <c r="T334" s="20">
        <v>0</v>
      </c>
      <c r="U334" s="20"/>
      <c r="V334" s="20"/>
      <c r="W334" s="20"/>
      <c r="X334" s="20"/>
      <c r="Y334" s="20">
        <v>1</v>
      </c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</row>
    <row r="335" spans="1:68" ht="12.75" customHeight="1">
      <c r="A335" s="21">
        <f t="shared" si="497"/>
        <v>333</v>
      </c>
      <c r="B335" s="20" t="str">
        <f t="shared" si="626"/>
        <v>Em Lim</v>
      </c>
      <c r="C335" s="20" t="str">
        <f t="shared" ref="C335:D335" si="641">IF(ISERROR(C334),IF(ISERROR(C333),IF(ISERROR(C332),"BLANK",C332),C333),C334)</f>
        <v>Valesca de Groot</v>
      </c>
      <c r="D335" s="20" t="str">
        <f t="shared" si="641"/>
        <v>BMSC13</v>
      </c>
      <c r="E335" s="21" t="str">
        <f>IF(ISERROR(VLOOKUP($D335,SITES!$A:$E,2,FALSE)),"",VLOOKUP($D335,SITES!$A:$E,2,FALSE))</f>
        <v>Effingham West</v>
      </c>
      <c r="F335" s="19">
        <f>IF(ISERROR(VLOOKUP($D335,SITES!$A:$E,3,FALSE)),"",VLOOKUP($D335,SITES!$A:$E,3,FALSE))</f>
        <v>48.865032196044901</v>
      </c>
      <c r="G335" s="22">
        <f>IF(ISERROR(VLOOKUP($D335,SITES!$A:$E,4,FALSE)),"",VLOOKUP($D335,SITES!$A:$E,4,FALSE))</f>
        <v>-125.313720703125</v>
      </c>
      <c r="H335" s="23">
        <f t="shared" ref="H335:N335" si="642">IF(ISERROR(H334),IF(ISERROR(H333),IF(ISERROR(H332),"BLANK",H332),H333),H334)</f>
        <v>45413</v>
      </c>
      <c r="I335" s="20">
        <f t="shared" si="642"/>
        <v>3</v>
      </c>
      <c r="J335" s="20" t="str">
        <f t="shared" si="642"/>
        <v>W</v>
      </c>
      <c r="K335" s="27">
        <f t="shared" si="642"/>
        <v>0.62013888888888891</v>
      </c>
      <c r="L335" s="20">
        <f t="shared" si="642"/>
        <v>3</v>
      </c>
      <c r="M335" s="20">
        <f t="shared" si="642"/>
        <v>2</v>
      </c>
      <c r="N335" s="20">
        <f t="shared" si="642"/>
        <v>2</v>
      </c>
      <c r="O335" s="20">
        <v>0</v>
      </c>
      <c r="P335" s="20" t="s">
        <v>40</v>
      </c>
      <c r="Q335" s="21" t="str">
        <f>IF($M335=1,IF(ISERROR(VLOOKUP($P335,'M1'!$A:$C,Q$2,FALSE)),"NOT PRESENT",VLOOKUP($P335,'M1'!$A:$C,Q$2,FALSE)),IF($M335=2,IF(ISERROR(VLOOKUP(DATA!$P335,'M2'!$A:$C,Q$2,FALSE)),"NOT PRESENT",VLOOKUP(DATA!$P335,'M2'!$A:$C,Q$2,FALSE)),IF($M335=0,IF(ISERROR(VLOOKUP($P335,'M1'!$A:$C,Q$2,FALSE)),IF(ISERROR(VLOOKUP(DATA!$P335,'M2'!$A:$C,Q$2,FALSE)),"NOT PRESENT",VLOOKUP(DATA!$P335,'M2'!$A:$C,Q$2,FALSE)),VLOOKUP($P335,'M1'!$A:$C,Q$2,FALSE)),"SPECIFY METHOD")))</f>
        <v>Patiria miniata</v>
      </c>
      <c r="R335" s="21" t="str">
        <f>IF($M335=1,IF(ISERROR(VLOOKUP($P335,'M1'!$A:$C,R$2,FALSE)),"NOT PRESENT",VLOOKUP($P335,'M1'!$A:$C,R$2,FALSE)),IF($M335=2,IF(ISERROR(VLOOKUP(DATA!$P335,'M2'!$A:$C,R$2,FALSE)),"NOT PRESENT",VLOOKUP(DATA!$P335,'M2'!$A:$C,R$2,FALSE)),IF($M335=0,IF(ISERROR(VLOOKUP($P335,'M1'!$A:$C,R$2,FALSE)),IF(ISERROR(VLOOKUP(DATA!$P335,'M2'!$A:$C,R$2,FALSE)),"NOT PRESENT",VLOOKUP(DATA!$P335,'M2'!$A:$C,R$2,FALSE)),VLOOKUP($P335,'M1'!$A:$C,R$2,FALSE)),"SPECIFY METHOD")))</f>
        <v>Bat star</v>
      </c>
      <c r="S335" s="28">
        <f t="shared" si="500"/>
        <v>1</v>
      </c>
      <c r="T335" s="20">
        <v>0</v>
      </c>
      <c r="U335" s="20"/>
      <c r="V335" s="20"/>
      <c r="W335" s="20"/>
      <c r="X335" s="20"/>
      <c r="Y335" s="20">
        <v>1</v>
      </c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</row>
    <row r="336" spans="1:68" ht="12.75" customHeight="1">
      <c r="A336" s="21">
        <f t="shared" si="497"/>
        <v>334</v>
      </c>
      <c r="B336" s="20" t="str">
        <f t="shared" si="626"/>
        <v>Em Lim</v>
      </c>
      <c r="C336" s="20" t="str">
        <f t="shared" ref="C336:C349" si="643">IF(ISERROR(C335),IF(ISERROR(C334),IF(ISERROR(C333),"BLANK",C333),C334),C335)</f>
        <v>Valesca de Groot</v>
      </c>
      <c r="D336" s="20" t="s">
        <v>85</v>
      </c>
      <c r="E336" s="21" t="str">
        <f>IF(ISERROR(VLOOKUP($D336,SITES!$A:$E,2,FALSE)),"",VLOOKUP($D336,SITES!$A:$E,2,FALSE))</f>
        <v>Effingham Archipelago</v>
      </c>
      <c r="F336" s="19">
        <f>IF(ISERROR(VLOOKUP($D336,SITES!$A:$E,3,FALSE)),"",VLOOKUP($D336,SITES!$A:$E,3,FALSE))</f>
        <v>48.879081726074197</v>
      </c>
      <c r="G336" s="22">
        <f>IF(ISERROR(VLOOKUP($D336,SITES!$A:$E,4,FALSE)),"",VLOOKUP($D336,SITES!$A:$E,4,FALSE))</f>
        <v>-125.297401428222</v>
      </c>
      <c r="H336" s="23">
        <f t="shared" ref="H336:H349" si="644">IF(ISERROR(H335),IF(ISERROR(H334),IF(ISERROR(H333),"BLANK",H333),H334),H335)</f>
        <v>45413</v>
      </c>
      <c r="I336" s="20">
        <v>4</v>
      </c>
      <c r="J336" s="20" t="s">
        <v>37</v>
      </c>
      <c r="K336" s="27">
        <v>0.40902777777777777</v>
      </c>
      <c r="L336" s="20">
        <v>6</v>
      </c>
      <c r="M336" s="20">
        <v>2</v>
      </c>
      <c r="N336" s="20">
        <v>1</v>
      </c>
      <c r="O336" s="2">
        <v>48</v>
      </c>
      <c r="P336" s="2" t="s">
        <v>41</v>
      </c>
      <c r="Q336" s="21" t="str">
        <f>IF($M336=1,IF(ISERROR(VLOOKUP($P336,'M1'!$A:$C,Q$2,FALSE)),"NOT PRESENT",VLOOKUP($P336,'M1'!$A:$C,Q$2,FALSE)),IF($M336=2,IF(ISERROR(VLOOKUP(DATA!$P336,'M2'!$A:$C,Q$2,FALSE)),"NOT PRESENT",VLOOKUP(DATA!$P336,'M2'!$A:$C,Q$2,FALSE)),IF($M336=0,IF(ISERROR(VLOOKUP($P336,'M1'!$A:$C,Q$2,FALSE)),IF(ISERROR(VLOOKUP(DATA!$P336,'M2'!$A:$C,Q$2,FALSE)),"NOT PRESENT",VLOOKUP(DATA!$P336,'M2'!$A:$C,Q$2,FALSE)),VLOOKUP($P336,'M1'!$A:$C,Q$2,FALSE)),"SPECIFY METHOD")))</f>
        <v>Mesocentrotus franciscanus</v>
      </c>
      <c r="R336" s="21" t="str">
        <f>IF($M336=1,IF(ISERROR(VLOOKUP($P336,'M1'!$A:$C,R$2,FALSE)),"NOT PRESENT",VLOOKUP($P336,'M1'!$A:$C,R$2,FALSE)),IF($M336=2,IF(ISERROR(VLOOKUP(DATA!$P336,'M2'!$A:$C,R$2,FALSE)),"NOT PRESENT",VLOOKUP(DATA!$P336,'M2'!$A:$C,R$2,FALSE)),IF($M336=0,IF(ISERROR(VLOOKUP($P336,'M1'!$A:$C,R$2,FALSE)),IF(ISERROR(VLOOKUP(DATA!$P336,'M2'!$A:$C,R$2,FALSE)),"NOT PRESENT",VLOOKUP(DATA!$P336,'M2'!$A:$C,R$2,FALSE)),VLOOKUP($P336,'M1'!$A:$C,R$2,FALSE)),"SPECIFY METHOD")))</f>
        <v>Red sea urchin</v>
      </c>
      <c r="S336" s="28">
        <f t="shared" si="500"/>
        <v>2</v>
      </c>
      <c r="T336" s="20">
        <v>0</v>
      </c>
      <c r="U336" s="20"/>
      <c r="V336" s="20">
        <v>2</v>
      </c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</row>
    <row r="337" spans="1:68" ht="12.75" customHeight="1">
      <c r="A337" s="21">
        <f t="shared" si="497"/>
        <v>335</v>
      </c>
      <c r="B337" s="20" t="str">
        <f t="shared" si="626"/>
        <v>Em Lim</v>
      </c>
      <c r="C337" s="20" t="str">
        <f t="shared" si="643"/>
        <v>Valesca de Groot</v>
      </c>
      <c r="D337" s="20" t="str">
        <f t="shared" ref="D337:D349" si="645">IF(ISERROR(D336),IF(ISERROR(D335),IF(ISERROR(D334),"BLANK",D334),D335),D336)</f>
        <v>BMSC14</v>
      </c>
      <c r="E337" s="21" t="str">
        <f>IF(ISERROR(VLOOKUP($D337,SITES!$A:$E,2,FALSE)),"",VLOOKUP($D337,SITES!$A:$E,2,FALSE))</f>
        <v>Effingham Archipelago</v>
      </c>
      <c r="F337" s="19">
        <f>IF(ISERROR(VLOOKUP($D337,SITES!$A:$E,3,FALSE)),"",VLOOKUP($D337,SITES!$A:$E,3,FALSE))</f>
        <v>48.879081726074197</v>
      </c>
      <c r="G337" s="22">
        <f>IF(ISERROR(VLOOKUP($D337,SITES!$A:$E,4,FALSE)),"",VLOOKUP($D337,SITES!$A:$E,4,FALSE))</f>
        <v>-125.297401428222</v>
      </c>
      <c r="H337" s="23">
        <f t="shared" si="644"/>
        <v>45413</v>
      </c>
      <c r="I337" s="20">
        <f t="shared" ref="I337:M337" si="646">IF(ISERROR(I336),IF(ISERROR(I335),IF(ISERROR(I334),"BLANK",I334),I335),I336)</f>
        <v>4</v>
      </c>
      <c r="J337" s="20" t="str">
        <f t="shared" si="646"/>
        <v>SE</v>
      </c>
      <c r="K337" s="27">
        <f t="shared" si="646"/>
        <v>0.40902777777777777</v>
      </c>
      <c r="L337" s="20">
        <f t="shared" si="646"/>
        <v>6</v>
      </c>
      <c r="M337" s="20">
        <f t="shared" si="646"/>
        <v>2</v>
      </c>
      <c r="N337" s="20">
        <v>1</v>
      </c>
      <c r="O337" s="2">
        <v>48</v>
      </c>
      <c r="P337" s="2" t="s">
        <v>40</v>
      </c>
      <c r="Q337" s="21" t="str">
        <f>IF($M337=1,IF(ISERROR(VLOOKUP($P337,'M1'!$A:$C,Q$2,FALSE)),"NOT PRESENT",VLOOKUP($P337,'M1'!$A:$C,Q$2,FALSE)),IF($M337=2,IF(ISERROR(VLOOKUP(DATA!$P337,'M2'!$A:$C,Q$2,FALSE)),"NOT PRESENT",VLOOKUP(DATA!$P337,'M2'!$A:$C,Q$2,FALSE)),IF($M337=0,IF(ISERROR(VLOOKUP($P337,'M1'!$A:$C,Q$2,FALSE)),IF(ISERROR(VLOOKUP(DATA!$P337,'M2'!$A:$C,Q$2,FALSE)),"NOT PRESENT",VLOOKUP(DATA!$P337,'M2'!$A:$C,Q$2,FALSE)),VLOOKUP($P337,'M1'!$A:$C,Q$2,FALSE)),"SPECIFY METHOD")))</f>
        <v>Patiria miniata</v>
      </c>
      <c r="R337" s="21" t="str">
        <f>IF($M337=1,IF(ISERROR(VLOOKUP($P337,'M1'!$A:$C,R$2,FALSE)),"NOT PRESENT",VLOOKUP($P337,'M1'!$A:$C,R$2,FALSE)),IF($M337=2,IF(ISERROR(VLOOKUP(DATA!$P337,'M2'!$A:$C,R$2,FALSE)),"NOT PRESENT",VLOOKUP(DATA!$P337,'M2'!$A:$C,R$2,FALSE)),IF($M337=0,IF(ISERROR(VLOOKUP($P337,'M1'!$A:$C,R$2,FALSE)),IF(ISERROR(VLOOKUP(DATA!$P337,'M2'!$A:$C,R$2,FALSE)),"NOT PRESENT",VLOOKUP(DATA!$P337,'M2'!$A:$C,R$2,FALSE)),VLOOKUP($P337,'M1'!$A:$C,R$2,FALSE)),"SPECIFY METHOD")))</f>
        <v>Bat star</v>
      </c>
      <c r="S337" s="28">
        <f t="shared" si="500"/>
        <v>1</v>
      </c>
      <c r="T337" s="20">
        <v>0</v>
      </c>
      <c r="U337" s="20"/>
      <c r="V337" s="20"/>
      <c r="W337" s="20"/>
      <c r="X337" s="20"/>
      <c r="Y337" s="20"/>
      <c r="Z337" s="20">
        <v>1</v>
      </c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</row>
    <row r="338" spans="1:68" ht="12.75" customHeight="1">
      <c r="A338" s="21">
        <f t="shared" si="497"/>
        <v>336</v>
      </c>
      <c r="B338" s="20" t="str">
        <f t="shared" si="626"/>
        <v>Em Lim</v>
      </c>
      <c r="C338" s="20" t="str">
        <f t="shared" si="643"/>
        <v>Valesca de Groot</v>
      </c>
      <c r="D338" s="20" t="str">
        <f t="shared" si="645"/>
        <v>BMSC14</v>
      </c>
      <c r="E338" s="21" t="str">
        <f>IF(ISERROR(VLOOKUP($D338,SITES!$A:$E,2,FALSE)),"",VLOOKUP($D338,SITES!$A:$E,2,FALSE))</f>
        <v>Effingham Archipelago</v>
      </c>
      <c r="F338" s="19">
        <f>IF(ISERROR(VLOOKUP($D338,SITES!$A:$E,3,FALSE)),"",VLOOKUP($D338,SITES!$A:$E,3,FALSE))</f>
        <v>48.879081726074197</v>
      </c>
      <c r="G338" s="22">
        <f>IF(ISERROR(VLOOKUP($D338,SITES!$A:$E,4,FALSE)),"",VLOOKUP($D338,SITES!$A:$E,4,FALSE))</f>
        <v>-125.297401428222</v>
      </c>
      <c r="H338" s="23">
        <f t="shared" si="644"/>
        <v>45413</v>
      </c>
      <c r="I338" s="20">
        <f t="shared" ref="I338:M338" si="647">IF(ISERROR(I337),IF(ISERROR(I336),IF(ISERROR(I335),"BLANK",I335),I336),I337)</f>
        <v>4</v>
      </c>
      <c r="J338" s="20" t="str">
        <f t="shared" si="647"/>
        <v>SE</v>
      </c>
      <c r="K338" s="27">
        <f t="shared" si="647"/>
        <v>0.40902777777777777</v>
      </c>
      <c r="L338" s="20">
        <f t="shared" si="647"/>
        <v>6</v>
      </c>
      <c r="M338" s="20">
        <f t="shared" si="647"/>
        <v>2</v>
      </c>
      <c r="N338" s="20">
        <v>2</v>
      </c>
      <c r="O338" s="2">
        <v>40</v>
      </c>
      <c r="P338" s="2" t="s">
        <v>41</v>
      </c>
      <c r="Q338" s="21" t="str">
        <f>IF($M338=1,IF(ISERROR(VLOOKUP($P338,'M1'!$A:$C,Q$2,FALSE)),"NOT PRESENT",VLOOKUP($P338,'M1'!$A:$C,Q$2,FALSE)),IF($M338=2,IF(ISERROR(VLOOKUP(DATA!$P338,'M2'!$A:$C,Q$2,FALSE)),"NOT PRESENT",VLOOKUP(DATA!$P338,'M2'!$A:$C,Q$2,FALSE)),IF($M338=0,IF(ISERROR(VLOOKUP($P338,'M1'!$A:$C,Q$2,FALSE)),IF(ISERROR(VLOOKUP(DATA!$P338,'M2'!$A:$C,Q$2,FALSE)),"NOT PRESENT",VLOOKUP(DATA!$P338,'M2'!$A:$C,Q$2,FALSE)),VLOOKUP($P338,'M1'!$A:$C,Q$2,FALSE)),"SPECIFY METHOD")))</f>
        <v>Mesocentrotus franciscanus</v>
      </c>
      <c r="R338" s="21" t="str">
        <f>IF($M338=1,IF(ISERROR(VLOOKUP($P338,'M1'!$A:$C,R$2,FALSE)),"NOT PRESENT",VLOOKUP($P338,'M1'!$A:$C,R$2,FALSE)),IF($M338=2,IF(ISERROR(VLOOKUP(DATA!$P338,'M2'!$A:$C,R$2,FALSE)),"NOT PRESENT",VLOOKUP(DATA!$P338,'M2'!$A:$C,R$2,FALSE)),IF($M338=0,IF(ISERROR(VLOOKUP($P338,'M1'!$A:$C,R$2,FALSE)),IF(ISERROR(VLOOKUP(DATA!$P338,'M2'!$A:$C,R$2,FALSE)),"NOT PRESENT",VLOOKUP(DATA!$P338,'M2'!$A:$C,R$2,FALSE)),VLOOKUP($P338,'M1'!$A:$C,R$2,FALSE)),"SPECIFY METHOD")))</f>
        <v>Red sea urchin</v>
      </c>
      <c r="S338" s="28">
        <f t="shared" si="500"/>
        <v>3</v>
      </c>
      <c r="T338" s="20">
        <v>0</v>
      </c>
      <c r="V338" s="2">
        <v>1</v>
      </c>
      <c r="W338" s="20">
        <v>2</v>
      </c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</row>
    <row r="339" spans="1:68" ht="12.75" customHeight="1">
      <c r="A339" s="21">
        <f t="shared" si="497"/>
        <v>337</v>
      </c>
      <c r="B339" s="20" t="str">
        <f t="shared" si="626"/>
        <v>Em Lim</v>
      </c>
      <c r="C339" s="20" t="str">
        <f t="shared" si="643"/>
        <v>Valesca de Groot</v>
      </c>
      <c r="D339" s="20" t="str">
        <f t="shared" si="645"/>
        <v>BMSC14</v>
      </c>
      <c r="E339" s="21" t="str">
        <f>IF(ISERROR(VLOOKUP($D339,SITES!$A:$E,2,FALSE)),"",VLOOKUP($D339,SITES!$A:$E,2,FALSE))</f>
        <v>Effingham Archipelago</v>
      </c>
      <c r="F339" s="19">
        <f>IF(ISERROR(VLOOKUP($D339,SITES!$A:$E,3,FALSE)),"",VLOOKUP($D339,SITES!$A:$E,3,FALSE))</f>
        <v>48.879081726074197</v>
      </c>
      <c r="G339" s="22">
        <f>IF(ISERROR(VLOOKUP($D339,SITES!$A:$E,4,FALSE)),"",VLOOKUP($D339,SITES!$A:$E,4,FALSE))</f>
        <v>-125.297401428222</v>
      </c>
      <c r="H339" s="23">
        <f t="shared" si="644"/>
        <v>45413</v>
      </c>
      <c r="I339" s="20">
        <f t="shared" ref="I339:M339" si="648">IF(ISERROR(I338),IF(ISERROR(I337),IF(ISERROR(I336),"BLANK",I336),I337),I338)</f>
        <v>4</v>
      </c>
      <c r="J339" s="20" t="str">
        <f t="shared" si="648"/>
        <v>SE</v>
      </c>
      <c r="K339" s="27">
        <f t="shared" si="648"/>
        <v>0.40902777777777777</v>
      </c>
      <c r="L339" s="20">
        <f t="shared" si="648"/>
        <v>6</v>
      </c>
      <c r="M339" s="20">
        <f t="shared" si="648"/>
        <v>2</v>
      </c>
      <c r="N339" s="20">
        <v>2</v>
      </c>
      <c r="O339" s="2">
        <v>40</v>
      </c>
      <c r="P339" s="2" t="s">
        <v>42</v>
      </c>
      <c r="Q339" s="21" t="str">
        <f>IF($M339=1,IF(ISERROR(VLOOKUP($P339,'M1'!$A:$C,Q$2,FALSE)),"NOT PRESENT",VLOOKUP($P339,'M1'!$A:$C,Q$2,FALSE)),IF($M339=2,IF(ISERROR(VLOOKUP(DATA!$P339,'M2'!$A:$C,Q$2,FALSE)),"NOT PRESENT",VLOOKUP(DATA!$P339,'M2'!$A:$C,Q$2,FALSE)),IF($M339=0,IF(ISERROR(VLOOKUP($P339,'M1'!$A:$C,Q$2,FALSE)),IF(ISERROR(VLOOKUP(DATA!$P339,'M2'!$A:$C,Q$2,FALSE)),"NOT PRESENT",VLOOKUP(DATA!$P339,'M2'!$A:$C,Q$2,FALSE)),VLOOKUP($P339,'M1'!$A:$C,Q$2,FALSE)),"SPECIFY METHOD")))</f>
        <v>Orthasterias koehleri</v>
      </c>
      <c r="R339" s="21" t="str">
        <f>IF($M339=1,IF(ISERROR(VLOOKUP($P339,'M1'!$A:$C,R$2,FALSE)),"NOT PRESENT",VLOOKUP($P339,'M1'!$A:$C,R$2,FALSE)),IF($M339=2,IF(ISERROR(VLOOKUP(DATA!$P339,'M2'!$A:$C,R$2,FALSE)),"NOT PRESENT",VLOOKUP(DATA!$P339,'M2'!$A:$C,R$2,FALSE)),IF($M339=0,IF(ISERROR(VLOOKUP($P339,'M1'!$A:$C,R$2,FALSE)),IF(ISERROR(VLOOKUP(DATA!$P339,'M2'!$A:$C,R$2,FALSE)),"NOT PRESENT",VLOOKUP(DATA!$P339,'M2'!$A:$C,R$2,FALSE)),VLOOKUP($P339,'M1'!$A:$C,R$2,FALSE)),"SPECIFY METHOD")))</f>
        <v>Rainbow star</v>
      </c>
      <c r="S339" s="28">
        <f t="shared" si="500"/>
        <v>1</v>
      </c>
      <c r="T339" s="20">
        <v>0</v>
      </c>
      <c r="U339" s="20"/>
      <c r="V339" s="20"/>
      <c r="W339" s="20">
        <v>1</v>
      </c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</row>
    <row r="340" spans="1:68" ht="12.75" customHeight="1">
      <c r="A340" s="21">
        <f t="shared" si="497"/>
        <v>338</v>
      </c>
      <c r="B340" s="20" t="str">
        <f t="shared" si="626"/>
        <v>Em Lim</v>
      </c>
      <c r="C340" s="20" t="str">
        <f t="shared" si="643"/>
        <v>Valesca de Groot</v>
      </c>
      <c r="D340" s="20" t="str">
        <f t="shared" si="645"/>
        <v>BMSC14</v>
      </c>
      <c r="E340" s="21" t="str">
        <f>IF(ISERROR(VLOOKUP($D340,SITES!$A:$E,2,FALSE)),"",VLOOKUP($D340,SITES!$A:$E,2,FALSE))</f>
        <v>Effingham Archipelago</v>
      </c>
      <c r="F340" s="19">
        <f>IF(ISERROR(VLOOKUP($D340,SITES!$A:$E,3,FALSE)),"",VLOOKUP($D340,SITES!$A:$E,3,FALSE))</f>
        <v>48.879081726074197</v>
      </c>
      <c r="G340" s="22">
        <f>IF(ISERROR(VLOOKUP($D340,SITES!$A:$E,4,FALSE)),"",VLOOKUP($D340,SITES!$A:$E,4,FALSE))</f>
        <v>-125.297401428222</v>
      </c>
      <c r="H340" s="23">
        <f t="shared" si="644"/>
        <v>45413</v>
      </c>
      <c r="I340" s="20">
        <f t="shared" ref="I340:M340" si="649">IF(ISERROR(I339),IF(ISERROR(I338),IF(ISERROR(I337),"BLANK",I337),I338),I339)</f>
        <v>4</v>
      </c>
      <c r="J340" s="20" t="str">
        <f t="shared" si="649"/>
        <v>SE</v>
      </c>
      <c r="K340" s="27">
        <f t="shared" si="649"/>
        <v>0.40902777777777777</v>
      </c>
      <c r="L340" s="20">
        <f t="shared" si="649"/>
        <v>6</v>
      </c>
      <c r="M340" s="20">
        <f t="shared" si="649"/>
        <v>2</v>
      </c>
      <c r="N340" s="20">
        <v>2</v>
      </c>
      <c r="O340" s="2">
        <v>40</v>
      </c>
      <c r="P340" s="2" t="s">
        <v>40</v>
      </c>
      <c r="Q340" s="21" t="str">
        <f>IF($M340=1,IF(ISERROR(VLOOKUP($P340,'M1'!$A:$C,Q$2,FALSE)),"NOT PRESENT",VLOOKUP($P340,'M1'!$A:$C,Q$2,FALSE)),IF($M340=2,IF(ISERROR(VLOOKUP(DATA!$P340,'M2'!$A:$C,Q$2,FALSE)),"NOT PRESENT",VLOOKUP(DATA!$P340,'M2'!$A:$C,Q$2,FALSE)),IF($M340=0,IF(ISERROR(VLOOKUP($P340,'M1'!$A:$C,Q$2,FALSE)),IF(ISERROR(VLOOKUP(DATA!$P340,'M2'!$A:$C,Q$2,FALSE)),"NOT PRESENT",VLOOKUP(DATA!$P340,'M2'!$A:$C,Q$2,FALSE)),VLOOKUP($P340,'M1'!$A:$C,Q$2,FALSE)),"SPECIFY METHOD")))</f>
        <v>Patiria miniata</v>
      </c>
      <c r="R340" s="21" t="str">
        <f>IF($M340=1,IF(ISERROR(VLOOKUP($P340,'M1'!$A:$C,R$2,FALSE)),"NOT PRESENT",VLOOKUP($P340,'M1'!$A:$C,R$2,FALSE)),IF($M340=2,IF(ISERROR(VLOOKUP(DATA!$P340,'M2'!$A:$C,R$2,FALSE)),"NOT PRESENT",VLOOKUP(DATA!$P340,'M2'!$A:$C,R$2,FALSE)),IF($M340=0,IF(ISERROR(VLOOKUP($P340,'M1'!$A:$C,R$2,FALSE)),IF(ISERROR(VLOOKUP(DATA!$P340,'M2'!$A:$C,R$2,FALSE)),"NOT PRESENT",VLOOKUP(DATA!$P340,'M2'!$A:$C,R$2,FALSE)),VLOOKUP($P340,'M1'!$A:$C,R$2,FALSE)),"SPECIFY METHOD")))</f>
        <v>Bat star</v>
      </c>
      <c r="S340" s="28">
        <f t="shared" si="500"/>
        <v>1</v>
      </c>
      <c r="T340" s="20">
        <v>0</v>
      </c>
      <c r="U340" s="20"/>
      <c r="V340" s="20"/>
      <c r="W340" s="20"/>
      <c r="X340" s="20"/>
      <c r="Y340" s="20"/>
      <c r="Z340" s="20">
        <v>1</v>
      </c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</row>
    <row r="341" spans="1:68" ht="12.75" customHeight="1">
      <c r="A341" s="21">
        <f t="shared" si="497"/>
        <v>339</v>
      </c>
      <c r="B341" s="20" t="str">
        <f t="shared" si="626"/>
        <v>Em Lim</v>
      </c>
      <c r="C341" s="20" t="str">
        <f t="shared" si="643"/>
        <v>Valesca de Groot</v>
      </c>
      <c r="D341" s="20" t="str">
        <f t="shared" si="645"/>
        <v>BMSC14</v>
      </c>
      <c r="E341" s="21" t="str">
        <f>IF(ISERROR(VLOOKUP($D341,SITES!$A:$E,2,FALSE)),"",VLOOKUP($D341,SITES!$A:$E,2,FALSE))</f>
        <v>Effingham Archipelago</v>
      </c>
      <c r="F341" s="19">
        <f>IF(ISERROR(VLOOKUP($D341,SITES!$A:$E,3,FALSE)),"",VLOOKUP($D341,SITES!$A:$E,3,FALSE))</f>
        <v>48.879081726074197</v>
      </c>
      <c r="G341" s="22">
        <f>IF(ISERROR(VLOOKUP($D341,SITES!$A:$E,4,FALSE)),"",VLOOKUP($D341,SITES!$A:$E,4,FALSE))</f>
        <v>-125.297401428222</v>
      </c>
      <c r="H341" s="23">
        <f t="shared" si="644"/>
        <v>45413</v>
      </c>
      <c r="I341" s="20">
        <f t="shared" ref="I341:M341" si="650">IF(ISERROR(I340),IF(ISERROR(I339),IF(ISERROR(I338),"BLANK",I338),I339),I340)</f>
        <v>4</v>
      </c>
      <c r="J341" s="20" t="str">
        <f t="shared" si="650"/>
        <v>SE</v>
      </c>
      <c r="K341" s="27">
        <f t="shared" si="650"/>
        <v>0.40902777777777777</v>
      </c>
      <c r="L341" s="20">
        <f t="shared" si="650"/>
        <v>6</v>
      </c>
      <c r="M341" s="20">
        <f t="shared" si="650"/>
        <v>2</v>
      </c>
      <c r="N341" s="20">
        <v>1</v>
      </c>
      <c r="O341" s="20">
        <v>32</v>
      </c>
      <c r="P341" s="20" t="s">
        <v>41</v>
      </c>
      <c r="Q341" s="21" t="str">
        <f>IF($M341=1,IF(ISERROR(VLOOKUP($P341,'M1'!$A:$C,Q$2,FALSE)),"NOT PRESENT",VLOOKUP($P341,'M1'!$A:$C,Q$2,FALSE)),IF($M341=2,IF(ISERROR(VLOOKUP(DATA!$P341,'M2'!$A:$C,Q$2,FALSE)),"NOT PRESENT",VLOOKUP(DATA!$P341,'M2'!$A:$C,Q$2,FALSE)),IF($M341=0,IF(ISERROR(VLOOKUP($P341,'M1'!$A:$C,Q$2,FALSE)),IF(ISERROR(VLOOKUP(DATA!$P341,'M2'!$A:$C,Q$2,FALSE)),"NOT PRESENT",VLOOKUP(DATA!$P341,'M2'!$A:$C,Q$2,FALSE)),VLOOKUP($P341,'M1'!$A:$C,Q$2,FALSE)),"SPECIFY METHOD")))</f>
        <v>Mesocentrotus franciscanus</v>
      </c>
      <c r="R341" s="21" t="str">
        <f>IF($M341=1,IF(ISERROR(VLOOKUP($P341,'M1'!$A:$C,R$2,FALSE)),"NOT PRESENT",VLOOKUP($P341,'M1'!$A:$C,R$2,FALSE)),IF($M341=2,IF(ISERROR(VLOOKUP(DATA!$P341,'M2'!$A:$C,R$2,FALSE)),"NOT PRESENT",VLOOKUP(DATA!$P341,'M2'!$A:$C,R$2,FALSE)),IF($M341=0,IF(ISERROR(VLOOKUP($P341,'M1'!$A:$C,R$2,FALSE)),IF(ISERROR(VLOOKUP(DATA!$P341,'M2'!$A:$C,R$2,FALSE)),"NOT PRESENT",VLOOKUP(DATA!$P341,'M2'!$A:$C,R$2,FALSE)),VLOOKUP($P341,'M1'!$A:$C,R$2,FALSE)),"SPECIFY METHOD")))</f>
        <v>Red sea urchin</v>
      </c>
      <c r="S341" s="28">
        <f t="shared" si="500"/>
        <v>8</v>
      </c>
      <c r="T341" s="20">
        <v>0</v>
      </c>
      <c r="U341" s="20"/>
      <c r="V341" s="20">
        <v>7</v>
      </c>
      <c r="W341" s="20">
        <v>1</v>
      </c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</row>
    <row r="342" spans="1:68" ht="12.75" customHeight="1">
      <c r="A342" s="21">
        <f t="shared" si="497"/>
        <v>340</v>
      </c>
      <c r="B342" s="20" t="str">
        <f t="shared" si="626"/>
        <v>Em Lim</v>
      </c>
      <c r="C342" s="20" t="str">
        <f t="shared" si="643"/>
        <v>Valesca de Groot</v>
      </c>
      <c r="D342" s="20" t="str">
        <f t="shared" si="645"/>
        <v>BMSC14</v>
      </c>
      <c r="E342" s="21" t="str">
        <f>IF(ISERROR(VLOOKUP($D342,SITES!$A:$E,2,FALSE)),"",VLOOKUP($D342,SITES!$A:$E,2,FALSE))</f>
        <v>Effingham Archipelago</v>
      </c>
      <c r="F342" s="19">
        <f>IF(ISERROR(VLOOKUP($D342,SITES!$A:$E,3,FALSE)),"",VLOOKUP($D342,SITES!$A:$E,3,FALSE))</f>
        <v>48.879081726074197</v>
      </c>
      <c r="G342" s="22">
        <f>IF(ISERROR(VLOOKUP($D342,SITES!$A:$E,4,FALSE)),"",VLOOKUP($D342,SITES!$A:$E,4,FALSE))</f>
        <v>-125.297401428222</v>
      </c>
      <c r="H342" s="23">
        <f t="shared" si="644"/>
        <v>45413</v>
      </c>
      <c r="I342" s="20">
        <f t="shared" ref="I342:M342" si="651">IF(ISERROR(I341),IF(ISERROR(I340),IF(ISERROR(I339),"BLANK",I339),I340),I341)</f>
        <v>4</v>
      </c>
      <c r="J342" s="20" t="str">
        <f t="shared" si="651"/>
        <v>SE</v>
      </c>
      <c r="K342" s="27">
        <f t="shared" si="651"/>
        <v>0.40902777777777777</v>
      </c>
      <c r="L342" s="20">
        <f t="shared" si="651"/>
        <v>6</v>
      </c>
      <c r="M342" s="20">
        <f t="shared" si="651"/>
        <v>2</v>
      </c>
      <c r="N342" s="20">
        <v>1</v>
      </c>
      <c r="O342" s="20">
        <v>32</v>
      </c>
      <c r="P342" s="20" t="s">
        <v>39</v>
      </c>
      <c r="Q342" s="21" t="str">
        <f>IF($M342=1,IF(ISERROR(VLOOKUP($P342,'M1'!$A:$C,Q$2,FALSE)),"NOT PRESENT",VLOOKUP($P342,'M1'!$A:$C,Q$2,FALSE)),IF($M342=2,IF(ISERROR(VLOOKUP(DATA!$P342,'M2'!$A:$C,Q$2,FALSE)),"NOT PRESENT",VLOOKUP(DATA!$P342,'M2'!$A:$C,Q$2,FALSE)),IF($M342=0,IF(ISERROR(VLOOKUP($P342,'M1'!$A:$C,Q$2,FALSE)),IF(ISERROR(VLOOKUP(DATA!$P342,'M2'!$A:$C,Q$2,FALSE)),"NOT PRESENT",VLOOKUP(DATA!$P342,'M2'!$A:$C,Q$2,FALSE)),VLOOKUP($P342,'M1'!$A:$C,Q$2,FALSE)),"SPECIFY METHOD")))</f>
        <v>Dermasterias imbricata</v>
      </c>
      <c r="R342" s="21" t="str">
        <f>IF($M342=1,IF(ISERROR(VLOOKUP($P342,'M1'!$A:$C,R$2,FALSE)),"NOT PRESENT",VLOOKUP($P342,'M1'!$A:$C,R$2,FALSE)),IF($M342=2,IF(ISERROR(VLOOKUP(DATA!$P342,'M2'!$A:$C,R$2,FALSE)),"NOT PRESENT",VLOOKUP(DATA!$P342,'M2'!$A:$C,R$2,FALSE)),IF($M342=0,IF(ISERROR(VLOOKUP($P342,'M1'!$A:$C,R$2,FALSE)),IF(ISERROR(VLOOKUP(DATA!$P342,'M2'!$A:$C,R$2,FALSE)),"NOT PRESENT",VLOOKUP(DATA!$P342,'M2'!$A:$C,R$2,FALSE)),VLOOKUP($P342,'M1'!$A:$C,R$2,FALSE)),"SPECIFY METHOD")))</f>
        <v>Leather star</v>
      </c>
      <c r="S342" s="28">
        <f t="shared" si="500"/>
        <v>2</v>
      </c>
      <c r="T342" s="20">
        <v>0</v>
      </c>
      <c r="U342" s="20"/>
      <c r="V342" s="20"/>
      <c r="W342" s="20"/>
      <c r="X342" s="20"/>
      <c r="Y342" s="20">
        <v>1</v>
      </c>
      <c r="Z342" s="20">
        <v>1</v>
      </c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</row>
    <row r="343" spans="1:68" ht="12.75" customHeight="1">
      <c r="A343" s="21">
        <f t="shared" si="497"/>
        <v>341</v>
      </c>
      <c r="B343" s="20" t="str">
        <f t="shared" si="626"/>
        <v>Em Lim</v>
      </c>
      <c r="C343" s="20" t="str">
        <f t="shared" si="643"/>
        <v>Valesca de Groot</v>
      </c>
      <c r="D343" s="20" t="str">
        <f t="shared" si="645"/>
        <v>BMSC14</v>
      </c>
      <c r="E343" s="21" t="str">
        <f>IF(ISERROR(VLOOKUP($D343,SITES!$A:$E,2,FALSE)),"",VLOOKUP($D343,SITES!$A:$E,2,FALSE))</f>
        <v>Effingham Archipelago</v>
      </c>
      <c r="F343" s="19">
        <f>IF(ISERROR(VLOOKUP($D343,SITES!$A:$E,3,FALSE)),"",VLOOKUP($D343,SITES!$A:$E,3,FALSE))</f>
        <v>48.879081726074197</v>
      </c>
      <c r="G343" s="22">
        <f>IF(ISERROR(VLOOKUP($D343,SITES!$A:$E,4,FALSE)),"",VLOOKUP($D343,SITES!$A:$E,4,FALSE))</f>
        <v>-125.297401428222</v>
      </c>
      <c r="H343" s="23">
        <f t="shared" si="644"/>
        <v>45413</v>
      </c>
      <c r="I343" s="20">
        <f t="shared" ref="I343:M343" si="652">IF(ISERROR(I342),IF(ISERROR(I341),IF(ISERROR(I340),"BLANK",I340),I341),I342)</f>
        <v>4</v>
      </c>
      <c r="J343" s="20" t="str">
        <f t="shared" si="652"/>
        <v>SE</v>
      </c>
      <c r="K343" s="27">
        <f t="shared" si="652"/>
        <v>0.40902777777777777</v>
      </c>
      <c r="L343" s="20">
        <f t="shared" si="652"/>
        <v>6</v>
      </c>
      <c r="M343" s="20">
        <f t="shared" si="652"/>
        <v>2</v>
      </c>
      <c r="N343" s="20">
        <v>2</v>
      </c>
      <c r="O343" s="20">
        <v>24</v>
      </c>
      <c r="P343" s="20" t="s">
        <v>41</v>
      </c>
      <c r="Q343" s="21" t="str">
        <f>IF($M343=1,IF(ISERROR(VLOOKUP($P343,'M1'!$A:$C,Q$2,FALSE)),"NOT PRESENT",VLOOKUP($P343,'M1'!$A:$C,Q$2,FALSE)),IF($M343=2,IF(ISERROR(VLOOKUP(DATA!$P343,'M2'!$A:$C,Q$2,FALSE)),"NOT PRESENT",VLOOKUP(DATA!$P343,'M2'!$A:$C,Q$2,FALSE)),IF($M343=0,IF(ISERROR(VLOOKUP($P343,'M1'!$A:$C,Q$2,FALSE)),IF(ISERROR(VLOOKUP(DATA!$P343,'M2'!$A:$C,Q$2,FALSE)),"NOT PRESENT",VLOOKUP(DATA!$P343,'M2'!$A:$C,Q$2,FALSE)),VLOOKUP($P343,'M1'!$A:$C,Q$2,FALSE)),"SPECIFY METHOD")))</f>
        <v>Mesocentrotus franciscanus</v>
      </c>
      <c r="R343" s="21" t="str">
        <f>IF($M343=1,IF(ISERROR(VLOOKUP($P343,'M1'!$A:$C,R$2,FALSE)),"NOT PRESENT",VLOOKUP($P343,'M1'!$A:$C,R$2,FALSE)),IF($M343=2,IF(ISERROR(VLOOKUP(DATA!$P343,'M2'!$A:$C,R$2,FALSE)),"NOT PRESENT",VLOOKUP(DATA!$P343,'M2'!$A:$C,R$2,FALSE)),IF($M343=0,IF(ISERROR(VLOOKUP($P343,'M1'!$A:$C,R$2,FALSE)),IF(ISERROR(VLOOKUP(DATA!$P343,'M2'!$A:$C,R$2,FALSE)),"NOT PRESENT",VLOOKUP(DATA!$P343,'M2'!$A:$C,R$2,FALSE)),VLOOKUP($P343,'M1'!$A:$C,R$2,FALSE)),"SPECIFY METHOD")))</f>
        <v>Red sea urchin</v>
      </c>
      <c r="S343" s="28">
        <f t="shared" si="500"/>
        <v>7</v>
      </c>
      <c r="T343" s="20">
        <v>0</v>
      </c>
      <c r="U343" s="20">
        <v>2</v>
      </c>
      <c r="V343" s="20">
        <v>3</v>
      </c>
      <c r="W343" s="20">
        <v>2</v>
      </c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</row>
    <row r="344" spans="1:68" ht="12.75" customHeight="1">
      <c r="A344" s="21">
        <f t="shared" si="497"/>
        <v>342</v>
      </c>
      <c r="B344" s="20" t="str">
        <f t="shared" si="626"/>
        <v>Em Lim</v>
      </c>
      <c r="C344" s="20" t="str">
        <f t="shared" si="643"/>
        <v>Valesca de Groot</v>
      </c>
      <c r="D344" s="20" t="str">
        <f t="shared" si="645"/>
        <v>BMSC14</v>
      </c>
      <c r="E344" s="21" t="str">
        <f>IF(ISERROR(VLOOKUP($D344,SITES!$A:$E,2,FALSE)),"",VLOOKUP($D344,SITES!$A:$E,2,FALSE))</f>
        <v>Effingham Archipelago</v>
      </c>
      <c r="F344" s="19">
        <f>IF(ISERROR(VLOOKUP($D344,SITES!$A:$E,3,FALSE)),"",VLOOKUP($D344,SITES!$A:$E,3,FALSE))</f>
        <v>48.879081726074197</v>
      </c>
      <c r="G344" s="22">
        <f>IF(ISERROR(VLOOKUP($D344,SITES!$A:$E,4,FALSE)),"",VLOOKUP($D344,SITES!$A:$E,4,FALSE))</f>
        <v>-125.297401428222</v>
      </c>
      <c r="H344" s="23">
        <f t="shared" si="644"/>
        <v>45413</v>
      </c>
      <c r="I344" s="20">
        <f t="shared" ref="I344:M344" si="653">IF(ISERROR(I343),IF(ISERROR(I342),IF(ISERROR(I341),"BLANK",I341),I342),I343)</f>
        <v>4</v>
      </c>
      <c r="J344" s="20" t="str">
        <f t="shared" si="653"/>
        <v>SE</v>
      </c>
      <c r="K344" s="27">
        <f t="shared" si="653"/>
        <v>0.40902777777777777</v>
      </c>
      <c r="L344" s="20">
        <f t="shared" si="653"/>
        <v>6</v>
      </c>
      <c r="M344" s="20">
        <f t="shared" si="653"/>
        <v>2</v>
      </c>
      <c r="N344" s="20">
        <v>2</v>
      </c>
      <c r="O344" s="20">
        <v>24</v>
      </c>
      <c r="P344" s="20" t="s">
        <v>40</v>
      </c>
      <c r="Q344" s="21" t="str">
        <f>IF($M344=1,IF(ISERROR(VLOOKUP($P344,'M1'!$A:$C,Q$2,FALSE)),"NOT PRESENT",VLOOKUP($P344,'M1'!$A:$C,Q$2,FALSE)),IF($M344=2,IF(ISERROR(VLOOKUP(DATA!$P344,'M2'!$A:$C,Q$2,FALSE)),"NOT PRESENT",VLOOKUP(DATA!$P344,'M2'!$A:$C,Q$2,FALSE)),IF($M344=0,IF(ISERROR(VLOOKUP($P344,'M1'!$A:$C,Q$2,FALSE)),IF(ISERROR(VLOOKUP(DATA!$P344,'M2'!$A:$C,Q$2,FALSE)),"NOT PRESENT",VLOOKUP(DATA!$P344,'M2'!$A:$C,Q$2,FALSE)),VLOOKUP($P344,'M1'!$A:$C,Q$2,FALSE)),"SPECIFY METHOD")))</f>
        <v>Patiria miniata</v>
      </c>
      <c r="R344" s="21" t="str">
        <f>IF($M344=1,IF(ISERROR(VLOOKUP($P344,'M1'!$A:$C,R$2,FALSE)),"NOT PRESENT",VLOOKUP($P344,'M1'!$A:$C,R$2,FALSE)),IF($M344=2,IF(ISERROR(VLOOKUP(DATA!$P344,'M2'!$A:$C,R$2,FALSE)),"NOT PRESENT",VLOOKUP(DATA!$P344,'M2'!$A:$C,R$2,FALSE)),IF($M344=0,IF(ISERROR(VLOOKUP($P344,'M1'!$A:$C,R$2,FALSE)),IF(ISERROR(VLOOKUP(DATA!$P344,'M2'!$A:$C,R$2,FALSE)),"NOT PRESENT",VLOOKUP(DATA!$P344,'M2'!$A:$C,R$2,FALSE)),VLOOKUP($P344,'M1'!$A:$C,R$2,FALSE)),"SPECIFY METHOD")))</f>
        <v>Bat star</v>
      </c>
      <c r="S344" s="28">
        <f t="shared" si="500"/>
        <v>1</v>
      </c>
      <c r="T344" s="20">
        <v>0</v>
      </c>
      <c r="U344" s="20"/>
      <c r="V344" s="20"/>
      <c r="W344" s="20"/>
      <c r="X344" s="20">
        <v>1</v>
      </c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</row>
    <row r="345" spans="1:68" ht="12.75" customHeight="1">
      <c r="A345" s="21">
        <f t="shared" si="497"/>
        <v>343</v>
      </c>
      <c r="B345" s="20" t="str">
        <f t="shared" si="626"/>
        <v>Em Lim</v>
      </c>
      <c r="C345" s="20" t="str">
        <f t="shared" si="643"/>
        <v>Valesca de Groot</v>
      </c>
      <c r="D345" s="20" t="str">
        <f t="shared" si="645"/>
        <v>BMSC14</v>
      </c>
      <c r="E345" s="21" t="str">
        <f>IF(ISERROR(VLOOKUP($D345,SITES!$A:$E,2,FALSE)),"",VLOOKUP($D345,SITES!$A:$E,2,FALSE))</f>
        <v>Effingham Archipelago</v>
      </c>
      <c r="F345" s="19">
        <f>IF(ISERROR(VLOOKUP($D345,SITES!$A:$E,3,FALSE)),"",VLOOKUP($D345,SITES!$A:$E,3,FALSE))</f>
        <v>48.879081726074197</v>
      </c>
      <c r="G345" s="22">
        <f>IF(ISERROR(VLOOKUP($D345,SITES!$A:$E,4,FALSE)),"",VLOOKUP($D345,SITES!$A:$E,4,FALSE))</f>
        <v>-125.297401428222</v>
      </c>
      <c r="H345" s="23">
        <f t="shared" si="644"/>
        <v>45413</v>
      </c>
      <c r="I345" s="20">
        <f t="shared" ref="I345:M345" si="654">IF(ISERROR(I344),IF(ISERROR(I343),IF(ISERROR(I342),"BLANK",I342),I343),I344)</f>
        <v>4</v>
      </c>
      <c r="J345" s="20" t="str">
        <f t="shared" si="654"/>
        <v>SE</v>
      </c>
      <c r="K345" s="27">
        <f t="shared" si="654"/>
        <v>0.40902777777777777</v>
      </c>
      <c r="L345" s="20">
        <f t="shared" si="654"/>
        <v>6</v>
      </c>
      <c r="M345" s="20">
        <f t="shared" si="654"/>
        <v>2</v>
      </c>
      <c r="N345" s="20">
        <v>1</v>
      </c>
      <c r="O345" s="20">
        <v>16</v>
      </c>
      <c r="P345" s="20" t="s">
        <v>41</v>
      </c>
      <c r="Q345" s="21" t="str">
        <f>IF($M345=1,IF(ISERROR(VLOOKUP($P345,'M1'!$A:$C,Q$2,FALSE)),"NOT PRESENT",VLOOKUP($P345,'M1'!$A:$C,Q$2,FALSE)),IF($M345=2,IF(ISERROR(VLOOKUP(DATA!$P345,'M2'!$A:$C,Q$2,FALSE)),"NOT PRESENT",VLOOKUP(DATA!$P345,'M2'!$A:$C,Q$2,FALSE)),IF($M345=0,IF(ISERROR(VLOOKUP($P345,'M1'!$A:$C,Q$2,FALSE)),IF(ISERROR(VLOOKUP(DATA!$P345,'M2'!$A:$C,Q$2,FALSE)),"NOT PRESENT",VLOOKUP(DATA!$P345,'M2'!$A:$C,Q$2,FALSE)),VLOOKUP($P345,'M1'!$A:$C,Q$2,FALSE)),"SPECIFY METHOD")))</f>
        <v>Mesocentrotus franciscanus</v>
      </c>
      <c r="R345" s="21" t="str">
        <f>IF($M345=1,IF(ISERROR(VLOOKUP($P345,'M1'!$A:$C,R$2,FALSE)),"NOT PRESENT",VLOOKUP($P345,'M1'!$A:$C,R$2,FALSE)),IF($M345=2,IF(ISERROR(VLOOKUP(DATA!$P345,'M2'!$A:$C,R$2,FALSE)),"NOT PRESENT",VLOOKUP(DATA!$P345,'M2'!$A:$C,R$2,FALSE)),IF($M345=0,IF(ISERROR(VLOOKUP($P345,'M1'!$A:$C,R$2,FALSE)),IF(ISERROR(VLOOKUP(DATA!$P345,'M2'!$A:$C,R$2,FALSE)),"NOT PRESENT",VLOOKUP(DATA!$P345,'M2'!$A:$C,R$2,FALSE)),VLOOKUP($P345,'M1'!$A:$C,R$2,FALSE)),"SPECIFY METHOD")))</f>
        <v>Red sea urchin</v>
      </c>
      <c r="S345" s="28">
        <f t="shared" si="500"/>
        <v>5</v>
      </c>
      <c r="T345" s="20">
        <v>0</v>
      </c>
      <c r="U345" s="20">
        <v>1</v>
      </c>
      <c r="V345" s="20">
        <v>2</v>
      </c>
      <c r="W345" s="20">
        <v>2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</row>
    <row r="346" spans="1:68" ht="12.75" customHeight="1">
      <c r="A346" s="21">
        <f t="shared" si="497"/>
        <v>344</v>
      </c>
      <c r="B346" s="20" t="str">
        <f t="shared" si="626"/>
        <v>Em Lim</v>
      </c>
      <c r="C346" s="20" t="str">
        <f t="shared" si="643"/>
        <v>Valesca de Groot</v>
      </c>
      <c r="D346" s="20" t="str">
        <f t="shared" si="645"/>
        <v>BMSC14</v>
      </c>
      <c r="E346" s="21" t="str">
        <f>IF(ISERROR(VLOOKUP($D346,SITES!$A:$E,2,FALSE)),"",VLOOKUP($D346,SITES!$A:$E,2,FALSE))</f>
        <v>Effingham Archipelago</v>
      </c>
      <c r="F346" s="19">
        <f>IF(ISERROR(VLOOKUP($D346,SITES!$A:$E,3,FALSE)),"",VLOOKUP($D346,SITES!$A:$E,3,FALSE))</f>
        <v>48.879081726074197</v>
      </c>
      <c r="G346" s="22">
        <f>IF(ISERROR(VLOOKUP($D346,SITES!$A:$E,4,FALSE)),"",VLOOKUP($D346,SITES!$A:$E,4,FALSE))</f>
        <v>-125.297401428222</v>
      </c>
      <c r="H346" s="23">
        <f t="shared" si="644"/>
        <v>45413</v>
      </c>
      <c r="I346" s="20">
        <f t="shared" ref="I346:M346" si="655">IF(ISERROR(I345),IF(ISERROR(I344),IF(ISERROR(I343),"BLANK",I343),I344),I345)</f>
        <v>4</v>
      </c>
      <c r="J346" s="20" t="str">
        <f t="shared" si="655"/>
        <v>SE</v>
      </c>
      <c r="K346" s="27">
        <f t="shared" si="655"/>
        <v>0.40902777777777777</v>
      </c>
      <c r="L346" s="20">
        <f t="shared" si="655"/>
        <v>6</v>
      </c>
      <c r="M346" s="20">
        <f t="shared" si="655"/>
        <v>2</v>
      </c>
      <c r="N346" s="20">
        <v>1</v>
      </c>
      <c r="O346" s="20">
        <v>16</v>
      </c>
      <c r="P346" s="20" t="s">
        <v>40</v>
      </c>
      <c r="Q346" s="21" t="str">
        <f>IF($M346=1,IF(ISERROR(VLOOKUP($P346,'M1'!$A:$C,Q$2,FALSE)),"NOT PRESENT",VLOOKUP($P346,'M1'!$A:$C,Q$2,FALSE)),IF($M346=2,IF(ISERROR(VLOOKUP(DATA!$P346,'M2'!$A:$C,Q$2,FALSE)),"NOT PRESENT",VLOOKUP(DATA!$P346,'M2'!$A:$C,Q$2,FALSE)),IF($M346=0,IF(ISERROR(VLOOKUP($P346,'M1'!$A:$C,Q$2,FALSE)),IF(ISERROR(VLOOKUP(DATA!$P346,'M2'!$A:$C,Q$2,FALSE)),"NOT PRESENT",VLOOKUP(DATA!$P346,'M2'!$A:$C,Q$2,FALSE)),VLOOKUP($P346,'M1'!$A:$C,Q$2,FALSE)),"SPECIFY METHOD")))</f>
        <v>Patiria miniata</v>
      </c>
      <c r="R346" s="21" t="str">
        <f>IF($M346=1,IF(ISERROR(VLOOKUP($P346,'M1'!$A:$C,R$2,FALSE)),"NOT PRESENT",VLOOKUP($P346,'M1'!$A:$C,R$2,FALSE)),IF($M346=2,IF(ISERROR(VLOOKUP(DATA!$P346,'M2'!$A:$C,R$2,FALSE)),"NOT PRESENT",VLOOKUP(DATA!$P346,'M2'!$A:$C,R$2,FALSE)),IF($M346=0,IF(ISERROR(VLOOKUP($P346,'M1'!$A:$C,R$2,FALSE)),IF(ISERROR(VLOOKUP(DATA!$P346,'M2'!$A:$C,R$2,FALSE)),"NOT PRESENT",VLOOKUP(DATA!$P346,'M2'!$A:$C,R$2,FALSE)),VLOOKUP($P346,'M1'!$A:$C,R$2,FALSE)),"SPECIFY METHOD")))</f>
        <v>Bat star</v>
      </c>
      <c r="S346" s="28">
        <f t="shared" si="500"/>
        <v>1</v>
      </c>
      <c r="T346" s="20">
        <v>0</v>
      </c>
      <c r="U346" s="20"/>
      <c r="V346" s="20"/>
      <c r="W346" s="20"/>
      <c r="X346" s="20">
        <v>1</v>
      </c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</row>
    <row r="347" spans="1:68" ht="12.75" customHeight="1">
      <c r="A347" s="21">
        <f t="shared" si="497"/>
        <v>345</v>
      </c>
      <c r="B347" s="20" t="str">
        <f t="shared" si="626"/>
        <v>Em Lim</v>
      </c>
      <c r="C347" s="20" t="str">
        <f t="shared" si="643"/>
        <v>Valesca de Groot</v>
      </c>
      <c r="D347" s="20" t="str">
        <f t="shared" si="645"/>
        <v>BMSC14</v>
      </c>
      <c r="E347" s="21" t="str">
        <f>IF(ISERROR(VLOOKUP($D347,SITES!$A:$E,2,FALSE)),"",VLOOKUP($D347,SITES!$A:$E,2,FALSE))</f>
        <v>Effingham Archipelago</v>
      </c>
      <c r="F347" s="19">
        <f>IF(ISERROR(VLOOKUP($D347,SITES!$A:$E,3,FALSE)),"",VLOOKUP($D347,SITES!$A:$E,3,FALSE))</f>
        <v>48.879081726074197</v>
      </c>
      <c r="G347" s="22">
        <f>IF(ISERROR(VLOOKUP($D347,SITES!$A:$E,4,FALSE)),"",VLOOKUP($D347,SITES!$A:$E,4,FALSE))</f>
        <v>-125.297401428222</v>
      </c>
      <c r="H347" s="23">
        <f t="shared" si="644"/>
        <v>45413</v>
      </c>
      <c r="I347" s="20">
        <f t="shared" ref="I347:M347" si="656">IF(ISERROR(I346),IF(ISERROR(I345),IF(ISERROR(I344),"BLANK",I344),I345),I346)</f>
        <v>4</v>
      </c>
      <c r="J347" s="20" t="str">
        <f t="shared" si="656"/>
        <v>SE</v>
      </c>
      <c r="K347" s="27">
        <f t="shared" si="656"/>
        <v>0.40902777777777777</v>
      </c>
      <c r="L347" s="20">
        <f t="shared" si="656"/>
        <v>6</v>
      </c>
      <c r="M347" s="20">
        <f t="shared" si="656"/>
        <v>2</v>
      </c>
      <c r="N347" s="20">
        <v>2</v>
      </c>
      <c r="O347" s="20">
        <v>8</v>
      </c>
      <c r="P347" s="20" t="s">
        <v>41</v>
      </c>
      <c r="Q347" s="21" t="str">
        <f>IF($M347=1,IF(ISERROR(VLOOKUP($P347,'M1'!$A:$C,Q$2,FALSE)),"NOT PRESENT",VLOOKUP($P347,'M1'!$A:$C,Q$2,FALSE)),IF($M347=2,IF(ISERROR(VLOOKUP(DATA!$P347,'M2'!$A:$C,Q$2,FALSE)),"NOT PRESENT",VLOOKUP(DATA!$P347,'M2'!$A:$C,Q$2,FALSE)),IF($M347=0,IF(ISERROR(VLOOKUP($P347,'M1'!$A:$C,Q$2,FALSE)),IF(ISERROR(VLOOKUP(DATA!$P347,'M2'!$A:$C,Q$2,FALSE)),"NOT PRESENT",VLOOKUP(DATA!$P347,'M2'!$A:$C,Q$2,FALSE)),VLOOKUP($P347,'M1'!$A:$C,Q$2,FALSE)),"SPECIFY METHOD")))</f>
        <v>Mesocentrotus franciscanus</v>
      </c>
      <c r="R347" s="21" t="str">
        <f>IF($M347=1,IF(ISERROR(VLOOKUP($P347,'M1'!$A:$C,R$2,FALSE)),"NOT PRESENT",VLOOKUP($P347,'M1'!$A:$C,R$2,FALSE)),IF($M347=2,IF(ISERROR(VLOOKUP(DATA!$P347,'M2'!$A:$C,R$2,FALSE)),"NOT PRESENT",VLOOKUP(DATA!$P347,'M2'!$A:$C,R$2,FALSE)),IF($M347=0,IF(ISERROR(VLOOKUP($P347,'M1'!$A:$C,R$2,FALSE)),IF(ISERROR(VLOOKUP(DATA!$P347,'M2'!$A:$C,R$2,FALSE)),"NOT PRESENT",VLOOKUP(DATA!$P347,'M2'!$A:$C,R$2,FALSE)),VLOOKUP($P347,'M1'!$A:$C,R$2,FALSE)),"SPECIFY METHOD")))</f>
        <v>Red sea urchin</v>
      </c>
      <c r="S347" s="28">
        <f t="shared" si="500"/>
        <v>6</v>
      </c>
      <c r="T347" s="20">
        <v>0</v>
      </c>
      <c r="U347" s="20"/>
      <c r="V347" s="20">
        <v>5</v>
      </c>
      <c r="W347" s="20">
        <v>1</v>
      </c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</row>
    <row r="348" spans="1:68" ht="12.75" customHeight="1">
      <c r="A348" s="21">
        <f t="shared" si="497"/>
        <v>346</v>
      </c>
      <c r="B348" s="20" t="str">
        <f t="shared" si="626"/>
        <v>Em Lim</v>
      </c>
      <c r="C348" s="20" t="str">
        <f t="shared" si="643"/>
        <v>Valesca de Groot</v>
      </c>
      <c r="D348" s="20" t="str">
        <f t="shared" si="645"/>
        <v>BMSC14</v>
      </c>
      <c r="E348" s="21" t="str">
        <f>IF(ISERROR(VLOOKUP($D348,SITES!$A:$E,2,FALSE)),"",VLOOKUP($D348,SITES!$A:$E,2,FALSE))</f>
        <v>Effingham Archipelago</v>
      </c>
      <c r="F348" s="19">
        <f>IF(ISERROR(VLOOKUP($D348,SITES!$A:$E,3,FALSE)),"",VLOOKUP($D348,SITES!$A:$E,3,FALSE))</f>
        <v>48.879081726074197</v>
      </c>
      <c r="G348" s="22">
        <f>IF(ISERROR(VLOOKUP($D348,SITES!$A:$E,4,FALSE)),"",VLOOKUP($D348,SITES!$A:$E,4,FALSE))</f>
        <v>-125.297401428222</v>
      </c>
      <c r="H348" s="23">
        <f t="shared" si="644"/>
        <v>45413</v>
      </c>
      <c r="I348" s="20">
        <f t="shared" ref="I348:N348" si="657">IF(ISERROR(I347),IF(ISERROR(I346),IF(ISERROR(I345),"BLANK",I345),I346),I347)</f>
        <v>4</v>
      </c>
      <c r="J348" s="20" t="str">
        <f t="shared" si="657"/>
        <v>SE</v>
      </c>
      <c r="K348" s="27">
        <f t="shared" si="657"/>
        <v>0.40902777777777777</v>
      </c>
      <c r="L348" s="20">
        <f t="shared" si="657"/>
        <v>6</v>
      </c>
      <c r="M348" s="20">
        <f t="shared" si="657"/>
        <v>2</v>
      </c>
      <c r="N348" s="20">
        <f t="shared" si="657"/>
        <v>2</v>
      </c>
      <c r="O348" s="20">
        <v>0</v>
      </c>
      <c r="P348" s="20" t="s">
        <v>41</v>
      </c>
      <c r="Q348" s="21" t="str">
        <f>IF($M348=1,IF(ISERROR(VLOOKUP($P348,'M1'!$A:$C,Q$2,FALSE)),"NOT PRESENT",VLOOKUP($P348,'M1'!$A:$C,Q$2,FALSE)),IF($M348=2,IF(ISERROR(VLOOKUP(DATA!$P348,'M2'!$A:$C,Q$2,FALSE)),"NOT PRESENT",VLOOKUP(DATA!$P348,'M2'!$A:$C,Q$2,FALSE)),IF($M348=0,IF(ISERROR(VLOOKUP($P348,'M1'!$A:$C,Q$2,FALSE)),IF(ISERROR(VLOOKUP(DATA!$P348,'M2'!$A:$C,Q$2,FALSE)),"NOT PRESENT",VLOOKUP(DATA!$P348,'M2'!$A:$C,Q$2,FALSE)),VLOOKUP($P348,'M1'!$A:$C,Q$2,FALSE)),"SPECIFY METHOD")))</f>
        <v>Mesocentrotus franciscanus</v>
      </c>
      <c r="R348" s="21" t="str">
        <f>IF($M348=1,IF(ISERROR(VLOOKUP($P348,'M1'!$A:$C,R$2,FALSE)),"NOT PRESENT",VLOOKUP($P348,'M1'!$A:$C,R$2,FALSE)),IF($M348=2,IF(ISERROR(VLOOKUP(DATA!$P348,'M2'!$A:$C,R$2,FALSE)),"NOT PRESENT",VLOOKUP(DATA!$P348,'M2'!$A:$C,R$2,FALSE)),IF($M348=0,IF(ISERROR(VLOOKUP($P348,'M1'!$A:$C,R$2,FALSE)),IF(ISERROR(VLOOKUP(DATA!$P348,'M2'!$A:$C,R$2,FALSE)),"NOT PRESENT",VLOOKUP(DATA!$P348,'M2'!$A:$C,R$2,FALSE)),VLOOKUP($P348,'M1'!$A:$C,R$2,FALSE)),"SPECIFY METHOD")))</f>
        <v>Red sea urchin</v>
      </c>
      <c r="S348" s="28">
        <f t="shared" si="500"/>
        <v>1</v>
      </c>
      <c r="T348" s="20">
        <v>0</v>
      </c>
      <c r="U348" s="20"/>
      <c r="V348" s="20"/>
      <c r="W348" s="20">
        <v>1</v>
      </c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</row>
    <row r="349" spans="1:68" ht="12.75" customHeight="1">
      <c r="A349" s="21">
        <f t="shared" si="497"/>
        <v>347</v>
      </c>
      <c r="B349" s="20" t="str">
        <f t="shared" si="626"/>
        <v>Em Lim</v>
      </c>
      <c r="C349" s="20" t="str">
        <f t="shared" si="643"/>
        <v>Valesca de Groot</v>
      </c>
      <c r="D349" s="20" t="str">
        <f t="shared" si="645"/>
        <v>BMSC14</v>
      </c>
      <c r="E349" s="21" t="str">
        <f>IF(ISERROR(VLOOKUP($D349,SITES!$A:$E,2,FALSE)),"",VLOOKUP($D349,SITES!$A:$E,2,FALSE))</f>
        <v>Effingham Archipelago</v>
      </c>
      <c r="F349" s="19">
        <f>IF(ISERROR(VLOOKUP($D349,SITES!$A:$E,3,FALSE)),"",VLOOKUP($D349,SITES!$A:$E,3,FALSE))</f>
        <v>48.879081726074197</v>
      </c>
      <c r="G349" s="22">
        <f>IF(ISERROR(VLOOKUP($D349,SITES!$A:$E,4,FALSE)),"",VLOOKUP($D349,SITES!$A:$E,4,FALSE))</f>
        <v>-125.297401428222</v>
      </c>
      <c r="H349" s="23">
        <f t="shared" si="644"/>
        <v>45413</v>
      </c>
      <c r="I349" s="20">
        <f t="shared" ref="I349:N349" si="658">IF(ISERROR(I348),IF(ISERROR(I347),IF(ISERROR(I346),"BLANK",I346),I347),I348)</f>
        <v>4</v>
      </c>
      <c r="J349" s="20" t="str">
        <f t="shared" si="658"/>
        <v>SE</v>
      </c>
      <c r="K349" s="27">
        <f t="shared" si="658"/>
        <v>0.40902777777777777</v>
      </c>
      <c r="L349" s="20">
        <f t="shared" si="658"/>
        <v>6</v>
      </c>
      <c r="M349" s="20">
        <f t="shared" si="658"/>
        <v>2</v>
      </c>
      <c r="N349" s="20">
        <f t="shared" si="658"/>
        <v>2</v>
      </c>
      <c r="O349" s="20">
        <v>0</v>
      </c>
      <c r="P349" s="20" t="s">
        <v>40</v>
      </c>
      <c r="Q349" s="21" t="str">
        <f>IF($M349=1,IF(ISERROR(VLOOKUP($P349,'M1'!$A:$C,Q$2,FALSE)),"NOT PRESENT",VLOOKUP($P349,'M1'!$A:$C,Q$2,FALSE)),IF($M349=2,IF(ISERROR(VLOOKUP(DATA!$P349,'M2'!$A:$C,Q$2,FALSE)),"NOT PRESENT",VLOOKUP(DATA!$P349,'M2'!$A:$C,Q$2,FALSE)),IF($M349=0,IF(ISERROR(VLOOKUP($P349,'M1'!$A:$C,Q$2,FALSE)),IF(ISERROR(VLOOKUP(DATA!$P349,'M2'!$A:$C,Q$2,FALSE)),"NOT PRESENT",VLOOKUP(DATA!$P349,'M2'!$A:$C,Q$2,FALSE)),VLOOKUP($P349,'M1'!$A:$C,Q$2,FALSE)),"SPECIFY METHOD")))</f>
        <v>Patiria miniata</v>
      </c>
      <c r="R349" s="21" t="str">
        <f>IF($M349=1,IF(ISERROR(VLOOKUP($P349,'M1'!$A:$C,R$2,FALSE)),"NOT PRESENT",VLOOKUP($P349,'M1'!$A:$C,R$2,FALSE)),IF($M349=2,IF(ISERROR(VLOOKUP(DATA!$P349,'M2'!$A:$C,R$2,FALSE)),"NOT PRESENT",VLOOKUP(DATA!$P349,'M2'!$A:$C,R$2,FALSE)),IF($M349=0,IF(ISERROR(VLOOKUP($P349,'M1'!$A:$C,R$2,FALSE)),IF(ISERROR(VLOOKUP(DATA!$P349,'M2'!$A:$C,R$2,FALSE)),"NOT PRESENT",VLOOKUP(DATA!$P349,'M2'!$A:$C,R$2,FALSE)),VLOOKUP($P349,'M1'!$A:$C,R$2,FALSE)),"SPECIFY METHOD")))</f>
        <v>Bat star</v>
      </c>
      <c r="S349" s="28">
        <f t="shared" si="500"/>
        <v>2</v>
      </c>
      <c r="T349" s="20">
        <v>0</v>
      </c>
      <c r="U349" s="20"/>
      <c r="V349" s="20"/>
      <c r="W349" s="20">
        <v>1</v>
      </c>
      <c r="X349" s="20">
        <v>1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</row>
    <row r="350" spans="1:68" ht="12.75" customHeight="1">
      <c r="A350" s="21">
        <f t="shared" si="497"/>
        <v>348</v>
      </c>
      <c r="B350" s="20" t="s">
        <v>75</v>
      </c>
      <c r="C350" s="20" t="s">
        <v>35</v>
      </c>
      <c r="D350" s="20" t="s">
        <v>86</v>
      </c>
      <c r="E350" s="21" t="str">
        <f>IF(ISERROR(VLOOKUP($D350,SITES!$A:$E,2,FALSE)),"",VLOOKUP($D350,SITES!$A:$E,2,FALSE))</f>
        <v>Faber Islets</v>
      </c>
      <c r="F350" s="19">
        <f>IF(ISERROR(VLOOKUP($D350,SITES!$A:$E,3,FALSE)),"",VLOOKUP($D350,SITES!$A:$E,3,FALSE))</f>
        <v>48.890701293945298</v>
      </c>
      <c r="G350" s="22">
        <f>IF(ISERROR(VLOOKUP($D350,SITES!$A:$E,4,FALSE)),"",VLOOKUP($D350,SITES!$A:$E,4,FALSE))</f>
        <v>-125.300498962402</v>
      </c>
      <c r="H350" s="23">
        <v>45414</v>
      </c>
      <c r="I350" s="20">
        <v>3</v>
      </c>
      <c r="J350" s="20" t="s">
        <v>27</v>
      </c>
      <c r="K350" s="27">
        <v>0.40972222222222221</v>
      </c>
      <c r="L350" s="20">
        <v>7.5</v>
      </c>
      <c r="M350" s="20">
        <v>2</v>
      </c>
      <c r="N350" s="20">
        <v>2</v>
      </c>
      <c r="O350" s="20">
        <v>0</v>
      </c>
      <c r="P350" s="20" t="s">
        <v>41</v>
      </c>
      <c r="Q350" s="21" t="str">
        <f>IF($M350=1,IF(ISERROR(VLOOKUP($P350,'M1'!$A:$C,Q$2,FALSE)),"NOT PRESENT",VLOOKUP($P350,'M1'!$A:$C,Q$2,FALSE)),IF($M350=2,IF(ISERROR(VLOOKUP(DATA!$P350,'M2'!$A:$C,Q$2,FALSE)),"NOT PRESENT",VLOOKUP(DATA!$P350,'M2'!$A:$C,Q$2,FALSE)),IF($M350=0,IF(ISERROR(VLOOKUP($P350,'M1'!$A:$C,Q$2,FALSE)),IF(ISERROR(VLOOKUP(DATA!$P350,'M2'!$A:$C,Q$2,FALSE)),"NOT PRESENT",VLOOKUP(DATA!$P350,'M2'!$A:$C,Q$2,FALSE)),VLOOKUP($P350,'M1'!$A:$C,Q$2,FALSE)),"SPECIFY METHOD")))</f>
        <v>Mesocentrotus franciscanus</v>
      </c>
      <c r="R350" s="21" t="str">
        <f>IF($M350=1,IF(ISERROR(VLOOKUP($P350,'M1'!$A:$C,R$2,FALSE)),"NOT PRESENT",VLOOKUP($P350,'M1'!$A:$C,R$2,FALSE)),IF($M350=2,IF(ISERROR(VLOOKUP(DATA!$P350,'M2'!$A:$C,R$2,FALSE)),"NOT PRESENT",VLOOKUP(DATA!$P350,'M2'!$A:$C,R$2,FALSE)),IF($M350=0,IF(ISERROR(VLOOKUP($P350,'M1'!$A:$C,R$2,FALSE)),IF(ISERROR(VLOOKUP(DATA!$P350,'M2'!$A:$C,R$2,FALSE)),"NOT PRESENT",VLOOKUP(DATA!$P350,'M2'!$A:$C,R$2,FALSE)),VLOOKUP($P350,'M1'!$A:$C,R$2,FALSE)),"SPECIFY METHOD")))</f>
        <v>Red sea urchin</v>
      </c>
      <c r="S350" s="28">
        <f t="shared" si="500"/>
        <v>6</v>
      </c>
      <c r="T350" s="20">
        <v>0</v>
      </c>
      <c r="U350" s="20">
        <v>2</v>
      </c>
      <c r="V350" s="20">
        <v>3</v>
      </c>
      <c r="W350" s="20">
        <v>1</v>
      </c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</row>
    <row r="351" spans="1:68" ht="12.75" customHeight="1">
      <c r="A351" s="21">
        <f t="shared" si="497"/>
        <v>349</v>
      </c>
      <c r="B351" s="20" t="str">
        <f t="shared" ref="B351:D351" si="659">IF(ISERROR(B350),IF(ISERROR(B349),IF(ISERROR(B348),"BLANK",B348),B349),B350)</f>
        <v>Valesca de Groot</v>
      </c>
      <c r="C351" s="20" t="str">
        <f t="shared" si="659"/>
        <v>Em Lim</v>
      </c>
      <c r="D351" s="20" t="str">
        <f t="shared" si="659"/>
        <v>BMSC16</v>
      </c>
      <c r="E351" s="21" t="str">
        <f>IF(ISERROR(VLOOKUP($D351,SITES!$A:$E,2,FALSE)),"",VLOOKUP($D351,SITES!$A:$E,2,FALSE))</f>
        <v>Faber Islets</v>
      </c>
      <c r="F351" s="19">
        <f>IF(ISERROR(VLOOKUP($D351,SITES!$A:$E,3,FALSE)),"",VLOOKUP($D351,SITES!$A:$E,3,FALSE))</f>
        <v>48.890701293945298</v>
      </c>
      <c r="G351" s="22">
        <f>IF(ISERROR(VLOOKUP($D351,SITES!$A:$E,4,FALSE)),"",VLOOKUP($D351,SITES!$A:$E,4,FALSE))</f>
        <v>-125.300498962402</v>
      </c>
      <c r="H351" s="23">
        <f t="shared" ref="H351:N351" si="660">IF(ISERROR(H350),IF(ISERROR(H349),IF(ISERROR(H348),"BLANK",H348),H349),H350)</f>
        <v>45414</v>
      </c>
      <c r="I351" s="20">
        <f t="shared" si="660"/>
        <v>3</v>
      </c>
      <c r="J351" s="20" t="str">
        <f t="shared" si="660"/>
        <v>NW</v>
      </c>
      <c r="K351" s="27">
        <f t="shared" si="660"/>
        <v>0.40972222222222221</v>
      </c>
      <c r="L351" s="20">
        <f t="shared" si="660"/>
        <v>7.5</v>
      </c>
      <c r="M351" s="20">
        <f t="shared" si="660"/>
        <v>2</v>
      </c>
      <c r="N351" s="20">
        <f t="shared" si="660"/>
        <v>2</v>
      </c>
      <c r="O351" s="20">
        <v>0</v>
      </c>
      <c r="P351" s="20" t="s">
        <v>40</v>
      </c>
      <c r="Q351" s="21" t="str">
        <f>IF($M351=1,IF(ISERROR(VLOOKUP($P351,'M1'!$A:$C,Q$2,FALSE)),"NOT PRESENT",VLOOKUP($P351,'M1'!$A:$C,Q$2,FALSE)),IF($M351=2,IF(ISERROR(VLOOKUP(DATA!$P351,'M2'!$A:$C,Q$2,FALSE)),"NOT PRESENT",VLOOKUP(DATA!$P351,'M2'!$A:$C,Q$2,FALSE)),IF($M351=0,IF(ISERROR(VLOOKUP($P351,'M1'!$A:$C,Q$2,FALSE)),IF(ISERROR(VLOOKUP(DATA!$P351,'M2'!$A:$C,Q$2,FALSE)),"NOT PRESENT",VLOOKUP(DATA!$P351,'M2'!$A:$C,Q$2,FALSE)),VLOOKUP($P351,'M1'!$A:$C,Q$2,FALSE)),"SPECIFY METHOD")))</f>
        <v>Patiria miniata</v>
      </c>
      <c r="R351" s="21" t="str">
        <f>IF($M351=1,IF(ISERROR(VLOOKUP($P351,'M1'!$A:$C,R$2,FALSE)),"NOT PRESENT",VLOOKUP($P351,'M1'!$A:$C,R$2,FALSE)),IF($M351=2,IF(ISERROR(VLOOKUP(DATA!$P351,'M2'!$A:$C,R$2,FALSE)),"NOT PRESENT",VLOOKUP(DATA!$P351,'M2'!$A:$C,R$2,FALSE)),IF($M351=0,IF(ISERROR(VLOOKUP($P351,'M1'!$A:$C,R$2,FALSE)),IF(ISERROR(VLOOKUP(DATA!$P351,'M2'!$A:$C,R$2,FALSE)),"NOT PRESENT",VLOOKUP(DATA!$P351,'M2'!$A:$C,R$2,FALSE)),VLOOKUP($P351,'M1'!$A:$C,R$2,FALSE)),"SPECIFY METHOD")))</f>
        <v>Bat star</v>
      </c>
      <c r="S351" s="28">
        <f t="shared" si="500"/>
        <v>3</v>
      </c>
      <c r="T351" s="20">
        <v>0</v>
      </c>
      <c r="U351" s="20"/>
      <c r="V351" s="20">
        <v>1</v>
      </c>
      <c r="W351" s="20">
        <v>1</v>
      </c>
      <c r="X351" s="20">
        <v>1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</row>
    <row r="352" spans="1:68" ht="12.75" customHeight="1">
      <c r="A352" s="21">
        <f t="shared" si="497"/>
        <v>350</v>
      </c>
      <c r="B352" s="20" t="str">
        <f t="shared" ref="B352:D352" si="661">IF(ISERROR(B351),IF(ISERROR(B350),IF(ISERROR(B349),"BLANK",B349),B350),B351)</f>
        <v>Valesca de Groot</v>
      </c>
      <c r="C352" s="20" t="str">
        <f t="shared" si="661"/>
        <v>Em Lim</v>
      </c>
      <c r="D352" s="20" t="str">
        <f t="shared" si="661"/>
        <v>BMSC16</v>
      </c>
      <c r="E352" s="21" t="str">
        <f>IF(ISERROR(VLOOKUP($D352,SITES!$A:$E,2,FALSE)),"",VLOOKUP($D352,SITES!$A:$E,2,FALSE))</f>
        <v>Faber Islets</v>
      </c>
      <c r="F352" s="19">
        <f>IF(ISERROR(VLOOKUP($D352,SITES!$A:$E,3,FALSE)),"",VLOOKUP($D352,SITES!$A:$E,3,FALSE))</f>
        <v>48.890701293945298</v>
      </c>
      <c r="G352" s="22">
        <f>IF(ISERROR(VLOOKUP($D352,SITES!$A:$E,4,FALSE)),"",VLOOKUP($D352,SITES!$A:$E,4,FALSE))</f>
        <v>-125.300498962402</v>
      </c>
      <c r="H352" s="23">
        <f t="shared" ref="H352:N352" si="662">IF(ISERROR(H351),IF(ISERROR(H350),IF(ISERROR(H349),"BLANK",H349),H350),H351)</f>
        <v>45414</v>
      </c>
      <c r="I352" s="20">
        <f t="shared" si="662"/>
        <v>3</v>
      </c>
      <c r="J352" s="20" t="str">
        <f t="shared" si="662"/>
        <v>NW</v>
      </c>
      <c r="K352" s="27">
        <f t="shared" si="662"/>
        <v>0.40972222222222221</v>
      </c>
      <c r="L352" s="20">
        <f t="shared" si="662"/>
        <v>7.5</v>
      </c>
      <c r="M352" s="20">
        <f t="shared" si="662"/>
        <v>2</v>
      </c>
      <c r="N352" s="20">
        <f t="shared" si="662"/>
        <v>2</v>
      </c>
      <c r="O352" s="20">
        <v>0</v>
      </c>
      <c r="P352" s="20" t="s">
        <v>42</v>
      </c>
      <c r="Q352" s="21" t="str">
        <f>IF($M352=1,IF(ISERROR(VLOOKUP($P352,'M1'!$A:$C,Q$2,FALSE)),"NOT PRESENT",VLOOKUP($P352,'M1'!$A:$C,Q$2,FALSE)),IF($M352=2,IF(ISERROR(VLOOKUP(DATA!$P352,'M2'!$A:$C,Q$2,FALSE)),"NOT PRESENT",VLOOKUP(DATA!$P352,'M2'!$A:$C,Q$2,FALSE)),IF($M352=0,IF(ISERROR(VLOOKUP($P352,'M1'!$A:$C,Q$2,FALSE)),IF(ISERROR(VLOOKUP(DATA!$P352,'M2'!$A:$C,Q$2,FALSE)),"NOT PRESENT",VLOOKUP(DATA!$P352,'M2'!$A:$C,Q$2,FALSE)),VLOOKUP($P352,'M1'!$A:$C,Q$2,FALSE)),"SPECIFY METHOD")))</f>
        <v>Orthasterias koehleri</v>
      </c>
      <c r="R352" s="21" t="str">
        <f>IF($M352=1,IF(ISERROR(VLOOKUP($P352,'M1'!$A:$C,R$2,FALSE)),"NOT PRESENT",VLOOKUP($P352,'M1'!$A:$C,R$2,FALSE)),IF($M352=2,IF(ISERROR(VLOOKUP(DATA!$P352,'M2'!$A:$C,R$2,FALSE)),"NOT PRESENT",VLOOKUP(DATA!$P352,'M2'!$A:$C,R$2,FALSE)),IF($M352=0,IF(ISERROR(VLOOKUP($P352,'M1'!$A:$C,R$2,FALSE)),IF(ISERROR(VLOOKUP(DATA!$P352,'M2'!$A:$C,R$2,FALSE)),"NOT PRESENT",VLOOKUP(DATA!$P352,'M2'!$A:$C,R$2,FALSE)),VLOOKUP($P352,'M1'!$A:$C,R$2,FALSE)),"SPECIFY METHOD")))</f>
        <v>Rainbow star</v>
      </c>
      <c r="S352" s="28">
        <f t="shared" si="500"/>
        <v>1</v>
      </c>
      <c r="T352" s="20">
        <v>0</v>
      </c>
      <c r="U352" s="20"/>
      <c r="V352" s="20"/>
      <c r="W352" s="20"/>
      <c r="X352" s="20">
        <v>1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</row>
    <row r="353" spans="1:68" ht="12.75" customHeight="1">
      <c r="A353" s="21">
        <f t="shared" si="497"/>
        <v>351</v>
      </c>
      <c r="B353" s="20" t="str">
        <f t="shared" ref="B353:D353" si="663">IF(ISERROR(B352),IF(ISERROR(B351),IF(ISERROR(B350),"BLANK",B350),B351),B352)</f>
        <v>Valesca de Groot</v>
      </c>
      <c r="C353" s="20" t="str">
        <f t="shared" si="663"/>
        <v>Em Lim</v>
      </c>
      <c r="D353" s="20" t="str">
        <f t="shared" si="663"/>
        <v>BMSC16</v>
      </c>
      <c r="E353" s="21" t="str">
        <f>IF(ISERROR(VLOOKUP($D353,SITES!$A:$E,2,FALSE)),"",VLOOKUP($D353,SITES!$A:$E,2,FALSE))</f>
        <v>Faber Islets</v>
      </c>
      <c r="F353" s="19">
        <f>IF(ISERROR(VLOOKUP($D353,SITES!$A:$E,3,FALSE)),"",VLOOKUP($D353,SITES!$A:$E,3,FALSE))</f>
        <v>48.890701293945298</v>
      </c>
      <c r="G353" s="22">
        <f>IF(ISERROR(VLOOKUP($D353,SITES!$A:$E,4,FALSE)),"",VLOOKUP($D353,SITES!$A:$E,4,FALSE))</f>
        <v>-125.300498962402</v>
      </c>
      <c r="H353" s="23">
        <f t="shared" ref="H353:N353" si="664">IF(ISERROR(H352),IF(ISERROR(H351),IF(ISERROR(H350),"BLANK",H350),H351),H352)</f>
        <v>45414</v>
      </c>
      <c r="I353" s="20">
        <f t="shared" si="664"/>
        <v>3</v>
      </c>
      <c r="J353" s="20" t="str">
        <f t="shared" si="664"/>
        <v>NW</v>
      </c>
      <c r="K353" s="27">
        <f t="shared" si="664"/>
        <v>0.40972222222222221</v>
      </c>
      <c r="L353" s="20">
        <f t="shared" si="664"/>
        <v>7.5</v>
      </c>
      <c r="M353" s="20">
        <f t="shared" si="664"/>
        <v>2</v>
      </c>
      <c r="N353" s="20">
        <f t="shared" si="664"/>
        <v>2</v>
      </c>
      <c r="O353" s="20">
        <v>16</v>
      </c>
      <c r="P353" s="20" t="s">
        <v>41</v>
      </c>
      <c r="Q353" s="21" t="str">
        <f>IF($M353=1,IF(ISERROR(VLOOKUP($P353,'M1'!$A:$C,Q$2,FALSE)),"NOT PRESENT",VLOOKUP($P353,'M1'!$A:$C,Q$2,FALSE)),IF($M353=2,IF(ISERROR(VLOOKUP(DATA!$P353,'M2'!$A:$C,Q$2,FALSE)),"NOT PRESENT",VLOOKUP(DATA!$P353,'M2'!$A:$C,Q$2,FALSE)),IF($M353=0,IF(ISERROR(VLOOKUP($P353,'M1'!$A:$C,Q$2,FALSE)),IF(ISERROR(VLOOKUP(DATA!$P353,'M2'!$A:$C,Q$2,FALSE)),"NOT PRESENT",VLOOKUP(DATA!$P353,'M2'!$A:$C,Q$2,FALSE)),VLOOKUP($P353,'M1'!$A:$C,Q$2,FALSE)),"SPECIFY METHOD")))</f>
        <v>Mesocentrotus franciscanus</v>
      </c>
      <c r="R353" s="21" t="str">
        <f>IF($M353=1,IF(ISERROR(VLOOKUP($P353,'M1'!$A:$C,R$2,FALSE)),"NOT PRESENT",VLOOKUP($P353,'M1'!$A:$C,R$2,FALSE)),IF($M353=2,IF(ISERROR(VLOOKUP(DATA!$P353,'M2'!$A:$C,R$2,FALSE)),"NOT PRESENT",VLOOKUP(DATA!$P353,'M2'!$A:$C,R$2,FALSE)),IF($M353=0,IF(ISERROR(VLOOKUP($P353,'M1'!$A:$C,R$2,FALSE)),IF(ISERROR(VLOOKUP(DATA!$P353,'M2'!$A:$C,R$2,FALSE)),"NOT PRESENT",VLOOKUP(DATA!$P353,'M2'!$A:$C,R$2,FALSE)),VLOOKUP($P353,'M1'!$A:$C,R$2,FALSE)),"SPECIFY METHOD")))</f>
        <v>Red sea urchin</v>
      </c>
      <c r="S353" s="28">
        <f t="shared" si="500"/>
        <v>6</v>
      </c>
      <c r="T353" s="20">
        <v>0</v>
      </c>
      <c r="U353" s="20">
        <v>2</v>
      </c>
      <c r="V353" s="20">
        <v>2</v>
      </c>
      <c r="W353" s="20">
        <v>2</v>
      </c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</row>
    <row r="354" spans="1:68" ht="12.75" customHeight="1">
      <c r="A354" s="21">
        <f t="shared" si="497"/>
        <v>352</v>
      </c>
      <c r="B354" s="20" t="str">
        <f t="shared" ref="B354:D354" si="665">IF(ISERROR(B353),IF(ISERROR(B352),IF(ISERROR(B351),"BLANK",B351),B352),B353)</f>
        <v>Valesca de Groot</v>
      </c>
      <c r="C354" s="20" t="str">
        <f t="shared" si="665"/>
        <v>Em Lim</v>
      </c>
      <c r="D354" s="20" t="str">
        <f t="shared" si="665"/>
        <v>BMSC16</v>
      </c>
      <c r="E354" s="21" t="str">
        <f>IF(ISERROR(VLOOKUP($D354,SITES!$A:$E,2,FALSE)),"",VLOOKUP($D354,SITES!$A:$E,2,FALSE))</f>
        <v>Faber Islets</v>
      </c>
      <c r="F354" s="19">
        <f>IF(ISERROR(VLOOKUP($D354,SITES!$A:$E,3,FALSE)),"",VLOOKUP($D354,SITES!$A:$E,3,FALSE))</f>
        <v>48.890701293945298</v>
      </c>
      <c r="G354" s="22">
        <f>IF(ISERROR(VLOOKUP($D354,SITES!$A:$E,4,FALSE)),"",VLOOKUP($D354,SITES!$A:$E,4,FALSE))</f>
        <v>-125.300498962402</v>
      </c>
      <c r="H354" s="23">
        <f t="shared" ref="H354:N354" si="666">IF(ISERROR(H353),IF(ISERROR(H352),IF(ISERROR(H351),"BLANK",H351),H352),H353)</f>
        <v>45414</v>
      </c>
      <c r="I354" s="20">
        <f t="shared" si="666"/>
        <v>3</v>
      </c>
      <c r="J354" s="20" t="str">
        <f t="shared" si="666"/>
        <v>NW</v>
      </c>
      <c r="K354" s="27">
        <f t="shared" si="666"/>
        <v>0.40972222222222221</v>
      </c>
      <c r="L354" s="20">
        <f t="shared" si="666"/>
        <v>7.5</v>
      </c>
      <c r="M354" s="20">
        <f t="shared" si="666"/>
        <v>2</v>
      </c>
      <c r="N354" s="20">
        <f t="shared" si="666"/>
        <v>2</v>
      </c>
      <c r="O354" s="20">
        <v>16</v>
      </c>
      <c r="P354" s="20" t="s">
        <v>40</v>
      </c>
      <c r="Q354" s="21" t="str">
        <f>IF($M354=1,IF(ISERROR(VLOOKUP($P354,'M1'!$A:$C,Q$2,FALSE)),"NOT PRESENT",VLOOKUP($P354,'M1'!$A:$C,Q$2,FALSE)),IF($M354=2,IF(ISERROR(VLOOKUP(DATA!$P354,'M2'!$A:$C,Q$2,FALSE)),"NOT PRESENT",VLOOKUP(DATA!$P354,'M2'!$A:$C,Q$2,FALSE)),IF($M354=0,IF(ISERROR(VLOOKUP($P354,'M1'!$A:$C,Q$2,FALSE)),IF(ISERROR(VLOOKUP(DATA!$P354,'M2'!$A:$C,Q$2,FALSE)),"NOT PRESENT",VLOOKUP(DATA!$P354,'M2'!$A:$C,Q$2,FALSE)),VLOOKUP($P354,'M1'!$A:$C,Q$2,FALSE)),"SPECIFY METHOD")))</f>
        <v>Patiria miniata</v>
      </c>
      <c r="R354" s="21" t="str">
        <f>IF($M354=1,IF(ISERROR(VLOOKUP($P354,'M1'!$A:$C,R$2,FALSE)),"NOT PRESENT",VLOOKUP($P354,'M1'!$A:$C,R$2,FALSE)),IF($M354=2,IF(ISERROR(VLOOKUP(DATA!$P354,'M2'!$A:$C,R$2,FALSE)),"NOT PRESENT",VLOOKUP(DATA!$P354,'M2'!$A:$C,R$2,FALSE)),IF($M354=0,IF(ISERROR(VLOOKUP($P354,'M1'!$A:$C,R$2,FALSE)),IF(ISERROR(VLOOKUP(DATA!$P354,'M2'!$A:$C,R$2,FALSE)),"NOT PRESENT",VLOOKUP(DATA!$P354,'M2'!$A:$C,R$2,FALSE)),VLOOKUP($P354,'M1'!$A:$C,R$2,FALSE)),"SPECIFY METHOD")))</f>
        <v>Bat star</v>
      </c>
      <c r="S354" s="28">
        <f t="shared" si="500"/>
        <v>2</v>
      </c>
      <c r="T354" s="20">
        <v>0</v>
      </c>
      <c r="U354" s="20"/>
      <c r="V354" s="20"/>
      <c r="W354" s="20">
        <v>2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</row>
    <row r="355" spans="1:68" ht="12.75" customHeight="1">
      <c r="A355" s="21">
        <f t="shared" si="497"/>
        <v>353</v>
      </c>
      <c r="B355" s="20" t="str">
        <f t="shared" ref="B355:D355" si="667">IF(ISERROR(B354),IF(ISERROR(B353),IF(ISERROR(B352),"BLANK",B352),B353),B354)</f>
        <v>Valesca de Groot</v>
      </c>
      <c r="C355" s="20" t="str">
        <f t="shared" si="667"/>
        <v>Em Lim</v>
      </c>
      <c r="D355" s="20" t="str">
        <f t="shared" si="667"/>
        <v>BMSC16</v>
      </c>
      <c r="E355" s="21" t="str">
        <f>IF(ISERROR(VLOOKUP($D355,SITES!$A:$E,2,FALSE)),"",VLOOKUP($D355,SITES!$A:$E,2,FALSE))</f>
        <v>Faber Islets</v>
      </c>
      <c r="F355" s="19">
        <f>IF(ISERROR(VLOOKUP($D355,SITES!$A:$E,3,FALSE)),"",VLOOKUP($D355,SITES!$A:$E,3,FALSE))</f>
        <v>48.890701293945298</v>
      </c>
      <c r="G355" s="22">
        <f>IF(ISERROR(VLOOKUP($D355,SITES!$A:$E,4,FALSE)),"",VLOOKUP($D355,SITES!$A:$E,4,FALSE))</f>
        <v>-125.300498962402</v>
      </c>
      <c r="H355" s="23">
        <f t="shared" ref="H355:N355" si="668">IF(ISERROR(H354),IF(ISERROR(H353),IF(ISERROR(H352),"BLANK",H352),H353),H354)</f>
        <v>45414</v>
      </c>
      <c r="I355" s="20">
        <f t="shared" si="668"/>
        <v>3</v>
      </c>
      <c r="J355" s="20" t="str">
        <f t="shared" si="668"/>
        <v>NW</v>
      </c>
      <c r="K355" s="27">
        <f t="shared" si="668"/>
        <v>0.40972222222222221</v>
      </c>
      <c r="L355" s="20">
        <f t="shared" si="668"/>
        <v>7.5</v>
      </c>
      <c r="M355" s="20">
        <f t="shared" si="668"/>
        <v>2</v>
      </c>
      <c r="N355" s="20">
        <f t="shared" si="668"/>
        <v>2</v>
      </c>
      <c r="O355" s="20">
        <v>16</v>
      </c>
      <c r="P355" s="20" t="s">
        <v>42</v>
      </c>
      <c r="Q355" s="21" t="str">
        <f>IF($M355=1,IF(ISERROR(VLOOKUP($P355,'M1'!$A:$C,Q$2,FALSE)),"NOT PRESENT",VLOOKUP($P355,'M1'!$A:$C,Q$2,FALSE)),IF($M355=2,IF(ISERROR(VLOOKUP(DATA!$P355,'M2'!$A:$C,Q$2,FALSE)),"NOT PRESENT",VLOOKUP(DATA!$P355,'M2'!$A:$C,Q$2,FALSE)),IF($M355=0,IF(ISERROR(VLOOKUP($P355,'M1'!$A:$C,Q$2,FALSE)),IF(ISERROR(VLOOKUP(DATA!$P355,'M2'!$A:$C,Q$2,FALSE)),"NOT PRESENT",VLOOKUP(DATA!$P355,'M2'!$A:$C,Q$2,FALSE)),VLOOKUP($P355,'M1'!$A:$C,Q$2,FALSE)),"SPECIFY METHOD")))</f>
        <v>Orthasterias koehleri</v>
      </c>
      <c r="R355" s="21" t="str">
        <f>IF($M355=1,IF(ISERROR(VLOOKUP($P355,'M1'!$A:$C,R$2,FALSE)),"NOT PRESENT",VLOOKUP($P355,'M1'!$A:$C,R$2,FALSE)),IF($M355=2,IF(ISERROR(VLOOKUP(DATA!$P355,'M2'!$A:$C,R$2,FALSE)),"NOT PRESENT",VLOOKUP(DATA!$P355,'M2'!$A:$C,R$2,FALSE)),IF($M355=0,IF(ISERROR(VLOOKUP($P355,'M1'!$A:$C,R$2,FALSE)),IF(ISERROR(VLOOKUP(DATA!$P355,'M2'!$A:$C,R$2,FALSE)),"NOT PRESENT",VLOOKUP(DATA!$P355,'M2'!$A:$C,R$2,FALSE)),VLOOKUP($P355,'M1'!$A:$C,R$2,FALSE)),"SPECIFY METHOD")))</f>
        <v>Rainbow star</v>
      </c>
      <c r="S355" s="28">
        <f t="shared" si="500"/>
        <v>1</v>
      </c>
      <c r="T355" s="20">
        <v>0</v>
      </c>
      <c r="U355" s="20"/>
      <c r="V355" s="20"/>
      <c r="W355" s="20"/>
      <c r="X355" s="20">
        <v>1</v>
      </c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</row>
    <row r="356" spans="1:68" ht="12.75" customHeight="1">
      <c r="A356" s="21">
        <f t="shared" si="497"/>
        <v>354</v>
      </c>
      <c r="B356" s="20" t="str">
        <f t="shared" ref="B356:D356" si="669">IF(ISERROR(B355),IF(ISERROR(B354),IF(ISERROR(B353),"BLANK",B353),B354),B355)</f>
        <v>Valesca de Groot</v>
      </c>
      <c r="C356" s="20" t="str">
        <f t="shared" si="669"/>
        <v>Em Lim</v>
      </c>
      <c r="D356" s="20" t="str">
        <f t="shared" si="669"/>
        <v>BMSC16</v>
      </c>
      <c r="E356" s="21" t="str">
        <f>IF(ISERROR(VLOOKUP($D356,SITES!$A:$E,2,FALSE)),"",VLOOKUP($D356,SITES!$A:$E,2,FALSE))</f>
        <v>Faber Islets</v>
      </c>
      <c r="F356" s="19">
        <f>IF(ISERROR(VLOOKUP($D356,SITES!$A:$E,3,FALSE)),"",VLOOKUP($D356,SITES!$A:$E,3,FALSE))</f>
        <v>48.890701293945298</v>
      </c>
      <c r="G356" s="22">
        <f>IF(ISERROR(VLOOKUP($D356,SITES!$A:$E,4,FALSE)),"",VLOOKUP($D356,SITES!$A:$E,4,FALSE))</f>
        <v>-125.300498962402</v>
      </c>
      <c r="H356" s="23">
        <f t="shared" ref="H356:N356" si="670">IF(ISERROR(H355),IF(ISERROR(H354),IF(ISERROR(H353),"BLANK",H353),H354),H355)</f>
        <v>45414</v>
      </c>
      <c r="I356" s="20">
        <f t="shared" si="670"/>
        <v>3</v>
      </c>
      <c r="J356" s="20" t="str">
        <f t="shared" si="670"/>
        <v>NW</v>
      </c>
      <c r="K356" s="27">
        <f t="shared" si="670"/>
        <v>0.40972222222222221</v>
      </c>
      <c r="L356" s="20">
        <f t="shared" si="670"/>
        <v>7.5</v>
      </c>
      <c r="M356" s="20">
        <f t="shared" si="670"/>
        <v>2</v>
      </c>
      <c r="N356" s="20">
        <f t="shared" si="670"/>
        <v>2</v>
      </c>
      <c r="O356" s="20">
        <v>32</v>
      </c>
      <c r="P356" s="20" t="s">
        <v>41</v>
      </c>
      <c r="Q356" s="21" t="str">
        <f>IF($M356=1,IF(ISERROR(VLOOKUP($P356,'M1'!$A:$C,Q$2,FALSE)),"NOT PRESENT",VLOOKUP($P356,'M1'!$A:$C,Q$2,FALSE)),IF($M356=2,IF(ISERROR(VLOOKUP(DATA!$P356,'M2'!$A:$C,Q$2,FALSE)),"NOT PRESENT",VLOOKUP(DATA!$P356,'M2'!$A:$C,Q$2,FALSE)),IF($M356=0,IF(ISERROR(VLOOKUP($P356,'M1'!$A:$C,Q$2,FALSE)),IF(ISERROR(VLOOKUP(DATA!$P356,'M2'!$A:$C,Q$2,FALSE)),"NOT PRESENT",VLOOKUP(DATA!$P356,'M2'!$A:$C,Q$2,FALSE)),VLOOKUP($P356,'M1'!$A:$C,Q$2,FALSE)),"SPECIFY METHOD")))</f>
        <v>Mesocentrotus franciscanus</v>
      </c>
      <c r="R356" s="21" t="str">
        <f>IF($M356=1,IF(ISERROR(VLOOKUP($P356,'M1'!$A:$C,R$2,FALSE)),"NOT PRESENT",VLOOKUP($P356,'M1'!$A:$C,R$2,FALSE)),IF($M356=2,IF(ISERROR(VLOOKUP(DATA!$P356,'M2'!$A:$C,R$2,FALSE)),"NOT PRESENT",VLOOKUP(DATA!$P356,'M2'!$A:$C,R$2,FALSE)),IF($M356=0,IF(ISERROR(VLOOKUP($P356,'M1'!$A:$C,R$2,FALSE)),IF(ISERROR(VLOOKUP(DATA!$P356,'M2'!$A:$C,R$2,FALSE)),"NOT PRESENT",VLOOKUP(DATA!$P356,'M2'!$A:$C,R$2,FALSE)),VLOOKUP($P356,'M1'!$A:$C,R$2,FALSE)),"SPECIFY METHOD")))</f>
        <v>Red sea urchin</v>
      </c>
      <c r="S356" s="28">
        <f t="shared" si="500"/>
        <v>3</v>
      </c>
      <c r="T356" s="20">
        <v>0</v>
      </c>
      <c r="U356" s="20"/>
      <c r="V356" s="20">
        <v>1</v>
      </c>
      <c r="W356" s="20">
        <v>2</v>
      </c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</row>
    <row r="357" spans="1:68" ht="12.75" customHeight="1">
      <c r="A357" s="21">
        <f t="shared" si="497"/>
        <v>355</v>
      </c>
      <c r="B357" s="20" t="str">
        <f t="shared" ref="B357:D357" si="671">IF(ISERROR(B356),IF(ISERROR(B355),IF(ISERROR(B354),"BLANK",B354),B355),B356)</f>
        <v>Valesca de Groot</v>
      </c>
      <c r="C357" s="20" t="str">
        <f t="shared" si="671"/>
        <v>Em Lim</v>
      </c>
      <c r="D357" s="20" t="str">
        <f t="shared" si="671"/>
        <v>BMSC16</v>
      </c>
      <c r="E357" s="21" t="str">
        <f>IF(ISERROR(VLOOKUP($D357,SITES!$A:$E,2,FALSE)),"",VLOOKUP($D357,SITES!$A:$E,2,FALSE))</f>
        <v>Faber Islets</v>
      </c>
      <c r="F357" s="19">
        <f>IF(ISERROR(VLOOKUP($D357,SITES!$A:$E,3,FALSE)),"",VLOOKUP($D357,SITES!$A:$E,3,FALSE))</f>
        <v>48.890701293945298</v>
      </c>
      <c r="G357" s="22">
        <f>IF(ISERROR(VLOOKUP($D357,SITES!$A:$E,4,FALSE)),"",VLOOKUP($D357,SITES!$A:$E,4,FALSE))</f>
        <v>-125.300498962402</v>
      </c>
      <c r="H357" s="23">
        <f t="shared" ref="H357:N357" si="672">IF(ISERROR(H356),IF(ISERROR(H355),IF(ISERROR(H354),"BLANK",H354),H355),H356)</f>
        <v>45414</v>
      </c>
      <c r="I357" s="20">
        <f t="shared" si="672"/>
        <v>3</v>
      </c>
      <c r="J357" s="20" t="str">
        <f t="shared" si="672"/>
        <v>NW</v>
      </c>
      <c r="K357" s="27">
        <f t="shared" si="672"/>
        <v>0.40972222222222221</v>
      </c>
      <c r="L357" s="20">
        <f t="shared" si="672"/>
        <v>7.5</v>
      </c>
      <c r="M357" s="20">
        <f t="shared" si="672"/>
        <v>2</v>
      </c>
      <c r="N357" s="20">
        <f t="shared" si="672"/>
        <v>2</v>
      </c>
      <c r="O357" s="20">
        <v>48</v>
      </c>
      <c r="P357" s="20" t="s">
        <v>41</v>
      </c>
      <c r="Q357" s="21" t="str">
        <f>IF($M357=1,IF(ISERROR(VLOOKUP($P357,'M1'!$A:$C,Q$2,FALSE)),"NOT PRESENT",VLOOKUP($P357,'M1'!$A:$C,Q$2,FALSE)),IF($M357=2,IF(ISERROR(VLOOKUP(DATA!$P357,'M2'!$A:$C,Q$2,FALSE)),"NOT PRESENT",VLOOKUP(DATA!$P357,'M2'!$A:$C,Q$2,FALSE)),IF($M357=0,IF(ISERROR(VLOOKUP($P357,'M1'!$A:$C,Q$2,FALSE)),IF(ISERROR(VLOOKUP(DATA!$P357,'M2'!$A:$C,Q$2,FALSE)),"NOT PRESENT",VLOOKUP(DATA!$P357,'M2'!$A:$C,Q$2,FALSE)),VLOOKUP($P357,'M1'!$A:$C,Q$2,FALSE)),"SPECIFY METHOD")))</f>
        <v>Mesocentrotus franciscanus</v>
      </c>
      <c r="R357" s="21" t="str">
        <f>IF($M357=1,IF(ISERROR(VLOOKUP($P357,'M1'!$A:$C,R$2,FALSE)),"NOT PRESENT",VLOOKUP($P357,'M1'!$A:$C,R$2,FALSE)),IF($M357=2,IF(ISERROR(VLOOKUP(DATA!$P357,'M2'!$A:$C,R$2,FALSE)),"NOT PRESENT",VLOOKUP(DATA!$P357,'M2'!$A:$C,R$2,FALSE)),IF($M357=0,IF(ISERROR(VLOOKUP($P357,'M1'!$A:$C,R$2,FALSE)),IF(ISERROR(VLOOKUP(DATA!$P357,'M2'!$A:$C,R$2,FALSE)),"NOT PRESENT",VLOOKUP(DATA!$P357,'M2'!$A:$C,R$2,FALSE)),VLOOKUP($P357,'M1'!$A:$C,R$2,FALSE)),"SPECIFY METHOD")))</f>
        <v>Red sea urchin</v>
      </c>
      <c r="S357" s="28">
        <f t="shared" si="500"/>
        <v>4</v>
      </c>
      <c r="T357" s="20">
        <v>0</v>
      </c>
      <c r="U357" s="20">
        <v>3</v>
      </c>
      <c r="V357" s="20">
        <v>1</v>
      </c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</row>
    <row r="358" spans="1:68" ht="12.75" customHeight="1">
      <c r="A358" s="21">
        <f t="shared" si="497"/>
        <v>356</v>
      </c>
      <c r="B358" s="20" t="str">
        <f t="shared" ref="B358:D358" si="673">IF(ISERROR(B357),IF(ISERROR(B356),IF(ISERROR(B355),"BLANK",B355),B356),B357)</f>
        <v>Valesca de Groot</v>
      </c>
      <c r="C358" s="20" t="str">
        <f t="shared" si="673"/>
        <v>Em Lim</v>
      </c>
      <c r="D358" s="20" t="str">
        <f t="shared" si="673"/>
        <v>BMSC16</v>
      </c>
      <c r="E358" s="21" t="str">
        <f>IF(ISERROR(VLOOKUP($D358,SITES!$A:$E,2,FALSE)),"",VLOOKUP($D358,SITES!$A:$E,2,FALSE))</f>
        <v>Faber Islets</v>
      </c>
      <c r="F358" s="19">
        <f>IF(ISERROR(VLOOKUP($D358,SITES!$A:$E,3,FALSE)),"",VLOOKUP($D358,SITES!$A:$E,3,FALSE))</f>
        <v>48.890701293945298</v>
      </c>
      <c r="G358" s="22">
        <f>IF(ISERROR(VLOOKUP($D358,SITES!$A:$E,4,FALSE)),"",VLOOKUP($D358,SITES!$A:$E,4,FALSE))</f>
        <v>-125.300498962402</v>
      </c>
      <c r="H358" s="23">
        <f t="shared" ref="H358:N358" si="674">IF(ISERROR(H357),IF(ISERROR(H356),IF(ISERROR(H355),"BLANK",H355),H356),H357)</f>
        <v>45414</v>
      </c>
      <c r="I358" s="20">
        <f t="shared" si="674"/>
        <v>3</v>
      </c>
      <c r="J358" s="20" t="str">
        <f t="shared" si="674"/>
        <v>NW</v>
      </c>
      <c r="K358" s="27">
        <f t="shared" si="674"/>
        <v>0.40972222222222221</v>
      </c>
      <c r="L358" s="20">
        <f t="shared" si="674"/>
        <v>7.5</v>
      </c>
      <c r="M358" s="20">
        <f t="shared" si="674"/>
        <v>2</v>
      </c>
      <c r="N358" s="20">
        <f t="shared" si="674"/>
        <v>2</v>
      </c>
      <c r="O358" s="20">
        <v>8</v>
      </c>
      <c r="P358" s="20" t="s">
        <v>40</v>
      </c>
      <c r="Q358" s="21" t="str">
        <f>IF($M358=1,IF(ISERROR(VLOOKUP($P358,'M1'!$A:$C,Q$2,FALSE)),"NOT PRESENT",VLOOKUP($P358,'M1'!$A:$C,Q$2,FALSE)),IF($M358=2,IF(ISERROR(VLOOKUP(DATA!$P358,'M2'!$A:$C,Q$2,FALSE)),"NOT PRESENT",VLOOKUP(DATA!$P358,'M2'!$A:$C,Q$2,FALSE)),IF($M358=0,IF(ISERROR(VLOOKUP($P358,'M1'!$A:$C,Q$2,FALSE)),IF(ISERROR(VLOOKUP(DATA!$P358,'M2'!$A:$C,Q$2,FALSE)),"NOT PRESENT",VLOOKUP(DATA!$P358,'M2'!$A:$C,Q$2,FALSE)),VLOOKUP($P358,'M1'!$A:$C,Q$2,FALSE)),"SPECIFY METHOD")))</f>
        <v>Patiria miniata</v>
      </c>
      <c r="R358" s="21" t="str">
        <f>IF($M358=1,IF(ISERROR(VLOOKUP($P358,'M1'!$A:$C,R$2,FALSE)),"NOT PRESENT",VLOOKUP($P358,'M1'!$A:$C,R$2,FALSE)),IF($M358=2,IF(ISERROR(VLOOKUP(DATA!$P358,'M2'!$A:$C,R$2,FALSE)),"NOT PRESENT",VLOOKUP(DATA!$P358,'M2'!$A:$C,R$2,FALSE)),IF($M358=0,IF(ISERROR(VLOOKUP($P358,'M1'!$A:$C,R$2,FALSE)),IF(ISERROR(VLOOKUP(DATA!$P358,'M2'!$A:$C,R$2,FALSE)),"NOT PRESENT",VLOOKUP(DATA!$P358,'M2'!$A:$C,R$2,FALSE)),VLOOKUP($P358,'M1'!$A:$C,R$2,FALSE)),"SPECIFY METHOD")))</f>
        <v>Bat star</v>
      </c>
      <c r="S358" s="28">
        <f t="shared" si="500"/>
        <v>3</v>
      </c>
      <c r="T358" s="20">
        <v>0</v>
      </c>
      <c r="U358" s="20">
        <v>1</v>
      </c>
      <c r="V358" s="20"/>
      <c r="W358" s="20">
        <v>1</v>
      </c>
      <c r="X358" s="20">
        <v>1</v>
      </c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</row>
    <row r="359" spans="1:68" ht="12.75" customHeight="1">
      <c r="A359" s="21">
        <f t="shared" si="497"/>
        <v>357</v>
      </c>
      <c r="B359" s="20" t="str">
        <f t="shared" ref="B359:D359" si="675">IF(ISERROR(B358),IF(ISERROR(B357),IF(ISERROR(B356),"BLANK",B356),B357),B358)</f>
        <v>Valesca de Groot</v>
      </c>
      <c r="C359" s="20" t="str">
        <f t="shared" si="675"/>
        <v>Em Lim</v>
      </c>
      <c r="D359" s="20" t="str">
        <f t="shared" si="675"/>
        <v>BMSC16</v>
      </c>
      <c r="E359" s="21" t="str">
        <f>IF(ISERROR(VLOOKUP($D359,SITES!$A:$E,2,FALSE)),"",VLOOKUP($D359,SITES!$A:$E,2,FALSE))</f>
        <v>Faber Islets</v>
      </c>
      <c r="F359" s="19">
        <f>IF(ISERROR(VLOOKUP($D359,SITES!$A:$E,3,FALSE)),"",VLOOKUP($D359,SITES!$A:$E,3,FALSE))</f>
        <v>48.890701293945298</v>
      </c>
      <c r="G359" s="22">
        <f>IF(ISERROR(VLOOKUP($D359,SITES!$A:$E,4,FALSE)),"",VLOOKUP($D359,SITES!$A:$E,4,FALSE))</f>
        <v>-125.300498962402</v>
      </c>
      <c r="H359" s="23">
        <f t="shared" ref="H359:N359" si="676">IF(ISERROR(H358),IF(ISERROR(H357),IF(ISERROR(H356),"BLANK",H356),H357),H358)</f>
        <v>45414</v>
      </c>
      <c r="I359" s="20">
        <f t="shared" si="676"/>
        <v>3</v>
      </c>
      <c r="J359" s="20" t="str">
        <f t="shared" si="676"/>
        <v>NW</v>
      </c>
      <c r="K359" s="27">
        <f t="shared" si="676"/>
        <v>0.40972222222222221</v>
      </c>
      <c r="L359" s="20">
        <f t="shared" si="676"/>
        <v>7.5</v>
      </c>
      <c r="M359" s="20">
        <f t="shared" si="676"/>
        <v>2</v>
      </c>
      <c r="N359" s="20">
        <f t="shared" si="676"/>
        <v>2</v>
      </c>
      <c r="O359" s="20">
        <v>8</v>
      </c>
      <c r="P359" s="20" t="s">
        <v>41</v>
      </c>
      <c r="Q359" s="21" t="str">
        <f>IF($M359=1,IF(ISERROR(VLOOKUP($P359,'M1'!$A:$C,Q$2,FALSE)),"NOT PRESENT",VLOOKUP($P359,'M1'!$A:$C,Q$2,FALSE)),IF($M359=2,IF(ISERROR(VLOOKUP(DATA!$P359,'M2'!$A:$C,Q$2,FALSE)),"NOT PRESENT",VLOOKUP(DATA!$P359,'M2'!$A:$C,Q$2,FALSE)),IF($M359=0,IF(ISERROR(VLOOKUP($P359,'M1'!$A:$C,Q$2,FALSE)),IF(ISERROR(VLOOKUP(DATA!$P359,'M2'!$A:$C,Q$2,FALSE)),"NOT PRESENT",VLOOKUP(DATA!$P359,'M2'!$A:$C,Q$2,FALSE)),VLOOKUP($P359,'M1'!$A:$C,Q$2,FALSE)),"SPECIFY METHOD")))</f>
        <v>Mesocentrotus franciscanus</v>
      </c>
      <c r="R359" s="21" t="str">
        <f>IF($M359=1,IF(ISERROR(VLOOKUP($P359,'M1'!$A:$C,R$2,FALSE)),"NOT PRESENT",VLOOKUP($P359,'M1'!$A:$C,R$2,FALSE)),IF($M359=2,IF(ISERROR(VLOOKUP(DATA!$P359,'M2'!$A:$C,R$2,FALSE)),"NOT PRESENT",VLOOKUP(DATA!$P359,'M2'!$A:$C,R$2,FALSE)),IF($M359=0,IF(ISERROR(VLOOKUP($P359,'M1'!$A:$C,R$2,FALSE)),IF(ISERROR(VLOOKUP(DATA!$P359,'M2'!$A:$C,R$2,FALSE)),"NOT PRESENT",VLOOKUP(DATA!$P359,'M2'!$A:$C,R$2,FALSE)),VLOOKUP($P359,'M1'!$A:$C,R$2,FALSE)),"SPECIFY METHOD")))</f>
        <v>Red sea urchin</v>
      </c>
      <c r="S359" s="28">
        <f t="shared" si="500"/>
        <v>3</v>
      </c>
      <c r="T359" s="20">
        <v>0</v>
      </c>
      <c r="U359" s="20">
        <v>1</v>
      </c>
      <c r="V359" s="20">
        <v>2</v>
      </c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</row>
    <row r="360" spans="1:68" ht="12.75" customHeight="1">
      <c r="A360" s="21">
        <f t="shared" si="497"/>
        <v>358</v>
      </c>
      <c r="B360" s="20" t="str">
        <f t="shared" ref="B360:D360" si="677">IF(ISERROR(B359),IF(ISERROR(B358),IF(ISERROR(B357),"BLANK",B357),B358),B359)</f>
        <v>Valesca de Groot</v>
      </c>
      <c r="C360" s="20" t="str">
        <f t="shared" si="677"/>
        <v>Em Lim</v>
      </c>
      <c r="D360" s="20" t="str">
        <f t="shared" si="677"/>
        <v>BMSC16</v>
      </c>
      <c r="E360" s="21" t="str">
        <f>IF(ISERROR(VLOOKUP($D360,SITES!$A:$E,2,FALSE)),"",VLOOKUP($D360,SITES!$A:$E,2,FALSE))</f>
        <v>Faber Islets</v>
      </c>
      <c r="F360" s="19">
        <f>IF(ISERROR(VLOOKUP($D360,SITES!$A:$E,3,FALSE)),"",VLOOKUP($D360,SITES!$A:$E,3,FALSE))</f>
        <v>48.890701293945298</v>
      </c>
      <c r="G360" s="22">
        <f>IF(ISERROR(VLOOKUP($D360,SITES!$A:$E,4,FALSE)),"",VLOOKUP($D360,SITES!$A:$E,4,FALSE))</f>
        <v>-125.300498962402</v>
      </c>
      <c r="H360" s="23">
        <f t="shared" ref="H360:N360" si="678">IF(ISERROR(H359),IF(ISERROR(H358),IF(ISERROR(H357),"BLANK",H357),H358),H359)</f>
        <v>45414</v>
      </c>
      <c r="I360" s="20">
        <f t="shared" si="678"/>
        <v>3</v>
      </c>
      <c r="J360" s="20" t="str">
        <f t="shared" si="678"/>
        <v>NW</v>
      </c>
      <c r="K360" s="27">
        <f t="shared" si="678"/>
        <v>0.40972222222222221</v>
      </c>
      <c r="L360" s="20">
        <f t="shared" si="678"/>
        <v>7.5</v>
      </c>
      <c r="M360" s="20">
        <f t="shared" si="678"/>
        <v>2</v>
      </c>
      <c r="N360" s="20">
        <f t="shared" si="678"/>
        <v>2</v>
      </c>
      <c r="O360" s="20">
        <v>24</v>
      </c>
      <c r="P360" s="20" t="s">
        <v>41</v>
      </c>
      <c r="Q360" s="21" t="str">
        <f>IF($M360=1,IF(ISERROR(VLOOKUP($P360,'M1'!$A:$C,Q$2,FALSE)),"NOT PRESENT",VLOOKUP($P360,'M1'!$A:$C,Q$2,FALSE)),IF($M360=2,IF(ISERROR(VLOOKUP(DATA!$P360,'M2'!$A:$C,Q$2,FALSE)),"NOT PRESENT",VLOOKUP(DATA!$P360,'M2'!$A:$C,Q$2,FALSE)),IF($M360=0,IF(ISERROR(VLOOKUP($P360,'M1'!$A:$C,Q$2,FALSE)),IF(ISERROR(VLOOKUP(DATA!$P360,'M2'!$A:$C,Q$2,FALSE)),"NOT PRESENT",VLOOKUP(DATA!$P360,'M2'!$A:$C,Q$2,FALSE)),VLOOKUP($P360,'M1'!$A:$C,Q$2,FALSE)),"SPECIFY METHOD")))</f>
        <v>Mesocentrotus franciscanus</v>
      </c>
      <c r="R360" s="21" t="str">
        <f>IF($M360=1,IF(ISERROR(VLOOKUP($P360,'M1'!$A:$C,R$2,FALSE)),"NOT PRESENT",VLOOKUP($P360,'M1'!$A:$C,R$2,FALSE)),IF($M360=2,IF(ISERROR(VLOOKUP(DATA!$P360,'M2'!$A:$C,R$2,FALSE)),"NOT PRESENT",VLOOKUP(DATA!$P360,'M2'!$A:$C,R$2,FALSE)),IF($M360=0,IF(ISERROR(VLOOKUP($P360,'M1'!$A:$C,R$2,FALSE)),IF(ISERROR(VLOOKUP(DATA!$P360,'M2'!$A:$C,R$2,FALSE)),"NOT PRESENT",VLOOKUP(DATA!$P360,'M2'!$A:$C,R$2,FALSE)),VLOOKUP($P360,'M1'!$A:$C,R$2,FALSE)),"SPECIFY METHOD")))</f>
        <v>Red sea urchin</v>
      </c>
      <c r="S360" s="28">
        <f t="shared" si="500"/>
        <v>4</v>
      </c>
      <c r="T360" s="20">
        <v>0</v>
      </c>
      <c r="U360" s="20">
        <v>2</v>
      </c>
      <c r="V360" s="20">
        <v>1</v>
      </c>
      <c r="W360" s="20">
        <v>1</v>
      </c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</row>
    <row r="361" spans="1:68" ht="12.75" customHeight="1">
      <c r="A361" s="21">
        <f t="shared" si="497"/>
        <v>359</v>
      </c>
      <c r="B361" s="20" t="str">
        <f t="shared" ref="B361:D361" si="679">IF(ISERROR(B360),IF(ISERROR(B359),IF(ISERROR(B358),"BLANK",B358),B359),B360)</f>
        <v>Valesca de Groot</v>
      </c>
      <c r="C361" s="20" t="str">
        <f t="shared" si="679"/>
        <v>Em Lim</v>
      </c>
      <c r="D361" s="20" t="str">
        <f t="shared" si="679"/>
        <v>BMSC16</v>
      </c>
      <c r="E361" s="21" t="str">
        <f>IF(ISERROR(VLOOKUP($D361,SITES!$A:$E,2,FALSE)),"",VLOOKUP($D361,SITES!$A:$E,2,FALSE))</f>
        <v>Faber Islets</v>
      </c>
      <c r="F361" s="19">
        <f>IF(ISERROR(VLOOKUP($D361,SITES!$A:$E,3,FALSE)),"",VLOOKUP($D361,SITES!$A:$E,3,FALSE))</f>
        <v>48.890701293945298</v>
      </c>
      <c r="G361" s="22">
        <f>IF(ISERROR(VLOOKUP($D361,SITES!$A:$E,4,FALSE)),"",VLOOKUP($D361,SITES!$A:$E,4,FALSE))</f>
        <v>-125.300498962402</v>
      </c>
      <c r="H361" s="23">
        <f t="shared" ref="H361:N361" si="680">IF(ISERROR(H360),IF(ISERROR(H359),IF(ISERROR(H358),"BLANK",H358),H359),H360)</f>
        <v>45414</v>
      </c>
      <c r="I361" s="20">
        <f t="shared" si="680"/>
        <v>3</v>
      </c>
      <c r="J361" s="20" t="str">
        <f t="shared" si="680"/>
        <v>NW</v>
      </c>
      <c r="K361" s="27">
        <f t="shared" si="680"/>
        <v>0.40972222222222221</v>
      </c>
      <c r="L361" s="20">
        <f t="shared" si="680"/>
        <v>7.5</v>
      </c>
      <c r="M361" s="20">
        <f t="shared" si="680"/>
        <v>2</v>
      </c>
      <c r="N361" s="20">
        <f t="shared" si="680"/>
        <v>2</v>
      </c>
      <c r="O361" s="20">
        <v>24</v>
      </c>
      <c r="P361" s="20" t="s">
        <v>40</v>
      </c>
      <c r="Q361" s="21" t="str">
        <f>IF($M361=1,IF(ISERROR(VLOOKUP($P361,'M1'!$A:$C,Q$2,FALSE)),"NOT PRESENT",VLOOKUP($P361,'M1'!$A:$C,Q$2,FALSE)),IF($M361=2,IF(ISERROR(VLOOKUP(DATA!$P361,'M2'!$A:$C,Q$2,FALSE)),"NOT PRESENT",VLOOKUP(DATA!$P361,'M2'!$A:$C,Q$2,FALSE)),IF($M361=0,IF(ISERROR(VLOOKUP($P361,'M1'!$A:$C,Q$2,FALSE)),IF(ISERROR(VLOOKUP(DATA!$P361,'M2'!$A:$C,Q$2,FALSE)),"NOT PRESENT",VLOOKUP(DATA!$P361,'M2'!$A:$C,Q$2,FALSE)),VLOOKUP($P361,'M1'!$A:$C,Q$2,FALSE)),"SPECIFY METHOD")))</f>
        <v>Patiria miniata</v>
      </c>
      <c r="R361" s="21" t="str">
        <f>IF($M361=1,IF(ISERROR(VLOOKUP($P361,'M1'!$A:$C,R$2,FALSE)),"NOT PRESENT",VLOOKUP($P361,'M1'!$A:$C,R$2,FALSE)),IF($M361=2,IF(ISERROR(VLOOKUP(DATA!$P361,'M2'!$A:$C,R$2,FALSE)),"NOT PRESENT",VLOOKUP(DATA!$P361,'M2'!$A:$C,R$2,FALSE)),IF($M361=0,IF(ISERROR(VLOOKUP($P361,'M1'!$A:$C,R$2,FALSE)),IF(ISERROR(VLOOKUP(DATA!$P361,'M2'!$A:$C,R$2,FALSE)),"NOT PRESENT",VLOOKUP(DATA!$P361,'M2'!$A:$C,R$2,FALSE)),VLOOKUP($P361,'M1'!$A:$C,R$2,FALSE)),"SPECIFY METHOD")))</f>
        <v>Bat star</v>
      </c>
      <c r="S361" s="28">
        <f t="shared" si="500"/>
        <v>1</v>
      </c>
      <c r="T361" s="20">
        <v>0</v>
      </c>
      <c r="U361" s="20"/>
      <c r="V361" s="20"/>
      <c r="W361" s="20">
        <v>1</v>
      </c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</row>
    <row r="362" spans="1:68" ht="12.75" customHeight="1">
      <c r="A362" s="21">
        <f t="shared" si="497"/>
        <v>360</v>
      </c>
      <c r="B362" s="20" t="str">
        <f t="shared" ref="B362:D362" si="681">IF(ISERROR(B361),IF(ISERROR(B360),IF(ISERROR(B359),"BLANK",B359),B360),B361)</f>
        <v>Valesca de Groot</v>
      </c>
      <c r="C362" s="20" t="str">
        <f t="shared" si="681"/>
        <v>Em Lim</v>
      </c>
      <c r="D362" s="20" t="str">
        <f t="shared" si="681"/>
        <v>BMSC16</v>
      </c>
      <c r="E362" s="21" t="str">
        <f>IF(ISERROR(VLOOKUP($D362,SITES!$A:$E,2,FALSE)),"",VLOOKUP($D362,SITES!$A:$E,2,FALSE))</f>
        <v>Faber Islets</v>
      </c>
      <c r="F362" s="19">
        <f>IF(ISERROR(VLOOKUP($D362,SITES!$A:$E,3,FALSE)),"",VLOOKUP($D362,SITES!$A:$E,3,FALSE))</f>
        <v>48.890701293945298</v>
      </c>
      <c r="G362" s="22">
        <f>IF(ISERROR(VLOOKUP($D362,SITES!$A:$E,4,FALSE)),"",VLOOKUP($D362,SITES!$A:$E,4,FALSE))</f>
        <v>-125.300498962402</v>
      </c>
      <c r="H362" s="23">
        <f t="shared" ref="H362:N362" si="682">IF(ISERROR(H361),IF(ISERROR(H360),IF(ISERROR(H359),"BLANK",H359),H360),H361)</f>
        <v>45414</v>
      </c>
      <c r="I362" s="20">
        <f t="shared" si="682"/>
        <v>3</v>
      </c>
      <c r="J362" s="20" t="str">
        <f t="shared" si="682"/>
        <v>NW</v>
      </c>
      <c r="K362" s="27">
        <f t="shared" si="682"/>
        <v>0.40972222222222221</v>
      </c>
      <c r="L362" s="20">
        <f t="shared" si="682"/>
        <v>7.5</v>
      </c>
      <c r="M362" s="20">
        <f t="shared" si="682"/>
        <v>2</v>
      </c>
      <c r="N362" s="20">
        <f t="shared" si="682"/>
        <v>2</v>
      </c>
      <c r="O362" s="20">
        <v>40</v>
      </c>
      <c r="P362" s="20" t="s">
        <v>41</v>
      </c>
      <c r="Q362" s="21" t="str">
        <f>IF($M362=1,IF(ISERROR(VLOOKUP($P362,'M1'!$A:$C,Q$2,FALSE)),"NOT PRESENT",VLOOKUP($P362,'M1'!$A:$C,Q$2,FALSE)),IF($M362=2,IF(ISERROR(VLOOKUP(DATA!$P362,'M2'!$A:$C,Q$2,FALSE)),"NOT PRESENT",VLOOKUP(DATA!$P362,'M2'!$A:$C,Q$2,FALSE)),IF($M362=0,IF(ISERROR(VLOOKUP($P362,'M1'!$A:$C,Q$2,FALSE)),IF(ISERROR(VLOOKUP(DATA!$P362,'M2'!$A:$C,Q$2,FALSE)),"NOT PRESENT",VLOOKUP(DATA!$P362,'M2'!$A:$C,Q$2,FALSE)),VLOOKUP($P362,'M1'!$A:$C,Q$2,FALSE)),"SPECIFY METHOD")))</f>
        <v>Mesocentrotus franciscanus</v>
      </c>
      <c r="R362" s="21" t="str">
        <f>IF($M362=1,IF(ISERROR(VLOOKUP($P362,'M1'!$A:$C,R$2,FALSE)),"NOT PRESENT",VLOOKUP($P362,'M1'!$A:$C,R$2,FALSE)),IF($M362=2,IF(ISERROR(VLOOKUP(DATA!$P362,'M2'!$A:$C,R$2,FALSE)),"NOT PRESENT",VLOOKUP(DATA!$P362,'M2'!$A:$C,R$2,FALSE)),IF($M362=0,IF(ISERROR(VLOOKUP($P362,'M1'!$A:$C,R$2,FALSE)),IF(ISERROR(VLOOKUP(DATA!$P362,'M2'!$A:$C,R$2,FALSE)),"NOT PRESENT",VLOOKUP(DATA!$P362,'M2'!$A:$C,R$2,FALSE)),VLOOKUP($P362,'M1'!$A:$C,R$2,FALSE)),"SPECIFY METHOD")))</f>
        <v>Red sea urchin</v>
      </c>
      <c r="S362" s="28">
        <f t="shared" si="500"/>
        <v>4</v>
      </c>
      <c r="T362" s="20">
        <v>0</v>
      </c>
      <c r="U362" s="20">
        <v>1</v>
      </c>
      <c r="V362" s="20">
        <v>1</v>
      </c>
      <c r="W362" s="20"/>
      <c r="X362" s="20">
        <v>2</v>
      </c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</row>
    <row r="363" spans="1:68" ht="12.75" customHeight="1">
      <c r="A363" s="21">
        <f t="shared" si="497"/>
        <v>361</v>
      </c>
      <c r="B363" s="20" t="str">
        <f t="shared" ref="B363:D363" si="683">IF(ISERROR(B362),IF(ISERROR(B361),IF(ISERROR(B360),"BLANK",B360),B361),B362)</f>
        <v>Valesca de Groot</v>
      </c>
      <c r="C363" s="20" t="str">
        <f t="shared" si="683"/>
        <v>Em Lim</v>
      </c>
      <c r="D363" s="20" t="str">
        <f t="shared" si="683"/>
        <v>BMSC16</v>
      </c>
      <c r="E363" s="21" t="str">
        <f>IF(ISERROR(VLOOKUP($D363,SITES!$A:$E,2,FALSE)),"",VLOOKUP($D363,SITES!$A:$E,2,FALSE))</f>
        <v>Faber Islets</v>
      </c>
      <c r="F363" s="19">
        <f>IF(ISERROR(VLOOKUP($D363,SITES!$A:$E,3,FALSE)),"",VLOOKUP($D363,SITES!$A:$E,3,FALSE))</f>
        <v>48.890701293945298</v>
      </c>
      <c r="G363" s="22">
        <f>IF(ISERROR(VLOOKUP($D363,SITES!$A:$E,4,FALSE)),"",VLOOKUP($D363,SITES!$A:$E,4,FALSE))</f>
        <v>-125.300498962402</v>
      </c>
      <c r="H363" s="23">
        <f t="shared" ref="H363:I363" si="684">IF(ISERROR(H362),IF(ISERROR(H361),IF(ISERROR(H360),"BLANK",H360),H361),H362)</f>
        <v>45414</v>
      </c>
      <c r="I363" s="20">
        <f t="shared" si="684"/>
        <v>3</v>
      </c>
      <c r="J363" s="20" t="s">
        <v>33</v>
      </c>
      <c r="K363" s="27">
        <v>0.48541666666666666</v>
      </c>
      <c r="L363" s="20">
        <f t="shared" ref="L363:N363" si="685">IF(ISERROR(L362),IF(ISERROR(L361),IF(ISERROR(L360),"BLANK",L360),L361),L362)</f>
        <v>7.5</v>
      </c>
      <c r="M363" s="20">
        <f t="shared" si="685"/>
        <v>2</v>
      </c>
      <c r="N363" s="20">
        <f t="shared" si="685"/>
        <v>2</v>
      </c>
      <c r="O363" s="20">
        <v>0</v>
      </c>
      <c r="P363" s="20" t="str">
        <f>IF(ISERROR(P362),IF(ISERROR(P361),IF(ISERROR(P360),"BLANK",P360),P361),P362)</f>
        <v>mfra</v>
      </c>
      <c r="Q363" s="21" t="str">
        <f>IF($M363=1,IF(ISERROR(VLOOKUP($P363,'M1'!$A:$C,Q$2,FALSE)),"NOT PRESENT",VLOOKUP($P363,'M1'!$A:$C,Q$2,FALSE)),IF($M363=2,IF(ISERROR(VLOOKUP(DATA!$P363,'M2'!$A:$C,Q$2,FALSE)),"NOT PRESENT",VLOOKUP(DATA!$P363,'M2'!$A:$C,Q$2,FALSE)),IF($M363=0,IF(ISERROR(VLOOKUP($P363,'M1'!$A:$C,Q$2,FALSE)),IF(ISERROR(VLOOKUP(DATA!$P363,'M2'!$A:$C,Q$2,FALSE)),"NOT PRESENT",VLOOKUP(DATA!$P363,'M2'!$A:$C,Q$2,FALSE)),VLOOKUP($P363,'M1'!$A:$C,Q$2,FALSE)),"SPECIFY METHOD")))</f>
        <v>Mesocentrotus franciscanus</v>
      </c>
      <c r="R363" s="21" t="str">
        <f>IF($M363=1,IF(ISERROR(VLOOKUP($P363,'M1'!$A:$C,R$2,FALSE)),"NOT PRESENT",VLOOKUP($P363,'M1'!$A:$C,R$2,FALSE)),IF($M363=2,IF(ISERROR(VLOOKUP(DATA!$P363,'M2'!$A:$C,R$2,FALSE)),"NOT PRESENT",VLOOKUP(DATA!$P363,'M2'!$A:$C,R$2,FALSE)),IF($M363=0,IF(ISERROR(VLOOKUP($P363,'M1'!$A:$C,R$2,FALSE)),IF(ISERROR(VLOOKUP(DATA!$P363,'M2'!$A:$C,R$2,FALSE)),"NOT PRESENT",VLOOKUP(DATA!$P363,'M2'!$A:$C,R$2,FALSE)),VLOOKUP($P363,'M1'!$A:$C,R$2,FALSE)),"SPECIFY METHOD")))</f>
        <v>Red sea urchin</v>
      </c>
      <c r="S363" s="28">
        <f t="shared" si="500"/>
        <v>5</v>
      </c>
      <c r="T363" s="20">
        <v>0</v>
      </c>
      <c r="U363" s="20">
        <v>1</v>
      </c>
      <c r="V363" s="20">
        <v>3</v>
      </c>
      <c r="W363" s="20">
        <v>1</v>
      </c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</row>
    <row r="364" spans="1:68" ht="12.75" customHeight="1">
      <c r="A364" s="21">
        <f t="shared" si="497"/>
        <v>362</v>
      </c>
      <c r="B364" s="20" t="str">
        <f t="shared" ref="B364:D364" si="686">IF(ISERROR(B363),IF(ISERROR(B362),IF(ISERROR(B361),"BLANK",B361),B362),B363)</f>
        <v>Valesca de Groot</v>
      </c>
      <c r="C364" s="20" t="str">
        <f t="shared" si="686"/>
        <v>Em Lim</v>
      </c>
      <c r="D364" s="20" t="str">
        <f t="shared" si="686"/>
        <v>BMSC16</v>
      </c>
      <c r="E364" s="21" t="str">
        <f>IF(ISERROR(VLOOKUP($D364,SITES!$A:$E,2,FALSE)),"",VLOOKUP($D364,SITES!$A:$E,2,FALSE))</f>
        <v>Faber Islets</v>
      </c>
      <c r="F364" s="19">
        <f>IF(ISERROR(VLOOKUP($D364,SITES!$A:$E,3,FALSE)),"",VLOOKUP($D364,SITES!$A:$E,3,FALSE))</f>
        <v>48.890701293945298</v>
      </c>
      <c r="G364" s="22">
        <f>IF(ISERROR(VLOOKUP($D364,SITES!$A:$E,4,FALSE)),"",VLOOKUP($D364,SITES!$A:$E,4,FALSE))</f>
        <v>-125.300498962402</v>
      </c>
      <c r="H364" s="23">
        <f t="shared" ref="H364:N364" si="687">IF(ISERROR(H363),IF(ISERROR(H362),IF(ISERROR(H361),"BLANK",H361),H362),H363)</f>
        <v>45414</v>
      </c>
      <c r="I364" s="20">
        <f t="shared" si="687"/>
        <v>3</v>
      </c>
      <c r="J364" s="20" t="str">
        <f t="shared" si="687"/>
        <v>SW</v>
      </c>
      <c r="K364" s="27">
        <f t="shared" si="687"/>
        <v>0.48541666666666666</v>
      </c>
      <c r="L364" s="20">
        <f t="shared" si="687"/>
        <v>7.5</v>
      </c>
      <c r="M364" s="20">
        <f t="shared" si="687"/>
        <v>2</v>
      </c>
      <c r="N364" s="20">
        <f t="shared" si="687"/>
        <v>2</v>
      </c>
      <c r="O364" s="20">
        <v>16</v>
      </c>
      <c r="P364" s="20" t="s">
        <v>41</v>
      </c>
      <c r="Q364" s="21" t="str">
        <f>IF($M364=1,IF(ISERROR(VLOOKUP($P364,'M1'!$A:$C,Q$2,FALSE)),"NOT PRESENT",VLOOKUP($P364,'M1'!$A:$C,Q$2,FALSE)),IF($M364=2,IF(ISERROR(VLOOKUP(DATA!$P364,'M2'!$A:$C,Q$2,FALSE)),"NOT PRESENT",VLOOKUP(DATA!$P364,'M2'!$A:$C,Q$2,FALSE)),IF($M364=0,IF(ISERROR(VLOOKUP($P364,'M1'!$A:$C,Q$2,FALSE)),IF(ISERROR(VLOOKUP(DATA!$P364,'M2'!$A:$C,Q$2,FALSE)),"NOT PRESENT",VLOOKUP(DATA!$P364,'M2'!$A:$C,Q$2,FALSE)),VLOOKUP($P364,'M1'!$A:$C,Q$2,FALSE)),"SPECIFY METHOD")))</f>
        <v>Mesocentrotus franciscanus</v>
      </c>
      <c r="R364" s="21" t="str">
        <f>IF($M364=1,IF(ISERROR(VLOOKUP($P364,'M1'!$A:$C,R$2,FALSE)),"NOT PRESENT",VLOOKUP($P364,'M1'!$A:$C,R$2,FALSE)),IF($M364=2,IF(ISERROR(VLOOKUP(DATA!$P364,'M2'!$A:$C,R$2,FALSE)),"NOT PRESENT",VLOOKUP(DATA!$P364,'M2'!$A:$C,R$2,FALSE)),IF($M364=0,IF(ISERROR(VLOOKUP($P364,'M1'!$A:$C,R$2,FALSE)),IF(ISERROR(VLOOKUP(DATA!$P364,'M2'!$A:$C,R$2,FALSE)),"NOT PRESENT",VLOOKUP(DATA!$P364,'M2'!$A:$C,R$2,FALSE)),VLOOKUP($P364,'M1'!$A:$C,R$2,FALSE)),"SPECIFY METHOD")))</f>
        <v>Red sea urchin</v>
      </c>
      <c r="S364" s="28">
        <f t="shared" si="500"/>
        <v>3</v>
      </c>
      <c r="T364" s="20">
        <v>0</v>
      </c>
      <c r="U364" s="20">
        <v>2</v>
      </c>
      <c r="V364" s="20">
        <v>1</v>
      </c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</row>
    <row r="365" spans="1:68" ht="12.75" customHeight="1">
      <c r="A365" s="21">
        <f t="shared" si="497"/>
        <v>363</v>
      </c>
      <c r="B365" s="20" t="str">
        <f t="shared" ref="B365:D365" si="688">IF(ISERROR(B364),IF(ISERROR(B363),IF(ISERROR(B362),"BLANK",B362),B363),B364)</f>
        <v>Valesca de Groot</v>
      </c>
      <c r="C365" s="20" t="str">
        <f t="shared" si="688"/>
        <v>Em Lim</v>
      </c>
      <c r="D365" s="20" t="str">
        <f t="shared" si="688"/>
        <v>BMSC16</v>
      </c>
      <c r="E365" s="21" t="str">
        <f>IF(ISERROR(VLOOKUP($D365,SITES!$A:$E,2,FALSE)),"",VLOOKUP($D365,SITES!$A:$E,2,FALSE))</f>
        <v>Faber Islets</v>
      </c>
      <c r="F365" s="19">
        <f>IF(ISERROR(VLOOKUP($D365,SITES!$A:$E,3,FALSE)),"",VLOOKUP($D365,SITES!$A:$E,3,FALSE))</f>
        <v>48.890701293945298</v>
      </c>
      <c r="G365" s="22">
        <f>IF(ISERROR(VLOOKUP($D365,SITES!$A:$E,4,FALSE)),"",VLOOKUP($D365,SITES!$A:$E,4,FALSE))</f>
        <v>-125.300498962402</v>
      </c>
      <c r="H365" s="23">
        <f t="shared" ref="H365:N365" si="689">IF(ISERROR(H364),IF(ISERROR(H363),IF(ISERROR(H362),"BLANK",H362),H363),H364)</f>
        <v>45414</v>
      </c>
      <c r="I365" s="20">
        <f t="shared" si="689"/>
        <v>3</v>
      </c>
      <c r="J365" s="20" t="str">
        <f t="shared" si="689"/>
        <v>SW</v>
      </c>
      <c r="K365" s="27">
        <f t="shared" si="689"/>
        <v>0.48541666666666666</v>
      </c>
      <c r="L365" s="20">
        <f t="shared" si="689"/>
        <v>7.5</v>
      </c>
      <c r="M365" s="20">
        <f t="shared" si="689"/>
        <v>2</v>
      </c>
      <c r="N365" s="20">
        <f t="shared" si="689"/>
        <v>2</v>
      </c>
      <c r="O365" s="20">
        <v>16</v>
      </c>
      <c r="P365" s="20" t="s">
        <v>62</v>
      </c>
      <c r="Q365" s="21" t="str">
        <f>IF($M365=1,IF(ISERROR(VLOOKUP($P365,'M1'!$A:$C,Q$2,FALSE)),"NOT PRESENT",VLOOKUP($P365,'M1'!$A:$C,Q$2,FALSE)),IF($M365=2,IF(ISERROR(VLOOKUP(DATA!$P365,'M2'!$A:$C,Q$2,FALSE)),"NOT PRESENT",VLOOKUP(DATA!$P365,'M2'!$A:$C,Q$2,FALSE)),IF($M365=0,IF(ISERROR(VLOOKUP($P365,'M1'!$A:$C,Q$2,FALSE)),IF(ISERROR(VLOOKUP(DATA!$P365,'M2'!$A:$C,Q$2,FALSE)),"NOT PRESENT",VLOOKUP(DATA!$P365,'M2'!$A:$C,Q$2,FALSE)),VLOOKUP($P365,'M1'!$A:$C,Q$2,FALSE)),"SPECIFY METHOD")))</f>
        <v>Strongylocentrotus droebachiensis</v>
      </c>
      <c r="R365" s="21" t="str">
        <f>IF($M365=1,IF(ISERROR(VLOOKUP($P365,'M1'!$A:$C,R$2,FALSE)),"NOT PRESENT",VLOOKUP($P365,'M1'!$A:$C,R$2,FALSE)),IF($M365=2,IF(ISERROR(VLOOKUP(DATA!$P365,'M2'!$A:$C,R$2,FALSE)),"NOT PRESENT",VLOOKUP(DATA!$P365,'M2'!$A:$C,R$2,FALSE)),IF($M365=0,IF(ISERROR(VLOOKUP($P365,'M1'!$A:$C,R$2,FALSE)),IF(ISERROR(VLOOKUP(DATA!$P365,'M2'!$A:$C,R$2,FALSE)),"NOT PRESENT",VLOOKUP(DATA!$P365,'M2'!$A:$C,R$2,FALSE)),VLOOKUP($P365,'M1'!$A:$C,R$2,FALSE)),"SPECIFY METHOD")))</f>
        <v>Northern sea urchin</v>
      </c>
      <c r="S365" s="28">
        <f t="shared" si="500"/>
        <v>1</v>
      </c>
      <c r="T365" s="20">
        <v>0</v>
      </c>
      <c r="U365" s="20">
        <v>1</v>
      </c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</row>
    <row r="366" spans="1:68" ht="12.75" customHeight="1">
      <c r="A366" s="21">
        <f t="shared" si="497"/>
        <v>364</v>
      </c>
      <c r="B366" s="20" t="str">
        <f t="shared" ref="B366:D366" si="690">IF(ISERROR(B365),IF(ISERROR(B364),IF(ISERROR(B363),"BLANK",B363),B364),B365)</f>
        <v>Valesca de Groot</v>
      </c>
      <c r="C366" s="20" t="str">
        <f t="shared" si="690"/>
        <v>Em Lim</v>
      </c>
      <c r="D366" s="20" t="str">
        <f t="shared" si="690"/>
        <v>BMSC16</v>
      </c>
      <c r="E366" s="21" t="str">
        <f>IF(ISERROR(VLOOKUP($D366,SITES!$A:$E,2,FALSE)),"",VLOOKUP($D366,SITES!$A:$E,2,FALSE))</f>
        <v>Faber Islets</v>
      </c>
      <c r="F366" s="19">
        <f>IF(ISERROR(VLOOKUP($D366,SITES!$A:$E,3,FALSE)),"",VLOOKUP($D366,SITES!$A:$E,3,FALSE))</f>
        <v>48.890701293945298</v>
      </c>
      <c r="G366" s="22">
        <f>IF(ISERROR(VLOOKUP($D366,SITES!$A:$E,4,FALSE)),"",VLOOKUP($D366,SITES!$A:$E,4,FALSE))</f>
        <v>-125.300498962402</v>
      </c>
      <c r="H366" s="23">
        <f t="shared" ref="H366:N366" si="691">IF(ISERROR(H365),IF(ISERROR(H364),IF(ISERROR(H363),"BLANK",H363),H364),H365)</f>
        <v>45414</v>
      </c>
      <c r="I366" s="20">
        <f t="shared" si="691"/>
        <v>3</v>
      </c>
      <c r="J366" s="20" t="str">
        <f t="shared" si="691"/>
        <v>SW</v>
      </c>
      <c r="K366" s="27">
        <f t="shared" si="691"/>
        <v>0.48541666666666666</v>
      </c>
      <c r="L366" s="20">
        <f t="shared" si="691"/>
        <v>7.5</v>
      </c>
      <c r="M366" s="20">
        <f t="shared" si="691"/>
        <v>2</v>
      </c>
      <c r="N366" s="20">
        <f t="shared" si="691"/>
        <v>2</v>
      </c>
      <c r="O366" s="20">
        <v>32</v>
      </c>
      <c r="P366" s="20" t="s">
        <v>41</v>
      </c>
      <c r="Q366" s="21" t="str">
        <f>IF($M366=1,IF(ISERROR(VLOOKUP($P366,'M1'!$A:$C,Q$2,FALSE)),"NOT PRESENT",VLOOKUP($P366,'M1'!$A:$C,Q$2,FALSE)),IF($M366=2,IF(ISERROR(VLOOKUP(DATA!$P366,'M2'!$A:$C,Q$2,FALSE)),"NOT PRESENT",VLOOKUP(DATA!$P366,'M2'!$A:$C,Q$2,FALSE)),IF($M366=0,IF(ISERROR(VLOOKUP($P366,'M1'!$A:$C,Q$2,FALSE)),IF(ISERROR(VLOOKUP(DATA!$P366,'M2'!$A:$C,Q$2,FALSE)),"NOT PRESENT",VLOOKUP(DATA!$P366,'M2'!$A:$C,Q$2,FALSE)),VLOOKUP($P366,'M1'!$A:$C,Q$2,FALSE)),"SPECIFY METHOD")))</f>
        <v>Mesocentrotus franciscanus</v>
      </c>
      <c r="R366" s="21" t="str">
        <f>IF($M366=1,IF(ISERROR(VLOOKUP($P366,'M1'!$A:$C,R$2,FALSE)),"NOT PRESENT",VLOOKUP($P366,'M1'!$A:$C,R$2,FALSE)),IF($M366=2,IF(ISERROR(VLOOKUP(DATA!$P366,'M2'!$A:$C,R$2,FALSE)),"NOT PRESENT",VLOOKUP(DATA!$P366,'M2'!$A:$C,R$2,FALSE)),IF($M366=0,IF(ISERROR(VLOOKUP($P366,'M1'!$A:$C,R$2,FALSE)),IF(ISERROR(VLOOKUP(DATA!$P366,'M2'!$A:$C,R$2,FALSE)),"NOT PRESENT",VLOOKUP(DATA!$P366,'M2'!$A:$C,R$2,FALSE)),VLOOKUP($P366,'M1'!$A:$C,R$2,FALSE)),"SPECIFY METHOD")))</f>
        <v>Red sea urchin</v>
      </c>
      <c r="S366" s="28">
        <f t="shared" si="500"/>
        <v>3</v>
      </c>
      <c r="T366" s="20">
        <v>0</v>
      </c>
      <c r="U366" s="20"/>
      <c r="V366" s="20">
        <v>3</v>
      </c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</row>
    <row r="367" spans="1:68" ht="12.75" customHeight="1">
      <c r="A367" s="21">
        <f t="shared" si="497"/>
        <v>365</v>
      </c>
      <c r="B367" s="20" t="str">
        <f t="shared" ref="B367:D367" si="692">IF(ISERROR(B366),IF(ISERROR(B365),IF(ISERROR(B364),"BLANK",B364),B365),B366)</f>
        <v>Valesca de Groot</v>
      </c>
      <c r="C367" s="20" t="str">
        <f t="shared" si="692"/>
        <v>Em Lim</v>
      </c>
      <c r="D367" s="20" t="str">
        <f t="shared" si="692"/>
        <v>BMSC16</v>
      </c>
      <c r="E367" s="21" t="str">
        <f>IF(ISERROR(VLOOKUP($D367,SITES!$A:$E,2,FALSE)),"",VLOOKUP($D367,SITES!$A:$E,2,FALSE))</f>
        <v>Faber Islets</v>
      </c>
      <c r="F367" s="19">
        <f>IF(ISERROR(VLOOKUP($D367,SITES!$A:$E,3,FALSE)),"",VLOOKUP($D367,SITES!$A:$E,3,FALSE))</f>
        <v>48.890701293945298</v>
      </c>
      <c r="G367" s="22">
        <f>IF(ISERROR(VLOOKUP($D367,SITES!$A:$E,4,FALSE)),"",VLOOKUP($D367,SITES!$A:$E,4,FALSE))</f>
        <v>-125.300498962402</v>
      </c>
      <c r="H367" s="23">
        <f t="shared" ref="H367:N367" si="693">IF(ISERROR(H366),IF(ISERROR(H365),IF(ISERROR(H364),"BLANK",H364),H365),H366)</f>
        <v>45414</v>
      </c>
      <c r="I367" s="20">
        <f t="shared" si="693"/>
        <v>3</v>
      </c>
      <c r="J367" s="20" t="str">
        <f t="shared" si="693"/>
        <v>SW</v>
      </c>
      <c r="K367" s="27">
        <f t="shared" si="693"/>
        <v>0.48541666666666666</v>
      </c>
      <c r="L367" s="20">
        <f t="shared" si="693"/>
        <v>7.5</v>
      </c>
      <c r="M367" s="20">
        <f t="shared" si="693"/>
        <v>2</v>
      </c>
      <c r="N367" s="20">
        <f t="shared" si="693"/>
        <v>2</v>
      </c>
      <c r="O367" s="20">
        <v>40</v>
      </c>
      <c r="P367" s="20" t="str">
        <f>IF(ISERROR(P366),IF(ISERROR(P365),IF(ISERROR(P364),"BLANK",P364),P365),P366)</f>
        <v>mfra</v>
      </c>
      <c r="Q367" s="21" t="str">
        <f>IF($M367=1,IF(ISERROR(VLOOKUP($P367,'M1'!$A:$C,Q$2,FALSE)),"NOT PRESENT",VLOOKUP($P367,'M1'!$A:$C,Q$2,FALSE)),IF($M367=2,IF(ISERROR(VLOOKUP(DATA!$P367,'M2'!$A:$C,Q$2,FALSE)),"NOT PRESENT",VLOOKUP(DATA!$P367,'M2'!$A:$C,Q$2,FALSE)),IF($M367=0,IF(ISERROR(VLOOKUP($P367,'M1'!$A:$C,Q$2,FALSE)),IF(ISERROR(VLOOKUP(DATA!$P367,'M2'!$A:$C,Q$2,FALSE)),"NOT PRESENT",VLOOKUP(DATA!$P367,'M2'!$A:$C,Q$2,FALSE)),VLOOKUP($P367,'M1'!$A:$C,Q$2,FALSE)),"SPECIFY METHOD")))</f>
        <v>Mesocentrotus franciscanus</v>
      </c>
      <c r="R367" s="21" t="str">
        <f>IF($M367=1,IF(ISERROR(VLOOKUP($P367,'M1'!$A:$C,R$2,FALSE)),"NOT PRESENT",VLOOKUP($P367,'M1'!$A:$C,R$2,FALSE)),IF($M367=2,IF(ISERROR(VLOOKUP(DATA!$P367,'M2'!$A:$C,R$2,FALSE)),"NOT PRESENT",VLOOKUP(DATA!$P367,'M2'!$A:$C,R$2,FALSE)),IF($M367=0,IF(ISERROR(VLOOKUP($P367,'M1'!$A:$C,R$2,FALSE)),IF(ISERROR(VLOOKUP(DATA!$P367,'M2'!$A:$C,R$2,FALSE)),"NOT PRESENT",VLOOKUP(DATA!$P367,'M2'!$A:$C,R$2,FALSE)),VLOOKUP($P367,'M1'!$A:$C,R$2,FALSE)),"SPECIFY METHOD")))</f>
        <v>Red sea urchin</v>
      </c>
      <c r="S367" s="28">
        <f t="shared" si="500"/>
        <v>3</v>
      </c>
      <c r="T367" s="20">
        <v>0</v>
      </c>
      <c r="U367" s="20">
        <v>2</v>
      </c>
      <c r="V367" s="20">
        <v>1</v>
      </c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</row>
    <row r="368" spans="1:68" ht="12.75" customHeight="1">
      <c r="A368" s="21">
        <f t="shared" si="497"/>
        <v>366</v>
      </c>
      <c r="B368" s="20" t="str">
        <f t="shared" ref="B368:D368" si="694">IF(ISERROR(B367),IF(ISERROR(B366),IF(ISERROR(B365),"BLANK",B365),B366),B367)</f>
        <v>Valesca de Groot</v>
      </c>
      <c r="C368" s="20" t="str">
        <f t="shared" si="694"/>
        <v>Em Lim</v>
      </c>
      <c r="D368" s="20" t="str">
        <f t="shared" si="694"/>
        <v>BMSC16</v>
      </c>
      <c r="E368" s="21" t="str">
        <f>IF(ISERROR(VLOOKUP($D368,SITES!$A:$E,2,FALSE)),"",VLOOKUP($D368,SITES!$A:$E,2,FALSE))</f>
        <v>Faber Islets</v>
      </c>
      <c r="F368" s="19">
        <f>IF(ISERROR(VLOOKUP($D368,SITES!$A:$E,3,FALSE)),"",VLOOKUP($D368,SITES!$A:$E,3,FALSE))</f>
        <v>48.890701293945298</v>
      </c>
      <c r="G368" s="22">
        <f>IF(ISERROR(VLOOKUP($D368,SITES!$A:$E,4,FALSE)),"",VLOOKUP($D368,SITES!$A:$E,4,FALSE))</f>
        <v>-125.300498962402</v>
      </c>
      <c r="H368" s="23">
        <f t="shared" ref="H368:N368" si="695">IF(ISERROR(H367),IF(ISERROR(H366),IF(ISERROR(H365),"BLANK",H365),H366),H367)</f>
        <v>45414</v>
      </c>
      <c r="I368" s="20">
        <f t="shared" si="695"/>
        <v>3</v>
      </c>
      <c r="J368" s="20" t="str">
        <f t="shared" si="695"/>
        <v>SW</v>
      </c>
      <c r="K368" s="27">
        <f t="shared" si="695"/>
        <v>0.48541666666666666</v>
      </c>
      <c r="L368" s="20">
        <f t="shared" si="695"/>
        <v>7.5</v>
      </c>
      <c r="M368" s="20">
        <f t="shared" si="695"/>
        <v>2</v>
      </c>
      <c r="N368" s="20">
        <f t="shared" si="695"/>
        <v>2</v>
      </c>
      <c r="O368" s="20">
        <v>40</v>
      </c>
      <c r="P368" s="20" t="s">
        <v>62</v>
      </c>
      <c r="Q368" s="21" t="str">
        <f>IF($M368=1,IF(ISERROR(VLOOKUP($P368,'M1'!$A:$C,Q$2,FALSE)),"NOT PRESENT",VLOOKUP($P368,'M1'!$A:$C,Q$2,FALSE)),IF($M368=2,IF(ISERROR(VLOOKUP(DATA!$P368,'M2'!$A:$C,Q$2,FALSE)),"NOT PRESENT",VLOOKUP(DATA!$P368,'M2'!$A:$C,Q$2,FALSE)),IF($M368=0,IF(ISERROR(VLOOKUP($P368,'M1'!$A:$C,Q$2,FALSE)),IF(ISERROR(VLOOKUP(DATA!$P368,'M2'!$A:$C,Q$2,FALSE)),"NOT PRESENT",VLOOKUP(DATA!$P368,'M2'!$A:$C,Q$2,FALSE)),VLOOKUP($P368,'M1'!$A:$C,Q$2,FALSE)),"SPECIFY METHOD")))</f>
        <v>Strongylocentrotus droebachiensis</v>
      </c>
      <c r="R368" s="21" t="str">
        <f>IF($M368=1,IF(ISERROR(VLOOKUP($P368,'M1'!$A:$C,R$2,FALSE)),"NOT PRESENT",VLOOKUP($P368,'M1'!$A:$C,R$2,FALSE)),IF($M368=2,IF(ISERROR(VLOOKUP(DATA!$P368,'M2'!$A:$C,R$2,FALSE)),"NOT PRESENT",VLOOKUP(DATA!$P368,'M2'!$A:$C,R$2,FALSE)),IF($M368=0,IF(ISERROR(VLOOKUP($P368,'M1'!$A:$C,R$2,FALSE)),IF(ISERROR(VLOOKUP(DATA!$P368,'M2'!$A:$C,R$2,FALSE)),"NOT PRESENT",VLOOKUP(DATA!$P368,'M2'!$A:$C,R$2,FALSE)),VLOOKUP($P368,'M1'!$A:$C,R$2,FALSE)),"SPECIFY METHOD")))</f>
        <v>Northern sea urchin</v>
      </c>
      <c r="S368" s="28">
        <f t="shared" si="500"/>
        <v>1</v>
      </c>
      <c r="T368" s="20">
        <v>0</v>
      </c>
      <c r="U368" s="20">
        <v>1</v>
      </c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</row>
    <row r="369" spans="1:68" ht="12.75" customHeight="1">
      <c r="A369" s="21">
        <f t="shared" si="497"/>
        <v>367</v>
      </c>
      <c r="B369" s="20" t="str">
        <f t="shared" ref="B369:D369" si="696">IF(ISERROR(B368),IF(ISERROR(B367),IF(ISERROR(B366),"BLANK",B366),B367),B368)</f>
        <v>Valesca de Groot</v>
      </c>
      <c r="C369" s="20" t="str">
        <f t="shared" si="696"/>
        <v>Em Lim</v>
      </c>
      <c r="D369" s="20" t="str">
        <f t="shared" si="696"/>
        <v>BMSC16</v>
      </c>
      <c r="E369" s="21" t="str">
        <f>IF(ISERROR(VLOOKUP($D369,SITES!$A:$E,2,FALSE)),"",VLOOKUP($D369,SITES!$A:$E,2,FALSE))</f>
        <v>Faber Islets</v>
      </c>
      <c r="F369" s="19">
        <f>IF(ISERROR(VLOOKUP($D369,SITES!$A:$E,3,FALSE)),"",VLOOKUP($D369,SITES!$A:$E,3,FALSE))</f>
        <v>48.890701293945298</v>
      </c>
      <c r="G369" s="22">
        <f>IF(ISERROR(VLOOKUP($D369,SITES!$A:$E,4,FALSE)),"",VLOOKUP($D369,SITES!$A:$E,4,FALSE))</f>
        <v>-125.300498962402</v>
      </c>
      <c r="H369" s="23">
        <f t="shared" ref="H369:N369" si="697">IF(ISERROR(H368),IF(ISERROR(H367),IF(ISERROR(H366),"BLANK",H366),H367),H368)</f>
        <v>45414</v>
      </c>
      <c r="I369" s="20">
        <f t="shared" si="697"/>
        <v>3</v>
      </c>
      <c r="J369" s="20" t="str">
        <f t="shared" si="697"/>
        <v>SW</v>
      </c>
      <c r="K369" s="27">
        <f t="shared" si="697"/>
        <v>0.48541666666666666</v>
      </c>
      <c r="L369" s="20">
        <f t="shared" si="697"/>
        <v>7.5</v>
      </c>
      <c r="M369" s="20">
        <f t="shared" si="697"/>
        <v>2</v>
      </c>
      <c r="N369" s="20">
        <f t="shared" si="697"/>
        <v>2</v>
      </c>
      <c r="O369" s="20">
        <v>8</v>
      </c>
      <c r="P369" s="20" t="str">
        <f>IF(ISERROR(P368),IF(ISERROR(P367),IF(ISERROR(P366),"BLANK",P366),P367),P368)</f>
        <v>sdr</v>
      </c>
      <c r="Q369" s="21" t="str">
        <f>IF($M369=1,IF(ISERROR(VLOOKUP($P369,'M1'!$A:$C,Q$2,FALSE)),"NOT PRESENT",VLOOKUP($P369,'M1'!$A:$C,Q$2,FALSE)),IF($M369=2,IF(ISERROR(VLOOKUP(DATA!$P369,'M2'!$A:$C,Q$2,FALSE)),"NOT PRESENT",VLOOKUP(DATA!$P369,'M2'!$A:$C,Q$2,FALSE)),IF($M369=0,IF(ISERROR(VLOOKUP($P369,'M1'!$A:$C,Q$2,FALSE)),IF(ISERROR(VLOOKUP(DATA!$P369,'M2'!$A:$C,Q$2,FALSE)),"NOT PRESENT",VLOOKUP(DATA!$P369,'M2'!$A:$C,Q$2,FALSE)),VLOOKUP($P369,'M1'!$A:$C,Q$2,FALSE)),"SPECIFY METHOD")))</f>
        <v>Strongylocentrotus droebachiensis</v>
      </c>
      <c r="R369" s="21" t="str">
        <f>IF($M369=1,IF(ISERROR(VLOOKUP($P369,'M1'!$A:$C,R$2,FALSE)),"NOT PRESENT",VLOOKUP($P369,'M1'!$A:$C,R$2,FALSE)),IF($M369=2,IF(ISERROR(VLOOKUP(DATA!$P369,'M2'!$A:$C,R$2,FALSE)),"NOT PRESENT",VLOOKUP(DATA!$P369,'M2'!$A:$C,R$2,FALSE)),IF($M369=0,IF(ISERROR(VLOOKUP($P369,'M1'!$A:$C,R$2,FALSE)),IF(ISERROR(VLOOKUP(DATA!$P369,'M2'!$A:$C,R$2,FALSE)),"NOT PRESENT",VLOOKUP(DATA!$P369,'M2'!$A:$C,R$2,FALSE)),VLOOKUP($P369,'M1'!$A:$C,R$2,FALSE)),"SPECIFY METHOD")))</f>
        <v>Northern sea urchin</v>
      </c>
      <c r="S369" s="28">
        <f t="shared" si="500"/>
        <v>1</v>
      </c>
      <c r="T369" s="20">
        <v>0</v>
      </c>
      <c r="U369" s="20"/>
      <c r="V369" s="20">
        <v>1</v>
      </c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</row>
    <row r="370" spans="1:68" ht="12.75" customHeight="1">
      <c r="A370" s="21">
        <f t="shared" si="497"/>
        <v>368</v>
      </c>
      <c r="B370" s="20" t="str">
        <f t="shared" ref="B370:D370" si="698">IF(ISERROR(B369),IF(ISERROR(B368),IF(ISERROR(B367),"BLANK",B367),B368),B369)</f>
        <v>Valesca de Groot</v>
      </c>
      <c r="C370" s="20" t="str">
        <f t="shared" si="698"/>
        <v>Em Lim</v>
      </c>
      <c r="D370" s="20" t="str">
        <f t="shared" si="698"/>
        <v>BMSC16</v>
      </c>
      <c r="E370" s="21" t="str">
        <f>IF(ISERROR(VLOOKUP($D370,SITES!$A:$E,2,FALSE)),"",VLOOKUP($D370,SITES!$A:$E,2,FALSE))</f>
        <v>Faber Islets</v>
      </c>
      <c r="F370" s="19">
        <f>IF(ISERROR(VLOOKUP($D370,SITES!$A:$E,3,FALSE)),"",VLOOKUP($D370,SITES!$A:$E,3,FALSE))</f>
        <v>48.890701293945298</v>
      </c>
      <c r="G370" s="22">
        <f>IF(ISERROR(VLOOKUP($D370,SITES!$A:$E,4,FALSE)),"",VLOOKUP($D370,SITES!$A:$E,4,FALSE))</f>
        <v>-125.300498962402</v>
      </c>
      <c r="H370" s="23">
        <f t="shared" ref="H370:N370" si="699">IF(ISERROR(H369),IF(ISERROR(H368),IF(ISERROR(H367),"BLANK",H367),H368),H369)</f>
        <v>45414</v>
      </c>
      <c r="I370" s="20">
        <f t="shared" si="699"/>
        <v>3</v>
      </c>
      <c r="J370" s="20" t="str">
        <f t="shared" si="699"/>
        <v>SW</v>
      </c>
      <c r="K370" s="27">
        <f t="shared" si="699"/>
        <v>0.48541666666666666</v>
      </c>
      <c r="L370" s="20">
        <f t="shared" si="699"/>
        <v>7.5</v>
      </c>
      <c r="M370" s="20">
        <f t="shared" si="699"/>
        <v>2</v>
      </c>
      <c r="N370" s="20">
        <f t="shared" si="699"/>
        <v>2</v>
      </c>
      <c r="O370" s="20">
        <v>8</v>
      </c>
      <c r="P370" s="20" t="s">
        <v>41</v>
      </c>
      <c r="Q370" s="21" t="str">
        <f>IF($M370=1,IF(ISERROR(VLOOKUP($P370,'M1'!$A:$C,Q$2,FALSE)),"NOT PRESENT",VLOOKUP($P370,'M1'!$A:$C,Q$2,FALSE)),IF($M370=2,IF(ISERROR(VLOOKUP(DATA!$P370,'M2'!$A:$C,Q$2,FALSE)),"NOT PRESENT",VLOOKUP(DATA!$P370,'M2'!$A:$C,Q$2,FALSE)),IF($M370=0,IF(ISERROR(VLOOKUP($P370,'M1'!$A:$C,Q$2,FALSE)),IF(ISERROR(VLOOKUP(DATA!$P370,'M2'!$A:$C,Q$2,FALSE)),"NOT PRESENT",VLOOKUP(DATA!$P370,'M2'!$A:$C,Q$2,FALSE)),VLOOKUP($P370,'M1'!$A:$C,Q$2,FALSE)),"SPECIFY METHOD")))</f>
        <v>Mesocentrotus franciscanus</v>
      </c>
      <c r="R370" s="21" t="str">
        <f>IF($M370=1,IF(ISERROR(VLOOKUP($P370,'M1'!$A:$C,R$2,FALSE)),"NOT PRESENT",VLOOKUP($P370,'M1'!$A:$C,R$2,FALSE)),IF($M370=2,IF(ISERROR(VLOOKUP(DATA!$P370,'M2'!$A:$C,R$2,FALSE)),"NOT PRESENT",VLOOKUP(DATA!$P370,'M2'!$A:$C,R$2,FALSE)),IF($M370=0,IF(ISERROR(VLOOKUP($P370,'M1'!$A:$C,R$2,FALSE)),IF(ISERROR(VLOOKUP(DATA!$P370,'M2'!$A:$C,R$2,FALSE)),"NOT PRESENT",VLOOKUP(DATA!$P370,'M2'!$A:$C,R$2,FALSE)),VLOOKUP($P370,'M1'!$A:$C,R$2,FALSE)),"SPECIFY METHOD")))</f>
        <v>Red sea urchin</v>
      </c>
      <c r="S370" s="28">
        <f t="shared" si="500"/>
        <v>2</v>
      </c>
      <c r="T370" s="20">
        <v>0</v>
      </c>
      <c r="U370" s="20"/>
      <c r="V370" s="20"/>
      <c r="W370" s="20">
        <v>2</v>
      </c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</row>
    <row r="371" spans="1:68" ht="12.75" customHeight="1">
      <c r="A371" s="21">
        <f t="shared" si="497"/>
        <v>369</v>
      </c>
      <c r="B371" s="20" t="str">
        <f t="shared" ref="B371:D371" si="700">IF(ISERROR(B370),IF(ISERROR(B369),IF(ISERROR(B368),"BLANK",B368),B369),B370)</f>
        <v>Valesca de Groot</v>
      </c>
      <c r="C371" s="20" t="str">
        <f t="shared" si="700"/>
        <v>Em Lim</v>
      </c>
      <c r="D371" s="20" t="str">
        <f t="shared" si="700"/>
        <v>BMSC16</v>
      </c>
      <c r="E371" s="21" t="str">
        <f>IF(ISERROR(VLOOKUP($D371,SITES!$A:$E,2,FALSE)),"",VLOOKUP($D371,SITES!$A:$E,2,FALSE))</f>
        <v>Faber Islets</v>
      </c>
      <c r="F371" s="19">
        <f>IF(ISERROR(VLOOKUP($D371,SITES!$A:$E,3,FALSE)),"",VLOOKUP($D371,SITES!$A:$E,3,FALSE))</f>
        <v>48.890701293945298</v>
      </c>
      <c r="G371" s="22">
        <f>IF(ISERROR(VLOOKUP($D371,SITES!$A:$E,4,FALSE)),"",VLOOKUP($D371,SITES!$A:$E,4,FALSE))</f>
        <v>-125.300498962402</v>
      </c>
      <c r="H371" s="23">
        <f t="shared" ref="H371:N371" si="701">IF(ISERROR(H370),IF(ISERROR(H369),IF(ISERROR(H368),"BLANK",H368),H369),H370)</f>
        <v>45414</v>
      </c>
      <c r="I371" s="20">
        <f t="shared" si="701"/>
        <v>3</v>
      </c>
      <c r="J371" s="20" t="str">
        <f t="shared" si="701"/>
        <v>SW</v>
      </c>
      <c r="K371" s="27">
        <f t="shared" si="701"/>
        <v>0.48541666666666666</v>
      </c>
      <c r="L371" s="20">
        <f t="shared" si="701"/>
        <v>7.5</v>
      </c>
      <c r="M371" s="20">
        <f t="shared" si="701"/>
        <v>2</v>
      </c>
      <c r="N371" s="20">
        <f t="shared" si="701"/>
        <v>2</v>
      </c>
      <c r="O371" s="20">
        <v>24</v>
      </c>
      <c r="P371" s="20" t="str">
        <f>IF(ISERROR(P370),IF(ISERROR(P369),IF(ISERROR(P368),"BLANK",P368),P369),P370)</f>
        <v>mfra</v>
      </c>
      <c r="Q371" s="21" t="str">
        <f>IF($M371=1,IF(ISERROR(VLOOKUP($P371,'M1'!$A:$C,Q$2,FALSE)),"NOT PRESENT",VLOOKUP($P371,'M1'!$A:$C,Q$2,FALSE)),IF($M371=2,IF(ISERROR(VLOOKUP(DATA!$P371,'M2'!$A:$C,Q$2,FALSE)),"NOT PRESENT",VLOOKUP(DATA!$P371,'M2'!$A:$C,Q$2,FALSE)),IF($M371=0,IF(ISERROR(VLOOKUP($P371,'M1'!$A:$C,Q$2,FALSE)),IF(ISERROR(VLOOKUP(DATA!$P371,'M2'!$A:$C,Q$2,FALSE)),"NOT PRESENT",VLOOKUP(DATA!$P371,'M2'!$A:$C,Q$2,FALSE)),VLOOKUP($P371,'M1'!$A:$C,Q$2,FALSE)),"SPECIFY METHOD")))</f>
        <v>Mesocentrotus franciscanus</v>
      </c>
      <c r="R371" s="21" t="str">
        <f>IF($M371=1,IF(ISERROR(VLOOKUP($P371,'M1'!$A:$C,R$2,FALSE)),"NOT PRESENT",VLOOKUP($P371,'M1'!$A:$C,R$2,FALSE)),IF($M371=2,IF(ISERROR(VLOOKUP(DATA!$P371,'M2'!$A:$C,R$2,FALSE)),"NOT PRESENT",VLOOKUP(DATA!$P371,'M2'!$A:$C,R$2,FALSE)),IF($M371=0,IF(ISERROR(VLOOKUP($P371,'M1'!$A:$C,R$2,FALSE)),IF(ISERROR(VLOOKUP(DATA!$P371,'M2'!$A:$C,R$2,FALSE)),"NOT PRESENT",VLOOKUP(DATA!$P371,'M2'!$A:$C,R$2,FALSE)),VLOOKUP($P371,'M1'!$A:$C,R$2,FALSE)),"SPECIFY METHOD")))</f>
        <v>Red sea urchin</v>
      </c>
      <c r="S371" s="28">
        <f t="shared" si="500"/>
        <v>5</v>
      </c>
      <c r="T371" s="20">
        <v>0</v>
      </c>
      <c r="U371" s="20">
        <v>4</v>
      </c>
      <c r="V371" s="20">
        <v>1</v>
      </c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</row>
    <row r="372" spans="1:68" ht="12.75" customHeight="1">
      <c r="A372" s="21">
        <f t="shared" si="497"/>
        <v>370</v>
      </c>
      <c r="B372" s="20" t="str">
        <f t="shared" ref="B372:D372" si="702">IF(ISERROR(B371),IF(ISERROR(B370),IF(ISERROR(B369),"BLANK",B369),B370),B371)</f>
        <v>Valesca de Groot</v>
      </c>
      <c r="C372" s="20" t="str">
        <f t="shared" si="702"/>
        <v>Em Lim</v>
      </c>
      <c r="D372" s="20" t="str">
        <f t="shared" si="702"/>
        <v>BMSC16</v>
      </c>
      <c r="E372" s="21" t="str">
        <f>IF(ISERROR(VLOOKUP($D372,SITES!$A:$E,2,FALSE)),"",VLOOKUP($D372,SITES!$A:$E,2,FALSE))</f>
        <v>Faber Islets</v>
      </c>
      <c r="F372" s="19">
        <f>IF(ISERROR(VLOOKUP($D372,SITES!$A:$E,3,FALSE)),"",VLOOKUP($D372,SITES!$A:$E,3,FALSE))</f>
        <v>48.890701293945298</v>
      </c>
      <c r="G372" s="22">
        <f>IF(ISERROR(VLOOKUP($D372,SITES!$A:$E,4,FALSE)),"",VLOOKUP($D372,SITES!$A:$E,4,FALSE))</f>
        <v>-125.300498962402</v>
      </c>
      <c r="H372" s="23">
        <f t="shared" ref="H372:N372" si="703">IF(ISERROR(H371),IF(ISERROR(H370),IF(ISERROR(H369),"BLANK",H369),H370),H371)</f>
        <v>45414</v>
      </c>
      <c r="I372" s="20">
        <f t="shared" si="703"/>
        <v>3</v>
      </c>
      <c r="J372" s="20" t="str">
        <f t="shared" si="703"/>
        <v>SW</v>
      </c>
      <c r="K372" s="27">
        <f t="shared" si="703"/>
        <v>0.48541666666666666</v>
      </c>
      <c r="L372" s="20">
        <f t="shared" si="703"/>
        <v>7.5</v>
      </c>
      <c r="M372" s="20">
        <f t="shared" si="703"/>
        <v>2</v>
      </c>
      <c r="N372" s="20">
        <f t="shared" si="703"/>
        <v>2</v>
      </c>
      <c r="O372" s="20">
        <v>24</v>
      </c>
      <c r="P372" s="20" t="s">
        <v>62</v>
      </c>
      <c r="Q372" s="21" t="str">
        <f>IF($M372=1,IF(ISERROR(VLOOKUP($P372,'M1'!$A:$C,Q$2,FALSE)),"NOT PRESENT",VLOOKUP($P372,'M1'!$A:$C,Q$2,FALSE)),IF($M372=2,IF(ISERROR(VLOOKUP(DATA!$P372,'M2'!$A:$C,Q$2,FALSE)),"NOT PRESENT",VLOOKUP(DATA!$P372,'M2'!$A:$C,Q$2,FALSE)),IF($M372=0,IF(ISERROR(VLOOKUP($P372,'M1'!$A:$C,Q$2,FALSE)),IF(ISERROR(VLOOKUP(DATA!$P372,'M2'!$A:$C,Q$2,FALSE)),"NOT PRESENT",VLOOKUP(DATA!$P372,'M2'!$A:$C,Q$2,FALSE)),VLOOKUP($P372,'M1'!$A:$C,Q$2,FALSE)),"SPECIFY METHOD")))</f>
        <v>Strongylocentrotus droebachiensis</v>
      </c>
      <c r="R372" s="21" t="str">
        <f>IF($M372=1,IF(ISERROR(VLOOKUP($P372,'M1'!$A:$C,R$2,FALSE)),"NOT PRESENT",VLOOKUP($P372,'M1'!$A:$C,R$2,FALSE)),IF($M372=2,IF(ISERROR(VLOOKUP(DATA!$P372,'M2'!$A:$C,R$2,FALSE)),"NOT PRESENT",VLOOKUP(DATA!$P372,'M2'!$A:$C,R$2,FALSE)),IF($M372=0,IF(ISERROR(VLOOKUP($P372,'M1'!$A:$C,R$2,FALSE)),IF(ISERROR(VLOOKUP(DATA!$P372,'M2'!$A:$C,R$2,FALSE)),"NOT PRESENT",VLOOKUP(DATA!$P372,'M2'!$A:$C,R$2,FALSE)),VLOOKUP($P372,'M1'!$A:$C,R$2,FALSE)),"SPECIFY METHOD")))</f>
        <v>Northern sea urchin</v>
      </c>
      <c r="S372" s="28">
        <f t="shared" si="500"/>
        <v>1</v>
      </c>
      <c r="T372" s="20">
        <v>0</v>
      </c>
      <c r="U372" s="20">
        <v>1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</row>
    <row r="373" spans="1:68" ht="12.75" customHeight="1">
      <c r="A373" s="21">
        <f t="shared" si="497"/>
        <v>371</v>
      </c>
      <c r="B373" s="20" t="str">
        <f t="shared" ref="B373:D373" si="704">IF(ISERROR(B372),IF(ISERROR(B371),IF(ISERROR(B370),"BLANK",B370),B371),B372)</f>
        <v>Valesca de Groot</v>
      </c>
      <c r="C373" s="20" t="str">
        <f t="shared" si="704"/>
        <v>Em Lim</v>
      </c>
      <c r="D373" s="20" t="str">
        <f t="shared" si="704"/>
        <v>BMSC16</v>
      </c>
      <c r="E373" s="21" t="str">
        <f>IF(ISERROR(VLOOKUP($D373,SITES!$A:$E,2,FALSE)),"",VLOOKUP($D373,SITES!$A:$E,2,FALSE))</f>
        <v>Faber Islets</v>
      </c>
      <c r="F373" s="19">
        <f>IF(ISERROR(VLOOKUP($D373,SITES!$A:$E,3,FALSE)),"",VLOOKUP($D373,SITES!$A:$E,3,FALSE))</f>
        <v>48.890701293945298</v>
      </c>
      <c r="G373" s="22">
        <f>IF(ISERROR(VLOOKUP($D373,SITES!$A:$E,4,FALSE)),"",VLOOKUP($D373,SITES!$A:$E,4,FALSE))</f>
        <v>-125.300498962402</v>
      </c>
      <c r="H373" s="23">
        <f t="shared" ref="H373:N373" si="705">IF(ISERROR(H372),IF(ISERROR(H371),IF(ISERROR(H370),"BLANK",H370),H371),H372)</f>
        <v>45414</v>
      </c>
      <c r="I373" s="20">
        <f t="shared" si="705"/>
        <v>3</v>
      </c>
      <c r="J373" s="20" t="str">
        <f t="shared" si="705"/>
        <v>SW</v>
      </c>
      <c r="K373" s="27">
        <f t="shared" si="705"/>
        <v>0.48541666666666666</v>
      </c>
      <c r="L373" s="20">
        <f t="shared" si="705"/>
        <v>7.5</v>
      </c>
      <c r="M373" s="20">
        <f t="shared" si="705"/>
        <v>2</v>
      </c>
      <c r="N373" s="20">
        <f t="shared" si="705"/>
        <v>2</v>
      </c>
      <c r="O373" s="20">
        <v>24</v>
      </c>
      <c r="P373" s="20" t="s">
        <v>39</v>
      </c>
      <c r="Q373" s="21" t="str">
        <f>IF($M373=1,IF(ISERROR(VLOOKUP($P373,'M1'!$A:$C,Q$2,FALSE)),"NOT PRESENT",VLOOKUP($P373,'M1'!$A:$C,Q$2,FALSE)),IF($M373=2,IF(ISERROR(VLOOKUP(DATA!$P373,'M2'!$A:$C,Q$2,FALSE)),"NOT PRESENT",VLOOKUP(DATA!$P373,'M2'!$A:$C,Q$2,FALSE)),IF($M373=0,IF(ISERROR(VLOOKUP($P373,'M1'!$A:$C,Q$2,FALSE)),IF(ISERROR(VLOOKUP(DATA!$P373,'M2'!$A:$C,Q$2,FALSE)),"NOT PRESENT",VLOOKUP(DATA!$P373,'M2'!$A:$C,Q$2,FALSE)),VLOOKUP($P373,'M1'!$A:$C,Q$2,FALSE)),"SPECIFY METHOD")))</f>
        <v>Dermasterias imbricata</v>
      </c>
      <c r="R373" s="21" t="str">
        <f>IF($M373=1,IF(ISERROR(VLOOKUP($P373,'M1'!$A:$C,R$2,FALSE)),"NOT PRESENT",VLOOKUP($P373,'M1'!$A:$C,R$2,FALSE)),IF($M373=2,IF(ISERROR(VLOOKUP(DATA!$P373,'M2'!$A:$C,R$2,FALSE)),"NOT PRESENT",VLOOKUP(DATA!$P373,'M2'!$A:$C,R$2,FALSE)),IF($M373=0,IF(ISERROR(VLOOKUP($P373,'M1'!$A:$C,R$2,FALSE)),IF(ISERROR(VLOOKUP(DATA!$P373,'M2'!$A:$C,R$2,FALSE)),"NOT PRESENT",VLOOKUP(DATA!$P373,'M2'!$A:$C,R$2,FALSE)),VLOOKUP($P373,'M1'!$A:$C,R$2,FALSE)),"SPECIFY METHOD")))</f>
        <v>Leather star</v>
      </c>
      <c r="S373" s="28">
        <f t="shared" si="500"/>
        <v>1</v>
      </c>
      <c r="T373" s="20">
        <v>0</v>
      </c>
      <c r="U373" s="20"/>
      <c r="V373" s="20"/>
      <c r="W373" s="20"/>
      <c r="X373" s="20">
        <v>1</v>
      </c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</row>
    <row r="374" spans="1:68" ht="12.75" customHeight="1">
      <c r="A374" s="21">
        <f t="shared" si="497"/>
        <v>372</v>
      </c>
      <c r="B374" s="20" t="str">
        <f t="shared" ref="B374:D374" si="706">IF(ISERROR(B373),IF(ISERROR(B372),IF(ISERROR(B371),"BLANK",B371),B372),B373)</f>
        <v>Valesca de Groot</v>
      </c>
      <c r="C374" s="20" t="str">
        <f t="shared" si="706"/>
        <v>Em Lim</v>
      </c>
      <c r="D374" s="20" t="str">
        <f t="shared" si="706"/>
        <v>BMSC16</v>
      </c>
      <c r="E374" s="21" t="str">
        <f>IF(ISERROR(VLOOKUP($D374,SITES!$A:$E,2,FALSE)),"",VLOOKUP($D374,SITES!$A:$E,2,FALSE))</f>
        <v>Faber Islets</v>
      </c>
      <c r="F374" s="19">
        <f>IF(ISERROR(VLOOKUP($D374,SITES!$A:$E,3,FALSE)),"",VLOOKUP($D374,SITES!$A:$E,3,FALSE))</f>
        <v>48.890701293945298</v>
      </c>
      <c r="G374" s="22">
        <f>IF(ISERROR(VLOOKUP($D374,SITES!$A:$E,4,FALSE)),"",VLOOKUP($D374,SITES!$A:$E,4,FALSE))</f>
        <v>-125.300498962402</v>
      </c>
      <c r="H374" s="23">
        <f t="shared" ref="H374:N374" si="707">IF(ISERROR(H373),IF(ISERROR(H372),IF(ISERROR(H371),"BLANK",H371),H372),H373)</f>
        <v>45414</v>
      </c>
      <c r="I374" s="20">
        <f t="shared" si="707"/>
        <v>3</v>
      </c>
      <c r="J374" s="20" t="str">
        <f t="shared" si="707"/>
        <v>SW</v>
      </c>
      <c r="K374" s="27">
        <f t="shared" si="707"/>
        <v>0.48541666666666666</v>
      </c>
      <c r="L374" s="20">
        <f t="shared" si="707"/>
        <v>7.5</v>
      </c>
      <c r="M374" s="20">
        <f t="shared" si="707"/>
        <v>2</v>
      </c>
      <c r="N374" s="20">
        <f t="shared" si="707"/>
        <v>2</v>
      </c>
      <c r="O374" s="20">
        <v>40</v>
      </c>
      <c r="P374" s="20" t="s">
        <v>41</v>
      </c>
      <c r="Q374" s="21" t="str">
        <f>IF($M374=1,IF(ISERROR(VLOOKUP($P374,'M1'!$A:$C,Q$2,FALSE)),"NOT PRESENT",VLOOKUP($P374,'M1'!$A:$C,Q$2,FALSE)),IF($M374=2,IF(ISERROR(VLOOKUP(DATA!$P374,'M2'!$A:$C,Q$2,FALSE)),"NOT PRESENT",VLOOKUP(DATA!$P374,'M2'!$A:$C,Q$2,FALSE)),IF($M374=0,IF(ISERROR(VLOOKUP($P374,'M1'!$A:$C,Q$2,FALSE)),IF(ISERROR(VLOOKUP(DATA!$P374,'M2'!$A:$C,Q$2,FALSE)),"NOT PRESENT",VLOOKUP(DATA!$P374,'M2'!$A:$C,Q$2,FALSE)),VLOOKUP($P374,'M1'!$A:$C,Q$2,FALSE)),"SPECIFY METHOD")))</f>
        <v>Mesocentrotus franciscanus</v>
      </c>
      <c r="R374" s="21" t="str">
        <f>IF($M374=1,IF(ISERROR(VLOOKUP($P374,'M1'!$A:$C,R$2,FALSE)),"NOT PRESENT",VLOOKUP($P374,'M1'!$A:$C,R$2,FALSE)),IF($M374=2,IF(ISERROR(VLOOKUP(DATA!$P374,'M2'!$A:$C,R$2,FALSE)),"NOT PRESENT",VLOOKUP(DATA!$P374,'M2'!$A:$C,R$2,FALSE)),IF($M374=0,IF(ISERROR(VLOOKUP($P374,'M1'!$A:$C,R$2,FALSE)),IF(ISERROR(VLOOKUP(DATA!$P374,'M2'!$A:$C,R$2,FALSE)),"NOT PRESENT",VLOOKUP(DATA!$P374,'M2'!$A:$C,R$2,FALSE)),VLOOKUP($P374,'M1'!$A:$C,R$2,FALSE)),"SPECIFY METHOD")))</f>
        <v>Red sea urchin</v>
      </c>
      <c r="S374" s="28">
        <f t="shared" si="500"/>
        <v>5</v>
      </c>
      <c r="T374" s="20">
        <v>0</v>
      </c>
      <c r="U374" s="20">
        <v>2</v>
      </c>
      <c r="V374" s="20">
        <v>3</v>
      </c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</row>
    <row r="375" spans="1:68" ht="12.75" customHeight="1">
      <c r="A375" s="21">
        <f t="shared" si="497"/>
        <v>373</v>
      </c>
      <c r="B375" s="20" t="str">
        <f t="shared" ref="B375:D375" si="708">IF(ISERROR(B374),IF(ISERROR(B373),IF(ISERROR(B372),"BLANK",B372),B373),B374)</f>
        <v>Valesca de Groot</v>
      </c>
      <c r="C375" s="20" t="str">
        <f t="shared" si="708"/>
        <v>Em Lim</v>
      </c>
      <c r="D375" s="20" t="str">
        <f t="shared" si="708"/>
        <v>BMSC16</v>
      </c>
      <c r="E375" s="21" t="str">
        <f>IF(ISERROR(VLOOKUP($D375,SITES!$A:$E,2,FALSE)),"",VLOOKUP($D375,SITES!$A:$E,2,FALSE))</f>
        <v>Faber Islets</v>
      </c>
      <c r="F375" s="19">
        <f>IF(ISERROR(VLOOKUP($D375,SITES!$A:$E,3,FALSE)),"",VLOOKUP($D375,SITES!$A:$E,3,FALSE))</f>
        <v>48.890701293945298</v>
      </c>
      <c r="G375" s="22">
        <f>IF(ISERROR(VLOOKUP($D375,SITES!$A:$E,4,FALSE)),"",VLOOKUP($D375,SITES!$A:$E,4,FALSE))</f>
        <v>-125.300498962402</v>
      </c>
      <c r="H375" s="23">
        <f t="shared" ref="H375:N375" si="709">IF(ISERROR(H374),IF(ISERROR(H373),IF(ISERROR(H372),"BLANK",H372),H373),H374)</f>
        <v>45414</v>
      </c>
      <c r="I375" s="20">
        <f t="shared" si="709"/>
        <v>3</v>
      </c>
      <c r="J375" s="20" t="str">
        <f t="shared" si="709"/>
        <v>SW</v>
      </c>
      <c r="K375" s="27">
        <f t="shared" si="709"/>
        <v>0.48541666666666666</v>
      </c>
      <c r="L375" s="20">
        <f t="shared" si="709"/>
        <v>7.5</v>
      </c>
      <c r="M375" s="20">
        <f t="shared" si="709"/>
        <v>2</v>
      </c>
      <c r="N375" s="20">
        <f t="shared" si="709"/>
        <v>2</v>
      </c>
      <c r="O375" s="20">
        <v>40</v>
      </c>
      <c r="P375" s="20" t="s">
        <v>62</v>
      </c>
      <c r="Q375" s="21" t="str">
        <f>IF($M375=1,IF(ISERROR(VLOOKUP($P375,'M1'!$A:$C,Q$2,FALSE)),"NOT PRESENT",VLOOKUP($P375,'M1'!$A:$C,Q$2,FALSE)),IF($M375=2,IF(ISERROR(VLOOKUP(DATA!$P375,'M2'!$A:$C,Q$2,FALSE)),"NOT PRESENT",VLOOKUP(DATA!$P375,'M2'!$A:$C,Q$2,FALSE)),IF($M375=0,IF(ISERROR(VLOOKUP($P375,'M1'!$A:$C,Q$2,FALSE)),IF(ISERROR(VLOOKUP(DATA!$P375,'M2'!$A:$C,Q$2,FALSE)),"NOT PRESENT",VLOOKUP(DATA!$P375,'M2'!$A:$C,Q$2,FALSE)),VLOOKUP($P375,'M1'!$A:$C,Q$2,FALSE)),"SPECIFY METHOD")))</f>
        <v>Strongylocentrotus droebachiensis</v>
      </c>
      <c r="R375" s="21" t="str">
        <f>IF($M375=1,IF(ISERROR(VLOOKUP($P375,'M1'!$A:$C,R$2,FALSE)),"NOT PRESENT",VLOOKUP($P375,'M1'!$A:$C,R$2,FALSE)),IF($M375=2,IF(ISERROR(VLOOKUP(DATA!$P375,'M2'!$A:$C,R$2,FALSE)),"NOT PRESENT",VLOOKUP(DATA!$P375,'M2'!$A:$C,R$2,FALSE)),IF($M375=0,IF(ISERROR(VLOOKUP($P375,'M1'!$A:$C,R$2,FALSE)),IF(ISERROR(VLOOKUP(DATA!$P375,'M2'!$A:$C,R$2,FALSE)),"NOT PRESENT",VLOOKUP(DATA!$P375,'M2'!$A:$C,R$2,FALSE)),VLOOKUP($P375,'M1'!$A:$C,R$2,FALSE)),"SPECIFY METHOD")))</f>
        <v>Northern sea urchin</v>
      </c>
      <c r="S375" s="28">
        <f t="shared" si="500"/>
        <v>2</v>
      </c>
      <c r="T375" s="20">
        <v>0</v>
      </c>
      <c r="U375" s="20">
        <v>1</v>
      </c>
      <c r="V375" s="20">
        <v>1</v>
      </c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</row>
    <row r="376" spans="1:68" ht="12.75" customHeight="1">
      <c r="A376" s="21">
        <f t="shared" si="497"/>
        <v>374</v>
      </c>
      <c r="B376" s="20" t="str">
        <f t="shared" ref="B376:D376" si="710">IF(ISERROR(B375),IF(ISERROR(B374),IF(ISERROR(B373),"BLANK",B373),B374),B375)</f>
        <v>Valesca de Groot</v>
      </c>
      <c r="C376" s="20" t="str">
        <f t="shared" si="710"/>
        <v>Em Lim</v>
      </c>
      <c r="D376" s="20" t="str">
        <f t="shared" si="710"/>
        <v>BMSC16</v>
      </c>
      <c r="E376" s="21" t="str">
        <f>IF(ISERROR(VLOOKUP($D376,SITES!$A:$E,2,FALSE)),"",VLOOKUP($D376,SITES!$A:$E,2,FALSE))</f>
        <v>Faber Islets</v>
      </c>
      <c r="F376" s="19">
        <f>IF(ISERROR(VLOOKUP($D376,SITES!$A:$E,3,FALSE)),"",VLOOKUP($D376,SITES!$A:$E,3,FALSE))</f>
        <v>48.890701293945298</v>
      </c>
      <c r="G376" s="22">
        <f>IF(ISERROR(VLOOKUP($D376,SITES!$A:$E,4,FALSE)),"",VLOOKUP($D376,SITES!$A:$E,4,FALSE))</f>
        <v>-125.300498962402</v>
      </c>
      <c r="H376" s="23">
        <f t="shared" ref="H376:N376" si="711">IF(ISERROR(H375),IF(ISERROR(H374),IF(ISERROR(H373),"BLANK",H373),H374),H375)</f>
        <v>45414</v>
      </c>
      <c r="I376" s="20">
        <f t="shared" si="711"/>
        <v>3</v>
      </c>
      <c r="J376" s="20" t="str">
        <f t="shared" si="711"/>
        <v>SW</v>
      </c>
      <c r="K376" s="27">
        <f t="shared" si="711"/>
        <v>0.48541666666666666</v>
      </c>
      <c r="L376" s="20">
        <f t="shared" si="711"/>
        <v>7.5</v>
      </c>
      <c r="M376" s="20">
        <f t="shared" si="711"/>
        <v>2</v>
      </c>
      <c r="N376" s="20">
        <f t="shared" si="711"/>
        <v>2</v>
      </c>
      <c r="O376" s="20">
        <v>40</v>
      </c>
      <c r="P376" s="20" t="s">
        <v>78</v>
      </c>
      <c r="Q376" s="21" t="str">
        <f>IF($M376=1,IF(ISERROR(VLOOKUP($P376,'M1'!$A:$C,Q$2,FALSE)),"NOT PRESENT",VLOOKUP($P376,'M1'!$A:$C,Q$2,FALSE)),IF($M376=2,IF(ISERROR(VLOOKUP(DATA!$P376,'M2'!$A:$C,Q$2,FALSE)),"NOT PRESENT",VLOOKUP(DATA!$P376,'M2'!$A:$C,Q$2,FALSE)),IF($M376=0,IF(ISERROR(VLOOKUP($P376,'M1'!$A:$C,Q$2,FALSE)),IF(ISERROR(VLOOKUP(DATA!$P376,'M2'!$A:$C,Q$2,FALSE)),"NOT PRESENT",VLOOKUP(DATA!$P376,'M2'!$A:$C,Q$2,FALSE)),VLOOKUP($P376,'M1'!$A:$C,Q$2,FALSE)),"SPECIFY METHOD")))</f>
        <v>Henricia sp.</v>
      </c>
      <c r="R376" s="21" t="str">
        <f>IF($M376=1,IF(ISERROR(VLOOKUP($P376,'M1'!$A:$C,R$2,FALSE)),"NOT PRESENT",VLOOKUP($P376,'M1'!$A:$C,R$2,FALSE)),IF($M376=2,IF(ISERROR(VLOOKUP(DATA!$P376,'M2'!$A:$C,R$2,FALSE)),"NOT PRESENT",VLOOKUP(DATA!$P376,'M2'!$A:$C,R$2,FALSE)),IF($M376=0,IF(ISERROR(VLOOKUP($P376,'M1'!$A:$C,R$2,FALSE)),IF(ISERROR(VLOOKUP(DATA!$P376,'M2'!$A:$C,R$2,FALSE)),"NOT PRESENT",VLOOKUP(DATA!$P376,'M2'!$A:$C,R$2,FALSE)),VLOOKUP($P376,'M1'!$A:$C,R$2,FALSE)),"SPECIFY METHOD")))</f>
        <v>Unidentified blood star</v>
      </c>
      <c r="S376" s="28">
        <f t="shared" si="500"/>
        <v>1</v>
      </c>
      <c r="T376" s="20">
        <v>0</v>
      </c>
      <c r="U376" s="20"/>
      <c r="V376" s="20"/>
      <c r="W376" s="20"/>
      <c r="X376" s="20">
        <v>1</v>
      </c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</row>
    <row r="377" spans="1:68" ht="12.75" customHeight="1">
      <c r="A377" s="21">
        <f t="shared" si="497"/>
        <v>375</v>
      </c>
      <c r="B377" s="20" t="s">
        <v>35</v>
      </c>
      <c r="C377" s="20" t="s">
        <v>75</v>
      </c>
      <c r="D377" s="20" t="s">
        <v>87</v>
      </c>
      <c r="E377" s="21" t="str">
        <f>IF(ISERROR(VLOOKUP($D377,SITES!$A:$E,2,FALSE)),"",VLOOKUP($D377,SITES!$A:$E,2,FALSE))</f>
        <v>San Jose North Island</v>
      </c>
      <c r="F377" s="19">
        <f>IF(ISERROR(VLOOKUP($D377,SITES!$A:$E,3,FALSE)),"",VLOOKUP($D377,SITES!$A:$E,3,FALSE))</f>
        <v>48.901183000000003</v>
      </c>
      <c r="G377" s="22">
        <f>IF(ISERROR(VLOOKUP($D377,SITES!$A:$E,4,FALSE)),"",VLOOKUP($D377,SITES!$A:$E,4,FALSE))</f>
        <v>-125.060433</v>
      </c>
      <c r="H377" s="23">
        <v>45415</v>
      </c>
      <c r="I377" s="20">
        <v>3</v>
      </c>
      <c r="J377" s="20" t="s">
        <v>27</v>
      </c>
      <c r="K377" s="27">
        <v>0.43402777777777779</v>
      </c>
      <c r="L377" s="20">
        <v>8.5</v>
      </c>
      <c r="M377" s="20">
        <v>2</v>
      </c>
      <c r="N377" s="20">
        <v>1</v>
      </c>
      <c r="O377" s="20">
        <v>48</v>
      </c>
      <c r="P377" s="2" t="s">
        <v>41</v>
      </c>
      <c r="Q377" s="21" t="str">
        <f>IF($M377=1,IF(ISERROR(VLOOKUP($P380,'M1'!$A:$C,Q$2,FALSE)),"NOT PRESENT",VLOOKUP($P380,'M1'!$A:$C,Q$2,FALSE)),IF($M377=2,IF(ISERROR(VLOOKUP(DATA!$P380,'M2'!$A:$C,Q$2,FALSE)),"NOT PRESENT",VLOOKUP(DATA!$P380,'M2'!$A:$C,Q$2,FALSE)),IF($M377=0,IF(ISERROR(VLOOKUP($P380,'M1'!$A:$C,Q$2,FALSE)),IF(ISERROR(VLOOKUP(DATA!$P380,'M2'!$A:$C,Q$2,FALSE)),"NOT PRESENT",VLOOKUP(DATA!$P380,'M2'!$A:$C,Q$2,FALSE)),VLOOKUP($P380,'M1'!$A:$C,Q$2,FALSE)),"SPECIFY METHOD")))</f>
        <v>Mesocentrotus franciscanus</v>
      </c>
      <c r="R377" s="21" t="str">
        <f>IF($M377=1,IF(ISERROR(VLOOKUP($P380,'M1'!$A:$C,R$2,FALSE)),"NOT PRESENT",VLOOKUP($P380,'M1'!$A:$C,R$2,FALSE)),IF($M377=2,IF(ISERROR(VLOOKUP(DATA!$P380,'M2'!$A:$C,R$2,FALSE)),"NOT PRESENT",VLOOKUP(DATA!$P380,'M2'!$A:$C,R$2,FALSE)),IF($M377=0,IF(ISERROR(VLOOKUP($P380,'M1'!$A:$C,R$2,FALSE)),IF(ISERROR(VLOOKUP(DATA!$P380,'M2'!$A:$C,R$2,FALSE)),"NOT PRESENT",VLOOKUP(DATA!$P380,'M2'!$A:$C,R$2,FALSE)),VLOOKUP($P380,'M1'!$A:$C,R$2,FALSE)),"SPECIFY METHOD")))</f>
        <v>Red sea urchin</v>
      </c>
      <c r="S377" s="28">
        <f t="shared" si="500"/>
        <v>5</v>
      </c>
      <c r="T377" s="20">
        <v>0</v>
      </c>
      <c r="U377" s="20"/>
      <c r="V377" s="20"/>
      <c r="W377" s="20">
        <v>5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</row>
    <row r="378" spans="1:68" ht="12.75" customHeight="1">
      <c r="A378" s="21">
        <f t="shared" si="497"/>
        <v>376</v>
      </c>
      <c r="B378" s="20" t="str">
        <f t="shared" ref="B378:D378" si="712">IF(ISERROR(B377),IF(ISERROR(B376),IF(ISERROR(B375),"BLANK",B375),B376),B377)</f>
        <v>Em Lim</v>
      </c>
      <c r="C378" s="20" t="str">
        <f t="shared" si="712"/>
        <v>Valesca de Groot</v>
      </c>
      <c r="D378" s="20" t="str">
        <f t="shared" si="712"/>
        <v>BMSC27</v>
      </c>
      <c r="E378" s="21" t="str">
        <f>IF(ISERROR(VLOOKUP($D378,SITES!$A:$E,2,FALSE)),"",VLOOKUP($D378,SITES!$A:$E,2,FALSE))</f>
        <v>San Jose North Island</v>
      </c>
      <c r="F378" s="19">
        <f>IF(ISERROR(VLOOKUP($D378,SITES!$A:$E,3,FALSE)),"",VLOOKUP($D378,SITES!$A:$E,3,FALSE))</f>
        <v>48.901183000000003</v>
      </c>
      <c r="G378" s="22">
        <f>IF(ISERROR(VLOOKUP($D378,SITES!$A:$E,4,FALSE)),"",VLOOKUP($D378,SITES!$A:$E,4,FALSE))</f>
        <v>-125.060433</v>
      </c>
      <c r="H378" s="23">
        <f t="shared" ref="H378:M378" si="713">IF(ISERROR(H377),IF(ISERROR(H376),IF(ISERROR(H375),"BLANK",H375),H376),H377)</f>
        <v>45415</v>
      </c>
      <c r="I378" s="20">
        <f t="shared" si="713"/>
        <v>3</v>
      </c>
      <c r="J378" s="20" t="str">
        <f t="shared" si="713"/>
        <v>NW</v>
      </c>
      <c r="K378" s="27">
        <f t="shared" si="713"/>
        <v>0.43402777777777779</v>
      </c>
      <c r="L378" s="20">
        <f t="shared" si="713"/>
        <v>8.5</v>
      </c>
      <c r="M378" s="20">
        <f t="shared" si="713"/>
        <v>2</v>
      </c>
      <c r="N378" s="20">
        <v>2</v>
      </c>
      <c r="O378" s="20">
        <v>40</v>
      </c>
      <c r="P378" s="2" t="s">
        <v>41</v>
      </c>
      <c r="Q378" s="21" t="str">
        <f>IF($M378=1,IF(ISERROR(VLOOKUP($P378,'M1'!$A:$C,Q$2,FALSE)),"NOT PRESENT",VLOOKUP($P378,'M1'!$A:$C,Q$2,FALSE)),IF($M378=2,IF(ISERROR(VLOOKUP(DATA!$P378,'M2'!$A:$C,Q$2,FALSE)),"NOT PRESENT",VLOOKUP(DATA!$P378,'M2'!$A:$C,Q$2,FALSE)),IF($M378=0,IF(ISERROR(VLOOKUP($P378,'M1'!$A:$C,Q$2,FALSE)),IF(ISERROR(VLOOKUP(DATA!$P378,'M2'!$A:$C,Q$2,FALSE)),"NOT PRESENT",VLOOKUP(DATA!$P378,'M2'!$A:$C,Q$2,FALSE)),VLOOKUP($P378,'M1'!$A:$C,Q$2,FALSE)),"SPECIFY METHOD")))</f>
        <v>Mesocentrotus franciscanus</v>
      </c>
      <c r="R378" s="21" t="str">
        <f>IF($M378=1,IF(ISERROR(VLOOKUP($P378,'M1'!$A:$C,R$2,FALSE)),"NOT PRESENT",VLOOKUP($P378,'M1'!$A:$C,R$2,FALSE)),IF($M378=2,IF(ISERROR(VLOOKUP(DATA!$P378,'M2'!$A:$C,R$2,FALSE)),"NOT PRESENT",VLOOKUP(DATA!$P378,'M2'!$A:$C,R$2,FALSE)),IF($M378=0,IF(ISERROR(VLOOKUP($P378,'M1'!$A:$C,R$2,FALSE)),IF(ISERROR(VLOOKUP(DATA!$P378,'M2'!$A:$C,R$2,FALSE)),"NOT PRESENT",VLOOKUP(DATA!$P378,'M2'!$A:$C,R$2,FALSE)),VLOOKUP($P378,'M1'!$A:$C,R$2,FALSE)),"SPECIFY METHOD")))</f>
        <v>Red sea urchin</v>
      </c>
      <c r="S378" s="28">
        <f t="shared" si="500"/>
        <v>3</v>
      </c>
      <c r="T378" s="20">
        <v>0</v>
      </c>
      <c r="U378" s="20"/>
      <c r="V378" s="20"/>
      <c r="W378" s="20">
        <v>3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</row>
    <row r="379" spans="1:68" ht="12.75" customHeight="1">
      <c r="A379" s="21">
        <f t="shared" si="497"/>
        <v>377</v>
      </c>
      <c r="B379" s="20" t="str">
        <f t="shared" ref="B379:D379" si="714">IF(ISERROR(B378),IF(ISERROR(B377),IF(ISERROR(B376),"BLANK",B376),B377),B378)</f>
        <v>Em Lim</v>
      </c>
      <c r="C379" s="20" t="str">
        <f t="shared" si="714"/>
        <v>Valesca de Groot</v>
      </c>
      <c r="D379" s="20" t="str">
        <f t="shared" si="714"/>
        <v>BMSC27</v>
      </c>
      <c r="E379" s="21" t="str">
        <f>IF(ISERROR(VLOOKUP($D379,SITES!$A:$E,2,FALSE)),"",VLOOKUP($D379,SITES!$A:$E,2,FALSE))</f>
        <v>San Jose North Island</v>
      </c>
      <c r="F379" s="19">
        <f>IF(ISERROR(VLOOKUP($D379,SITES!$A:$E,3,FALSE)),"",VLOOKUP($D379,SITES!$A:$E,3,FALSE))</f>
        <v>48.901183000000003</v>
      </c>
      <c r="G379" s="22">
        <f>IF(ISERROR(VLOOKUP($D379,SITES!$A:$E,4,FALSE)),"",VLOOKUP($D379,SITES!$A:$E,4,FALSE))</f>
        <v>-125.060433</v>
      </c>
      <c r="H379" s="23">
        <f t="shared" ref="H379:M379" si="715">IF(ISERROR(H378),IF(ISERROR(H377),IF(ISERROR(H376),"BLANK",H376),H377),H378)</f>
        <v>45415</v>
      </c>
      <c r="I379" s="20">
        <f t="shared" si="715"/>
        <v>3</v>
      </c>
      <c r="J379" s="20" t="str">
        <f t="shared" si="715"/>
        <v>NW</v>
      </c>
      <c r="K379" s="27">
        <f t="shared" si="715"/>
        <v>0.43402777777777779</v>
      </c>
      <c r="L379" s="20">
        <f t="shared" si="715"/>
        <v>8.5</v>
      </c>
      <c r="M379" s="20">
        <f t="shared" si="715"/>
        <v>2</v>
      </c>
      <c r="N379" s="20">
        <v>1</v>
      </c>
      <c r="O379" s="20">
        <v>32</v>
      </c>
      <c r="P379" s="2" t="s">
        <v>41</v>
      </c>
      <c r="Q379" s="21" t="str">
        <f>IF($M379=1,IF(ISERROR(VLOOKUP($P379,'M1'!$A:$C,Q$2,FALSE)),"NOT PRESENT",VLOOKUP($P379,'M1'!$A:$C,Q$2,FALSE)),IF($M379=2,IF(ISERROR(VLOOKUP(DATA!$P379,'M2'!$A:$C,Q$2,FALSE)),"NOT PRESENT",VLOOKUP(DATA!$P379,'M2'!$A:$C,Q$2,FALSE)),IF($M379=0,IF(ISERROR(VLOOKUP($P379,'M1'!$A:$C,Q$2,FALSE)),IF(ISERROR(VLOOKUP(DATA!$P379,'M2'!$A:$C,Q$2,FALSE)),"NOT PRESENT",VLOOKUP(DATA!$P379,'M2'!$A:$C,Q$2,FALSE)),VLOOKUP($P379,'M1'!$A:$C,Q$2,FALSE)),"SPECIFY METHOD")))</f>
        <v>Mesocentrotus franciscanus</v>
      </c>
      <c r="R379" s="21" t="str">
        <f>IF($M379=1,IF(ISERROR(VLOOKUP($P379,'M1'!$A:$C,R$2,FALSE)),"NOT PRESENT",VLOOKUP($P379,'M1'!$A:$C,R$2,FALSE)),IF($M379=2,IF(ISERROR(VLOOKUP(DATA!$P379,'M2'!$A:$C,R$2,FALSE)),"NOT PRESENT",VLOOKUP(DATA!$P379,'M2'!$A:$C,R$2,FALSE)),IF($M379=0,IF(ISERROR(VLOOKUP($P379,'M1'!$A:$C,R$2,FALSE)),IF(ISERROR(VLOOKUP(DATA!$P379,'M2'!$A:$C,R$2,FALSE)),"NOT PRESENT",VLOOKUP(DATA!$P379,'M2'!$A:$C,R$2,FALSE)),VLOOKUP($P379,'M1'!$A:$C,R$2,FALSE)),"SPECIFY METHOD")))</f>
        <v>Red sea urchin</v>
      </c>
      <c r="S379" s="28">
        <f t="shared" si="500"/>
        <v>2</v>
      </c>
      <c r="T379" s="20">
        <v>0</v>
      </c>
      <c r="U379" s="20"/>
      <c r="V379" s="20"/>
      <c r="W379" s="20">
        <v>1</v>
      </c>
      <c r="X379" s="20">
        <v>1</v>
      </c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</row>
    <row r="380" spans="1:68" ht="12.75" customHeight="1">
      <c r="A380" s="21">
        <f t="shared" si="497"/>
        <v>378</v>
      </c>
      <c r="B380" s="20" t="str">
        <f t="shared" ref="B380:D380" si="716">IF(ISERROR(B379),IF(ISERROR(B378),IF(ISERROR(B377),"BLANK",B377),B378),B379)</f>
        <v>Em Lim</v>
      </c>
      <c r="C380" s="20" t="str">
        <f t="shared" si="716"/>
        <v>Valesca de Groot</v>
      </c>
      <c r="D380" s="20" t="str">
        <f t="shared" si="716"/>
        <v>BMSC27</v>
      </c>
      <c r="E380" s="21" t="str">
        <f>IF(ISERROR(VLOOKUP($D380,SITES!$A:$E,2,FALSE)),"",VLOOKUP($D380,SITES!$A:$E,2,FALSE))</f>
        <v>San Jose North Island</v>
      </c>
      <c r="F380" s="19">
        <f>IF(ISERROR(VLOOKUP($D380,SITES!$A:$E,3,FALSE)),"",VLOOKUP($D380,SITES!$A:$E,3,FALSE))</f>
        <v>48.901183000000003</v>
      </c>
      <c r="G380" s="22">
        <f>IF(ISERROR(VLOOKUP($D380,SITES!$A:$E,4,FALSE)),"",VLOOKUP($D380,SITES!$A:$E,4,FALSE))</f>
        <v>-125.060433</v>
      </c>
      <c r="H380" s="23">
        <f t="shared" ref="H380:M380" si="717">IF(ISERROR(H379),IF(ISERROR(H378),IF(ISERROR(H377),"BLANK",H377),H378),H379)</f>
        <v>45415</v>
      </c>
      <c r="I380" s="20">
        <f t="shared" si="717"/>
        <v>3</v>
      </c>
      <c r="J380" s="20" t="str">
        <f t="shared" si="717"/>
        <v>NW</v>
      </c>
      <c r="K380" s="27">
        <f t="shared" si="717"/>
        <v>0.43402777777777779</v>
      </c>
      <c r="L380" s="20">
        <f t="shared" si="717"/>
        <v>8.5</v>
      </c>
      <c r="M380" s="20">
        <f t="shared" si="717"/>
        <v>2</v>
      </c>
      <c r="N380" s="20">
        <v>2</v>
      </c>
      <c r="O380" s="20">
        <v>24</v>
      </c>
      <c r="P380" s="2" t="s">
        <v>41</v>
      </c>
      <c r="Q380" s="21" t="str">
        <f>IF($M380=1,IF(ISERROR(VLOOKUP(#REF!,'M1'!$A:$C,Q$2,FALSE)),"NOT PRESENT",VLOOKUP(#REF!,'M1'!$A:$C,Q$2,FALSE)),IF($M380=2,IF(ISERROR(VLOOKUP(#REF!,'M2'!$A:$C,Q$2,FALSE)),"NOT PRESENT",VLOOKUP(#REF!,'M2'!$A:$C,Q$2,FALSE)),IF($M380=0,IF(ISERROR(VLOOKUP(#REF!,'M1'!$A:$C,Q$2,FALSE)),IF(ISERROR(VLOOKUP(#REF!,'M2'!$A:$C,Q$2,FALSE)),"NOT PRESENT",VLOOKUP(#REF!,'M2'!$A:$C,Q$2,FALSE)),VLOOKUP(#REF!,'M1'!$A:$C,Q$2,FALSE)),"SPECIFY METHOD")))</f>
        <v>NOT PRESENT</v>
      </c>
      <c r="R380" s="21" t="str">
        <f>IF($M380=1,IF(ISERROR(VLOOKUP(#REF!,'M1'!$A:$C,R$2,FALSE)),"NOT PRESENT",VLOOKUP(#REF!,'M1'!$A:$C,R$2,FALSE)),IF($M380=2,IF(ISERROR(VLOOKUP(#REF!,'M2'!$A:$C,R$2,FALSE)),"NOT PRESENT",VLOOKUP(#REF!,'M2'!$A:$C,R$2,FALSE)),IF($M380=0,IF(ISERROR(VLOOKUP(#REF!,'M1'!$A:$C,R$2,FALSE)),IF(ISERROR(VLOOKUP(#REF!,'M2'!$A:$C,R$2,FALSE)),"NOT PRESENT",VLOOKUP(#REF!,'M2'!$A:$C,R$2,FALSE)),VLOOKUP(#REF!,'M1'!$A:$C,R$2,FALSE)),"SPECIFY METHOD")))</f>
        <v>NOT PRESENT</v>
      </c>
      <c r="S380" s="28">
        <f t="shared" si="500"/>
        <v>2</v>
      </c>
      <c r="T380" s="20">
        <v>0</v>
      </c>
      <c r="U380" s="20"/>
      <c r="V380" s="20">
        <v>1</v>
      </c>
      <c r="W380" s="20">
        <v>1</v>
      </c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</row>
    <row r="381" spans="1:68" ht="12.75" customHeight="1">
      <c r="A381" s="21">
        <f t="shared" si="497"/>
        <v>379</v>
      </c>
      <c r="B381" s="20" t="str">
        <f t="shared" ref="B381:D381" si="718">IF(ISERROR(B380),IF(ISERROR(B379),IF(ISERROR(B378),"BLANK",B378),B379),B380)</f>
        <v>Em Lim</v>
      </c>
      <c r="C381" s="20" t="str">
        <f t="shared" si="718"/>
        <v>Valesca de Groot</v>
      </c>
      <c r="D381" s="20" t="str">
        <f t="shared" si="718"/>
        <v>BMSC27</v>
      </c>
      <c r="E381" s="21" t="str">
        <f>IF(ISERROR(VLOOKUP($D381,SITES!$A:$E,2,FALSE)),"",VLOOKUP($D381,SITES!$A:$E,2,FALSE))</f>
        <v>San Jose North Island</v>
      </c>
      <c r="F381" s="19">
        <f>IF(ISERROR(VLOOKUP($D381,SITES!$A:$E,3,FALSE)),"",VLOOKUP($D381,SITES!$A:$E,3,FALSE))</f>
        <v>48.901183000000003</v>
      </c>
      <c r="G381" s="22">
        <f>IF(ISERROR(VLOOKUP($D381,SITES!$A:$E,4,FALSE)),"",VLOOKUP($D381,SITES!$A:$E,4,FALSE))</f>
        <v>-125.060433</v>
      </c>
      <c r="H381" s="23">
        <f t="shared" ref="H381:M381" si="719">IF(ISERROR(H380),IF(ISERROR(H379),IF(ISERROR(H378),"BLANK",H378),H379),H380)</f>
        <v>45415</v>
      </c>
      <c r="I381" s="20">
        <f t="shared" si="719"/>
        <v>3</v>
      </c>
      <c r="J381" s="20" t="str">
        <f t="shared" si="719"/>
        <v>NW</v>
      </c>
      <c r="K381" s="27">
        <f t="shared" si="719"/>
        <v>0.43402777777777779</v>
      </c>
      <c r="L381" s="20">
        <f t="shared" si="719"/>
        <v>8.5</v>
      </c>
      <c r="M381" s="20">
        <f t="shared" si="719"/>
        <v>2</v>
      </c>
      <c r="N381" s="20">
        <v>1</v>
      </c>
      <c r="O381" s="20">
        <v>16</v>
      </c>
      <c r="P381" s="2" t="s">
        <v>41</v>
      </c>
      <c r="Q381" s="21" t="str">
        <f>IF($M381=1,IF(ISERROR(VLOOKUP($P381,'M1'!$A:$C,Q$2,FALSE)),"NOT PRESENT",VLOOKUP($P381,'M1'!$A:$C,Q$2,FALSE)),IF($M381=2,IF(ISERROR(VLOOKUP(DATA!$P381,'M2'!$A:$C,Q$2,FALSE)),"NOT PRESENT",VLOOKUP(DATA!$P381,'M2'!$A:$C,Q$2,FALSE)),IF($M381=0,IF(ISERROR(VLOOKUP($P381,'M1'!$A:$C,Q$2,FALSE)),IF(ISERROR(VLOOKUP(DATA!$P381,'M2'!$A:$C,Q$2,FALSE)),"NOT PRESENT",VLOOKUP(DATA!$P381,'M2'!$A:$C,Q$2,FALSE)),VLOOKUP($P381,'M1'!$A:$C,Q$2,FALSE)),"SPECIFY METHOD")))</f>
        <v>Mesocentrotus franciscanus</v>
      </c>
      <c r="R381" s="21" t="str">
        <f>IF($M381=1,IF(ISERROR(VLOOKUP($P381,'M1'!$A:$C,R$2,FALSE)),"NOT PRESENT",VLOOKUP($P381,'M1'!$A:$C,R$2,FALSE)),IF($M381=2,IF(ISERROR(VLOOKUP(DATA!$P381,'M2'!$A:$C,R$2,FALSE)),"NOT PRESENT",VLOOKUP(DATA!$P381,'M2'!$A:$C,R$2,FALSE)),IF($M381=0,IF(ISERROR(VLOOKUP($P381,'M1'!$A:$C,R$2,FALSE)),IF(ISERROR(VLOOKUP(DATA!$P381,'M2'!$A:$C,R$2,FALSE)),"NOT PRESENT",VLOOKUP(DATA!$P381,'M2'!$A:$C,R$2,FALSE)),VLOOKUP($P381,'M1'!$A:$C,R$2,FALSE)),"SPECIFY METHOD")))</f>
        <v>Red sea urchin</v>
      </c>
      <c r="S381" s="28">
        <f t="shared" si="500"/>
        <v>4</v>
      </c>
      <c r="T381" s="20">
        <v>0</v>
      </c>
      <c r="U381" s="20"/>
      <c r="V381" s="20">
        <v>1</v>
      </c>
      <c r="W381" s="20">
        <v>1</v>
      </c>
      <c r="X381" s="20">
        <v>1</v>
      </c>
      <c r="Y381" s="20">
        <v>1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</row>
    <row r="382" spans="1:68" ht="12.75" customHeight="1">
      <c r="A382" s="21">
        <f t="shared" si="497"/>
        <v>380</v>
      </c>
      <c r="B382" s="20" t="str">
        <f t="shared" ref="B382:D382" si="720">IF(ISERROR(B381),IF(ISERROR(B380),IF(ISERROR(B379),"BLANK",B379),B380),B381)</f>
        <v>Em Lim</v>
      </c>
      <c r="C382" s="20" t="str">
        <f t="shared" si="720"/>
        <v>Valesca de Groot</v>
      </c>
      <c r="D382" s="20" t="str">
        <f t="shared" si="720"/>
        <v>BMSC27</v>
      </c>
      <c r="E382" s="21" t="str">
        <f>IF(ISERROR(VLOOKUP($D382,SITES!$A:$E,2,FALSE)),"",VLOOKUP($D382,SITES!$A:$E,2,FALSE))</f>
        <v>San Jose North Island</v>
      </c>
      <c r="F382" s="19">
        <f>IF(ISERROR(VLOOKUP($D382,SITES!$A:$E,3,FALSE)),"",VLOOKUP($D382,SITES!$A:$E,3,FALSE))</f>
        <v>48.901183000000003</v>
      </c>
      <c r="G382" s="22">
        <f>IF(ISERROR(VLOOKUP($D382,SITES!$A:$E,4,FALSE)),"",VLOOKUP($D382,SITES!$A:$E,4,FALSE))</f>
        <v>-125.060433</v>
      </c>
      <c r="H382" s="23">
        <f t="shared" ref="H382:M382" si="721">IF(ISERROR(H381),IF(ISERROR(H380),IF(ISERROR(H379),"BLANK",H379),H380),H381)</f>
        <v>45415</v>
      </c>
      <c r="I382" s="20">
        <f t="shared" si="721"/>
        <v>3</v>
      </c>
      <c r="J382" s="20" t="str">
        <f t="shared" si="721"/>
        <v>NW</v>
      </c>
      <c r="K382" s="27">
        <f t="shared" si="721"/>
        <v>0.43402777777777779</v>
      </c>
      <c r="L382" s="20">
        <f t="shared" si="721"/>
        <v>8.5</v>
      </c>
      <c r="M382" s="20">
        <f t="shared" si="721"/>
        <v>2</v>
      </c>
      <c r="N382" s="20">
        <v>2</v>
      </c>
      <c r="O382" s="20">
        <v>8</v>
      </c>
      <c r="P382" s="2" t="s">
        <v>41</v>
      </c>
      <c r="Q382" s="21" t="str">
        <f>IF($M382=1,IF(ISERROR(VLOOKUP($P382,'M1'!$A:$C,Q$2,FALSE)),"NOT PRESENT",VLOOKUP($P382,'M1'!$A:$C,Q$2,FALSE)),IF($M382=2,IF(ISERROR(VLOOKUP(DATA!$P382,'M2'!$A:$C,Q$2,FALSE)),"NOT PRESENT",VLOOKUP(DATA!$P382,'M2'!$A:$C,Q$2,FALSE)),IF($M382=0,IF(ISERROR(VLOOKUP($P382,'M1'!$A:$C,Q$2,FALSE)),IF(ISERROR(VLOOKUP(DATA!$P382,'M2'!$A:$C,Q$2,FALSE)),"NOT PRESENT",VLOOKUP(DATA!$P382,'M2'!$A:$C,Q$2,FALSE)),VLOOKUP($P382,'M1'!$A:$C,Q$2,FALSE)),"SPECIFY METHOD")))</f>
        <v>Mesocentrotus franciscanus</v>
      </c>
      <c r="R382" s="21" t="str">
        <f>IF($M382=1,IF(ISERROR(VLOOKUP($P382,'M1'!$A:$C,R$2,FALSE)),"NOT PRESENT",VLOOKUP($P382,'M1'!$A:$C,R$2,FALSE)),IF($M382=2,IF(ISERROR(VLOOKUP(DATA!$P382,'M2'!$A:$C,R$2,FALSE)),"NOT PRESENT",VLOOKUP(DATA!$P382,'M2'!$A:$C,R$2,FALSE)),IF($M382=0,IF(ISERROR(VLOOKUP($P382,'M1'!$A:$C,R$2,FALSE)),IF(ISERROR(VLOOKUP(DATA!$P382,'M2'!$A:$C,R$2,FALSE)),"NOT PRESENT",VLOOKUP(DATA!$P382,'M2'!$A:$C,R$2,FALSE)),VLOOKUP($P382,'M1'!$A:$C,R$2,FALSE)),"SPECIFY METHOD")))</f>
        <v>Red sea urchin</v>
      </c>
      <c r="S382" s="28">
        <f t="shared" si="500"/>
        <v>7</v>
      </c>
      <c r="T382" s="20">
        <v>0</v>
      </c>
      <c r="U382" s="20">
        <v>2</v>
      </c>
      <c r="V382" s="20">
        <v>2</v>
      </c>
      <c r="W382" s="20">
        <v>3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</row>
    <row r="383" spans="1:68" ht="12.75" customHeight="1">
      <c r="A383" s="21">
        <f t="shared" si="497"/>
        <v>381</v>
      </c>
      <c r="B383" s="20" t="str">
        <f t="shared" ref="B383:D383" si="722">IF(ISERROR(B382),IF(ISERROR(B381),IF(ISERROR(B380),"BLANK",B380),B381),B382)</f>
        <v>Em Lim</v>
      </c>
      <c r="C383" s="20" t="str">
        <f t="shared" si="722"/>
        <v>Valesca de Groot</v>
      </c>
      <c r="D383" s="20" t="str">
        <f t="shared" si="722"/>
        <v>BMSC27</v>
      </c>
      <c r="E383" s="21" t="str">
        <f>IF(ISERROR(VLOOKUP($D383,SITES!$A:$E,2,FALSE)),"",VLOOKUP($D383,SITES!$A:$E,2,FALSE))</f>
        <v>San Jose North Island</v>
      </c>
      <c r="F383" s="19">
        <f>IF(ISERROR(VLOOKUP($D383,SITES!$A:$E,3,FALSE)),"",VLOOKUP($D383,SITES!$A:$E,3,FALSE))</f>
        <v>48.901183000000003</v>
      </c>
      <c r="G383" s="22">
        <f>IF(ISERROR(VLOOKUP($D383,SITES!$A:$E,4,FALSE)),"",VLOOKUP($D383,SITES!$A:$E,4,FALSE))</f>
        <v>-125.060433</v>
      </c>
      <c r="H383" s="23">
        <f t="shared" ref="H383:M383" si="723">IF(ISERROR(H382),IF(ISERROR(H381),IF(ISERROR(H380),"BLANK",H380),H381),H382)</f>
        <v>45415</v>
      </c>
      <c r="I383" s="20">
        <f t="shared" si="723"/>
        <v>3</v>
      </c>
      <c r="J383" s="20" t="str">
        <f t="shared" si="723"/>
        <v>NW</v>
      </c>
      <c r="K383" s="27">
        <f t="shared" si="723"/>
        <v>0.43402777777777779</v>
      </c>
      <c r="L383" s="20">
        <f t="shared" si="723"/>
        <v>8.5</v>
      </c>
      <c r="M383" s="20">
        <f t="shared" si="723"/>
        <v>2</v>
      </c>
      <c r="N383" s="20">
        <v>2</v>
      </c>
      <c r="O383" s="20">
        <v>8</v>
      </c>
      <c r="P383" s="20" t="s">
        <v>62</v>
      </c>
      <c r="Q383" s="21" t="str">
        <f>IF($M383=1,IF(ISERROR(VLOOKUP($P383,'M1'!$A:$C,Q$2,FALSE)),"NOT PRESENT",VLOOKUP($P383,'M1'!$A:$C,Q$2,FALSE)),IF($M383=2,IF(ISERROR(VLOOKUP(DATA!$P383,'M2'!$A:$C,Q$2,FALSE)),"NOT PRESENT",VLOOKUP(DATA!$P383,'M2'!$A:$C,Q$2,FALSE)),IF($M383=0,IF(ISERROR(VLOOKUP($P383,'M1'!$A:$C,Q$2,FALSE)),IF(ISERROR(VLOOKUP(DATA!$P383,'M2'!$A:$C,Q$2,FALSE)),"NOT PRESENT",VLOOKUP(DATA!$P383,'M2'!$A:$C,Q$2,FALSE)),VLOOKUP($P383,'M1'!$A:$C,Q$2,FALSE)),"SPECIFY METHOD")))</f>
        <v>Strongylocentrotus droebachiensis</v>
      </c>
      <c r="R383" s="21" t="str">
        <f>IF($M383=1,IF(ISERROR(VLOOKUP($P383,'M1'!$A:$C,R$2,FALSE)),"NOT PRESENT",VLOOKUP($P383,'M1'!$A:$C,R$2,FALSE)),IF($M383=2,IF(ISERROR(VLOOKUP(DATA!$P383,'M2'!$A:$C,R$2,FALSE)),"NOT PRESENT",VLOOKUP(DATA!$P383,'M2'!$A:$C,R$2,FALSE)),IF($M383=0,IF(ISERROR(VLOOKUP($P383,'M1'!$A:$C,R$2,FALSE)),IF(ISERROR(VLOOKUP(DATA!$P383,'M2'!$A:$C,R$2,FALSE)),"NOT PRESENT",VLOOKUP(DATA!$P383,'M2'!$A:$C,R$2,FALSE)),VLOOKUP($P383,'M1'!$A:$C,R$2,FALSE)),"SPECIFY METHOD")))</f>
        <v>Northern sea urchin</v>
      </c>
      <c r="S383" s="28">
        <f t="shared" si="500"/>
        <v>1</v>
      </c>
      <c r="T383" s="20">
        <v>0</v>
      </c>
      <c r="U383" s="20"/>
      <c r="V383" s="20">
        <v>1</v>
      </c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</row>
    <row r="384" spans="1:68" ht="12.75" customHeight="1">
      <c r="A384" s="21">
        <f t="shared" si="497"/>
        <v>382</v>
      </c>
      <c r="B384" s="20" t="str">
        <f t="shared" ref="B384:D384" si="724">IF(ISERROR(B383),IF(ISERROR(B382),IF(ISERROR(B381),"BLANK",B381),B382),B383)</f>
        <v>Em Lim</v>
      </c>
      <c r="C384" s="20" t="str">
        <f t="shared" si="724"/>
        <v>Valesca de Groot</v>
      </c>
      <c r="D384" s="20" t="str">
        <f t="shared" si="724"/>
        <v>BMSC27</v>
      </c>
      <c r="E384" s="21" t="str">
        <f>IF(ISERROR(VLOOKUP($D384,SITES!$A:$E,2,FALSE)),"",VLOOKUP($D384,SITES!$A:$E,2,FALSE))</f>
        <v>San Jose North Island</v>
      </c>
      <c r="F384" s="19">
        <f>IF(ISERROR(VLOOKUP($D384,SITES!$A:$E,3,FALSE)),"",VLOOKUP($D384,SITES!$A:$E,3,FALSE))</f>
        <v>48.901183000000003</v>
      </c>
      <c r="G384" s="22">
        <f>IF(ISERROR(VLOOKUP($D384,SITES!$A:$E,4,FALSE)),"",VLOOKUP($D384,SITES!$A:$E,4,FALSE))</f>
        <v>-125.060433</v>
      </c>
      <c r="H384" s="23">
        <f t="shared" ref="H384:M384" si="725">IF(ISERROR(H383),IF(ISERROR(H382),IF(ISERROR(H381),"BLANK",H381),H382),H383)</f>
        <v>45415</v>
      </c>
      <c r="I384" s="20">
        <f t="shared" si="725"/>
        <v>3</v>
      </c>
      <c r="J384" s="20" t="str">
        <f t="shared" si="725"/>
        <v>NW</v>
      </c>
      <c r="K384" s="27">
        <f t="shared" si="725"/>
        <v>0.43402777777777779</v>
      </c>
      <c r="L384" s="20">
        <f t="shared" si="725"/>
        <v>8.5</v>
      </c>
      <c r="M384" s="20">
        <f t="shared" si="725"/>
        <v>2</v>
      </c>
      <c r="N384" s="20">
        <v>1</v>
      </c>
      <c r="O384" s="20">
        <v>0</v>
      </c>
      <c r="P384" s="20" t="s">
        <v>61</v>
      </c>
      <c r="Q384" s="21" t="str">
        <f>IF($M384=1,IF(ISERROR(VLOOKUP($P384,'M1'!$A:$C,Q$2,FALSE)),"NOT PRESENT",VLOOKUP($P384,'M1'!$A:$C,Q$2,FALSE)),IF($M384=2,IF(ISERROR(VLOOKUP(DATA!$P384,'M2'!$A:$C,Q$2,FALSE)),"NOT PRESENT",VLOOKUP(DATA!$P384,'M2'!$A:$C,Q$2,FALSE)),IF($M384=0,IF(ISERROR(VLOOKUP($P384,'M1'!$A:$C,Q$2,FALSE)),IF(ISERROR(VLOOKUP(DATA!$P384,'M2'!$A:$C,Q$2,FALSE)),"NOT PRESENT",VLOOKUP(DATA!$P384,'M2'!$A:$C,Q$2,FALSE)),VLOOKUP($P384,'M1'!$A:$C,Q$2,FALSE)),"SPECIFY METHOD")))</f>
        <v>No species found</v>
      </c>
      <c r="R384" s="21" t="str">
        <f>IF($M384=1,IF(ISERROR(VLOOKUP($P384,'M1'!$A:$C,R$2,FALSE)),"NOT PRESENT",VLOOKUP($P384,'M1'!$A:$C,R$2,FALSE)),IF($M384=2,IF(ISERROR(VLOOKUP(DATA!$P384,'M2'!$A:$C,R$2,FALSE)),"NOT PRESENT",VLOOKUP(DATA!$P384,'M2'!$A:$C,R$2,FALSE)),IF($M384=0,IF(ISERROR(VLOOKUP($P384,'M1'!$A:$C,R$2,FALSE)),IF(ISERROR(VLOOKUP(DATA!$P384,'M2'!$A:$C,R$2,FALSE)),"NOT PRESENT",VLOOKUP(DATA!$P384,'M2'!$A:$C,R$2,FALSE)),VLOOKUP($P384,'M1'!$A:$C,R$2,FALSE)),"SPECIFY METHOD")))</f>
        <v>No species found</v>
      </c>
      <c r="S384" s="28">
        <f t="shared" si="500"/>
        <v>1</v>
      </c>
      <c r="T384" s="20">
        <v>1</v>
      </c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</row>
    <row r="385" spans="1:68" ht="12.75" customHeight="1">
      <c r="A385" s="21">
        <f t="shared" si="497"/>
        <v>383</v>
      </c>
      <c r="B385" s="20" t="str">
        <f t="shared" ref="B385:C385" si="726">IF(ISERROR(B384),IF(ISERROR(B383),IF(ISERROR(B382),"BLANK",B382),B383),B384)</f>
        <v>Em Lim</v>
      </c>
      <c r="C385" s="20" t="str">
        <f t="shared" si="726"/>
        <v>Valesca de Groot</v>
      </c>
      <c r="D385" s="20" t="s">
        <v>88</v>
      </c>
      <c r="E385" s="21" t="str">
        <f>IF(ISERROR(VLOOKUP($D385,SITES!$A:$E,2,FALSE)),"",VLOOKUP($D385,SITES!$A:$E,2,FALSE))</f>
        <v>Aguilar Point</v>
      </c>
      <c r="F385" s="19">
        <f>IF(ISERROR(VLOOKUP($D385,SITES!$A:$E,3,FALSE)),"",VLOOKUP($D385,SITES!$A:$E,3,FALSE))</f>
        <v>48.837589000000001</v>
      </c>
      <c r="G385" s="22">
        <f>IF(ISERROR(VLOOKUP($D385,SITES!$A:$E,4,FALSE)),"",VLOOKUP($D385,SITES!$A:$E,4,FALSE))</f>
        <v>-125.14414499999999</v>
      </c>
      <c r="H385" s="23">
        <f t="shared" ref="H385:H396" si="727">IF(ISERROR(H384),IF(ISERROR(H383),IF(ISERROR(H382),"BLANK",H382),H383),H384)</f>
        <v>45415</v>
      </c>
      <c r="I385" s="20">
        <v>2.5</v>
      </c>
      <c r="J385" s="20" t="s">
        <v>59</v>
      </c>
      <c r="K385" s="27">
        <v>0.53472222222222221</v>
      </c>
      <c r="L385" s="20">
        <v>6.7</v>
      </c>
      <c r="M385" s="20">
        <f>IF(ISERROR(M384),IF(ISERROR(M383),IF(ISERROR(M382),"BLANK",M382),M383),M384)</f>
        <v>2</v>
      </c>
      <c r="N385" s="20">
        <v>1</v>
      </c>
      <c r="O385" s="20">
        <v>48</v>
      </c>
      <c r="P385" s="20" t="s">
        <v>41</v>
      </c>
      <c r="Q385" s="21" t="str">
        <f>IF($M385=1,IF(ISERROR(VLOOKUP($P385,'M1'!$A:$C,Q$2,FALSE)),"NOT PRESENT",VLOOKUP($P385,'M1'!$A:$C,Q$2,FALSE)),IF($M385=2,IF(ISERROR(VLOOKUP(DATA!$P385,'M2'!$A:$C,Q$2,FALSE)),"NOT PRESENT",VLOOKUP(DATA!$P385,'M2'!$A:$C,Q$2,FALSE)),IF($M385=0,IF(ISERROR(VLOOKUP($P385,'M1'!$A:$C,Q$2,FALSE)),IF(ISERROR(VLOOKUP(DATA!$P385,'M2'!$A:$C,Q$2,FALSE)),"NOT PRESENT",VLOOKUP(DATA!$P385,'M2'!$A:$C,Q$2,FALSE)),VLOOKUP($P385,'M1'!$A:$C,Q$2,FALSE)),"SPECIFY METHOD")))</f>
        <v>Mesocentrotus franciscanus</v>
      </c>
      <c r="R385" s="21" t="str">
        <f>IF($M385=1,IF(ISERROR(VLOOKUP($P385,'M1'!$A:$C,R$2,FALSE)),"NOT PRESENT",VLOOKUP($P385,'M1'!$A:$C,R$2,FALSE)),IF($M385=2,IF(ISERROR(VLOOKUP(DATA!$P385,'M2'!$A:$C,R$2,FALSE)),"NOT PRESENT",VLOOKUP(DATA!$P385,'M2'!$A:$C,R$2,FALSE)),IF($M385=0,IF(ISERROR(VLOOKUP($P385,'M1'!$A:$C,R$2,FALSE)),IF(ISERROR(VLOOKUP(DATA!$P385,'M2'!$A:$C,R$2,FALSE)),"NOT PRESENT",VLOOKUP(DATA!$P385,'M2'!$A:$C,R$2,FALSE)),VLOOKUP($P385,'M1'!$A:$C,R$2,FALSE)),"SPECIFY METHOD")))</f>
        <v>Red sea urchin</v>
      </c>
      <c r="S385" s="28">
        <f t="shared" si="500"/>
        <v>5</v>
      </c>
      <c r="T385" s="20">
        <v>0</v>
      </c>
      <c r="U385" s="20"/>
      <c r="V385" s="20">
        <v>1</v>
      </c>
      <c r="W385" s="20">
        <v>3</v>
      </c>
      <c r="X385" s="20">
        <v>1</v>
      </c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</row>
    <row r="386" spans="1:68" ht="12.75" customHeight="1">
      <c r="A386" s="21">
        <f t="shared" si="497"/>
        <v>384</v>
      </c>
      <c r="B386" s="20" t="str">
        <f t="shared" ref="B386:D386" si="728">IF(ISERROR(B385),IF(ISERROR(B384),IF(ISERROR(B383),"BLANK",B383),B384),B385)</f>
        <v>Em Lim</v>
      </c>
      <c r="C386" s="20" t="str">
        <f t="shared" si="728"/>
        <v>Valesca de Groot</v>
      </c>
      <c r="D386" s="20" t="str">
        <f t="shared" si="728"/>
        <v>BMSC23</v>
      </c>
      <c r="E386" s="21" t="str">
        <f>IF(ISERROR(VLOOKUP($D386,SITES!$A:$E,2,FALSE)),"",VLOOKUP($D386,SITES!$A:$E,2,FALSE))</f>
        <v>Aguilar Point</v>
      </c>
      <c r="F386" s="19">
        <f>IF(ISERROR(VLOOKUP($D386,SITES!$A:$E,3,FALSE)),"",VLOOKUP($D386,SITES!$A:$E,3,FALSE))</f>
        <v>48.837589000000001</v>
      </c>
      <c r="G386" s="22">
        <f>IF(ISERROR(VLOOKUP($D386,SITES!$A:$E,4,FALSE)),"",VLOOKUP($D386,SITES!$A:$E,4,FALSE))</f>
        <v>-125.14414499999999</v>
      </c>
      <c r="H386" s="23">
        <f t="shared" si="727"/>
        <v>45415</v>
      </c>
      <c r="I386" s="20">
        <f t="shared" ref="I386:M386" si="729">IF(ISERROR(I385),IF(ISERROR(I384),IF(ISERROR(I383),"BLANK",I383),I384),I385)</f>
        <v>2.5</v>
      </c>
      <c r="J386" s="20" t="str">
        <f t="shared" si="729"/>
        <v>NE</v>
      </c>
      <c r="K386" s="27">
        <f t="shared" si="729"/>
        <v>0.53472222222222221</v>
      </c>
      <c r="L386" s="20">
        <f t="shared" si="729"/>
        <v>6.7</v>
      </c>
      <c r="M386" s="20">
        <f t="shared" si="729"/>
        <v>2</v>
      </c>
      <c r="N386" s="20">
        <v>1</v>
      </c>
      <c r="O386" s="20">
        <v>48</v>
      </c>
      <c r="P386" s="20" t="s">
        <v>40</v>
      </c>
      <c r="Q386" s="21" t="str">
        <f>IF($M386=1,IF(ISERROR(VLOOKUP($P386,'M1'!$A:$C,Q$2,FALSE)),"NOT PRESENT",VLOOKUP($P386,'M1'!$A:$C,Q$2,FALSE)),IF($M386=2,IF(ISERROR(VLOOKUP(DATA!$P386,'M2'!$A:$C,Q$2,FALSE)),"NOT PRESENT",VLOOKUP(DATA!$P386,'M2'!$A:$C,Q$2,FALSE)),IF($M386=0,IF(ISERROR(VLOOKUP($P386,'M1'!$A:$C,Q$2,FALSE)),IF(ISERROR(VLOOKUP(DATA!$P386,'M2'!$A:$C,Q$2,FALSE)),"NOT PRESENT",VLOOKUP(DATA!$P386,'M2'!$A:$C,Q$2,FALSE)),VLOOKUP($P386,'M1'!$A:$C,Q$2,FALSE)),"SPECIFY METHOD")))</f>
        <v>Patiria miniata</v>
      </c>
      <c r="R386" s="21" t="str">
        <f>IF($M386=1,IF(ISERROR(VLOOKUP($P386,'M1'!$A:$C,R$2,FALSE)),"NOT PRESENT",VLOOKUP($P386,'M1'!$A:$C,R$2,FALSE)),IF($M386=2,IF(ISERROR(VLOOKUP(DATA!$P386,'M2'!$A:$C,R$2,FALSE)),"NOT PRESENT",VLOOKUP(DATA!$P386,'M2'!$A:$C,R$2,FALSE)),IF($M386=0,IF(ISERROR(VLOOKUP($P386,'M1'!$A:$C,R$2,FALSE)),IF(ISERROR(VLOOKUP(DATA!$P386,'M2'!$A:$C,R$2,FALSE)),"NOT PRESENT",VLOOKUP(DATA!$P386,'M2'!$A:$C,R$2,FALSE)),VLOOKUP($P386,'M1'!$A:$C,R$2,FALSE)),"SPECIFY METHOD")))</f>
        <v>Bat star</v>
      </c>
      <c r="S386" s="28">
        <f t="shared" si="500"/>
        <v>1</v>
      </c>
      <c r="T386" s="20">
        <v>0</v>
      </c>
      <c r="U386" s="20"/>
      <c r="V386" s="20"/>
      <c r="W386" s="20"/>
      <c r="X386" s="20">
        <v>1</v>
      </c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</row>
    <row r="387" spans="1:68" ht="12.75" customHeight="1">
      <c r="A387" s="21">
        <f t="shared" si="497"/>
        <v>385</v>
      </c>
      <c r="B387" s="20" t="str">
        <f t="shared" ref="B387:D387" si="730">IF(ISERROR(B386),IF(ISERROR(B385),IF(ISERROR(B384),"BLANK",B384),B385),B386)</f>
        <v>Em Lim</v>
      </c>
      <c r="C387" s="20" t="str">
        <f t="shared" si="730"/>
        <v>Valesca de Groot</v>
      </c>
      <c r="D387" s="20" t="str">
        <f t="shared" si="730"/>
        <v>BMSC23</v>
      </c>
      <c r="E387" s="21" t="str">
        <f>IF(ISERROR(VLOOKUP($D387,SITES!$A:$E,2,FALSE)),"",VLOOKUP($D387,SITES!$A:$E,2,FALSE))</f>
        <v>Aguilar Point</v>
      </c>
      <c r="F387" s="19">
        <f>IF(ISERROR(VLOOKUP($D387,SITES!$A:$E,3,FALSE)),"",VLOOKUP($D387,SITES!$A:$E,3,FALSE))</f>
        <v>48.837589000000001</v>
      </c>
      <c r="G387" s="22">
        <f>IF(ISERROR(VLOOKUP($D387,SITES!$A:$E,4,FALSE)),"",VLOOKUP($D387,SITES!$A:$E,4,FALSE))</f>
        <v>-125.14414499999999</v>
      </c>
      <c r="H387" s="23">
        <f t="shared" si="727"/>
        <v>45415</v>
      </c>
      <c r="I387" s="20">
        <f t="shared" ref="I387:M387" si="731">IF(ISERROR(I386),IF(ISERROR(I385),IF(ISERROR(I384),"BLANK",I384),I385),I386)</f>
        <v>2.5</v>
      </c>
      <c r="J387" s="20" t="str">
        <f t="shared" si="731"/>
        <v>NE</v>
      </c>
      <c r="K387" s="27">
        <f t="shared" si="731"/>
        <v>0.53472222222222221</v>
      </c>
      <c r="L387" s="20">
        <f t="shared" si="731"/>
        <v>6.7</v>
      </c>
      <c r="M387" s="20">
        <f t="shared" si="731"/>
        <v>2</v>
      </c>
      <c r="N387" s="20">
        <v>1</v>
      </c>
      <c r="O387" s="20">
        <v>40</v>
      </c>
      <c r="P387" s="20" t="s">
        <v>41</v>
      </c>
      <c r="Q387" s="21" t="str">
        <f>IF($M387=1,IF(ISERROR(VLOOKUP($P387,'M1'!$A:$C,Q$2,FALSE)),"NOT PRESENT",VLOOKUP($P387,'M1'!$A:$C,Q$2,FALSE)),IF($M387=2,IF(ISERROR(VLOOKUP(DATA!$P387,'M2'!$A:$C,Q$2,FALSE)),"NOT PRESENT",VLOOKUP(DATA!$P387,'M2'!$A:$C,Q$2,FALSE)),IF($M387=0,IF(ISERROR(VLOOKUP($P387,'M1'!$A:$C,Q$2,FALSE)),IF(ISERROR(VLOOKUP(DATA!$P387,'M2'!$A:$C,Q$2,FALSE)),"NOT PRESENT",VLOOKUP(DATA!$P387,'M2'!$A:$C,Q$2,FALSE)),VLOOKUP($P387,'M1'!$A:$C,Q$2,FALSE)),"SPECIFY METHOD")))</f>
        <v>Mesocentrotus franciscanus</v>
      </c>
      <c r="R387" s="21" t="str">
        <f>IF($M387=1,IF(ISERROR(VLOOKUP($P387,'M1'!$A:$C,R$2,FALSE)),"NOT PRESENT",VLOOKUP($P387,'M1'!$A:$C,R$2,FALSE)),IF($M387=2,IF(ISERROR(VLOOKUP(DATA!$P387,'M2'!$A:$C,R$2,FALSE)),"NOT PRESENT",VLOOKUP(DATA!$P387,'M2'!$A:$C,R$2,FALSE)),IF($M387=0,IF(ISERROR(VLOOKUP($P387,'M1'!$A:$C,R$2,FALSE)),IF(ISERROR(VLOOKUP(DATA!$P387,'M2'!$A:$C,R$2,FALSE)),"NOT PRESENT",VLOOKUP(DATA!$P387,'M2'!$A:$C,R$2,FALSE)),VLOOKUP($P387,'M1'!$A:$C,R$2,FALSE)),"SPECIFY METHOD")))</f>
        <v>Red sea urchin</v>
      </c>
      <c r="S387" s="28">
        <f t="shared" si="500"/>
        <v>7</v>
      </c>
      <c r="T387" s="20">
        <v>0</v>
      </c>
      <c r="U387" s="20"/>
      <c r="V387" s="20">
        <v>3</v>
      </c>
      <c r="W387" s="20">
        <v>3</v>
      </c>
      <c r="X387" s="20">
        <v>1</v>
      </c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</row>
    <row r="388" spans="1:68" ht="12.75" customHeight="1">
      <c r="A388" s="21">
        <f t="shared" si="497"/>
        <v>386</v>
      </c>
      <c r="B388" s="20" t="str">
        <f t="shared" ref="B388:D388" si="732">IF(ISERROR(B387),IF(ISERROR(B386),IF(ISERROR(B385),"BLANK",B385),B386),B387)</f>
        <v>Em Lim</v>
      </c>
      <c r="C388" s="20" t="str">
        <f t="shared" si="732"/>
        <v>Valesca de Groot</v>
      </c>
      <c r="D388" s="20" t="str">
        <f t="shared" si="732"/>
        <v>BMSC23</v>
      </c>
      <c r="E388" s="21" t="str">
        <f>IF(ISERROR(VLOOKUP($D388,SITES!$A:$E,2,FALSE)),"",VLOOKUP($D388,SITES!$A:$E,2,FALSE))</f>
        <v>Aguilar Point</v>
      </c>
      <c r="F388" s="19">
        <f>IF(ISERROR(VLOOKUP($D388,SITES!$A:$E,3,FALSE)),"",VLOOKUP($D388,SITES!$A:$E,3,FALSE))</f>
        <v>48.837589000000001</v>
      </c>
      <c r="G388" s="22">
        <f>IF(ISERROR(VLOOKUP($D388,SITES!$A:$E,4,FALSE)),"",VLOOKUP($D388,SITES!$A:$E,4,FALSE))</f>
        <v>-125.14414499999999</v>
      </c>
      <c r="H388" s="23">
        <f t="shared" si="727"/>
        <v>45415</v>
      </c>
      <c r="I388" s="20">
        <f t="shared" ref="I388:M388" si="733">IF(ISERROR(I387),IF(ISERROR(I386),IF(ISERROR(I385),"BLANK",I385),I386),I387)</f>
        <v>2.5</v>
      </c>
      <c r="J388" s="20" t="str">
        <f t="shared" si="733"/>
        <v>NE</v>
      </c>
      <c r="K388" s="27">
        <f t="shared" si="733"/>
        <v>0.53472222222222221</v>
      </c>
      <c r="L388" s="20">
        <f t="shared" si="733"/>
        <v>6.7</v>
      </c>
      <c r="M388" s="20">
        <f t="shared" si="733"/>
        <v>2</v>
      </c>
      <c r="N388" s="20">
        <v>1</v>
      </c>
      <c r="O388" s="20">
        <v>32</v>
      </c>
      <c r="P388" s="20" t="s">
        <v>41</v>
      </c>
      <c r="Q388" s="21" t="str">
        <f>IF($M388=1,IF(ISERROR(VLOOKUP($P388,'M1'!$A:$C,Q$2,FALSE)),"NOT PRESENT",VLOOKUP($P388,'M1'!$A:$C,Q$2,FALSE)),IF($M388=2,IF(ISERROR(VLOOKUP(DATA!$P388,'M2'!$A:$C,Q$2,FALSE)),"NOT PRESENT",VLOOKUP(DATA!$P388,'M2'!$A:$C,Q$2,FALSE)),IF($M388=0,IF(ISERROR(VLOOKUP($P388,'M1'!$A:$C,Q$2,FALSE)),IF(ISERROR(VLOOKUP(DATA!$P388,'M2'!$A:$C,Q$2,FALSE)),"NOT PRESENT",VLOOKUP(DATA!$P388,'M2'!$A:$C,Q$2,FALSE)),VLOOKUP($P388,'M1'!$A:$C,Q$2,FALSE)),"SPECIFY METHOD")))</f>
        <v>Mesocentrotus franciscanus</v>
      </c>
      <c r="R388" s="21" t="str">
        <f>IF($M388=1,IF(ISERROR(VLOOKUP($P388,'M1'!$A:$C,R$2,FALSE)),"NOT PRESENT",VLOOKUP($P388,'M1'!$A:$C,R$2,FALSE)),IF($M388=2,IF(ISERROR(VLOOKUP(DATA!$P388,'M2'!$A:$C,R$2,FALSE)),"NOT PRESENT",VLOOKUP(DATA!$P388,'M2'!$A:$C,R$2,FALSE)),IF($M388=0,IF(ISERROR(VLOOKUP($P388,'M1'!$A:$C,R$2,FALSE)),IF(ISERROR(VLOOKUP(DATA!$P388,'M2'!$A:$C,R$2,FALSE)),"NOT PRESENT",VLOOKUP(DATA!$P388,'M2'!$A:$C,R$2,FALSE)),VLOOKUP($P388,'M1'!$A:$C,R$2,FALSE)),"SPECIFY METHOD")))</f>
        <v>Red sea urchin</v>
      </c>
      <c r="S388" s="28">
        <f t="shared" si="500"/>
        <v>9</v>
      </c>
      <c r="T388" s="20">
        <v>0</v>
      </c>
      <c r="U388" s="20"/>
      <c r="V388" s="20">
        <v>3</v>
      </c>
      <c r="W388" s="20">
        <v>6</v>
      </c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</row>
    <row r="389" spans="1:68" ht="12.75" customHeight="1">
      <c r="A389" s="21">
        <f t="shared" si="497"/>
        <v>387</v>
      </c>
      <c r="B389" s="20" t="str">
        <f t="shared" ref="B389:D389" si="734">IF(ISERROR(B388),IF(ISERROR(B387),IF(ISERROR(B386),"BLANK",B386),B387),B388)</f>
        <v>Em Lim</v>
      </c>
      <c r="C389" s="20" t="str">
        <f t="shared" si="734"/>
        <v>Valesca de Groot</v>
      </c>
      <c r="D389" s="20" t="str">
        <f t="shared" si="734"/>
        <v>BMSC23</v>
      </c>
      <c r="E389" s="21" t="str">
        <f>IF(ISERROR(VLOOKUP($D389,SITES!$A:$E,2,FALSE)),"",VLOOKUP($D389,SITES!$A:$E,2,FALSE))</f>
        <v>Aguilar Point</v>
      </c>
      <c r="F389" s="19">
        <f>IF(ISERROR(VLOOKUP($D389,SITES!$A:$E,3,FALSE)),"",VLOOKUP($D389,SITES!$A:$E,3,FALSE))</f>
        <v>48.837589000000001</v>
      </c>
      <c r="G389" s="22">
        <f>IF(ISERROR(VLOOKUP($D389,SITES!$A:$E,4,FALSE)),"",VLOOKUP($D389,SITES!$A:$E,4,FALSE))</f>
        <v>-125.14414499999999</v>
      </c>
      <c r="H389" s="23">
        <f t="shared" si="727"/>
        <v>45415</v>
      </c>
      <c r="I389" s="20">
        <f t="shared" ref="I389:M389" si="735">IF(ISERROR(I388),IF(ISERROR(I387),IF(ISERROR(I386),"BLANK",I386),I387),I388)</f>
        <v>2.5</v>
      </c>
      <c r="J389" s="20" t="str">
        <f t="shared" si="735"/>
        <v>NE</v>
      </c>
      <c r="K389" s="27">
        <f t="shared" si="735"/>
        <v>0.53472222222222221</v>
      </c>
      <c r="L389" s="20">
        <f t="shared" si="735"/>
        <v>6.7</v>
      </c>
      <c r="M389" s="20">
        <f t="shared" si="735"/>
        <v>2</v>
      </c>
      <c r="N389" s="20">
        <v>1</v>
      </c>
      <c r="O389" s="20">
        <v>24</v>
      </c>
      <c r="P389" s="20" t="s">
        <v>41</v>
      </c>
      <c r="Q389" s="21" t="str">
        <f>IF($M389=1,IF(ISERROR(VLOOKUP($P389,'M1'!$A:$C,Q$2,FALSE)),"NOT PRESENT",VLOOKUP($P389,'M1'!$A:$C,Q$2,FALSE)),IF($M389=2,IF(ISERROR(VLOOKUP(DATA!$P389,'M2'!$A:$C,Q$2,FALSE)),"NOT PRESENT",VLOOKUP(DATA!$P389,'M2'!$A:$C,Q$2,FALSE)),IF($M389=0,IF(ISERROR(VLOOKUP($P389,'M1'!$A:$C,Q$2,FALSE)),IF(ISERROR(VLOOKUP(DATA!$P389,'M2'!$A:$C,Q$2,FALSE)),"NOT PRESENT",VLOOKUP(DATA!$P389,'M2'!$A:$C,Q$2,FALSE)),VLOOKUP($P389,'M1'!$A:$C,Q$2,FALSE)),"SPECIFY METHOD")))</f>
        <v>Mesocentrotus franciscanus</v>
      </c>
      <c r="R389" s="21" t="str">
        <f>IF($M389=1,IF(ISERROR(VLOOKUP($P389,'M1'!$A:$C,R$2,FALSE)),"NOT PRESENT",VLOOKUP($P389,'M1'!$A:$C,R$2,FALSE)),IF($M389=2,IF(ISERROR(VLOOKUP(DATA!$P389,'M2'!$A:$C,R$2,FALSE)),"NOT PRESENT",VLOOKUP(DATA!$P389,'M2'!$A:$C,R$2,FALSE)),IF($M389=0,IF(ISERROR(VLOOKUP($P389,'M1'!$A:$C,R$2,FALSE)),IF(ISERROR(VLOOKUP(DATA!$P389,'M2'!$A:$C,R$2,FALSE)),"NOT PRESENT",VLOOKUP(DATA!$P389,'M2'!$A:$C,R$2,FALSE)),VLOOKUP($P389,'M1'!$A:$C,R$2,FALSE)),"SPECIFY METHOD")))</f>
        <v>Red sea urchin</v>
      </c>
      <c r="S389" s="28">
        <f t="shared" si="500"/>
        <v>9</v>
      </c>
      <c r="T389" s="20">
        <v>0</v>
      </c>
      <c r="U389" s="20"/>
      <c r="V389" s="20">
        <v>3</v>
      </c>
      <c r="W389" s="20">
        <v>4</v>
      </c>
      <c r="X389" s="20">
        <v>2</v>
      </c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</row>
    <row r="390" spans="1:68" ht="12.75" customHeight="1">
      <c r="A390" s="21">
        <f t="shared" si="497"/>
        <v>388</v>
      </c>
      <c r="B390" s="20" t="str">
        <f t="shared" ref="B390:D390" si="736">IF(ISERROR(B389),IF(ISERROR(B388),IF(ISERROR(B387),"BLANK",B387),B388),B389)</f>
        <v>Em Lim</v>
      </c>
      <c r="C390" s="20" t="str">
        <f t="shared" si="736"/>
        <v>Valesca de Groot</v>
      </c>
      <c r="D390" s="20" t="str">
        <f t="shared" si="736"/>
        <v>BMSC23</v>
      </c>
      <c r="E390" s="21" t="str">
        <f>IF(ISERROR(VLOOKUP($D390,SITES!$A:$E,2,FALSE)),"",VLOOKUP($D390,SITES!$A:$E,2,FALSE))</f>
        <v>Aguilar Point</v>
      </c>
      <c r="F390" s="19">
        <f>IF(ISERROR(VLOOKUP($D390,SITES!$A:$E,3,FALSE)),"",VLOOKUP($D390,SITES!$A:$E,3,FALSE))</f>
        <v>48.837589000000001</v>
      </c>
      <c r="G390" s="22">
        <f>IF(ISERROR(VLOOKUP($D390,SITES!$A:$E,4,FALSE)),"",VLOOKUP($D390,SITES!$A:$E,4,FALSE))</f>
        <v>-125.14414499999999</v>
      </c>
      <c r="H390" s="23">
        <f t="shared" si="727"/>
        <v>45415</v>
      </c>
      <c r="I390" s="20">
        <f t="shared" ref="I390:M390" si="737">IF(ISERROR(I389),IF(ISERROR(I388),IF(ISERROR(I387),"BLANK",I387),I388),I389)</f>
        <v>2.5</v>
      </c>
      <c r="J390" s="20" t="str">
        <f t="shared" si="737"/>
        <v>NE</v>
      </c>
      <c r="K390" s="27">
        <f t="shared" si="737"/>
        <v>0.53472222222222221</v>
      </c>
      <c r="L390" s="20">
        <f t="shared" si="737"/>
        <v>6.7</v>
      </c>
      <c r="M390" s="20">
        <f t="shared" si="737"/>
        <v>2</v>
      </c>
      <c r="N390" s="20">
        <v>1</v>
      </c>
      <c r="O390" s="20">
        <v>24</v>
      </c>
      <c r="P390" s="20" t="s">
        <v>40</v>
      </c>
      <c r="Q390" s="21" t="str">
        <f>IF($M390=1,IF(ISERROR(VLOOKUP($P390,'M1'!$A:$C,Q$2,FALSE)),"NOT PRESENT",VLOOKUP($P390,'M1'!$A:$C,Q$2,FALSE)),IF($M390=2,IF(ISERROR(VLOOKUP(DATA!$P390,'M2'!$A:$C,Q$2,FALSE)),"NOT PRESENT",VLOOKUP(DATA!$P390,'M2'!$A:$C,Q$2,FALSE)),IF($M390=0,IF(ISERROR(VLOOKUP($P390,'M1'!$A:$C,Q$2,FALSE)),IF(ISERROR(VLOOKUP(DATA!$P390,'M2'!$A:$C,Q$2,FALSE)),"NOT PRESENT",VLOOKUP(DATA!$P390,'M2'!$A:$C,Q$2,FALSE)),VLOOKUP($P390,'M1'!$A:$C,Q$2,FALSE)),"SPECIFY METHOD")))</f>
        <v>Patiria miniata</v>
      </c>
      <c r="R390" s="21" t="str">
        <f>IF($M390=1,IF(ISERROR(VLOOKUP($P390,'M1'!$A:$C,R$2,FALSE)),"NOT PRESENT",VLOOKUP($P390,'M1'!$A:$C,R$2,FALSE)),IF($M390=2,IF(ISERROR(VLOOKUP(DATA!$P390,'M2'!$A:$C,R$2,FALSE)),"NOT PRESENT",VLOOKUP(DATA!$P390,'M2'!$A:$C,R$2,FALSE)),IF($M390=0,IF(ISERROR(VLOOKUP($P390,'M1'!$A:$C,R$2,FALSE)),IF(ISERROR(VLOOKUP(DATA!$P390,'M2'!$A:$C,R$2,FALSE)),"NOT PRESENT",VLOOKUP(DATA!$P390,'M2'!$A:$C,R$2,FALSE)),VLOOKUP($P390,'M1'!$A:$C,R$2,FALSE)),"SPECIFY METHOD")))</f>
        <v>Bat star</v>
      </c>
      <c r="S390" s="28">
        <f t="shared" si="500"/>
        <v>1</v>
      </c>
      <c r="T390" s="20">
        <v>0</v>
      </c>
      <c r="U390" s="20"/>
      <c r="V390" s="20"/>
      <c r="W390" s="20"/>
      <c r="X390" s="20"/>
      <c r="Y390" s="20">
        <v>1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</row>
    <row r="391" spans="1:68" ht="12.75" customHeight="1">
      <c r="A391" s="21">
        <f t="shared" si="497"/>
        <v>389</v>
      </c>
      <c r="B391" s="20" t="str">
        <f t="shared" ref="B391:D391" si="738">IF(ISERROR(B390),IF(ISERROR(B389),IF(ISERROR(B388),"BLANK",B388),B389),B390)</f>
        <v>Em Lim</v>
      </c>
      <c r="C391" s="20" t="str">
        <f t="shared" si="738"/>
        <v>Valesca de Groot</v>
      </c>
      <c r="D391" s="20" t="str">
        <f t="shared" si="738"/>
        <v>BMSC23</v>
      </c>
      <c r="E391" s="21" t="str">
        <f>IF(ISERROR(VLOOKUP($D391,SITES!$A:$E,2,FALSE)),"",VLOOKUP($D391,SITES!$A:$E,2,FALSE))</f>
        <v>Aguilar Point</v>
      </c>
      <c r="F391" s="19">
        <f>IF(ISERROR(VLOOKUP($D391,SITES!$A:$E,3,FALSE)),"",VLOOKUP($D391,SITES!$A:$E,3,FALSE))</f>
        <v>48.837589000000001</v>
      </c>
      <c r="G391" s="22">
        <f>IF(ISERROR(VLOOKUP($D391,SITES!$A:$E,4,FALSE)),"",VLOOKUP($D391,SITES!$A:$E,4,FALSE))</f>
        <v>-125.14414499999999</v>
      </c>
      <c r="H391" s="23">
        <f t="shared" si="727"/>
        <v>45415</v>
      </c>
      <c r="I391" s="20">
        <f t="shared" ref="I391:M391" si="739">IF(ISERROR(I390),IF(ISERROR(I389),IF(ISERROR(I388),"BLANK",I388),I389),I390)</f>
        <v>2.5</v>
      </c>
      <c r="J391" s="20" t="str">
        <f t="shared" si="739"/>
        <v>NE</v>
      </c>
      <c r="K391" s="27">
        <f t="shared" si="739"/>
        <v>0.53472222222222221</v>
      </c>
      <c r="L391" s="20">
        <f t="shared" si="739"/>
        <v>6.7</v>
      </c>
      <c r="M391" s="20">
        <f t="shared" si="739"/>
        <v>2</v>
      </c>
      <c r="N391" s="20">
        <v>1</v>
      </c>
      <c r="O391" s="20">
        <v>24</v>
      </c>
      <c r="P391" s="20" t="s">
        <v>39</v>
      </c>
      <c r="Q391" s="21" t="str">
        <f>IF($M391=1,IF(ISERROR(VLOOKUP($P391,'M1'!$A:$C,Q$2,FALSE)),"NOT PRESENT",VLOOKUP($P391,'M1'!$A:$C,Q$2,FALSE)),IF($M391=2,IF(ISERROR(VLOOKUP(DATA!$P391,'M2'!$A:$C,Q$2,FALSE)),"NOT PRESENT",VLOOKUP(DATA!$P391,'M2'!$A:$C,Q$2,FALSE)),IF($M391=0,IF(ISERROR(VLOOKUP($P391,'M1'!$A:$C,Q$2,FALSE)),IF(ISERROR(VLOOKUP(DATA!$P391,'M2'!$A:$C,Q$2,FALSE)),"NOT PRESENT",VLOOKUP(DATA!$P391,'M2'!$A:$C,Q$2,FALSE)),VLOOKUP($P391,'M1'!$A:$C,Q$2,FALSE)),"SPECIFY METHOD")))</f>
        <v>Dermasterias imbricata</v>
      </c>
      <c r="R391" s="21" t="str">
        <f>IF($M391=1,IF(ISERROR(VLOOKUP($P391,'M1'!$A:$C,R$2,FALSE)),"NOT PRESENT",VLOOKUP($P391,'M1'!$A:$C,R$2,FALSE)),IF($M391=2,IF(ISERROR(VLOOKUP(DATA!$P391,'M2'!$A:$C,R$2,FALSE)),"NOT PRESENT",VLOOKUP(DATA!$P391,'M2'!$A:$C,R$2,FALSE)),IF($M391=0,IF(ISERROR(VLOOKUP($P391,'M1'!$A:$C,R$2,FALSE)),IF(ISERROR(VLOOKUP(DATA!$P391,'M2'!$A:$C,R$2,FALSE)),"NOT PRESENT",VLOOKUP(DATA!$P391,'M2'!$A:$C,R$2,FALSE)),VLOOKUP($P391,'M1'!$A:$C,R$2,FALSE)),"SPECIFY METHOD")))</f>
        <v>Leather star</v>
      </c>
      <c r="S391" s="28">
        <f t="shared" si="500"/>
        <v>1</v>
      </c>
      <c r="T391" s="20">
        <v>0</v>
      </c>
      <c r="U391" s="20"/>
      <c r="V391" s="20"/>
      <c r="W391" s="20"/>
      <c r="X391" s="20"/>
      <c r="Y391" s="20">
        <v>1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</row>
    <row r="392" spans="1:68" ht="12.75" customHeight="1">
      <c r="A392" s="21">
        <f t="shared" si="497"/>
        <v>390</v>
      </c>
      <c r="B392" s="20" t="str">
        <f t="shared" ref="B392:D392" si="740">IF(ISERROR(B391),IF(ISERROR(B390),IF(ISERROR(B389),"BLANK",B389),B390),B391)</f>
        <v>Em Lim</v>
      </c>
      <c r="C392" s="20" t="str">
        <f t="shared" si="740"/>
        <v>Valesca de Groot</v>
      </c>
      <c r="D392" s="20" t="str">
        <f t="shared" si="740"/>
        <v>BMSC23</v>
      </c>
      <c r="E392" s="21" t="str">
        <f>IF(ISERROR(VLOOKUP($D392,SITES!$A:$E,2,FALSE)),"",VLOOKUP($D392,SITES!$A:$E,2,FALSE))</f>
        <v>Aguilar Point</v>
      </c>
      <c r="F392" s="19">
        <f>IF(ISERROR(VLOOKUP($D392,SITES!$A:$E,3,FALSE)),"",VLOOKUP($D392,SITES!$A:$E,3,FALSE))</f>
        <v>48.837589000000001</v>
      </c>
      <c r="G392" s="22">
        <f>IF(ISERROR(VLOOKUP($D392,SITES!$A:$E,4,FALSE)),"",VLOOKUP($D392,SITES!$A:$E,4,FALSE))</f>
        <v>-125.14414499999999</v>
      </c>
      <c r="H392" s="23">
        <f t="shared" si="727"/>
        <v>45415</v>
      </c>
      <c r="I392" s="20">
        <f t="shared" ref="I392:M392" si="741">IF(ISERROR(I391),IF(ISERROR(I390),IF(ISERROR(I389),"BLANK",I389),I390),I391)</f>
        <v>2.5</v>
      </c>
      <c r="J392" s="20" t="str">
        <f t="shared" si="741"/>
        <v>NE</v>
      </c>
      <c r="K392" s="27">
        <f t="shared" si="741"/>
        <v>0.53472222222222221</v>
      </c>
      <c r="L392" s="20">
        <f t="shared" si="741"/>
        <v>6.7</v>
      </c>
      <c r="M392" s="20">
        <f t="shared" si="741"/>
        <v>2</v>
      </c>
      <c r="N392" s="20">
        <v>1</v>
      </c>
      <c r="O392" s="20">
        <v>16</v>
      </c>
      <c r="P392" s="20" t="s">
        <v>41</v>
      </c>
      <c r="Q392" s="21" t="str">
        <f>IF($M392=1,IF(ISERROR(VLOOKUP($P392,'M1'!$A:$C,Q$2,FALSE)),"NOT PRESENT",VLOOKUP($P392,'M1'!$A:$C,Q$2,FALSE)),IF($M392=2,IF(ISERROR(VLOOKUP(DATA!$P392,'M2'!$A:$C,Q$2,FALSE)),"NOT PRESENT",VLOOKUP(DATA!$P392,'M2'!$A:$C,Q$2,FALSE)),IF($M392=0,IF(ISERROR(VLOOKUP($P392,'M1'!$A:$C,Q$2,FALSE)),IF(ISERROR(VLOOKUP(DATA!$P392,'M2'!$A:$C,Q$2,FALSE)),"NOT PRESENT",VLOOKUP(DATA!$P392,'M2'!$A:$C,Q$2,FALSE)),VLOOKUP($P392,'M1'!$A:$C,Q$2,FALSE)),"SPECIFY METHOD")))</f>
        <v>Mesocentrotus franciscanus</v>
      </c>
      <c r="R392" s="21" t="str">
        <f>IF($M392=1,IF(ISERROR(VLOOKUP($P392,'M1'!$A:$C,R$2,FALSE)),"NOT PRESENT",VLOOKUP($P392,'M1'!$A:$C,R$2,FALSE)),IF($M392=2,IF(ISERROR(VLOOKUP(DATA!$P392,'M2'!$A:$C,R$2,FALSE)),"NOT PRESENT",VLOOKUP(DATA!$P392,'M2'!$A:$C,R$2,FALSE)),IF($M392=0,IF(ISERROR(VLOOKUP($P392,'M1'!$A:$C,R$2,FALSE)),IF(ISERROR(VLOOKUP(DATA!$P392,'M2'!$A:$C,R$2,FALSE)),"NOT PRESENT",VLOOKUP(DATA!$P392,'M2'!$A:$C,R$2,FALSE)),VLOOKUP($P392,'M1'!$A:$C,R$2,FALSE)),"SPECIFY METHOD")))</f>
        <v>Red sea urchin</v>
      </c>
      <c r="S392" s="28">
        <f t="shared" si="500"/>
        <v>5</v>
      </c>
      <c r="T392" s="20">
        <v>0</v>
      </c>
      <c r="U392" s="20"/>
      <c r="V392" s="20">
        <v>1</v>
      </c>
      <c r="W392" s="20">
        <v>2</v>
      </c>
      <c r="X392" s="20">
        <v>1</v>
      </c>
      <c r="Y392" s="20">
        <v>1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</row>
    <row r="393" spans="1:68" ht="12.75" customHeight="1">
      <c r="A393" s="21">
        <f t="shared" si="497"/>
        <v>391</v>
      </c>
      <c r="B393" s="20" t="str">
        <f t="shared" ref="B393:D393" si="742">IF(ISERROR(B392),IF(ISERROR(B391),IF(ISERROR(B390),"BLANK",B390),B391),B392)</f>
        <v>Em Lim</v>
      </c>
      <c r="C393" s="20" t="str">
        <f t="shared" si="742"/>
        <v>Valesca de Groot</v>
      </c>
      <c r="D393" s="20" t="str">
        <f t="shared" si="742"/>
        <v>BMSC23</v>
      </c>
      <c r="E393" s="21" t="str">
        <f>IF(ISERROR(VLOOKUP($D393,SITES!$A:$E,2,FALSE)),"",VLOOKUP($D393,SITES!$A:$E,2,FALSE))</f>
        <v>Aguilar Point</v>
      </c>
      <c r="F393" s="19">
        <f>IF(ISERROR(VLOOKUP($D393,SITES!$A:$E,3,FALSE)),"",VLOOKUP($D393,SITES!$A:$E,3,FALSE))</f>
        <v>48.837589000000001</v>
      </c>
      <c r="G393" s="22">
        <f>IF(ISERROR(VLOOKUP($D393,SITES!$A:$E,4,FALSE)),"",VLOOKUP($D393,SITES!$A:$E,4,FALSE))</f>
        <v>-125.14414499999999</v>
      </c>
      <c r="H393" s="23">
        <f t="shared" si="727"/>
        <v>45415</v>
      </c>
      <c r="I393" s="20">
        <f t="shared" ref="I393:M393" si="743">IF(ISERROR(I392),IF(ISERROR(I391),IF(ISERROR(I390),"BLANK",I390),I391),I392)</f>
        <v>2.5</v>
      </c>
      <c r="J393" s="20" t="str">
        <f t="shared" si="743"/>
        <v>NE</v>
      </c>
      <c r="K393" s="27">
        <f t="shared" si="743"/>
        <v>0.53472222222222221</v>
      </c>
      <c r="L393" s="20">
        <f t="shared" si="743"/>
        <v>6.7</v>
      </c>
      <c r="M393" s="20">
        <f t="shared" si="743"/>
        <v>2</v>
      </c>
      <c r="N393" s="20">
        <v>1</v>
      </c>
      <c r="O393" s="20">
        <v>8</v>
      </c>
      <c r="P393" s="20" t="s">
        <v>41</v>
      </c>
      <c r="Q393" s="21" t="str">
        <f>IF($M393=1,IF(ISERROR(VLOOKUP($P393,'M1'!$A:$C,Q$2,FALSE)),"NOT PRESENT",VLOOKUP($P393,'M1'!$A:$C,Q$2,FALSE)),IF($M393=2,IF(ISERROR(VLOOKUP(DATA!$P393,'M2'!$A:$C,Q$2,FALSE)),"NOT PRESENT",VLOOKUP(DATA!$P393,'M2'!$A:$C,Q$2,FALSE)),IF($M393=0,IF(ISERROR(VLOOKUP($P393,'M1'!$A:$C,Q$2,FALSE)),IF(ISERROR(VLOOKUP(DATA!$P393,'M2'!$A:$C,Q$2,FALSE)),"NOT PRESENT",VLOOKUP(DATA!$P393,'M2'!$A:$C,Q$2,FALSE)),VLOOKUP($P393,'M1'!$A:$C,Q$2,FALSE)),"SPECIFY METHOD")))</f>
        <v>Mesocentrotus franciscanus</v>
      </c>
      <c r="R393" s="21" t="str">
        <f>IF($M393=1,IF(ISERROR(VLOOKUP($P393,'M1'!$A:$C,R$2,FALSE)),"NOT PRESENT",VLOOKUP($P393,'M1'!$A:$C,R$2,FALSE)),IF($M393=2,IF(ISERROR(VLOOKUP(DATA!$P393,'M2'!$A:$C,R$2,FALSE)),"NOT PRESENT",VLOOKUP(DATA!$P393,'M2'!$A:$C,R$2,FALSE)),IF($M393=0,IF(ISERROR(VLOOKUP($P393,'M1'!$A:$C,R$2,FALSE)),IF(ISERROR(VLOOKUP(DATA!$P393,'M2'!$A:$C,R$2,FALSE)),"NOT PRESENT",VLOOKUP(DATA!$P393,'M2'!$A:$C,R$2,FALSE)),VLOOKUP($P393,'M1'!$A:$C,R$2,FALSE)),"SPECIFY METHOD")))</f>
        <v>Red sea urchin</v>
      </c>
      <c r="S393" s="28">
        <f t="shared" si="500"/>
        <v>6</v>
      </c>
      <c r="T393" s="20">
        <v>0</v>
      </c>
      <c r="U393" s="20"/>
      <c r="V393" s="20"/>
      <c r="W393" s="20">
        <v>5</v>
      </c>
      <c r="X393" s="20">
        <v>1</v>
      </c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</row>
    <row r="394" spans="1:68" ht="12.75" customHeight="1">
      <c r="A394" s="21">
        <f t="shared" si="497"/>
        <v>392</v>
      </c>
      <c r="B394" s="20" t="str">
        <f t="shared" ref="B394:D394" si="744">IF(ISERROR(B393),IF(ISERROR(B392),IF(ISERROR(B391),"BLANK",B391),B392),B393)</f>
        <v>Em Lim</v>
      </c>
      <c r="C394" s="20" t="str">
        <f t="shared" si="744"/>
        <v>Valesca de Groot</v>
      </c>
      <c r="D394" s="20" t="str">
        <f t="shared" si="744"/>
        <v>BMSC23</v>
      </c>
      <c r="E394" s="21" t="str">
        <f>IF(ISERROR(VLOOKUP($D394,SITES!$A:$E,2,FALSE)),"",VLOOKUP($D394,SITES!$A:$E,2,FALSE))</f>
        <v>Aguilar Point</v>
      </c>
      <c r="F394" s="19">
        <f>IF(ISERROR(VLOOKUP($D394,SITES!$A:$E,3,FALSE)),"",VLOOKUP($D394,SITES!$A:$E,3,FALSE))</f>
        <v>48.837589000000001</v>
      </c>
      <c r="G394" s="22">
        <f>IF(ISERROR(VLOOKUP($D394,SITES!$A:$E,4,FALSE)),"",VLOOKUP($D394,SITES!$A:$E,4,FALSE))</f>
        <v>-125.14414499999999</v>
      </c>
      <c r="H394" s="23">
        <f t="shared" si="727"/>
        <v>45415</v>
      </c>
      <c r="I394" s="20">
        <f t="shared" ref="I394:M394" si="745">IF(ISERROR(I393),IF(ISERROR(I392),IF(ISERROR(I391),"BLANK",I391),I392),I393)</f>
        <v>2.5</v>
      </c>
      <c r="J394" s="20" t="str">
        <f t="shared" si="745"/>
        <v>NE</v>
      </c>
      <c r="K394" s="27">
        <f t="shared" si="745"/>
        <v>0.53472222222222221</v>
      </c>
      <c r="L394" s="20">
        <f t="shared" si="745"/>
        <v>6.7</v>
      </c>
      <c r="M394" s="20">
        <f t="shared" si="745"/>
        <v>2</v>
      </c>
      <c r="N394" s="20">
        <v>1</v>
      </c>
      <c r="O394" s="20">
        <v>8</v>
      </c>
      <c r="P394" s="20" t="s">
        <v>40</v>
      </c>
      <c r="Q394" s="21" t="str">
        <f>IF($M394=1,IF(ISERROR(VLOOKUP($P394,'M1'!$A:$C,Q$2,FALSE)),"NOT PRESENT",VLOOKUP($P394,'M1'!$A:$C,Q$2,FALSE)),IF($M394=2,IF(ISERROR(VLOOKUP(DATA!$P394,'M2'!$A:$C,Q$2,FALSE)),"NOT PRESENT",VLOOKUP(DATA!$P394,'M2'!$A:$C,Q$2,FALSE)),IF($M394=0,IF(ISERROR(VLOOKUP($P394,'M1'!$A:$C,Q$2,FALSE)),IF(ISERROR(VLOOKUP(DATA!$P394,'M2'!$A:$C,Q$2,FALSE)),"NOT PRESENT",VLOOKUP(DATA!$P394,'M2'!$A:$C,Q$2,FALSE)),VLOOKUP($P394,'M1'!$A:$C,Q$2,FALSE)),"SPECIFY METHOD")))</f>
        <v>Patiria miniata</v>
      </c>
      <c r="R394" s="21" t="str">
        <f>IF($M394=1,IF(ISERROR(VLOOKUP($P394,'M1'!$A:$C,R$2,FALSE)),"NOT PRESENT",VLOOKUP($P394,'M1'!$A:$C,R$2,FALSE)),IF($M394=2,IF(ISERROR(VLOOKUP(DATA!$P394,'M2'!$A:$C,R$2,FALSE)),"NOT PRESENT",VLOOKUP(DATA!$P394,'M2'!$A:$C,R$2,FALSE)),IF($M394=0,IF(ISERROR(VLOOKUP($P394,'M1'!$A:$C,R$2,FALSE)),IF(ISERROR(VLOOKUP(DATA!$P394,'M2'!$A:$C,R$2,FALSE)),"NOT PRESENT",VLOOKUP(DATA!$P394,'M2'!$A:$C,R$2,FALSE)),VLOOKUP($P394,'M1'!$A:$C,R$2,FALSE)),"SPECIFY METHOD")))</f>
        <v>Bat star</v>
      </c>
      <c r="S394" s="28">
        <f t="shared" si="500"/>
        <v>1</v>
      </c>
      <c r="T394" s="20">
        <v>0</v>
      </c>
      <c r="U394" s="20"/>
      <c r="V394" s="20"/>
      <c r="W394" s="20"/>
      <c r="X394" s="20"/>
      <c r="Y394" s="20"/>
      <c r="Z394" s="20">
        <v>1</v>
      </c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</row>
    <row r="395" spans="1:68" ht="12.75" customHeight="1">
      <c r="A395" s="21">
        <f t="shared" si="497"/>
        <v>393</v>
      </c>
      <c r="B395" s="20" t="str">
        <f t="shared" ref="B395:D395" si="746">IF(ISERROR(B394),IF(ISERROR(B393),IF(ISERROR(B392),"BLANK",B392),B393),B394)</f>
        <v>Em Lim</v>
      </c>
      <c r="C395" s="20" t="str">
        <f t="shared" si="746"/>
        <v>Valesca de Groot</v>
      </c>
      <c r="D395" s="20" t="str">
        <f t="shared" si="746"/>
        <v>BMSC23</v>
      </c>
      <c r="E395" s="21" t="str">
        <f>IF(ISERROR(VLOOKUP($D395,SITES!$A:$E,2,FALSE)),"",VLOOKUP($D395,SITES!$A:$E,2,FALSE))</f>
        <v>Aguilar Point</v>
      </c>
      <c r="F395" s="19">
        <f>IF(ISERROR(VLOOKUP($D395,SITES!$A:$E,3,FALSE)),"",VLOOKUP($D395,SITES!$A:$E,3,FALSE))</f>
        <v>48.837589000000001</v>
      </c>
      <c r="G395" s="22">
        <f>IF(ISERROR(VLOOKUP($D395,SITES!$A:$E,4,FALSE)),"",VLOOKUP($D395,SITES!$A:$E,4,FALSE))</f>
        <v>-125.14414499999999</v>
      </c>
      <c r="H395" s="23">
        <f t="shared" si="727"/>
        <v>45415</v>
      </c>
      <c r="I395" s="20">
        <f t="shared" ref="I395:M395" si="747">IF(ISERROR(I394),IF(ISERROR(I393),IF(ISERROR(I392),"BLANK",I392),I393),I394)</f>
        <v>2.5</v>
      </c>
      <c r="J395" s="20" t="str">
        <f t="shared" si="747"/>
        <v>NE</v>
      </c>
      <c r="K395" s="27">
        <f t="shared" si="747"/>
        <v>0.53472222222222221</v>
      </c>
      <c r="L395" s="20">
        <f t="shared" si="747"/>
        <v>6.7</v>
      </c>
      <c r="M395" s="20">
        <f t="shared" si="747"/>
        <v>2</v>
      </c>
      <c r="N395" s="20">
        <v>1</v>
      </c>
      <c r="O395" s="20">
        <v>0</v>
      </c>
      <c r="P395" s="20" t="s">
        <v>41</v>
      </c>
      <c r="Q395" s="21" t="str">
        <f>IF($M395=1,IF(ISERROR(VLOOKUP($P395,'M1'!$A:$C,Q$2,FALSE)),"NOT PRESENT",VLOOKUP($P395,'M1'!$A:$C,Q$2,FALSE)),IF($M395=2,IF(ISERROR(VLOOKUP(DATA!$P395,'M2'!$A:$C,Q$2,FALSE)),"NOT PRESENT",VLOOKUP(DATA!$P395,'M2'!$A:$C,Q$2,FALSE)),IF($M395=0,IF(ISERROR(VLOOKUP($P395,'M1'!$A:$C,Q$2,FALSE)),IF(ISERROR(VLOOKUP(DATA!$P395,'M2'!$A:$C,Q$2,FALSE)),"NOT PRESENT",VLOOKUP(DATA!$P395,'M2'!$A:$C,Q$2,FALSE)),VLOOKUP($P395,'M1'!$A:$C,Q$2,FALSE)),"SPECIFY METHOD")))</f>
        <v>Mesocentrotus franciscanus</v>
      </c>
      <c r="R395" s="21" t="str">
        <f>IF($M395=1,IF(ISERROR(VLOOKUP($P395,'M1'!$A:$C,R$2,FALSE)),"NOT PRESENT",VLOOKUP($P395,'M1'!$A:$C,R$2,FALSE)),IF($M395=2,IF(ISERROR(VLOOKUP(DATA!$P395,'M2'!$A:$C,R$2,FALSE)),"NOT PRESENT",VLOOKUP(DATA!$P395,'M2'!$A:$C,R$2,FALSE)),IF($M395=0,IF(ISERROR(VLOOKUP($P395,'M1'!$A:$C,R$2,FALSE)),IF(ISERROR(VLOOKUP(DATA!$P395,'M2'!$A:$C,R$2,FALSE)),"NOT PRESENT",VLOOKUP(DATA!$P395,'M2'!$A:$C,R$2,FALSE)),VLOOKUP($P395,'M1'!$A:$C,R$2,FALSE)),"SPECIFY METHOD")))</f>
        <v>Red sea urchin</v>
      </c>
      <c r="S395" s="28">
        <f t="shared" si="500"/>
        <v>5</v>
      </c>
      <c r="T395" s="20">
        <v>0</v>
      </c>
      <c r="U395" s="20"/>
      <c r="V395" s="20">
        <v>2</v>
      </c>
      <c r="W395" s="20">
        <v>2</v>
      </c>
      <c r="X395" s="20">
        <v>1</v>
      </c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</row>
    <row r="396" spans="1:68" ht="12.75" customHeight="1">
      <c r="A396" s="21">
        <f t="shared" si="497"/>
        <v>394</v>
      </c>
      <c r="B396" s="20" t="str">
        <f t="shared" ref="B396:D396" si="748">IF(ISERROR(B395),IF(ISERROR(B394),IF(ISERROR(B393),"BLANK",B393),B394),B395)</f>
        <v>Em Lim</v>
      </c>
      <c r="C396" s="20" t="str">
        <f t="shared" si="748"/>
        <v>Valesca de Groot</v>
      </c>
      <c r="D396" s="20" t="str">
        <f t="shared" si="748"/>
        <v>BMSC23</v>
      </c>
      <c r="E396" s="21" t="str">
        <f>IF(ISERROR(VLOOKUP($D396,SITES!$A:$E,2,FALSE)),"",VLOOKUP($D396,SITES!$A:$E,2,FALSE))</f>
        <v>Aguilar Point</v>
      </c>
      <c r="F396" s="19">
        <f>IF(ISERROR(VLOOKUP($D396,SITES!$A:$E,3,FALSE)),"",VLOOKUP($D396,SITES!$A:$E,3,FALSE))</f>
        <v>48.837589000000001</v>
      </c>
      <c r="G396" s="22">
        <f>IF(ISERROR(VLOOKUP($D396,SITES!$A:$E,4,FALSE)),"",VLOOKUP($D396,SITES!$A:$E,4,FALSE))</f>
        <v>-125.14414499999999</v>
      </c>
      <c r="H396" s="23">
        <f t="shared" si="727"/>
        <v>45415</v>
      </c>
      <c r="I396" s="20">
        <f t="shared" ref="I396:M396" si="749">IF(ISERROR(I395),IF(ISERROR(I394),IF(ISERROR(I393),"BLANK",I393),I394),I395)</f>
        <v>2.5</v>
      </c>
      <c r="J396" s="20" t="str">
        <f t="shared" si="749"/>
        <v>NE</v>
      </c>
      <c r="K396" s="27">
        <f t="shared" si="749"/>
        <v>0.53472222222222221</v>
      </c>
      <c r="L396" s="20">
        <f t="shared" si="749"/>
        <v>6.7</v>
      </c>
      <c r="M396" s="20">
        <f t="shared" si="749"/>
        <v>2</v>
      </c>
      <c r="N396" s="20">
        <v>1</v>
      </c>
      <c r="O396" s="20">
        <v>0</v>
      </c>
      <c r="P396" s="20" t="s">
        <v>40</v>
      </c>
      <c r="Q396" s="21" t="str">
        <f>IF($M396=1,IF(ISERROR(VLOOKUP($P396,'M1'!$A:$C,Q$2,FALSE)),"NOT PRESENT",VLOOKUP($P396,'M1'!$A:$C,Q$2,FALSE)),IF($M396=2,IF(ISERROR(VLOOKUP(DATA!$P396,'M2'!$A:$C,Q$2,FALSE)),"NOT PRESENT",VLOOKUP(DATA!$P396,'M2'!$A:$C,Q$2,FALSE)),IF($M396=0,IF(ISERROR(VLOOKUP($P396,'M1'!$A:$C,Q$2,FALSE)),IF(ISERROR(VLOOKUP(DATA!$P396,'M2'!$A:$C,Q$2,FALSE)),"NOT PRESENT",VLOOKUP(DATA!$P396,'M2'!$A:$C,Q$2,FALSE)),VLOOKUP($P396,'M1'!$A:$C,Q$2,FALSE)),"SPECIFY METHOD")))</f>
        <v>Patiria miniata</v>
      </c>
      <c r="R396" s="21" t="str">
        <f>IF($M396=1,IF(ISERROR(VLOOKUP($P396,'M1'!$A:$C,R$2,FALSE)),"NOT PRESENT",VLOOKUP($P396,'M1'!$A:$C,R$2,FALSE)),IF($M396=2,IF(ISERROR(VLOOKUP(DATA!$P396,'M2'!$A:$C,R$2,FALSE)),"NOT PRESENT",VLOOKUP(DATA!$P396,'M2'!$A:$C,R$2,FALSE)),IF($M396=0,IF(ISERROR(VLOOKUP($P396,'M1'!$A:$C,R$2,FALSE)),IF(ISERROR(VLOOKUP(DATA!$P396,'M2'!$A:$C,R$2,FALSE)),"NOT PRESENT",VLOOKUP(DATA!$P396,'M2'!$A:$C,R$2,FALSE)),VLOOKUP($P396,'M1'!$A:$C,R$2,FALSE)),"SPECIFY METHOD")))</f>
        <v>Bat star</v>
      </c>
      <c r="S396" s="28">
        <f t="shared" si="500"/>
        <v>1</v>
      </c>
      <c r="T396" s="20">
        <v>0</v>
      </c>
      <c r="U396" s="20"/>
      <c r="V396" s="20"/>
      <c r="W396" s="20"/>
      <c r="X396" s="20"/>
      <c r="Y396" s="20">
        <v>1</v>
      </c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</row>
    <row r="397" spans="1:68" ht="12.75" customHeight="1">
      <c r="A397" s="20"/>
      <c r="B397" s="20"/>
      <c r="C397" s="20"/>
      <c r="D397" s="20"/>
      <c r="E397" s="20"/>
      <c r="F397" s="20"/>
      <c r="G397" s="20"/>
      <c r="H397" s="23"/>
      <c r="I397" s="20"/>
      <c r="J397" s="20"/>
      <c r="K397" s="27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</row>
    <row r="398" spans="1:68" ht="12.75" customHeight="1">
      <c r="A398" s="20"/>
      <c r="B398" s="20"/>
      <c r="C398" s="20"/>
      <c r="D398" s="20"/>
      <c r="E398" s="20"/>
      <c r="F398" s="20"/>
      <c r="G398" s="20"/>
      <c r="H398" s="23"/>
      <c r="I398" s="20"/>
      <c r="J398" s="20"/>
      <c r="K398" s="27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</row>
    <row r="399" spans="1:68" ht="12.75" customHeight="1">
      <c r="A399" s="20"/>
      <c r="B399" s="20"/>
      <c r="C399" s="20"/>
      <c r="D399" s="20"/>
      <c r="E399" s="20"/>
      <c r="F399" s="20"/>
      <c r="G399" s="20"/>
      <c r="H399" s="23"/>
      <c r="I399" s="20"/>
      <c r="J399" s="20"/>
      <c r="K399" s="27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</row>
    <row r="400" spans="1:68" ht="12.75" customHeight="1">
      <c r="A400" s="20"/>
      <c r="B400" s="20"/>
      <c r="C400" s="20"/>
      <c r="D400" s="20"/>
      <c r="E400" s="20"/>
      <c r="F400" s="20"/>
      <c r="G400" s="20"/>
      <c r="H400" s="23"/>
      <c r="I400" s="20"/>
      <c r="J400" s="20"/>
      <c r="K400" s="27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</row>
    <row r="401" spans="1:68" ht="12.75" customHeight="1">
      <c r="A401" s="20"/>
      <c r="B401" s="20"/>
      <c r="C401" s="20"/>
      <c r="D401" s="20"/>
      <c r="E401" s="20"/>
      <c r="F401" s="20"/>
      <c r="G401" s="20"/>
      <c r="H401" s="23"/>
      <c r="I401" s="20"/>
      <c r="J401" s="20"/>
      <c r="K401" s="27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</row>
    <row r="402" spans="1:68" ht="12.75" customHeight="1">
      <c r="A402" s="20"/>
      <c r="B402" s="20"/>
      <c r="C402" s="20"/>
      <c r="D402" s="20"/>
      <c r="E402" s="20"/>
      <c r="F402" s="20"/>
      <c r="G402" s="20"/>
      <c r="H402" s="23"/>
      <c r="I402" s="20"/>
      <c r="J402" s="20"/>
      <c r="K402" s="27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</row>
    <row r="403" spans="1:68" ht="12.75" customHeight="1">
      <c r="A403" s="20"/>
      <c r="B403" s="20"/>
      <c r="C403" s="20"/>
      <c r="D403" s="20"/>
      <c r="E403" s="20"/>
      <c r="F403" s="20"/>
      <c r="G403" s="20"/>
      <c r="H403" s="23"/>
      <c r="I403" s="20"/>
      <c r="J403" s="20"/>
      <c r="K403" s="27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</row>
    <row r="404" spans="1:68" ht="12.75" customHeight="1">
      <c r="A404" s="20"/>
      <c r="B404" s="20"/>
      <c r="C404" s="20"/>
      <c r="D404" s="20"/>
      <c r="E404" s="20"/>
      <c r="F404" s="20"/>
      <c r="G404" s="20"/>
      <c r="H404" s="23"/>
      <c r="I404" s="20"/>
      <c r="J404" s="20"/>
      <c r="K404" s="27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</row>
    <row r="405" spans="1:68" ht="12.75" customHeight="1">
      <c r="A405" s="20"/>
      <c r="B405" s="20"/>
      <c r="C405" s="20"/>
      <c r="D405" s="20"/>
      <c r="E405" s="20"/>
      <c r="F405" s="20"/>
      <c r="G405" s="20"/>
      <c r="H405" s="23"/>
      <c r="I405" s="20"/>
      <c r="J405" s="20"/>
      <c r="K405" s="27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</row>
    <row r="406" spans="1:68" ht="12.75" customHeight="1">
      <c r="A406" s="20"/>
      <c r="B406" s="20"/>
      <c r="C406" s="20"/>
      <c r="D406" s="20"/>
      <c r="E406" s="20"/>
      <c r="F406" s="20"/>
      <c r="G406" s="20"/>
      <c r="H406" s="23"/>
      <c r="I406" s="20"/>
      <c r="J406" s="20"/>
      <c r="K406" s="27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</row>
    <row r="407" spans="1:68" ht="12.75" customHeight="1">
      <c r="A407" s="20"/>
      <c r="B407" s="20"/>
      <c r="C407" s="20"/>
      <c r="D407" s="20"/>
      <c r="E407" s="20"/>
      <c r="F407" s="20"/>
      <c r="G407" s="20"/>
      <c r="H407" s="23"/>
      <c r="I407" s="20"/>
      <c r="J407" s="20"/>
      <c r="K407" s="27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</row>
    <row r="408" spans="1:68" ht="12.75" customHeight="1">
      <c r="A408" s="20"/>
      <c r="B408" s="20"/>
      <c r="C408" s="20"/>
      <c r="D408" s="20"/>
      <c r="E408" s="20"/>
      <c r="F408" s="20"/>
      <c r="G408" s="20"/>
      <c r="H408" s="23"/>
      <c r="I408" s="20"/>
      <c r="J408" s="20"/>
      <c r="K408" s="27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</row>
    <row r="409" spans="1:68" ht="12.75" customHeight="1">
      <c r="A409" s="20"/>
      <c r="B409" s="20"/>
      <c r="C409" s="20"/>
      <c r="D409" s="20"/>
      <c r="E409" s="20"/>
      <c r="F409" s="20"/>
      <c r="G409" s="20"/>
      <c r="H409" s="23"/>
      <c r="I409" s="20"/>
      <c r="J409" s="20"/>
      <c r="K409" s="27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</row>
    <row r="410" spans="1:68" ht="12.75" customHeight="1">
      <c r="A410" s="20"/>
      <c r="B410" s="20"/>
      <c r="C410" s="20"/>
      <c r="D410" s="20"/>
      <c r="E410" s="20"/>
      <c r="F410" s="20"/>
      <c r="G410" s="20"/>
      <c r="H410" s="23"/>
      <c r="I410" s="20"/>
      <c r="J410" s="20"/>
      <c r="K410" s="27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</row>
    <row r="411" spans="1:68" ht="12.75" customHeight="1">
      <c r="A411" s="20"/>
      <c r="B411" s="20"/>
      <c r="C411" s="20"/>
      <c r="D411" s="20"/>
      <c r="E411" s="20"/>
      <c r="F411" s="20"/>
      <c r="G411" s="20"/>
      <c r="H411" s="23"/>
      <c r="I411" s="20"/>
      <c r="J411" s="20"/>
      <c r="K411" s="27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</row>
    <row r="412" spans="1:68" ht="12.75" customHeight="1">
      <c r="A412" s="20"/>
      <c r="B412" s="20"/>
      <c r="C412" s="20"/>
      <c r="D412" s="20"/>
      <c r="E412" s="20"/>
      <c r="F412" s="20"/>
      <c r="G412" s="20"/>
      <c r="H412" s="23"/>
      <c r="I412" s="20"/>
      <c r="J412" s="20"/>
      <c r="K412" s="27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</row>
    <row r="413" spans="1:68" ht="12.75" customHeight="1">
      <c r="A413" s="20"/>
      <c r="B413" s="20"/>
      <c r="C413" s="20"/>
      <c r="D413" s="20"/>
      <c r="E413" s="20"/>
      <c r="F413" s="20"/>
      <c r="G413" s="20"/>
      <c r="H413" s="23"/>
      <c r="I413" s="20"/>
      <c r="J413" s="20"/>
      <c r="K413" s="27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</row>
    <row r="414" spans="1:68" ht="12.75" customHeight="1">
      <c r="A414" s="20"/>
      <c r="B414" s="20"/>
      <c r="C414" s="20"/>
      <c r="D414" s="20"/>
      <c r="E414" s="20"/>
      <c r="F414" s="20"/>
      <c r="G414" s="20"/>
      <c r="H414" s="23"/>
      <c r="I414" s="20"/>
      <c r="J414" s="20"/>
      <c r="K414" s="27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</row>
    <row r="415" spans="1:68" ht="12.75" customHeight="1">
      <c r="A415" s="20"/>
      <c r="B415" s="20"/>
      <c r="C415" s="20"/>
      <c r="D415" s="20"/>
      <c r="E415" s="20"/>
      <c r="F415" s="20"/>
      <c r="G415" s="20"/>
      <c r="H415" s="23"/>
      <c r="I415" s="20"/>
      <c r="J415" s="20"/>
      <c r="K415" s="27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</row>
    <row r="416" spans="1:68" ht="12.75" customHeight="1">
      <c r="A416" s="20"/>
      <c r="B416" s="20"/>
      <c r="C416" s="20"/>
      <c r="D416" s="20"/>
      <c r="E416" s="20"/>
      <c r="F416" s="20"/>
      <c r="G416" s="20"/>
      <c r="H416" s="23"/>
      <c r="I416" s="20"/>
      <c r="J416" s="20"/>
      <c r="K416" s="27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</row>
    <row r="417" spans="1:68" ht="12.75" customHeight="1">
      <c r="A417" s="20"/>
      <c r="B417" s="20"/>
      <c r="C417" s="20"/>
      <c r="D417" s="20"/>
      <c r="E417" s="20"/>
      <c r="F417" s="20"/>
      <c r="G417" s="20"/>
      <c r="H417" s="23"/>
      <c r="I417" s="20"/>
      <c r="J417" s="20"/>
      <c r="K417" s="27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</row>
    <row r="418" spans="1:68" ht="12.75" customHeight="1">
      <c r="A418" s="20"/>
      <c r="B418" s="20"/>
      <c r="C418" s="20"/>
      <c r="D418" s="20"/>
      <c r="E418" s="20"/>
      <c r="F418" s="20"/>
      <c r="G418" s="20"/>
      <c r="H418" s="23"/>
      <c r="I418" s="20"/>
      <c r="J418" s="20"/>
      <c r="K418" s="27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</row>
    <row r="419" spans="1:68" ht="12.75" customHeight="1">
      <c r="A419" s="20"/>
      <c r="B419" s="20"/>
      <c r="C419" s="20"/>
      <c r="D419" s="20"/>
      <c r="E419" s="20"/>
      <c r="F419" s="20"/>
      <c r="G419" s="20"/>
      <c r="H419" s="23"/>
      <c r="I419" s="20"/>
      <c r="J419" s="20"/>
      <c r="K419" s="27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</row>
    <row r="420" spans="1:68" ht="12.75" customHeight="1">
      <c r="A420" s="20"/>
      <c r="B420" s="20"/>
      <c r="C420" s="20"/>
      <c r="D420" s="20"/>
      <c r="E420" s="20"/>
      <c r="F420" s="20"/>
      <c r="G420" s="20"/>
      <c r="H420" s="23"/>
      <c r="I420" s="20"/>
      <c r="J420" s="20"/>
      <c r="K420" s="27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</row>
    <row r="421" spans="1:68" ht="12.75" customHeight="1">
      <c r="A421" s="20"/>
      <c r="B421" s="20"/>
      <c r="C421" s="20"/>
      <c r="D421" s="20"/>
      <c r="E421" s="20"/>
      <c r="F421" s="20"/>
      <c r="G421" s="20"/>
      <c r="H421" s="23"/>
      <c r="I421" s="20"/>
      <c r="J421" s="20"/>
      <c r="K421" s="27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</row>
    <row r="422" spans="1:68" ht="12.75" customHeight="1">
      <c r="A422" s="20"/>
      <c r="B422" s="20"/>
      <c r="C422" s="20"/>
      <c r="D422" s="20"/>
      <c r="E422" s="20"/>
      <c r="F422" s="20"/>
      <c r="G422" s="20"/>
      <c r="H422" s="23"/>
      <c r="I422" s="20"/>
      <c r="J422" s="20"/>
      <c r="K422" s="27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</row>
    <row r="423" spans="1:68" ht="12.75" customHeight="1">
      <c r="A423" s="20"/>
      <c r="B423" s="20"/>
      <c r="C423" s="20"/>
      <c r="D423" s="20"/>
      <c r="E423" s="20"/>
      <c r="F423" s="20"/>
      <c r="G423" s="20"/>
      <c r="H423" s="23"/>
      <c r="I423" s="20"/>
      <c r="J423" s="20"/>
      <c r="K423" s="27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</row>
    <row r="424" spans="1:68" ht="12.75" customHeight="1">
      <c r="A424" s="20"/>
      <c r="B424" s="20"/>
      <c r="C424" s="20"/>
      <c r="D424" s="20"/>
      <c r="E424" s="20"/>
      <c r="F424" s="20"/>
      <c r="G424" s="20"/>
      <c r="H424" s="23"/>
      <c r="I424" s="20"/>
      <c r="J424" s="20"/>
      <c r="K424" s="27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</row>
    <row r="425" spans="1:68" ht="12.75" customHeight="1">
      <c r="A425" s="20"/>
      <c r="B425" s="20"/>
      <c r="C425" s="20"/>
      <c r="D425" s="20"/>
      <c r="E425" s="20"/>
      <c r="F425" s="20"/>
      <c r="G425" s="20"/>
      <c r="H425" s="23"/>
      <c r="I425" s="20"/>
      <c r="J425" s="20"/>
      <c r="K425" s="27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</row>
    <row r="426" spans="1:68" ht="12.75" customHeight="1">
      <c r="A426" s="20"/>
      <c r="B426" s="20"/>
      <c r="C426" s="20"/>
      <c r="D426" s="20"/>
      <c r="E426" s="20"/>
      <c r="F426" s="20"/>
      <c r="G426" s="20"/>
      <c r="H426" s="23"/>
      <c r="I426" s="20"/>
      <c r="J426" s="20"/>
      <c r="K426" s="27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</row>
    <row r="427" spans="1:68" ht="12.75" customHeight="1">
      <c r="A427" s="20"/>
      <c r="B427" s="20"/>
      <c r="C427" s="20"/>
      <c r="D427" s="20"/>
      <c r="E427" s="20"/>
      <c r="F427" s="20"/>
      <c r="G427" s="20"/>
      <c r="H427" s="23"/>
      <c r="I427" s="20"/>
      <c r="J427" s="20"/>
      <c r="K427" s="27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</row>
    <row r="428" spans="1:68" ht="12.75" customHeight="1">
      <c r="A428" s="20"/>
      <c r="B428" s="20"/>
      <c r="C428" s="20"/>
      <c r="D428" s="20"/>
      <c r="E428" s="20"/>
      <c r="F428" s="20"/>
      <c r="G428" s="20"/>
      <c r="H428" s="23"/>
      <c r="I428" s="20"/>
      <c r="J428" s="20"/>
      <c r="K428" s="27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</row>
    <row r="429" spans="1:68" ht="12.75" customHeight="1">
      <c r="A429" s="20"/>
      <c r="B429" s="20"/>
      <c r="C429" s="20"/>
      <c r="D429" s="20"/>
      <c r="E429" s="20"/>
      <c r="F429" s="20"/>
      <c r="G429" s="20"/>
      <c r="H429" s="23"/>
      <c r="I429" s="20"/>
      <c r="J429" s="20"/>
      <c r="K429" s="27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</row>
    <row r="430" spans="1:68" ht="12.75" customHeight="1">
      <c r="A430" s="20"/>
      <c r="B430" s="20"/>
      <c r="C430" s="20"/>
      <c r="D430" s="20"/>
      <c r="E430" s="20"/>
      <c r="F430" s="20"/>
      <c r="G430" s="20"/>
      <c r="H430" s="23"/>
      <c r="I430" s="20"/>
      <c r="J430" s="20"/>
      <c r="K430" s="27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</row>
    <row r="431" spans="1:68" ht="12.75" customHeight="1">
      <c r="A431" s="20"/>
      <c r="B431" s="20"/>
      <c r="C431" s="20"/>
      <c r="D431" s="20"/>
      <c r="E431" s="20"/>
      <c r="F431" s="20"/>
      <c r="G431" s="20"/>
      <c r="H431" s="23"/>
      <c r="I431" s="20"/>
      <c r="J431" s="20"/>
      <c r="K431" s="27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</row>
    <row r="432" spans="1:68" ht="12.75" customHeight="1">
      <c r="A432" s="20"/>
      <c r="B432" s="20"/>
      <c r="C432" s="20"/>
      <c r="D432" s="20"/>
      <c r="E432" s="20"/>
      <c r="F432" s="20"/>
      <c r="G432" s="20"/>
      <c r="H432" s="23"/>
      <c r="I432" s="20"/>
      <c r="J432" s="20"/>
      <c r="K432" s="27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</row>
    <row r="433" spans="1:68" ht="12.75" customHeight="1">
      <c r="A433" s="20"/>
      <c r="B433" s="20"/>
      <c r="C433" s="20"/>
      <c r="D433" s="20"/>
      <c r="E433" s="20"/>
      <c r="F433" s="20"/>
      <c r="G433" s="20"/>
      <c r="H433" s="23"/>
      <c r="I433" s="20"/>
      <c r="J433" s="20"/>
      <c r="K433" s="27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</row>
    <row r="434" spans="1:68" ht="12.75" customHeight="1">
      <c r="A434" s="20"/>
      <c r="B434" s="20"/>
      <c r="C434" s="20"/>
      <c r="D434" s="20"/>
      <c r="E434" s="20"/>
      <c r="F434" s="20"/>
      <c r="G434" s="20"/>
      <c r="H434" s="23"/>
      <c r="I434" s="20"/>
      <c r="J434" s="20"/>
      <c r="K434" s="27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</row>
    <row r="435" spans="1:68" ht="12.75" customHeight="1">
      <c r="A435" s="20"/>
      <c r="B435" s="20"/>
      <c r="C435" s="20"/>
      <c r="D435" s="20"/>
      <c r="E435" s="20"/>
      <c r="F435" s="20"/>
      <c r="G435" s="20"/>
      <c r="H435" s="23"/>
      <c r="I435" s="20"/>
      <c r="J435" s="20"/>
      <c r="K435" s="27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</row>
    <row r="436" spans="1:68" ht="12.75" customHeight="1">
      <c r="A436" s="20"/>
      <c r="B436" s="20"/>
      <c r="C436" s="20"/>
      <c r="D436" s="20"/>
      <c r="E436" s="20"/>
      <c r="F436" s="20"/>
      <c r="G436" s="20"/>
      <c r="H436" s="23"/>
      <c r="I436" s="20"/>
      <c r="J436" s="20"/>
      <c r="K436" s="27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</row>
    <row r="437" spans="1:68" ht="12.75" customHeight="1">
      <c r="A437" s="20"/>
      <c r="B437" s="20"/>
      <c r="C437" s="20"/>
      <c r="D437" s="20"/>
      <c r="E437" s="20"/>
      <c r="F437" s="20"/>
      <c r="G437" s="20"/>
      <c r="H437" s="23"/>
      <c r="I437" s="20"/>
      <c r="J437" s="20"/>
      <c r="K437" s="27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</row>
    <row r="438" spans="1:68" ht="12.75" customHeight="1">
      <c r="A438" s="20"/>
      <c r="B438" s="20"/>
      <c r="C438" s="20"/>
      <c r="D438" s="20"/>
      <c r="E438" s="20"/>
      <c r="F438" s="20"/>
      <c r="G438" s="20"/>
      <c r="H438" s="23"/>
      <c r="I438" s="20"/>
      <c r="J438" s="20"/>
      <c r="K438" s="27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</row>
    <row r="439" spans="1:68" ht="12.75" customHeight="1">
      <c r="A439" s="20"/>
      <c r="B439" s="20"/>
      <c r="C439" s="20"/>
      <c r="D439" s="20"/>
      <c r="E439" s="20"/>
      <c r="F439" s="20"/>
      <c r="G439" s="20"/>
      <c r="H439" s="23"/>
      <c r="I439" s="20"/>
      <c r="J439" s="20"/>
      <c r="K439" s="27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</row>
    <row r="440" spans="1:68" ht="12.75" customHeight="1">
      <c r="A440" s="20"/>
      <c r="B440" s="20"/>
      <c r="C440" s="20"/>
      <c r="D440" s="20"/>
      <c r="E440" s="20"/>
      <c r="F440" s="20"/>
      <c r="G440" s="20"/>
      <c r="H440" s="23"/>
      <c r="I440" s="20"/>
      <c r="J440" s="20"/>
      <c r="K440" s="27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</row>
    <row r="441" spans="1:68" ht="12.75" customHeight="1">
      <c r="A441" s="20"/>
      <c r="B441" s="20"/>
      <c r="C441" s="20"/>
      <c r="D441" s="20"/>
      <c r="E441" s="20"/>
      <c r="F441" s="20"/>
      <c r="G441" s="20"/>
      <c r="H441" s="23"/>
      <c r="I441" s="20"/>
      <c r="J441" s="20"/>
      <c r="K441" s="27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</row>
    <row r="442" spans="1:68" ht="12.75" customHeight="1">
      <c r="A442" s="20"/>
      <c r="B442" s="20"/>
      <c r="C442" s="20"/>
      <c r="D442" s="20"/>
      <c r="E442" s="20"/>
      <c r="F442" s="20"/>
      <c r="G442" s="20"/>
      <c r="H442" s="23"/>
      <c r="I442" s="20"/>
      <c r="J442" s="20"/>
      <c r="K442" s="27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</row>
    <row r="443" spans="1:68" ht="12.75" customHeight="1">
      <c r="A443" s="20"/>
      <c r="B443" s="20"/>
      <c r="C443" s="20"/>
      <c r="D443" s="20"/>
      <c r="E443" s="20"/>
      <c r="F443" s="20"/>
      <c r="G443" s="20"/>
      <c r="H443" s="23"/>
      <c r="I443" s="20"/>
      <c r="J443" s="20"/>
      <c r="K443" s="27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</row>
    <row r="444" spans="1:68" ht="12.75" customHeight="1">
      <c r="A444" s="20"/>
      <c r="B444" s="20"/>
      <c r="C444" s="20"/>
      <c r="D444" s="20"/>
      <c r="E444" s="20"/>
      <c r="F444" s="20"/>
      <c r="G444" s="20"/>
      <c r="H444" s="23"/>
      <c r="I444" s="20"/>
      <c r="J444" s="20"/>
      <c r="K444" s="27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</row>
    <row r="445" spans="1:68" ht="12.75" customHeight="1">
      <c r="A445" s="20"/>
      <c r="B445" s="20"/>
      <c r="C445" s="20"/>
      <c r="D445" s="20"/>
      <c r="E445" s="20"/>
      <c r="F445" s="20"/>
      <c r="G445" s="20"/>
      <c r="H445" s="23"/>
      <c r="I445" s="20"/>
      <c r="J445" s="20"/>
      <c r="K445" s="27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</row>
    <row r="446" spans="1:68" ht="12.75" customHeight="1">
      <c r="A446" s="20"/>
      <c r="B446" s="20"/>
      <c r="C446" s="20"/>
      <c r="D446" s="20"/>
      <c r="E446" s="20"/>
      <c r="F446" s="20"/>
      <c r="G446" s="20"/>
      <c r="H446" s="23"/>
      <c r="I446" s="20"/>
      <c r="J446" s="20"/>
      <c r="K446" s="27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</row>
    <row r="447" spans="1:68" ht="12.75" customHeight="1">
      <c r="A447" s="20"/>
      <c r="B447" s="20"/>
      <c r="C447" s="20"/>
      <c r="D447" s="20"/>
      <c r="E447" s="20"/>
      <c r="F447" s="20"/>
      <c r="G447" s="20"/>
      <c r="H447" s="23"/>
      <c r="I447" s="20"/>
      <c r="J447" s="20"/>
      <c r="K447" s="27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</row>
    <row r="448" spans="1:68" ht="12.75" customHeight="1">
      <c r="A448" s="20"/>
      <c r="B448" s="20"/>
      <c r="C448" s="20"/>
      <c r="D448" s="20"/>
      <c r="E448" s="20"/>
      <c r="F448" s="20"/>
      <c r="G448" s="20"/>
      <c r="H448" s="23"/>
      <c r="I448" s="20"/>
      <c r="J448" s="20"/>
      <c r="K448" s="27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</row>
    <row r="449" spans="1:68" ht="12.75" customHeight="1">
      <c r="A449" s="20"/>
      <c r="B449" s="20"/>
      <c r="C449" s="20"/>
      <c r="D449" s="20"/>
      <c r="E449" s="20"/>
      <c r="F449" s="20"/>
      <c r="G449" s="20"/>
      <c r="H449" s="23"/>
      <c r="I449" s="20"/>
      <c r="J449" s="20"/>
      <c r="K449" s="27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</row>
    <row r="450" spans="1:68" ht="12.75" customHeight="1">
      <c r="A450" s="20"/>
      <c r="B450" s="20"/>
      <c r="C450" s="20"/>
      <c r="D450" s="20"/>
      <c r="E450" s="20"/>
      <c r="F450" s="20"/>
      <c r="G450" s="20"/>
      <c r="H450" s="23"/>
      <c r="I450" s="20"/>
      <c r="J450" s="20"/>
      <c r="K450" s="27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</row>
    <row r="451" spans="1:68" ht="12.75" customHeight="1">
      <c r="A451" s="20"/>
      <c r="B451" s="20"/>
      <c r="C451" s="20"/>
      <c r="D451" s="20"/>
      <c r="E451" s="20"/>
      <c r="F451" s="20"/>
      <c r="G451" s="20"/>
      <c r="H451" s="23"/>
      <c r="I451" s="20"/>
      <c r="J451" s="20"/>
      <c r="K451" s="27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</row>
    <row r="452" spans="1:68" ht="12.75" customHeight="1">
      <c r="A452" s="20"/>
      <c r="B452" s="20"/>
      <c r="C452" s="20"/>
      <c r="D452" s="20"/>
      <c r="E452" s="20"/>
      <c r="F452" s="20"/>
      <c r="G452" s="20"/>
      <c r="H452" s="23"/>
      <c r="I452" s="20"/>
      <c r="J452" s="20"/>
      <c r="K452" s="27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</row>
    <row r="453" spans="1:68" ht="12.75" customHeight="1">
      <c r="A453" s="20"/>
      <c r="B453" s="20"/>
      <c r="C453" s="20"/>
      <c r="D453" s="20"/>
      <c r="E453" s="20"/>
      <c r="F453" s="20"/>
      <c r="G453" s="20"/>
      <c r="H453" s="23"/>
      <c r="I453" s="20"/>
      <c r="J453" s="20"/>
      <c r="K453" s="27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</row>
    <row r="454" spans="1:68" ht="12.75" customHeight="1">
      <c r="A454" s="20"/>
      <c r="B454" s="20"/>
      <c r="C454" s="20"/>
      <c r="D454" s="20"/>
      <c r="E454" s="20"/>
      <c r="F454" s="20"/>
      <c r="G454" s="20"/>
      <c r="H454" s="23"/>
      <c r="I454" s="20"/>
      <c r="J454" s="20"/>
      <c r="K454" s="27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</row>
    <row r="455" spans="1:68" ht="12.75" customHeight="1">
      <c r="A455" s="20"/>
      <c r="B455" s="20"/>
      <c r="C455" s="20"/>
      <c r="D455" s="20"/>
      <c r="E455" s="20"/>
      <c r="F455" s="20"/>
      <c r="G455" s="20"/>
      <c r="H455" s="23"/>
      <c r="I455" s="20"/>
      <c r="J455" s="20"/>
      <c r="K455" s="27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</row>
    <row r="456" spans="1:68" ht="12.75" customHeight="1">
      <c r="A456" s="20"/>
      <c r="B456" s="20"/>
      <c r="C456" s="20"/>
      <c r="D456" s="20"/>
      <c r="E456" s="20"/>
      <c r="F456" s="20"/>
      <c r="G456" s="20"/>
      <c r="H456" s="23"/>
      <c r="I456" s="20"/>
      <c r="J456" s="20"/>
      <c r="K456" s="27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</row>
    <row r="457" spans="1:68" ht="12.75" customHeight="1">
      <c r="A457" s="20"/>
      <c r="B457" s="20"/>
      <c r="C457" s="20"/>
      <c r="D457" s="20"/>
      <c r="E457" s="20"/>
      <c r="F457" s="20"/>
      <c r="G457" s="20"/>
      <c r="H457" s="23"/>
      <c r="I457" s="20"/>
      <c r="J457" s="20"/>
      <c r="K457" s="27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</row>
    <row r="458" spans="1:68" ht="12.75" customHeight="1">
      <c r="A458" s="20"/>
      <c r="B458" s="20"/>
      <c r="C458" s="20"/>
      <c r="D458" s="20"/>
      <c r="E458" s="20"/>
      <c r="F458" s="20"/>
      <c r="G458" s="20"/>
      <c r="H458" s="23"/>
      <c r="I458" s="20"/>
      <c r="J458" s="20"/>
      <c r="K458" s="27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</row>
    <row r="459" spans="1:68" ht="12.75" customHeight="1">
      <c r="A459" s="20"/>
      <c r="B459" s="20"/>
      <c r="C459" s="20"/>
      <c r="D459" s="20"/>
      <c r="E459" s="20"/>
      <c r="F459" s="20"/>
      <c r="G459" s="20"/>
      <c r="H459" s="23"/>
      <c r="I459" s="20"/>
      <c r="J459" s="20"/>
      <c r="K459" s="27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</row>
    <row r="460" spans="1:68" ht="12.75" customHeight="1">
      <c r="A460" s="20"/>
      <c r="B460" s="20"/>
      <c r="C460" s="20"/>
      <c r="D460" s="20"/>
      <c r="E460" s="20"/>
      <c r="F460" s="20"/>
      <c r="G460" s="20"/>
      <c r="H460" s="23"/>
      <c r="I460" s="20"/>
      <c r="J460" s="20"/>
      <c r="K460" s="27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</row>
    <row r="461" spans="1:68" ht="12.75" customHeight="1">
      <c r="A461" s="20"/>
      <c r="B461" s="20"/>
      <c r="C461" s="20"/>
      <c r="D461" s="20"/>
      <c r="E461" s="20"/>
      <c r="F461" s="20"/>
      <c r="G461" s="20"/>
      <c r="H461" s="23"/>
      <c r="I461" s="20"/>
      <c r="J461" s="20"/>
      <c r="K461" s="27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</row>
    <row r="462" spans="1:68" ht="12.75" customHeight="1">
      <c r="A462" s="20"/>
      <c r="B462" s="20"/>
      <c r="C462" s="20"/>
      <c r="D462" s="20"/>
      <c r="E462" s="20"/>
      <c r="F462" s="20"/>
      <c r="G462" s="20"/>
      <c r="H462" s="23"/>
      <c r="I462" s="20"/>
      <c r="J462" s="20"/>
      <c r="K462" s="27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</row>
    <row r="463" spans="1:68" ht="12.75" customHeight="1">
      <c r="A463" s="20"/>
      <c r="B463" s="20"/>
      <c r="C463" s="20"/>
      <c r="D463" s="20"/>
      <c r="E463" s="20"/>
      <c r="F463" s="20"/>
      <c r="G463" s="20"/>
      <c r="H463" s="23"/>
      <c r="I463" s="20"/>
      <c r="J463" s="20"/>
      <c r="K463" s="27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</row>
    <row r="464" spans="1:68" ht="12.75" customHeight="1">
      <c r="A464" s="20"/>
      <c r="B464" s="20"/>
      <c r="C464" s="20"/>
      <c r="D464" s="20"/>
      <c r="E464" s="20"/>
      <c r="F464" s="20"/>
      <c r="G464" s="20"/>
      <c r="H464" s="23"/>
      <c r="I464" s="20"/>
      <c r="J464" s="20"/>
      <c r="K464" s="27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</row>
    <row r="465" spans="1:68" ht="12.75" customHeight="1">
      <c r="A465" s="20"/>
      <c r="B465" s="20"/>
      <c r="C465" s="20"/>
      <c r="D465" s="20"/>
      <c r="E465" s="20"/>
      <c r="F465" s="20"/>
      <c r="G465" s="20"/>
      <c r="H465" s="23"/>
      <c r="I465" s="20"/>
      <c r="J465" s="20"/>
      <c r="K465" s="27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</row>
    <row r="466" spans="1:68" ht="12.75" customHeight="1">
      <c r="A466" s="20"/>
      <c r="B466" s="20"/>
      <c r="C466" s="20"/>
      <c r="D466" s="20"/>
      <c r="E466" s="20"/>
      <c r="F466" s="20"/>
      <c r="G466" s="20"/>
      <c r="H466" s="23"/>
      <c r="I466" s="20"/>
      <c r="J466" s="20"/>
      <c r="K466" s="27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</row>
    <row r="467" spans="1:68" ht="12.75" customHeight="1">
      <c r="A467" s="20"/>
      <c r="B467" s="20"/>
      <c r="C467" s="20"/>
      <c r="D467" s="20"/>
      <c r="E467" s="20"/>
      <c r="F467" s="20"/>
      <c r="G467" s="20"/>
      <c r="H467" s="23"/>
      <c r="I467" s="20"/>
      <c r="J467" s="20"/>
      <c r="K467" s="27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</row>
    <row r="468" spans="1:68" ht="12.75" customHeight="1">
      <c r="A468" s="20"/>
      <c r="B468" s="20"/>
      <c r="C468" s="20"/>
      <c r="D468" s="20"/>
      <c r="E468" s="20"/>
      <c r="F468" s="20"/>
      <c r="G468" s="20"/>
      <c r="H468" s="23"/>
      <c r="I468" s="20"/>
      <c r="J468" s="20"/>
      <c r="K468" s="27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</row>
    <row r="469" spans="1:68" ht="12.75" customHeight="1">
      <c r="A469" s="20"/>
      <c r="B469" s="20"/>
      <c r="C469" s="20"/>
      <c r="D469" s="20"/>
      <c r="E469" s="20"/>
      <c r="F469" s="20"/>
      <c r="G469" s="20"/>
      <c r="H469" s="23"/>
      <c r="I469" s="20"/>
      <c r="J469" s="20"/>
      <c r="K469" s="27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</row>
    <row r="470" spans="1:68" ht="12.75" customHeight="1">
      <c r="A470" s="20"/>
      <c r="B470" s="20"/>
      <c r="C470" s="20"/>
      <c r="D470" s="20"/>
      <c r="E470" s="20"/>
      <c r="F470" s="20"/>
      <c r="G470" s="20"/>
      <c r="H470" s="23"/>
      <c r="I470" s="20"/>
      <c r="J470" s="20"/>
      <c r="K470" s="27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</row>
    <row r="471" spans="1:68" ht="12.75" customHeight="1">
      <c r="A471" s="20"/>
      <c r="B471" s="20"/>
      <c r="C471" s="20"/>
      <c r="D471" s="20"/>
      <c r="E471" s="20"/>
      <c r="F471" s="20"/>
      <c r="G471" s="20"/>
      <c r="H471" s="23"/>
      <c r="I471" s="20"/>
      <c r="J471" s="20"/>
      <c r="K471" s="27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</row>
    <row r="472" spans="1:68" ht="12.75" customHeight="1">
      <c r="A472" s="20"/>
      <c r="B472" s="20"/>
      <c r="C472" s="20"/>
      <c r="D472" s="20"/>
      <c r="E472" s="20"/>
      <c r="F472" s="20"/>
      <c r="G472" s="20"/>
      <c r="H472" s="23"/>
      <c r="I472" s="20"/>
      <c r="J472" s="20"/>
      <c r="K472" s="27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</row>
    <row r="473" spans="1:68" ht="12.75" customHeight="1">
      <c r="A473" s="20"/>
      <c r="B473" s="20"/>
      <c r="C473" s="20"/>
      <c r="D473" s="20"/>
      <c r="E473" s="20"/>
      <c r="F473" s="20"/>
      <c r="G473" s="20"/>
      <c r="H473" s="23"/>
      <c r="I473" s="20"/>
      <c r="J473" s="20"/>
      <c r="K473" s="27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</row>
    <row r="474" spans="1:68" ht="12.75" customHeight="1">
      <c r="A474" s="20"/>
      <c r="B474" s="20"/>
      <c r="C474" s="20"/>
      <c r="D474" s="20"/>
      <c r="E474" s="20"/>
      <c r="F474" s="20"/>
      <c r="G474" s="20"/>
      <c r="H474" s="23"/>
      <c r="I474" s="20"/>
      <c r="J474" s="20"/>
      <c r="K474" s="27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</row>
    <row r="475" spans="1:68" ht="12.75" customHeight="1">
      <c r="A475" s="20"/>
      <c r="B475" s="20"/>
      <c r="C475" s="20"/>
      <c r="D475" s="20"/>
      <c r="E475" s="20"/>
      <c r="F475" s="20"/>
      <c r="G475" s="20"/>
      <c r="H475" s="23"/>
      <c r="I475" s="20"/>
      <c r="J475" s="20"/>
      <c r="K475" s="27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</row>
    <row r="476" spans="1:68" ht="12.75" customHeight="1">
      <c r="A476" s="20"/>
      <c r="B476" s="20"/>
      <c r="C476" s="20"/>
      <c r="D476" s="20"/>
      <c r="E476" s="20"/>
      <c r="F476" s="20"/>
      <c r="G476" s="20"/>
      <c r="H476" s="23"/>
      <c r="I476" s="20"/>
      <c r="J476" s="20"/>
      <c r="K476" s="27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</row>
    <row r="477" spans="1:68" ht="12.75" customHeight="1">
      <c r="A477" s="20"/>
      <c r="B477" s="20"/>
      <c r="C477" s="20"/>
      <c r="D477" s="20"/>
      <c r="E477" s="20"/>
      <c r="F477" s="20"/>
      <c r="G477" s="20"/>
      <c r="H477" s="23"/>
      <c r="I477" s="20"/>
      <c r="J477" s="20"/>
      <c r="K477" s="27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</row>
    <row r="478" spans="1:68" ht="12.75" customHeight="1">
      <c r="A478" s="20"/>
      <c r="B478" s="20"/>
      <c r="C478" s="20"/>
      <c r="D478" s="20"/>
      <c r="E478" s="20"/>
      <c r="F478" s="20"/>
      <c r="G478" s="20"/>
      <c r="H478" s="23"/>
      <c r="I478" s="20"/>
      <c r="J478" s="20"/>
      <c r="K478" s="27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</row>
    <row r="479" spans="1:68" ht="12.75" customHeight="1">
      <c r="A479" s="20"/>
      <c r="B479" s="20"/>
      <c r="C479" s="20"/>
      <c r="D479" s="20"/>
      <c r="E479" s="20"/>
      <c r="F479" s="20"/>
      <c r="G479" s="20"/>
      <c r="H479" s="23"/>
      <c r="I479" s="20"/>
      <c r="J479" s="20"/>
      <c r="K479" s="27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</row>
    <row r="480" spans="1:68" ht="12.75" customHeight="1">
      <c r="A480" s="20"/>
      <c r="B480" s="20"/>
      <c r="C480" s="20"/>
      <c r="D480" s="20"/>
      <c r="E480" s="20"/>
      <c r="F480" s="20"/>
      <c r="G480" s="20"/>
      <c r="H480" s="23"/>
      <c r="I480" s="20"/>
      <c r="J480" s="20"/>
      <c r="K480" s="27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</row>
    <row r="481" spans="1:68" ht="12.75" customHeight="1">
      <c r="A481" s="20"/>
      <c r="B481" s="20"/>
      <c r="C481" s="20"/>
      <c r="D481" s="20"/>
      <c r="E481" s="20"/>
      <c r="F481" s="20"/>
      <c r="G481" s="20"/>
      <c r="H481" s="23"/>
      <c r="I481" s="20"/>
      <c r="J481" s="20"/>
      <c r="K481" s="27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</row>
    <row r="482" spans="1:68" ht="12.75" customHeight="1">
      <c r="A482" s="20"/>
      <c r="B482" s="20"/>
      <c r="C482" s="20"/>
      <c r="D482" s="20"/>
      <c r="E482" s="20"/>
      <c r="F482" s="20"/>
      <c r="G482" s="20"/>
      <c r="H482" s="23"/>
      <c r="I482" s="20"/>
      <c r="J482" s="20"/>
      <c r="K482" s="27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</row>
    <row r="483" spans="1:68" ht="12.75" customHeight="1">
      <c r="A483" s="20"/>
      <c r="B483" s="20"/>
      <c r="C483" s="20"/>
      <c r="D483" s="20"/>
      <c r="E483" s="20"/>
      <c r="F483" s="20"/>
      <c r="G483" s="20"/>
      <c r="H483" s="23"/>
      <c r="I483" s="20"/>
      <c r="J483" s="20"/>
      <c r="K483" s="27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</row>
    <row r="484" spans="1:68" ht="12.75" customHeight="1">
      <c r="A484" s="20"/>
      <c r="B484" s="20"/>
      <c r="C484" s="20"/>
      <c r="D484" s="20"/>
      <c r="E484" s="20"/>
      <c r="F484" s="20"/>
      <c r="G484" s="20"/>
      <c r="H484" s="23"/>
      <c r="I484" s="20"/>
      <c r="J484" s="20"/>
      <c r="K484" s="27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</row>
    <row r="485" spans="1:68" ht="12.75" customHeight="1">
      <c r="A485" s="20"/>
      <c r="B485" s="20"/>
      <c r="C485" s="20"/>
      <c r="D485" s="20"/>
      <c r="E485" s="20"/>
      <c r="F485" s="20"/>
      <c r="G485" s="20"/>
      <c r="H485" s="23"/>
      <c r="I485" s="20"/>
      <c r="J485" s="20"/>
      <c r="K485" s="27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</row>
    <row r="486" spans="1:68" ht="12.75" customHeight="1">
      <c r="A486" s="20"/>
      <c r="B486" s="20"/>
      <c r="C486" s="20"/>
      <c r="D486" s="20"/>
      <c r="E486" s="20"/>
      <c r="F486" s="20"/>
      <c r="G486" s="20"/>
      <c r="H486" s="23"/>
      <c r="I486" s="20"/>
      <c r="J486" s="20"/>
      <c r="K486" s="27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</row>
    <row r="487" spans="1:68" ht="12.75" customHeight="1">
      <c r="A487" s="20"/>
      <c r="B487" s="20"/>
      <c r="C487" s="20"/>
      <c r="D487" s="20"/>
      <c r="E487" s="20"/>
      <c r="F487" s="20"/>
      <c r="G487" s="20"/>
      <c r="H487" s="23"/>
      <c r="I487" s="20"/>
      <c r="J487" s="20"/>
      <c r="K487" s="27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</row>
    <row r="488" spans="1:68" ht="12.75" customHeight="1">
      <c r="A488" s="20"/>
      <c r="B488" s="20"/>
      <c r="C488" s="20"/>
      <c r="D488" s="20"/>
      <c r="E488" s="20"/>
      <c r="F488" s="20"/>
      <c r="G488" s="20"/>
      <c r="H488" s="23"/>
      <c r="I488" s="20"/>
      <c r="J488" s="20"/>
      <c r="K488" s="27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</row>
    <row r="489" spans="1:68" ht="12.75" customHeight="1">
      <c r="A489" s="20"/>
      <c r="B489" s="20"/>
      <c r="C489" s="20"/>
      <c r="D489" s="20"/>
      <c r="E489" s="20"/>
      <c r="F489" s="20"/>
      <c r="G489" s="20"/>
      <c r="H489" s="23"/>
      <c r="I489" s="20"/>
      <c r="J489" s="20"/>
      <c r="K489" s="27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</row>
    <row r="490" spans="1:68" ht="12.75" customHeight="1">
      <c r="A490" s="20"/>
      <c r="B490" s="20"/>
      <c r="C490" s="20"/>
      <c r="D490" s="20"/>
      <c r="E490" s="20"/>
      <c r="F490" s="20"/>
      <c r="G490" s="20"/>
      <c r="H490" s="23"/>
      <c r="I490" s="20"/>
      <c r="J490" s="20"/>
      <c r="K490" s="27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</row>
    <row r="491" spans="1:68" ht="12.75" customHeight="1">
      <c r="A491" s="20"/>
      <c r="B491" s="20"/>
      <c r="C491" s="20"/>
      <c r="D491" s="20"/>
      <c r="E491" s="20"/>
      <c r="F491" s="20"/>
      <c r="G491" s="20"/>
      <c r="H491" s="23"/>
      <c r="I491" s="20"/>
      <c r="J491" s="20"/>
      <c r="K491" s="27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</row>
    <row r="492" spans="1:68" ht="12.75" customHeight="1">
      <c r="A492" s="20"/>
      <c r="B492" s="20"/>
      <c r="C492" s="20"/>
      <c r="D492" s="20"/>
      <c r="E492" s="20"/>
      <c r="F492" s="20"/>
      <c r="G492" s="20"/>
      <c r="H492" s="23"/>
      <c r="I492" s="20"/>
      <c r="J492" s="20"/>
      <c r="K492" s="27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</row>
    <row r="493" spans="1:68" ht="12.75" customHeight="1">
      <c r="A493" s="20"/>
      <c r="B493" s="20"/>
      <c r="C493" s="20"/>
      <c r="D493" s="20"/>
      <c r="E493" s="20"/>
      <c r="F493" s="20"/>
      <c r="G493" s="20"/>
      <c r="H493" s="23"/>
      <c r="I493" s="20"/>
      <c r="J493" s="20"/>
      <c r="K493" s="27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</row>
    <row r="494" spans="1:68" ht="12.75" customHeight="1">
      <c r="A494" s="20"/>
      <c r="B494" s="20"/>
      <c r="C494" s="20"/>
      <c r="D494" s="20"/>
      <c r="E494" s="20"/>
      <c r="F494" s="20"/>
      <c r="G494" s="20"/>
      <c r="H494" s="23"/>
      <c r="I494" s="20"/>
      <c r="J494" s="20"/>
      <c r="K494" s="27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</row>
    <row r="495" spans="1:68" ht="12.75" customHeight="1">
      <c r="A495" s="20"/>
      <c r="B495" s="20"/>
      <c r="C495" s="20"/>
      <c r="D495" s="20"/>
      <c r="E495" s="20"/>
      <c r="F495" s="20"/>
      <c r="G495" s="20"/>
      <c r="H495" s="23"/>
      <c r="I495" s="20"/>
      <c r="J495" s="20"/>
      <c r="K495" s="27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</row>
    <row r="496" spans="1:68" ht="12.75" customHeight="1">
      <c r="A496" s="20"/>
      <c r="B496" s="20"/>
      <c r="C496" s="20"/>
      <c r="D496" s="20"/>
      <c r="E496" s="20"/>
      <c r="F496" s="20"/>
      <c r="G496" s="20"/>
      <c r="H496" s="23"/>
      <c r="I496" s="20"/>
      <c r="J496" s="20"/>
      <c r="K496" s="27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</row>
    <row r="497" spans="1:68" ht="12.75" customHeight="1">
      <c r="A497" s="20"/>
      <c r="B497" s="20"/>
      <c r="C497" s="20"/>
      <c r="D497" s="20"/>
      <c r="E497" s="20"/>
      <c r="F497" s="20"/>
      <c r="G497" s="20"/>
      <c r="H497" s="23"/>
      <c r="I497" s="20"/>
      <c r="J497" s="20"/>
      <c r="K497" s="27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</row>
    <row r="498" spans="1:68" ht="12.75" customHeight="1">
      <c r="A498" s="20"/>
      <c r="B498" s="20"/>
      <c r="C498" s="20"/>
      <c r="D498" s="20"/>
      <c r="E498" s="20"/>
      <c r="F498" s="20"/>
      <c r="G498" s="20"/>
      <c r="H498" s="23"/>
      <c r="I498" s="20"/>
      <c r="J498" s="20"/>
      <c r="K498" s="27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</row>
    <row r="499" spans="1:68" ht="12.75" customHeight="1">
      <c r="A499" s="20"/>
      <c r="B499" s="20"/>
      <c r="C499" s="20"/>
      <c r="D499" s="20"/>
      <c r="E499" s="20"/>
      <c r="F499" s="20"/>
      <c r="G499" s="20"/>
      <c r="H499" s="23"/>
      <c r="I499" s="20"/>
      <c r="J499" s="20"/>
      <c r="K499" s="27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</row>
    <row r="500" spans="1:68" ht="12.75" customHeight="1">
      <c r="A500" s="20"/>
      <c r="B500" s="20"/>
      <c r="C500" s="20"/>
      <c r="D500" s="20"/>
      <c r="E500" s="20"/>
      <c r="F500" s="20"/>
      <c r="G500" s="20"/>
      <c r="H500" s="23"/>
      <c r="I500" s="20"/>
      <c r="J500" s="20"/>
      <c r="K500" s="27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</row>
    <row r="501" spans="1:68" ht="12.75" customHeight="1">
      <c r="A501" s="20"/>
      <c r="B501" s="20"/>
      <c r="C501" s="20"/>
      <c r="D501" s="20"/>
      <c r="E501" s="20"/>
      <c r="F501" s="20"/>
      <c r="G501" s="20"/>
      <c r="H501" s="23"/>
      <c r="I501" s="20"/>
      <c r="J501" s="20"/>
      <c r="K501" s="27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</row>
    <row r="502" spans="1:68" ht="12.75" customHeight="1">
      <c r="A502" s="20"/>
      <c r="B502" s="20"/>
      <c r="C502" s="20"/>
      <c r="D502" s="20"/>
      <c r="E502" s="20"/>
      <c r="F502" s="20"/>
      <c r="G502" s="20"/>
      <c r="H502" s="23"/>
      <c r="I502" s="20"/>
      <c r="J502" s="20"/>
      <c r="K502" s="27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</row>
    <row r="503" spans="1:68" ht="12.75" customHeight="1">
      <c r="A503" s="20"/>
      <c r="B503" s="20"/>
      <c r="C503" s="20"/>
      <c r="D503" s="20"/>
      <c r="E503" s="20"/>
      <c r="F503" s="20"/>
      <c r="G503" s="20"/>
      <c r="H503" s="23"/>
      <c r="I503" s="20"/>
      <c r="J503" s="20"/>
      <c r="K503" s="27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</row>
    <row r="504" spans="1:68" ht="12.75" customHeight="1">
      <c r="A504" s="20"/>
      <c r="B504" s="20"/>
      <c r="C504" s="20"/>
      <c r="D504" s="20"/>
      <c r="E504" s="20"/>
      <c r="F504" s="20"/>
      <c r="G504" s="20"/>
      <c r="H504" s="23"/>
      <c r="I504" s="20"/>
      <c r="J504" s="20"/>
      <c r="K504" s="27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</row>
    <row r="505" spans="1:68" ht="12.75" customHeight="1">
      <c r="A505" s="20"/>
      <c r="B505" s="20"/>
      <c r="C505" s="20"/>
      <c r="D505" s="20"/>
      <c r="E505" s="20"/>
      <c r="F505" s="20"/>
      <c r="G505" s="20"/>
      <c r="H505" s="23"/>
      <c r="I505" s="20"/>
      <c r="J505" s="20"/>
      <c r="K505" s="27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</row>
    <row r="506" spans="1:68" ht="12.75" customHeight="1">
      <c r="A506" s="20"/>
      <c r="B506" s="20"/>
      <c r="C506" s="20"/>
      <c r="D506" s="20"/>
      <c r="E506" s="20"/>
      <c r="F506" s="20"/>
      <c r="G506" s="20"/>
      <c r="H506" s="23"/>
      <c r="I506" s="20"/>
      <c r="J506" s="20"/>
      <c r="K506" s="27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</row>
    <row r="507" spans="1:68" ht="12.75" customHeight="1">
      <c r="A507" s="20"/>
      <c r="B507" s="20"/>
      <c r="C507" s="20"/>
      <c r="D507" s="20"/>
      <c r="E507" s="20"/>
      <c r="F507" s="20"/>
      <c r="G507" s="20"/>
      <c r="H507" s="23"/>
      <c r="I507" s="20"/>
      <c r="J507" s="20"/>
      <c r="K507" s="27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</row>
    <row r="508" spans="1:68" ht="12.75" customHeight="1">
      <c r="A508" s="20"/>
      <c r="B508" s="20"/>
      <c r="C508" s="20"/>
      <c r="D508" s="20"/>
      <c r="E508" s="20"/>
      <c r="F508" s="20"/>
      <c r="G508" s="20"/>
      <c r="H508" s="23"/>
      <c r="I508" s="20"/>
      <c r="J508" s="20"/>
      <c r="K508" s="27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</row>
    <row r="509" spans="1:68" ht="12.75" customHeight="1">
      <c r="A509" s="20"/>
      <c r="B509" s="20"/>
      <c r="C509" s="20"/>
      <c r="D509" s="20"/>
      <c r="E509" s="20"/>
      <c r="F509" s="20"/>
      <c r="G509" s="20"/>
      <c r="H509" s="23"/>
      <c r="I509" s="20"/>
      <c r="J509" s="20"/>
      <c r="K509" s="27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</row>
    <row r="510" spans="1:68" ht="12.75" customHeight="1">
      <c r="A510" s="20"/>
      <c r="B510" s="20"/>
      <c r="C510" s="20"/>
      <c r="D510" s="20"/>
      <c r="E510" s="20"/>
      <c r="F510" s="20"/>
      <c r="G510" s="20"/>
      <c r="H510" s="23"/>
      <c r="I510" s="20"/>
      <c r="J510" s="20"/>
      <c r="K510" s="27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</row>
    <row r="511" spans="1:68" ht="12.75" customHeight="1">
      <c r="A511" s="20"/>
      <c r="B511" s="20"/>
      <c r="C511" s="20"/>
      <c r="D511" s="20"/>
      <c r="E511" s="20"/>
      <c r="F511" s="20"/>
      <c r="G511" s="20"/>
      <c r="H511" s="23"/>
      <c r="I511" s="20"/>
      <c r="J511" s="20"/>
      <c r="K511" s="27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</row>
    <row r="512" spans="1:68" ht="12.75" customHeight="1">
      <c r="A512" s="20"/>
      <c r="B512" s="20"/>
      <c r="C512" s="20"/>
      <c r="D512" s="20"/>
      <c r="E512" s="20"/>
      <c r="F512" s="20"/>
      <c r="G512" s="20"/>
      <c r="H512" s="23"/>
      <c r="I512" s="20"/>
      <c r="J512" s="20"/>
      <c r="K512" s="27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</row>
    <row r="513" spans="1:68" ht="12.75" customHeight="1">
      <c r="A513" s="20"/>
      <c r="B513" s="20"/>
      <c r="C513" s="20"/>
      <c r="D513" s="20"/>
      <c r="E513" s="20"/>
      <c r="F513" s="20"/>
      <c r="G513" s="20"/>
      <c r="H513" s="23"/>
      <c r="I513" s="20"/>
      <c r="J513" s="20"/>
      <c r="K513" s="27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</row>
    <row r="514" spans="1:68" ht="12.75" customHeight="1">
      <c r="A514" s="20"/>
      <c r="B514" s="20"/>
      <c r="C514" s="20"/>
      <c r="D514" s="20"/>
      <c r="E514" s="20"/>
      <c r="F514" s="20"/>
      <c r="G514" s="20"/>
      <c r="H514" s="23"/>
      <c r="I514" s="20"/>
      <c r="J514" s="20"/>
      <c r="K514" s="27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</row>
    <row r="515" spans="1:68" ht="12.75" customHeight="1">
      <c r="A515" s="20"/>
      <c r="B515" s="20"/>
      <c r="C515" s="20"/>
      <c r="D515" s="20"/>
      <c r="E515" s="20"/>
      <c r="F515" s="20"/>
      <c r="G515" s="20"/>
      <c r="H515" s="23"/>
      <c r="I515" s="20"/>
      <c r="J515" s="20"/>
      <c r="K515" s="27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</row>
    <row r="516" spans="1:68" ht="12.75" customHeight="1">
      <c r="A516" s="20"/>
      <c r="B516" s="20"/>
      <c r="C516" s="20"/>
      <c r="D516" s="20"/>
      <c r="E516" s="20"/>
      <c r="F516" s="20"/>
      <c r="G516" s="20"/>
      <c r="H516" s="23"/>
      <c r="I516" s="20"/>
      <c r="J516" s="20"/>
      <c r="K516" s="27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</row>
    <row r="517" spans="1:68" ht="12.75" customHeight="1">
      <c r="A517" s="20"/>
      <c r="B517" s="20"/>
      <c r="C517" s="20"/>
      <c r="D517" s="20"/>
      <c r="E517" s="20"/>
      <c r="F517" s="20"/>
      <c r="G517" s="20"/>
      <c r="H517" s="23"/>
      <c r="I517" s="20"/>
      <c r="J517" s="20"/>
      <c r="K517" s="27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</row>
    <row r="518" spans="1:68" ht="12.75" customHeight="1">
      <c r="A518" s="20"/>
      <c r="B518" s="20"/>
      <c r="C518" s="20"/>
      <c r="D518" s="20"/>
      <c r="E518" s="20"/>
      <c r="F518" s="20"/>
      <c r="G518" s="20"/>
      <c r="H518" s="23"/>
      <c r="I518" s="20"/>
      <c r="J518" s="20"/>
      <c r="K518" s="27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</row>
    <row r="519" spans="1:68" ht="12.75" customHeight="1">
      <c r="A519" s="20"/>
      <c r="B519" s="20"/>
      <c r="C519" s="20"/>
      <c r="D519" s="20"/>
      <c r="E519" s="20"/>
      <c r="F519" s="20"/>
      <c r="G519" s="20"/>
      <c r="H519" s="23"/>
      <c r="I519" s="20"/>
      <c r="J519" s="20"/>
      <c r="K519" s="27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</row>
    <row r="520" spans="1:68" ht="12.75" customHeight="1">
      <c r="A520" s="20"/>
      <c r="B520" s="20"/>
      <c r="C520" s="20"/>
      <c r="D520" s="20"/>
      <c r="E520" s="20"/>
      <c r="F520" s="20"/>
      <c r="G520" s="20"/>
      <c r="H520" s="23"/>
      <c r="I520" s="20"/>
      <c r="J520" s="20"/>
      <c r="K520" s="27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</row>
    <row r="521" spans="1:68" ht="12.75" customHeight="1">
      <c r="A521" s="20"/>
      <c r="B521" s="20"/>
      <c r="C521" s="20"/>
      <c r="D521" s="20"/>
      <c r="E521" s="20"/>
      <c r="F521" s="20"/>
      <c r="G521" s="20"/>
      <c r="H521" s="23"/>
      <c r="I521" s="20"/>
      <c r="J521" s="20"/>
      <c r="K521" s="27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</row>
    <row r="522" spans="1:68" ht="12.75" customHeight="1">
      <c r="A522" s="20"/>
      <c r="B522" s="20"/>
      <c r="C522" s="20"/>
      <c r="D522" s="20"/>
      <c r="E522" s="20"/>
      <c r="F522" s="20"/>
      <c r="G522" s="20"/>
      <c r="H522" s="23"/>
      <c r="I522" s="20"/>
      <c r="J522" s="20"/>
      <c r="K522" s="27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</row>
    <row r="523" spans="1:68" ht="12.75" customHeight="1">
      <c r="A523" s="20"/>
      <c r="B523" s="20"/>
      <c r="C523" s="20"/>
      <c r="D523" s="20"/>
      <c r="E523" s="20"/>
      <c r="F523" s="20"/>
      <c r="G523" s="20"/>
      <c r="H523" s="23"/>
      <c r="I523" s="20"/>
      <c r="J523" s="20"/>
      <c r="K523" s="27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</row>
    <row r="524" spans="1:68" ht="12.75" customHeight="1">
      <c r="A524" s="20"/>
      <c r="B524" s="20"/>
      <c r="C524" s="20"/>
      <c r="D524" s="20"/>
      <c r="E524" s="20"/>
      <c r="F524" s="20"/>
      <c r="G524" s="20"/>
      <c r="H524" s="23"/>
      <c r="I524" s="20"/>
      <c r="J524" s="20"/>
      <c r="K524" s="27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</row>
    <row r="525" spans="1:68" ht="12.75" customHeight="1">
      <c r="A525" s="20"/>
      <c r="B525" s="20"/>
      <c r="C525" s="20"/>
      <c r="D525" s="20"/>
      <c r="E525" s="20"/>
      <c r="F525" s="20"/>
      <c r="G525" s="20"/>
      <c r="H525" s="23"/>
      <c r="I525" s="20"/>
      <c r="J525" s="20"/>
      <c r="K525" s="27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</row>
    <row r="526" spans="1:68" ht="12.75" customHeight="1">
      <c r="A526" s="20"/>
      <c r="B526" s="20"/>
      <c r="C526" s="20"/>
      <c r="D526" s="20"/>
      <c r="E526" s="20"/>
      <c r="F526" s="20"/>
      <c r="G526" s="20"/>
      <c r="H526" s="23"/>
      <c r="I526" s="20"/>
      <c r="J526" s="20"/>
      <c r="K526" s="27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</row>
    <row r="527" spans="1:68" ht="12.75" customHeight="1">
      <c r="A527" s="20"/>
      <c r="B527" s="20"/>
      <c r="C527" s="20"/>
      <c r="D527" s="20"/>
      <c r="E527" s="20"/>
      <c r="F527" s="20"/>
      <c r="G527" s="20"/>
      <c r="H527" s="23"/>
      <c r="I527" s="20"/>
      <c r="J527" s="20"/>
      <c r="K527" s="27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</row>
    <row r="528" spans="1:68" ht="12.75" customHeight="1">
      <c r="A528" s="20"/>
      <c r="B528" s="20"/>
      <c r="C528" s="20"/>
      <c r="D528" s="20"/>
      <c r="E528" s="20"/>
      <c r="F528" s="20"/>
      <c r="G528" s="20"/>
      <c r="H528" s="23"/>
      <c r="I528" s="20"/>
      <c r="J528" s="20"/>
      <c r="K528" s="27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</row>
    <row r="529" spans="1:68" ht="12.75" customHeight="1">
      <c r="A529" s="20"/>
      <c r="B529" s="20"/>
      <c r="C529" s="20"/>
      <c r="D529" s="20"/>
      <c r="E529" s="20"/>
      <c r="F529" s="20"/>
      <c r="G529" s="20"/>
      <c r="H529" s="23"/>
      <c r="I529" s="20"/>
      <c r="J529" s="20"/>
      <c r="K529" s="27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</row>
    <row r="530" spans="1:68" ht="12.75" customHeight="1">
      <c r="A530" s="20"/>
      <c r="B530" s="20"/>
      <c r="C530" s="20"/>
      <c r="D530" s="20"/>
      <c r="E530" s="20"/>
      <c r="F530" s="20"/>
      <c r="G530" s="20"/>
      <c r="H530" s="23"/>
      <c r="I530" s="20"/>
      <c r="J530" s="20"/>
      <c r="K530" s="27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</row>
    <row r="531" spans="1:68" ht="12.75" customHeight="1">
      <c r="A531" s="20"/>
      <c r="B531" s="20"/>
      <c r="C531" s="20"/>
      <c r="D531" s="20"/>
      <c r="E531" s="20"/>
      <c r="F531" s="20"/>
      <c r="G531" s="20"/>
      <c r="H531" s="23"/>
      <c r="I531" s="20"/>
      <c r="J531" s="20"/>
      <c r="K531" s="27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</row>
    <row r="532" spans="1:68" ht="12.75" customHeight="1">
      <c r="A532" s="20"/>
      <c r="B532" s="20"/>
      <c r="C532" s="20"/>
      <c r="D532" s="20"/>
      <c r="E532" s="20"/>
      <c r="F532" s="20"/>
      <c r="G532" s="20"/>
      <c r="H532" s="23"/>
      <c r="I532" s="20"/>
      <c r="J532" s="20"/>
      <c r="K532" s="27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</row>
    <row r="533" spans="1:68" ht="12.75" customHeight="1">
      <c r="A533" s="20"/>
      <c r="B533" s="20"/>
      <c r="C533" s="20"/>
      <c r="D533" s="20"/>
      <c r="E533" s="20"/>
      <c r="F533" s="20"/>
      <c r="G533" s="20"/>
      <c r="H533" s="23"/>
      <c r="I533" s="20"/>
      <c r="J533" s="20"/>
      <c r="K533" s="27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</row>
    <row r="534" spans="1:68" ht="12.75" customHeight="1">
      <c r="A534" s="20"/>
      <c r="B534" s="20"/>
      <c r="C534" s="20"/>
      <c r="D534" s="20"/>
      <c r="E534" s="20"/>
      <c r="F534" s="20"/>
      <c r="G534" s="20"/>
      <c r="H534" s="23"/>
      <c r="I534" s="20"/>
      <c r="J534" s="20"/>
      <c r="K534" s="27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</row>
    <row r="535" spans="1:68" ht="12.75" customHeight="1">
      <c r="A535" s="20"/>
      <c r="B535" s="20"/>
      <c r="C535" s="20"/>
      <c r="D535" s="20"/>
      <c r="E535" s="20"/>
      <c r="F535" s="20"/>
      <c r="G535" s="20"/>
      <c r="H535" s="23"/>
      <c r="I535" s="20"/>
      <c r="J535" s="20"/>
      <c r="K535" s="27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</row>
    <row r="536" spans="1:68" ht="12.75" customHeight="1">
      <c r="A536" s="20"/>
      <c r="B536" s="20"/>
      <c r="C536" s="20"/>
      <c r="D536" s="20"/>
      <c r="E536" s="20"/>
      <c r="F536" s="20"/>
      <c r="G536" s="20"/>
      <c r="H536" s="23"/>
      <c r="I536" s="20"/>
      <c r="J536" s="20"/>
      <c r="K536" s="27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</row>
    <row r="537" spans="1:68" ht="12.75" customHeight="1">
      <c r="A537" s="20"/>
      <c r="B537" s="20"/>
      <c r="C537" s="20"/>
      <c r="D537" s="20"/>
      <c r="E537" s="20"/>
      <c r="F537" s="20"/>
      <c r="G537" s="20"/>
      <c r="H537" s="23"/>
      <c r="I537" s="20"/>
      <c r="J537" s="20"/>
      <c r="K537" s="27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</row>
    <row r="538" spans="1:68" ht="12.75" customHeight="1">
      <c r="A538" s="20"/>
      <c r="B538" s="20"/>
      <c r="C538" s="20"/>
      <c r="D538" s="20"/>
      <c r="E538" s="20"/>
      <c r="F538" s="20"/>
      <c r="G538" s="20"/>
      <c r="H538" s="23"/>
      <c r="I538" s="20"/>
      <c r="J538" s="20"/>
      <c r="K538" s="27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</row>
    <row r="539" spans="1:68" ht="12.75" customHeight="1">
      <c r="A539" s="20"/>
      <c r="B539" s="20"/>
      <c r="C539" s="20"/>
      <c r="D539" s="20"/>
      <c r="E539" s="20"/>
      <c r="F539" s="20"/>
      <c r="G539" s="20"/>
      <c r="H539" s="23"/>
      <c r="I539" s="20"/>
      <c r="J539" s="20"/>
      <c r="K539" s="27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</row>
    <row r="540" spans="1:68" ht="12.75" customHeight="1">
      <c r="A540" s="20"/>
      <c r="B540" s="20"/>
      <c r="C540" s="20"/>
      <c r="D540" s="20"/>
      <c r="E540" s="20"/>
      <c r="F540" s="20"/>
      <c r="G540" s="20"/>
      <c r="H540" s="23"/>
      <c r="I540" s="20"/>
      <c r="J540" s="20"/>
      <c r="K540" s="27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</row>
    <row r="541" spans="1:68" ht="12.75" customHeight="1">
      <c r="A541" s="20"/>
      <c r="B541" s="20"/>
      <c r="C541" s="20"/>
      <c r="D541" s="20"/>
      <c r="E541" s="20"/>
      <c r="F541" s="20"/>
      <c r="G541" s="20"/>
      <c r="H541" s="23"/>
      <c r="I541" s="20"/>
      <c r="J541" s="20"/>
      <c r="K541" s="27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</row>
    <row r="542" spans="1:68" ht="12.75" customHeight="1">
      <c r="A542" s="20"/>
      <c r="B542" s="20"/>
      <c r="C542" s="20"/>
      <c r="D542" s="20"/>
      <c r="E542" s="20"/>
      <c r="F542" s="20"/>
      <c r="G542" s="20"/>
      <c r="H542" s="23"/>
      <c r="I542" s="20"/>
      <c r="J542" s="20"/>
      <c r="K542" s="27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</row>
    <row r="543" spans="1:68" ht="12.75" customHeight="1">
      <c r="A543" s="20"/>
      <c r="B543" s="20"/>
      <c r="C543" s="20"/>
      <c r="D543" s="20"/>
      <c r="E543" s="20"/>
      <c r="F543" s="20"/>
      <c r="G543" s="20"/>
      <c r="H543" s="23"/>
      <c r="I543" s="20"/>
      <c r="J543" s="20"/>
      <c r="K543" s="27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</row>
    <row r="544" spans="1:68" ht="12.75" customHeight="1">
      <c r="A544" s="20"/>
      <c r="B544" s="20"/>
      <c r="C544" s="20"/>
      <c r="D544" s="20"/>
      <c r="E544" s="20"/>
      <c r="F544" s="20"/>
      <c r="G544" s="20"/>
      <c r="H544" s="23"/>
      <c r="I544" s="20"/>
      <c r="J544" s="20"/>
      <c r="K544" s="27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</row>
    <row r="545" spans="1:68" ht="12.75" customHeight="1">
      <c r="A545" s="20"/>
      <c r="B545" s="20"/>
      <c r="C545" s="20"/>
      <c r="D545" s="20"/>
      <c r="E545" s="20"/>
      <c r="F545" s="20"/>
      <c r="G545" s="20"/>
      <c r="H545" s="23"/>
      <c r="I545" s="20"/>
      <c r="J545" s="20"/>
      <c r="K545" s="27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</row>
    <row r="546" spans="1:68" ht="12.75" customHeight="1">
      <c r="A546" s="20"/>
      <c r="B546" s="20"/>
      <c r="C546" s="20"/>
      <c r="D546" s="20"/>
      <c r="E546" s="20"/>
      <c r="F546" s="20"/>
      <c r="G546" s="20"/>
      <c r="H546" s="23"/>
      <c r="I546" s="20"/>
      <c r="J546" s="20"/>
      <c r="K546" s="27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</row>
    <row r="547" spans="1:68" ht="12.75" customHeight="1">
      <c r="A547" s="20"/>
      <c r="B547" s="20"/>
      <c r="C547" s="20"/>
      <c r="D547" s="20"/>
      <c r="E547" s="20"/>
      <c r="F547" s="20"/>
      <c r="G547" s="20"/>
      <c r="H547" s="23"/>
      <c r="I547" s="20"/>
      <c r="J547" s="20"/>
      <c r="K547" s="27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</row>
    <row r="548" spans="1:68" ht="12.75" customHeight="1">
      <c r="A548" s="20"/>
      <c r="B548" s="20"/>
      <c r="C548" s="20"/>
      <c r="D548" s="20"/>
      <c r="E548" s="20"/>
      <c r="F548" s="20"/>
      <c r="G548" s="20"/>
      <c r="H548" s="23"/>
      <c r="I548" s="20"/>
      <c r="J548" s="20"/>
      <c r="K548" s="27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</row>
    <row r="549" spans="1:68" ht="12.75" customHeight="1">
      <c r="A549" s="20"/>
      <c r="B549" s="20"/>
      <c r="C549" s="20"/>
      <c r="D549" s="20"/>
      <c r="E549" s="20"/>
      <c r="F549" s="20"/>
      <c r="G549" s="20"/>
      <c r="H549" s="23"/>
      <c r="I549" s="20"/>
      <c r="J549" s="20"/>
      <c r="K549" s="27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</row>
    <row r="550" spans="1:68" ht="12.75" customHeight="1">
      <c r="A550" s="20"/>
      <c r="B550" s="20"/>
      <c r="C550" s="20"/>
      <c r="D550" s="20"/>
      <c r="E550" s="20"/>
      <c r="F550" s="20"/>
      <c r="G550" s="20"/>
      <c r="H550" s="23"/>
      <c r="I550" s="20"/>
      <c r="J550" s="20"/>
      <c r="K550" s="27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</row>
    <row r="551" spans="1:68" ht="12.75" customHeight="1">
      <c r="A551" s="20"/>
      <c r="B551" s="20"/>
      <c r="C551" s="20"/>
      <c r="D551" s="20"/>
      <c r="E551" s="20"/>
      <c r="F551" s="20"/>
      <c r="G551" s="20"/>
      <c r="H551" s="23"/>
      <c r="I551" s="20"/>
      <c r="J551" s="20"/>
      <c r="K551" s="27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</row>
    <row r="552" spans="1:68" ht="12.75" customHeight="1">
      <c r="A552" s="20"/>
      <c r="B552" s="20"/>
      <c r="C552" s="20"/>
      <c r="D552" s="20"/>
      <c r="E552" s="20"/>
      <c r="F552" s="20"/>
      <c r="G552" s="20"/>
      <c r="H552" s="23"/>
      <c r="I552" s="20"/>
      <c r="J552" s="20"/>
      <c r="K552" s="27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</row>
    <row r="553" spans="1:68" ht="12.75" customHeight="1">
      <c r="A553" s="20"/>
      <c r="B553" s="20"/>
      <c r="C553" s="20"/>
      <c r="D553" s="20"/>
      <c r="E553" s="20"/>
      <c r="F553" s="20"/>
      <c r="G553" s="20"/>
      <c r="H553" s="23"/>
      <c r="I553" s="20"/>
      <c r="J553" s="20"/>
      <c r="K553" s="27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</row>
    <row r="554" spans="1:68" ht="12.75" customHeight="1">
      <c r="A554" s="20"/>
      <c r="B554" s="20"/>
      <c r="C554" s="20"/>
      <c r="D554" s="20"/>
      <c r="E554" s="20"/>
      <c r="F554" s="20"/>
      <c r="G554" s="20"/>
      <c r="H554" s="23"/>
      <c r="I554" s="20"/>
      <c r="J554" s="20"/>
      <c r="K554" s="27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</row>
    <row r="555" spans="1:68" ht="12.75" customHeight="1">
      <c r="A555" s="20"/>
      <c r="B555" s="20"/>
      <c r="C555" s="20"/>
      <c r="D555" s="20"/>
      <c r="E555" s="20"/>
      <c r="F555" s="20"/>
      <c r="G555" s="20"/>
      <c r="H555" s="23"/>
      <c r="I555" s="20"/>
      <c r="J555" s="20"/>
      <c r="K555" s="27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</row>
    <row r="556" spans="1:68" ht="12.75" customHeight="1">
      <c r="A556" s="20"/>
      <c r="B556" s="20"/>
      <c r="C556" s="20"/>
      <c r="D556" s="20"/>
      <c r="E556" s="20"/>
      <c r="F556" s="20"/>
      <c r="G556" s="20"/>
      <c r="H556" s="23"/>
      <c r="I556" s="20"/>
      <c r="J556" s="20"/>
      <c r="K556" s="27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</row>
    <row r="557" spans="1:68" ht="12.75" customHeight="1">
      <c r="A557" s="20"/>
      <c r="B557" s="20"/>
      <c r="C557" s="20"/>
      <c r="D557" s="20"/>
      <c r="E557" s="20"/>
      <c r="F557" s="20"/>
      <c r="G557" s="20"/>
      <c r="H557" s="23"/>
      <c r="I557" s="20"/>
      <c r="J557" s="20"/>
      <c r="K557" s="27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</row>
    <row r="558" spans="1:68" ht="12.75" customHeight="1">
      <c r="A558" s="20"/>
      <c r="B558" s="20"/>
      <c r="C558" s="20"/>
      <c r="D558" s="20"/>
      <c r="E558" s="20"/>
      <c r="F558" s="20"/>
      <c r="G558" s="20"/>
      <c r="H558" s="23"/>
      <c r="I558" s="20"/>
      <c r="J558" s="20"/>
      <c r="K558" s="27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</row>
    <row r="559" spans="1:68" ht="12.75" customHeight="1">
      <c r="A559" s="20"/>
      <c r="B559" s="20"/>
      <c r="C559" s="20"/>
      <c r="D559" s="20"/>
      <c r="E559" s="20"/>
      <c r="F559" s="20"/>
      <c r="G559" s="20"/>
      <c r="H559" s="23"/>
      <c r="I559" s="20"/>
      <c r="J559" s="20"/>
      <c r="K559" s="27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</row>
    <row r="560" spans="1:68" ht="12.75" customHeight="1">
      <c r="A560" s="20"/>
      <c r="B560" s="20"/>
      <c r="C560" s="20"/>
      <c r="D560" s="20"/>
      <c r="E560" s="20"/>
      <c r="F560" s="20"/>
      <c r="G560" s="20"/>
      <c r="H560" s="23"/>
      <c r="I560" s="20"/>
      <c r="J560" s="20"/>
      <c r="K560" s="27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</row>
    <row r="561" spans="1:68" ht="12.75" customHeight="1">
      <c r="A561" s="20"/>
      <c r="B561" s="20"/>
      <c r="C561" s="20"/>
      <c r="D561" s="20"/>
      <c r="E561" s="20"/>
      <c r="F561" s="20"/>
      <c r="G561" s="20"/>
      <c r="H561" s="23"/>
      <c r="I561" s="20"/>
      <c r="J561" s="20"/>
      <c r="K561" s="27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</row>
    <row r="562" spans="1:68" ht="12.75" customHeight="1">
      <c r="A562" s="20"/>
      <c r="B562" s="20"/>
      <c r="C562" s="20"/>
      <c r="D562" s="20"/>
      <c r="E562" s="20"/>
      <c r="F562" s="20"/>
      <c r="G562" s="20"/>
      <c r="H562" s="23"/>
      <c r="I562" s="20"/>
      <c r="J562" s="20"/>
      <c r="K562" s="27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</row>
    <row r="563" spans="1:68" ht="12.75" customHeight="1">
      <c r="A563" s="20"/>
      <c r="B563" s="20"/>
      <c r="C563" s="20"/>
      <c r="D563" s="20"/>
      <c r="E563" s="20"/>
      <c r="F563" s="20"/>
      <c r="G563" s="20"/>
      <c r="H563" s="23"/>
      <c r="I563" s="20"/>
      <c r="J563" s="20"/>
      <c r="K563" s="27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</row>
    <row r="564" spans="1:68" ht="12.75" customHeight="1">
      <c r="A564" s="20"/>
      <c r="B564" s="20"/>
      <c r="C564" s="20"/>
      <c r="D564" s="20"/>
      <c r="E564" s="20"/>
      <c r="F564" s="20"/>
      <c r="G564" s="20"/>
      <c r="H564" s="23"/>
      <c r="I564" s="20"/>
      <c r="J564" s="20"/>
      <c r="K564" s="27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</row>
    <row r="565" spans="1:68" ht="12.75" customHeight="1">
      <c r="A565" s="20"/>
      <c r="B565" s="20"/>
      <c r="C565" s="20"/>
      <c r="D565" s="20"/>
      <c r="E565" s="20"/>
      <c r="F565" s="20"/>
      <c r="G565" s="20"/>
      <c r="H565" s="23"/>
      <c r="I565" s="20"/>
      <c r="J565" s="20"/>
      <c r="K565" s="27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</row>
    <row r="566" spans="1:68" ht="12.75" customHeight="1">
      <c r="A566" s="20"/>
      <c r="B566" s="20"/>
      <c r="C566" s="20"/>
      <c r="D566" s="20"/>
      <c r="E566" s="20"/>
      <c r="F566" s="20"/>
      <c r="G566" s="20"/>
      <c r="H566" s="23"/>
      <c r="I566" s="20"/>
      <c r="J566" s="20"/>
      <c r="K566" s="27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</row>
    <row r="567" spans="1:68" ht="12.75" customHeight="1">
      <c r="A567" s="20"/>
      <c r="B567" s="20"/>
      <c r="C567" s="20"/>
      <c r="D567" s="20"/>
      <c r="E567" s="20"/>
      <c r="F567" s="20"/>
      <c r="G567" s="20"/>
      <c r="H567" s="23"/>
      <c r="I567" s="20"/>
      <c r="J567" s="20"/>
      <c r="K567" s="27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</row>
    <row r="568" spans="1:68" ht="12.75" customHeight="1">
      <c r="A568" s="20"/>
      <c r="B568" s="20"/>
      <c r="C568" s="20"/>
      <c r="D568" s="20"/>
      <c r="E568" s="20"/>
      <c r="F568" s="20"/>
      <c r="G568" s="20"/>
      <c r="H568" s="23"/>
      <c r="I568" s="20"/>
      <c r="J568" s="20"/>
      <c r="K568" s="27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</row>
    <row r="569" spans="1:68" ht="12.75" customHeight="1">
      <c r="A569" s="20"/>
      <c r="B569" s="20"/>
      <c r="C569" s="20"/>
      <c r="D569" s="20"/>
      <c r="E569" s="20"/>
      <c r="F569" s="20"/>
      <c r="G569" s="20"/>
      <c r="H569" s="23"/>
      <c r="I569" s="20"/>
      <c r="J569" s="20"/>
      <c r="K569" s="27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</row>
    <row r="570" spans="1:68" ht="12.75" customHeight="1">
      <c r="A570" s="20"/>
      <c r="B570" s="20"/>
      <c r="C570" s="20"/>
      <c r="D570" s="20"/>
      <c r="E570" s="20"/>
      <c r="F570" s="20"/>
      <c r="G570" s="20"/>
      <c r="H570" s="23"/>
      <c r="I570" s="20"/>
      <c r="J570" s="20"/>
      <c r="K570" s="27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</row>
    <row r="571" spans="1:68" ht="12.75" customHeight="1">
      <c r="A571" s="20"/>
      <c r="B571" s="20"/>
      <c r="C571" s="20"/>
      <c r="D571" s="20"/>
      <c r="E571" s="20"/>
      <c r="F571" s="20"/>
      <c r="G571" s="20"/>
      <c r="H571" s="23"/>
      <c r="I571" s="20"/>
      <c r="J571" s="20"/>
      <c r="K571" s="27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</row>
    <row r="572" spans="1:68" ht="12.75" customHeight="1">
      <c r="A572" s="20"/>
      <c r="B572" s="20"/>
      <c r="C572" s="20"/>
      <c r="D572" s="20"/>
      <c r="E572" s="20"/>
      <c r="F572" s="20"/>
      <c r="G572" s="20"/>
      <c r="H572" s="23"/>
      <c r="I572" s="20"/>
      <c r="J572" s="20"/>
      <c r="K572" s="27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</row>
    <row r="573" spans="1:68" ht="12.75" customHeight="1">
      <c r="A573" s="20"/>
      <c r="B573" s="20"/>
      <c r="C573" s="20"/>
      <c r="D573" s="20"/>
      <c r="E573" s="20"/>
      <c r="F573" s="20"/>
      <c r="G573" s="20"/>
      <c r="H573" s="23"/>
      <c r="I573" s="20"/>
      <c r="J573" s="20"/>
      <c r="K573" s="27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</row>
    <row r="574" spans="1:68" ht="12.75" customHeight="1">
      <c r="A574" s="20"/>
      <c r="B574" s="20"/>
      <c r="C574" s="20"/>
      <c r="D574" s="20"/>
      <c r="E574" s="20"/>
      <c r="F574" s="20"/>
      <c r="G574" s="20"/>
      <c r="H574" s="23"/>
      <c r="I574" s="20"/>
      <c r="J574" s="20"/>
      <c r="K574" s="27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</row>
    <row r="575" spans="1:68" ht="12.75" customHeight="1">
      <c r="A575" s="20"/>
      <c r="B575" s="20"/>
      <c r="C575" s="20"/>
      <c r="D575" s="20"/>
      <c r="E575" s="20"/>
      <c r="F575" s="20"/>
      <c r="G575" s="20"/>
      <c r="H575" s="23"/>
      <c r="I575" s="20"/>
      <c r="J575" s="20"/>
      <c r="K575" s="27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</row>
    <row r="576" spans="1:68" ht="12.75" customHeight="1">
      <c r="A576" s="20"/>
      <c r="B576" s="20"/>
      <c r="C576" s="20"/>
      <c r="D576" s="20"/>
      <c r="E576" s="20"/>
      <c r="F576" s="20"/>
      <c r="G576" s="20"/>
      <c r="H576" s="23"/>
      <c r="I576" s="20"/>
      <c r="J576" s="20"/>
      <c r="K576" s="27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</row>
    <row r="577" spans="1:68" ht="12.75" customHeight="1">
      <c r="A577" s="20"/>
      <c r="B577" s="20"/>
      <c r="C577" s="20"/>
      <c r="D577" s="20"/>
      <c r="E577" s="20"/>
      <c r="F577" s="20"/>
      <c r="G577" s="20"/>
      <c r="H577" s="23"/>
      <c r="I577" s="20"/>
      <c r="J577" s="20"/>
      <c r="K577" s="27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</row>
    <row r="578" spans="1:68" ht="12.75" customHeight="1">
      <c r="A578" s="20"/>
      <c r="B578" s="20"/>
      <c r="C578" s="20"/>
      <c r="D578" s="20"/>
      <c r="E578" s="20"/>
      <c r="F578" s="20"/>
      <c r="G578" s="20"/>
      <c r="H578" s="23"/>
      <c r="I578" s="20"/>
      <c r="J578" s="20"/>
      <c r="K578" s="27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</row>
    <row r="579" spans="1:68" ht="12.75" customHeight="1">
      <c r="A579" s="20"/>
      <c r="B579" s="20"/>
      <c r="C579" s="20"/>
      <c r="D579" s="20"/>
      <c r="E579" s="20"/>
      <c r="F579" s="20"/>
      <c r="G579" s="20"/>
      <c r="H579" s="23"/>
      <c r="I579" s="20"/>
      <c r="J579" s="20"/>
      <c r="K579" s="27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</row>
    <row r="580" spans="1:68" ht="12.75" customHeight="1">
      <c r="A580" s="20"/>
      <c r="B580" s="20"/>
      <c r="C580" s="20"/>
      <c r="D580" s="20"/>
      <c r="E580" s="20"/>
      <c r="F580" s="20"/>
      <c r="G580" s="20"/>
      <c r="H580" s="23"/>
      <c r="I580" s="20"/>
      <c r="J580" s="20"/>
      <c r="K580" s="27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</row>
    <row r="581" spans="1:68" ht="12.75" customHeight="1">
      <c r="A581" s="20"/>
      <c r="B581" s="20"/>
      <c r="C581" s="20"/>
      <c r="D581" s="20"/>
      <c r="E581" s="20"/>
      <c r="F581" s="20"/>
      <c r="G581" s="20"/>
      <c r="H581" s="23"/>
      <c r="I581" s="20"/>
      <c r="J581" s="20"/>
      <c r="K581" s="27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</row>
    <row r="582" spans="1:68" ht="12.75" customHeight="1">
      <c r="A582" s="20"/>
      <c r="B582" s="20"/>
      <c r="C582" s="20"/>
      <c r="D582" s="20"/>
      <c r="E582" s="20"/>
      <c r="F582" s="20"/>
      <c r="G582" s="20"/>
      <c r="H582" s="23"/>
      <c r="I582" s="20"/>
      <c r="J582" s="20"/>
      <c r="K582" s="27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</row>
    <row r="583" spans="1:68" ht="12.75" customHeight="1">
      <c r="A583" s="20"/>
      <c r="B583" s="20"/>
      <c r="C583" s="20"/>
      <c r="D583" s="20"/>
      <c r="E583" s="20"/>
      <c r="F583" s="20"/>
      <c r="G583" s="20"/>
      <c r="H583" s="23"/>
      <c r="I583" s="20"/>
      <c r="J583" s="20"/>
      <c r="K583" s="27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</row>
    <row r="584" spans="1:68" ht="12.75" customHeight="1">
      <c r="A584" s="20"/>
      <c r="B584" s="20"/>
      <c r="C584" s="20"/>
      <c r="D584" s="20"/>
      <c r="E584" s="20"/>
      <c r="F584" s="20"/>
      <c r="G584" s="20"/>
      <c r="H584" s="23"/>
      <c r="I584" s="20"/>
      <c r="J584" s="20"/>
      <c r="K584" s="27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</row>
    <row r="585" spans="1:68" ht="12.75" customHeight="1">
      <c r="A585" s="20"/>
      <c r="B585" s="20"/>
      <c r="C585" s="20"/>
      <c r="D585" s="20"/>
      <c r="E585" s="20"/>
      <c r="F585" s="20"/>
      <c r="G585" s="20"/>
      <c r="H585" s="23"/>
      <c r="I585" s="20"/>
      <c r="J585" s="20"/>
      <c r="K585" s="27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</row>
    <row r="586" spans="1:68" ht="12.75" customHeight="1">
      <c r="A586" s="20"/>
      <c r="B586" s="20"/>
      <c r="C586" s="20"/>
      <c r="D586" s="20"/>
      <c r="E586" s="20"/>
      <c r="F586" s="20"/>
      <c r="G586" s="20"/>
      <c r="H586" s="23"/>
      <c r="I586" s="20"/>
      <c r="J586" s="20"/>
      <c r="K586" s="27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</row>
    <row r="587" spans="1:68" ht="12.75" customHeight="1">
      <c r="A587" s="20"/>
      <c r="B587" s="20"/>
      <c r="C587" s="20"/>
      <c r="D587" s="20"/>
      <c r="E587" s="20"/>
      <c r="F587" s="20"/>
      <c r="G587" s="20"/>
      <c r="H587" s="23"/>
      <c r="I587" s="20"/>
      <c r="J587" s="20"/>
      <c r="K587" s="27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</row>
    <row r="588" spans="1:68" ht="12.75" customHeight="1">
      <c r="A588" s="20"/>
      <c r="B588" s="20"/>
      <c r="C588" s="20"/>
      <c r="D588" s="20"/>
      <c r="E588" s="20"/>
      <c r="F588" s="20"/>
      <c r="G588" s="20"/>
      <c r="H588" s="23"/>
      <c r="I588" s="20"/>
      <c r="J588" s="20"/>
      <c r="K588" s="27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</row>
    <row r="589" spans="1:68" ht="12.75" customHeight="1">
      <c r="A589" s="20"/>
      <c r="B589" s="20"/>
      <c r="C589" s="20"/>
      <c r="D589" s="20"/>
      <c r="E589" s="20"/>
      <c r="F589" s="20"/>
      <c r="G589" s="20"/>
      <c r="H589" s="23"/>
      <c r="I589" s="20"/>
      <c r="J589" s="20"/>
      <c r="K589" s="27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</row>
    <row r="590" spans="1:68" ht="12.75" customHeight="1">
      <c r="A590" s="20"/>
      <c r="B590" s="20"/>
      <c r="C590" s="20"/>
      <c r="D590" s="20"/>
      <c r="E590" s="20"/>
      <c r="F590" s="20"/>
      <c r="G590" s="20"/>
      <c r="H590" s="23"/>
      <c r="I590" s="20"/>
      <c r="J590" s="20"/>
      <c r="K590" s="27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</row>
    <row r="591" spans="1:68" ht="12.75" customHeight="1">
      <c r="A591" s="20"/>
      <c r="B591" s="20"/>
      <c r="C591" s="20"/>
      <c r="D591" s="20"/>
      <c r="E591" s="20"/>
      <c r="F591" s="20"/>
      <c r="G591" s="20"/>
      <c r="H591" s="23"/>
      <c r="I591" s="20"/>
      <c r="J591" s="20"/>
      <c r="K591" s="27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</row>
    <row r="592" spans="1:68" ht="12.75" customHeight="1">
      <c r="A592" s="20"/>
      <c r="B592" s="20"/>
      <c r="C592" s="20"/>
      <c r="D592" s="20"/>
      <c r="E592" s="20"/>
      <c r="F592" s="20"/>
      <c r="G592" s="20"/>
      <c r="H592" s="23"/>
      <c r="I592" s="20"/>
      <c r="J592" s="20"/>
      <c r="K592" s="27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</row>
    <row r="593" spans="1:68" ht="12.75" customHeight="1">
      <c r="A593" s="20"/>
      <c r="B593" s="20"/>
      <c r="C593" s="20"/>
      <c r="D593" s="20"/>
      <c r="E593" s="20"/>
      <c r="F593" s="20"/>
      <c r="G593" s="20"/>
      <c r="H593" s="23"/>
      <c r="I593" s="20"/>
      <c r="J593" s="20"/>
      <c r="K593" s="27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</row>
    <row r="594" spans="1:68" ht="12.75" customHeight="1">
      <c r="A594" s="20"/>
      <c r="B594" s="20"/>
      <c r="C594" s="20"/>
      <c r="D594" s="20"/>
      <c r="E594" s="20"/>
      <c r="F594" s="20"/>
      <c r="G594" s="20"/>
      <c r="H594" s="23"/>
      <c r="I594" s="20"/>
      <c r="J594" s="20"/>
      <c r="K594" s="27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</row>
    <row r="595" spans="1:68" ht="12.75" customHeight="1">
      <c r="A595" s="20"/>
      <c r="B595" s="20"/>
      <c r="C595" s="20"/>
      <c r="D595" s="20"/>
      <c r="E595" s="20"/>
      <c r="F595" s="20"/>
      <c r="G595" s="20"/>
      <c r="H595" s="23"/>
      <c r="I595" s="20"/>
      <c r="J595" s="20"/>
      <c r="K595" s="27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</row>
    <row r="596" spans="1:68" ht="12.75" customHeight="1">
      <c r="A596" s="20"/>
      <c r="B596" s="20"/>
      <c r="C596" s="20"/>
      <c r="D596" s="20"/>
      <c r="E596" s="20"/>
      <c r="F596" s="20"/>
      <c r="G596" s="20"/>
      <c r="H596" s="23"/>
      <c r="I596" s="20"/>
      <c r="J596" s="20"/>
      <c r="K596" s="27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</row>
    <row r="597" spans="1:68" ht="12.75" customHeight="1">
      <c r="A597" s="20"/>
      <c r="B597" s="20"/>
      <c r="C597" s="20"/>
      <c r="D597" s="20"/>
      <c r="E597" s="20"/>
      <c r="F597" s="20"/>
      <c r="G597" s="20"/>
      <c r="H597" s="23"/>
      <c r="I597" s="20"/>
      <c r="J597" s="20"/>
      <c r="K597" s="27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</row>
    <row r="598" spans="1:68" ht="12.75" customHeight="1">
      <c r="A598" s="20"/>
      <c r="B598" s="20"/>
      <c r="C598" s="20"/>
      <c r="D598" s="20"/>
      <c r="E598" s="20"/>
      <c r="F598" s="20"/>
      <c r="G598" s="20"/>
      <c r="H598" s="23"/>
      <c r="I598" s="20"/>
      <c r="J598" s="20"/>
      <c r="K598" s="27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</row>
    <row r="599" spans="1:68" ht="12.75" customHeight="1">
      <c r="A599" s="20"/>
      <c r="B599" s="20"/>
      <c r="C599" s="20"/>
      <c r="D599" s="20"/>
      <c r="E599" s="20"/>
      <c r="F599" s="20"/>
      <c r="G599" s="20"/>
      <c r="H599" s="23"/>
      <c r="I599" s="20"/>
      <c r="J599" s="20"/>
      <c r="K599" s="27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</row>
    <row r="600" spans="1:68" ht="12.75" customHeight="1">
      <c r="A600" s="20"/>
      <c r="B600" s="20"/>
      <c r="C600" s="20"/>
      <c r="D600" s="20"/>
      <c r="E600" s="20"/>
      <c r="F600" s="20"/>
      <c r="G600" s="20"/>
      <c r="H600" s="23"/>
      <c r="I600" s="20"/>
      <c r="J600" s="20"/>
      <c r="K600" s="27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</row>
    <row r="601" spans="1:68" ht="12.75" customHeight="1">
      <c r="A601" s="20"/>
      <c r="B601" s="20"/>
      <c r="C601" s="20"/>
      <c r="D601" s="20"/>
      <c r="E601" s="20"/>
      <c r="F601" s="20"/>
      <c r="G601" s="20"/>
      <c r="H601" s="23"/>
      <c r="I601" s="20"/>
      <c r="J601" s="20"/>
      <c r="K601" s="27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</row>
    <row r="602" spans="1:68" ht="12.75" customHeight="1">
      <c r="A602" s="20"/>
      <c r="B602" s="20"/>
      <c r="C602" s="20"/>
      <c r="D602" s="20"/>
      <c r="E602" s="20"/>
      <c r="F602" s="20"/>
      <c r="G602" s="20"/>
      <c r="H602" s="23"/>
      <c r="I602" s="20"/>
      <c r="J602" s="20"/>
      <c r="K602" s="27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</row>
    <row r="603" spans="1:68" ht="12.75" customHeight="1">
      <c r="A603" s="20"/>
      <c r="B603" s="20"/>
      <c r="C603" s="20"/>
      <c r="D603" s="20"/>
      <c r="E603" s="20"/>
      <c r="F603" s="20"/>
      <c r="G603" s="20"/>
      <c r="H603" s="23"/>
      <c r="I603" s="20"/>
      <c r="J603" s="20"/>
      <c r="K603" s="27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</row>
    <row r="604" spans="1:68" ht="12.75" customHeight="1">
      <c r="A604" s="20"/>
      <c r="B604" s="20"/>
      <c r="C604" s="20"/>
      <c r="D604" s="20"/>
      <c r="E604" s="20"/>
      <c r="F604" s="20"/>
      <c r="G604" s="20"/>
      <c r="H604" s="23"/>
      <c r="I604" s="20"/>
      <c r="J604" s="20"/>
      <c r="K604" s="27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</row>
    <row r="605" spans="1:68" ht="12.75" customHeight="1">
      <c r="A605" s="20"/>
      <c r="B605" s="20"/>
      <c r="C605" s="20"/>
      <c r="D605" s="20"/>
      <c r="E605" s="20"/>
      <c r="F605" s="20"/>
      <c r="G605" s="20"/>
      <c r="H605" s="23"/>
      <c r="I605" s="20"/>
      <c r="J605" s="20"/>
      <c r="K605" s="27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</row>
    <row r="606" spans="1:68" ht="12.75" customHeight="1">
      <c r="A606" s="20"/>
      <c r="B606" s="20"/>
      <c r="C606" s="20"/>
      <c r="D606" s="20"/>
      <c r="E606" s="20"/>
      <c r="F606" s="20"/>
      <c r="G606" s="20"/>
      <c r="H606" s="23"/>
      <c r="I606" s="20"/>
      <c r="J606" s="20"/>
      <c r="K606" s="27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</row>
    <row r="607" spans="1:68" ht="12.75" customHeight="1">
      <c r="A607" s="20"/>
      <c r="B607" s="20"/>
      <c r="C607" s="20"/>
      <c r="D607" s="20"/>
      <c r="E607" s="20"/>
      <c r="F607" s="20"/>
      <c r="G607" s="20"/>
      <c r="H607" s="23"/>
      <c r="I607" s="20"/>
      <c r="J607" s="20"/>
      <c r="K607" s="27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</row>
    <row r="608" spans="1:68" ht="12.75" customHeight="1">
      <c r="A608" s="20"/>
      <c r="B608" s="20"/>
      <c r="C608" s="20"/>
      <c r="D608" s="20"/>
      <c r="E608" s="20"/>
      <c r="F608" s="20"/>
      <c r="G608" s="20"/>
      <c r="H608" s="23"/>
      <c r="I608" s="20"/>
      <c r="J608" s="20"/>
      <c r="K608" s="27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</row>
    <row r="609" spans="1:68" ht="12.75" customHeight="1">
      <c r="A609" s="20"/>
      <c r="B609" s="20"/>
      <c r="C609" s="20"/>
      <c r="D609" s="20"/>
      <c r="E609" s="20"/>
      <c r="F609" s="20"/>
      <c r="G609" s="20"/>
      <c r="H609" s="23"/>
      <c r="I609" s="20"/>
      <c r="J609" s="20"/>
      <c r="K609" s="27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</row>
    <row r="610" spans="1:68" ht="12.75" customHeight="1">
      <c r="A610" s="20"/>
      <c r="B610" s="20"/>
      <c r="C610" s="20"/>
      <c r="D610" s="20"/>
      <c r="E610" s="20"/>
      <c r="F610" s="20"/>
      <c r="G610" s="20"/>
      <c r="H610" s="23"/>
      <c r="I610" s="20"/>
      <c r="J610" s="20"/>
      <c r="K610" s="27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</row>
    <row r="611" spans="1:68" ht="12.75" customHeight="1">
      <c r="A611" s="20"/>
      <c r="B611" s="20"/>
      <c r="C611" s="20"/>
      <c r="D611" s="20"/>
      <c r="E611" s="20"/>
      <c r="F611" s="20"/>
      <c r="G611" s="20"/>
      <c r="H611" s="23"/>
      <c r="I611" s="20"/>
      <c r="J611" s="20"/>
      <c r="K611" s="27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</row>
    <row r="612" spans="1:68" ht="12.75" customHeight="1">
      <c r="A612" s="20"/>
      <c r="B612" s="20"/>
      <c r="C612" s="20"/>
      <c r="D612" s="20"/>
      <c r="E612" s="20"/>
      <c r="F612" s="20"/>
      <c r="G612" s="20"/>
      <c r="H612" s="23"/>
      <c r="I612" s="20"/>
      <c r="J612" s="20"/>
      <c r="K612" s="27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</row>
    <row r="613" spans="1:68" ht="12.75" customHeight="1">
      <c r="A613" s="20"/>
      <c r="B613" s="20"/>
      <c r="C613" s="20"/>
      <c r="D613" s="20"/>
      <c r="E613" s="20"/>
      <c r="F613" s="20"/>
      <c r="G613" s="20"/>
      <c r="H613" s="23"/>
      <c r="I613" s="20"/>
      <c r="J613" s="20"/>
      <c r="K613" s="27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</row>
    <row r="614" spans="1:68" ht="12.75" customHeight="1">
      <c r="A614" s="20"/>
      <c r="B614" s="20"/>
      <c r="C614" s="20"/>
      <c r="D614" s="20"/>
      <c r="E614" s="20"/>
      <c r="F614" s="20"/>
      <c r="G614" s="20"/>
      <c r="H614" s="23"/>
      <c r="I614" s="20"/>
      <c r="J614" s="20"/>
      <c r="K614" s="27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</row>
    <row r="615" spans="1:68" ht="12.75" customHeight="1">
      <c r="A615" s="20"/>
      <c r="B615" s="20"/>
      <c r="C615" s="20"/>
      <c r="D615" s="20"/>
      <c r="E615" s="20"/>
      <c r="F615" s="20"/>
      <c r="G615" s="20"/>
      <c r="H615" s="23"/>
      <c r="I615" s="20"/>
      <c r="J615" s="20"/>
      <c r="K615" s="27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</row>
    <row r="616" spans="1:68" ht="12.75" customHeight="1">
      <c r="A616" s="20"/>
      <c r="B616" s="20"/>
      <c r="C616" s="20"/>
      <c r="D616" s="20"/>
      <c r="E616" s="20"/>
      <c r="F616" s="20"/>
      <c r="G616" s="20"/>
      <c r="H616" s="23"/>
      <c r="I616" s="20"/>
      <c r="J616" s="20"/>
      <c r="K616" s="27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</row>
    <row r="617" spans="1:68" ht="12.75" customHeight="1">
      <c r="A617" s="20"/>
      <c r="B617" s="20"/>
      <c r="C617" s="20"/>
      <c r="D617" s="20"/>
      <c r="E617" s="20"/>
      <c r="F617" s="20"/>
      <c r="G617" s="20"/>
      <c r="H617" s="23"/>
      <c r="I617" s="20"/>
      <c r="J617" s="20"/>
      <c r="K617" s="27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</row>
    <row r="618" spans="1:68" ht="12.75" customHeight="1">
      <c r="A618" s="20"/>
      <c r="B618" s="20"/>
      <c r="C618" s="20"/>
      <c r="D618" s="20"/>
      <c r="E618" s="20"/>
      <c r="F618" s="20"/>
      <c r="G618" s="20"/>
      <c r="H618" s="23"/>
      <c r="I618" s="20"/>
      <c r="J618" s="20"/>
      <c r="K618" s="27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</row>
    <row r="619" spans="1:68" ht="12.75" customHeight="1">
      <c r="A619" s="20"/>
      <c r="B619" s="20"/>
      <c r="C619" s="20"/>
      <c r="D619" s="20"/>
      <c r="E619" s="20"/>
      <c r="F619" s="20"/>
      <c r="G619" s="20"/>
      <c r="H619" s="23"/>
      <c r="I619" s="20"/>
      <c r="J619" s="20"/>
      <c r="K619" s="27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</row>
    <row r="620" spans="1:68" ht="12.75" customHeight="1">
      <c r="A620" s="20"/>
      <c r="B620" s="20"/>
      <c r="C620" s="20"/>
      <c r="D620" s="20"/>
      <c r="E620" s="20"/>
      <c r="F620" s="20"/>
      <c r="G620" s="20"/>
      <c r="H620" s="23"/>
      <c r="I620" s="20"/>
      <c r="J620" s="20"/>
      <c r="K620" s="27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</row>
    <row r="621" spans="1:68" ht="12.75" customHeight="1">
      <c r="A621" s="20"/>
      <c r="B621" s="20"/>
      <c r="C621" s="20"/>
      <c r="D621" s="20"/>
      <c r="E621" s="20"/>
      <c r="F621" s="20"/>
      <c r="G621" s="20"/>
      <c r="H621" s="23"/>
      <c r="I621" s="20"/>
      <c r="J621" s="20"/>
      <c r="K621" s="27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</row>
    <row r="622" spans="1:68" ht="12.75" customHeight="1">
      <c r="A622" s="20"/>
      <c r="B622" s="20"/>
      <c r="C622" s="20"/>
      <c r="D622" s="20"/>
      <c r="E622" s="20"/>
      <c r="F622" s="20"/>
      <c r="G622" s="20"/>
      <c r="H622" s="23"/>
      <c r="I622" s="20"/>
      <c r="J622" s="20"/>
      <c r="K622" s="27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</row>
    <row r="623" spans="1:68" ht="12.75" customHeight="1">
      <c r="A623" s="20"/>
      <c r="B623" s="20"/>
      <c r="C623" s="20"/>
      <c r="D623" s="20"/>
      <c r="E623" s="20"/>
      <c r="F623" s="20"/>
      <c r="G623" s="20"/>
      <c r="H623" s="23"/>
      <c r="I623" s="20"/>
      <c r="J623" s="20"/>
      <c r="K623" s="27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</row>
    <row r="624" spans="1:68" ht="12.75" customHeight="1">
      <c r="A624" s="20"/>
      <c r="B624" s="20"/>
      <c r="C624" s="20"/>
      <c r="D624" s="20"/>
      <c r="E624" s="20"/>
      <c r="F624" s="20"/>
      <c r="G624" s="20"/>
      <c r="H624" s="23"/>
      <c r="I624" s="20"/>
      <c r="J624" s="20"/>
      <c r="K624" s="27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</row>
    <row r="625" spans="1:68" ht="12.75" customHeight="1">
      <c r="A625" s="20"/>
      <c r="B625" s="20"/>
      <c r="C625" s="20"/>
      <c r="D625" s="20"/>
      <c r="E625" s="20"/>
      <c r="F625" s="20"/>
      <c r="G625" s="20"/>
      <c r="H625" s="23"/>
      <c r="I625" s="20"/>
      <c r="J625" s="20"/>
      <c r="K625" s="27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</row>
    <row r="626" spans="1:68" ht="12.75" customHeight="1">
      <c r="A626" s="20"/>
      <c r="B626" s="20"/>
      <c r="C626" s="20"/>
      <c r="D626" s="20"/>
      <c r="E626" s="20"/>
      <c r="F626" s="20"/>
      <c r="G626" s="20"/>
      <c r="H626" s="23"/>
      <c r="I626" s="20"/>
      <c r="J626" s="20"/>
      <c r="K626" s="27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</row>
    <row r="627" spans="1:68" ht="12.75" customHeight="1">
      <c r="A627" s="20"/>
      <c r="B627" s="20"/>
      <c r="C627" s="20"/>
      <c r="D627" s="20"/>
      <c r="E627" s="20"/>
      <c r="F627" s="20"/>
      <c r="G627" s="20"/>
      <c r="H627" s="23"/>
      <c r="I627" s="20"/>
      <c r="J627" s="20"/>
      <c r="K627" s="27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</row>
    <row r="628" spans="1:68" ht="12.75" customHeight="1">
      <c r="A628" s="20"/>
      <c r="B628" s="20"/>
      <c r="C628" s="20"/>
      <c r="D628" s="20"/>
      <c r="E628" s="20"/>
      <c r="F628" s="20"/>
      <c r="G628" s="20"/>
      <c r="H628" s="23"/>
      <c r="I628" s="20"/>
      <c r="J628" s="20"/>
      <c r="K628" s="27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</row>
    <row r="629" spans="1:68" ht="12.75" customHeight="1">
      <c r="A629" s="20"/>
      <c r="B629" s="20"/>
      <c r="C629" s="20"/>
      <c r="D629" s="20"/>
      <c r="E629" s="20"/>
      <c r="F629" s="20"/>
      <c r="G629" s="20"/>
      <c r="H629" s="23"/>
      <c r="I629" s="20"/>
      <c r="J629" s="20"/>
      <c r="K629" s="27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</row>
    <row r="630" spans="1:68" ht="12.75" customHeight="1">
      <c r="A630" s="20"/>
      <c r="B630" s="20"/>
      <c r="C630" s="20"/>
      <c r="D630" s="20"/>
      <c r="E630" s="20"/>
      <c r="F630" s="20"/>
      <c r="G630" s="20"/>
      <c r="H630" s="23"/>
      <c r="I630" s="20"/>
      <c r="J630" s="20"/>
      <c r="K630" s="27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</row>
    <row r="631" spans="1:68" ht="12.75" customHeight="1">
      <c r="A631" s="20"/>
      <c r="B631" s="20"/>
      <c r="C631" s="20"/>
      <c r="D631" s="20"/>
      <c r="E631" s="20"/>
      <c r="F631" s="20"/>
      <c r="G631" s="20"/>
      <c r="H631" s="23"/>
      <c r="I631" s="20"/>
      <c r="J631" s="20"/>
      <c r="K631" s="27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</row>
    <row r="632" spans="1:68" ht="12.75" customHeight="1">
      <c r="A632" s="20"/>
      <c r="B632" s="20"/>
      <c r="C632" s="20"/>
      <c r="D632" s="20"/>
      <c r="E632" s="20"/>
      <c r="F632" s="20"/>
      <c r="G632" s="20"/>
      <c r="H632" s="23"/>
      <c r="I632" s="20"/>
      <c r="J632" s="20"/>
      <c r="K632" s="27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</row>
    <row r="633" spans="1:68" ht="12.75" customHeight="1">
      <c r="A633" s="20"/>
      <c r="B633" s="20"/>
      <c r="C633" s="20"/>
      <c r="D633" s="20"/>
      <c r="E633" s="20"/>
      <c r="F633" s="20"/>
      <c r="G633" s="20"/>
      <c r="H633" s="23"/>
      <c r="I633" s="20"/>
      <c r="J633" s="20"/>
      <c r="K633" s="27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</row>
    <row r="634" spans="1:68" ht="12.75" customHeight="1">
      <c r="A634" s="20"/>
      <c r="B634" s="20"/>
      <c r="C634" s="20"/>
      <c r="D634" s="20"/>
      <c r="E634" s="20"/>
      <c r="F634" s="20"/>
      <c r="G634" s="20"/>
      <c r="H634" s="23"/>
      <c r="I634" s="20"/>
      <c r="J634" s="20"/>
      <c r="K634" s="27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</row>
    <row r="635" spans="1:68" ht="12.75" customHeight="1">
      <c r="A635" s="20"/>
      <c r="B635" s="20"/>
      <c r="C635" s="20"/>
      <c r="D635" s="20"/>
      <c r="E635" s="20"/>
      <c r="F635" s="20"/>
      <c r="G635" s="20"/>
      <c r="H635" s="23"/>
      <c r="I635" s="20"/>
      <c r="J635" s="20"/>
      <c r="K635" s="27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</row>
    <row r="636" spans="1:68" ht="12.75" customHeight="1">
      <c r="A636" s="20"/>
      <c r="B636" s="20"/>
      <c r="C636" s="20"/>
      <c r="D636" s="20"/>
      <c r="E636" s="20"/>
      <c r="F636" s="20"/>
      <c r="G636" s="20"/>
      <c r="H636" s="23"/>
      <c r="I636" s="20"/>
      <c r="J636" s="20"/>
      <c r="K636" s="27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</row>
    <row r="637" spans="1:68" ht="12.75" customHeight="1">
      <c r="A637" s="20"/>
      <c r="B637" s="20"/>
      <c r="C637" s="20"/>
      <c r="D637" s="20"/>
      <c r="E637" s="20"/>
      <c r="F637" s="20"/>
      <c r="G637" s="20"/>
      <c r="H637" s="23"/>
      <c r="I637" s="20"/>
      <c r="J637" s="20"/>
      <c r="K637" s="27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</row>
    <row r="638" spans="1:68" ht="12.75" customHeight="1">
      <c r="A638" s="20"/>
      <c r="B638" s="20"/>
      <c r="C638" s="20"/>
      <c r="D638" s="20"/>
      <c r="E638" s="20"/>
      <c r="F638" s="20"/>
      <c r="G638" s="20"/>
      <c r="H638" s="23"/>
      <c r="I638" s="20"/>
      <c r="J638" s="20"/>
      <c r="K638" s="27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</row>
    <row r="639" spans="1:68" ht="12.75" customHeight="1">
      <c r="A639" s="20"/>
      <c r="B639" s="20"/>
      <c r="C639" s="20"/>
      <c r="D639" s="20"/>
      <c r="E639" s="20"/>
      <c r="F639" s="20"/>
      <c r="G639" s="20"/>
      <c r="H639" s="23"/>
      <c r="I639" s="20"/>
      <c r="J639" s="20"/>
      <c r="K639" s="27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</row>
    <row r="640" spans="1:68" ht="12.75" customHeight="1">
      <c r="A640" s="20"/>
      <c r="B640" s="20"/>
      <c r="C640" s="20"/>
      <c r="D640" s="20"/>
      <c r="E640" s="20"/>
      <c r="F640" s="20"/>
      <c r="G640" s="20"/>
      <c r="H640" s="23"/>
      <c r="I640" s="20"/>
      <c r="J640" s="20"/>
      <c r="K640" s="27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</row>
    <row r="641" spans="1:68" ht="12.75" customHeight="1">
      <c r="A641" s="20"/>
      <c r="B641" s="20"/>
      <c r="C641" s="20"/>
      <c r="D641" s="20"/>
      <c r="E641" s="20"/>
      <c r="F641" s="20"/>
      <c r="G641" s="20"/>
      <c r="H641" s="23"/>
      <c r="I641" s="20"/>
      <c r="J641" s="20"/>
      <c r="K641" s="27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</row>
    <row r="642" spans="1:68" ht="12.75" customHeight="1">
      <c r="A642" s="20"/>
      <c r="B642" s="20"/>
      <c r="C642" s="20"/>
      <c r="D642" s="20"/>
      <c r="E642" s="20"/>
      <c r="F642" s="20"/>
      <c r="G642" s="20"/>
      <c r="H642" s="23"/>
      <c r="I642" s="20"/>
      <c r="J642" s="20"/>
      <c r="K642" s="27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</row>
    <row r="643" spans="1:68" ht="12.75" customHeight="1">
      <c r="A643" s="20"/>
      <c r="B643" s="20"/>
      <c r="C643" s="20"/>
      <c r="D643" s="20"/>
      <c r="E643" s="20"/>
      <c r="F643" s="20"/>
      <c r="G643" s="20"/>
      <c r="H643" s="23"/>
      <c r="I643" s="20"/>
      <c r="J643" s="20"/>
      <c r="K643" s="27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</row>
    <row r="644" spans="1:68" ht="12.75" customHeight="1">
      <c r="A644" s="20"/>
      <c r="B644" s="20"/>
      <c r="C644" s="20"/>
      <c r="D644" s="20"/>
      <c r="E644" s="20"/>
      <c r="F644" s="20"/>
      <c r="G644" s="20"/>
      <c r="H644" s="23"/>
      <c r="I644" s="20"/>
      <c r="J644" s="20"/>
      <c r="K644" s="27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</row>
    <row r="645" spans="1:68" ht="12.75" customHeight="1">
      <c r="A645" s="20"/>
      <c r="B645" s="20"/>
      <c r="C645" s="20"/>
      <c r="D645" s="20"/>
      <c r="E645" s="20"/>
      <c r="F645" s="20"/>
      <c r="G645" s="20"/>
      <c r="H645" s="23"/>
      <c r="I645" s="20"/>
      <c r="J645" s="20"/>
      <c r="K645" s="27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</row>
    <row r="646" spans="1:68" ht="12.75" customHeight="1">
      <c r="A646" s="20"/>
      <c r="B646" s="20"/>
      <c r="C646" s="20"/>
      <c r="D646" s="20"/>
      <c r="E646" s="20"/>
      <c r="F646" s="20"/>
      <c r="G646" s="20"/>
      <c r="H646" s="23"/>
      <c r="I646" s="20"/>
      <c r="J646" s="20"/>
      <c r="K646" s="27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</row>
    <row r="647" spans="1:68" ht="12.75" customHeight="1">
      <c r="A647" s="20"/>
      <c r="B647" s="20"/>
      <c r="C647" s="20"/>
      <c r="D647" s="20"/>
      <c r="E647" s="20"/>
      <c r="F647" s="20"/>
      <c r="G647" s="20"/>
      <c r="H647" s="23"/>
      <c r="I647" s="20"/>
      <c r="J647" s="20"/>
      <c r="K647" s="27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</row>
    <row r="648" spans="1:68" ht="12.75" customHeight="1">
      <c r="A648" s="20"/>
      <c r="B648" s="20"/>
      <c r="C648" s="20"/>
      <c r="D648" s="20"/>
      <c r="E648" s="20"/>
      <c r="F648" s="20"/>
      <c r="G648" s="20"/>
      <c r="H648" s="23"/>
      <c r="I648" s="20"/>
      <c r="J648" s="20"/>
      <c r="K648" s="27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</row>
    <row r="649" spans="1:68" ht="12.75" customHeight="1">
      <c r="A649" s="20"/>
      <c r="B649" s="20"/>
      <c r="C649" s="20"/>
      <c r="D649" s="20"/>
      <c r="E649" s="20"/>
      <c r="F649" s="20"/>
      <c r="G649" s="20"/>
      <c r="H649" s="23"/>
      <c r="I649" s="20"/>
      <c r="J649" s="20"/>
      <c r="K649" s="27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</row>
    <row r="650" spans="1:68" ht="12.75" customHeight="1">
      <c r="A650" s="20"/>
      <c r="B650" s="20"/>
      <c r="C650" s="20"/>
      <c r="D650" s="20"/>
      <c r="E650" s="20"/>
      <c r="F650" s="20"/>
      <c r="G650" s="20"/>
      <c r="H650" s="23"/>
      <c r="I650" s="20"/>
      <c r="J650" s="20"/>
      <c r="K650" s="27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</row>
    <row r="651" spans="1:68" ht="12.75" customHeight="1">
      <c r="A651" s="20"/>
      <c r="B651" s="20"/>
      <c r="C651" s="20"/>
      <c r="D651" s="20"/>
      <c r="E651" s="20"/>
      <c r="F651" s="20"/>
      <c r="G651" s="20"/>
      <c r="H651" s="23"/>
      <c r="I651" s="20"/>
      <c r="J651" s="20"/>
      <c r="K651" s="27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</row>
    <row r="652" spans="1:68" ht="12.75" customHeight="1">
      <c r="A652" s="20"/>
      <c r="B652" s="20"/>
      <c r="C652" s="20"/>
      <c r="D652" s="20"/>
      <c r="E652" s="20"/>
      <c r="F652" s="20"/>
      <c r="G652" s="20"/>
      <c r="H652" s="23"/>
      <c r="I652" s="20"/>
      <c r="J652" s="20"/>
      <c r="K652" s="27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</row>
    <row r="653" spans="1:68" ht="12.75" customHeight="1">
      <c r="A653" s="20"/>
      <c r="B653" s="20"/>
      <c r="C653" s="20"/>
      <c r="D653" s="20"/>
      <c r="E653" s="20"/>
      <c r="F653" s="20"/>
      <c r="G653" s="20"/>
      <c r="H653" s="23"/>
      <c r="I653" s="20"/>
      <c r="J653" s="20"/>
      <c r="K653" s="27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</row>
    <row r="654" spans="1:68" ht="12.75" customHeight="1">
      <c r="A654" s="20"/>
      <c r="B654" s="20"/>
      <c r="C654" s="20"/>
      <c r="D654" s="20"/>
      <c r="E654" s="20"/>
      <c r="F654" s="20"/>
      <c r="G654" s="20"/>
      <c r="H654" s="23"/>
      <c r="I654" s="20"/>
      <c r="J654" s="20"/>
      <c r="K654" s="27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</row>
    <row r="655" spans="1:68" ht="12.75" customHeight="1">
      <c r="A655" s="20"/>
      <c r="B655" s="20"/>
      <c r="C655" s="20"/>
      <c r="D655" s="20"/>
      <c r="E655" s="20"/>
      <c r="F655" s="20"/>
      <c r="G655" s="20"/>
      <c r="H655" s="23"/>
      <c r="I655" s="20"/>
      <c r="J655" s="20"/>
      <c r="K655" s="27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</row>
    <row r="656" spans="1:68" ht="12.75" customHeight="1">
      <c r="A656" s="20"/>
      <c r="B656" s="20"/>
      <c r="C656" s="20"/>
      <c r="D656" s="20"/>
      <c r="E656" s="20"/>
      <c r="F656" s="20"/>
      <c r="G656" s="20"/>
      <c r="H656" s="23"/>
      <c r="I656" s="20"/>
      <c r="J656" s="20"/>
      <c r="K656" s="27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</row>
    <row r="657" spans="1:68" ht="12.75" customHeight="1">
      <c r="A657" s="20"/>
      <c r="B657" s="20"/>
      <c r="C657" s="20"/>
      <c r="D657" s="20"/>
      <c r="E657" s="20"/>
      <c r="F657" s="20"/>
      <c r="G657" s="20"/>
      <c r="H657" s="23"/>
      <c r="I657" s="20"/>
      <c r="J657" s="20"/>
      <c r="K657" s="27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</row>
    <row r="658" spans="1:68" ht="12.75" customHeight="1">
      <c r="A658" s="20"/>
      <c r="B658" s="20"/>
      <c r="C658" s="20"/>
      <c r="D658" s="20"/>
      <c r="E658" s="20"/>
      <c r="F658" s="20"/>
      <c r="G658" s="20"/>
      <c r="H658" s="23"/>
      <c r="I658" s="20"/>
      <c r="J658" s="20"/>
      <c r="K658" s="27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</row>
    <row r="659" spans="1:68" ht="12.75" customHeight="1">
      <c r="A659" s="20"/>
      <c r="B659" s="20"/>
      <c r="C659" s="20"/>
      <c r="D659" s="20"/>
      <c r="E659" s="20"/>
      <c r="F659" s="20"/>
      <c r="G659" s="20"/>
      <c r="H659" s="23"/>
      <c r="I659" s="20"/>
      <c r="J659" s="20"/>
      <c r="K659" s="27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</row>
    <row r="660" spans="1:68" ht="12.75" customHeight="1">
      <c r="A660" s="20"/>
      <c r="B660" s="20"/>
      <c r="C660" s="20"/>
      <c r="D660" s="20"/>
      <c r="E660" s="20"/>
      <c r="F660" s="20"/>
      <c r="G660" s="20"/>
      <c r="H660" s="23"/>
      <c r="I660" s="20"/>
      <c r="J660" s="20"/>
      <c r="K660" s="27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</row>
    <row r="661" spans="1:68" ht="12.75" customHeight="1">
      <c r="A661" s="20"/>
      <c r="B661" s="20"/>
      <c r="C661" s="20"/>
      <c r="D661" s="20"/>
      <c r="E661" s="20"/>
      <c r="F661" s="20"/>
      <c r="G661" s="20"/>
      <c r="H661" s="23"/>
      <c r="I661" s="20"/>
      <c r="J661" s="20"/>
      <c r="K661" s="27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</row>
    <row r="662" spans="1:68" ht="12.75" customHeight="1">
      <c r="A662" s="20"/>
      <c r="B662" s="20"/>
      <c r="C662" s="20"/>
      <c r="D662" s="20"/>
      <c r="E662" s="20"/>
      <c r="F662" s="20"/>
      <c r="G662" s="20"/>
      <c r="H662" s="23"/>
      <c r="I662" s="20"/>
      <c r="J662" s="20"/>
      <c r="K662" s="27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</row>
    <row r="663" spans="1:68" ht="12.75" customHeight="1">
      <c r="A663" s="20"/>
      <c r="B663" s="20"/>
      <c r="C663" s="20"/>
      <c r="D663" s="20"/>
      <c r="E663" s="20"/>
      <c r="F663" s="20"/>
      <c r="G663" s="20"/>
      <c r="H663" s="23"/>
      <c r="I663" s="20"/>
      <c r="J663" s="20"/>
      <c r="K663" s="27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</row>
    <row r="664" spans="1:68" ht="12.75" customHeight="1">
      <c r="A664" s="20"/>
      <c r="B664" s="20"/>
      <c r="C664" s="20"/>
      <c r="D664" s="20"/>
      <c r="E664" s="20"/>
      <c r="F664" s="20"/>
      <c r="G664" s="20"/>
      <c r="H664" s="23"/>
      <c r="I664" s="20"/>
      <c r="J664" s="20"/>
      <c r="K664" s="27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</row>
    <row r="665" spans="1:68" ht="12.75" customHeight="1">
      <c r="A665" s="20"/>
      <c r="B665" s="20"/>
      <c r="C665" s="20"/>
      <c r="D665" s="20"/>
      <c r="E665" s="20"/>
      <c r="F665" s="20"/>
      <c r="G665" s="20"/>
      <c r="H665" s="23"/>
      <c r="I665" s="20"/>
      <c r="J665" s="20"/>
      <c r="K665" s="27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</row>
    <row r="666" spans="1:68" ht="12.75" customHeight="1">
      <c r="A666" s="20"/>
      <c r="B666" s="20"/>
      <c r="C666" s="20"/>
      <c r="D666" s="20"/>
      <c r="E666" s="20"/>
      <c r="F666" s="20"/>
      <c r="G666" s="20"/>
      <c r="H666" s="23"/>
      <c r="I666" s="20"/>
      <c r="J666" s="20"/>
      <c r="K666" s="27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</row>
    <row r="667" spans="1:68" ht="12.75" customHeight="1">
      <c r="A667" s="20"/>
      <c r="B667" s="20"/>
      <c r="C667" s="20"/>
      <c r="D667" s="20"/>
      <c r="E667" s="20"/>
      <c r="F667" s="20"/>
      <c r="G667" s="20"/>
      <c r="H667" s="23"/>
      <c r="I667" s="20"/>
      <c r="J667" s="20"/>
      <c r="K667" s="27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</row>
    <row r="668" spans="1:68" ht="12.75" customHeight="1">
      <c r="A668" s="20"/>
      <c r="B668" s="20"/>
      <c r="C668" s="20"/>
      <c r="D668" s="20"/>
      <c r="E668" s="20"/>
      <c r="F668" s="20"/>
      <c r="G668" s="20"/>
      <c r="H668" s="23"/>
      <c r="I668" s="20"/>
      <c r="J668" s="20"/>
      <c r="K668" s="27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</row>
    <row r="669" spans="1:68" ht="12.75" customHeight="1">
      <c r="A669" s="20"/>
      <c r="B669" s="20"/>
      <c r="C669" s="20"/>
      <c r="D669" s="20"/>
      <c r="E669" s="20"/>
      <c r="F669" s="20"/>
      <c r="G669" s="20"/>
      <c r="H669" s="23"/>
      <c r="I669" s="20"/>
      <c r="J669" s="20"/>
      <c r="K669" s="27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</row>
    <row r="670" spans="1:68" ht="12.75" customHeight="1">
      <c r="A670" s="20"/>
      <c r="B670" s="20"/>
      <c r="C670" s="20"/>
      <c r="D670" s="20"/>
      <c r="E670" s="20"/>
      <c r="F670" s="20"/>
      <c r="G670" s="20"/>
      <c r="H670" s="23"/>
      <c r="I670" s="20"/>
      <c r="J670" s="20"/>
      <c r="K670" s="27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</row>
    <row r="671" spans="1:68" ht="12.75" customHeight="1">
      <c r="A671" s="20"/>
      <c r="B671" s="20"/>
      <c r="C671" s="20"/>
      <c r="D671" s="20"/>
      <c r="E671" s="20"/>
      <c r="F671" s="20"/>
      <c r="G671" s="20"/>
      <c r="H671" s="23"/>
      <c r="I671" s="20"/>
      <c r="J671" s="20"/>
      <c r="K671" s="27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</row>
    <row r="672" spans="1:68" ht="12.75" customHeight="1">
      <c r="A672" s="20"/>
      <c r="B672" s="20"/>
      <c r="C672" s="20"/>
      <c r="D672" s="20"/>
      <c r="E672" s="20"/>
      <c r="F672" s="20"/>
      <c r="G672" s="20"/>
      <c r="H672" s="23"/>
      <c r="I672" s="20"/>
      <c r="J672" s="20"/>
      <c r="K672" s="27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</row>
    <row r="673" spans="1:68" ht="12.75" customHeight="1">
      <c r="A673" s="20"/>
      <c r="B673" s="20"/>
      <c r="C673" s="20"/>
      <c r="D673" s="20"/>
      <c r="E673" s="20"/>
      <c r="F673" s="20"/>
      <c r="G673" s="20"/>
      <c r="H673" s="23"/>
      <c r="I673" s="20"/>
      <c r="J673" s="20"/>
      <c r="K673" s="27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</row>
    <row r="674" spans="1:68" ht="12.75" customHeight="1">
      <c r="A674" s="20"/>
      <c r="B674" s="20"/>
      <c r="C674" s="20"/>
      <c r="D674" s="20"/>
      <c r="E674" s="20"/>
      <c r="F674" s="20"/>
      <c r="G674" s="20"/>
      <c r="H674" s="23"/>
      <c r="I674" s="20"/>
      <c r="J674" s="20"/>
      <c r="K674" s="27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</row>
    <row r="675" spans="1:68" ht="12.75" customHeight="1">
      <c r="A675" s="20"/>
      <c r="B675" s="20"/>
      <c r="C675" s="20"/>
      <c r="D675" s="20"/>
      <c r="E675" s="20"/>
      <c r="F675" s="20"/>
      <c r="G675" s="20"/>
      <c r="H675" s="23"/>
      <c r="I675" s="20"/>
      <c r="J675" s="20"/>
      <c r="K675" s="27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</row>
    <row r="676" spans="1:68" ht="12.75" customHeight="1">
      <c r="A676" s="20"/>
      <c r="B676" s="20"/>
      <c r="C676" s="20"/>
      <c r="D676" s="20"/>
      <c r="E676" s="20"/>
      <c r="F676" s="20"/>
      <c r="G676" s="20"/>
      <c r="H676" s="23"/>
      <c r="I676" s="20"/>
      <c r="J676" s="20"/>
      <c r="K676" s="27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</row>
    <row r="677" spans="1:68" ht="12.75" customHeight="1">
      <c r="A677" s="20"/>
      <c r="B677" s="20"/>
      <c r="C677" s="20"/>
      <c r="D677" s="20"/>
      <c r="E677" s="20"/>
      <c r="F677" s="20"/>
      <c r="G677" s="20"/>
      <c r="H677" s="23"/>
      <c r="I677" s="20"/>
      <c r="J677" s="20"/>
      <c r="K677" s="27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</row>
    <row r="678" spans="1:68" ht="12.75" customHeight="1">
      <c r="A678" s="20"/>
      <c r="B678" s="20"/>
      <c r="C678" s="20"/>
      <c r="D678" s="20"/>
      <c r="E678" s="20"/>
      <c r="F678" s="20"/>
      <c r="G678" s="20"/>
      <c r="H678" s="23"/>
      <c r="I678" s="20"/>
      <c r="J678" s="20"/>
      <c r="K678" s="27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</row>
    <row r="679" spans="1:68" ht="12.75" customHeight="1">
      <c r="A679" s="20"/>
      <c r="B679" s="20"/>
      <c r="C679" s="20"/>
      <c r="D679" s="20"/>
      <c r="E679" s="20"/>
      <c r="F679" s="20"/>
      <c r="G679" s="20"/>
      <c r="H679" s="23"/>
      <c r="I679" s="20"/>
      <c r="J679" s="20"/>
      <c r="K679" s="27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</row>
    <row r="680" spans="1:68" ht="12.75" customHeight="1">
      <c r="A680" s="20"/>
      <c r="B680" s="20"/>
      <c r="C680" s="20"/>
      <c r="D680" s="20"/>
      <c r="E680" s="20"/>
      <c r="F680" s="20"/>
      <c r="G680" s="20"/>
      <c r="H680" s="23"/>
      <c r="I680" s="20"/>
      <c r="J680" s="20"/>
      <c r="K680" s="27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</row>
    <row r="681" spans="1:68" ht="12.75" customHeight="1">
      <c r="A681" s="20"/>
      <c r="B681" s="20"/>
      <c r="C681" s="20"/>
      <c r="D681" s="20"/>
      <c r="E681" s="20"/>
      <c r="F681" s="20"/>
      <c r="G681" s="20"/>
      <c r="H681" s="23"/>
      <c r="I681" s="20"/>
      <c r="J681" s="20"/>
      <c r="K681" s="27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</row>
    <row r="682" spans="1:68" ht="12.75" customHeight="1">
      <c r="A682" s="20"/>
      <c r="B682" s="20"/>
      <c r="C682" s="20"/>
      <c r="D682" s="20"/>
      <c r="E682" s="20"/>
      <c r="F682" s="20"/>
      <c r="G682" s="20"/>
      <c r="H682" s="23"/>
      <c r="I682" s="20"/>
      <c r="J682" s="20"/>
      <c r="K682" s="27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</row>
    <row r="683" spans="1:68" ht="12.75" customHeight="1">
      <c r="A683" s="20"/>
      <c r="B683" s="20"/>
      <c r="C683" s="20"/>
      <c r="D683" s="20"/>
      <c r="E683" s="20"/>
      <c r="F683" s="20"/>
      <c r="G683" s="20"/>
      <c r="H683" s="23"/>
      <c r="I683" s="20"/>
      <c r="J683" s="20"/>
      <c r="K683" s="27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</row>
    <row r="684" spans="1:68" ht="12.75" customHeight="1">
      <c r="A684" s="20"/>
      <c r="B684" s="20"/>
      <c r="C684" s="20"/>
      <c r="D684" s="20"/>
      <c r="E684" s="20"/>
      <c r="F684" s="20"/>
      <c r="G684" s="20"/>
      <c r="H684" s="23"/>
      <c r="I684" s="20"/>
      <c r="J684" s="20"/>
      <c r="K684" s="27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</row>
    <row r="685" spans="1:68" ht="12.75" customHeight="1">
      <c r="A685" s="20"/>
      <c r="B685" s="20"/>
      <c r="C685" s="20"/>
      <c r="D685" s="20"/>
      <c r="E685" s="20"/>
      <c r="F685" s="20"/>
      <c r="G685" s="20"/>
      <c r="H685" s="23"/>
      <c r="I685" s="20"/>
      <c r="J685" s="20"/>
      <c r="K685" s="27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</row>
    <row r="686" spans="1:68" ht="12.75" customHeight="1">
      <c r="A686" s="20"/>
      <c r="B686" s="20"/>
      <c r="C686" s="20"/>
      <c r="D686" s="20"/>
      <c r="E686" s="20"/>
      <c r="F686" s="20"/>
      <c r="G686" s="20"/>
      <c r="H686" s="23"/>
      <c r="I686" s="20"/>
      <c r="J686" s="20"/>
      <c r="K686" s="27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</row>
    <row r="687" spans="1:68" ht="12.75" customHeight="1">
      <c r="A687" s="20"/>
      <c r="B687" s="20"/>
      <c r="C687" s="20"/>
      <c r="D687" s="20"/>
      <c r="E687" s="20"/>
      <c r="F687" s="20"/>
      <c r="G687" s="20"/>
      <c r="H687" s="23"/>
      <c r="I687" s="20"/>
      <c r="J687" s="20"/>
      <c r="K687" s="27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</row>
    <row r="688" spans="1:68" ht="12.75" customHeight="1">
      <c r="A688" s="20"/>
      <c r="B688" s="20"/>
      <c r="C688" s="20"/>
      <c r="D688" s="20"/>
      <c r="E688" s="20"/>
      <c r="F688" s="20"/>
      <c r="G688" s="20"/>
      <c r="H688" s="23"/>
      <c r="I688" s="20"/>
      <c r="J688" s="20"/>
      <c r="K688" s="27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</row>
    <row r="689" spans="1:68" ht="12.75" customHeight="1">
      <c r="A689" s="20"/>
      <c r="B689" s="20"/>
      <c r="C689" s="20"/>
      <c r="D689" s="20"/>
      <c r="E689" s="20"/>
      <c r="F689" s="20"/>
      <c r="G689" s="20"/>
      <c r="H689" s="23"/>
      <c r="I689" s="20"/>
      <c r="J689" s="20"/>
      <c r="K689" s="27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</row>
    <row r="690" spans="1:68" ht="12.75" customHeight="1">
      <c r="A690" s="20"/>
      <c r="B690" s="20"/>
      <c r="C690" s="20"/>
      <c r="D690" s="20"/>
      <c r="E690" s="20"/>
      <c r="F690" s="20"/>
      <c r="G690" s="20"/>
      <c r="H690" s="23"/>
      <c r="I690" s="20"/>
      <c r="J690" s="20"/>
      <c r="K690" s="27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</row>
    <row r="691" spans="1:68" ht="12.75" customHeight="1">
      <c r="A691" s="20"/>
      <c r="B691" s="20"/>
      <c r="C691" s="20"/>
      <c r="D691" s="20"/>
      <c r="E691" s="20"/>
      <c r="F691" s="20"/>
      <c r="G691" s="20"/>
      <c r="H691" s="23"/>
      <c r="I691" s="20"/>
      <c r="J691" s="20"/>
      <c r="K691" s="27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</row>
    <row r="692" spans="1:68" ht="12.75" customHeight="1">
      <c r="A692" s="20"/>
      <c r="B692" s="20"/>
      <c r="C692" s="20"/>
      <c r="D692" s="20"/>
      <c r="E692" s="20"/>
      <c r="F692" s="20"/>
      <c r="G692" s="20"/>
      <c r="H692" s="23"/>
      <c r="I692" s="20"/>
      <c r="J692" s="20"/>
      <c r="K692" s="27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</row>
    <row r="693" spans="1:68" ht="12.75" customHeight="1">
      <c r="A693" s="20"/>
      <c r="B693" s="20"/>
      <c r="C693" s="20"/>
      <c r="D693" s="20"/>
      <c r="E693" s="20"/>
      <c r="F693" s="20"/>
      <c r="G693" s="20"/>
      <c r="H693" s="23"/>
      <c r="I693" s="20"/>
      <c r="J693" s="20"/>
      <c r="K693" s="27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</row>
    <row r="694" spans="1:68" ht="12.75" customHeight="1">
      <c r="A694" s="20"/>
      <c r="B694" s="20"/>
      <c r="C694" s="20"/>
      <c r="D694" s="20"/>
      <c r="E694" s="20"/>
      <c r="F694" s="20"/>
      <c r="G694" s="20"/>
      <c r="H694" s="23"/>
      <c r="I694" s="20"/>
      <c r="J694" s="20"/>
      <c r="K694" s="27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</row>
    <row r="695" spans="1:68" ht="12.75" customHeight="1">
      <c r="A695" s="20"/>
      <c r="B695" s="20"/>
      <c r="C695" s="20"/>
      <c r="D695" s="20"/>
      <c r="E695" s="20"/>
      <c r="F695" s="20"/>
      <c r="G695" s="20"/>
      <c r="H695" s="23"/>
      <c r="I695" s="20"/>
      <c r="J695" s="20"/>
      <c r="K695" s="27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</row>
    <row r="696" spans="1:68" ht="12.75" customHeight="1">
      <c r="A696" s="20"/>
      <c r="B696" s="20"/>
      <c r="C696" s="20"/>
      <c r="D696" s="20"/>
      <c r="E696" s="20"/>
      <c r="F696" s="20"/>
      <c r="G696" s="20"/>
      <c r="H696" s="23"/>
      <c r="I696" s="20"/>
      <c r="J696" s="20"/>
      <c r="K696" s="27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</row>
    <row r="697" spans="1:68" ht="12.75" customHeight="1">
      <c r="A697" s="20"/>
      <c r="B697" s="20"/>
      <c r="C697" s="20"/>
      <c r="D697" s="20"/>
      <c r="E697" s="20"/>
      <c r="F697" s="20"/>
      <c r="G697" s="20"/>
      <c r="H697" s="23"/>
      <c r="I697" s="20"/>
      <c r="J697" s="20"/>
      <c r="K697" s="27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</row>
    <row r="698" spans="1:68" ht="12.75" customHeight="1">
      <c r="A698" s="20"/>
      <c r="B698" s="20"/>
      <c r="C698" s="20"/>
      <c r="D698" s="20"/>
      <c r="E698" s="20"/>
      <c r="F698" s="20"/>
      <c r="G698" s="20"/>
      <c r="H698" s="23"/>
      <c r="I698" s="20"/>
      <c r="J698" s="20"/>
      <c r="K698" s="27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</row>
    <row r="699" spans="1:68" ht="12.75" customHeight="1">
      <c r="A699" s="20"/>
      <c r="B699" s="20"/>
      <c r="C699" s="20"/>
      <c r="D699" s="20"/>
      <c r="E699" s="20"/>
      <c r="F699" s="20"/>
      <c r="G699" s="20"/>
      <c r="H699" s="23"/>
      <c r="I699" s="20"/>
      <c r="J699" s="20"/>
      <c r="K699" s="27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</row>
    <row r="700" spans="1:68" ht="12.75" customHeight="1">
      <c r="A700" s="20"/>
      <c r="B700" s="20"/>
      <c r="C700" s="20"/>
      <c r="D700" s="20"/>
      <c r="E700" s="20"/>
      <c r="F700" s="20"/>
      <c r="G700" s="20"/>
      <c r="H700" s="23"/>
      <c r="I700" s="20"/>
      <c r="J700" s="20"/>
      <c r="K700" s="27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</row>
    <row r="701" spans="1:68" ht="12.75" customHeight="1">
      <c r="A701" s="20"/>
      <c r="B701" s="20"/>
      <c r="C701" s="20"/>
      <c r="D701" s="20"/>
      <c r="E701" s="20"/>
      <c r="F701" s="20"/>
      <c r="G701" s="20"/>
      <c r="H701" s="23"/>
      <c r="I701" s="20"/>
      <c r="J701" s="20"/>
      <c r="K701" s="27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</row>
    <row r="702" spans="1:68" ht="12.75" customHeight="1">
      <c r="A702" s="20"/>
      <c r="B702" s="20"/>
      <c r="C702" s="20"/>
      <c r="D702" s="20"/>
      <c r="E702" s="20"/>
      <c r="F702" s="20"/>
      <c r="G702" s="20"/>
      <c r="H702" s="23"/>
      <c r="I702" s="20"/>
      <c r="J702" s="20"/>
      <c r="K702" s="27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</row>
    <row r="703" spans="1:68" ht="12.75" customHeight="1">
      <c r="A703" s="20"/>
      <c r="B703" s="20"/>
      <c r="C703" s="20"/>
      <c r="D703" s="20"/>
      <c r="E703" s="20"/>
      <c r="F703" s="20"/>
      <c r="G703" s="20"/>
      <c r="H703" s="23"/>
      <c r="I703" s="20"/>
      <c r="J703" s="20"/>
      <c r="K703" s="27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</row>
    <row r="704" spans="1:68" ht="12.75" customHeight="1">
      <c r="A704" s="20"/>
      <c r="B704" s="20"/>
      <c r="C704" s="20"/>
      <c r="D704" s="20"/>
      <c r="E704" s="20"/>
      <c r="F704" s="20"/>
      <c r="G704" s="20"/>
      <c r="H704" s="23"/>
      <c r="I704" s="20"/>
      <c r="J704" s="20"/>
      <c r="K704" s="27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</row>
    <row r="705" spans="1:68" ht="12.75" customHeight="1">
      <c r="A705" s="20"/>
      <c r="B705" s="20"/>
      <c r="C705" s="20"/>
      <c r="D705" s="20"/>
      <c r="E705" s="20"/>
      <c r="F705" s="20"/>
      <c r="G705" s="20"/>
      <c r="H705" s="23"/>
      <c r="I705" s="20"/>
      <c r="J705" s="20"/>
      <c r="K705" s="27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</row>
    <row r="706" spans="1:68" ht="12.75" customHeight="1">
      <c r="A706" s="20"/>
      <c r="B706" s="20"/>
      <c r="C706" s="20"/>
      <c r="D706" s="20"/>
      <c r="E706" s="20"/>
      <c r="F706" s="20"/>
      <c r="G706" s="20"/>
      <c r="H706" s="23"/>
      <c r="I706" s="20"/>
      <c r="J706" s="20"/>
      <c r="K706" s="27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</row>
    <row r="707" spans="1:68" ht="12.75" customHeight="1">
      <c r="A707" s="20"/>
      <c r="B707" s="20"/>
      <c r="C707" s="20"/>
      <c r="D707" s="20"/>
      <c r="E707" s="20"/>
      <c r="F707" s="20"/>
      <c r="G707" s="20"/>
      <c r="H707" s="23"/>
      <c r="I707" s="20"/>
      <c r="J707" s="20"/>
      <c r="K707" s="27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</row>
    <row r="708" spans="1:68" ht="12.75" customHeight="1">
      <c r="A708" s="20"/>
      <c r="B708" s="20"/>
      <c r="C708" s="20"/>
      <c r="D708" s="20"/>
      <c r="E708" s="20"/>
      <c r="F708" s="20"/>
      <c r="G708" s="20"/>
      <c r="H708" s="23"/>
      <c r="I708" s="20"/>
      <c r="J708" s="20"/>
      <c r="K708" s="27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</row>
    <row r="709" spans="1:68" ht="12.75" customHeight="1">
      <c r="A709" s="20"/>
      <c r="B709" s="20"/>
      <c r="C709" s="20"/>
      <c r="D709" s="20"/>
      <c r="E709" s="20"/>
      <c r="F709" s="20"/>
      <c r="G709" s="20"/>
      <c r="H709" s="23"/>
      <c r="I709" s="20"/>
      <c r="J709" s="20"/>
      <c r="K709" s="27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</row>
    <row r="710" spans="1:68" ht="12.75" customHeight="1">
      <c r="A710" s="20"/>
      <c r="B710" s="20"/>
      <c r="C710" s="20"/>
      <c r="D710" s="20"/>
      <c r="E710" s="20"/>
      <c r="F710" s="20"/>
      <c r="G710" s="20"/>
      <c r="H710" s="23"/>
      <c r="I710" s="20"/>
      <c r="J710" s="20"/>
      <c r="K710" s="27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</row>
    <row r="711" spans="1:68" ht="12.75" customHeight="1">
      <c r="A711" s="20"/>
      <c r="B711" s="20"/>
      <c r="C711" s="20"/>
      <c r="D711" s="20"/>
      <c r="E711" s="20"/>
      <c r="F711" s="20"/>
      <c r="G711" s="20"/>
      <c r="H711" s="23"/>
      <c r="I711" s="20"/>
      <c r="J711" s="20"/>
      <c r="K711" s="27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</row>
    <row r="712" spans="1:68" ht="12.75" customHeight="1">
      <c r="A712" s="20"/>
      <c r="B712" s="20"/>
      <c r="C712" s="20"/>
      <c r="D712" s="20"/>
      <c r="E712" s="20"/>
      <c r="F712" s="20"/>
      <c r="G712" s="20"/>
      <c r="H712" s="23"/>
      <c r="I712" s="20"/>
      <c r="J712" s="20"/>
      <c r="K712" s="27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</row>
    <row r="713" spans="1:68" ht="12.75" customHeight="1">
      <c r="A713" s="20"/>
      <c r="B713" s="20"/>
      <c r="C713" s="20"/>
      <c r="D713" s="20"/>
      <c r="E713" s="20"/>
      <c r="F713" s="20"/>
      <c r="G713" s="20"/>
      <c r="H713" s="23"/>
      <c r="I713" s="20"/>
      <c r="J713" s="20"/>
      <c r="K713" s="27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</row>
    <row r="714" spans="1:68" ht="12.75" customHeight="1">
      <c r="A714" s="20"/>
      <c r="B714" s="20"/>
      <c r="C714" s="20"/>
      <c r="D714" s="20"/>
      <c r="E714" s="20"/>
      <c r="F714" s="20"/>
      <c r="G714" s="20"/>
      <c r="H714" s="23"/>
      <c r="I714" s="20"/>
      <c r="J714" s="20"/>
      <c r="K714" s="27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</row>
    <row r="715" spans="1:68" ht="12.75" customHeight="1">
      <c r="A715" s="20"/>
      <c r="B715" s="20"/>
      <c r="C715" s="20"/>
      <c r="D715" s="20"/>
      <c r="E715" s="20"/>
      <c r="F715" s="20"/>
      <c r="G715" s="20"/>
      <c r="H715" s="23"/>
      <c r="I715" s="20"/>
      <c r="J715" s="20"/>
      <c r="K715" s="27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</row>
    <row r="716" spans="1:68" ht="12.75" customHeight="1">
      <c r="A716" s="20"/>
      <c r="B716" s="20"/>
      <c r="C716" s="20"/>
      <c r="D716" s="20"/>
      <c r="E716" s="20"/>
      <c r="F716" s="20"/>
      <c r="G716" s="20"/>
      <c r="H716" s="23"/>
      <c r="I716" s="20"/>
      <c r="J716" s="20"/>
      <c r="K716" s="27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</row>
    <row r="717" spans="1:68" ht="12.75" customHeight="1">
      <c r="A717" s="20"/>
      <c r="B717" s="20"/>
      <c r="C717" s="20"/>
      <c r="D717" s="20"/>
      <c r="E717" s="20"/>
      <c r="F717" s="20"/>
      <c r="G717" s="20"/>
      <c r="H717" s="23"/>
      <c r="I717" s="20"/>
      <c r="J717" s="20"/>
      <c r="K717" s="27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</row>
    <row r="718" spans="1:68" ht="12.75" customHeight="1">
      <c r="A718" s="20"/>
      <c r="B718" s="20"/>
      <c r="C718" s="20"/>
      <c r="D718" s="20"/>
      <c r="E718" s="20"/>
      <c r="F718" s="20"/>
      <c r="G718" s="20"/>
      <c r="H718" s="23"/>
      <c r="I718" s="20"/>
      <c r="J718" s="20"/>
      <c r="K718" s="27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</row>
    <row r="719" spans="1:68" ht="12.75" customHeight="1">
      <c r="A719" s="20"/>
      <c r="B719" s="20"/>
      <c r="C719" s="20"/>
      <c r="D719" s="20"/>
      <c r="E719" s="20"/>
      <c r="F719" s="20"/>
      <c r="G719" s="20"/>
      <c r="H719" s="23"/>
      <c r="I719" s="20"/>
      <c r="J719" s="20"/>
      <c r="K719" s="27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</row>
    <row r="720" spans="1:68" ht="12.75" customHeight="1">
      <c r="A720" s="20"/>
      <c r="B720" s="20"/>
      <c r="C720" s="20"/>
      <c r="D720" s="20"/>
      <c r="E720" s="20"/>
      <c r="F720" s="20"/>
      <c r="G720" s="20"/>
      <c r="H720" s="23"/>
      <c r="I720" s="20"/>
      <c r="J720" s="20"/>
      <c r="K720" s="27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</row>
    <row r="721" spans="1:68" ht="12.75" customHeight="1">
      <c r="A721" s="20"/>
      <c r="B721" s="20"/>
      <c r="C721" s="20"/>
      <c r="D721" s="20"/>
      <c r="E721" s="20"/>
      <c r="F721" s="20"/>
      <c r="G721" s="20"/>
      <c r="H721" s="23"/>
      <c r="I721" s="20"/>
      <c r="J721" s="20"/>
      <c r="K721" s="27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</row>
    <row r="722" spans="1:68" ht="12.75" customHeight="1">
      <c r="A722" s="20"/>
      <c r="B722" s="20"/>
      <c r="C722" s="20"/>
      <c r="D722" s="20"/>
      <c r="E722" s="20"/>
      <c r="F722" s="20"/>
      <c r="G722" s="20"/>
      <c r="H722" s="23"/>
      <c r="I722" s="20"/>
      <c r="J722" s="20"/>
      <c r="K722" s="27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</row>
    <row r="723" spans="1:68" ht="12.75" customHeight="1">
      <c r="A723" s="20"/>
      <c r="B723" s="20"/>
      <c r="C723" s="20"/>
      <c r="D723" s="20"/>
      <c r="E723" s="20"/>
      <c r="F723" s="20"/>
      <c r="G723" s="20"/>
      <c r="H723" s="23"/>
      <c r="I723" s="20"/>
      <c r="J723" s="20"/>
      <c r="K723" s="27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</row>
    <row r="724" spans="1:68" ht="12.75" customHeight="1">
      <c r="A724" s="20"/>
      <c r="B724" s="20"/>
      <c r="C724" s="20"/>
      <c r="D724" s="20"/>
      <c r="E724" s="20"/>
      <c r="F724" s="20"/>
      <c r="G724" s="20"/>
      <c r="H724" s="23"/>
      <c r="I724" s="20"/>
      <c r="J724" s="20"/>
      <c r="K724" s="27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</row>
    <row r="725" spans="1:68" ht="12.75" customHeight="1">
      <c r="A725" s="20"/>
      <c r="B725" s="20"/>
      <c r="C725" s="20"/>
      <c r="D725" s="20"/>
      <c r="E725" s="20"/>
      <c r="F725" s="20"/>
      <c r="G725" s="20"/>
      <c r="H725" s="23"/>
      <c r="I725" s="20"/>
      <c r="J725" s="20"/>
      <c r="K725" s="27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</row>
    <row r="726" spans="1:68" ht="12.75" customHeight="1">
      <c r="A726" s="20"/>
      <c r="B726" s="20"/>
      <c r="C726" s="20"/>
      <c r="D726" s="20"/>
      <c r="E726" s="20"/>
      <c r="F726" s="20"/>
      <c r="G726" s="20"/>
      <c r="H726" s="23"/>
      <c r="I726" s="20"/>
      <c r="J726" s="20"/>
      <c r="K726" s="27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</row>
    <row r="727" spans="1:68" ht="12.75" customHeight="1">
      <c r="A727" s="20"/>
      <c r="B727" s="20"/>
      <c r="C727" s="20"/>
      <c r="D727" s="20"/>
      <c r="E727" s="20"/>
      <c r="F727" s="20"/>
      <c r="G727" s="20"/>
      <c r="H727" s="23"/>
      <c r="I727" s="20"/>
      <c r="J727" s="20"/>
      <c r="K727" s="27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</row>
    <row r="728" spans="1:68" ht="12.75" customHeight="1">
      <c r="A728" s="20"/>
      <c r="B728" s="20"/>
      <c r="C728" s="20"/>
      <c r="D728" s="20"/>
      <c r="E728" s="20"/>
      <c r="F728" s="20"/>
      <c r="G728" s="20"/>
      <c r="H728" s="23"/>
      <c r="I728" s="20"/>
      <c r="J728" s="20"/>
      <c r="K728" s="27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</row>
    <row r="729" spans="1:68" ht="12.75" customHeight="1">
      <c r="A729" s="20"/>
      <c r="B729" s="20"/>
      <c r="C729" s="20"/>
      <c r="D729" s="20"/>
      <c r="E729" s="20"/>
      <c r="F729" s="20"/>
      <c r="G729" s="20"/>
      <c r="H729" s="23"/>
      <c r="I729" s="20"/>
      <c r="J729" s="20"/>
      <c r="K729" s="27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</row>
    <row r="730" spans="1:68" ht="12.75" customHeight="1">
      <c r="A730" s="20"/>
      <c r="B730" s="20"/>
      <c r="C730" s="20"/>
      <c r="D730" s="20"/>
      <c r="E730" s="20"/>
      <c r="F730" s="20"/>
      <c r="G730" s="20"/>
      <c r="H730" s="23"/>
      <c r="I730" s="20"/>
      <c r="J730" s="20"/>
      <c r="K730" s="27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</row>
    <row r="731" spans="1:68" ht="12.75" customHeight="1">
      <c r="A731" s="20"/>
      <c r="B731" s="20"/>
      <c r="C731" s="20"/>
      <c r="D731" s="20"/>
      <c r="E731" s="20"/>
      <c r="F731" s="20"/>
      <c r="G731" s="20"/>
      <c r="H731" s="23"/>
      <c r="I731" s="20"/>
      <c r="J731" s="20"/>
      <c r="K731" s="27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</row>
    <row r="732" spans="1:68" ht="12.75" customHeight="1">
      <c r="A732" s="20"/>
      <c r="B732" s="20"/>
      <c r="C732" s="20"/>
      <c r="D732" s="20"/>
      <c r="E732" s="20"/>
      <c r="F732" s="20"/>
      <c r="G732" s="20"/>
      <c r="H732" s="23"/>
      <c r="I732" s="20"/>
      <c r="J732" s="20"/>
      <c r="K732" s="27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</row>
    <row r="733" spans="1:68" ht="12.75" customHeight="1">
      <c r="A733" s="20"/>
      <c r="B733" s="20"/>
      <c r="C733" s="20"/>
      <c r="D733" s="20"/>
      <c r="E733" s="20"/>
      <c r="F733" s="20"/>
      <c r="G733" s="20"/>
      <c r="H733" s="23"/>
      <c r="I733" s="20"/>
      <c r="J733" s="20"/>
      <c r="K733" s="27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</row>
    <row r="734" spans="1:68" ht="12.75" customHeight="1">
      <c r="A734" s="20"/>
      <c r="B734" s="20"/>
      <c r="C734" s="20"/>
      <c r="D734" s="20"/>
      <c r="E734" s="20"/>
      <c r="F734" s="20"/>
      <c r="G734" s="20"/>
      <c r="H734" s="23"/>
      <c r="I734" s="20"/>
      <c r="J734" s="20"/>
      <c r="K734" s="27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</row>
    <row r="735" spans="1:68" ht="12.75" customHeight="1">
      <c r="A735" s="20"/>
      <c r="B735" s="20"/>
      <c r="C735" s="20"/>
      <c r="D735" s="20"/>
      <c r="E735" s="20"/>
      <c r="F735" s="20"/>
      <c r="G735" s="20"/>
      <c r="H735" s="23"/>
      <c r="I735" s="20"/>
      <c r="J735" s="20"/>
      <c r="K735" s="27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</row>
    <row r="736" spans="1:68" ht="12.75" customHeight="1">
      <c r="A736" s="20"/>
      <c r="B736" s="20"/>
      <c r="C736" s="20"/>
      <c r="D736" s="20"/>
      <c r="E736" s="20"/>
      <c r="F736" s="20"/>
      <c r="G736" s="20"/>
      <c r="H736" s="23"/>
      <c r="I736" s="20"/>
      <c r="J736" s="20"/>
      <c r="K736" s="27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</row>
    <row r="737" spans="1:68" ht="12.75" customHeight="1">
      <c r="A737" s="20"/>
      <c r="B737" s="20"/>
      <c r="C737" s="20"/>
      <c r="D737" s="20"/>
      <c r="E737" s="20"/>
      <c r="F737" s="20"/>
      <c r="G737" s="20"/>
      <c r="H737" s="23"/>
      <c r="I737" s="20"/>
      <c r="J737" s="20"/>
      <c r="K737" s="27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</row>
    <row r="738" spans="1:68" ht="12.75" customHeight="1">
      <c r="A738" s="20"/>
      <c r="B738" s="20"/>
      <c r="C738" s="20"/>
      <c r="D738" s="20"/>
      <c r="E738" s="20"/>
      <c r="F738" s="20"/>
      <c r="G738" s="20"/>
      <c r="H738" s="23"/>
      <c r="I738" s="20"/>
      <c r="J738" s="20"/>
      <c r="K738" s="27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</row>
    <row r="739" spans="1:68" ht="12.75" customHeight="1">
      <c r="A739" s="20"/>
      <c r="B739" s="20"/>
      <c r="C739" s="20"/>
      <c r="D739" s="20"/>
      <c r="E739" s="20"/>
      <c r="F739" s="20"/>
      <c r="G739" s="20"/>
      <c r="H739" s="23"/>
      <c r="I739" s="20"/>
      <c r="J739" s="20"/>
      <c r="K739" s="27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</row>
    <row r="740" spans="1:68" ht="12.75" customHeight="1">
      <c r="A740" s="20"/>
      <c r="B740" s="20"/>
      <c r="C740" s="20"/>
      <c r="D740" s="20"/>
      <c r="E740" s="20"/>
      <c r="F740" s="20"/>
      <c r="G740" s="20"/>
      <c r="H740" s="23"/>
      <c r="I740" s="20"/>
      <c r="J740" s="20"/>
      <c r="K740" s="27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</row>
    <row r="741" spans="1:68" ht="12.75" customHeight="1">
      <c r="A741" s="20"/>
      <c r="B741" s="20"/>
      <c r="C741" s="20"/>
      <c r="D741" s="20"/>
      <c r="E741" s="20"/>
      <c r="F741" s="20"/>
      <c r="G741" s="20"/>
      <c r="H741" s="23"/>
      <c r="I741" s="20"/>
      <c r="J741" s="20"/>
      <c r="K741" s="27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</row>
    <row r="742" spans="1:68" ht="12.75" customHeight="1">
      <c r="A742" s="20"/>
      <c r="B742" s="20"/>
      <c r="C742" s="20"/>
      <c r="D742" s="20"/>
      <c r="E742" s="20"/>
      <c r="F742" s="20"/>
      <c r="G742" s="20"/>
      <c r="H742" s="23"/>
      <c r="I742" s="20"/>
      <c r="J742" s="20"/>
      <c r="K742" s="27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</row>
    <row r="743" spans="1:68" ht="12.75" customHeight="1">
      <c r="A743" s="20"/>
      <c r="B743" s="20"/>
      <c r="C743" s="20"/>
      <c r="D743" s="20"/>
      <c r="E743" s="20"/>
      <c r="F743" s="20"/>
      <c r="G743" s="20"/>
      <c r="H743" s="23"/>
      <c r="I743" s="20"/>
      <c r="J743" s="20"/>
      <c r="K743" s="27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</row>
    <row r="744" spans="1:68" ht="12.75" customHeight="1">
      <c r="A744" s="20"/>
      <c r="B744" s="20"/>
      <c r="C744" s="20"/>
      <c r="D744" s="20"/>
      <c r="E744" s="20"/>
      <c r="F744" s="20"/>
      <c r="G744" s="20"/>
      <c r="H744" s="23"/>
      <c r="I744" s="20"/>
      <c r="J744" s="20"/>
      <c r="K744" s="27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</row>
    <row r="745" spans="1:68" ht="12.75" customHeight="1">
      <c r="A745" s="20"/>
      <c r="B745" s="20"/>
      <c r="C745" s="20"/>
      <c r="D745" s="20"/>
      <c r="E745" s="20"/>
      <c r="F745" s="20"/>
      <c r="G745" s="20"/>
      <c r="H745" s="23"/>
      <c r="I745" s="20"/>
      <c r="J745" s="20"/>
      <c r="K745" s="27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</row>
    <row r="746" spans="1:68" ht="12.75" customHeight="1">
      <c r="A746" s="20"/>
      <c r="B746" s="20"/>
      <c r="C746" s="20"/>
      <c r="D746" s="20"/>
      <c r="E746" s="20"/>
      <c r="F746" s="20"/>
      <c r="G746" s="20"/>
      <c r="H746" s="23"/>
      <c r="I746" s="20"/>
      <c r="J746" s="20"/>
      <c r="K746" s="27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</row>
    <row r="747" spans="1:68" ht="12.75" customHeight="1">
      <c r="A747" s="20"/>
      <c r="B747" s="20"/>
      <c r="C747" s="20"/>
      <c r="D747" s="20"/>
      <c r="E747" s="20"/>
      <c r="F747" s="20"/>
      <c r="G747" s="20"/>
      <c r="H747" s="23"/>
      <c r="I747" s="20"/>
      <c r="J747" s="20"/>
      <c r="K747" s="27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</row>
    <row r="748" spans="1:68" ht="12.75" customHeight="1">
      <c r="A748" s="20"/>
      <c r="B748" s="20"/>
      <c r="C748" s="20"/>
      <c r="D748" s="20"/>
      <c r="E748" s="20"/>
      <c r="F748" s="20"/>
      <c r="G748" s="20"/>
      <c r="H748" s="23"/>
      <c r="I748" s="20"/>
      <c r="J748" s="20"/>
      <c r="K748" s="27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</row>
    <row r="749" spans="1:68" ht="12.75" customHeight="1">
      <c r="A749" s="20"/>
      <c r="B749" s="20"/>
      <c r="C749" s="20"/>
      <c r="D749" s="20"/>
      <c r="E749" s="20"/>
      <c r="F749" s="20"/>
      <c r="G749" s="20"/>
      <c r="H749" s="23"/>
      <c r="I749" s="20"/>
      <c r="J749" s="20"/>
      <c r="K749" s="27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</row>
    <row r="750" spans="1:68" ht="12.75" customHeight="1">
      <c r="A750" s="20"/>
      <c r="B750" s="20"/>
      <c r="C750" s="20"/>
      <c r="D750" s="20"/>
      <c r="E750" s="20"/>
      <c r="F750" s="20"/>
      <c r="G750" s="20"/>
      <c r="H750" s="23"/>
      <c r="I750" s="20"/>
      <c r="J750" s="20"/>
      <c r="K750" s="27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</row>
    <row r="751" spans="1:68" ht="12.75" customHeight="1">
      <c r="A751" s="20"/>
      <c r="B751" s="20"/>
      <c r="C751" s="20"/>
      <c r="D751" s="20"/>
      <c r="E751" s="20"/>
      <c r="F751" s="20"/>
      <c r="G751" s="20"/>
      <c r="H751" s="23"/>
      <c r="I751" s="20"/>
      <c r="J751" s="20"/>
      <c r="K751" s="27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</row>
    <row r="752" spans="1:68" ht="12.75" customHeight="1">
      <c r="A752" s="20"/>
      <c r="B752" s="20"/>
      <c r="C752" s="20"/>
      <c r="D752" s="20"/>
      <c r="E752" s="20"/>
      <c r="F752" s="20"/>
      <c r="G752" s="20"/>
      <c r="H752" s="23"/>
      <c r="I752" s="20"/>
      <c r="J752" s="20"/>
      <c r="K752" s="27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</row>
    <row r="753" spans="1:68" ht="12.75" customHeight="1">
      <c r="A753" s="20"/>
      <c r="B753" s="20"/>
      <c r="C753" s="20"/>
      <c r="D753" s="20"/>
      <c r="E753" s="20"/>
      <c r="F753" s="20"/>
      <c r="G753" s="20"/>
      <c r="H753" s="23"/>
      <c r="I753" s="20"/>
      <c r="J753" s="20"/>
      <c r="K753" s="27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</row>
    <row r="754" spans="1:68" ht="12.75" customHeight="1">
      <c r="A754" s="20"/>
      <c r="B754" s="20"/>
      <c r="C754" s="20"/>
      <c r="D754" s="20"/>
      <c r="E754" s="20"/>
      <c r="F754" s="20"/>
      <c r="G754" s="20"/>
      <c r="H754" s="23"/>
      <c r="I754" s="20"/>
      <c r="J754" s="20"/>
      <c r="K754" s="27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</row>
    <row r="755" spans="1:68" ht="12.75" customHeight="1">
      <c r="A755" s="20"/>
      <c r="B755" s="20"/>
      <c r="C755" s="20"/>
      <c r="D755" s="20"/>
      <c r="E755" s="20"/>
      <c r="F755" s="20"/>
      <c r="G755" s="20"/>
      <c r="H755" s="23"/>
      <c r="I755" s="20"/>
      <c r="J755" s="20"/>
      <c r="K755" s="27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</row>
    <row r="756" spans="1:68" ht="12.75" customHeight="1">
      <c r="A756" s="20"/>
      <c r="B756" s="20"/>
      <c r="C756" s="20"/>
      <c r="D756" s="20"/>
      <c r="E756" s="20"/>
      <c r="F756" s="20"/>
      <c r="G756" s="20"/>
      <c r="H756" s="23"/>
      <c r="I756" s="20"/>
      <c r="J756" s="20"/>
      <c r="K756" s="27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</row>
    <row r="757" spans="1:68" ht="12.75" customHeight="1">
      <c r="A757" s="20"/>
      <c r="B757" s="20"/>
      <c r="C757" s="20"/>
      <c r="D757" s="20"/>
      <c r="E757" s="20"/>
      <c r="F757" s="20"/>
      <c r="G757" s="20"/>
      <c r="H757" s="23"/>
      <c r="I757" s="20"/>
      <c r="J757" s="20"/>
      <c r="K757" s="27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</row>
    <row r="758" spans="1:68" ht="12.75" customHeight="1">
      <c r="A758" s="20"/>
      <c r="B758" s="20"/>
      <c r="C758" s="20"/>
      <c r="D758" s="20"/>
      <c r="E758" s="20"/>
      <c r="F758" s="20"/>
      <c r="G758" s="20"/>
      <c r="H758" s="23"/>
      <c r="I758" s="20"/>
      <c r="J758" s="20"/>
      <c r="K758" s="27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</row>
    <row r="759" spans="1:68" ht="12.75" customHeight="1">
      <c r="A759" s="20"/>
      <c r="B759" s="20"/>
      <c r="C759" s="20"/>
      <c r="D759" s="20"/>
      <c r="E759" s="20"/>
      <c r="F759" s="20"/>
      <c r="G759" s="20"/>
      <c r="H759" s="23"/>
      <c r="I759" s="20"/>
      <c r="J759" s="20"/>
      <c r="K759" s="27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</row>
    <row r="760" spans="1:68" ht="12.75" customHeight="1">
      <c r="A760" s="20"/>
      <c r="B760" s="20"/>
      <c r="C760" s="20"/>
      <c r="D760" s="20"/>
      <c r="E760" s="20"/>
      <c r="F760" s="20"/>
      <c r="G760" s="20"/>
      <c r="H760" s="23"/>
      <c r="I760" s="20"/>
      <c r="J760" s="20"/>
      <c r="K760" s="27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</row>
    <row r="761" spans="1:68" ht="12.75" customHeight="1">
      <c r="A761" s="20"/>
      <c r="B761" s="20"/>
      <c r="C761" s="20"/>
      <c r="D761" s="20"/>
      <c r="E761" s="20"/>
      <c r="F761" s="20"/>
      <c r="G761" s="20"/>
      <c r="H761" s="23"/>
      <c r="I761" s="20"/>
      <c r="J761" s="20"/>
      <c r="K761" s="27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</row>
    <row r="762" spans="1:68" ht="12.75" customHeight="1">
      <c r="A762" s="20"/>
      <c r="B762" s="20"/>
      <c r="C762" s="20"/>
      <c r="D762" s="20"/>
      <c r="E762" s="20"/>
      <c r="F762" s="20"/>
      <c r="G762" s="20"/>
      <c r="H762" s="23"/>
      <c r="I762" s="20"/>
      <c r="J762" s="20"/>
      <c r="K762" s="27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</row>
    <row r="763" spans="1:68" ht="12.75" customHeight="1">
      <c r="A763" s="20"/>
      <c r="B763" s="20"/>
      <c r="C763" s="20"/>
      <c r="D763" s="20"/>
      <c r="E763" s="20"/>
      <c r="F763" s="20"/>
      <c r="G763" s="20"/>
      <c r="H763" s="23"/>
      <c r="I763" s="20"/>
      <c r="J763" s="20"/>
      <c r="K763" s="27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</row>
    <row r="764" spans="1:68" ht="12.75" customHeight="1">
      <c r="A764" s="20"/>
      <c r="B764" s="20"/>
      <c r="C764" s="20"/>
      <c r="D764" s="20"/>
      <c r="E764" s="20"/>
      <c r="F764" s="20"/>
      <c r="G764" s="20"/>
      <c r="H764" s="23"/>
      <c r="I764" s="20"/>
      <c r="J764" s="20"/>
      <c r="K764" s="27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</row>
    <row r="765" spans="1:68" ht="12.75" customHeight="1">
      <c r="A765" s="20"/>
      <c r="B765" s="20"/>
      <c r="C765" s="20"/>
      <c r="D765" s="20"/>
      <c r="E765" s="20"/>
      <c r="F765" s="20"/>
      <c r="G765" s="20"/>
      <c r="H765" s="23"/>
      <c r="I765" s="20"/>
      <c r="J765" s="20"/>
      <c r="K765" s="27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</row>
    <row r="766" spans="1:68" ht="12.75" customHeight="1">
      <c r="A766" s="20"/>
      <c r="B766" s="20"/>
      <c r="C766" s="20"/>
      <c r="D766" s="20"/>
      <c r="E766" s="20"/>
      <c r="F766" s="20"/>
      <c r="G766" s="20"/>
      <c r="H766" s="23"/>
      <c r="I766" s="20"/>
      <c r="J766" s="20"/>
      <c r="K766" s="27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</row>
    <row r="767" spans="1:68" ht="12.75" customHeight="1">
      <c r="A767" s="20"/>
      <c r="B767" s="20"/>
      <c r="C767" s="20"/>
      <c r="D767" s="20"/>
      <c r="E767" s="20"/>
      <c r="F767" s="20"/>
      <c r="G767" s="20"/>
      <c r="H767" s="23"/>
      <c r="I767" s="20"/>
      <c r="J767" s="20"/>
      <c r="K767" s="27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</row>
    <row r="768" spans="1:68" ht="12.75" customHeight="1">
      <c r="A768" s="20"/>
      <c r="B768" s="20"/>
      <c r="C768" s="20"/>
      <c r="D768" s="20"/>
      <c r="E768" s="20"/>
      <c r="F768" s="20"/>
      <c r="G768" s="20"/>
      <c r="H768" s="23"/>
      <c r="I768" s="20"/>
      <c r="J768" s="20"/>
      <c r="K768" s="27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</row>
    <row r="769" spans="1:68" ht="12.75" customHeight="1">
      <c r="A769" s="20"/>
      <c r="B769" s="20"/>
      <c r="C769" s="20"/>
      <c r="D769" s="20"/>
      <c r="E769" s="20"/>
      <c r="F769" s="20"/>
      <c r="G769" s="20"/>
      <c r="H769" s="23"/>
      <c r="I769" s="20"/>
      <c r="J769" s="20"/>
      <c r="K769" s="27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</row>
    <row r="770" spans="1:68" ht="12.75" customHeight="1">
      <c r="A770" s="20"/>
      <c r="B770" s="20"/>
      <c r="C770" s="20"/>
      <c r="D770" s="20"/>
      <c r="E770" s="20"/>
      <c r="F770" s="20"/>
      <c r="G770" s="20"/>
      <c r="H770" s="23"/>
      <c r="I770" s="20"/>
      <c r="J770" s="20"/>
      <c r="K770" s="27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</row>
    <row r="771" spans="1:68" ht="12.75" customHeight="1">
      <c r="A771" s="20"/>
      <c r="B771" s="20"/>
      <c r="C771" s="20"/>
      <c r="D771" s="20"/>
      <c r="E771" s="20"/>
      <c r="F771" s="20"/>
      <c r="G771" s="20"/>
      <c r="H771" s="23"/>
      <c r="I771" s="20"/>
      <c r="J771" s="20"/>
      <c r="K771" s="27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</row>
    <row r="772" spans="1:68" ht="12.75" customHeight="1">
      <c r="A772" s="20"/>
      <c r="B772" s="20"/>
      <c r="C772" s="20"/>
      <c r="D772" s="20"/>
      <c r="E772" s="20"/>
      <c r="F772" s="20"/>
      <c r="G772" s="20"/>
      <c r="H772" s="23"/>
      <c r="I772" s="20"/>
      <c r="J772" s="20"/>
      <c r="K772" s="27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</row>
    <row r="773" spans="1:68" ht="12.75" customHeight="1">
      <c r="A773" s="20"/>
      <c r="B773" s="20"/>
      <c r="C773" s="20"/>
      <c r="D773" s="20"/>
      <c r="E773" s="20"/>
      <c r="F773" s="20"/>
      <c r="G773" s="20"/>
      <c r="H773" s="23"/>
      <c r="I773" s="20"/>
      <c r="J773" s="20"/>
      <c r="K773" s="27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</row>
    <row r="774" spans="1:68" ht="12.75" customHeight="1">
      <c r="A774" s="20"/>
      <c r="B774" s="20"/>
      <c r="C774" s="20"/>
      <c r="D774" s="20"/>
      <c r="E774" s="20"/>
      <c r="F774" s="20"/>
      <c r="G774" s="20"/>
      <c r="H774" s="23"/>
      <c r="I774" s="20"/>
      <c r="J774" s="20"/>
      <c r="K774" s="27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</row>
    <row r="775" spans="1:68" ht="12.75" customHeight="1">
      <c r="A775" s="20"/>
      <c r="B775" s="20"/>
      <c r="C775" s="20"/>
      <c r="D775" s="20"/>
      <c r="E775" s="20"/>
      <c r="F775" s="20"/>
      <c r="G775" s="20"/>
      <c r="H775" s="23"/>
      <c r="I775" s="20"/>
      <c r="J775" s="20"/>
      <c r="K775" s="27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</row>
    <row r="776" spans="1:68" ht="12.75" customHeight="1">
      <c r="A776" s="20"/>
      <c r="B776" s="20"/>
      <c r="C776" s="20"/>
      <c r="D776" s="20"/>
      <c r="E776" s="20"/>
      <c r="F776" s="20"/>
      <c r="G776" s="20"/>
      <c r="H776" s="23"/>
      <c r="I776" s="20"/>
      <c r="J776" s="20"/>
      <c r="K776" s="27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</row>
    <row r="777" spans="1:68" ht="12.75" customHeight="1">
      <c r="A777" s="20"/>
      <c r="B777" s="20"/>
      <c r="C777" s="20"/>
      <c r="D777" s="20"/>
      <c r="E777" s="20"/>
      <c r="F777" s="20"/>
      <c r="G777" s="20"/>
      <c r="H777" s="23"/>
      <c r="I777" s="20"/>
      <c r="J777" s="20"/>
      <c r="K777" s="27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</row>
    <row r="778" spans="1:68" ht="12.75" customHeight="1">
      <c r="A778" s="20"/>
      <c r="B778" s="20"/>
      <c r="C778" s="20"/>
      <c r="D778" s="20"/>
      <c r="E778" s="20"/>
      <c r="F778" s="20"/>
      <c r="G778" s="20"/>
      <c r="H778" s="23"/>
      <c r="I778" s="20"/>
      <c r="J778" s="20"/>
      <c r="K778" s="27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</row>
    <row r="779" spans="1:68" ht="12.75" customHeight="1">
      <c r="A779" s="20"/>
      <c r="B779" s="20"/>
      <c r="C779" s="20"/>
      <c r="D779" s="20"/>
      <c r="E779" s="20"/>
      <c r="F779" s="20"/>
      <c r="G779" s="20"/>
      <c r="H779" s="23"/>
      <c r="I779" s="20"/>
      <c r="J779" s="20"/>
      <c r="K779" s="27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</row>
    <row r="780" spans="1:68" ht="12.75" customHeight="1">
      <c r="A780" s="20"/>
      <c r="B780" s="20"/>
      <c r="C780" s="20"/>
      <c r="D780" s="20"/>
      <c r="E780" s="20"/>
      <c r="F780" s="20"/>
      <c r="G780" s="20"/>
      <c r="H780" s="23"/>
      <c r="I780" s="20"/>
      <c r="J780" s="20"/>
      <c r="K780" s="27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</row>
    <row r="781" spans="1:68" ht="12.75" customHeight="1">
      <c r="A781" s="20"/>
      <c r="B781" s="20"/>
      <c r="C781" s="20"/>
      <c r="D781" s="20"/>
      <c r="E781" s="20"/>
      <c r="F781" s="20"/>
      <c r="G781" s="20"/>
      <c r="H781" s="23"/>
      <c r="I781" s="20"/>
      <c r="J781" s="20"/>
      <c r="K781" s="27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</row>
    <row r="782" spans="1:68" ht="12.75" customHeight="1">
      <c r="A782" s="20"/>
      <c r="B782" s="20"/>
      <c r="C782" s="20"/>
      <c r="D782" s="20"/>
      <c r="E782" s="20"/>
      <c r="F782" s="20"/>
      <c r="G782" s="20"/>
      <c r="H782" s="23"/>
      <c r="I782" s="20"/>
      <c r="J782" s="20"/>
      <c r="K782" s="27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</row>
    <row r="783" spans="1:68" ht="12.75" customHeight="1">
      <c r="A783" s="20"/>
      <c r="B783" s="20"/>
      <c r="C783" s="20"/>
      <c r="D783" s="20"/>
      <c r="E783" s="20"/>
      <c r="F783" s="20"/>
      <c r="G783" s="20"/>
      <c r="H783" s="23"/>
      <c r="I783" s="20"/>
      <c r="J783" s="20"/>
      <c r="K783" s="27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</row>
    <row r="784" spans="1:68" ht="12.75" customHeight="1">
      <c r="A784" s="20"/>
      <c r="B784" s="20"/>
      <c r="C784" s="20"/>
      <c r="D784" s="20"/>
      <c r="E784" s="20"/>
      <c r="F784" s="20"/>
      <c r="G784" s="20"/>
      <c r="H784" s="23"/>
      <c r="I784" s="20"/>
      <c r="J784" s="20"/>
      <c r="K784" s="27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</row>
    <row r="785" spans="1:68" ht="12.75" customHeight="1">
      <c r="A785" s="20"/>
      <c r="B785" s="20"/>
      <c r="C785" s="20"/>
      <c r="D785" s="20"/>
      <c r="E785" s="20"/>
      <c r="F785" s="20"/>
      <c r="G785" s="20"/>
      <c r="H785" s="23"/>
      <c r="I785" s="20"/>
      <c r="J785" s="20"/>
      <c r="K785" s="27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</row>
    <row r="786" spans="1:68" ht="12.75" customHeight="1">
      <c r="A786" s="20"/>
      <c r="B786" s="20"/>
      <c r="C786" s="20"/>
      <c r="D786" s="20"/>
      <c r="E786" s="20"/>
      <c r="F786" s="20"/>
      <c r="G786" s="20"/>
      <c r="H786" s="23"/>
      <c r="I786" s="20"/>
      <c r="J786" s="20"/>
      <c r="K786" s="27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</row>
    <row r="787" spans="1:68" ht="12.75" customHeight="1">
      <c r="A787" s="20"/>
      <c r="B787" s="20"/>
      <c r="C787" s="20"/>
      <c r="D787" s="20"/>
      <c r="E787" s="20"/>
      <c r="F787" s="20"/>
      <c r="G787" s="20"/>
      <c r="H787" s="23"/>
      <c r="I787" s="20"/>
      <c r="J787" s="20"/>
      <c r="K787" s="27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</row>
    <row r="788" spans="1:68" ht="12.75" customHeight="1">
      <c r="A788" s="20"/>
      <c r="B788" s="20"/>
      <c r="C788" s="20"/>
      <c r="D788" s="20"/>
      <c r="E788" s="20"/>
      <c r="F788" s="20"/>
      <c r="G788" s="20"/>
      <c r="H788" s="23"/>
      <c r="I788" s="20"/>
      <c r="J788" s="20"/>
      <c r="K788" s="27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</row>
    <row r="789" spans="1:68" ht="12.75" customHeight="1">
      <c r="A789" s="20"/>
      <c r="B789" s="20"/>
      <c r="C789" s="20"/>
      <c r="D789" s="20"/>
      <c r="E789" s="20"/>
      <c r="F789" s="20"/>
      <c r="G789" s="20"/>
      <c r="H789" s="23"/>
      <c r="I789" s="20"/>
      <c r="J789" s="20"/>
      <c r="K789" s="27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</row>
    <row r="790" spans="1:68" ht="12.75" customHeight="1">
      <c r="A790" s="20"/>
      <c r="B790" s="20"/>
      <c r="C790" s="20"/>
      <c r="D790" s="20"/>
      <c r="E790" s="20"/>
      <c r="F790" s="20"/>
      <c r="G790" s="20"/>
      <c r="H790" s="23"/>
      <c r="I790" s="20"/>
      <c r="J790" s="20"/>
      <c r="K790" s="27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</row>
    <row r="791" spans="1:68" ht="12.75" customHeight="1">
      <c r="A791" s="20"/>
      <c r="B791" s="20"/>
      <c r="C791" s="20"/>
      <c r="D791" s="20"/>
      <c r="E791" s="20"/>
      <c r="F791" s="20"/>
      <c r="G791" s="20"/>
      <c r="H791" s="23"/>
      <c r="I791" s="20"/>
      <c r="J791" s="20"/>
      <c r="K791" s="27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</row>
    <row r="792" spans="1:68" ht="12.75" customHeight="1">
      <c r="A792" s="20"/>
      <c r="B792" s="20"/>
      <c r="C792" s="20"/>
      <c r="D792" s="20"/>
      <c r="E792" s="20"/>
      <c r="F792" s="20"/>
      <c r="G792" s="20"/>
      <c r="H792" s="23"/>
      <c r="I792" s="20"/>
      <c r="J792" s="20"/>
      <c r="K792" s="27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</row>
    <row r="793" spans="1:68" ht="12.75" customHeight="1">
      <c r="A793" s="20"/>
      <c r="B793" s="20"/>
      <c r="C793" s="20"/>
      <c r="D793" s="20"/>
      <c r="E793" s="20"/>
      <c r="F793" s="20"/>
      <c r="G793" s="20"/>
      <c r="H793" s="23"/>
      <c r="I793" s="20"/>
      <c r="J793" s="20"/>
      <c r="K793" s="27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</row>
    <row r="794" spans="1:68" ht="12.75" customHeight="1">
      <c r="A794" s="20"/>
      <c r="B794" s="20"/>
      <c r="C794" s="20"/>
      <c r="D794" s="20"/>
      <c r="E794" s="20"/>
      <c r="F794" s="20"/>
      <c r="G794" s="20"/>
      <c r="H794" s="23"/>
      <c r="I794" s="20"/>
      <c r="J794" s="20"/>
      <c r="K794" s="27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</row>
    <row r="795" spans="1:68" ht="12.75" customHeight="1">
      <c r="A795" s="20"/>
      <c r="B795" s="20"/>
      <c r="C795" s="20"/>
      <c r="D795" s="20"/>
      <c r="E795" s="20"/>
      <c r="F795" s="20"/>
      <c r="G795" s="20"/>
      <c r="H795" s="23"/>
      <c r="I795" s="20"/>
      <c r="J795" s="20"/>
      <c r="K795" s="27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</row>
    <row r="796" spans="1:68" ht="12.75" customHeight="1">
      <c r="A796" s="20"/>
      <c r="B796" s="20"/>
      <c r="C796" s="20"/>
      <c r="D796" s="20"/>
      <c r="E796" s="20"/>
      <c r="F796" s="20"/>
      <c r="G796" s="20"/>
      <c r="H796" s="23"/>
      <c r="I796" s="20"/>
      <c r="J796" s="20"/>
      <c r="K796" s="27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</row>
    <row r="797" spans="1:68" ht="12.75" customHeight="1">
      <c r="A797" s="20"/>
      <c r="B797" s="20"/>
      <c r="C797" s="20"/>
      <c r="D797" s="20"/>
      <c r="E797" s="20"/>
      <c r="F797" s="20"/>
      <c r="G797" s="20"/>
      <c r="H797" s="23"/>
      <c r="I797" s="20"/>
      <c r="J797" s="20"/>
      <c r="K797" s="27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</row>
    <row r="798" spans="1:68" ht="12.75" customHeight="1">
      <c r="A798" s="20"/>
      <c r="B798" s="20"/>
      <c r="C798" s="20"/>
      <c r="D798" s="20"/>
      <c r="E798" s="20"/>
      <c r="F798" s="20"/>
      <c r="G798" s="20"/>
      <c r="H798" s="23"/>
      <c r="I798" s="20"/>
      <c r="J798" s="20"/>
      <c r="K798" s="27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</row>
    <row r="799" spans="1:68" ht="12.75" customHeight="1">
      <c r="A799" s="20"/>
      <c r="B799" s="20"/>
      <c r="C799" s="20"/>
      <c r="D799" s="20"/>
      <c r="E799" s="20"/>
      <c r="F799" s="20"/>
      <c r="G799" s="20"/>
      <c r="H799" s="23"/>
      <c r="I799" s="20"/>
      <c r="J799" s="20"/>
      <c r="K799" s="27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</row>
    <row r="800" spans="1:68" ht="12.75" customHeight="1">
      <c r="A800" s="20"/>
      <c r="B800" s="20"/>
      <c r="C800" s="20"/>
      <c r="D800" s="20"/>
      <c r="E800" s="20"/>
      <c r="F800" s="20"/>
      <c r="G800" s="20"/>
      <c r="H800" s="23"/>
      <c r="I800" s="20"/>
      <c r="J800" s="20"/>
      <c r="K800" s="27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</row>
    <row r="801" spans="1:68" ht="12.75" customHeight="1">
      <c r="A801" s="20"/>
      <c r="B801" s="20"/>
      <c r="C801" s="20"/>
      <c r="D801" s="20"/>
      <c r="E801" s="20"/>
      <c r="F801" s="20"/>
      <c r="G801" s="20"/>
      <c r="H801" s="23"/>
      <c r="I801" s="20"/>
      <c r="J801" s="20"/>
      <c r="K801" s="27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</row>
    <row r="802" spans="1:68" ht="12.75" customHeight="1">
      <c r="A802" s="20"/>
      <c r="B802" s="20"/>
      <c r="C802" s="20"/>
      <c r="D802" s="20"/>
      <c r="E802" s="20"/>
      <c r="F802" s="20"/>
      <c r="G802" s="20"/>
      <c r="H802" s="23"/>
      <c r="I802" s="20"/>
      <c r="J802" s="20"/>
      <c r="K802" s="27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</row>
    <row r="803" spans="1:68" ht="12.75" customHeight="1">
      <c r="A803" s="20"/>
      <c r="B803" s="20"/>
      <c r="C803" s="20"/>
      <c r="D803" s="20"/>
      <c r="E803" s="20"/>
      <c r="F803" s="20"/>
      <c r="G803" s="20"/>
      <c r="H803" s="23"/>
      <c r="I803" s="20"/>
      <c r="J803" s="20"/>
      <c r="K803" s="27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</row>
    <row r="804" spans="1:68" ht="12.75" customHeight="1">
      <c r="A804" s="20"/>
      <c r="B804" s="20"/>
      <c r="C804" s="20"/>
      <c r="D804" s="20"/>
      <c r="E804" s="20"/>
      <c r="F804" s="20"/>
      <c r="G804" s="20"/>
      <c r="H804" s="23"/>
      <c r="I804" s="20"/>
      <c r="J804" s="20"/>
      <c r="K804" s="27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</row>
    <row r="805" spans="1:68" ht="12.75" customHeight="1">
      <c r="A805" s="20"/>
      <c r="B805" s="20"/>
      <c r="C805" s="20"/>
      <c r="D805" s="20"/>
      <c r="E805" s="20"/>
      <c r="F805" s="20"/>
      <c r="G805" s="20"/>
      <c r="H805" s="23"/>
      <c r="I805" s="20"/>
      <c r="J805" s="20"/>
      <c r="K805" s="27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</row>
    <row r="806" spans="1:68" ht="12.75" customHeight="1">
      <c r="A806" s="20"/>
      <c r="B806" s="20"/>
      <c r="C806" s="20"/>
      <c r="D806" s="20"/>
      <c r="E806" s="20"/>
      <c r="F806" s="20"/>
      <c r="G806" s="20"/>
      <c r="H806" s="23"/>
      <c r="I806" s="20"/>
      <c r="J806" s="20"/>
      <c r="K806" s="27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</row>
    <row r="807" spans="1:68" ht="12.75" customHeight="1">
      <c r="A807" s="20"/>
      <c r="B807" s="20"/>
      <c r="C807" s="20"/>
      <c r="D807" s="20"/>
      <c r="E807" s="20"/>
      <c r="F807" s="20"/>
      <c r="G807" s="20"/>
      <c r="H807" s="23"/>
      <c r="I807" s="20"/>
      <c r="J807" s="20"/>
      <c r="K807" s="27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</row>
    <row r="808" spans="1:68" ht="12.75" customHeight="1">
      <c r="A808" s="20"/>
      <c r="B808" s="20"/>
      <c r="C808" s="20"/>
      <c r="D808" s="20"/>
      <c r="E808" s="20"/>
      <c r="F808" s="20"/>
      <c r="G808" s="20"/>
      <c r="H808" s="23"/>
      <c r="I808" s="20"/>
      <c r="J808" s="20"/>
      <c r="K808" s="27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</row>
    <row r="809" spans="1:68" ht="12.75" customHeight="1">
      <c r="A809" s="20"/>
      <c r="B809" s="20"/>
      <c r="C809" s="20"/>
      <c r="D809" s="20"/>
      <c r="E809" s="20"/>
      <c r="F809" s="20"/>
      <c r="G809" s="20"/>
      <c r="H809" s="23"/>
      <c r="I809" s="20"/>
      <c r="J809" s="20"/>
      <c r="K809" s="27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</row>
    <row r="810" spans="1:68" ht="12.75" customHeight="1">
      <c r="A810" s="20"/>
      <c r="B810" s="20"/>
      <c r="C810" s="20"/>
      <c r="D810" s="20"/>
      <c r="E810" s="20"/>
      <c r="F810" s="20"/>
      <c r="G810" s="20"/>
      <c r="H810" s="23"/>
      <c r="I810" s="20"/>
      <c r="J810" s="20"/>
      <c r="K810" s="27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</row>
    <row r="811" spans="1:68" ht="12.75" customHeight="1">
      <c r="A811" s="20"/>
      <c r="B811" s="20"/>
      <c r="C811" s="20"/>
      <c r="D811" s="20"/>
      <c r="E811" s="20"/>
      <c r="F811" s="20"/>
      <c r="G811" s="20"/>
      <c r="H811" s="23"/>
      <c r="I811" s="20"/>
      <c r="J811" s="20"/>
      <c r="K811" s="27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</row>
    <row r="812" spans="1:68" ht="12.75" customHeight="1">
      <c r="A812" s="20"/>
      <c r="B812" s="20"/>
      <c r="C812" s="20"/>
      <c r="D812" s="20"/>
      <c r="E812" s="20"/>
      <c r="F812" s="20"/>
      <c r="G812" s="20"/>
      <c r="H812" s="23"/>
      <c r="I812" s="20"/>
      <c r="J812" s="20"/>
      <c r="K812" s="27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</row>
    <row r="813" spans="1:68" ht="12.75" customHeight="1">
      <c r="A813" s="20"/>
      <c r="B813" s="20"/>
      <c r="C813" s="20"/>
      <c r="D813" s="20"/>
      <c r="E813" s="20"/>
      <c r="F813" s="20"/>
      <c r="G813" s="20"/>
      <c r="H813" s="23"/>
      <c r="I813" s="20"/>
      <c r="J813" s="20"/>
      <c r="K813" s="27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</row>
    <row r="814" spans="1:68" ht="12.75" customHeight="1">
      <c r="A814" s="20"/>
      <c r="B814" s="20"/>
      <c r="C814" s="20"/>
      <c r="D814" s="20"/>
      <c r="E814" s="20"/>
      <c r="F814" s="20"/>
      <c r="G814" s="20"/>
      <c r="H814" s="23"/>
      <c r="I814" s="20"/>
      <c r="J814" s="20"/>
      <c r="K814" s="27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</row>
    <row r="815" spans="1:68" ht="12.75" customHeight="1">
      <c r="A815" s="20"/>
      <c r="B815" s="20"/>
      <c r="C815" s="20"/>
      <c r="D815" s="20"/>
      <c r="E815" s="20"/>
      <c r="F815" s="20"/>
      <c r="G815" s="20"/>
      <c r="H815" s="23"/>
      <c r="I815" s="20"/>
      <c r="J815" s="20"/>
      <c r="K815" s="27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</row>
    <row r="816" spans="1:68" ht="12.75" customHeight="1">
      <c r="A816" s="20"/>
      <c r="B816" s="20"/>
      <c r="C816" s="20"/>
      <c r="D816" s="20"/>
      <c r="E816" s="20"/>
      <c r="F816" s="20"/>
      <c r="G816" s="20"/>
      <c r="H816" s="23"/>
      <c r="I816" s="20"/>
      <c r="J816" s="20"/>
      <c r="K816" s="27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</row>
    <row r="817" spans="1:68" ht="12.75" customHeight="1">
      <c r="A817" s="20"/>
      <c r="B817" s="20"/>
      <c r="C817" s="20"/>
      <c r="D817" s="20"/>
      <c r="E817" s="20"/>
      <c r="F817" s="20"/>
      <c r="G817" s="20"/>
      <c r="H817" s="23"/>
      <c r="I817" s="20"/>
      <c r="J817" s="20"/>
      <c r="K817" s="27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</row>
    <row r="818" spans="1:68" ht="12.75" customHeight="1">
      <c r="A818" s="20"/>
      <c r="B818" s="20"/>
      <c r="C818" s="20"/>
      <c r="D818" s="20"/>
      <c r="E818" s="20"/>
      <c r="F818" s="20"/>
      <c r="G818" s="20"/>
      <c r="H818" s="23"/>
      <c r="I818" s="20"/>
      <c r="J818" s="20"/>
      <c r="K818" s="27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</row>
    <row r="819" spans="1:68" ht="12.75" customHeight="1">
      <c r="A819" s="20"/>
      <c r="B819" s="20"/>
      <c r="C819" s="20"/>
      <c r="D819" s="20"/>
      <c r="E819" s="20"/>
      <c r="F819" s="20"/>
      <c r="G819" s="20"/>
      <c r="H819" s="23"/>
      <c r="I819" s="20"/>
      <c r="J819" s="20"/>
      <c r="K819" s="27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</row>
    <row r="820" spans="1:68" ht="12.75" customHeight="1">
      <c r="A820" s="20"/>
      <c r="B820" s="20"/>
      <c r="C820" s="20"/>
      <c r="D820" s="20"/>
      <c r="E820" s="20"/>
      <c r="F820" s="20"/>
      <c r="G820" s="20"/>
      <c r="H820" s="23"/>
      <c r="I820" s="20"/>
      <c r="J820" s="20"/>
      <c r="K820" s="27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</row>
    <row r="821" spans="1:68" ht="12.75" customHeight="1">
      <c r="A821" s="20"/>
      <c r="B821" s="20"/>
      <c r="C821" s="20"/>
      <c r="D821" s="20"/>
      <c r="E821" s="20"/>
      <c r="F821" s="20"/>
      <c r="G821" s="20"/>
      <c r="H821" s="23"/>
      <c r="I821" s="20"/>
      <c r="J821" s="20"/>
      <c r="K821" s="27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</row>
    <row r="822" spans="1:68" ht="12.75" customHeight="1">
      <c r="A822" s="20"/>
      <c r="B822" s="20"/>
      <c r="C822" s="20"/>
      <c r="D822" s="20"/>
      <c r="E822" s="20"/>
      <c r="F822" s="20"/>
      <c r="G822" s="20"/>
      <c r="H822" s="23"/>
      <c r="I822" s="20"/>
      <c r="J822" s="20"/>
      <c r="K822" s="27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</row>
    <row r="823" spans="1:68" ht="12.75" customHeight="1">
      <c r="A823" s="20"/>
      <c r="B823" s="20"/>
      <c r="C823" s="20"/>
      <c r="D823" s="20"/>
      <c r="E823" s="20"/>
      <c r="F823" s="20"/>
      <c r="G823" s="20"/>
      <c r="H823" s="23"/>
      <c r="I823" s="20"/>
      <c r="J823" s="20"/>
      <c r="K823" s="27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</row>
    <row r="824" spans="1:68" ht="12.75" customHeight="1">
      <c r="A824" s="20"/>
      <c r="B824" s="20"/>
      <c r="C824" s="20"/>
      <c r="D824" s="20"/>
      <c r="E824" s="20"/>
      <c r="F824" s="20"/>
      <c r="G824" s="20"/>
      <c r="H824" s="23"/>
      <c r="I824" s="20"/>
      <c r="J824" s="20"/>
      <c r="K824" s="27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</row>
    <row r="825" spans="1:68" ht="12.75" customHeight="1">
      <c r="A825" s="20"/>
      <c r="B825" s="20"/>
      <c r="C825" s="20"/>
      <c r="D825" s="20"/>
      <c r="E825" s="20"/>
      <c r="F825" s="20"/>
      <c r="G825" s="20"/>
      <c r="H825" s="23"/>
      <c r="I825" s="20"/>
      <c r="J825" s="20"/>
      <c r="K825" s="27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</row>
    <row r="826" spans="1:68" ht="12.75" customHeight="1">
      <c r="A826" s="20"/>
      <c r="B826" s="20"/>
      <c r="C826" s="20"/>
      <c r="D826" s="20"/>
      <c r="E826" s="20"/>
      <c r="F826" s="20"/>
      <c r="G826" s="20"/>
      <c r="H826" s="23"/>
      <c r="I826" s="20"/>
      <c r="J826" s="20"/>
      <c r="K826" s="27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</row>
    <row r="827" spans="1:68" ht="12.75" customHeight="1">
      <c r="A827" s="20"/>
      <c r="B827" s="20"/>
      <c r="C827" s="20"/>
      <c r="D827" s="20"/>
      <c r="E827" s="20"/>
      <c r="F827" s="20"/>
      <c r="G827" s="20"/>
      <c r="H827" s="23"/>
      <c r="I827" s="20"/>
      <c r="J827" s="20"/>
      <c r="K827" s="27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</row>
    <row r="828" spans="1:68" ht="12.75" customHeight="1">
      <c r="A828" s="20"/>
      <c r="B828" s="20"/>
      <c r="C828" s="20"/>
      <c r="D828" s="20"/>
      <c r="E828" s="20"/>
      <c r="F828" s="20"/>
      <c r="G828" s="20"/>
      <c r="H828" s="23"/>
      <c r="I828" s="20"/>
      <c r="J828" s="20"/>
      <c r="K828" s="27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</row>
    <row r="829" spans="1:68" ht="12.75" customHeight="1">
      <c r="A829" s="20"/>
      <c r="B829" s="20"/>
      <c r="C829" s="20"/>
      <c r="D829" s="20"/>
      <c r="E829" s="20"/>
      <c r="F829" s="20"/>
      <c r="G829" s="20"/>
      <c r="H829" s="23"/>
      <c r="I829" s="20"/>
      <c r="J829" s="20"/>
      <c r="K829" s="27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</row>
    <row r="830" spans="1:68" ht="12.75" customHeight="1">
      <c r="A830" s="20"/>
      <c r="B830" s="20"/>
      <c r="C830" s="20"/>
      <c r="D830" s="20"/>
      <c r="E830" s="20"/>
      <c r="F830" s="20"/>
      <c r="G830" s="20"/>
      <c r="H830" s="23"/>
      <c r="I830" s="20"/>
      <c r="J830" s="20"/>
      <c r="K830" s="27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</row>
    <row r="831" spans="1:68" ht="12.75" customHeight="1">
      <c r="A831" s="20"/>
      <c r="B831" s="20"/>
      <c r="C831" s="20"/>
      <c r="D831" s="20"/>
      <c r="E831" s="20"/>
      <c r="F831" s="20"/>
      <c r="G831" s="20"/>
      <c r="H831" s="23"/>
      <c r="I831" s="20"/>
      <c r="J831" s="20"/>
      <c r="K831" s="27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</row>
    <row r="832" spans="1:68" ht="12.75" customHeight="1">
      <c r="A832" s="20"/>
      <c r="B832" s="20"/>
      <c r="C832" s="20"/>
      <c r="D832" s="20"/>
      <c r="E832" s="20"/>
      <c r="F832" s="20"/>
      <c r="G832" s="20"/>
      <c r="H832" s="23"/>
      <c r="I832" s="20"/>
      <c r="J832" s="20"/>
      <c r="K832" s="27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</row>
    <row r="833" spans="1:68" ht="12.75" customHeight="1">
      <c r="A833" s="20"/>
      <c r="B833" s="20"/>
      <c r="C833" s="20"/>
      <c r="D833" s="20"/>
      <c r="E833" s="20"/>
      <c r="F833" s="20"/>
      <c r="G833" s="20"/>
      <c r="H833" s="23"/>
      <c r="I833" s="20"/>
      <c r="J833" s="20"/>
      <c r="K833" s="27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</row>
    <row r="834" spans="1:68" ht="12.75" customHeight="1">
      <c r="A834" s="20"/>
      <c r="B834" s="20"/>
      <c r="C834" s="20"/>
      <c r="D834" s="20"/>
      <c r="E834" s="20"/>
      <c r="F834" s="20"/>
      <c r="G834" s="20"/>
      <c r="H834" s="23"/>
      <c r="I834" s="20"/>
      <c r="J834" s="20"/>
      <c r="K834" s="27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</row>
    <row r="835" spans="1:68" ht="12.75" customHeight="1">
      <c r="A835" s="20"/>
      <c r="B835" s="20"/>
      <c r="C835" s="20"/>
      <c r="D835" s="20"/>
      <c r="E835" s="20"/>
      <c r="F835" s="20"/>
      <c r="G835" s="20"/>
      <c r="H835" s="23"/>
      <c r="I835" s="20"/>
      <c r="J835" s="20"/>
      <c r="K835" s="27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</row>
    <row r="836" spans="1:68" ht="12.75" customHeight="1">
      <c r="A836" s="20"/>
      <c r="B836" s="20"/>
      <c r="C836" s="20"/>
      <c r="D836" s="20"/>
      <c r="E836" s="20"/>
      <c r="F836" s="20"/>
      <c r="G836" s="20"/>
      <c r="H836" s="23"/>
      <c r="I836" s="20"/>
      <c r="J836" s="20"/>
      <c r="K836" s="27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</row>
    <row r="837" spans="1:68" ht="12.75" customHeight="1">
      <c r="A837" s="20"/>
      <c r="B837" s="20"/>
      <c r="C837" s="20"/>
      <c r="D837" s="20"/>
      <c r="E837" s="20"/>
      <c r="F837" s="20"/>
      <c r="G837" s="20"/>
      <c r="H837" s="23"/>
      <c r="I837" s="20"/>
      <c r="J837" s="20"/>
      <c r="K837" s="27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</row>
    <row r="838" spans="1:68" ht="12.75" customHeight="1">
      <c r="A838" s="20"/>
      <c r="B838" s="20"/>
      <c r="C838" s="20"/>
      <c r="D838" s="20"/>
      <c r="E838" s="20"/>
      <c r="F838" s="20"/>
      <c r="G838" s="20"/>
      <c r="H838" s="23"/>
      <c r="I838" s="20"/>
      <c r="J838" s="20"/>
      <c r="K838" s="27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</row>
    <row r="839" spans="1:68" ht="12.75" customHeight="1">
      <c r="A839" s="20"/>
      <c r="B839" s="20"/>
      <c r="C839" s="20"/>
      <c r="D839" s="20"/>
      <c r="E839" s="20"/>
      <c r="F839" s="20"/>
      <c r="G839" s="20"/>
      <c r="H839" s="23"/>
      <c r="I839" s="20"/>
      <c r="J839" s="20"/>
      <c r="K839" s="27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</row>
    <row r="840" spans="1:68" ht="12.75" customHeight="1">
      <c r="A840" s="20"/>
      <c r="B840" s="20"/>
      <c r="C840" s="20"/>
      <c r="D840" s="20"/>
      <c r="E840" s="20"/>
      <c r="F840" s="20"/>
      <c r="G840" s="20"/>
      <c r="H840" s="23"/>
      <c r="I840" s="20"/>
      <c r="J840" s="20"/>
      <c r="K840" s="27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</row>
    <row r="841" spans="1:68" ht="12.75" customHeight="1">
      <c r="A841" s="20"/>
      <c r="B841" s="20"/>
      <c r="C841" s="20"/>
      <c r="D841" s="20"/>
      <c r="E841" s="20"/>
      <c r="F841" s="20"/>
      <c r="G841" s="20"/>
      <c r="H841" s="23"/>
      <c r="I841" s="20"/>
      <c r="J841" s="20"/>
      <c r="K841" s="27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</row>
    <row r="842" spans="1:68" ht="12.75" customHeight="1">
      <c r="A842" s="20"/>
      <c r="B842" s="20"/>
      <c r="C842" s="20"/>
      <c r="D842" s="20"/>
      <c r="E842" s="20"/>
      <c r="F842" s="20"/>
      <c r="G842" s="20"/>
      <c r="H842" s="23"/>
      <c r="I842" s="20"/>
      <c r="J842" s="20"/>
      <c r="K842" s="27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</row>
    <row r="843" spans="1:68" ht="12.75" customHeight="1">
      <c r="A843" s="20"/>
      <c r="B843" s="20"/>
      <c r="C843" s="20"/>
      <c r="D843" s="20"/>
      <c r="E843" s="20"/>
      <c r="F843" s="20"/>
      <c r="G843" s="20"/>
      <c r="H843" s="23"/>
      <c r="I843" s="20"/>
      <c r="J843" s="20"/>
      <c r="K843" s="27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</row>
    <row r="844" spans="1:68" ht="12.75" customHeight="1">
      <c r="A844" s="20"/>
      <c r="B844" s="20"/>
      <c r="C844" s="20"/>
      <c r="D844" s="20"/>
      <c r="E844" s="20"/>
      <c r="F844" s="20"/>
      <c r="G844" s="20"/>
      <c r="H844" s="23"/>
      <c r="I844" s="20"/>
      <c r="J844" s="20"/>
      <c r="K844" s="27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</row>
    <row r="845" spans="1:68" ht="12.75" customHeight="1">
      <c r="A845" s="20"/>
      <c r="B845" s="20"/>
      <c r="C845" s="20"/>
      <c r="D845" s="20"/>
      <c r="E845" s="20"/>
      <c r="F845" s="20"/>
      <c r="G845" s="20"/>
      <c r="H845" s="23"/>
      <c r="I845" s="20"/>
      <c r="J845" s="20"/>
      <c r="K845" s="27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</row>
    <row r="846" spans="1:68" ht="12.75" customHeight="1">
      <c r="A846" s="20"/>
      <c r="B846" s="20"/>
      <c r="C846" s="20"/>
      <c r="D846" s="20"/>
      <c r="E846" s="20"/>
      <c r="F846" s="20"/>
      <c r="G846" s="20"/>
      <c r="H846" s="23"/>
      <c r="I846" s="20"/>
      <c r="J846" s="20"/>
      <c r="K846" s="27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</row>
    <row r="847" spans="1:68" ht="12.75" customHeight="1">
      <c r="A847" s="20"/>
      <c r="B847" s="20"/>
      <c r="C847" s="20"/>
      <c r="D847" s="20"/>
      <c r="E847" s="20"/>
      <c r="F847" s="20"/>
      <c r="G847" s="20"/>
      <c r="H847" s="23"/>
      <c r="I847" s="20"/>
      <c r="J847" s="20"/>
      <c r="K847" s="27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</row>
    <row r="848" spans="1:68" ht="12.75" customHeight="1">
      <c r="A848" s="20"/>
      <c r="B848" s="20"/>
      <c r="C848" s="20"/>
      <c r="D848" s="20"/>
      <c r="E848" s="20"/>
      <c r="F848" s="20"/>
      <c r="G848" s="20"/>
      <c r="H848" s="23"/>
      <c r="I848" s="20"/>
      <c r="J848" s="20"/>
      <c r="K848" s="27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</row>
    <row r="849" spans="1:68" ht="12.75" customHeight="1">
      <c r="A849" s="20"/>
      <c r="B849" s="20"/>
      <c r="C849" s="20"/>
      <c r="D849" s="20"/>
      <c r="E849" s="20"/>
      <c r="F849" s="20"/>
      <c r="G849" s="20"/>
      <c r="H849" s="23"/>
      <c r="I849" s="20"/>
      <c r="J849" s="20"/>
      <c r="K849" s="27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</row>
    <row r="850" spans="1:68" ht="12.75" customHeight="1">
      <c r="A850" s="20"/>
      <c r="B850" s="20"/>
      <c r="C850" s="20"/>
      <c r="D850" s="20"/>
      <c r="E850" s="20"/>
      <c r="F850" s="20"/>
      <c r="G850" s="20"/>
      <c r="H850" s="23"/>
      <c r="I850" s="20"/>
      <c r="J850" s="20"/>
      <c r="K850" s="27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</row>
    <row r="851" spans="1:68" ht="12.75" customHeight="1">
      <c r="A851" s="20"/>
      <c r="B851" s="20"/>
      <c r="C851" s="20"/>
      <c r="D851" s="20"/>
      <c r="E851" s="20"/>
      <c r="F851" s="20"/>
      <c r="G851" s="20"/>
      <c r="H851" s="23"/>
      <c r="I851" s="20"/>
      <c r="J851" s="20"/>
      <c r="K851" s="27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</row>
    <row r="852" spans="1:68" ht="12.75" customHeight="1">
      <c r="A852" s="20"/>
      <c r="B852" s="20"/>
      <c r="C852" s="20"/>
      <c r="D852" s="20"/>
      <c r="E852" s="20"/>
      <c r="F852" s="20"/>
      <c r="G852" s="20"/>
      <c r="H852" s="23"/>
      <c r="I852" s="20"/>
      <c r="J852" s="20"/>
      <c r="K852" s="27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</row>
    <row r="853" spans="1:68" ht="12.75" customHeight="1">
      <c r="A853" s="20"/>
      <c r="B853" s="20"/>
      <c r="C853" s="20"/>
      <c r="D853" s="20"/>
      <c r="E853" s="20"/>
      <c r="F853" s="20"/>
      <c r="G853" s="20"/>
      <c r="H853" s="23"/>
      <c r="I853" s="20"/>
      <c r="J853" s="20"/>
      <c r="K853" s="27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</row>
    <row r="854" spans="1:68" ht="12.75" customHeight="1">
      <c r="A854" s="20"/>
      <c r="B854" s="20"/>
      <c r="C854" s="20"/>
      <c r="D854" s="20"/>
      <c r="E854" s="20"/>
      <c r="F854" s="20"/>
      <c r="G854" s="20"/>
      <c r="H854" s="23"/>
      <c r="I854" s="20"/>
      <c r="J854" s="20"/>
      <c r="K854" s="27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</row>
    <row r="855" spans="1:68" ht="12.75" customHeight="1">
      <c r="A855" s="20"/>
      <c r="B855" s="20"/>
      <c r="C855" s="20"/>
      <c r="D855" s="20"/>
      <c r="E855" s="20"/>
      <c r="F855" s="20"/>
      <c r="G855" s="20"/>
      <c r="H855" s="23"/>
      <c r="I855" s="20"/>
      <c r="J855" s="20"/>
      <c r="K855" s="27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</row>
    <row r="856" spans="1:68" ht="12.75" customHeight="1">
      <c r="A856" s="20"/>
      <c r="B856" s="20"/>
      <c r="C856" s="20"/>
      <c r="D856" s="20"/>
      <c r="E856" s="20"/>
      <c r="F856" s="20"/>
      <c r="G856" s="20"/>
      <c r="H856" s="23"/>
      <c r="I856" s="20"/>
      <c r="J856" s="20"/>
      <c r="K856" s="27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</row>
    <row r="857" spans="1:68" ht="12.75" customHeight="1">
      <c r="A857" s="20"/>
      <c r="B857" s="20"/>
      <c r="C857" s="20"/>
      <c r="D857" s="20"/>
      <c r="E857" s="20"/>
      <c r="F857" s="20"/>
      <c r="G857" s="20"/>
      <c r="H857" s="23"/>
      <c r="I857" s="20"/>
      <c r="J857" s="20"/>
      <c r="K857" s="27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</row>
    <row r="858" spans="1:68" ht="12.75" customHeight="1">
      <c r="A858" s="20"/>
      <c r="B858" s="20"/>
      <c r="C858" s="20"/>
      <c r="D858" s="20"/>
      <c r="E858" s="20"/>
      <c r="F858" s="20"/>
      <c r="G858" s="20"/>
      <c r="H858" s="23"/>
      <c r="I858" s="20"/>
      <c r="J858" s="20"/>
      <c r="K858" s="27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</row>
    <row r="859" spans="1:68" ht="12.75" customHeight="1">
      <c r="A859" s="20"/>
      <c r="B859" s="20"/>
      <c r="C859" s="20"/>
      <c r="D859" s="20"/>
      <c r="E859" s="20"/>
      <c r="F859" s="20"/>
      <c r="G859" s="20"/>
      <c r="H859" s="23"/>
      <c r="I859" s="20"/>
      <c r="J859" s="20"/>
      <c r="K859" s="27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</row>
    <row r="860" spans="1:68" ht="12.75" customHeight="1">
      <c r="A860" s="20"/>
      <c r="B860" s="20"/>
      <c r="C860" s="20"/>
      <c r="D860" s="20"/>
      <c r="E860" s="20"/>
      <c r="F860" s="20"/>
      <c r="G860" s="20"/>
      <c r="H860" s="23"/>
      <c r="I860" s="20"/>
      <c r="J860" s="20"/>
      <c r="K860" s="27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</row>
    <row r="861" spans="1:68" ht="12.75" customHeight="1">
      <c r="A861" s="20"/>
      <c r="B861" s="20"/>
      <c r="C861" s="20"/>
      <c r="D861" s="20"/>
      <c r="E861" s="20"/>
      <c r="F861" s="20"/>
      <c r="G861" s="20"/>
      <c r="H861" s="23"/>
      <c r="I861" s="20"/>
      <c r="J861" s="20"/>
      <c r="K861" s="27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</row>
    <row r="862" spans="1:68" ht="12.75" customHeight="1">
      <c r="A862" s="20"/>
      <c r="B862" s="20"/>
      <c r="C862" s="20"/>
      <c r="D862" s="20"/>
      <c r="E862" s="20"/>
      <c r="F862" s="20"/>
      <c r="G862" s="20"/>
      <c r="H862" s="23"/>
      <c r="I862" s="20"/>
      <c r="J862" s="20"/>
      <c r="K862" s="27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</row>
    <row r="863" spans="1:68" ht="12.75" customHeight="1">
      <c r="A863" s="20"/>
      <c r="B863" s="20"/>
      <c r="C863" s="20"/>
      <c r="D863" s="20"/>
      <c r="E863" s="20"/>
      <c r="F863" s="20"/>
      <c r="G863" s="20"/>
      <c r="H863" s="23"/>
      <c r="I863" s="20"/>
      <c r="J863" s="20"/>
      <c r="K863" s="27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</row>
    <row r="864" spans="1:68" ht="12.75" customHeight="1">
      <c r="A864" s="20"/>
      <c r="B864" s="20"/>
      <c r="C864" s="20"/>
      <c r="D864" s="20"/>
      <c r="E864" s="20"/>
      <c r="F864" s="20"/>
      <c r="G864" s="20"/>
      <c r="H864" s="23"/>
      <c r="I864" s="20"/>
      <c r="J864" s="20"/>
      <c r="K864" s="27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</row>
    <row r="865" spans="1:68" ht="12.75" customHeight="1">
      <c r="A865" s="20"/>
      <c r="B865" s="20"/>
      <c r="C865" s="20"/>
      <c r="D865" s="20"/>
      <c r="E865" s="20"/>
      <c r="F865" s="20"/>
      <c r="G865" s="20"/>
      <c r="H865" s="23"/>
      <c r="I865" s="20"/>
      <c r="J865" s="20"/>
      <c r="K865" s="27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</row>
    <row r="866" spans="1:68" ht="12.75" customHeight="1">
      <c r="A866" s="20"/>
      <c r="B866" s="20"/>
      <c r="C866" s="20"/>
      <c r="D866" s="20"/>
      <c r="E866" s="20"/>
      <c r="F866" s="20"/>
      <c r="G866" s="20"/>
      <c r="H866" s="23"/>
      <c r="I866" s="20"/>
      <c r="J866" s="20"/>
      <c r="K866" s="27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</row>
    <row r="867" spans="1:68" ht="12.75" customHeight="1">
      <c r="A867" s="20"/>
      <c r="B867" s="20"/>
      <c r="C867" s="20"/>
      <c r="D867" s="20"/>
      <c r="E867" s="20"/>
      <c r="F867" s="20"/>
      <c r="G867" s="20"/>
      <c r="H867" s="23"/>
      <c r="I867" s="20"/>
      <c r="J867" s="20"/>
      <c r="K867" s="27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</row>
    <row r="868" spans="1:68" ht="12.75" customHeight="1">
      <c r="A868" s="20"/>
      <c r="B868" s="20"/>
      <c r="C868" s="20"/>
      <c r="D868" s="20"/>
      <c r="E868" s="20"/>
      <c r="F868" s="20"/>
      <c r="G868" s="20"/>
      <c r="H868" s="23"/>
      <c r="I868" s="20"/>
      <c r="J868" s="20"/>
      <c r="K868" s="27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</row>
    <row r="869" spans="1:68" ht="12.75" customHeight="1">
      <c r="A869" s="20"/>
      <c r="B869" s="20"/>
      <c r="C869" s="20"/>
      <c r="D869" s="20"/>
      <c r="E869" s="20"/>
      <c r="F869" s="20"/>
      <c r="G869" s="20"/>
      <c r="H869" s="23"/>
      <c r="I869" s="20"/>
      <c r="J869" s="20"/>
      <c r="K869" s="27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</row>
    <row r="870" spans="1:68" ht="12.75" customHeight="1">
      <c r="A870" s="20"/>
      <c r="B870" s="20"/>
      <c r="C870" s="20"/>
      <c r="D870" s="20"/>
      <c r="E870" s="20"/>
      <c r="F870" s="20"/>
      <c r="G870" s="20"/>
      <c r="H870" s="23"/>
      <c r="I870" s="20"/>
      <c r="J870" s="20"/>
      <c r="K870" s="27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</row>
    <row r="871" spans="1:68" ht="12.75" customHeight="1">
      <c r="A871" s="20"/>
      <c r="B871" s="20"/>
      <c r="C871" s="20"/>
      <c r="D871" s="20"/>
      <c r="E871" s="20"/>
      <c r="F871" s="20"/>
      <c r="G871" s="20"/>
      <c r="H871" s="23"/>
      <c r="I871" s="20"/>
      <c r="J871" s="20"/>
      <c r="K871" s="27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</row>
    <row r="872" spans="1:68" ht="12.75" customHeight="1">
      <c r="A872" s="20"/>
      <c r="B872" s="20"/>
      <c r="C872" s="20"/>
      <c r="D872" s="20"/>
      <c r="E872" s="20"/>
      <c r="F872" s="20"/>
      <c r="G872" s="20"/>
      <c r="H872" s="23"/>
      <c r="I872" s="20"/>
      <c r="J872" s="20"/>
      <c r="K872" s="27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</row>
    <row r="873" spans="1:68" ht="12.75" customHeight="1">
      <c r="A873" s="20"/>
      <c r="B873" s="20"/>
      <c r="C873" s="20"/>
      <c r="D873" s="20"/>
      <c r="E873" s="20"/>
      <c r="F873" s="20"/>
      <c r="G873" s="20"/>
      <c r="H873" s="23"/>
      <c r="I873" s="20"/>
      <c r="J873" s="20"/>
      <c r="K873" s="27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</row>
    <row r="874" spans="1:68" ht="12.75" customHeight="1">
      <c r="A874" s="20"/>
      <c r="B874" s="20"/>
      <c r="C874" s="20"/>
      <c r="D874" s="20"/>
      <c r="E874" s="20"/>
      <c r="F874" s="20"/>
      <c r="G874" s="20"/>
      <c r="H874" s="23"/>
      <c r="I874" s="20"/>
      <c r="J874" s="20"/>
      <c r="K874" s="27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</row>
    <row r="875" spans="1:68" ht="12.75" customHeight="1">
      <c r="A875" s="20"/>
      <c r="B875" s="20"/>
      <c r="C875" s="20"/>
      <c r="D875" s="20"/>
      <c r="E875" s="20"/>
      <c r="F875" s="20"/>
      <c r="G875" s="20"/>
      <c r="H875" s="23"/>
      <c r="I875" s="20"/>
      <c r="J875" s="20"/>
      <c r="K875" s="27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</row>
    <row r="876" spans="1:68" ht="12.75" customHeight="1">
      <c r="A876" s="20"/>
      <c r="B876" s="20"/>
      <c r="C876" s="20"/>
      <c r="D876" s="20"/>
      <c r="E876" s="20"/>
      <c r="F876" s="20"/>
      <c r="G876" s="20"/>
      <c r="H876" s="23"/>
      <c r="I876" s="20"/>
      <c r="J876" s="20"/>
      <c r="K876" s="27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</row>
    <row r="877" spans="1:68" ht="12.75" customHeight="1">
      <c r="A877" s="20"/>
      <c r="B877" s="20"/>
      <c r="C877" s="20"/>
      <c r="D877" s="20"/>
      <c r="E877" s="20"/>
      <c r="F877" s="20"/>
      <c r="G877" s="20"/>
      <c r="H877" s="23"/>
      <c r="I877" s="20"/>
      <c r="J877" s="20"/>
      <c r="K877" s="27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</row>
    <row r="878" spans="1:68" ht="12.75" customHeight="1">
      <c r="A878" s="20"/>
      <c r="B878" s="20"/>
      <c r="C878" s="20"/>
      <c r="D878" s="20"/>
      <c r="E878" s="20"/>
      <c r="F878" s="20"/>
      <c r="G878" s="20"/>
      <c r="H878" s="23"/>
      <c r="I878" s="20"/>
      <c r="J878" s="20"/>
      <c r="K878" s="27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</row>
    <row r="879" spans="1:68" ht="12.75" customHeight="1">
      <c r="A879" s="20"/>
      <c r="B879" s="20"/>
      <c r="C879" s="20"/>
      <c r="D879" s="20"/>
      <c r="E879" s="20"/>
      <c r="F879" s="20"/>
      <c r="G879" s="20"/>
      <c r="H879" s="23"/>
      <c r="I879" s="20"/>
      <c r="J879" s="20"/>
      <c r="K879" s="27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</row>
    <row r="880" spans="1:68" ht="12.75" customHeight="1">
      <c r="A880" s="20"/>
      <c r="B880" s="20"/>
      <c r="C880" s="20"/>
      <c r="D880" s="20"/>
      <c r="E880" s="20"/>
      <c r="F880" s="20"/>
      <c r="G880" s="20"/>
      <c r="H880" s="23"/>
      <c r="I880" s="20"/>
      <c r="J880" s="20"/>
      <c r="K880" s="27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</row>
    <row r="881" spans="1:68" ht="12.75" customHeight="1">
      <c r="A881" s="20"/>
      <c r="B881" s="20"/>
      <c r="C881" s="20"/>
      <c r="D881" s="20"/>
      <c r="E881" s="20"/>
      <c r="F881" s="20"/>
      <c r="G881" s="20"/>
      <c r="H881" s="23"/>
      <c r="I881" s="20"/>
      <c r="J881" s="20"/>
      <c r="K881" s="27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</row>
    <row r="882" spans="1:68" ht="12.75" customHeight="1">
      <c r="A882" s="20"/>
      <c r="B882" s="20"/>
      <c r="C882" s="20"/>
      <c r="D882" s="20"/>
      <c r="E882" s="20"/>
      <c r="F882" s="20"/>
      <c r="G882" s="20"/>
      <c r="H882" s="23"/>
      <c r="I882" s="20"/>
      <c r="J882" s="20"/>
      <c r="K882" s="27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</row>
    <row r="883" spans="1:68" ht="12.75" customHeight="1">
      <c r="A883" s="20"/>
      <c r="B883" s="20"/>
      <c r="C883" s="20"/>
      <c r="D883" s="20"/>
      <c r="E883" s="20"/>
      <c r="F883" s="20"/>
      <c r="G883" s="20"/>
      <c r="H883" s="23"/>
      <c r="I883" s="20"/>
      <c r="J883" s="20"/>
      <c r="K883" s="27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</row>
    <row r="884" spans="1:68" ht="12.75" customHeight="1">
      <c r="A884" s="20"/>
      <c r="B884" s="20"/>
      <c r="C884" s="20"/>
      <c r="D884" s="20"/>
      <c r="E884" s="20"/>
      <c r="F884" s="20"/>
      <c r="G884" s="20"/>
      <c r="H884" s="23"/>
      <c r="I884" s="20"/>
      <c r="J884" s="20"/>
      <c r="K884" s="27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</row>
    <row r="885" spans="1:68" ht="12.75" customHeight="1">
      <c r="A885" s="20"/>
      <c r="B885" s="20"/>
      <c r="C885" s="20"/>
      <c r="D885" s="20"/>
      <c r="E885" s="20"/>
      <c r="F885" s="20"/>
      <c r="G885" s="20"/>
      <c r="H885" s="23"/>
      <c r="I885" s="20"/>
      <c r="J885" s="20"/>
      <c r="K885" s="27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</row>
    <row r="886" spans="1:68" ht="12.75" customHeight="1">
      <c r="A886" s="20"/>
      <c r="B886" s="20"/>
      <c r="C886" s="20"/>
      <c r="D886" s="20"/>
      <c r="E886" s="20"/>
      <c r="F886" s="20"/>
      <c r="G886" s="20"/>
      <c r="H886" s="23"/>
      <c r="I886" s="20"/>
      <c r="J886" s="20"/>
      <c r="K886" s="27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</row>
    <row r="887" spans="1:68" ht="12.75" customHeight="1">
      <c r="A887" s="20"/>
      <c r="B887" s="20"/>
      <c r="C887" s="20"/>
      <c r="D887" s="20"/>
      <c r="E887" s="20"/>
      <c r="F887" s="20"/>
      <c r="G887" s="20"/>
      <c r="H887" s="23"/>
      <c r="I887" s="20"/>
      <c r="J887" s="20"/>
      <c r="K887" s="27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</row>
    <row r="888" spans="1:68" ht="12.75" customHeight="1">
      <c r="A888" s="20"/>
      <c r="B888" s="20"/>
      <c r="C888" s="20"/>
      <c r="D888" s="20"/>
      <c r="E888" s="20"/>
      <c r="F888" s="20"/>
      <c r="G888" s="20"/>
      <c r="H888" s="23"/>
      <c r="I888" s="20"/>
      <c r="J888" s="20"/>
      <c r="K888" s="27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</row>
    <row r="889" spans="1:68" ht="12.75" customHeight="1">
      <c r="A889" s="20"/>
      <c r="B889" s="20"/>
      <c r="C889" s="20"/>
      <c r="D889" s="20"/>
      <c r="E889" s="20"/>
      <c r="F889" s="20"/>
      <c r="G889" s="20"/>
      <c r="H889" s="23"/>
      <c r="I889" s="20"/>
      <c r="J889" s="20"/>
      <c r="K889" s="27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</row>
    <row r="890" spans="1:68" ht="12.75" customHeight="1">
      <c r="A890" s="20"/>
      <c r="B890" s="20"/>
      <c r="C890" s="20"/>
      <c r="D890" s="20"/>
      <c r="E890" s="20"/>
      <c r="F890" s="20"/>
      <c r="G890" s="20"/>
      <c r="H890" s="23"/>
      <c r="I890" s="20"/>
      <c r="J890" s="20"/>
      <c r="K890" s="27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</row>
    <row r="891" spans="1:68" ht="12.75" customHeight="1">
      <c r="A891" s="20"/>
      <c r="B891" s="20"/>
      <c r="C891" s="20"/>
      <c r="D891" s="20"/>
      <c r="E891" s="20"/>
      <c r="F891" s="20"/>
      <c r="G891" s="20"/>
      <c r="H891" s="23"/>
      <c r="I891" s="20"/>
      <c r="J891" s="20"/>
      <c r="K891" s="27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</row>
    <row r="892" spans="1:68" ht="12.75" customHeight="1">
      <c r="A892" s="20"/>
      <c r="B892" s="20"/>
      <c r="C892" s="20"/>
      <c r="D892" s="20"/>
      <c r="E892" s="20"/>
      <c r="F892" s="20"/>
      <c r="G892" s="20"/>
      <c r="H892" s="23"/>
      <c r="I892" s="20"/>
      <c r="J892" s="20"/>
      <c r="K892" s="27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</row>
    <row r="893" spans="1:68" ht="12.75" customHeight="1">
      <c r="A893" s="20"/>
      <c r="B893" s="20"/>
      <c r="C893" s="20"/>
      <c r="D893" s="20"/>
      <c r="E893" s="20"/>
      <c r="F893" s="20"/>
      <c r="G893" s="20"/>
      <c r="H893" s="23"/>
      <c r="I893" s="20"/>
      <c r="J893" s="20"/>
      <c r="K893" s="27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</row>
    <row r="894" spans="1:68" ht="12.75" customHeight="1">
      <c r="A894" s="20"/>
      <c r="B894" s="20"/>
      <c r="C894" s="20"/>
      <c r="D894" s="20"/>
      <c r="E894" s="20"/>
      <c r="F894" s="20"/>
      <c r="G894" s="20"/>
      <c r="H894" s="23"/>
      <c r="I894" s="20"/>
      <c r="J894" s="20"/>
      <c r="K894" s="27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</row>
    <row r="895" spans="1:68" ht="12.75" customHeight="1">
      <c r="A895" s="20"/>
      <c r="B895" s="20"/>
      <c r="C895" s="20"/>
      <c r="D895" s="20"/>
      <c r="E895" s="20"/>
      <c r="F895" s="20"/>
      <c r="G895" s="20"/>
      <c r="H895" s="23"/>
      <c r="I895" s="20"/>
      <c r="J895" s="20"/>
      <c r="K895" s="27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</row>
    <row r="896" spans="1:68" ht="12.75" customHeight="1">
      <c r="A896" s="20"/>
      <c r="B896" s="20"/>
      <c r="C896" s="20"/>
      <c r="D896" s="20"/>
      <c r="E896" s="20"/>
      <c r="F896" s="20"/>
      <c r="G896" s="20"/>
      <c r="H896" s="23"/>
      <c r="I896" s="20"/>
      <c r="J896" s="20"/>
      <c r="K896" s="27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</row>
    <row r="897" spans="1:68" ht="12.75" customHeight="1">
      <c r="A897" s="20"/>
      <c r="B897" s="20"/>
      <c r="C897" s="20"/>
      <c r="D897" s="20"/>
      <c r="E897" s="20"/>
      <c r="F897" s="20"/>
      <c r="G897" s="20"/>
      <c r="H897" s="23"/>
      <c r="I897" s="20"/>
      <c r="J897" s="20"/>
      <c r="K897" s="27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</row>
    <row r="898" spans="1:68" ht="12.75" customHeight="1">
      <c r="A898" s="20"/>
      <c r="B898" s="20"/>
      <c r="C898" s="20"/>
      <c r="D898" s="20"/>
      <c r="E898" s="20"/>
      <c r="F898" s="20"/>
      <c r="G898" s="20"/>
      <c r="H898" s="23"/>
      <c r="I898" s="20"/>
      <c r="J898" s="20"/>
      <c r="K898" s="27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</row>
    <row r="899" spans="1:68" ht="12.75" customHeight="1">
      <c r="A899" s="20"/>
      <c r="B899" s="20"/>
      <c r="C899" s="20"/>
      <c r="D899" s="20"/>
      <c r="E899" s="20"/>
      <c r="F899" s="20"/>
      <c r="G899" s="20"/>
      <c r="H899" s="23"/>
      <c r="I899" s="20"/>
      <c r="J899" s="20"/>
      <c r="K899" s="27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</row>
    <row r="900" spans="1:68" ht="12.75" customHeight="1">
      <c r="A900" s="20"/>
      <c r="B900" s="20"/>
      <c r="C900" s="20"/>
      <c r="D900" s="20"/>
      <c r="E900" s="20"/>
      <c r="F900" s="20"/>
      <c r="G900" s="20"/>
      <c r="H900" s="23"/>
      <c r="I900" s="20"/>
      <c r="J900" s="20"/>
      <c r="K900" s="27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</row>
    <row r="901" spans="1:68" ht="12.75" customHeight="1">
      <c r="A901" s="20"/>
      <c r="B901" s="20"/>
      <c r="C901" s="20"/>
      <c r="D901" s="20"/>
      <c r="E901" s="20"/>
      <c r="F901" s="20"/>
      <c r="G901" s="20"/>
      <c r="H901" s="23"/>
      <c r="I901" s="20"/>
      <c r="J901" s="20"/>
      <c r="K901" s="27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</row>
    <row r="902" spans="1:68" ht="12.75" customHeight="1">
      <c r="A902" s="20"/>
      <c r="B902" s="20"/>
      <c r="C902" s="20"/>
      <c r="D902" s="20"/>
      <c r="E902" s="20"/>
      <c r="F902" s="20"/>
      <c r="G902" s="20"/>
      <c r="H902" s="23"/>
      <c r="I902" s="20"/>
      <c r="J902" s="20"/>
      <c r="K902" s="27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</row>
    <row r="903" spans="1:68" ht="12.75" customHeight="1">
      <c r="A903" s="20"/>
      <c r="B903" s="20"/>
      <c r="C903" s="20"/>
      <c r="D903" s="20"/>
      <c r="E903" s="20"/>
      <c r="F903" s="20"/>
      <c r="G903" s="20"/>
      <c r="H903" s="23"/>
      <c r="I903" s="20"/>
      <c r="J903" s="20"/>
      <c r="K903" s="27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</row>
    <row r="904" spans="1:68" ht="12.75" customHeight="1">
      <c r="A904" s="20"/>
      <c r="B904" s="20"/>
      <c r="C904" s="20"/>
      <c r="D904" s="20"/>
      <c r="E904" s="20"/>
      <c r="F904" s="20"/>
      <c r="G904" s="20"/>
      <c r="H904" s="23"/>
      <c r="I904" s="20"/>
      <c r="J904" s="20"/>
      <c r="K904" s="27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</row>
    <row r="905" spans="1:68" ht="12.75" customHeight="1">
      <c r="A905" s="20"/>
      <c r="B905" s="20"/>
      <c r="C905" s="20"/>
      <c r="D905" s="20"/>
      <c r="E905" s="20"/>
      <c r="F905" s="20"/>
      <c r="G905" s="20"/>
      <c r="H905" s="23"/>
      <c r="I905" s="20"/>
      <c r="J905" s="20"/>
      <c r="K905" s="27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</row>
    <row r="906" spans="1:68" ht="12.75" customHeight="1">
      <c r="A906" s="20"/>
      <c r="B906" s="20"/>
      <c r="C906" s="20"/>
      <c r="D906" s="20"/>
      <c r="E906" s="20"/>
      <c r="F906" s="20"/>
      <c r="G906" s="20"/>
      <c r="H906" s="23"/>
      <c r="I906" s="20"/>
      <c r="J906" s="20"/>
      <c r="K906" s="27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</row>
    <row r="907" spans="1:68" ht="12.75" customHeight="1">
      <c r="A907" s="20"/>
      <c r="B907" s="20"/>
      <c r="C907" s="20"/>
      <c r="D907" s="20"/>
      <c r="E907" s="20"/>
      <c r="F907" s="20"/>
      <c r="G907" s="20"/>
      <c r="H907" s="23"/>
      <c r="I907" s="20"/>
      <c r="J907" s="20"/>
      <c r="K907" s="27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</row>
    <row r="908" spans="1:68" ht="12.75" customHeight="1">
      <c r="A908" s="20"/>
      <c r="B908" s="20"/>
      <c r="C908" s="20"/>
      <c r="D908" s="20"/>
      <c r="E908" s="20"/>
      <c r="F908" s="20"/>
      <c r="G908" s="20"/>
      <c r="H908" s="23"/>
      <c r="I908" s="20"/>
      <c r="J908" s="20"/>
      <c r="K908" s="27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</row>
    <row r="909" spans="1:68" ht="12.75" customHeight="1">
      <c r="A909" s="20"/>
      <c r="B909" s="20"/>
      <c r="C909" s="20"/>
      <c r="D909" s="20"/>
      <c r="E909" s="20"/>
      <c r="F909" s="20"/>
      <c r="G909" s="20"/>
      <c r="H909" s="23"/>
      <c r="I909" s="20"/>
      <c r="J909" s="20"/>
      <c r="K909" s="27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</row>
    <row r="910" spans="1:68" ht="12.75" customHeight="1">
      <c r="A910" s="20"/>
      <c r="B910" s="20"/>
      <c r="C910" s="20"/>
      <c r="D910" s="20"/>
      <c r="E910" s="20"/>
      <c r="F910" s="20"/>
      <c r="G910" s="20"/>
      <c r="H910" s="23"/>
      <c r="I910" s="20"/>
      <c r="J910" s="20"/>
      <c r="K910" s="27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</row>
    <row r="911" spans="1:68" ht="12.75" customHeight="1">
      <c r="A911" s="20"/>
      <c r="B911" s="20"/>
      <c r="C911" s="20"/>
      <c r="D911" s="20"/>
      <c r="E911" s="20"/>
      <c r="F911" s="20"/>
      <c r="G911" s="20"/>
      <c r="H911" s="23"/>
      <c r="I911" s="20"/>
      <c r="J911" s="20"/>
      <c r="K911" s="27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</row>
    <row r="912" spans="1:68" ht="12.75" customHeight="1">
      <c r="A912" s="20"/>
      <c r="B912" s="20"/>
      <c r="C912" s="20"/>
      <c r="D912" s="20"/>
      <c r="E912" s="20"/>
      <c r="F912" s="20"/>
      <c r="G912" s="20"/>
      <c r="H912" s="23"/>
      <c r="I912" s="20"/>
      <c r="J912" s="20"/>
      <c r="K912" s="27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</row>
    <row r="913" spans="1:68" ht="12.75" customHeight="1">
      <c r="A913" s="20"/>
      <c r="B913" s="20"/>
      <c r="C913" s="20"/>
      <c r="D913" s="20"/>
      <c r="E913" s="20"/>
      <c r="F913" s="20"/>
      <c r="G913" s="20"/>
      <c r="H913" s="23"/>
      <c r="I913" s="20"/>
      <c r="J913" s="20"/>
      <c r="K913" s="27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</row>
    <row r="914" spans="1:68" ht="12.75" customHeight="1">
      <c r="A914" s="20"/>
      <c r="B914" s="20"/>
      <c r="C914" s="20"/>
      <c r="D914" s="20"/>
      <c r="E914" s="20"/>
      <c r="F914" s="20"/>
      <c r="G914" s="20"/>
      <c r="H914" s="23"/>
      <c r="I914" s="20"/>
      <c r="J914" s="20"/>
      <c r="K914" s="27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</row>
    <row r="915" spans="1:68" ht="12.75" customHeight="1">
      <c r="A915" s="20"/>
      <c r="B915" s="20"/>
      <c r="C915" s="20"/>
      <c r="D915" s="20"/>
      <c r="E915" s="20"/>
      <c r="F915" s="20"/>
      <c r="G915" s="20"/>
      <c r="H915" s="23"/>
      <c r="I915" s="20"/>
      <c r="J915" s="20"/>
      <c r="K915" s="27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</row>
    <row r="916" spans="1:68" ht="12.75" customHeight="1">
      <c r="A916" s="20"/>
      <c r="B916" s="20"/>
      <c r="C916" s="20"/>
      <c r="D916" s="20"/>
      <c r="E916" s="20"/>
      <c r="F916" s="20"/>
      <c r="G916" s="20"/>
      <c r="H916" s="23"/>
      <c r="I916" s="20"/>
      <c r="J916" s="20"/>
      <c r="K916" s="27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</row>
    <row r="917" spans="1:68" ht="12.75" customHeight="1">
      <c r="A917" s="20"/>
      <c r="B917" s="20"/>
      <c r="C917" s="20"/>
      <c r="D917" s="20"/>
      <c r="E917" s="20"/>
      <c r="F917" s="20"/>
      <c r="G917" s="20"/>
      <c r="H917" s="23"/>
      <c r="I917" s="20"/>
      <c r="J917" s="20"/>
      <c r="K917" s="27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</row>
    <row r="918" spans="1:68" ht="12.75" customHeight="1">
      <c r="A918" s="20"/>
      <c r="B918" s="20"/>
      <c r="C918" s="20"/>
      <c r="D918" s="20"/>
      <c r="E918" s="20"/>
      <c r="F918" s="20"/>
      <c r="G918" s="20"/>
      <c r="H918" s="23"/>
      <c r="I918" s="20"/>
      <c r="J918" s="20"/>
      <c r="K918" s="27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</row>
    <row r="919" spans="1:68" ht="12.75" customHeight="1">
      <c r="A919" s="20"/>
      <c r="B919" s="20"/>
      <c r="C919" s="20"/>
      <c r="D919" s="20"/>
      <c r="E919" s="20"/>
      <c r="F919" s="20"/>
      <c r="G919" s="20"/>
      <c r="H919" s="23"/>
      <c r="I919" s="20"/>
      <c r="J919" s="20"/>
      <c r="K919" s="27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</row>
    <row r="920" spans="1:68" ht="12.75" customHeight="1">
      <c r="A920" s="20"/>
      <c r="B920" s="20"/>
      <c r="C920" s="20"/>
      <c r="D920" s="20"/>
      <c r="E920" s="20"/>
      <c r="F920" s="20"/>
      <c r="G920" s="20"/>
      <c r="H920" s="23"/>
      <c r="I920" s="20"/>
      <c r="J920" s="20"/>
      <c r="K920" s="27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</row>
    <row r="921" spans="1:68" ht="12.75" customHeight="1">
      <c r="A921" s="20"/>
      <c r="B921" s="20"/>
      <c r="C921" s="20"/>
      <c r="D921" s="20"/>
      <c r="E921" s="20"/>
      <c r="F921" s="20"/>
      <c r="G921" s="20"/>
      <c r="H921" s="23"/>
      <c r="I921" s="20"/>
      <c r="J921" s="20"/>
      <c r="K921" s="27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</row>
    <row r="922" spans="1:68" ht="12.75" customHeight="1">
      <c r="A922" s="20"/>
      <c r="B922" s="20"/>
      <c r="C922" s="20"/>
      <c r="D922" s="20"/>
      <c r="E922" s="20"/>
      <c r="F922" s="20"/>
      <c r="G922" s="20"/>
      <c r="H922" s="23"/>
      <c r="I922" s="20"/>
      <c r="J922" s="20"/>
      <c r="K922" s="27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</row>
    <row r="923" spans="1:68" ht="12.75" customHeight="1">
      <c r="A923" s="20"/>
      <c r="B923" s="20"/>
      <c r="C923" s="20"/>
      <c r="D923" s="20"/>
      <c r="E923" s="20"/>
      <c r="F923" s="20"/>
      <c r="G923" s="20"/>
      <c r="H923" s="23"/>
      <c r="I923" s="20"/>
      <c r="J923" s="20"/>
      <c r="K923" s="27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</row>
    <row r="924" spans="1:68" ht="12.75" customHeight="1">
      <c r="A924" s="20"/>
      <c r="B924" s="20"/>
      <c r="C924" s="20"/>
      <c r="D924" s="20"/>
      <c r="E924" s="20"/>
      <c r="F924" s="20"/>
      <c r="G924" s="20"/>
      <c r="H924" s="23"/>
      <c r="I924" s="20"/>
      <c r="J924" s="20"/>
      <c r="K924" s="27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</row>
    <row r="925" spans="1:68" ht="12.75" customHeight="1">
      <c r="A925" s="20"/>
      <c r="B925" s="20"/>
      <c r="C925" s="20"/>
      <c r="D925" s="20"/>
      <c r="E925" s="20"/>
      <c r="F925" s="20"/>
      <c r="G925" s="20"/>
      <c r="H925" s="23"/>
      <c r="I925" s="20"/>
      <c r="J925" s="20"/>
      <c r="K925" s="27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</row>
    <row r="926" spans="1:68" ht="12.75" customHeight="1">
      <c r="A926" s="20"/>
      <c r="B926" s="20"/>
      <c r="C926" s="20"/>
      <c r="D926" s="20"/>
      <c r="E926" s="20"/>
      <c r="F926" s="20"/>
      <c r="G926" s="20"/>
      <c r="H926" s="23"/>
      <c r="I926" s="20"/>
      <c r="J926" s="20"/>
      <c r="K926" s="27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</row>
    <row r="927" spans="1:68" ht="12.75" customHeight="1">
      <c r="A927" s="20"/>
      <c r="B927" s="20"/>
      <c r="C927" s="20"/>
      <c r="D927" s="20"/>
      <c r="E927" s="20"/>
      <c r="F927" s="20"/>
      <c r="G927" s="20"/>
      <c r="H927" s="23"/>
      <c r="I927" s="20"/>
      <c r="J927" s="20"/>
      <c r="K927" s="27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</row>
    <row r="928" spans="1:68" ht="12.75" customHeight="1">
      <c r="A928" s="20"/>
      <c r="B928" s="20"/>
      <c r="C928" s="20"/>
      <c r="D928" s="20"/>
      <c r="E928" s="20"/>
      <c r="F928" s="20"/>
      <c r="G928" s="20"/>
      <c r="H928" s="23"/>
      <c r="I928" s="20"/>
      <c r="J928" s="20"/>
      <c r="K928" s="27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</row>
    <row r="929" spans="1:68" ht="12.75" customHeight="1">
      <c r="A929" s="20"/>
      <c r="B929" s="20"/>
      <c r="C929" s="20"/>
      <c r="D929" s="20"/>
      <c r="E929" s="20"/>
      <c r="F929" s="20"/>
      <c r="G929" s="20"/>
      <c r="H929" s="23"/>
      <c r="I929" s="20"/>
      <c r="J929" s="20"/>
      <c r="K929" s="27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</row>
    <row r="930" spans="1:68" ht="12.75" customHeight="1">
      <c r="A930" s="20"/>
      <c r="B930" s="20"/>
      <c r="C930" s="20"/>
      <c r="D930" s="20"/>
      <c r="E930" s="20"/>
      <c r="F930" s="20"/>
      <c r="G930" s="20"/>
      <c r="H930" s="23"/>
      <c r="I930" s="20"/>
      <c r="J930" s="20"/>
      <c r="K930" s="27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</row>
    <row r="931" spans="1:68" ht="12.75" customHeight="1">
      <c r="A931" s="20"/>
      <c r="B931" s="20"/>
      <c r="C931" s="20"/>
      <c r="D931" s="20"/>
      <c r="E931" s="20"/>
      <c r="F931" s="20"/>
      <c r="G931" s="20"/>
      <c r="H931" s="23"/>
      <c r="I931" s="20"/>
      <c r="J931" s="20"/>
      <c r="K931" s="27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</row>
    <row r="932" spans="1:68" ht="12.75" customHeight="1">
      <c r="A932" s="20"/>
      <c r="B932" s="20"/>
      <c r="C932" s="20"/>
      <c r="D932" s="20"/>
      <c r="E932" s="20"/>
      <c r="F932" s="20"/>
      <c r="G932" s="20"/>
      <c r="H932" s="23"/>
      <c r="I932" s="20"/>
      <c r="J932" s="20"/>
      <c r="K932" s="27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</row>
    <row r="933" spans="1:68" ht="12.75" customHeight="1">
      <c r="A933" s="20"/>
      <c r="B933" s="20"/>
      <c r="C933" s="20"/>
      <c r="D933" s="20"/>
      <c r="E933" s="20"/>
      <c r="F933" s="20"/>
      <c r="G933" s="20"/>
      <c r="H933" s="23"/>
      <c r="I933" s="20"/>
      <c r="J933" s="20"/>
      <c r="K933" s="27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</row>
    <row r="934" spans="1:68" ht="12.75" customHeight="1">
      <c r="A934" s="20"/>
      <c r="B934" s="20"/>
      <c r="C934" s="20"/>
      <c r="D934" s="20"/>
      <c r="E934" s="20"/>
      <c r="F934" s="20"/>
      <c r="G934" s="20"/>
      <c r="H934" s="23"/>
      <c r="I934" s="20"/>
      <c r="J934" s="20"/>
      <c r="K934" s="27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</row>
    <row r="935" spans="1:68" ht="12.75" customHeight="1">
      <c r="A935" s="20"/>
      <c r="B935" s="20"/>
      <c r="C935" s="20"/>
      <c r="D935" s="20"/>
      <c r="E935" s="20"/>
      <c r="F935" s="20"/>
      <c r="G935" s="20"/>
      <c r="H935" s="23"/>
      <c r="I935" s="20"/>
      <c r="J935" s="20"/>
      <c r="K935" s="27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</row>
    <row r="936" spans="1:68" ht="12.75" customHeight="1">
      <c r="A936" s="20"/>
      <c r="B936" s="20"/>
      <c r="C936" s="20"/>
      <c r="D936" s="20"/>
      <c r="E936" s="20"/>
      <c r="F936" s="20"/>
      <c r="G936" s="20"/>
      <c r="H936" s="23"/>
      <c r="I936" s="20"/>
      <c r="J936" s="20"/>
      <c r="K936" s="27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</row>
    <row r="937" spans="1:68" ht="12.75" customHeight="1">
      <c r="A937" s="20"/>
      <c r="B937" s="20"/>
      <c r="C937" s="20"/>
      <c r="D937" s="20"/>
      <c r="E937" s="20"/>
      <c r="F937" s="20"/>
      <c r="G937" s="20"/>
      <c r="H937" s="23"/>
      <c r="I937" s="20"/>
      <c r="J937" s="20"/>
      <c r="K937" s="27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</row>
    <row r="938" spans="1:68" ht="12.75" customHeight="1">
      <c r="A938" s="20"/>
      <c r="B938" s="20"/>
      <c r="C938" s="20"/>
      <c r="D938" s="20"/>
      <c r="E938" s="20"/>
      <c r="F938" s="20"/>
      <c r="G938" s="20"/>
      <c r="H938" s="23"/>
      <c r="I938" s="20"/>
      <c r="J938" s="20"/>
      <c r="K938" s="27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</row>
    <row r="939" spans="1:68" ht="12.75" customHeight="1">
      <c r="A939" s="20"/>
      <c r="B939" s="20"/>
      <c r="C939" s="20"/>
      <c r="D939" s="20"/>
      <c r="E939" s="20"/>
      <c r="F939" s="20"/>
      <c r="G939" s="20"/>
      <c r="H939" s="23"/>
      <c r="I939" s="20"/>
      <c r="J939" s="20"/>
      <c r="K939" s="27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</row>
    <row r="940" spans="1:68" ht="12.75" customHeight="1">
      <c r="A940" s="20"/>
      <c r="B940" s="20"/>
      <c r="C940" s="20"/>
      <c r="D940" s="20"/>
      <c r="E940" s="20"/>
      <c r="F940" s="20"/>
      <c r="G940" s="20"/>
      <c r="H940" s="23"/>
      <c r="I940" s="20"/>
      <c r="J940" s="20"/>
      <c r="K940" s="27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</row>
    <row r="941" spans="1:68" ht="12.75" customHeight="1">
      <c r="A941" s="20"/>
      <c r="B941" s="20"/>
      <c r="C941" s="20"/>
      <c r="D941" s="20"/>
      <c r="E941" s="20"/>
      <c r="F941" s="20"/>
      <c r="G941" s="20"/>
      <c r="H941" s="23"/>
      <c r="I941" s="20"/>
      <c r="J941" s="20"/>
      <c r="K941" s="27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</row>
    <row r="942" spans="1:68" ht="12.75" customHeight="1">
      <c r="A942" s="20"/>
      <c r="B942" s="20"/>
      <c r="C942" s="20"/>
      <c r="D942" s="20"/>
      <c r="E942" s="20"/>
      <c r="F942" s="20"/>
      <c r="G942" s="20"/>
      <c r="H942" s="23"/>
      <c r="I942" s="20"/>
      <c r="J942" s="20"/>
      <c r="K942" s="27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</row>
    <row r="943" spans="1:68" ht="12.75" customHeight="1">
      <c r="A943" s="20"/>
      <c r="B943" s="20"/>
      <c r="C943" s="20"/>
      <c r="D943" s="20"/>
      <c r="E943" s="20"/>
      <c r="F943" s="20"/>
      <c r="G943" s="20"/>
      <c r="H943" s="23"/>
      <c r="I943" s="20"/>
      <c r="J943" s="20"/>
      <c r="K943" s="27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</row>
    <row r="944" spans="1:68" ht="12.75" customHeight="1">
      <c r="A944" s="20"/>
      <c r="B944" s="20"/>
      <c r="C944" s="20"/>
      <c r="D944" s="20"/>
      <c r="E944" s="20"/>
      <c r="F944" s="20"/>
      <c r="G944" s="20"/>
      <c r="H944" s="23"/>
      <c r="I944" s="20"/>
      <c r="J944" s="20"/>
      <c r="K944" s="27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</row>
    <row r="945" spans="1:68" ht="12.75" customHeight="1">
      <c r="A945" s="20"/>
      <c r="B945" s="20"/>
      <c r="C945" s="20"/>
      <c r="D945" s="20"/>
      <c r="E945" s="20"/>
      <c r="F945" s="20"/>
      <c r="G945" s="20"/>
      <c r="H945" s="23"/>
      <c r="I945" s="20"/>
      <c r="J945" s="20"/>
      <c r="K945" s="27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</row>
    <row r="946" spans="1:68" ht="12.75" customHeight="1">
      <c r="A946" s="20"/>
      <c r="B946" s="20"/>
      <c r="C946" s="20"/>
      <c r="D946" s="20"/>
      <c r="E946" s="20"/>
      <c r="F946" s="20"/>
      <c r="G946" s="20"/>
      <c r="H946" s="23"/>
      <c r="I946" s="20"/>
      <c r="J946" s="20"/>
      <c r="K946" s="27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</row>
    <row r="947" spans="1:68" ht="12.75" customHeight="1">
      <c r="A947" s="20"/>
      <c r="B947" s="20"/>
      <c r="C947" s="20"/>
      <c r="D947" s="20"/>
      <c r="E947" s="20"/>
      <c r="F947" s="20"/>
      <c r="G947" s="20"/>
      <c r="H947" s="23"/>
      <c r="I947" s="20"/>
      <c r="J947" s="20"/>
      <c r="K947" s="27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</row>
    <row r="948" spans="1:68" ht="12.75" customHeight="1">
      <c r="A948" s="20"/>
      <c r="B948" s="20"/>
      <c r="C948" s="20"/>
      <c r="D948" s="20"/>
      <c r="E948" s="20"/>
      <c r="F948" s="20"/>
      <c r="G948" s="20"/>
      <c r="H948" s="23"/>
      <c r="I948" s="20"/>
      <c r="J948" s="20"/>
      <c r="K948" s="27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</row>
    <row r="949" spans="1:68" ht="12.75" customHeight="1">
      <c r="A949" s="20"/>
      <c r="B949" s="20"/>
      <c r="C949" s="20"/>
      <c r="D949" s="20"/>
      <c r="E949" s="20"/>
      <c r="F949" s="20"/>
      <c r="G949" s="20"/>
      <c r="H949" s="23"/>
      <c r="I949" s="20"/>
      <c r="J949" s="20"/>
      <c r="K949" s="27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</row>
    <row r="950" spans="1:68" ht="12.75" customHeight="1">
      <c r="A950" s="20"/>
      <c r="B950" s="20"/>
      <c r="C950" s="20"/>
      <c r="D950" s="20"/>
      <c r="E950" s="20"/>
      <c r="F950" s="20"/>
      <c r="G950" s="20"/>
      <c r="H950" s="23"/>
      <c r="I950" s="20"/>
      <c r="J950" s="20"/>
      <c r="K950" s="27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</row>
    <row r="951" spans="1:68" ht="12.75" customHeight="1">
      <c r="A951" s="20"/>
      <c r="B951" s="20"/>
      <c r="C951" s="20"/>
      <c r="D951" s="20"/>
      <c r="E951" s="20"/>
      <c r="F951" s="20"/>
      <c r="G951" s="20"/>
      <c r="H951" s="23"/>
      <c r="I951" s="20"/>
      <c r="J951" s="20"/>
      <c r="K951" s="27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</row>
    <row r="952" spans="1:68" ht="12.75" customHeight="1">
      <c r="A952" s="20"/>
      <c r="B952" s="20"/>
      <c r="C952" s="20"/>
      <c r="D952" s="20"/>
      <c r="E952" s="20"/>
      <c r="F952" s="20"/>
      <c r="G952" s="20"/>
      <c r="H952" s="23"/>
      <c r="I952" s="20"/>
      <c r="J952" s="20"/>
      <c r="K952" s="27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</row>
    <row r="953" spans="1:68" ht="12.75" customHeight="1">
      <c r="A953" s="20"/>
      <c r="B953" s="20"/>
      <c r="C953" s="20"/>
      <c r="D953" s="20"/>
      <c r="E953" s="20"/>
      <c r="F953" s="20"/>
      <c r="G953" s="20"/>
      <c r="H953" s="23"/>
      <c r="I953" s="20"/>
      <c r="J953" s="20"/>
      <c r="K953" s="27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</row>
    <row r="954" spans="1:68" ht="12.75" customHeight="1">
      <c r="A954" s="20"/>
      <c r="B954" s="20"/>
      <c r="C954" s="20"/>
      <c r="D954" s="20"/>
      <c r="E954" s="20"/>
      <c r="F954" s="20"/>
      <c r="G954" s="20"/>
      <c r="H954" s="23"/>
      <c r="I954" s="20"/>
      <c r="J954" s="20"/>
      <c r="K954" s="27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</row>
    <row r="955" spans="1:68" ht="12.75" customHeight="1">
      <c r="A955" s="20"/>
      <c r="B955" s="20"/>
      <c r="C955" s="20"/>
      <c r="D955" s="20"/>
      <c r="E955" s="20"/>
      <c r="F955" s="20"/>
      <c r="G955" s="20"/>
      <c r="H955" s="23"/>
      <c r="I955" s="20"/>
      <c r="J955" s="20"/>
      <c r="K955" s="27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</row>
    <row r="956" spans="1:68" ht="12.75" customHeight="1">
      <c r="A956" s="20"/>
      <c r="B956" s="20"/>
      <c r="C956" s="20"/>
      <c r="D956" s="20"/>
      <c r="E956" s="20"/>
      <c r="F956" s="20"/>
      <c r="G956" s="20"/>
      <c r="H956" s="23"/>
      <c r="I956" s="20"/>
      <c r="J956" s="20"/>
      <c r="K956" s="27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</row>
    <row r="957" spans="1:68" ht="12.75" customHeight="1">
      <c r="A957" s="20"/>
      <c r="B957" s="20"/>
      <c r="C957" s="20"/>
      <c r="D957" s="20"/>
      <c r="E957" s="20"/>
      <c r="F957" s="20"/>
      <c r="G957" s="20"/>
      <c r="H957" s="23"/>
      <c r="I957" s="20"/>
      <c r="J957" s="20"/>
      <c r="K957" s="27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</row>
    <row r="958" spans="1:68" ht="12.75" customHeight="1">
      <c r="A958" s="20"/>
      <c r="B958" s="20"/>
      <c r="C958" s="20"/>
      <c r="D958" s="20"/>
      <c r="E958" s="20"/>
      <c r="F958" s="20"/>
      <c r="G958" s="20"/>
      <c r="H958" s="23"/>
      <c r="I958" s="20"/>
      <c r="J958" s="20"/>
      <c r="K958" s="27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</row>
    <row r="959" spans="1:68" ht="12.75" customHeight="1">
      <c r="A959" s="20"/>
      <c r="B959" s="20"/>
      <c r="C959" s="20"/>
      <c r="D959" s="20"/>
      <c r="E959" s="20"/>
      <c r="F959" s="20"/>
      <c r="G959" s="20"/>
      <c r="H959" s="23"/>
      <c r="I959" s="20"/>
      <c r="J959" s="20"/>
      <c r="K959" s="27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</row>
    <row r="960" spans="1:68" ht="12.75" customHeight="1">
      <c r="A960" s="20"/>
      <c r="B960" s="20"/>
      <c r="C960" s="20"/>
      <c r="D960" s="20"/>
      <c r="E960" s="20"/>
      <c r="F960" s="20"/>
      <c r="G960" s="20"/>
      <c r="H960" s="23"/>
      <c r="I960" s="20"/>
      <c r="J960" s="20"/>
      <c r="K960" s="27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</row>
    <row r="961" spans="1:68" ht="12.75" customHeight="1">
      <c r="A961" s="20"/>
      <c r="B961" s="20"/>
      <c r="C961" s="20"/>
      <c r="D961" s="20"/>
      <c r="E961" s="20"/>
      <c r="F961" s="20"/>
      <c r="G961" s="20"/>
      <c r="H961" s="23"/>
      <c r="I961" s="20"/>
      <c r="J961" s="20"/>
      <c r="K961" s="27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</row>
    <row r="962" spans="1:68" ht="12.75" customHeight="1">
      <c r="A962" s="20"/>
      <c r="B962" s="20"/>
      <c r="C962" s="20"/>
      <c r="D962" s="20"/>
      <c r="E962" s="20"/>
      <c r="F962" s="20"/>
      <c r="G962" s="20"/>
      <c r="H962" s="23"/>
      <c r="I962" s="20"/>
      <c r="J962" s="20"/>
      <c r="K962" s="27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</row>
    <row r="963" spans="1:68" ht="12.75" customHeight="1">
      <c r="A963" s="20"/>
      <c r="B963" s="20"/>
      <c r="C963" s="20"/>
      <c r="D963" s="20"/>
      <c r="E963" s="20"/>
      <c r="F963" s="20"/>
      <c r="G963" s="20"/>
      <c r="H963" s="23"/>
      <c r="I963" s="20"/>
      <c r="J963" s="20"/>
      <c r="K963" s="27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</row>
    <row r="964" spans="1:68" ht="12.75" customHeight="1">
      <c r="A964" s="20"/>
      <c r="B964" s="20"/>
      <c r="C964" s="20"/>
      <c r="D964" s="20"/>
      <c r="E964" s="20"/>
      <c r="F964" s="20"/>
      <c r="G964" s="20"/>
      <c r="H964" s="23"/>
      <c r="I964" s="20"/>
      <c r="J964" s="20"/>
      <c r="K964" s="27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</row>
    <row r="965" spans="1:68" ht="12.75" customHeight="1">
      <c r="A965" s="20"/>
      <c r="B965" s="20"/>
      <c r="C965" s="20"/>
      <c r="D965" s="20"/>
      <c r="E965" s="20"/>
      <c r="F965" s="20"/>
      <c r="G965" s="20"/>
      <c r="H965" s="23"/>
      <c r="I965" s="20"/>
      <c r="J965" s="20"/>
      <c r="K965" s="27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</row>
    <row r="966" spans="1:68" ht="12.75" customHeight="1">
      <c r="A966" s="20"/>
      <c r="B966" s="20"/>
      <c r="C966" s="20"/>
      <c r="D966" s="20"/>
      <c r="E966" s="20"/>
      <c r="F966" s="20"/>
      <c r="G966" s="20"/>
      <c r="H966" s="23"/>
      <c r="I966" s="20"/>
      <c r="J966" s="20"/>
      <c r="K966" s="27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</row>
    <row r="967" spans="1:68" ht="12.75" customHeight="1">
      <c r="A967" s="20"/>
      <c r="B967" s="20"/>
      <c r="C967" s="20"/>
      <c r="D967" s="20"/>
      <c r="E967" s="20"/>
      <c r="F967" s="20"/>
      <c r="G967" s="20"/>
      <c r="H967" s="23"/>
      <c r="I967" s="20"/>
      <c r="J967" s="20"/>
      <c r="K967" s="27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</row>
    <row r="968" spans="1:68" ht="12.75" customHeight="1">
      <c r="A968" s="20"/>
      <c r="B968" s="20"/>
      <c r="C968" s="20"/>
      <c r="D968" s="20"/>
      <c r="E968" s="20"/>
      <c r="F968" s="20"/>
      <c r="G968" s="20"/>
      <c r="H968" s="23"/>
      <c r="I968" s="20"/>
      <c r="J968" s="20"/>
      <c r="K968" s="27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</row>
    <row r="969" spans="1:68" ht="12.75" customHeight="1">
      <c r="A969" s="20"/>
      <c r="B969" s="20"/>
      <c r="C969" s="20"/>
      <c r="D969" s="20"/>
      <c r="E969" s="20"/>
      <c r="F969" s="20"/>
      <c r="G969" s="20"/>
      <c r="H969" s="23"/>
      <c r="I969" s="20"/>
      <c r="J969" s="20"/>
      <c r="K969" s="27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</row>
    <row r="970" spans="1:68" ht="12.75" customHeight="1">
      <c r="A970" s="20"/>
      <c r="B970" s="20"/>
      <c r="C970" s="20"/>
      <c r="D970" s="20"/>
      <c r="E970" s="20"/>
      <c r="F970" s="20"/>
      <c r="G970" s="20"/>
      <c r="H970" s="23"/>
      <c r="I970" s="20"/>
      <c r="J970" s="20"/>
      <c r="K970" s="27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</row>
    <row r="971" spans="1:68" ht="12.75" customHeight="1">
      <c r="A971" s="20"/>
      <c r="B971" s="20"/>
      <c r="C971" s="20"/>
      <c r="D971" s="20"/>
      <c r="E971" s="20"/>
      <c r="F971" s="20"/>
      <c r="G971" s="20"/>
      <c r="H971" s="23"/>
      <c r="I971" s="20"/>
      <c r="J971" s="20"/>
      <c r="K971" s="27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</row>
    <row r="972" spans="1:68" ht="12.75" customHeight="1">
      <c r="A972" s="20"/>
      <c r="B972" s="20"/>
      <c r="C972" s="20"/>
      <c r="D972" s="20"/>
      <c r="E972" s="20"/>
      <c r="F972" s="20"/>
      <c r="G972" s="20"/>
      <c r="H972" s="23"/>
      <c r="I972" s="20"/>
      <c r="J972" s="20"/>
      <c r="K972" s="27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</row>
    <row r="973" spans="1:68" ht="12.75" customHeight="1">
      <c r="A973" s="20"/>
      <c r="B973" s="20"/>
      <c r="C973" s="20"/>
      <c r="D973" s="20"/>
      <c r="E973" s="20"/>
      <c r="F973" s="20"/>
      <c r="G973" s="20"/>
      <c r="H973" s="23"/>
      <c r="I973" s="20"/>
      <c r="J973" s="20"/>
      <c r="K973" s="27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</row>
    <row r="974" spans="1:68" ht="12.75" customHeight="1">
      <c r="A974" s="20"/>
      <c r="B974" s="20"/>
      <c r="C974" s="20"/>
      <c r="D974" s="20"/>
      <c r="E974" s="20"/>
      <c r="F974" s="20"/>
      <c r="G974" s="20"/>
      <c r="H974" s="23"/>
      <c r="I974" s="20"/>
      <c r="J974" s="20"/>
      <c r="K974" s="27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</row>
    <row r="975" spans="1:68" ht="12.75" customHeight="1">
      <c r="A975" s="20"/>
      <c r="B975" s="20"/>
      <c r="C975" s="20"/>
      <c r="D975" s="20"/>
      <c r="E975" s="20"/>
      <c r="F975" s="20"/>
      <c r="G975" s="20"/>
      <c r="H975" s="23"/>
      <c r="I975" s="20"/>
      <c r="J975" s="20"/>
      <c r="K975" s="27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</row>
    <row r="976" spans="1:68" ht="12.75" customHeight="1">
      <c r="A976" s="20"/>
      <c r="B976" s="20"/>
      <c r="C976" s="20"/>
      <c r="D976" s="20"/>
      <c r="E976" s="20"/>
      <c r="F976" s="20"/>
      <c r="G976" s="20"/>
      <c r="H976" s="23"/>
      <c r="I976" s="20"/>
      <c r="J976" s="20"/>
      <c r="K976" s="27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</row>
    <row r="977" spans="1:68" ht="12.75" customHeight="1">
      <c r="A977" s="20"/>
      <c r="B977" s="20"/>
      <c r="C977" s="20"/>
      <c r="D977" s="20"/>
      <c r="E977" s="20"/>
      <c r="F977" s="20"/>
      <c r="G977" s="20"/>
      <c r="H977" s="23"/>
      <c r="I977" s="20"/>
      <c r="J977" s="20"/>
      <c r="K977" s="27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</row>
    <row r="978" spans="1:68" ht="12.75" customHeight="1">
      <c r="A978" s="20"/>
      <c r="B978" s="20"/>
      <c r="C978" s="20"/>
      <c r="D978" s="20"/>
      <c r="E978" s="20"/>
      <c r="F978" s="20"/>
      <c r="G978" s="20"/>
      <c r="H978" s="23"/>
      <c r="I978" s="20"/>
      <c r="J978" s="20"/>
      <c r="K978" s="27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</row>
    <row r="979" spans="1:68" ht="12.75" customHeight="1">
      <c r="A979" s="20"/>
      <c r="B979" s="20"/>
      <c r="C979" s="20"/>
      <c r="D979" s="20"/>
      <c r="E979" s="20"/>
      <c r="F979" s="20"/>
      <c r="G979" s="20"/>
      <c r="H979" s="23"/>
      <c r="I979" s="20"/>
      <c r="J979" s="20"/>
      <c r="K979" s="27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</row>
    <row r="980" spans="1:68" ht="12.75" customHeight="1">
      <c r="A980" s="20"/>
      <c r="B980" s="20"/>
      <c r="C980" s="20"/>
      <c r="D980" s="20"/>
      <c r="E980" s="20"/>
      <c r="F980" s="20"/>
      <c r="G980" s="20"/>
      <c r="H980" s="23"/>
      <c r="I980" s="20"/>
      <c r="J980" s="20"/>
      <c r="K980" s="27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</row>
    <row r="981" spans="1:68" ht="12.75" customHeight="1">
      <c r="A981" s="20"/>
      <c r="B981" s="20"/>
      <c r="C981" s="20"/>
      <c r="D981" s="20"/>
      <c r="E981" s="20"/>
      <c r="F981" s="20"/>
      <c r="G981" s="20"/>
      <c r="H981" s="23"/>
      <c r="I981" s="20"/>
      <c r="J981" s="20"/>
      <c r="K981" s="27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</row>
    <row r="982" spans="1:68" ht="12.75" customHeight="1">
      <c r="A982" s="20"/>
      <c r="B982" s="20"/>
      <c r="C982" s="20"/>
      <c r="D982" s="20"/>
      <c r="E982" s="20"/>
      <c r="F982" s="20"/>
      <c r="G982" s="20"/>
      <c r="H982" s="23"/>
      <c r="I982" s="20"/>
      <c r="J982" s="20"/>
      <c r="K982" s="27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</row>
    <row r="983" spans="1:68" ht="12.75" customHeight="1">
      <c r="A983" s="20"/>
      <c r="B983" s="20"/>
      <c r="C983" s="20"/>
      <c r="D983" s="20"/>
      <c r="E983" s="20"/>
      <c r="F983" s="20"/>
      <c r="G983" s="20"/>
      <c r="H983" s="23"/>
      <c r="I983" s="20"/>
      <c r="J983" s="20"/>
      <c r="K983" s="27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</row>
    <row r="984" spans="1:68" ht="12.75" customHeight="1">
      <c r="A984" s="20"/>
      <c r="B984" s="20"/>
      <c r="C984" s="20"/>
      <c r="D984" s="20"/>
      <c r="E984" s="20"/>
      <c r="F984" s="20"/>
      <c r="G984" s="20"/>
      <c r="H984" s="23"/>
      <c r="I984" s="20"/>
      <c r="J984" s="20"/>
      <c r="K984" s="27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</row>
    <row r="985" spans="1:68" ht="12.75" customHeight="1">
      <c r="A985" s="20"/>
      <c r="B985" s="20"/>
      <c r="C985" s="20"/>
      <c r="D985" s="20"/>
      <c r="E985" s="20"/>
      <c r="F985" s="20"/>
      <c r="G985" s="20"/>
      <c r="H985" s="23"/>
      <c r="I985" s="20"/>
      <c r="J985" s="20"/>
      <c r="K985" s="27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</row>
    <row r="986" spans="1:68" ht="12.75" customHeight="1">
      <c r="A986" s="20"/>
      <c r="B986" s="20"/>
      <c r="C986" s="20"/>
      <c r="D986" s="20"/>
      <c r="E986" s="20"/>
      <c r="F986" s="20"/>
      <c r="G986" s="20"/>
      <c r="H986" s="23"/>
      <c r="I986" s="20"/>
      <c r="J986" s="20"/>
      <c r="K986" s="27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</row>
    <row r="987" spans="1:68" ht="12.75" customHeight="1">
      <c r="A987" s="20"/>
      <c r="B987" s="20"/>
      <c r="C987" s="20"/>
      <c r="D987" s="20"/>
      <c r="E987" s="20"/>
      <c r="F987" s="20"/>
      <c r="G987" s="20"/>
      <c r="H987" s="23"/>
      <c r="I987" s="20"/>
      <c r="J987" s="20"/>
      <c r="K987" s="27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</row>
    <row r="988" spans="1:68" ht="12.75" customHeight="1">
      <c r="A988" s="20"/>
      <c r="B988" s="20"/>
      <c r="C988" s="20"/>
      <c r="D988" s="20"/>
      <c r="E988" s="20"/>
      <c r="F988" s="20"/>
      <c r="G988" s="20"/>
      <c r="H988" s="23"/>
      <c r="I988" s="20"/>
      <c r="J988" s="20"/>
      <c r="K988" s="27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</row>
    <row r="989" spans="1:68" ht="12.75" customHeight="1">
      <c r="A989" s="20"/>
      <c r="B989" s="20"/>
      <c r="C989" s="20"/>
      <c r="D989" s="20"/>
      <c r="E989" s="20"/>
      <c r="F989" s="20"/>
      <c r="G989" s="20"/>
      <c r="H989" s="23"/>
      <c r="I989" s="20"/>
      <c r="J989" s="20"/>
      <c r="K989" s="27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</row>
    <row r="990" spans="1:68" ht="12.75" customHeight="1">
      <c r="A990" s="20"/>
      <c r="B990" s="20"/>
      <c r="C990" s="20"/>
      <c r="D990" s="20"/>
      <c r="E990" s="20"/>
      <c r="F990" s="20"/>
      <c r="G990" s="20"/>
      <c r="H990" s="23"/>
      <c r="I990" s="20"/>
      <c r="J990" s="20"/>
      <c r="K990" s="27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</row>
    <row r="991" spans="1:68" ht="12.75" customHeight="1">
      <c r="A991" s="20"/>
      <c r="B991" s="20"/>
      <c r="C991" s="20"/>
      <c r="D991" s="20"/>
      <c r="E991" s="20"/>
      <c r="F991" s="20"/>
      <c r="G991" s="20"/>
      <c r="H991" s="23"/>
      <c r="I991" s="20"/>
      <c r="J991" s="20"/>
      <c r="K991" s="27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</row>
    <row r="992" spans="1:68" ht="12.75" customHeight="1">
      <c r="A992" s="20"/>
      <c r="B992" s="20"/>
      <c r="C992" s="20"/>
      <c r="D992" s="20"/>
      <c r="E992" s="20"/>
      <c r="F992" s="20"/>
      <c r="G992" s="20"/>
      <c r="H992" s="23"/>
      <c r="I992" s="20"/>
      <c r="J992" s="20"/>
      <c r="K992" s="27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</row>
    <row r="993" spans="1:68" ht="12.75" customHeight="1">
      <c r="A993" s="20"/>
      <c r="B993" s="20"/>
      <c r="C993" s="20"/>
      <c r="D993" s="20"/>
      <c r="E993" s="20"/>
      <c r="F993" s="20"/>
      <c r="G993" s="20"/>
      <c r="H993" s="23"/>
      <c r="I993" s="20"/>
      <c r="J993" s="20"/>
      <c r="K993" s="27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</row>
    <row r="994" spans="1:68" ht="12.75" customHeight="1">
      <c r="A994" s="20"/>
      <c r="B994" s="20"/>
      <c r="C994" s="20"/>
      <c r="D994" s="20"/>
      <c r="E994" s="20"/>
      <c r="F994" s="20"/>
      <c r="G994" s="20"/>
      <c r="H994" s="23"/>
      <c r="I994" s="20"/>
      <c r="J994" s="20"/>
      <c r="K994" s="27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</row>
    <row r="995" spans="1:68" ht="12.75" customHeight="1">
      <c r="A995" s="20"/>
      <c r="B995" s="20"/>
      <c r="C995" s="20"/>
      <c r="D995" s="20"/>
      <c r="E995" s="20"/>
      <c r="F995" s="20"/>
      <c r="G995" s="20"/>
      <c r="H995" s="23"/>
      <c r="I995" s="20"/>
      <c r="J995" s="20"/>
      <c r="K995" s="27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</row>
    <row r="996" spans="1:68" ht="12.75" customHeight="1">
      <c r="A996" s="20"/>
      <c r="B996" s="20"/>
      <c r="C996" s="20"/>
      <c r="D996" s="20"/>
      <c r="E996" s="20"/>
      <c r="F996" s="20"/>
      <c r="G996" s="20"/>
      <c r="H996" s="23"/>
      <c r="I996" s="20"/>
      <c r="J996" s="20"/>
      <c r="K996" s="27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</row>
    <row r="997" spans="1:68" ht="12.75" customHeight="1">
      <c r="A997" s="20"/>
      <c r="B997" s="20"/>
      <c r="C997" s="20"/>
      <c r="D997" s="20"/>
      <c r="E997" s="20"/>
      <c r="F997" s="20"/>
      <c r="G997" s="20"/>
      <c r="H997" s="23"/>
      <c r="I997" s="20"/>
      <c r="J997" s="20"/>
      <c r="K997" s="27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</row>
    <row r="998" spans="1:68" ht="12.75" customHeight="1">
      <c r="A998" s="20"/>
      <c r="B998" s="20"/>
      <c r="C998" s="20"/>
      <c r="D998" s="20"/>
      <c r="E998" s="20"/>
      <c r="F998" s="20"/>
      <c r="G998" s="20"/>
      <c r="H998" s="23"/>
      <c r="I998" s="20"/>
      <c r="J998" s="20"/>
      <c r="K998" s="27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</row>
    <row r="999" spans="1:68" ht="12.75" customHeight="1">
      <c r="A999" s="20"/>
      <c r="B999" s="20"/>
      <c r="C999" s="20"/>
      <c r="D999" s="20"/>
      <c r="E999" s="20"/>
      <c r="F999" s="20"/>
      <c r="G999" s="20"/>
      <c r="H999" s="23"/>
      <c r="I999" s="20"/>
      <c r="J999" s="20"/>
      <c r="K999" s="27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</row>
    <row r="1000" spans="1:68" ht="12.75" customHeight="1">
      <c r="A1000" s="20"/>
      <c r="B1000" s="20"/>
      <c r="C1000" s="20"/>
      <c r="D1000" s="20"/>
      <c r="E1000" s="20"/>
      <c r="F1000" s="20"/>
      <c r="G1000" s="20"/>
      <c r="H1000" s="23"/>
      <c r="I1000" s="20"/>
      <c r="J1000" s="20"/>
      <c r="K1000" s="27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</row>
    <row r="1001" spans="1:68" ht="12.75" customHeight="1">
      <c r="A1001" s="20"/>
      <c r="B1001" s="20"/>
      <c r="C1001" s="20"/>
      <c r="D1001" s="20"/>
      <c r="E1001" s="20"/>
      <c r="F1001" s="20"/>
      <c r="G1001" s="20"/>
      <c r="H1001" s="23"/>
      <c r="I1001" s="20"/>
      <c r="J1001" s="20"/>
      <c r="K1001" s="27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</row>
    <row r="1002" spans="1:68" ht="12.75" customHeight="1">
      <c r="A1002" s="20"/>
      <c r="B1002" s="20"/>
      <c r="C1002" s="20"/>
      <c r="D1002" s="20"/>
      <c r="E1002" s="20"/>
      <c r="F1002" s="20"/>
      <c r="G1002" s="20"/>
      <c r="H1002" s="23"/>
      <c r="I1002" s="20"/>
      <c r="J1002" s="20"/>
      <c r="K1002" s="27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</row>
    <row r="1003" spans="1:68" ht="12.75" customHeight="1">
      <c r="A1003" s="20"/>
      <c r="B1003" s="20"/>
      <c r="C1003" s="20"/>
      <c r="D1003" s="20"/>
      <c r="E1003" s="20"/>
      <c r="F1003" s="20"/>
      <c r="G1003" s="20"/>
      <c r="H1003" s="23"/>
      <c r="I1003" s="20"/>
      <c r="J1003" s="20"/>
      <c r="K1003" s="27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</row>
    <row r="1004" spans="1:68" ht="12.75" customHeight="1">
      <c r="A1004" s="20"/>
      <c r="B1004" s="20"/>
      <c r="C1004" s="20"/>
      <c r="D1004" s="20"/>
      <c r="E1004" s="20"/>
      <c r="F1004" s="20"/>
      <c r="G1004" s="20"/>
      <c r="H1004" s="23"/>
      <c r="I1004" s="20"/>
      <c r="J1004" s="20"/>
      <c r="K1004" s="27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</row>
    <row r="1005" spans="1:68" ht="12.75" customHeight="1">
      <c r="A1005" s="20"/>
      <c r="B1005" s="20"/>
      <c r="C1005" s="20"/>
      <c r="D1005" s="20"/>
      <c r="E1005" s="20"/>
      <c r="F1005" s="20"/>
      <c r="G1005" s="20"/>
      <c r="H1005" s="23"/>
      <c r="I1005" s="20"/>
      <c r="J1005" s="20"/>
      <c r="K1005" s="27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</row>
    <row r="1006" spans="1:68" ht="12.75" customHeight="1">
      <c r="A1006" s="20"/>
      <c r="B1006" s="20"/>
      <c r="C1006" s="20"/>
      <c r="D1006" s="20"/>
      <c r="E1006" s="20"/>
      <c r="F1006" s="20"/>
      <c r="G1006" s="20"/>
      <c r="H1006" s="23"/>
      <c r="I1006" s="20"/>
      <c r="J1006" s="20"/>
      <c r="K1006" s="27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</row>
    <row r="1007" spans="1:68" ht="12.75" customHeight="1">
      <c r="A1007" s="20"/>
      <c r="B1007" s="20"/>
      <c r="C1007" s="20"/>
      <c r="D1007" s="20"/>
      <c r="E1007" s="20"/>
      <c r="F1007" s="20"/>
      <c r="G1007" s="20"/>
      <c r="H1007" s="23"/>
      <c r="I1007" s="20"/>
      <c r="J1007" s="20"/>
      <c r="K1007" s="27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</row>
    <row r="1008" spans="1:68" ht="12.75" customHeight="1">
      <c r="A1008" s="20"/>
      <c r="B1008" s="20"/>
      <c r="C1008" s="20"/>
      <c r="D1008" s="20"/>
      <c r="E1008" s="20"/>
      <c r="F1008" s="20"/>
      <c r="G1008" s="20"/>
      <c r="H1008" s="23"/>
      <c r="I1008" s="20"/>
      <c r="J1008" s="20"/>
      <c r="K1008" s="27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</row>
    <row r="1009" spans="1:68" ht="12.75" customHeight="1">
      <c r="A1009" s="20"/>
      <c r="B1009" s="20"/>
      <c r="C1009" s="20"/>
      <c r="D1009" s="20"/>
      <c r="E1009" s="20"/>
      <c r="F1009" s="20"/>
      <c r="G1009" s="20"/>
      <c r="H1009" s="23"/>
      <c r="I1009" s="20"/>
      <c r="J1009" s="20"/>
      <c r="K1009" s="27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</row>
    <row r="1010" spans="1:68" ht="12.75" customHeight="1">
      <c r="A1010" s="20"/>
      <c r="B1010" s="20"/>
      <c r="C1010" s="20"/>
      <c r="D1010" s="20"/>
      <c r="E1010" s="20"/>
      <c r="F1010" s="20"/>
      <c r="G1010" s="20"/>
      <c r="H1010" s="23"/>
      <c r="I1010" s="20"/>
      <c r="J1010" s="20"/>
      <c r="K1010" s="27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</row>
    <row r="1011" spans="1:68" ht="12.75" customHeight="1">
      <c r="A1011" s="20"/>
      <c r="B1011" s="20"/>
      <c r="C1011" s="20"/>
      <c r="D1011" s="20"/>
      <c r="E1011" s="20"/>
      <c r="F1011" s="20"/>
      <c r="G1011" s="20"/>
      <c r="H1011" s="23"/>
      <c r="I1011" s="20"/>
      <c r="J1011" s="20"/>
      <c r="K1011" s="27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</row>
    <row r="1012" spans="1:68" ht="12.75" customHeight="1">
      <c r="A1012" s="20"/>
      <c r="B1012" s="20"/>
      <c r="C1012" s="20"/>
      <c r="D1012" s="20"/>
      <c r="E1012" s="20"/>
      <c r="F1012" s="20"/>
      <c r="G1012" s="20"/>
      <c r="H1012" s="23"/>
      <c r="I1012" s="20"/>
      <c r="J1012" s="20"/>
      <c r="K1012" s="27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</row>
    <row r="1013" spans="1:68" ht="12.75" customHeight="1">
      <c r="A1013" s="20"/>
      <c r="B1013" s="20"/>
      <c r="C1013" s="20"/>
      <c r="D1013" s="20"/>
      <c r="E1013" s="20"/>
      <c r="F1013" s="20"/>
      <c r="G1013" s="20"/>
      <c r="H1013" s="23"/>
      <c r="I1013" s="20"/>
      <c r="J1013" s="20"/>
      <c r="K1013" s="27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</row>
    <row r="1014" spans="1:68" ht="12.75" customHeight="1">
      <c r="A1014" s="20"/>
      <c r="B1014" s="20"/>
      <c r="C1014" s="20"/>
      <c r="D1014" s="20"/>
      <c r="E1014" s="20"/>
      <c r="F1014" s="20"/>
      <c r="G1014" s="20"/>
      <c r="H1014" s="23"/>
      <c r="I1014" s="20"/>
      <c r="J1014" s="20"/>
      <c r="K1014" s="27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</row>
    <row r="1015" spans="1:68" ht="12.75" customHeight="1">
      <c r="A1015" s="20"/>
      <c r="B1015" s="20"/>
      <c r="C1015" s="20"/>
      <c r="D1015" s="20"/>
      <c r="E1015" s="20"/>
      <c r="F1015" s="20"/>
      <c r="G1015" s="20"/>
      <c r="H1015" s="23"/>
      <c r="I1015" s="20"/>
      <c r="J1015" s="20"/>
      <c r="K1015" s="27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</row>
    <row r="1016" spans="1:68" ht="12.75" customHeight="1">
      <c r="A1016" s="20"/>
      <c r="B1016" s="20"/>
      <c r="C1016" s="20"/>
      <c r="D1016" s="20"/>
      <c r="E1016" s="20"/>
      <c r="F1016" s="20"/>
      <c r="G1016" s="20"/>
      <c r="H1016" s="23"/>
      <c r="I1016" s="20"/>
      <c r="J1016" s="20"/>
      <c r="K1016" s="27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</row>
    <row r="1017" spans="1:68" ht="12.75" customHeight="1">
      <c r="A1017" s="20"/>
      <c r="B1017" s="20"/>
      <c r="C1017" s="20"/>
      <c r="D1017" s="20"/>
      <c r="E1017" s="20"/>
      <c r="F1017" s="20"/>
      <c r="G1017" s="20"/>
      <c r="H1017" s="23"/>
      <c r="I1017" s="20"/>
      <c r="J1017" s="20"/>
      <c r="K1017" s="27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</row>
    <row r="1018" spans="1:68" ht="12.75" customHeight="1">
      <c r="A1018" s="20"/>
      <c r="B1018" s="20"/>
      <c r="C1018" s="20"/>
      <c r="D1018" s="20"/>
      <c r="E1018" s="20"/>
      <c r="F1018" s="20"/>
      <c r="G1018" s="20"/>
      <c r="H1018" s="23"/>
      <c r="I1018" s="20"/>
      <c r="J1018" s="20"/>
      <c r="K1018" s="27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</row>
    <row r="1019" spans="1:68" ht="12.75" customHeight="1">
      <c r="A1019" s="20"/>
      <c r="B1019" s="20"/>
      <c r="C1019" s="20"/>
      <c r="D1019" s="20"/>
      <c r="E1019" s="20"/>
      <c r="F1019" s="20"/>
      <c r="G1019" s="20"/>
      <c r="H1019" s="23"/>
      <c r="I1019" s="20"/>
      <c r="J1019" s="20"/>
      <c r="K1019" s="27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</row>
    <row r="1020" spans="1:68" ht="12.75" customHeight="1">
      <c r="A1020" s="20"/>
      <c r="B1020" s="20"/>
      <c r="C1020" s="20"/>
      <c r="D1020" s="20"/>
      <c r="E1020" s="20"/>
      <c r="F1020" s="20"/>
      <c r="G1020" s="20"/>
      <c r="H1020" s="23"/>
      <c r="I1020" s="20"/>
      <c r="J1020" s="20"/>
      <c r="K1020" s="27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</row>
    <row r="1021" spans="1:68" ht="12.75" customHeight="1">
      <c r="A1021" s="20"/>
      <c r="B1021" s="20"/>
      <c r="C1021" s="20"/>
      <c r="D1021" s="20"/>
      <c r="E1021" s="20"/>
      <c r="F1021" s="20"/>
      <c r="G1021" s="20"/>
      <c r="H1021" s="23"/>
      <c r="I1021" s="20"/>
      <c r="J1021" s="20"/>
      <c r="K1021" s="27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</row>
    <row r="1022" spans="1:68" ht="12.75" customHeight="1">
      <c r="A1022" s="20"/>
      <c r="B1022" s="20"/>
      <c r="C1022" s="20"/>
      <c r="D1022" s="20"/>
      <c r="E1022" s="20"/>
      <c r="F1022" s="20"/>
      <c r="G1022" s="20"/>
      <c r="H1022" s="23"/>
      <c r="I1022" s="20"/>
      <c r="J1022" s="20"/>
      <c r="K1022" s="27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</row>
    <row r="1023" spans="1:68" ht="12.75" customHeight="1">
      <c r="A1023" s="20"/>
      <c r="B1023" s="20"/>
      <c r="C1023" s="20"/>
      <c r="D1023" s="20"/>
      <c r="E1023" s="20"/>
      <c r="F1023" s="20"/>
      <c r="G1023" s="20"/>
      <c r="H1023" s="23"/>
      <c r="I1023" s="20"/>
      <c r="J1023" s="20"/>
      <c r="K1023" s="27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</row>
    <row r="1024" spans="1:68" ht="12.75" customHeight="1">
      <c r="A1024" s="20"/>
      <c r="B1024" s="20"/>
      <c r="C1024" s="20"/>
      <c r="D1024" s="20"/>
      <c r="E1024" s="20"/>
      <c r="F1024" s="20"/>
      <c r="G1024" s="20"/>
      <c r="H1024" s="23"/>
      <c r="I1024" s="20"/>
      <c r="J1024" s="20"/>
      <c r="K1024" s="27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</row>
    <row r="1025" spans="1:68" ht="12.75" customHeight="1">
      <c r="A1025" s="20"/>
      <c r="B1025" s="20"/>
      <c r="C1025" s="20"/>
      <c r="D1025" s="20"/>
      <c r="E1025" s="20"/>
      <c r="F1025" s="20"/>
      <c r="G1025" s="20"/>
      <c r="H1025" s="23"/>
      <c r="I1025" s="20"/>
      <c r="J1025" s="20"/>
      <c r="K1025" s="27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</row>
    <row r="1026" spans="1:68" ht="12.75" customHeight="1">
      <c r="A1026" s="20"/>
      <c r="B1026" s="20"/>
      <c r="C1026" s="20"/>
      <c r="D1026" s="20"/>
      <c r="E1026" s="20"/>
      <c r="F1026" s="20"/>
      <c r="G1026" s="20"/>
      <c r="H1026" s="23"/>
      <c r="I1026" s="20"/>
      <c r="J1026" s="20"/>
      <c r="K1026" s="27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</row>
    <row r="1027" spans="1:68" ht="12.75" customHeight="1">
      <c r="A1027" s="20"/>
      <c r="B1027" s="20"/>
      <c r="C1027" s="20"/>
      <c r="D1027" s="20"/>
      <c r="E1027" s="20"/>
      <c r="F1027" s="20"/>
      <c r="G1027" s="20"/>
      <c r="H1027" s="23"/>
      <c r="I1027" s="20"/>
      <c r="J1027" s="20"/>
      <c r="K1027" s="27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</row>
    <row r="1028" spans="1:68" ht="12.75" customHeight="1">
      <c r="A1028" s="20"/>
      <c r="B1028" s="20"/>
      <c r="C1028" s="20"/>
      <c r="D1028" s="20"/>
      <c r="E1028" s="20"/>
      <c r="F1028" s="20"/>
      <c r="G1028" s="20"/>
      <c r="H1028" s="23"/>
      <c r="I1028" s="20"/>
      <c r="J1028" s="20"/>
      <c r="K1028" s="27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</row>
    <row r="1029" spans="1:68" ht="12.75" customHeight="1">
      <c r="A1029" s="20"/>
      <c r="B1029" s="20"/>
      <c r="C1029" s="20"/>
      <c r="D1029" s="20"/>
      <c r="E1029" s="20"/>
      <c r="F1029" s="20"/>
      <c r="G1029" s="20"/>
      <c r="H1029" s="23"/>
      <c r="I1029" s="20"/>
      <c r="J1029" s="20"/>
      <c r="K1029" s="27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</row>
    <row r="1030" spans="1:68" ht="12.75" customHeight="1">
      <c r="A1030" s="20"/>
      <c r="B1030" s="20"/>
      <c r="C1030" s="20"/>
      <c r="D1030" s="20"/>
      <c r="E1030" s="20"/>
      <c r="F1030" s="20"/>
      <c r="G1030" s="20"/>
      <c r="H1030" s="23"/>
      <c r="I1030" s="20"/>
      <c r="J1030" s="20"/>
      <c r="K1030" s="27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</row>
    <row r="1031" spans="1:68" ht="12.75" customHeight="1">
      <c r="A1031" s="20"/>
      <c r="B1031" s="20"/>
      <c r="C1031" s="20"/>
      <c r="D1031" s="20"/>
      <c r="E1031" s="20"/>
      <c r="F1031" s="20"/>
      <c r="G1031" s="20"/>
      <c r="H1031" s="23"/>
      <c r="I1031" s="20"/>
      <c r="J1031" s="20"/>
      <c r="K1031" s="27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</row>
    <row r="1032" spans="1:68" ht="12.75" customHeight="1">
      <c r="A1032" s="20"/>
      <c r="B1032" s="20"/>
      <c r="C1032" s="20"/>
      <c r="D1032" s="20"/>
      <c r="E1032" s="20"/>
      <c r="F1032" s="20"/>
      <c r="G1032" s="20"/>
      <c r="H1032" s="23"/>
      <c r="I1032" s="20"/>
      <c r="J1032" s="20"/>
      <c r="K1032" s="27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</row>
    <row r="1033" spans="1:68" ht="12.75" customHeight="1">
      <c r="A1033" s="20"/>
      <c r="B1033" s="20"/>
      <c r="C1033" s="20"/>
      <c r="D1033" s="20"/>
      <c r="E1033" s="20"/>
      <c r="F1033" s="20"/>
      <c r="G1033" s="20"/>
      <c r="H1033" s="23"/>
      <c r="I1033" s="20"/>
      <c r="J1033" s="20"/>
      <c r="K1033" s="27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</row>
    <row r="1034" spans="1:68" ht="12.75" customHeight="1">
      <c r="A1034" s="20"/>
      <c r="B1034" s="20"/>
      <c r="C1034" s="20"/>
      <c r="D1034" s="20"/>
      <c r="E1034" s="20"/>
      <c r="F1034" s="20"/>
      <c r="G1034" s="20"/>
      <c r="H1034" s="23"/>
      <c r="I1034" s="20"/>
      <c r="J1034" s="20"/>
      <c r="K1034" s="27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</row>
    <row r="1035" spans="1:68" ht="12.75" customHeight="1">
      <c r="A1035" s="20"/>
      <c r="B1035" s="20"/>
      <c r="C1035" s="20"/>
      <c r="D1035" s="20"/>
      <c r="E1035" s="20"/>
      <c r="F1035" s="20"/>
      <c r="G1035" s="20"/>
      <c r="H1035" s="23"/>
      <c r="I1035" s="20"/>
      <c r="J1035" s="20"/>
      <c r="K1035" s="27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</row>
    <row r="1036" spans="1:68" ht="12.75" customHeight="1">
      <c r="A1036" s="20"/>
      <c r="B1036" s="20"/>
      <c r="C1036" s="20"/>
      <c r="D1036" s="20"/>
      <c r="E1036" s="20"/>
      <c r="F1036" s="20"/>
      <c r="G1036" s="20"/>
      <c r="H1036" s="23"/>
      <c r="I1036" s="20"/>
      <c r="J1036" s="20"/>
      <c r="K1036" s="27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</row>
    <row r="1037" spans="1:68" ht="12.75" customHeight="1">
      <c r="A1037" s="20"/>
      <c r="B1037" s="20"/>
      <c r="C1037" s="20"/>
      <c r="D1037" s="20"/>
      <c r="E1037" s="20"/>
      <c r="F1037" s="20"/>
      <c r="G1037" s="20"/>
      <c r="H1037" s="23"/>
      <c r="I1037" s="20"/>
      <c r="J1037" s="20"/>
      <c r="K1037" s="27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</row>
    <row r="1038" spans="1:68" ht="12.75" customHeight="1">
      <c r="A1038" s="20"/>
      <c r="B1038" s="20"/>
      <c r="C1038" s="20"/>
      <c r="D1038" s="20"/>
      <c r="E1038" s="20"/>
      <c r="F1038" s="20"/>
      <c r="G1038" s="20"/>
      <c r="H1038" s="23"/>
      <c r="I1038" s="20"/>
      <c r="J1038" s="20"/>
      <c r="K1038" s="27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</row>
    <row r="1039" spans="1:68" ht="12.75" customHeight="1">
      <c r="A1039" s="20"/>
      <c r="B1039" s="20"/>
      <c r="C1039" s="20"/>
      <c r="D1039" s="20"/>
      <c r="E1039" s="20"/>
      <c r="F1039" s="20"/>
      <c r="G1039" s="20"/>
      <c r="H1039" s="23"/>
      <c r="I1039" s="20"/>
      <c r="J1039" s="20"/>
      <c r="K1039" s="27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</row>
    <row r="1040" spans="1:68" ht="12.75" customHeight="1">
      <c r="A1040" s="20"/>
      <c r="B1040" s="20"/>
      <c r="C1040" s="20"/>
      <c r="D1040" s="20"/>
      <c r="E1040" s="20"/>
      <c r="F1040" s="20"/>
      <c r="G1040" s="20"/>
      <c r="H1040" s="23"/>
      <c r="I1040" s="20"/>
      <c r="J1040" s="20"/>
      <c r="K1040" s="27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</row>
    <row r="1041" spans="1:68" ht="12.75" customHeight="1">
      <c r="A1041" s="20"/>
      <c r="B1041" s="20"/>
      <c r="C1041" s="20"/>
      <c r="D1041" s="20"/>
      <c r="E1041" s="20"/>
      <c r="F1041" s="20"/>
      <c r="G1041" s="20"/>
      <c r="H1041" s="23"/>
      <c r="I1041" s="20"/>
      <c r="J1041" s="20"/>
      <c r="K1041" s="27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</row>
    <row r="1042" spans="1:68" ht="12.75" customHeight="1">
      <c r="A1042" s="20"/>
      <c r="B1042" s="20"/>
      <c r="C1042" s="20"/>
      <c r="D1042" s="20"/>
      <c r="E1042" s="20"/>
      <c r="F1042" s="20"/>
      <c r="G1042" s="20"/>
      <c r="H1042" s="23"/>
      <c r="I1042" s="20"/>
      <c r="J1042" s="20"/>
      <c r="K1042" s="27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</row>
    <row r="1043" spans="1:68" ht="12.75" customHeight="1">
      <c r="A1043" s="20"/>
      <c r="B1043" s="20"/>
      <c r="C1043" s="20"/>
      <c r="D1043" s="20"/>
      <c r="E1043" s="20"/>
      <c r="F1043" s="20"/>
      <c r="G1043" s="20"/>
      <c r="H1043" s="23"/>
      <c r="I1043" s="20"/>
      <c r="J1043" s="20"/>
      <c r="K1043" s="27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</row>
    <row r="1044" spans="1:68" ht="12.75" customHeight="1">
      <c r="A1044" s="20"/>
      <c r="B1044" s="20"/>
      <c r="C1044" s="20"/>
      <c r="D1044" s="20"/>
      <c r="E1044" s="20"/>
      <c r="F1044" s="20"/>
      <c r="G1044" s="20"/>
      <c r="H1044" s="23"/>
      <c r="I1044" s="20"/>
      <c r="J1044" s="20"/>
      <c r="K1044" s="27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</row>
    <row r="1045" spans="1:68" ht="12.75" customHeight="1">
      <c r="A1045" s="20"/>
      <c r="B1045" s="20"/>
      <c r="C1045" s="20"/>
      <c r="D1045" s="20"/>
      <c r="E1045" s="20"/>
      <c r="F1045" s="20"/>
      <c r="G1045" s="20"/>
      <c r="H1045" s="23"/>
      <c r="I1045" s="20"/>
      <c r="J1045" s="20"/>
      <c r="K1045" s="27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</row>
    <row r="1046" spans="1:68" ht="12.75" customHeight="1">
      <c r="A1046" s="20"/>
      <c r="B1046" s="20"/>
      <c r="C1046" s="20"/>
      <c r="D1046" s="20"/>
      <c r="E1046" s="20"/>
      <c r="F1046" s="20"/>
      <c r="G1046" s="20"/>
      <c r="H1046" s="23"/>
      <c r="I1046" s="20"/>
      <c r="J1046" s="20"/>
      <c r="K1046" s="27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</row>
    <row r="1047" spans="1:68" ht="12.75" customHeight="1">
      <c r="A1047" s="20"/>
      <c r="B1047" s="20"/>
      <c r="C1047" s="20"/>
      <c r="D1047" s="20"/>
      <c r="E1047" s="20"/>
      <c r="F1047" s="20"/>
      <c r="G1047" s="20"/>
      <c r="H1047" s="23"/>
      <c r="I1047" s="20"/>
      <c r="J1047" s="20"/>
      <c r="K1047" s="27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</row>
    <row r="1048" spans="1:68" ht="12.75" customHeight="1">
      <c r="A1048" s="20"/>
      <c r="B1048" s="20"/>
      <c r="C1048" s="20"/>
      <c r="D1048" s="20"/>
      <c r="E1048" s="20"/>
      <c r="F1048" s="20"/>
      <c r="G1048" s="20"/>
      <c r="H1048" s="23"/>
      <c r="I1048" s="20"/>
      <c r="J1048" s="20"/>
      <c r="K1048" s="27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</row>
    <row r="1049" spans="1:68" ht="12.75" customHeight="1">
      <c r="A1049" s="20"/>
      <c r="B1049" s="20"/>
      <c r="C1049" s="20"/>
      <c r="D1049" s="20"/>
      <c r="E1049" s="20"/>
      <c r="F1049" s="20"/>
      <c r="G1049" s="20"/>
      <c r="H1049" s="23"/>
      <c r="I1049" s="20"/>
      <c r="J1049" s="20"/>
      <c r="K1049" s="27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</row>
    <row r="1050" spans="1:68" ht="12.75" customHeight="1">
      <c r="A1050" s="20"/>
      <c r="B1050" s="20"/>
      <c r="C1050" s="20"/>
      <c r="D1050" s="20"/>
      <c r="E1050" s="20"/>
      <c r="F1050" s="20"/>
      <c r="G1050" s="20"/>
      <c r="H1050" s="23"/>
      <c r="I1050" s="20"/>
      <c r="J1050" s="20"/>
      <c r="K1050" s="27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</row>
    <row r="1051" spans="1:68" ht="12.75" customHeight="1">
      <c r="A1051" s="20"/>
      <c r="B1051" s="20"/>
      <c r="C1051" s="20"/>
      <c r="D1051" s="20"/>
      <c r="E1051" s="20"/>
      <c r="F1051" s="20"/>
      <c r="G1051" s="20"/>
      <c r="H1051" s="23"/>
      <c r="I1051" s="20"/>
      <c r="J1051" s="20"/>
      <c r="K1051" s="27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</row>
    <row r="1052" spans="1:68" ht="12.75" customHeight="1">
      <c r="A1052" s="20"/>
      <c r="B1052" s="20"/>
      <c r="C1052" s="20"/>
      <c r="D1052" s="20"/>
      <c r="E1052" s="20"/>
      <c r="F1052" s="20"/>
      <c r="G1052" s="20"/>
      <c r="H1052" s="23"/>
      <c r="I1052" s="20"/>
      <c r="J1052" s="20"/>
      <c r="K1052" s="27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</row>
    <row r="1053" spans="1:68" ht="12.75" customHeight="1">
      <c r="A1053" s="20"/>
      <c r="B1053" s="20"/>
      <c r="C1053" s="20"/>
      <c r="D1053" s="20"/>
      <c r="E1053" s="20"/>
      <c r="F1053" s="20"/>
      <c r="G1053" s="20"/>
      <c r="H1053" s="23"/>
      <c r="I1053" s="20"/>
      <c r="J1053" s="20"/>
      <c r="K1053" s="27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</row>
    <row r="1054" spans="1:68" ht="12.75" customHeight="1">
      <c r="A1054" s="20"/>
      <c r="B1054" s="20"/>
      <c r="C1054" s="20"/>
      <c r="D1054" s="20"/>
      <c r="E1054" s="20"/>
      <c r="F1054" s="20"/>
      <c r="G1054" s="20"/>
      <c r="H1054" s="23"/>
      <c r="I1054" s="20"/>
      <c r="J1054" s="20"/>
      <c r="K1054" s="27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</row>
    <row r="1055" spans="1:68" ht="12.75" customHeight="1">
      <c r="A1055" s="20"/>
      <c r="B1055" s="20"/>
      <c r="C1055" s="20"/>
      <c r="D1055" s="20"/>
      <c r="E1055" s="20"/>
      <c r="F1055" s="20"/>
      <c r="G1055" s="20"/>
      <c r="H1055" s="23"/>
      <c r="I1055" s="20"/>
      <c r="J1055" s="20"/>
      <c r="K1055" s="27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</row>
    <row r="1056" spans="1:68" ht="12.75" customHeight="1">
      <c r="A1056" s="20"/>
      <c r="B1056" s="20"/>
      <c r="C1056" s="20"/>
      <c r="D1056" s="20"/>
      <c r="E1056" s="20"/>
      <c r="F1056" s="20"/>
      <c r="G1056" s="20"/>
      <c r="H1056" s="23"/>
      <c r="I1056" s="20"/>
      <c r="J1056" s="20"/>
      <c r="K1056" s="27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</row>
    <row r="1057" spans="1:68" ht="12.75" customHeight="1">
      <c r="A1057" s="20"/>
      <c r="B1057" s="20"/>
      <c r="C1057" s="20"/>
      <c r="D1057" s="20"/>
      <c r="E1057" s="20"/>
      <c r="F1057" s="20"/>
      <c r="G1057" s="20"/>
      <c r="H1057" s="23"/>
      <c r="I1057" s="20"/>
      <c r="J1057" s="20"/>
      <c r="K1057" s="27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</row>
    <row r="1058" spans="1:68" ht="12.75" customHeight="1">
      <c r="A1058" s="20"/>
      <c r="B1058" s="20"/>
      <c r="C1058" s="20"/>
      <c r="D1058" s="20"/>
      <c r="E1058" s="20"/>
      <c r="F1058" s="20"/>
      <c r="G1058" s="20"/>
      <c r="H1058" s="23"/>
      <c r="I1058" s="20"/>
      <c r="J1058" s="20"/>
      <c r="K1058" s="27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</row>
    <row r="1059" spans="1:68" ht="12.75" customHeight="1">
      <c r="A1059" s="20"/>
      <c r="B1059" s="20"/>
      <c r="C1059" s="20"/>
      <c r="D1059" s="20"/>
      <c r="E1059" s="20"/>
      <c r="F1059" s="20"/>
      <c r="G1059" s="20"/>
      <c r="H1059" s="23"/>
      <c r="I1059" s="20"/>
      <c r="J1059" s="20"/>
      <c r="K1059" s="27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</row>
    <row r="1060" spans="1:68" ht="12.75" customHeight="1">
      <c r="A1060" s="20"/>
      <c r="B1060" s="20"/>
      <c r="C1060" s="20"/>
      <c r="D1060" s="20"/>
      <c r="E1060" s="20"/>
      <c r="F1060" s="20"/>
      <c r="G1060" s="20"/>
      <c r="H1060" s="23"/>
      <c r="I1060" s="20"/>
      <c r="J1060" s="20"/>
      <c r="K1060" s="27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</row>
    <row r="1061" spans="1:68" ht="12.75" customHeight="1">
      <c r="A1061" s="20"/>
      <c r="B1061" s="20"/>
      <c r="C1061" s="20"/>
      <c r="D1061" s="20"/>
      <c r="E1061" s="20"/>
      <c r="F1061" s="20"/>
      <c r="G1061" s="20"/>
      <c r="H1061" s="23"/>
      <c r="I1061" s="20"/>
      <c r="J1061" s="20"/>
      <c r="K1061" s="27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</row>
    <row r="1062" spans="1:68" ht="12.75" customHeight="1">
      <c r="A1062" s="20"/>
      <c r="B1062" s="20"/>
      <c r="C1062" s="20"/>
      <c r="D1062" s="20"/>
      <c r="E1062" s="20"/>
      <c r="F1062" s="20"/>
      <c r="G1062" s="20"/>
      <c r="H1062" s="23"/>
      <c r="I1062" s="20"/>
      <c r="J1062" s="20"/>
      <c r="K1062" s="27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</row>
    <row r="1063" spans="1:68" ht="12.75" customHeight="1">
      <c r="A1063" s="20"/>
      <c r="B1063" s="20"/>
      <c r="C1063" s="20"/>
      <c r="D1063" s="20"/>
      <c r="E1063" s="20"/>
      <c r="F1063" s="20"/>
      <c r="G1063" s="20"/>
      <c r="H1063" s="23"/>
      <c r="I1063" s="20"/>
      <c r="J1063" s="20"/>
      <c r="K1063" s="27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</row>
    <row r="1064" spans="1:68" ht="12.75" customHeight="1">
      <c r="A1064" s="20"/>
      <c r="B1064" s="20"/>
      <c r="C1064" s="20"/>
      <c r="D1064" s="20"/>
      <c r="E1064" s="20"/>
      <c r="F1064" s="20"/>
      <c r="G1064" s="20"/>
      <c r="H1064" s="23"/>
      <c r="I1064" s="20"/>
      <c r="J1064" s="20"/>
      <c r="K1064" s="27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</row>
    <row r="1065" spans="1:68" ht="12.75" customHeight="1">
      <c r="A1065" s="20"/>
      <c r="B1065" s="20"/>
      <c r="C1065" s="20"/>
      <c r="D1065" s="20"/>
      <c r="E1065" s="20"/>
      <c r="F1065" s="20"/>
      <c r="G1065" s="20"/>
      <c r="H1065" s="23"/>
      <c r="I1065" s="20"/>
      <c r="J1065" s="20"/>
      <c r="K1065" s="27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</row>
    <row r="1066" spans="1:68" ht="12.75" customHeight="1">
      <c r="A1066" s="20"/>
      <c r="B1066" s="20"/>
      <c r="C1066" s="20"/>
      <c r="D1066" s="20"/>
      <c r="E1066" s="20"/>
      <c r="F1066" s="20"/>
      <c r="G1066" s="20"/>
      <c r="H1066" s="23"/>
      <c r="I1066" s="20"/>
      <c r="J1066" s="20"/>
      <c r="K1066" s="27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</row>
    <row r="1067" spans="1:68" ht="12.75" customHeight="1">
      <c r="A1067" s="20"/>
      <c r="B1067" s="20"/>
      <c r="C1067" s="20"/>
      <c r="D1067" s="20"/>
      <c r="E1067" s="20"/>
      <c r="F1067" s="20"/>
      <c r="G1067" s="20"/>
      <c r="H1067" s="23"/>
      <c r="I1067" s="20"/>
      <c r="J1067" s="20"/>
      <c r="K1067" s="27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</row>
    <row r="1068" spans="1:68" ht="12.75" customHeight="1">
      <c r="A1068" s="20"/>
      <c r="B1068" s="20"/>
      <c r="C1068" s="20"/>
      <c r="D1068" s="20"/>
      <c r="E1068" s="20"/>
      <c r="F1068" s="20"/>
      <c r="G1068" s="20"/>
      <c r="H1068" s="23"/>
      <c r="I1068" s="20"/>
      <c r="J1068" s="20"/>
      <c r="K1068" s="27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</row>
    <row r="1069" spans="1:68" ht="12.75" customHeight="1">
      <c r="A1069" s="20"/>
      <c r="B1069" s="20"/>
      <c r="C1069" s="20"/>
      <c r="D1069" s="20"/>
      <c r="E1069" s="20"/>
      <c r="F1069" s="20"/>
      <c r="G1069" s="20"/>
      <c r="H1069" s="23"/>
      <c r="I1069" s="20"/>
      <c r="J1069" s="20"/>
      <c r="K1069" s="27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</row>
    <row r="1070" spans="1:68" ht="12.75" customHeight="1">
      <c r="A1070" s="20"/>
      <c r="B1070" s="20"/>
      <c r="C1070" s="20"/>
      <c r="D1070" s="20"/>
      <c r="E1070" s="20"/>
      <c r="F1070" s="20"/>
      <c r="G1070" s="20"/>
      <c r="H1070" s="23"/>
      <c r="I1070" s="20"/>
      <c r="J1070" s="20"/>
      <c r="K1070" s="27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</row>
    <row r="1071" spans="1:68" ht="12.75" customHeight="1">
      <c r="A1071" s="20"/>
      <c r="B1071" s="20"/>
      <c r="C1071" s="20"/>
      <c r="D1071" s="20"/>
      <c r="E1071" s="20"/>
      <c r="F1071" s="20"/>
      <c r="G1071" s="20"/>
      <c r="H1071" s="23"/>
      <c r="I1071" s="20"/>
      <c r="J1071" s="20"/>
      <c r="K1071" s="27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</row>
    <row r="1072" spans="1:68" ht="12.75" customHeight="1">
      <c r="A1072" s="20"/>
      <c r="B1072" s="20"/>
      <c r="C1072" s="20"/>
      <c r="D1072" s="20"/>
      <c r="E1072" s="20"/>
      <c r="F1072" s="20"/>
      <c r="G1072" s="20"/>
      <c r="H1072" s="23"/>
      <c r="I1072" s="20"/>
      <c r="J1072" s="20"/>
      <c r="K1072" s="27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</row>
    <row r="1073" spans="1:68" ht="12.75" customHeight="1">
      <c r="A1073" s="20"/>
      <c r="B1073" s="20"/>
      <c r="C1073" s="20"/>
      <c r="D1073" s="20"/>
      <c r="E1073" s="20"/>
      <c r="F1073" s="20"/>
      <c r="G1073" s="20"/>
      <c r="H1073" s="23"/>
      <c r="I1073" s="20"/>
      <c r="J1073" s="20"/>
      <c r="K1073" s="27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</row>
    <row r="1074" spans="1:68" ht="12.75" customHeight="1">
      <c r="A1074" s="20"/>
      <c r="B1074" s="20"/>
      <c r="C1074" s="20"/>
      <c r="D1074" s="20"/>
      <c r="E1074" s="20"/>
      <c r="F1074" s="20"/>
      <c r="G1074" s="20"/>
      <c r="H1074" s="23"/>
      <c r="I1074" s="20"/>
      <c r="J1074" s="20"/>
      <c r="K1074" s="27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</row>
    <row r="1075" spans="1:68" ht="12.75" customHeight="1">
      <c r="A1075" s="20"/>
      <c r="B1075" s="20"/>
      <c r="C1075" s="20"/>
      <c r="D1075" s="20"/>
      <c r="E1075" s="20"/>
      <c r="F1075" s="20"/>
      <c r="G1075" s="20"/>
      <c r="H1075" s="23"/>
      <c r="I1075" s="20"/>
      <c r="J1075" s="20"/>
      <c r="K1075" s="27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</row>
    <row r="1076" spans="1:68" ht="12.75" customHeight="1">
      <c r="A1076" s="20"/>
      <c r="B1076" s="20"/>
      <c r="C1076" s="20"/>
      <c r="D1076" s="20"/>
      <c r="E1076" s="20"/>
      <c r="F1076" s="20"/>
      <c r="G1076" s="20"/>
      <c r="H1076" s="23"/>
      <c r="I1076" s="20"/>
      <c r="J1076" s="20"/>
      <c r="K1076" s="27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</row>
    <row r="1077" spans="1:68" ht="12.75" customHeight="1">
      <c r="A1077" s="20"/>
      <c r="B1077" s="20"/>
      <c r="C1077" s="20"/>
      <c r="D1077" s="20"/>
      <c r="E1077" s="20"/>
      <c r="F1077" s="20"/>
      <c r="G1077" s="20"/>
      <c r="H1077" s="23"/>
      <c r="I1077" s="20"/>
      <c r="J1077" s="20"/>
      <c r="K1077" s="27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</row>
    <row r="1078" spans="1:68" ht="12.75" customHeight="1">
      <c r="A1078" s="20"/>
      <c r="B1078" s="20"/>
      <c r="C1078" s="20"/>
      <c r="D1078" s="20"/>
      <c r="E1078" s="20"/>
      <c r="F1078" s="20"/>
      <c r="G1078" s="20"/>
      <c r="H1078" s="23"/>
      <c r="I1078" s="20"/>
      <c r="J1078" s="20"/>
      <c r="K1078" s="27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</row>
    <row r="1079" spans="1:68" ht="12.75" customHeight="1">
      <c r="A1079" s="20"/>
      <c r="B1079" s="20"/>
      <c r="C1079" s="20"/>
      <c r="D1079" s="20"/>
      <c r="E1079" s="20"/>
      <c r="F1079" s="20"/>
      <c r="G1079" s="20"/>
      <c r="H1079" s="23"/>
      <c r="I1079" s="20"/>
      <c r="J1079" s="20"/>
      <c r="K1079" s="27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</row>
    <row r="1080" spans="1:68" ht="12.75" customHeight="1">
      <c r="A1080" s="20"/>
      <c r="B1080" s="20"/>
      <c r="C1080" s="20"/>
      <c r="D1080" s="20"/>
      <c r="E1080" s="20"/>
      <c r="F1080" s="20"/>
      <c r="G1080" s="20"/>
      <c r="H1080" s="23"/>
      <c r="I1080" s="20"/>
      <c r="J1080" s="20"/>
      <c r="K1080" s="27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</row>
    <row r="1081" spans="1:68" ht="12.75" customHeight="1">
      <c r="A1081" s="20"/>
      <c r="B1081" s="20"/>
      <c r="C1081" s="20"/>
      <c r="D1081" s="20"/>
      <c r="E1081" s="20"/>
      <c r="F1081" s="20"/>
      <c r="G1081" s="20"/>
      <c r="H1081" s="23"/>
      <c r="I1081" s="20"/>
      <c r="J1081" s="20"/>
      <c r="K1081" s="27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</row>
    <row r="1082" spans="1:68" ht="12.75" customHeight="1">
      <c r="A1082" s="20"/>
      <c r="B1082" s="20"/>
      <c r="C1082" s="20"/>
      <c r="D1082" s="20"/>
      <c r="E1082" s="20"/>
      <c r="F1082" s="20"/>
      <c r="G1082" s="20"/>
      <c r="H1082" s="23"/>
      <c r="I1082" s="20"/>
      <c r="J1082" s="20"/>
      <c r="K1082" s="27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</row>
    <row r="1083" spans="1:68" ht="12.75" customHeight="1">
      <c r="A1083" s="20"/>
      <c r="B1083" s="20"/>
      <c r="C1083" s="20"/>
      <c r="D1083" s="20"/>
      <c r="E1083" s="20"/>
      <c r="F1083" s="20"/>
      <c r="G1083" s="20"/>
      <c r="H1083" s="23"/>
      <c r="I1083" s="20"/>
      <c r="J1083" s="20"/>
      <c r="K1083" s="27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</row>
    <row r="1084" spans="1:68" ht="12.75" customHeight="1">
      <c r="A1084" s="20"/>
      <c r="B1084" s="20"/>
      <c r="C1084" s="20"/>
      <c r="D1084" s="20"/>
      <c r="E1084" s="20"/>
      <c r="F1084" s="20"/>
      <c r="G1084" s="20"/>
      <c r="H1084" s="23"/>
      <c r="I1084" s="20"/>
      <c r="J1084" s="20"/>
      <c r="K1084" s="27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</row>
    <row r="1085" spans="1:68" ht="12.75" customHeight="1">
      <c r="A1085" s="20"/>
      <c r="B1085" s="20"/>
      <c r="C1085" s="20"/>
      <c r="D1085" s="20"/>
      <c r="E1085" s="20"/>
      <c r="F1085" s="20"/>
      <c r="G1085" s="20"/>
      <c r="H1085" s="23"/>
      <c r="I1085" s="20"/>
      <c r="J1085" s="20"/>
      <c r="K1085" s="27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</row>
    <row r="1086" spans="1:68" ht="12.75" customHeight="1">
      <c r="A1086" s="20"/>
      <c r="B1086" s="20"/>
      <c r="C1086" s="20"/>
      <c r="D1086" s="20"/>
      <c r="E1086" s="20"/>
      <c r="F1086" s="20"/>
      <c r="G1086" s="20"/>
      <c r="H1086" s="23"/>
      <c r="I1086" s="20"/>
      <c r="J1086" s="20"/>
      <c r="K1086" s="27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</row>
    <row r="1087" spans="1:68" ht="12.75" customHeight="1">
      <c r="A1087" s="20"/>
      <c r="B1087" s="20"/>
      <c r="C1087" s="20"/>
      <c r="D1087" s="20"/>
      <c r="E1087" s="20"/>
      <c r="F1087" s="20"/>
      <c r="G1087" s="20"/>
      <c r="H1087" s="23"/>
      <c r="I1087" s="20"/>
      <c r="J1087" s="20"/>
      <c r="K1087" s="27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</row>
    <row r="1088" spans="1:68" ht="12.75" customHeight="1">
      <c r="A1088" s="20"/>
      <c r="B1088" s="20"/>
      <c r="C1088" s="20"/>
      <c r="D1088" s="20"/>
      <c r="E1088" s="20"/>
      <c r="F1088" s="20"/>
      <c r="G1088" s="20"/>
      <c r="H1088" s="23"/>
      <c r="I1088" s="20"/>
      <c r="J1088" s="20"/>
      <c r="K1088" s="27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</row>
    <row r="1089" spans="1:68" ht="12.75" customHeight="1">
      <c r="A1089" s="20"/>
      <c r="B1089" s="20"/>
      <c r="C1089" s="20"/>
      <c r="D1089" s="20"/>
      <c r="E1089" s="20"/>
      <c r="F1089" s="20"/>
      <c r="G1089" s="20"/>
      <c r="H1089" s="23"/>
      <c r="I1089" s="20"/>
      <c r="J1089" s="20"/>
      <c r="K1089" s="27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</row>
    <row r="1090" spans="1:68" ht="12.75" customHeight="1">
      <c r="A1090" s="20"/>
      <c r="B1090" s="20"/>
      <c r="C1090" s="20"/>
      <c r="D1090" s="20"/>
      <c r="E1090" s="20"/>
      <c r="F1090" s="20"/>
      <c r="G1090" s="20"/>
      <c r="H1090" s="23"/>
      <c r="I1090" s="20"/>
      <c r="J1090" s="20"/>
      <c r="K1090" s="27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</row>
    <row r="1091" spans="1:68" ht="12.75" customHeight="1">
      <c r="A1091" s="20"/>
      <c r="B1091" s="20"/>
      <c r="C1091" s="20"/>
      <c r="D1091" s="20"/>
      <c r="E1091" s="20"/>
      <c r="F1091" s="20"/>
      <c r="G1091" s="20"/>
      <c r="H1091" s="23"/>
      <c r="I1091" s="20"/>
      <c r="J1091" s="20"/>
      <c r="K1091" s="27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</row>
    <row r="1092" spans="1:68" ht="12.75" customHeight="1">
      <c r="A1092" s="20"/>
      <c r="B1092" s="20"/>
      <c r="C1092" s="20"/>
      <c r="D1092" s="20"/>
      <c r="E1092" s="20"/>
      <c r="F1092" s="20"/>
      <c r="G1092" s="20"/>
      <c r="H1092" s="23"/>
      <c r="I1092" s="20"/>
      <c r="J1092" s="20"/>
      <c r="K1092" s="27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</row>
    <row r="1093" spans="1:68" ht="12.75" customHeight="1">
      <c r="A1093" s="20"/>
      <c r="B1093" s="20"/>
      <c r="C1093" s="20"/>
      <c r="D1093" s="20"/>
      <c r="E1093" s="20"/>
      <c r="F1093" s="20"/>
      <c r="G1093" s="20"/>
      <c r="H1093" s="23"/>
      <c r="I1093" s="20"/>
      <c r="J1093" s="20"/>
      <c r="K1093" s="27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</row>
    <row r="1094" spans="1:68" ht="12.75" customHeight="1">
      <c r="A1094" s="20"/>
      <c r="B1094" s="20"/>
      <c r="C1094" s="20"/>
      <c r="D1094" s="20"/>
      <c r="E1094" s="20"/>
      <c r="F1094" s="20"/>
      <c r="G1094" s="20"/>
      <c r="H1094" s="23"/>
      <c r="I1094" s="20"/>
      <c r="J1094" s="20"/>
      <c r="K1094" s="27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</row>
    <row r="1095" spans="1:68" ht="12.75" customHeight="1">
      <c r="A1095" s="20"/>
      <c r="B1095" s="20"/>
      <c r="C1095" s="20"/>
      <c r="D1095" s="20"/>
      <c r="E1095" s="20"/>
      <c r="F1095" s="20"/>
      <c r="G1095" s="20"/>
      <c r="H1095" s="23"/>
      <c r="I1095" s="20"/>
      <c r="J1095" s="20"/>
      <c r="K1095" s="27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</row>
    <row r="1096" spans="1:68" ht="12.75" customHeight="1">
      <c r="A1096" s="20"/>
      <c r="B1096" s="20"/>
      <c r="C1096" s="20"/>
      <c r="D1096" s="20"/>
      <c r="E1096" s="20"/>
      <c r="F1096" s="20"/>
      <c r="G1096" s="20"/>
      <c r="H1096" s="23"/>
      <c r="I1096" s="20"/>
      <c r="J1096" s="20"/>
      <c r="K1096" s="27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</row>
    <row r="1097" spans="1:68" ht="12.75" customHeight="1">
      <c r="A1097" s="20"/>
      <c r="B1097" s="20"/>
      <c r="C1097" s="20"/>
      <c r="D1097" s="20"/>
      <c r="E1097" s="20"/>
      <c r="F1097" s="20"/>
      <c r="G1097" s="20"/>
      <c r="H1097" s="23"/>
      <c r="I1097" s="20"/>
      <c r="J1097" s="20"/>
      <c r="K1097" s="27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</row>
    <row r="1098" spans="1:68" ht="12.75" customHeight="1">
      <c r="A1098" s="20"/>
      <c r="B1098" s="20"/>
      <c r="C1098" s="20"/>
      <c r="D1098" s="20"/>
      <c r="E1098" s="20"/>
      <c r="F1098" s="20"/>
      <c r="G1098" s="20"/>
      <c r="H1098" s="23"/>
      <c r="I1098" s="20"/>
      <c r="J1098" s="20"/>
      <c r="K1098" s="27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</row>
    <row r="1099" spans="1:68" ht="12.75" customHeight="1">
      <c r="A1099" s="20"/>
      <c r="B1099" s="20"/>
      <c r="C1099" s="20"/>
      <c r="D1099" s="20"/>
      <c r="E1099" s="20"/>
      <c r="F1099" s="20"/>
      <c r="G1099" s="20"/>
      <c r="H1099" s="23"/>
      <c r="I1099" s="20"/>
      <c r="J1099" s="20"/>
      <c r="K1099" s="27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</row>
    <row r="1100" spans="1:68" ht="12.75" customHeight="1">
      <c r="A1100" s="20"/>
      <c r="B1100" s="20"/>
      <c r="C1100" s="20"/>
      <c r="D1100" s="20"/>
      <c r="E1100" s="20"/>
      <c r="F1100" s="20"/>
      <c r="G1100" s="20"/>
      <c r="H1100" s="23"/>
      <c r="I1100" s="20"/>
      <c r="J1100" s="20"/>
      <c r="K1100" s="27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</row>
    <row r="1101" spans="1:68" ht="12.75" customHeight="1">
      <c r="A1101" s="20"/>
      <c r="B1101" s="20"/>
      <c r="C1101" s="20"/>
      <c r="D1101" s="20"/>
      <c r="E1101" s="20"/>
      <c r="F1101" s="20"/>
      <c r="G1101" s="20"/>
      <c r="H1101" s="23"/>
      <c r="I1101" s="20"/>
      <c r="J1101" s="20"/>
      <c r="K1101" s="27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</row>
    <row r="1102" spans="1:68" ht="12.75" customHeight="1">
      <c r="A1102" s="20"/>
      <c r="B1102" s="20"/>
      <c r="C1102" s="20"/>
      <c r="D1102" s="20"/>
      <c r="E1102" s="20"/>
      <c r="F1102" s="20"/>
      <c r="G1102" s="20"/>
      <c r="H1102" s="23"/>
      <c r="I1102" s="20"/>
      <c r="J1102" s="20"/>
      <c r="K1102" s="27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</row>
    <row r="1103" spans="1:68" ht="12.75" customHeight="1">
      <c r="A1103" s="20"/>
      <c r="B1103" s="20"/>
      <c r="C1103" s="20"/>
      <c r="D1103" s="20"/>
      <c r="E1103" s="20"/>
      <c r="F1103" s="20"/>
      <c r="G1103" s="20"/>
      <c r="H1103" s="23"/>
      <c r="I1103" s="20"/>
      <c r="J1103" s="20"/>
      <c r="K1103" s="27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</row>
    <row r="1104" spans="1:68" ht="12.75" customHeight="1">
      <c r="A1104" s="20"/>
      <c r="B1104" s="20"/>
      <c r="C1104" s="20"/>
      <c r="D1104" s="20"/>
      <c r="E1104" s="20"/>
      <c r="F1104" s="20"/>
      <c r="G1104" s="20"/>
      <c r="H1104" s="23"/>
      <c r="I1104" s="20"/>
      <c r="J1104" s="20"/>
      <c r="K1104" s="27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</row>
    <row r="1105" spans="1:68" ht="12.75" customHeight="1">
      <c r="A1105" s="20"/>
      <c r="B1105" s="20"/>
      <c r="C1105" s="20"/>
      <c r="D1105" s="20"/>
      <c r="E1105" s="20"/>
      <c r="F1105" s="20"/>
      <c r="G1105" s="20"/>
      <c r="H1105" s="23"/>
      <c r="I1105" s="20"/>
      <c r="J1105" s="20"/>
      <c r="K1105" s="27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</row>
    <row r="1106" spans="1:68" ht="12.75" customHeight="1">
      <c r="A1106" s="20"/>
      <c r="B1106" s="20"/>
      <c r="C1106" s="20"/>
      <c r="D1106" s="20"/>
      <c r="E1106" s="20"/>
      <c r="F1106" s="20"/>
      <c r="G1106" s="20"/>
      <c r="H1106" s="23"/>
      <c r="I1106" s="20"/>
      <c r="J1106" s="20"/>
      <c r="K1106" s="27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</row>
    <row r="1107" spans="1:68" ht="12.75" customHeight="1">
      <c r="A1107" s="20"/>
      <c r="B1107" s="20"/>
      <c r="C1107" s="20"/>
      <c r="D1107" s="20"/>
      <c r="E1107" s="20"/>
      <c r="F1107" s="20"/>
      <c r="G1107" s="20"/>
      <c r="H1107" s="23"/>
      <c r="I1107" s="20"/>
      <c r="J1107" s="20"/>
      <c r="K1107" s="27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</row>
    <row r="1108" spans="1:68" ht="12.75" customHeight="1">
      <c r="A1108" s="20"/>
      <c r="B1108" s="20"/>
      <c r="C1108" s="20"/>
      <c r="D1108" s="20"/>
      <c r="E1108" s="20"/>
      <c r="F1108" s="20"/>
      <c r="G1108" s="20"/>
      <c r="H1108" s="23"/>
      <c r="I1108" s="20"/>
      <c r="J1108" s="20"/>
      <c r="K1108" s="27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</row>
    <row r="1109" spans="1:68" ht="12.75" customHeight="1">
      <c r="A1109" s="20"/>
      <c r="B1109" s="20"/>
      <c r="C1109" s="20"/>
      <c r="D1109" s="20"/>
      <c r="E1109" s="20"/>
      <c r="F1109" s="20"/>
      <c r="G1109" s="20"/>
      <c r="H1109" s="23"/>
      <c r="I1109" s="20"/>
      <c r="J1109" s="20"/>
      <c r="K1109" s="27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</row>
    <row r="1110" spans="1:68" ht="12.75" customHeight="1">
      <c r="A1110" s="20"/>
      <c r="B1110" s="20"/>
      <c r="C1110" s="20"/>
      <c r="D1110" s="20"/>
      <c r="E1110" s="20"/>
      <c r="F1110" s="20"/>
      <c r="G1110" s="20"/>
      <c r="H1110" s="23"/>
      <c r="I1110" s="20"/>
      <c r="J1110" s="20"/>
      <c r="K1110" s="27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</row>
    <row r="1111" spans="1:68" ht="12.75" customHeight="1">
      <c r="A1111" s="20"/>
      <c r="B1111" s="20"/>
      <c r="C1111" s="20"/>
      <c r="D1111" s="20"/>
      <c r="E1111" s="20"/>
      <c r="F1111" s="20"/>
      <c r="G1111" s="20"/>
      <c r="H1111" s="23"/>
      <c r="I1111" s="20"/>
      <c r="J1111" s="20"/>
      <c r="K1111" s="27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</row>
    <row r="1112" spans="1:68" ht="12.75" customHeight="1">
      <c r="A1112" s="20"/>
      <c r="B1112" s="20"/>
      <c r="C1112" s="20"/>
      <c r="D1112" s="20"/>
      <c r="E1112" s="20"/>
      <c r="F1112" s="20"/>
      <c r="G1112" s="20"/>
      <c r="H1112" s="23"/>
      <c r="I1112" s="20"/>
      <c r="J1112" s="20"/>
      <c r="K1112" s="27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</row>
    <row r="1113" spans="1:68" ht="12.75" customHeight="1">
      <c r="A1113" s="20"/>
      <c r="B1113" s="20"/>
      <c r="C1113" s="20"/>
      <c r="D1113" s="20"/>
      <c r="E1113" s="20"/>
      <c r="F1113" s="20"/>
      <c r="G1113" s="20"/>
      <c r="H1113" s="23"/>
      <c r="I1113" s="20"/>
      <c r="J1113" s="20"/>
      <c r="K1113" s="27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</row>
    <row r="1114" spans="1:68" ht="12.75" customHeight="1">
      <c r="A1114" s="20"/>
      <c r="B1114" s="20"/>
      <c r="C1114" s="20"/>
      <c r="D1114" s="20"/>
      <c r="E1114" s="20"/>
      <c r="F1114" s="20"/>
      <c r="G1114" s="20"/>
      <c r="H1114" s="23"/>
      <c r="I1114" s="20"/>
      <c r="J1114" s="20"/>
      <c r="K1114" s="27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</row>
    <row r="1115" spans="1:68" ht="12.75" customHeight="1">
      <c r="A1115" s="20"/>
      <c r="B1115" s="20"/>
      <c r="C1115" s="20"/>
      <c r="D1115" s="20"/>
      <c r="E1115" s="20"/>
      <c r="F1115" s="20"/>
      <c r="G1115" s="20"/>
      <c r="H1115" s="23"/>
      <c r="I1115" s="20"/>
      <c r="J1115" s="20"/>
      <c r="K1115" s="27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</row>
    <row r="1116" spans="1:68" ht="12.75" customHeight="1">
      <c r="A1116" s="20"/>
      <c r="B1116" s="20"/>
      <c r="C1116" s="20"/>
      <c r="D1116" s="20"/>
      <c r="E1116" s="20"/>
      <c r="F1116" s="20"/>
      <c r="G1116" s="20"/>
      <c r="H1116" s="23"/>
      <c r="I1116" s="20"/>
      <c r="J1116" s="20"/>
      <c r="K1116" s="27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</row>
    <row r="1117" spans="1:68" ht="12.75" customHeight="1">
      <c r="A1117" s="20"/>
      <c r="B1117" s="20"/>
      <c r="C1117" s="20"/>
      <c r="D1117" s="20"/>
      <c r="E1117" s="20"/>
      <c r="F1117" s="20"/>
      <c r="G1117" s="20"/>
      <c r="H1117" s="23"/>
      <c r="I1117" s="20"/>
      <c r="J1117" s="20"/>
      <c r="K1117" s="27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</row>
    <row r="1118" spans="1:68" ht="12.75" customHeight="1">
      <c r="A1118" s="20"/>
      <c r="B1118" s="20"/>
      <c r="C1118" s="20"/>
      <c r="D1118" s="20"/>
      <c r="E1118" s="20"/>
      <c r="F1118" s="20"/>
      <c r="G1118" s="20"/>
      <c r="H1118" s="23"/>
      <c r="I1118" s="20"/>
      <c r="J1118" s="20"/>
      <c r="K1118" s="27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</row>
    <row r="1119" spans="1:68" ht="12.75" customHeight="1">
      <c r="A1119" s="20"/>
      <c r="B1119" s="20"/>
      <c r="C1119" s="20"/>
      <c r="D1119" s="20"/>
      <c r="E1119" s="20"/>
      <c r="F1119" s="20"/>
      <c r="G1119" s="20"/>
      <c r="H1119" s="23"/>
      <c r="I1119" s="20"/>
      <c r="J1119" s="20"/>
      <c r="K1119" s="27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</row>
    <row r="1120" spans="1:68" ht="12.75" customHeight="1">
      <c r="A1120" s="20"/>
      <c r="B1120" s="20"/>
      <c r="C1120" s="20"/>
      <c r="D1120" s="20"/>
      <c r="E1120" s="20"/>
      <c r="F1120" s="20"/>
      <c r="G1120" s="20"/>
      <c r="H1120" s="23"/>
      <c r="I1120" s="20"/>
      <c r="J1120" s="20"/>
      <c r="K1120" s="27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</row>
    <row r="1121" spans="1:68" ht="12.75" customHeight="1">
      <c r="A1121" s="20"/>
      <c r="B1121" s="20"/>
      <c r="C1121" s="20"/>
      <c r="D1121" s="20"/>
      <c r="E1121" s="20"/>
      <c r="F1121" s="20"/>
      <c r="G1121" s="20"/>
      <c r="H1121" s="23"/>
      <c r="I1121" s="20"/>
      <c r="J1121" s="20"/>
      <c r="K1121" s="27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</row>
    <row r="1122" spans="1:68" ht="12.75" customHeight="1">
      <c r="A1122" s="20"/>
      <c r="B1122" s="20"/>
      <c r="C1122" s="20"/>
      <c r="D1122" s="20"/>
      <c r="E1122" s="20"/>
      <c r="F1122" s="20"/>
      <c r="G1122" s="20"/>
      <c r="H1122" s="23"/>
      <c r="I1122" s="20"/>
      <c r="J1122" s="20"/>
      <c r="K1122" s="27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</row>
    <row r="1123" spans="1:68" ht="12.75" customHeight="1">
      <c r="A1123" s="20"/>
      <c r="B1123" s="20"/>
      <c r="C1123" s="20"/>
      <c r="D1123" s="20"/>
      <c r="E1123" s="20"/>
      <c r="F1123" s="20"/>
      <c r="G1123" s="20"/>
      <c r="H1123" s="23"/>
      <c r="I1123" s="20"/>
      <c r="J1123" s="20"/>
      <c r="K1123" s="27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</row>
    <row r="1124" spans="1:68" ht="12.75" customHeight="1">
      <c r="A1124" s="20"/>
      <c r="B1124" s="20"/>
      <c r="C1124" s="20"/>
      <c r="D1124" s="20"/>
      <c r="E1124" s="20"/>
      <c r="F1124" s="20"/>
      <c r="G1124" s="20"/>
      <c r="H1124" s="23"/>
      <c r="I1124" s="20"/>
      <c r="J1124" s="20"/>
      <c r="K1124" s="27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</row>
    <row r="1125" spans="1:68" ht="12.75" customHeight="1">
      <c r="A1125" s="20"/>
      <c r="B1125" s="20"/>
      <c r="C1125" s="20"/>
      <c r="D1125" s="20"/>
      <c r="E1125" s="20"/>
      <c r="F1125" s="20"/>
      <c r="G1125" s="20"/>
      <c r="H1125" s="23"/>
      <c r="I1125" s="20"/>
      <c r="J1125" s="20"/>
      <c r="K1125" s="27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</row>
    <row r="1126" spans="1:68" ht="12.75" customHeight="1">
      <c r="A1126" s="20"/>
      <c r="B1126" s="20"/>
      <c r="C1126" s="20"/>
      <c r="D1126" s="20"/>
      <c r="E1126" s="20"/>
      <c r="F1126" s="20"/>
      <c r="G1126" s="20"/>
      <c r="H1126" s="23"/>
      <c r="I1126" s="20"/>
      <c r="J1126" s="20"/>
      <c r="K1126" s="27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</row>
    <row r="1127" spans="1:68" ht="12.75" customHeight="1">
      <c r="A1127" s="20"/>
      <c r="B1127" s="20"/>
      <c r="C1127" s="20"/>
      <c r="D1127" s="20"/>
      <c r="E1127" s="20"/>
      <c r="F1127" s="20"/>
      <c r="G1127" s="20"/>
      <c r="H1127" s="23"/>
      <c r="I1127" s="20"/>
      <c r="J1127" s="20"/>
      <c r="K1127" s="27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</row>
    <row r="1128" spans="1:68" ht="12.75" customHeight="1">
      <c r="A1128" s="20"/>
      <c r="B1128" s="20"/>
      <c r="C1128" s="20"/>
      <c r="D1128" s="20"/>
      <c r="E1128" s="20"/>
      <c r="F1128" s="20"/>
      <c r="G1128" s="20"/>
      <c r="H1128" s="23"/>
      <c r="I1128" s="20"/>
      <c r="J1128" s="20"/>
      <c r="K1128" s="27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</row>
    <row r="1129" spans="1:68" ht="12.75" customHeight="1">
      <c r="A1129" s="20"/>
      <c r="B1129" s="20"/>
      <c r="C1129" s="20"/>
      <c r="D1129" s="20"/>
      <c r="E1129" s="20"/>
      <c r="F1129" s="20"/>
      <c r="G1129" s="20"/>
      <c r="H1129" s="23"/>
      <c r="I1129" s="20"/>
      <c r="J1129" s="20"/>
      <c r="K1129" s="27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</row>
    <row r="1130" spans="1:68" ht="12.75" customHeight="1">
      <c r="A1130" s="20"/>
      <c r="B1130" s="20"/>
      <c r="C1130" s="20"/>
      <c r="D1130" s="20"/>
      <c r="E1130" s="20"/>
      <c r="F1130" s="20"/>
      <c r="G1130" s="20"/>
      <c r="H1130" s="23"/>
      <c r="I1130" s="20"/>
      <c r="J1130" s="20"/>
      <c r="K1130" s="27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</row>
    <row r="1131" spans="1:68" ht="12.75" customHeight="1">
      <c r="A1131" s="20"/>
      <c r="B1131" s="20"/>
      <c r="C1131" s="20"/>
      <c r="D1131" s="20"/>
      <c r="E1131" s="20"/>
      <c r="F1131" s="20"/>
      <c r="G1131" s="20"/>
      <c r="H1131" s="23"/>
      <c r="I1131" s="20"/>
      <c r="J1131" s="20"/>
      <c r="K1131" s="27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</row>
    <row r="1132" spans="1:68" ht="12.75" customHeight="1">
      <c r="A1132" s="20"/>
      <c r="B1132" s="20"/>
      <c r="C1132" s="20"/>
      <c r="D1132" s="20"/>
      <c r="E1132" s="20"/>
      <c r="F1132" s="20"/>
      <c r="G1132" s="20"/>
      <c r="H1132" s="23"/>
      <c r="I1132" s="20"/>
      <c r="J1132" s="20"/>
      <c r="K1132" s="27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</row>
    <row r="1133" spans="1:68" ht="12.75" customHeight="1">
      <c r="A1133" s="20"/>
      <c r="B1133" s="20"/>
      <c r="C1133" s="20"/>
      <c r="D1133" s="20"/>
      <c r="E1133" s="20"/>
      <c r="F1133" s="20"/>
      <c r="G1133" s="20"/>
      <c r="H1133" s="23"/>
      <c r="I1133" s="20"/>
      <c r="J1133" s="20"/>
      <c r="K1133" s="27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</row>
    <row r="1134" spans="1:68" ht="12.75" customHeight="1">
      <c r="A1134" s="20"/>
      <c r="B1134" s="20"/>
      <c r="C1134" s="20"/>
      <c r="D1134" s="20"/>
      <c r="E1134" s="20"/>
      <c r="F1134" s="20"/>
      <c r="G1134" s="20"/>
      <c r="H1134" s="23"/>
      <c r="I1134" s="20"/>
      <c r="J1134" s="20"/>
      <c r="K1134" s="27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</row>
    <row r="1135" spans="1:68" ht="12.75" customHeight="1">
      <c r="A1135" s="20"/>
      <c r="B1135" s="20"/>
      <c r="C1135" s="20"/>
      <c r="D1135" s="20"/>
      <c r="E1135" s="20"/>
      <c r="F1135" s="20"/>
      <c r="G1135" s="20"/>
      <c r="H1135" s="23"/>
      <c r="I1135" s="20"/>
      <c r="J1135" s="20"/>
      <c r="K1135" s="27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</row>
    <row r="1136" spans="1:68" ht="12.75" customHeight="1">
      <c r="A1136" s="20"/>
      <c r="B1136" s="20"/>
      <c r="C1136" s="20"/>
      <c r="D1136" s="20"/>
      <c r="E1136" s="20"/>
      <c r="F1136" s="20"/>
      <c r="G1136" s="20"/>
      <c r="H1136" s="23"/>
      <c r="I1136" s="20"/>
      <c r="J1136" s="20"/>
      <c r="K1136" s="27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</row>
    <row r="1137" spans="1:68" ht="12.75" customHeight="1">
      <c r="A1137" s="20"/>
      <c r="B1137" s="20"/>
      <c r="C1137" s="20"/>
      <c r="D1137" s="20"/>
      <c r="E1137" s="20"/>
      <c r="F1137" s="20"/>
      <c r="G1137" s="20"/>
      <c r="H1137" s="23"/>
      <c r="I1137" s="20"/>
      <c r="J1137" s="20"/>
      <c r="K1137" s="27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</row>
    <row r="1138" spans="1:68" ht="12.75" customHeight="1">
      <c r="A1138" s="20"/>
      <c r="B1138" s="20"/>
      <c r="C1138" s="20"/>
      <c r="D1138" s="20"/>
      <c r="E1138" s="20"/>
      <c r="F1138" s="20"/>
      <c r="G1138" s="20"/>
      <c r="H1138" s="23"/>
      <c r="I1138" s="20"/>
      <c r="J1138" s="20"/>
      <c r="K1138" s="27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</row>
    <row r="1139" spans="1:68" ht="12.75" customHeight="1">
      <c r="A1139" s="20"/>
      <c r="B1139" s="20"/>
      <c r="C1139" s="20"/>
      <c r="D1139" s="20"/>
      <c r="E1139" s="20"/>
      <c r="F1139" s="20"/>
      <c r="G1139" s="20"/>
      <c r="H1139" s="23"/>
      <c r="I1139" s="20"/>
      <c r="J1139" s="20"/>
      <c r="K1139" s="27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</row>
    <row r="1140" spans="1:68" ht="12.75" customHeight="1">
      <c r="A1140" s="20"/>
      <c r="B1140" s="20"/>
      <c r="C1140" s="20"/>
      <c r="D1140" s="20"/>
      <c r="E1140" s="20"/>
      <c r="F1140" s="20"/>
      <c r="G1140" s="20"/>
      <c r="H1140" s="23"/>
      <c r="I1140" s="20"/>
      <c r="J1140" s="20"/>
      <c r="K1140" s="27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</row>
    <row r="1141" spans="1:68" ht="12.75" customHeight="1">
      <c r="A1141" s="20"/>
      <c r="B1141" s="20"/>
      <c r="C1141" s="20"/>
      <c r="D1141" s="20"/>
      <c r="E1141" s="20"/>
      <c r="F1141" s="20"/>
      <c r="G1141" s="20"/>
      <c r="H1141" s="23"/>
      <c r="I1141" s="20"/>
      <c r="J1141" s="20"/>
      <c r="K1141" s="27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</row>
    <row r="1142" spans="1:68" ht="12.75" customHeight="1">
      <c r="A1142" s="20"/>
      <c r="B1142" s="20"/>
      <c r="C1142" s="20"/>
      <c r="D1142" s="20"/>
      <c r="E1142" s="20"/>
      <c r="F1142" s="20"/>
      <c r="G1142" s="20"/>
      <c r="H1142" s="23"/>
      <c r="I1142" s="20"/>
      <c r="J1142" s="20"/>
      <c r="K1142" s="27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</row>
    <row r="1143" spans="1:68" ht="12.75" customHeight="1">
      <c r="A1143" s="20"/>
      <c r="B1143" s="20"/>
      <c r="C1143" s="20"/>
      <c r="D1143" s="20"/>
      <c r="E1143" s="20"/>
      <c r="F1143" s="20"/>
      <c r="G1143" s="20"/>
      <c r="H1143" s="23"/>
      <c r="I1143" s="20"/>
      <c r="J1143" s="20"/>
      <c r="K1143" s="27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</row>
    <row r="1144" spans="1:68" ht="12.75" customHeight="1">
      <c r="A1144" s="20"/>
      <c r="B1144" s="20"/>
      <c r="C1144" s="20"/>
      <c r="D1144" s="20"/>
      <c r="E1144" s="20"/>
      <c r="F1144" s="20"/>
      <c r="G1144" s="20"/>
      <c r="H1144" s="23"/>
      <c r="I1144" s="20"/>
      <c r="J1144" s="20"/>
      <c r="K1144" s="27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</row>
    <row r="1145" spans="1:68" ht="12.75" customHeight="1">
      <c r="A1145" s="20"/>
      <c r="B1145" s="20"/>
      <c r="C1145" s="20"/>
      <c r="D1145" s="20"/>
      <c r="E1145" s="20"/>
      <c r="F1145" s="20"/>
      <c r="G1145" s="20"/>
      <c r="H1145" s="23"/>
      <c r="I1145" s="20"/>
      <c r="J1145" s="20"/>
      <c r="K1145" s="27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</row>
    <row r="1146" spans="1:68" ht="12.75" customHeight="1">
      <c r="A1146" s="20"/>
      <c r="B1146" s="20"/>
      <c r="C1146" s="20"/>
      <c r="D1146" s="20"/>
      <c r="E1146" s="20"/>
      <c r="F1146" s="20"/>
      <c r="G1146" s="20"/>
      <c r="H1146" s="23"/>
      <c r="I1146" s="20"/>
      <c r="J1146" s="20"/>
      <c r="K1146" s="27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</row>
    <row r="1147" spans="1:68" ht="12.75" customHeight="1">
      <c r="A1147" s="20"/>
      <c r="B1147" s="20"/>
      <c r="C1147" s="20"/>
      <c r="D1147" s="20"/>
      <c r="E1147" s="20"/>
      <c r="F1147" s="20"/>
      <c r="G1147" s="20"/>
      <c r="H1147" s="23"/>
      <c r="I1147" s="20"/>
      <c r="J1147" s="20"/>
      <c r="K1147" s="27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</row>
    <row r="1148" spans="1:68" ht="12.75" customHeight="1">
      <c r="A1148" s="20"/>
      <c r="B1148" s="20"/>
      <c r="C1148" s="20"/>
      <c r="D1148" s="20"/>
      <c r="E1148" s="20"/>
      <c r="F1148" s="20"/>
      <c r="G1148" s="20"/>
      <c r="H1148" s="23"/>
      <c r="I1148" s="20"/>
      <c r="J1148" s="20"/>
      <c r="K1148" s="27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</row>
    <row r="1149" spans="1:68" ht="12.75" customHeight="1">
      <c r="A1149" s="20"/>
      <c r="B1149" s="20"/>
      <c r="C1149" s="20"/>
      <c r="D1149" s="20"/>
      <c r="E1149" s="20"/>
      <c r="F1149" s="20"/>
      <c r="G1149" s="20"/>
      <c r="H1149" s="23"/>
      <c r="I1149" s="20"/>
      <c r="J1149" s="20"/>
      <c r="K1149" s="27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</row>
    <row r="1150" spans="1:68" ht="12.75" customHeight="1">
      <c r="A1150" s="20"/>
      <c r="B1150" s="20"/>
      <c r="C1150" s="20"/>
      <c r="D1150" s="20"/>
      <c r="E1150" s="20"/>
      <c r="F1150" s="20"/>
      <c r="G1150" s="20"/>
      <c r="H1150" s="23"/>
      <c r="I1150" s="20"/>
      <c r="J1150" s="20"/>
      <c r="K1150" s="27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</row>
    <row r="1151" spans="1:68" ht="12.75" customHeight="1">
      <c r="A1151" s="20"/>
      <c r="B1151" s="20"/>
      <c r="C1151" s="20"/>
      <c r="D1151" s="20"/>
      <c r="E1151" s="20"/>
      <c r="F1151" s="20"/>
      <c r="G1151" s="20"/>
      <c r="H1151" s="23"/>
      <c r="I1151" s="20"/>
      <c r="J1151" s="20"/>
      <c r="K1151" s="27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</row>
    <row r="1152" spans="1:68" ht="12.75" customHeight="1">
      <c r="A1152" s="20"/>
      <c r="B1152" s="20"/>
      <c r="C1152" s="20"/>
      <c r="D1152" s="20"/>
      <c r="E1152" s="20"/>
      <c r="F1152" s="20"/>
      <c r="G1152" s="20"/>
      <c r="H1152" s="23"/>
      <c r="I1152" s="20"/>
      <c r="J1152" s="20"/>
      <c r="K1152" s="27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</row>
    <row r="1153" spans="1:68" ht="12.75" customHeight="1">
      <c r="A1153" s="20"/>
      <c r="B1153" s="20"/>
      <c r="C1153" s="20"/>
      <c r="D1153" s="20"/>
      <c r="E1153" s="20"/>
      <c r="F1153" s="20"/>
      <c r="G1153" s="20"/>
      <c r="H1153" s="23"/>
      <c r="I1153" s="20"/>
      <c r="J1153" s="20"/>
      <c r="K1153" s="27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</row>
    <row r="1154" spans="1:68" ht="12.75" customHeight="1">
      <c r="A1154" s="20"/>
      <c r="B1154" s="20"/>
      <c r="C1154" s="20"/>
      <c r="D1154" s="20"/>
      <c r="E1154" s="20"/>
      <c r="F1154" s="20"/>
      <c r="G1154" s="20"/>
      <c r="H1154" s="23"/>
      <c r="I1154" s="20"/>
      <c r="J1154" s="20"/>
      <c r="K1154" s="27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</row>
    <row r="1155" spans="1:68" ht="12.75" customHeight="1">
      <c r="A1155" s="20"/>
      <c r="B1155" s="20"/>
      <c r="C1155" s="20"/>
      <c r="D1155" s="20"/>
      <c r="E1155" s="20"/>
      <c r="F1155" s="20"/>
      <c r="G1155" s="20"/>
      <c r="H1155" s="23"/>
      <c r="I1155" s="20"/>
      <c r="J1155" s="20"/>
      <c r="K1155" s="27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</row>
    <row r="1156" spans="1:68" ht="12.75" customHeight="1">
      <c r="A1156" s="20"/>
      <c r="B1156" s="20"/>
      <c r="C1156" s="20"/>
      <c r="D1156" s="20"/>
      <c r="E1156" s="20"/>
      <c r="F1156" s="20"/>
      <c r="G1156" s="20"/>
      <c r="H1156" s="23"/>
      <c r="I1156" s="20"/>
      <c r="J1156" s="20"/>
      <c r="K1156" s="27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</row>
    <row r="1157" spans="1:68" ht="12.75" customHeight="1">
      <c r="A1157" s="20"/>
      <c r="B1157" s="20"/>
      <c r="C1157" s="20"/>
      <c r="D1157" s="20"/>
      <c r="E1157" s="20"/>
      <c r="F1157" s="20"/>
      <c r="G1157" s="20"/>
      <c r="H1157" s="23"/>
      <c r="I1157" s="20"/>
      <c r="J1157" s="20"/>
      <c r="K1157" s="27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</row>
    <row r="1158" spans="1:68" ht="12.75" customHeight="1">
      <c r="A1158" s="20"/>
      <c r="B1158" s="20"/>
      <c r="C1158" s="20"/>
      <c r="D1158" s="20"/>
      <c r="E1158" s="20"/>
      <c r="F1158" s="20"/>
      <c r="G1158" s="20"/>
      <c r="H1158" s="23"/>
      <c r="I1158" s="20"/>
      <c r="J1158" s="20"/>
      <c r="K1158" s="27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</row>
    <row r="1159" spans="1:68" ht="12.75" customHeight="1">
      <c r="A1159" s="20"/>
      <c r="B1159" s="20"/>
      <c r="C1159" s="20"/>
      <c r="D1159" s="20"/>
      <c r="E1159" s="20"/>
      <c r="F1159" s="20"/>
      <c r="G1159" s="20"/>
      <c r="H1159" s="23"/>
      <c r="I1159" s="20"/>
      <c r="J1159" s="20"/>
      <c r="K1159" s="27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</row>
    <row r="1160" spans="1:68" ht="12.75" customHeight="1">
      <c r="A1160" s="20"/>
      <c r="B1160" s="20"/>
      <c r="C1160" s="20"/>
      <c r="D1160" s="20"/>
      <c r="E1160" s="20"/>
      <c r="F1160" s="20"/>
      <c r="G1160" s="20"/>
      <c r="H1160" s="23"/>
      <c r="I1160" s="20"/>
      <c r="J1160" s="20"/>
      <c r="K1160" s="27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</row>
    <row r="1161" spans="1:68" ht="12.75" customHeight="1">
      <c r="A1161" s="20"/>
      <c r="B1161" s="20"/>
      <c r="C1161" s="20"/>
      <c r="D1161" s="20"/>
      <c r="E1161" s="20"/>
      <c r="F1161" s="20"/>
      <c r="G1161" s="20"/>
      <c r="H1161" s="23"/>
      <c r="I1161" s="20"/>
      <c r="J1161" s="20"/>
      <c r="K1161" s="27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</row>
    <row r="1162" spans="1:68" ht="12.75" customHeight="1">
      <c r="A1162" s="20"/>
      <c r="B1162" s="20"/>
      <c r="C1162" s="20"/>
      <c r="D1162" s="20"/>
      <c r="E1162" s="20"/>
      <c r="F1162" s="20"/>
      <c r="G1162" s="20"/>
      <c r="H1162" s="23"/>
      <c r="I1162" s="20"/>
      <c r="J1162" s="20"/>
      <c r="K1162" s="27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</row>
    <row r="1163" spans="1:68" ht="12.75" customHeight="1">
      <c r="A1163" s="20"/>
      <c r="B1163" s="20"/>
      <c r="C1163" s="20"/>
      <c r="D1163" s="20"/>
      <c r="E1163" s="20"/>
      <c r="F1163" s="20"/>
      <c r="G1163" s="20"/>
      <c r="H1163" s="23"/>
      <c r="I1163" s="20"/>
      <c r="J1163" s="20"/>
      <c r="K1163" s="27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</row>
    <row r="1164" spans="1:68" ht="12.75" customHeight="1">
      <c r="A1164" s="20"/>
      <c r="B1164" s="20"/>
      <c r="C1164" s="20"/>
      <c r="D1164" s="20"/>
      <c r="E1164" s="20"/>
      <c r="F1164" s="20"/>
      <c r="G1164" s="20"/>
      <c r="H1164" s="23"/>
      <c r="I1164" s="20"/>
      <c r="J1164" s="20"/>
      <c r="K1164" s="27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</row>
    <row r="1165" spans="1:68" ht="12.75" customHeight="1">
      <c r="A1165" s="20"/>
      <c r="B1165" s="20"/>
      <c r="C1165" s="20"/>
      <c r="D1165" s="20"/>
      <c r="E1165" s="20"/>
      <c r="F1165" s="20"/>
      <c r="G1165" s="20"/>
      <c r="H1165" s="23"/>
      <c r="I1165" s="20"/>
      <c r="J1165" s="20"/>
      <c r="K1165" s="27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</row>
    <row r="1166" spans="1:68" ht="12.75" customHeight="1">
      <c r="A1166" s="20"/>
      <c r="B1166" s="20"/>
      <c r="C1166" s="20"/>
      <c r="D1166" s="20"/>
      <c r="E1166" s="20"/>
      <c r="F1166" s="20"/>
      <c r="G1166" s="20"/>
      <c r="H1166" s="23"/>
      <c r="I1166" s="20"/>
      <c r="J1166" s="20"/>
      <c r="K1166" s="27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</row>
    <row r="1167" spans="1:68" ht="12.75" customHeight="1">
      <c r="A1167" s="20"/>
      <c r="B1167" s="20"/>
      <c r="C1167" s="20"/>
      <c r="D1167" s="20"/>
      <c r="E1167" s="20"/>
      <c r="F1167" s="20"/>
      <c r="G1167" s="20"/>
      <c r="H1167" s="23"/>
      <c r="I1167" s="20"/>
      <c r="J1167" s="20"/>
      <c r="K1167" s="27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</row>
    <row r="1168" spans="1:68" ht="12.75" customHeight="1">
      <c r="A1168" s="20"/>
      <c r="B1168" s="20"/>
      <c r="C1168" s="20"/>
      <c r="D1168" s="20"/>
      <c r="E1168" s="20"/>
      <c r="F1168" s="20"/>
      <c r="G1168" s="20"/>
      <c r="H1168" s="23"/>
      <c r="I1168" s="20"/>
      <c r="J1168" s="20"/>
      <c r="K1168" s="27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</row>
    <row r="1169" spans="1:68" ht="12.75" customHeight="1">
      <c r="A1169" s="20"/>
      <c r="B1169" s="20"/>
      <c r="C1169" s="20"/>
      <c r="D1169" s="20"/>
      <c r="E1169" s="20"/>
      <c r="F1169" s="20"/>
      <c r="G1169" s="20"/>
      <c r="H1169" s="23"/>
      <c r="I1169" s="20"/>
      <c r="J1169" s="20"/>
      <c r="K1169" s="27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</row>
    <row r="1170" spans="1:68" ht="12.75" customHeight="1">
      <c r="A1170" s="20"/>
      <c r="B1170" s="20"/>
      <c r="C1170" s="20"/>
      <c r="D1170" s="20"/>
      <c r="E1170" s="20"/>
      <c r="F1170" s="20"/>
      <c r="G1170" s="20"/>
      <c r="H1170" s="23"/>
      <c r="I1170" s="20"/>
      <c r="J1170" s="20"/>
      <c r="K1170" s="27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</row>
    <row r="1171" spans="1:68" ht="12.75" customHeight="1">
      <c r="A1171" s="20"/>
      <c r="B1171" s="20"/>
      <c r="C1171" s="20"/>
      <c r="D1171" s="20"/>
      <c r="E1171" s="20"/>
      <c r="F1171" s="20"/>
      <c r="G1171" s="20"/>
      <c r="H1171" s="23"/>
      <c r="I1171" s="20"/>
      <c r="J1171" s="20"/>
      <c r="K1171" s="27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</row>
    <row r="1172" spans="1:68" ht="12.75" customHeight="1">
      <c r="A1172" s="20"/>
      <c r="B1172" s="20"/>
      <c r="C1172" s="20"/>
      <c r="D1172" s="20"/>
      <c r="E1172" s="20"/>
      <c r="F1172" s="20"/>
      <c r="G1172" s="20"/>
      <c r="H1172" s="23"/>
      <c r="I1172" s="20"/>
      <c r="J1172" s="20"/>
      <c r="K1172" s="27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</row>
    <row r="1173" spans="1:68" ht="12.75" customHeight="1">
      <c r="A1173" s="20"/>
      <c r="B1173" s="20"/>
      <c r="C1173" s="20"/>
      <c r="D1173" s="20"/>
      <c r="E1173" s="20"/>
      <c r="F1173" s="20"/>
      <c r="G1173" s="20"/>
      <c r="H1173" s="23"/>
      <c r="I1173" s="20"/>
      <c r="J1173" s="20"/>
      <c r="K1173" s="27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</row>
    <row r="1174" spans="1:68" ht="12.75" customHeight="1">
      <c r="A1174" s="20"/>
      <c r="B1174" s="20"/>
      <c r="C1174" s="20"/>
      <c r="D1174" s="20"/>
      <c r="E1174" s="20"/>
      <c r="F1174" s="20"/>
      <c r="G1174" s="20"/>
      <c r="H1174" s="23"/>
      <c r="I1174" s="20"/>
      <c r="J1174" s="20"/>
      <c r="K1174" s="27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</row>
    <row r="1175" spans="1:68" ht="12.75" customHeight="1">
      <c r="A1175" s="20"/>
      <c r="B1175" s="20"/>
      <c r="C1175" s="20"/>
      <c r="D1175" s="20"/>
      <c r="E1175" s="20"/>
      <c r="F1175" s="20"/>
      <c r="G1175" s="20"/>
      <c r="H1175" s="23"/>
      <c r="I1175" s="20"/>
      <c r="J1175" s="20"/>
      <c r="K1175" s="27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</row>
    <row r="1176" spans="1:68" ht="12.75" customHeight="1">
      <c r="A1176" s="20"/>
      <c r="B1176" s="20"/>
      <c r="C1176" s="20"/>
      <c r="D1176" s="20"/>
      <c r="E1176" s="20"/>
      <c r="F1176" s="20"/>
      <c r="G1176" s="20"/>
      <c r="H1176" s="23"/>
      <c r="I1176" s="20"/>
      <c r="J1176" s="20"/>
      <c r="K1176" s="27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</row>
    <row r="1177" spans="1:68" ht="12.75" customHeight="1">
      <c r="A1177" s="20"/>
      <c r="B1177" s="20"/>
      <c r="C1177" s="20"/>
      <c r="D1177" s="20"/>
      <c r="E1177" s="20"/>
      <c r="F1177" s="20"/>
      <c r="G1177" s="20"/>
      <c r="H1177" s="23"/>
      <c r="I1177" s="20"/>
      <c r="J1177" s="20"/>
      <c r="K1177" s="27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</row>
    <row r="1178" spans="1:68" ht="12.75" customHeight="1">
      <c r="A1178" s="20"/>
      <c r="B1178" s="20"/>
      <c r="C1178" s="20"/>
      <c r="D1178" s="20"/>
      <c r="E1178" s="20"/>
      <c r="F1178" s="20"/>
      <c r="G1178" s="20"/>
      <c r="H1178" s="23"/>
      <c r="I1178" s="20"/>
      <c r="J1178" s="20"/>
      <c r="K1178" s="27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</row>
    <row r="1179" spans="1:68" ht="12.75" customHeight="1">
      <c r="A1179" s="20"/>
      <c r="B1179" s="20"/>
      <c r="C1179" s="20"/>
      <c r="D1179" s="20"/>
      <c r="E1179" s="20"/>
      <c r="F1179" s="20"/>
      <c r="G1179" s="20"/>
      <c r="H1179" s="23"/>
      <c r="I1179" s="20"/>
      <c r="J1179" s="20"/>
      <c r="K1179" s="27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</row>
    <row r="1180" spans="1:68" ht="12.75" customHeight="1">
      <c r="A1180" s="20"/>
      <c r="B1180" s="20"/>
      <c r="C1180" s="20"/>
      <c r="D1180" s="20"/>
      <c r="E1180" s="20"/>
      <c r="F1180" s="20"/>
      <c r="G1180" s="20"/>
      <c r="H1180" s="23"/>
      <c r="I1180" s="20"/>
      <c r="J1180" s="20"/>
      <c r="K1180" s="27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</row>
    <row r="1181" spans="1:68" ht="12.75" customHeight="1">
      <c r="A1181" s="20"/>
      <c r="B1181" s="20"/>
      <c r="C1181" s="20"/>
      <c r="D1181" s="20"/>
      <c r="E1181" s="20"/>
      <c r="F1181" s="20"/>
      <c r="G1181" s="20"/>
      <c r="H1181" s="23"/>
      <c r="I1181" s="20"/>
      <c r="J1181" s="20"/>
      <c r="K1181" s="27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</row>
    <row r="1182" spans="1:68" ht="12.75" customHeight="1">
      <c r="A1182" s="20"/>
      <c r="B1182" s="20"/>
      <c r="C1182" s="20"/>
      <c r="D1182" s="20"/>
      <c r="E1182" s="20"/>
      <c r="F1182" s="20"/>
      <c r="G1182" s="20"/>
      <c r="H1182" s="23"/>
      <c r="I1182" s="20"/>
      <c r="J1182" s="20"/>
      <c r="K1182" s="27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</row>
    <row r="1183" spans="1:68" ht="12.75" customHeight="1">
      <c r="A1183" s="20"/>
      <c r="B1183" s="20"/>
      <c r="C1183" s="20"/>
      <c r="D1183" s="20"/>
      <c r="E1183" s="20"/>
      <c r="F1183" s="20"/>
      <c r="G1183" s="20"/>
      <c r="H1183" s="23"/>
      <c r="I1183" s="20"/>
      <c r="J1183" s="20"/>
      <c r="K1183" s="27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</row>
    <row r="1184" spans="1:68" ht="12.75" customHeight="1">
      <c r="A1184" s="20"/>
      <c r="B1184" s="20"/>
      <c r="C1184" s="20"/>
      <c r="D1184" s="20"/>
      <c r="E1184" s="20"/>
      <c r="F1184" s="20"/>
      <c r="G1184" s="20"/>
      <c r="H1184" s="23"/>
      <c r="I1184" s="20"/>
      <c r="J1184" s="20"/>
      <c r="K1184" s="27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</row>
    <row r="1185" spans="1:68" ht="12.75" customHeight="1">
      <c r="A1185" s="20"/>
      <c r="B1185" s="20"/>
      <c r="C1185" s="20"/>
      <c r="D1185" s="20"/>
      <c r="E1185" s="20"/>
      <c r="F1185" s="20"/>
      <c r="G1185" s="20"/>
      <c r="H1185" s="23"/>
      <c r="I1185" s="20"/>
      <c r="J1185" s="20"/>
      <c r="K1185" s="27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</row>
    <row r="1186" spans="1:68" ht="12.75" customHeight="1">
      <c r="A1186" s="20"/>
      <c r="B1186" s="20"/>
      <c r="C1186" s="20"/>
      <c r="D1186" s="20"/>
      <c r="E1186" s="20"/>
      <c r="F1186" s="20"/>
      <c r="G1186" s="20"/>
      <c r="H1186" s="23"/>
      <c r="I1186" s="20"/>
      <c r="J1186" s="20"/>
      <c r="K1186" s="27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</row>
    <row r="1187" spans="1:68" ht="12.75" customHeight="1">
      <c r="A1187" s="20"/>
      <c r="B1187" s="20"/>
      <c r="C1187" s="20"/>
      <c r="D1187" s="20"/>
      <c r="E1187" s="20"/>
      <c r="F1187" s="20"/>
      <c r="G1187" s="20"/>
      <c r="H1187" s="23"/>
      <c r="I1187" s="20"/>
      <c r="J1187" s="20"/>
      <c r="K1187" s="27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</row>
    <row r="1188" spans="1:68" ht="12.75" customHeight="1">
      <c r="A1188" s="20"/>
      <c r="B1188" s="20"/>
      <c r="C1188" s="20"/>
      <c r="D1188" s="20"/>
      <c r="E1188" s="20"/>
      <c r="F1188" s="20"/>
      <c r="G1188" s="20"/>
      <c r="H1188" s="23"/>
      <c r="I1188" s="20"/>
      <c r="J1188" s="20"/>
      <c r="K1188" s="27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</row>
    <row r="1189" spans="1:68" ht="12.75" customHeight="1">
      <c r="A1189" s="20"/>
      <c r="B1189" s="20"/>
      <c r="C1189" s="20"/>
      <c r="D1189" s="20"/>
      <c r="E1189" s="20"/>
      <c r="F1189" s="20"/>
      <c r="G1189" s="20"/>
      <c r="H1189" s="23"/>
      <c r="I1189" s="20"/>
      <c r="J1189" s="20"/>
      <c r="K1189" s="27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</row>
    <row r="1190" spans="1:68" ht="12.75" customHeight="1">
      <c r="A1190" s="20"/>
      <c r="B1190" s="20"/>
      <c r="C1190" s="20"/>
      <c r="D1190" s="20"/>
      <c r="E1190" s="20"/>
      <c r="F1190" s="20"/>
      <c r="G1190" s="20"/>
      <c r="H1190" s="23"/>
      <c r="I1190" s="20"/>
      <c r="J1190" s="20"/>
      <c r="K1190" s="27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</row>
    <row r="1191" spans="1:68" ht="12.75" customHeight="1">
      <c r="A1191" s="20"/>
      <c r="B1191" s="20"/>
      <c r="C1191" s="20"/>
      <c r="D1191" s="20"/>
      <c r="E1191" s="20"/>
      <c r="F1191" s="20"/>
      <c r="G1191" s="20"/>
      <c r="H1191" s="23"/>
      <c r="I1191" s="20"/>
      <c r="J1191" s="20"/>
      <c r="K1191" s="27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</row>
    <row r="1192" spans="1:68" ht="12.75" customHeight="1">
      <c r="A1192" s="20"/>
      <c r="B1192" s="20"/>
      <c r="C1192" s="20"/>
      <c r="D1192" s="20"/>
      <c r="E1192" s="20"/>
      <c r="F1192" s="20"/>
      <c r="G1192" s="20"/>
      <c r="H1192" s="23"/>
      <c r="I1192" s="20"/>
      <c r="J1192" s="20"/>
      <c r="K1192" s="27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</row>
    <row r="1193" spans="1:68" ht="12.75" customHeight="1">
      <c r="A1193" s="20"/>
      <c r="B1193" s="20"/>
      <c r="C1193" s="20"/>
      <c r="D1193" s="20"/>
      <c r="E1193" s="20"/>
      <c r="F1193" s="20"/>
      <c r="G1193" s="20"/>
      <c r="H1193" s="23"/>
      <c r="I1193" s="20"/>
      <c r="J1193" s="20"/>
      <c r="K1193" s="27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</row>
    <row r="1194" spans="1:68" ht="12.75" customHeight="1">
      <c r="A1194" s="20"/>
      <c r="B1194" s="20"/>
      <c r="C1194" s="20"/>
      <c r="D1194" s="20"/>
      <c r="E1194" s="20"/>
      <c r="F1194" s="20"/>
      <c r="G1194" s="20"/>
      <c r="H1194" s="23"/>
      <c r="I1194" s="20"/>
      <c r="J1194" s="20"/>
      <c r="K1194" s="27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</row>
    <row r="1195" spans="1:68" ht="12.75" customHeight="1">
      <c r="A1195" s="20"/>
      <c r="B1195" s="20"/>
      <c r="C1195" s="20"/>
      <c r="D1195" s="20"/>
      <c r="E1195" s="20"/>
      <c r="F1195" s="20"/>
      <c r="G1195" s="20"/>
      <c r="H1195" s="23"/>
      <c r="I1195" s="20"/>
      <c r="J1195" s="20"/>
      <c r="K1195" s="27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</row>
    <row r="1196" spans="1:68" ht="12.75" customHeight="1">
      <c r="A1196" s="20"/>
      <c r="B1196" s="20"/>
      <c r="C1196" s="20"/>
      <c r="D1196" s="20"/>
      <c r="E1196" s="20"/>
      <c r="F1196" s="20"/>
      <c r="G1196" s="20"/>
      <c r="H1196" s="23"/>
      <c r="I1196" s="20"/>
      <c r="J1196" s="20"/>
      <c r="K1196" s="27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</row>
    <row r="1197" spans="1:68" ht="12.75" customHeight="1">
      <c r="A1197" s="20"/>
      <c r="B1197" s="20"/>
      <c r="C1197" s="20"/>
      <c r="D1197" s="20"/>
      <c r="E1197" s="20"/>
      <c r="F1197" s="20"/>
      <c r="G1197" s="20"/>
      <c r="H1197" s="23"/>
      <c r="I1197" s="20"/>
      <c r="J1197" s="20"/>
      <c r="K1197" s="27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</row>
    <row r="1198" spans="1:68" ht="12.75" customHeight="1">
      <c r="A1198" s="20"/>
      <c r="B1198" s="20"/>
      <c r="C1198" s="20"/>
      <c r="D1198" s="20"/>
      <c r="E1198" s="20"/>
      <c r="F1198" s="20"/>
      <c r="G1198" s="20"/>
      <c r="H1198" s="23"/>
      <c r="I1198" s="20"/>
      <c r="J1198" s="20"/>
      <c r="K1198" s="27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</row>
    <row r="1199" spans="1:68" ht="12.75" customHeight="1">
      <c r="A1199" s="20"/>
      <c r="B1199" s="20"/>
      <c r="C1199" s="20"/>
      <c r="D1199" s="20"/>
      <c r="E1199" s="20"/>
      <c r="F1199" s="20"/>
      <c r="G1199" s="20"/>
      <c r="H1199" s="23"/>
      <c r="I1199" s="20"/>
      <c r="J1199" s="20"/>
      <c r="K1199" s="27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</row>
    <row r="1200" spans="1:68" ht="12.75" customHeight="1">
      <c r="A1200" s="20"/>
      <c r="B1200" s="20"/>
      <c r="C1200" s="20"/>
      <c r="D1200" s="20"/>
      <c r="E1200" s="20"/>
      <c r="F1200" s="20"/>
      <c r="G1200" s="20"/>
      <c r="H1200" s="23"/>
      <c r="I1200" s="20"/>
      <c r="J1200" s="20"/>
      <c r="K1200" s="27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</row>
    <row r="1201" spans="1:68" ht="12.75" customHeight="1">
      <c r="A1201" s="20"/>
      <c r="B1201" s="20"/>
      <c r="C1201" s="20"/>
      <c r="D1201" s="20"/>
      <c r="E1201" s="20"/>
      <c r="F1201" s="20"/>
      <c r="G1201" s="20"/>
      <c r="H1201" s="23"/>
      <c r="I1201" s="20"/>
      <c r="J1201" s="20"/>
      <c r="K1201" s="27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</row>
    <row r="1202" spans="1:68" ht="12.75" customHeight="1">
      <c r="A1202" s="20"/>
      <c r="B1202" s="20"/>
      <c r="C1202" s="20"/>
      <c r="D1202" s="20"/>
      <c r="E1202" s="20"/>
      <c r="F1202" s="20"/>
      <c r="G1202" s="20"/>
      <c r="H1202" s="23"/>
      <c r="I1202" s="20"/>
      <c r="J1202" s="20"/>
      <c r="K1202" s="27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</row>
    <row r="1203" spans="1:68" ht="12.75" customHeight="1">
      <c r="A1203" s="20"/>
      <c r="B1203" s="20"/>
      <c r="C1203" s="20"/>
      <c r="D1203" s="20"/>
      <c r="E1203" s="20"/>
      <c r="F1203" s="20"/>
      <c r="G1203" s="20"/>
      <c r="H1203" s="23"/>
      <c r="I1203" s="20"/>
      <c r="J1203" s="20"/>
      <c r="K1203" s="27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</row>
    <row r="1204" spans="1:68" ht="12.75" customHeight="1">
      <c r="A1204" s="20"/>
      <c r="B1204" s="20"/>
      <c r="C1204" s="20"/>
      <c r="D1204" s="20"/>
      <c r="E1204" s="20"/>
      <c r="F1204" s="20"/>
      <c r="G1204" s="20"/>
      <c r="H1204" s="23"/>
      <c r="I1204" s="20"/>
      <c r="J1204" s="20"/>
      <c r="K1204" s="27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</row>
    <row r="1205" spans="1:68" ht="12.75" customHeight="1">
      <c r="A1205" s="20"/>
      <c r="B1205" s="20"/>
      <c r="C1205" s="20"/>
      <c r="D1205" s="20"/>
      <c r="E1205" s="20"/>
      <c r="F1205" s="20"/>
      <c r="G1205" s="20"/>
      <c r="H1205" s="23"/>
      <c r="I1205" s="20"/>
      <c r="J1205" s="20"/>
      <c r="K1205" s="27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</row>
    <row r="1206" spans="1:68" ht="12.75" customHeight="1">
      <c r="A1206" s="20"/>
      <c r="B1206" s="20"/>
      <c r="C1206" s="20"/>
      <c r="D1206" s="20"/>
      <c r="E1206" s="20"/>
      <c r="F1206" s="20"/>
      <c r="G1206" s="20"/>
      <c r="H1206" s="23"/>
      <c r="I1206" s="20"/>
      <c r="J1206" s="20"/>
      <c r="K1206" s="27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</row>
    <row r="1207" spans="1:68" ht="12.75" customHeight="1">
      <c r="A1207" s="20"/>
      <c r="B1207" s="20"/>
      <c r="C1207" s="20"/>
      <c r="D1207" s="20"/>
      <c r="E1207" s="20"/>
      <c r="F1207" s="20"/>
      <c r="G1207" s="20"/>
      <c r="H1207" s="23"/>
      <c r="I1207" s="20"/>
      <c r="J1207" s="20"/>
      <c r="K1207" s="27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</row>
    <row r="1208" spans="1:68" ht="12.75" customHeight="1">
      <c r="A1208" s="20"/>
      <c r="B1208" s="20"/>
      <c r="C1208" s="20"/>
      <c r="D1208" s="20"/>
      <c r="E1208" s="20"/>
      <c r="F1208" s="20"/>
      <c r="G1208" s="20"/>
      <c r="H1208" s="23"/>
      <c r="I1208" s="20"/>
      <c r="J1208" s="20"/>
      <c r="K1208" s="27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</row>
    <row r="1209" spans="1:68" ht="12.75" customHeight="1">
      <c r="A1209" s="20"/>
      <c r="B1209" s="20"/>
      <c r="C1209" s="20"/>
      <c r="D1209" s="20"/>
      <c r="E1209" s="20"/>
      <c r="F1209" s="20"/>
      <c r="G1209" s="20"/>
      <c r="H1209" s="23"/>
      <c r="I1209" s="20"/>
      <c r="J1209" s="20"/>
      <c r="K1209" s="27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</row>
    <row r="1210" spans="1:68" ht="12.75" customHeight="1">
      <c r="A1210" s="20"/>
      <c r="B1210" s="20"/>
      <c r="C1210" s="20"/>
      <c r="D1210" s="20"/>
      <c r="E1210" s="20"/>
      <c r="F1210" s="20"/>
      <c r="G1210" s="20"/>
      <c r="H1210" s="23"/>
      <c r="I1210" s="20"/>
      <c r="J1210" s="20"/>
      <c r="K1210" s="27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</row>
    <row r="1211" spans="1:68" ht="12.75" customHeight="1">
      <c r="A1211" s="20"/>
      <c r="B1211" s="20"/>
      <c r="C1211" s="20"/>
      <c r="D1211" s="20"/>
      <c r="E1211" s="20"/>
      <c r="F1211" s="20"/>
      <c r="G1211" s="20"/>
      <c r="H1211" s="23"/>
      <c r="I1211" s="20"/>
      <c r="J1211" s="20"/>
      <c r="K1211" s="27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</row>
    <row r="1212" spans="1:68" ht="12.75" customHeight="1">
      <c r="A1212" s="20"/>
      <c r="B1212" s="20"/>
      <c r="C1212" s="20"/>
      <c r="D1212" s="20"/>
      <c r="E1212" s="20"/>
      <c r="F1212" s="20"/>
      <c r="G1212" s="20"/>
      <c r="H1212" s="23"/>
      <c r="I1212" s="20"/>
      <c r="J1212" s="20"/>
      <c r="K1212" s="27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</row>
    <row r="1213" spans="1:68" ht="12.75" customHeight="1">
      <c r="A1213" s="20"/>
      <c r="B1213" s="20"/>
      <c r="C1213" s="20"/>
      <c r="D1213" s="20"/>
      <c r="E1213" s="20"/>
      <c r="F1213" s="20"/>
      <c r="G1213" s="20"/>
      <c r="H1213" s="23"/>
      <c r="I1213" s="20"/>
      <c r="J1213" s="20"/>
      <c r="K1213" s="27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</row>
    <row r="1214" spans="1:68" ht="12.75" customHeight="1">
      <c r="A1214" s="20"/>
      <c r="B1214" s="20"/>
      <c r="C1214" s="20"/>
      <c r="D1214" s="20"/>
      <c r="E1214" s="20"/>
      <c r="F1214" s="20"/>
      <c r="G1214" s="20"/>
      <c r="H1214" s="23"/>
      <c r="I1214" s="20"/>
      <c r="J1214" s="20"/>
      <c r="K1214" s="27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</row>
    <row r="1215" spans="1:68" ht="12.75" customHeight="1">
      <c r="A1215" s="20"/>
      <c r="B1215" s="20"/>
      <c r="C1215" s="20"/>
      <c r="D1215" s="20"/>
      <c r="E1215" s="20"/>
      <c r="F1215" s="20"/>
      <c r="G1215" s="20"/>
      <c r="H1215" s="23"/>
      <c r="I1215" s="20"/>
      <c r="J1215" s="20"/>
      <c r="K1215" s="27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</row>
    <row r="1216" spans="1:68" ht="12.75" customHeight="1">
      <c r="A1216" s="20"/>
      <c r="B1216" s="20"/>
      <c r="C1216" s="20"/>
      <c r="D1216" s="20"/>
      <c r="E1216" s="20"/>
      <c r="F1216" s="20"/>
      <c r="G1216" s="20"/>
      <c r="H1216" s="23"/>
      <c r="I1216" s="20"/>
      <c r="J1216" s="20"/>
      <c r="K1216" s="27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</row>
    <row r="1217" spans="1:68" ht="12.75" customHeight="1">
      <c r="A1217" s="20"/>
      <c r="B1217" s="20"/>
      <c r="C1217" s="20"/>
      <c r="D1217" s="20"/>
      <c r="E1217" s="20"/>
      <c r="F1217" s="20"/>
      <c r="G1217" s="20"/>
      <c r="H1217" s="23"/>
      <c r="I1217" s="20"/>
      <c r="J1217" s="20"/>
      <c r="K1217" s="27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</row>
    <row r="1218" spans="1:68" ht="12.75" customHeight="1">
      <c r="A1218" s="20"/>
      <c r="B1218" s="20"/>
      <c r="C1218" s="20"/>
      <c r="D1218" s="20"/>
      <c r="E1218" s="20"/>
      <c r="F1218" s="20"/>
      <c r="G1218" s="20"/>
      <c r="H1218" s="23"/>
      <c r="I1218" s="20"/>
      <c r="J1218" s="20"/>
      <c r="K1218" s="27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</row>
    <row r="1219" spans="1:68" ht="12.75" customHeight="1">
      <c r="A1219" s="20"/>
      <c r="B1219" s="20"/>
      <c r="C1219" s="20"/>
      <c r="D1219" s="20"/>
      <c r="E1219" s="20"/>
      <c r="F1219" s="20"/>
      <c r="G1219" s="20"/>
      <c r="H1219" s="23"/>
      <c r="I1219" s="20"/>
      <c r="J1219" s="20"/>
      <c r="K1219" s="27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</row>
    <row r="1220" spans="1:68" ht="12.75" customHeight="1">
      <c r="A1220" s="20"/>
      <c r="B1220" s="20"/>
      <c r="C1220" s="20"/>
      <c r="D1220" s="20"/>
      <c r="E1220" s="20"/>
      <c r="F1220" s="20"/>
      <c r="G1220" s="20"/>
      <c r="H1220" s="23"/>
      <c r="I1220" s="20"/>
      <c r="J1220" s="20"/>
      <c r="K1220" s="27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</row>
    <row r="1221" spans="1:68" ht="12.75" customHeight="1">
      <c r="A1221" s="20"/>
      <c r="B1221" s="20"/>
      <c r="C1221" s="20"/>
      <c r="D1221" s="20"/>
      <c r="E1221" s="20"/>
      <c r="F1221" s="20"/>
      <c r="G1221" s="20"/>
      <c r="H1221" s="23"/>
      <c r="I1221" s="20"/>
      <c r="J1221" s="20"/>
      <c r="K1221" s="27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</row>
    <row r="1222" spans="1:68" ht="12.75" customHeight="1">
      <c r="A1222" s="20"/>
      <c r="B1222" s="20"/>
      <c r="C1222" s="20"/>
      <c r="D1222" s="20"/>
      <c r="E1222" s="20"/>
      <c r="F1222" s="20"/>
      <c r="G1222" s="20"/>
      <c r="H1222" s="23"/>
      <c r="I1222" s="20"/>
      <c r="J1222" s="20"/>
      <c r="K1222" s="27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</row>
    <row r="1223" spans="1:68" ht="12.75" customHeight="1">
      <c r="A1223" s="20"/>
      <c r="B1223" s="20"/>
      <c r="C1223" s="20"/>
      <c r="D1223" s="20"/>
      <c r="E1223" s="20"/>
      <c r="F1223" s="20"/>
      <c r="G1223" s="20"/>
      <c r="H1223" s="23"/>
      <c r="I1223" s="20"/>
      <c r="J1223" s="20"/>
      <c r="K1223" s="27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</row>
    <row r="1224" spans="1:68" ht="12.75" customHeight="1">
      <c r="A1224" s="20"/>
      <c r="B1224" s="20"/>
      <c r="C1224" s="20"/>
      <c r="D1224" s="20"/>
      <c r="E1224" s="20"/>
      <c r="F1224" s="20"/>
      <c r="G1224" s="20"/>
      <c r="H1224" s="23"/>
      <c r="I1224" s="20"/>
      <c r="J1224" s="20"/>
      <c r="K1224" s="27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</row>
    <row r="1225" spans="1:68" ht="12.75" customHeight="1">
      <c r="A1225" s="20"/>
      <c r="B1225" s="20"/>
      <c r="C1225" s="20"/>
      <c r="D1225" s="20"/>
      <c r="E1225" s="20"/>
      <c r="F1225" s="20"/>
      <c r="G1225" s="20"/>
      <c r="H1225" s="23"/>
      <c r="I1225" s="20"/>
      <c r="J1225" s="20"/>
      <c r="K1225" s="27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</row>
    <row r="1226" spans="1:68" ht="12.75" customHeight="1">
      <c r="A1226" s="20"/>
      <c r="B1226" s="20"/>
      <c r="C1226" s="20"/>
      <c r="D1226" s="20"/>
      <c r="E1226" s="20"/>
      <c r="F1226" s="20"/>
      <c r="G1226" s="20"/>
      <c r="H1226" s="23"/>
      <c r="I1226" s="20"/>
      <c r="J1226" s="20"/>
      <c r="K1226" s="27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</row>
    <row r="1227" spans="1:68" ht="12.75" customHeight="1">
      <c r="A1227" s="20"/>
      <c r="B1227" s="20"/>
      <c r="C1227" s="20"/>
      <c r="D1227" s="20"/>
      <c r="E1227" s="20"/>
      <c r="F1227" s="20"/>
      <c r="G1227" s="20"/>
      <c r="H1227" s="23"/>
      <c r="I1227" s="20"/>
      <c r="J1227" s="20"/>
      <c r="K1227" s="27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</row>
    <row r="1228" spans="1:68" ht="12.75" customHeight="1">
      <c r="A1228" s="20"/>
      <c r="B1228" s="20"/>
      <c r="C1228" s="20"/>
      <c r="D1228" s="20"/>
      <c r="E1228" s="20"/>
      <c r="F1228" s="20"/>
      <c r="G1228" s="20"/>
      <c r="H1228" s="23"/>
      <c r="I1228" s="20"/>
      <c r="J1228" s="20"/>
      <c r="K1228" s="27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</row>
    <row r="1229" spans="1:68" ht="12.75" customHeight="1">
      <c r="A1229" s="20"/>
      <c r="B1229" s="20"/>
      <c r="C1229" s="20"/>
      <c r="D1229" s="20"/>
      <c r="E1229" s="20"/>
      <c r="F1229" s="20"/>
      <c r="G1229" s="20"/>
      <c r="H1229" s="23"/>
      <c r="I1229" s="20"/>
      <c r="J1229" s="20"/>
      <c r="K1229" s="27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</row>
    <row r="1230" spans="1:68" ht="12.75" customHeight="1">
      <c r="A1230" s="20"/>
      <c r="B1230" s="20"/>
      <c r="C1230" s="20"/>
      <c r="D1230" s="20"/>
      <c r="E1230" s="20"/>
      <c r="F1230" s="20"/>
      <c r="G1230" s="20"/>
      <c r="H1230" s="23"/>
      <c r="I1230" s="20"/>
      <c r="J1230" s="20"/>
      <c r="K1230" s="27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</row>
    <row r="1231" spans="1:68" ht="12.75" customHeight="1">
      <c r="A1231" s="20"/>
      <c r="B1231" s="20"/>
      <c r="C1231" s="20"/>
      <c r="D1231" s="20"/>
      <c r="E1231" s="20"/>
      <c r="F1231" s="20"/>
      <c r="G1231" s="20"/>
      <c r="H1231" s="23"/>
      <c r="I1231" s="20"/>
      <c r="J1231" s="20"/>
      <c r="K1231" s="27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</row>
    <row r="1232" spans="1:68" ht="12.75" customHeight="1">
      <c r="A1232" s="20"/>
      <c r="B1232" s="20"/>
      <c r="C1232" s="20"/>
      <c r="D1232" s="20"/>
      <c r="E1232" s="20"/>
      <c r="F1232" s="20"/>
      <c r="G1232" s="20"/>
      <c r="H1232" s="23"/>
      <c r="I1232" s="20"/>
      <c r="J1232" s="20"/>
      <c r="K1232" s="27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</row>
    <row r="1233" spans="1:68" ht="12.75" customHeight="1">
      <c r="A1233" s="20"/>
      <c r="B1233" s="20"/>
      <c r="C1233" s="20"/>
      <c r="D1233" s="20"/>
      <c r="E1233" s="20"/>
      <c r="F1233" s="20"/>
      <c r="G1233" s="20"/>
      <c r="H1233" s="23"/>
      <c r="I1233" s="20"/>
      <c r="J1233" s="20"/>
      <c r="K1233" s="27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</row>
    <row r="1234" spans="1:68" ht="12.75" customHeight="1">
      <c r="A1234" s="20"/>
      <c r="B1234" s="20"/>
      <c r="C1234" s="20"/>
      <c r="D1234" s="20"/>
      <c r="E1234" s="20"/>
      <c r="F1234" s="20"/>
      <c r="G1234" s="20"/>
      <c r="H1234" s="23"/>
      <c r="I1234" s="20"/>
      <c r="J1234" s="20"/>
      <c r="K1234" s="27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</row>
    <row r="1235" spans="1:68" ht="12.75" customHeight="1">
      <c r="A1235" s="20"/>
      <c r="B1235" s="20"/>
      <c r="C1235" s="20"/>
      <c r="D1235" s="20"/>
      <c r="E1235" s="20"/>
      <c r="F1235" s="20"/>
      <c r="G1235" s="20"/>
      <c r="H1235" s="23"/>
      <c r="I1235" s="20"/>
      <c r="J1235" s="20"/>
      <c r="K1235" s="27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</row>
    <row r="1236" spans="1:68" ht="12.75" customHeight="1">
      <c r="A1236" s="20"/>
      <c r="B1236" s="20"/>
      <c r="C1236" s="20"/>
      <c r="D1236" s="20"/>
      <c r="E1236" s="20"/>
      <c r="F1236" s="20"/>
      <c r="G1236" s="20"/>
      <c r="H1236" s="23"/>
      <c r="I1236" s="20"/>
      <c r="J1236" s="20"/>
      <c r="K1236" s="27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</row>
    <row r="1237" spans="1:68" ht="12.75" customHeight="1">
      <c r="A1237" s="20"/>
      <c r="B1237" s="20"/>
      <c r="C1237" s="20"/>
      <c r="D1237" s="20"/>
      <c r="E1237" s="20"/>
      <c r="F1237" s="20"/>
      <c r="G1237" s="20"/>
      <c r="H1237" s="23"/>
      <c r="I1237" s="20"/>
      <c r="J1237" s="20"/>
      <c r="K1237" s="27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</row>
    <row r="1238" spans="1:68" ht="12.75" customHeight="1">
      <c r="A1238" s="20"/>
      <c r="B1238" s="20"/>
      <c r="C1238" s="20"/>
      <c r="D1238" s="20"/>
      <c r="E1238" s="20"/>
      <c r="F1238" s="20"/>
      <c r="G1238" s="20"/>
      <c r="H1238" s="23"/>
      <c r="I1238" s="20"/>
      <c r="J1238" s="20"/>
      <c r="K1238" s="27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</row>
    <row r="1239" spans="1:68" ht="12.75" customHeight="1">
      <c r="A1239" s="20"/>
      <c r="B1239" s="20"/>
      <c r="C1239" s="20"/>
      <c r="D1239" s="20"/>
      <c r="E1239" s="20"/>
      <c r="F1239" s="20"/>
      <c r="G1239" s="20"/>
      <c r="H1239" s="23"/>
      <c r="I1239" s="20"/>
      <c r="J1239" s="20"/>
      <c r="K1239" s="27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</row>
    <row r="1240" spans="1:68" ht="12.75" customHeight="1">
      <c r="A1240" s="20"/>
      <c r="B1240" s="20"/>
      <c r="C1240" s="20"/>
      <c r="D1240" s="20"/>
      <c r="E1240" s="20"/>
      <c r="F1240" s="20"/>
      <c r="G1240" s="20"/>
      <c r="H1240" s="23"/>
      <c r="I1240" s="20"/>
      <c r="J1240" s="20"/>
      <c r="K1240" s="27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</row>
    <row r="1241" spans="1:68" ht="12.75" customHeight="1">
      <c r="A1241" s="20"/>
      <c r="B1241" s="20"/>
      <c r="C1241" s="20"/>
      <c r="D1241" s="20"/>
      <c r="E1241" s="20"/>
      <c r="F1241" s="20"/>
      <c r="G1241" s="20"/>
      <c r="H1241" s="23"/>
      <c r="I1241" s="20"/>
      <c r="J1241" s="20"/>
      <c r="K1241" s="27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</row>
    <row r="1242" spans="1:68" ht="12.75" customHeight="1">
      <c r="A1242" s="20"/>
      <c r="B1242" s="20"/>
      <c r="C1242" s="20"/>
      <c r="D1242" s="20"/>
      <c r="E1242" s="20"/>
      <c r="F1242" s="20"/>
      <c r="G1242" s="20"/>
      <c r="H1242" s="23"/>
      <c r="I1242" s="20"/>
      <c r="J1242" s="20"/>
      <c r="K1242" s="27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</row>
    <row r="1243" spans="1:68" ht="12.75" customHeight="1">
      <c r="A1243" s="20"/>
      <c r="B1243" s="20"/>
      <c r="C1243" s="20"/>
      <c r="D1243" s="20"/>
      <c r="E1243" s="20"/>
      <c r="F1243" s="20"/>
      <c r="G1243" s="20"/>
      <c r="H1243" s="23"/>
      <c r="I1243" s="20"/>
      <c r="J1243" s="20"/>
      <c r="K1243" s="27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</row>
    <row r="1244" spans="1:68" ht="12.75" customHeight="1">
      <c r="A1244" s="20"/>
      <c r="B1244" s="20"/>
      <c r="C1244" s="20"/>
      <c r="D1244" s="20"/>
      <c r="E1244" s="20"/>
      <c r="F1244" s="20"/>
      <c r="G1244" s="20"/>
      <c r="H1244" s="23"/>
      <c r="I1244" s="20"/>
      <c r="J1244" s="20"/>
      <c r="K1244" s="27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</row>
    <row r="1245" spans="1:68" ht="12.75" customHeight="1">
      <c r="A1245" s="20"/>
      <c r="B1245" s="20"/>
      <c r="C1245" s="20"/>
      <c r="D1245" s="20"/>
      <c r="E1245" s="20"/>
      <c r="F1245" s="20"/>
      <c r="G1245" s="20"/>
      <c r="H1245" s="23"/>
      <c r="I1245" s="20"/>
      <c r="J1245" s="20"/>
      <c r="K1245" s="27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</row>
    <row r="1246" spans="1:68" ht="12.75" customHeight="1">
      <c r="A1246" s="20"/>
      <c r="B1246" s="20"/>
      <c r="C1246" s="20"/>
      <c r="D1246" s="20"/>
      <c r="E1246" s="20"/>
      <c r="F1246" s="20"/>
      <c r="G1246" s="20"/>
      <c r="H1246" s="23"/>
      <c r="I1246" s="20"/>
      <c r="J1246" s="20"/>
      <c r="K1246" s="27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</row>
    <row r="1247" spans="1:68" ht="12.75" customHeight="1">
      <c r="A1247" s="20"/>
      <c r="B1247" s="20"/>
      <c r="C1247" s="20"/>
      <c r="D1247" s="20"/>
      <c r="E1247" s="20"/>
      <c r="F1247" s="20"/>
      <c r="G1247" s="20"/>
      <c r="H1247" s="23"/>
      <c r="I1247" s="20"/>
      <c r="J1247" s="20"/>
      <c r="K1247" s="27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</row>
    <row r="1248" spans="1:68" ht="12.75" customHeight="1">
      <c r="A1248" s="20"/>
      <c r="B1248" s="20"/>
      <c r="C1248" s="20"/>
      <c r="D1248" s="20"/>
      <c r="E1248" s="20"/>
      <c r="F1248" s="20"/>
      <c r="G1248" s="20"/>
      <c r="H1248" s="23"/>
      <c r="I1248" s="20"/>
      <c r="J1248" s="20"/>
      <c r="K1248" s="27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</row>
    <row r="1249" spans="1:68" ht="12.75" customHeight="1">
      <c r="A1249" s="20"/>
      <c r="B1249" s="20"/>
      <c r="C1249" s="20"/>
      <c r="D1249" s="20"/>
      <c r="E1249" s="20"/>
      <c r="F1249" s="20"/>
      <c r="G1249" s="20"/>
      <c r="H1249" s="23"/>
      <c r="I1249" s="20"/>
      <c r="J1249" s="20"/>
      <c r="K1249" s="27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</row>
    <row r="1250" spans="1:68" ht="12.75" customHeight="1">
      <c r="A1250" s="20"/>
      <c r="B1250" s="20"/>
      <c r="C1250" s="20"/>
      <c r="D1250" s="20"/>
      <c r="E1250" s="20"/>
      <c r="F1250" s="20"/>
      <c r="G1250" s="20"/>
      <c r="H1250" s="23"/>
      <c r="I1250" s="20"/>
      <c r="J1250" s="20"/>
      <c r="K1250" s="27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</row>
    <row r="1251" spans="1:68" ht="12.75" customHeight="1">
      <c r="A1251" s="20"/>
      <c r="B1251" s="20"/>
      <c r="C1251" s="20"/>
      <c r="D1251" s="20"/>
      <c r="E1251" s="20"/>
      <c r="F1251" s="20"/>
      <c r="G1251" s="20"/>
      <c r="H1251" s="23"/>
      <c r="I1251" s="20"/>
      <c r="J1251" s="20"/>
      <c r="K1251" s="27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</row>
    <row r="1252" spans="1:68" ht="12.75" customHeight="1">
      <c r="A1252" s="20"/>
      <c r="B1252" s="20"/>
      <c r="C1252" s="20"/>
      <c r="D1252" s="20"/>
      <c r="E1252" s="20"/>
      <c r="F1252" s="20"/>
      <c r="G1252" s="20"/>
      <c r="H1252" s="23"/>
      <c r="I1252" s="20"/>
      <c r="J1252" s="20"/>
      <c r="K1252" s="27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</row>
    <row r="1253" spans="1:68" ht="12.75" customHeight="1">
      <c r="A1253" s="20"/>
      <c r="B1253" s="20"/>
      <c r="C1253" s="20"/>
      <c r="D1253" s="20"/>
      <c r="E1253" s="20"/>
      <c r="F1253" s="20"/>
      <c r="G1253" s="20"/>
      <c r="H1253" s="23"/>
      <c r="I1253" s="20"/>
      <c r="J1253" s="20"/>
      <c r="K1253" s="27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</row>
    <row r="1254" spans="1:68" ht="12.75" customHeight="1">
      <c r="A1254" s="20"/>
      <c r="B1254" s="20"/>
      <c r="C1254" s="20"/>
      <c r="D1254" s="20"/>
      <c r="E1254" s="20"/>
      <c r="F1254" s="20"/>
      <c r="G1254" s="20"/>
      <c r="H1254" s="23"/>
      <c r="I1254" s="20"/>
      <c r="J1254" s="20"/>
      <c r="K1254" s="27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</row>
    <row r="1255" spans="1:68" ht="12.75" customHeight="1">
      <c r="A1255" s="20"/>
      <c r="B1255" s="20"/>
      <c r="C1255" s="20"/>
      <c r="D1255" s="20"/>
      <c r="E1255" s="20"/>
      <c r="F1255" s="20"/>
      <c r="G1255" s="20"/>
      <c r="H1255" s="23"/>
      <c r="I1255" s="20"/>
      <c r="J1255" s="20"/>
      <c r="K1255" s="27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</row>
    <row r="1256" spans="1:68" ht="12.75" customHeight="1">
      <c r="A1256" s="20"/>
      <c r="B1256" s="20"/>
      <c r="C1256" s="20"/>
      <c r="D1256" s="20"/>
      <c r="E1256" s="20"/>
      <c r="F1256" s="20"/>
      <c r="G1256" s="20"/>
      <c r="H1256" s="23"/>
      <c r="I1256" s="20"/>
      <c r="J1256" s="20"/>
      <c r="K1256" s="27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  <c r="BO1256" s="20"/>
      <c r="BP1256" s="20"/>
    </row>
    <row r="1257" spans="1:68" ht="12.75" customHeight="1">
      <c r="A1257" s="20"/>
      <c r="B1257" s="20"/>
      <c r="C1257" s="20"/>
      <c r="D1257" s="20"/>
      <c r="E1257" s="20"/>
      <c r="F1257" s="20"/>
      <c r="G1257" s="20"/>
      <c r="H1257" s="23"/>
      <c r="I1257" s="20"/>
      <c r="J1257" s="20"/>
      <c r="K1257" s="27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  <c r="BO1257" s="20"/>
      <c r="BP1257" s="20"/>
    </row>
    <row r="1258" spans="1:68" ht="12.75" customHeight="1">
      <c r="A1258" s="20"/>
      <c r="B1258" s="20"/>
      <c r="C1258" s="20"/>
      <c r="D1258" s="20"/>
      <c r="E1258" s="20"/>
      <c r="F1258" s="20"/>
      <c r="G1258" s="20"/>
      <c r="H1258" s="23"/>
      <c r="I1258" s="20"/>
      <c r="J1258" s="20"/>
      <c r="K1258" s="27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</row>
    <row r="1259" spans="1:68" ht="12.75" customHeight="1">
      <c r="A1259" s="20"/>
      <c r="B1259" s="20"/>
      <c r="C1259" s="20"/>
      <c r="D1259" s="20"/>
      <c r="E1259" s="20"/>
      <c r="F1259" s="20"/>
      <c r="G1259" s="20"/>
      <c r="H1259" s="23"/>
      <c r="I1259" s="20"/>
      <c r="J1259" s="20"/>
      <c r="K1259" s="27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  <c r="BO1259" s="20"/>
      <c r="BP1259" s="20"/>
    </row>
    <row r="1260" spans="1:68" ht="12.75" customHeight="1">
      <c r="A1260" s="20"/>
      <c r="B1260" s="20"/>
      <c r="C1260" s="20"/>
      <c r="D1260" s="20"/>
      <c r="E1260" s="20"/>
      <c r="F1260" s="20"/>
      <c r="G1260" s="20"/>
      <c r="H1260" s="23"/>
      <c r="I1260" s="20"/>
      <c r="J1260" s="20"/>
      <c r="K1260" s="27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  <c r="BO1260" s="20"/>
      <c r="BP1260" s="20"/>
    </row>
    <row r="1261" spans="1:68" ht="12.75" customHeight="1">
      <c r="A1261" s="20"/>
      <c r="B1261" s="20"/>
      <c r="C1261" s="20"/>
      <c r="D1261" s="20"/>
      <c r="E1261" s="20"/>
      <c r="F1261" s="20"/>
      <c r="G1261" s="20"/>
      <c r="H1261" s="23"/>
      <c r="I1261" s="20"/>
      <c r="J1261" s="20"/>
      <c r="K1261" s="27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</row>
    <row r="1262" spans="1:68" ht="12.75" customHeight="1">
      <c r="A1262" s="20"/>
      <c r="B1262" s="20"/>
      <c r="C1262" s="20"/>
      <c r="D1262" s="20"/>
      <c r="E1262" s="20"/>
      <c r="F1262" s="20"/>
      <c r="G1262" s="20"/>
      <c r="H1262" s="23"/>
      <c r="I1262" s="20"/>
      <c r="J1262" s="20"/>
      <c r="K1262" s="27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  <c r="BO1262" s="20"/>
      <c r="BP1262" s="20"/>
    </row>
    <row r="1263" spans="1:68" ht="12.75" customHeight="1">
      <c r="A1263" s="20"/>
      <c r="B1263" s="20"/>
      <c r="C1263" s="20"/>
      <c r="D1263" s="20"/>
      <c r="E1263" s="20"/>
      <c r="F1263" s="20"/>
      <c r="G1263" s="20"/>
      <c r="H1263" s="23"/>
      <c r="I1263" s="20"/>
      <c r="J1263" s="20"/>
      <c r="K1263" s="27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  <c r="BO1263" s="20"/>
      <c r="BP1263" s="20"/>
    </row>
    <row r="1264" spans="1:68" ht="12.75" customHeight="1">
      <c r="A1264" s="20"/>
      <c r="B1264" s="20"/>
      <c r="C1264" s="20"/>
      <c r="D1264" s="20"/>
      <c r="E1264" s="20"/>
      <c r="F1264" s="20"/>
      <c r="G1264" s="20"/>
      <c r="H1264" s="23"/>
      <c r="I1264" s="20"/>
      <c r="J1264" s="20"/>
      <c r="K1264" s="27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</row>
    <row r="1265" spans="1:68" ht="12.75" customHeight="1">
      <c r="A1265" s="20"/>
      <c r="B1265" s="20"/>
      <c r="C1265" s="20"/>
      <c r="D1265" s="20"/>
      <c r="E1265" s="20"/>
      <c r="F1265" s="20"/>
      <c r="G1265" s="20"/>
      <c r="H1265" s="23"/>
      <c r="I1265" s="20"/>
      <c r="J1265" s="20"/>
      <c r="K1265" s="27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  <c r="BO1265" s="20"/>
      <c r="BP1265" s="20"/>
    </row>
    <row r="1266" spans="1:68" ht="12.75" customHeight="1">
      <c r="A1266" s="20"/>
      <c r="B1266" s="20"/>
      <c r="C1266" s="20"/>
      <c r="D1266" s="20"/>
      <c r="E1266" s="20"/>
      <c r="F1266" s="20"/>
      <c r="G1266" s="20"/>
      <c r="H1266" s="23"/>
      <c r="I1266" s="20"/>
      <c r="J1266" s="20"/>
      <c r="K1266" s="27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  <c r="BO1266" s="20"/>
      <c r="BP1266" s="20"/>
    </row>
    <row r="1267" spans="1:68" ht="12.75" customHeight="1">
      <c r="A1267" s="20"/>
      <c r="B1267" s="20"/>
      <c r="C1267" s="20"/>
      <c r="D1267" s="20"/>
      <c r="E1267" s="20"/>
      <c r="F1267" s="20"/>
      <c r="G1267" s="20"/>
      <c r="H1267" s="23"/>
      <c r="I1267" s="20"/>
      <c r="J1267" s="20"/>
      <c r="K1267" s="27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  <c r="BO1267" s="20"/>
      <c r="BP1267" s="20"/>
    </row>
    <row r="1268" spans="1:68" ht="12.75" customHeight="1">
      <c r="A1268" s="20"/>
      <c r="B1268" s="20"/>
      <c r="C1268" s="20"/>
      <c r="D1268" s="20"/>
      <c r="E1268" s="20"/>
      <c r="F1268" s="20"/>
      <c r="G1268" s="20"/>
      <c r="H1268" s="23"/>
      <c r="I1268" s="20"/>
      <c r="J1268" s="20"/>
      <c r="K1268" s="27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</row>
    <row r="1269" spans="1:68" ht="12.75" customHeight="1">
      <c r="A1269" s="20"/>
      <c r="B1269" s="20"/>
      <c r="C1269" s="20"/>
      <c r="D1269" s="20"/>
      <c r="E1269" s="20"/>
      <c r="F1269" s="20"/>
      <c r="G1269" s="20"/>
      <c r="H1269" s="23"/>
      <c r="I1269" s="20"/>
      <c r="J1269" s="20"/>
      <c r="K1269" s="27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</row>
    <row r="1270" spans="1:68" ht="12.75" customHeight="1">
      <c r="A1270" s="20"/>
      <c r="B1270" s="20"/>
      <c r="C1270" s="20"/>
      <c r="D1270" s="20"/>
      <c r="E1270" s="20"/>
      <c r="F1270" s="20"/>
      <c r="G1270" s="20"/>
      <c r="H1270" s="23"/>
      <c r="I1270" s="20"/>
      <c r="J1270" s="20"/>
      <c r="K1270" s="27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</row>
    <row r="1271" spans="1:68" ht="12.75" customHeight="1">
      <c r="A1271" s="20"/>
      <c r="B1271" s="20"/>
      <c r="C1271" s="20"/>
      <c r="D1271" s="20"/>
      <c r="E1271" s="20"/>
      <c r="F1271" s="20"/>
      <c r="G1271" s="20"/>
      <c r="H1271" s="23"/>
      <c r="I1271" s="20"/>
      <c r="J1271" s="20"/>
      <c r="K1271" s="27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</row>
    <row r="1272" spans="1:68" ht="12.75" customHeight="1">
      <c r="A1272" s="20"/>
      <c r="B1272" s="20"/>
      <c r="C1272" s="20"/>
      <c r="D1272" s="20"/>
      <c r="E1272" s="20"/>
      <c r="F1272" s="20"/>
      <c r="G1272" s="20"/>
      <c r="H1272" s="23"/>
      <c r="I1272" s="20"/>
      <c r="J1272" s="20"/>
      <c r="K1272" s="27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  <c r="BO1272" s="20"/>
      <c r="BP1272" s="20"/>
    </row>
    <row r="1273" spans="1:68" ht="12.75" customHeight="1">
      <c r="A1273" s="20"/>
      <c r="B1273" s="20"/>
      <c r="C1273" s="20"/>
      <c r="D1273" s="20"/>
      <c r="E1273" s="20"/>
      <c r="F1273" s="20"/>
      <c r="G1273" s="20"/>
      <c r="H1273" s="23"/>
      <c r="I1273" s="20"/>
      <c r="J1273" s="20"/>
      <c r="K1273" s="27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  <c r="BO1273" s="20"/>
      <c r="BP1273" s="20"/>
    </row>
    <row r="1274" spans="1:68" ht="12.75" customHeight="1">
      <c r="A1274" s="20"/>
      <c r="B1274" s="20"/>
      <c r="C1274" s="20"/>
      <c r="D1274" s="20"/>
      <c r="E1274" s="20"/>
      <c r="F1274" s="20"/>
      <c r="G1274" s="20"/>
      <c r="H1274" s="23"/>
      <c r="I1274" s="20"/>
      <c r="J1274" s="20"/>
      <c r="K1274" s="27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</row>
    <row r="1275" spans="1:68" ht="12.75" customHeight="1">
      <c r="A1275" s="20"/>
      <c r="B1275" s="20"/>
      <c r="C1275" s="20"/>
      <c r="D1275" s="20"/>
      <c r="E1275" s="20"/>
      <c r="F1275" s="20"/>
      <c r="G1275" s="20"/>
      <c r="H1275" s="23"/>
      <c r="I1275" s="20"/>
      <c r="J1275" s="20"/>
      <c r="K1275" s="27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</row>
    <row r="1276" spans="1:68" ht="12.75" customHeight="1">
      <c r="A1276" s="20"/>
      <c r="B1276" s="20"/>
      <c r="C1276" s="20"/>
      <c r="D1276" s="20"/>
      <c r="E1276" s="20"/>
      <c r="F1276" s="20"/>
      <c r="G1276" s="20"/>
      <c r="H1276" s="23"/>
      <c r="I1276" s="20"/>
      <c r="J1276" s="20"/>
      <c r="K1276" s="27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  <c r="BO1276" s="20"/>
      <c r="BP1276" s="20"/>
    </row>
    <row r="1277" spans="1:68" ht="12.75" customHeight="1">
      <c r="A1277" s="20"/>
      <c r="B1277" s="20"/>
      <c r="C1277" s="20"/>
      <c r="D1277" s="20"/>
      <c r="E1277" s="20"/>
      <c r="F1277" s="20"/>
      <c r="G1277" s="20"/>
      <c r="H1277" s="23"/>
      <c r="I1277" s="20"/>
      <c r="J1277" s="20"/>
      <c r="K1277" s="27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  <c r="BO1277" s="20"/>
      <c r="BP1277" s="20"/>
    </row>
    <row r="1278" spans="1:68" ht="12.75" customHeight="1">
      <c r="A1278" s="20"/>
      <c r="B1278" s="20"/>
      <c r="C1278" s="20"/>
      <c r="D1278" s="20"/>
      <c r="E1278" s="20"/>
      <c r="F1278" s="20"/>
      <c r="G1278" s="20"/>
      <c r="H1278" s="23"/>
      <c r="I1278" s="20"/>
      <c r="J1278" s="20"/>
      <c r="K1278" s="27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  <c r="BO1278" s="20"/>
      <c r="BP1278" s="20"/>
    </row>
    <row r="1279" spans="1:68" ht="12.75" customHeight="1">
      <c r="A1279" s="20"/>
      <c r="B1279" s="20"/>
      <c r="C1279" s="20"/>
      <c r="D1279" s="20"/>
      <c r="E1279" s="20"/>
      <c r="F1279" s="20"/>
      <c r="G1279" s="20"/>
      <c r="H1279" s="23"/>
      <c r="I1279" s="20"/>
      <c r="J1279" s="20"/>
      <c r="K1279" s="27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  <c r="BO1279" s="20"/>
      <c r="BP1279" s="20"/>
    </row>
    <row r="1280" spans="1:68" ht="12.75" customHeight="1">
      <c r="A1280" s="20"/>
      <c r="B1280" s="20"/>
      <c r="C1280" s="20"/>
      <c r="D1280" s="20"/>
      <c r="E1280" s="20"/>
      <c r="F1280" s="20"/>
      <c r="G1280" s="20"/>
      <c r="H1280" s="23"/>
      <c r="I1280" s="20"/>
      <c r="J1280" s="20"/>
      <c r="K1280" s="27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</row>
    <row r="1281" spans="1:68" ht="12.75" customHeight="1">
      <c r="A1281" s="20"/>
      <c r="B1281" s="20"/>
      <c r="C1281" s="20"/>
      <c r="D1281" s="20"/>
      <c r="E1281" s="20"/>
      <c r="F1281" s="20"/>
      <c r="G1281" s="20"/>
      <c r="H1281" s="23"/>
      <c r="I1281" s="20"/>
      <c r="J1281" s="20"/>
      <c r="K1281" s="27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</row>
    <row r="1282" spans="1:68" ht="12.75" customHeight="1">
      <c r="A1282" s="20"/>
      <c r="B1282" s="20"/>
      <c r="C1282" s="20"/>
      <c r="D1282" s="20"/>
      <c r="E1282" s="20"/>
      <c r="F1282" s="20"/>
      <c r="G1282" s="20"/>
      <c r="H1282" s="23"/>
      <c r="I1282" s="20"/>
      <c r="J1282" s="20"/>
      <c r="K1282" s="27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</row>
    <row r="1283" spans="1:68" ht="12.75" customHeight="1">
      <c r="A1283" s="20"/>
      <c r="B1283" s="20"/>
      <c r="C1283" s="20"/>
      <c r="D1283" s="20"/>
      <c r="E1283" s="20"/>
      <c r="F1283" s="20"/>
      <c r="G1283" s="20"/>
      <c r="H1283" s="23"/>
      <c r="I1283" s="20"/>
      <c r="J1283" s="20"/>
      <c r="K1283" s="27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</row>
    <row r="1284" spans="1:68" ht="12.75" customHeight="1">
      <c r="A1284" s="20"/>
      <c r="B1284" s="20"/>
      <c r="C1284" s="20"/>
      <c r="D1284" s="20"/>
      <c r="E1284" s="20"/>
      <c r="F1284" s="20"/>
      <c r="G1284" s="20"/>
      <c r="H1284" s="23"/>
      <c r="I1284" s="20"/>
      <c r="J1284" s="20"/>
      <c r="K1284" s="27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</row>
    <row r="1285" spans="1:68" ht="12.75" customHeight="1">
      <c r="A1285" s="20"/>
      <c r="B1285" s="20"/>
      <c r="C1285" s="20"/>
      <c r="D1285" s="20"/>
      <c r="E1285" s="20"/>
      <c r="F1285" s="20"/>
      <c r="G1285" s="20"/>
      <c r="H1285" s="23"/>
      <c r="I1285" s="20"/>
      <c r="J1285" s="20"/>
      <c r="K1285" s="27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</row>
    <row r="1286" spans="1:68" ht="12.75" customHeight="1">
      <c r="A1286" s="20"/>
      <c r="B1286" s="20"/>
      <c r="C1286" s="20"/>
      <c r="D1286" s="20"/>
      <c r="E1286" s="20"/>
      <c r="F1286" s="20"/>
      <c r="G1286" s="20"/>
      <c r="H1286" s="23"/>
      <c r="I1286" s="20"/>
      <c r="J1286" s="20"/>
      <c r="K1286" s="27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</row>
    <row r="1287" spans="1:68" ht="12.75" customHeight="1">
      <c r="A1287" s="20"/>
      <c r="B1287" s="20"/>
      <c r="C1287" s="20"/>
      <c r="D1287" s="20"/>
      <c r="E1287" s="20"/>
      <c r="F1287" s="20"/>
      <c r="G1287" s="20"/>
      <c r="H1287" s="23"/>
      <c r="I1287" s="20"/>
      <c r="J1287" s="20"/>
      <c r="K1287" s="27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</row>
    <row r="1288" spans="1:68" ht="12.75" customHeight="1">
      <c r="A1288" s="20"/>
      <c r="B1288" s="20"/>
      <c r="C1288" s="20"/>
      <c r="D1288" s="20"/>
      <c r="E1288" s="20"/>
      <c r="F1288" s="20"/>
      <c r="G1288" s="20"/>
      <c r="H1288" s="23"/>
      <c r="I1288" s="20"/>
      <c r="J1288" s="20"/>
      <c r="K1288" s="27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  <c r="BO1288" s="20"/>
      <c r="BP1288" s="20"/>
    </row>
    <row r="1289" spans="1:68" ht="12.75" customHeight="1">
      <c r="A1289" s="20"/>
      <c r="B1289" s="20"/>
      <c r="C1289" s="20"/>
      <c r="D1289" s="20"/>
      <c r="E1289" s="20"/>
      <c r="F1289" s="20"/>
      <c r="G1289" s="20"/>
      <c r="H1289" s="23"/>
      <c r="I1289" s="20"/>
      <c r="J1289" s="20"/>
      <c r="K1289" s="27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  <c r="BO1289" s="20"/>
      <c r="BP1289" s="20"/>
    </row>
  </sheetData>
  <autoFilter ref="N1:N396" xr:uid="{00000000-0009-0000-0000-000001000000}"/>
  <dataValidations count="3">
    <dataValidation type="decimal" allowBlank="1" showErrorMessage="1" sqref="N1" xr:uid="{00000000-0002-0000-0100-000000000000}">
      <formula1>0</formula1>
      <formula2>2</formula2>
    </dataValidation>
    <dataValidation type="custom" allowBlank="1" showErrorMessage="1" sqref="K1:K1289" xr:uid="{00000000-0002-0000-0100-000001000000}">
      <formula1>AND(GTE(K1,MIN((0.208333333333333),(0.999305555555556))),LTE(K1,MAX((0.208333333333333),(0.999305555555556))))</formula1>
    </dataValidation>
    <dataValidation type="decimal" operator="greaterThan" allowBlank="1" showErrorMessage="1" sqref="L1:L87 I1:I1289 L89:L1289" xr:uid="{00000000-0002-0000-0100-000002000000}">
      <formula1>0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" customHeight="1"/>
  <cols>
    <col min="1" max="1" width="9.1640625" customWidth="1"/>
    <col min="2" max="2" width="34.5" customWidth="1"/>
    <col min="3" max="3" width="37" customWidth="1"/>
    <col min="4" max="26" width="9.1640625" customWidth="1"/>
  </cols>
  <sheetData>
    <row r="1" spans="1:26" ht="12.75" customHeight="1">
      <c r="A1" s="55" t="s">
        <v>17</v>
      </c>
      <c r="B1" s="55" t="s">
        <v>89</v>
      </c>
      <c r="C1" s="55" t="s">
        <v>90</v>
      </c>
    </row>
    <row r="2" spans="1:26" ht="12.75" customHeight="1">
      <c r="A2" s="2" t="s">
        <v>91</v>
      </c>
      <c r="B2" s="2" t="s">
        <v>92</v>
      </c>
      <c r="C2" s="2" t="s">
        <v>93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" t="s">
        <v>94</v>
      </c>
      <c r="B3" s="2" t="s">
        <v>95</v>
      </c>
      <c r="C3" s="2" t="s">
        <v>96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" t="s">
        <v>97</v>
      </c>
      <c r="B4" s="2" t="s">
        <v>98</v>
      </c>
      <c r="C4" s="2" t="s">
        <v>99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" t="s">
        <v>100</v>
      </c>
      <c r="B5" s="2" t="s">
        <v>101</v>
      </c>
      <c r="C5" s="2" t="s">
        <v>102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" t="s">
        <v>103</v>
      </c>
      <c r="B6" s="2" t="s">
        <v>104</v>
      </c>
      <c r="C6" s="2" t="s">
        <v>105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" t="s">
        <v>106</v>
      </c>
      <c r="B7" s="2" t="s">
        <v>107</v>
      </c>
      <c r="C7" s="2" t="s">
        <v>108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" t="s">
        <v>109</v>
      </c>
      <c r="B8" s="2" t="s">
        <v>110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" t="s">
        <v>111</v>
      </c>
      <c r="B9" s="2" t="s">
        <v>112</v>
      </c>
      <c r="C9" s="2" t="s">
        <v>113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" t="s">
        <v>114</v>
      </c>
      <c r="B10" s="2" t="s">
        <v>115</v>
      </c>
      <c r="C10" s="2" t="s">
        <v>116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" t="s">
        <v>117</v>
      </c>
      <c r="B11" s="2" t="s">
        <v>118</v>
      </c>
      <c r="C11" s="2" t="s">
        <v>119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" t="s">
        <v>120</v>
      </c>
      <c r="B12" s="2" t="s">
        <v>121</v>
      </c>
      <c r="C12" s="2" t="s">
        <v>122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" t="s">
        <v>123</v>
      </c>
      <c r="B13" s="2" t="s">
        <v>124</v>
      </c>
      <c r="C13" s="2" t="s">
        <v>125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" t="s">
        <v>126</v>
      </c>
      <c r="B14" s="2" t="s">
        <v>127</v>
      </c>
      <c r="C14" s="2" t="s">
        <v>128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" t="s">
        <v>129</v>
      </c>
      <c r="B15" s="2" t="s">
        <v>130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" t="s">
        <v>131</v>
      </c>
      <c r="B16" s="2" t="s">
        <v>132</v>
      </c>
      <c r="C16" s="20" t="s">
        <v>133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" t="s">
        <v>134</v>
      </c>
      <c r="B17" s="2" t="s">
        <v>135</v>
      </c>
      <c r="C17" s="2" t="s">
        <v>136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" t="s">
        <v>137</v>
      </c>
      <c r="B18" s="2" t="s">
        <v>138</v>
      </c>
      <c r="C18" s="2" t="s">
        <v>139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" t="s">
        <v>140</v>
      </c>
      <c r="B19" s="2" t="s">
        <v>141</v>
      </c>
      <c r="C19" s="2" t="s">
        <v>142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" t="s">
        <v>143</v>
      </c>
      <c r="B20" s="2" t="s">
        <v>144</v>
      </c>
      <c r="C20" s="2" t="s">
        <v>145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" t="s">
        <v>146</v>
      </c>
      <c r="B21" s="2" t="s">
        <v>147</v>
      </c>
      <c r="C21" s="2" t="s">
        <v>148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" t="s">
        <v>149</v>
      </c>
      <c r="B22" s="2" t="s">
        <v>150</v>
      </c>
      <c r="C22" s="2" t="s">
        <v>151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" t="s">
        <v>152</v>
      </c>
      <c r="B23" s="2" t="s">
        <v>153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" t="s">
        <v>154</v>
      </c>
      <c r="B24" s="2" t="s">
        <v>155</v>
      </c>
      <c r="C24" s="2" t="s">
        <v>156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" t="s">
        <v>157</v>
      </c>
      <c r="B25" s="2" t="s">
        <v>158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" t="s">
        <v>159</v>
      </c>
      <c r="B26" s="2" t="s">
        <v>160</v>
      </c>
      <c r="C26" s="2" t="s">
        <v>161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" t="s">
        <v>162</v>
      </c>
      <c r="B27" s="2" t="s">
        <v>163</v>
      </c>
      <c r="C27" s="2" t="s">
        <v>164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" t="s">
        <v>165</v>
      </c>
      <c r="B28" s="2" t="s">
        <v>166</v>
      </c>
      <c r="C28" s="2" t="s">
        <v>167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" t="s">
        <v>168</v>
      </c>
      <c r="B29" s="2" t="s">
        <v>169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" t="s">
        <v>170</v>
      </c>
      <c r="B30" s="2" t="s">
        <v>171</v>
      </c>
      <c r="C30" s="2" t="s">
        <v>172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" t="s">
        <v>173</v>
      </c>
      <c r="B31" s="2" t="s">
        <v>174</v>
      </c>
      <c r="C31" s="2" t="s">
        <v>175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" t="s">
        <v>176</v>
      </c>
      <c r="B32" s="2" t="s">
        <v>177</v>
      </c>
      <c r="C32" s="2" t="s">
        <v>178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>
      <c r="A33" s="2" t="s">
        <v>179</v>
      </c>
      <c r="B33" s="2" t="s">
        <v>180</v>
      </c>
      <c r="C33" s="2" t="s">
        <v>181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>
      <c r="A34" s="2" t="s">
        <v>182</v>
      </c>
      <c r="B34" s="2" t="s">
        <v>183</v>
      </c>
      <c r="C34" s="2" t="s">
        <v>184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>
      <c r="A35" s="2" t="s">
        <v>185</v>
      </c>
      <c r="B35" s="2" t="s">
        <v>186</v>
      </c>
      <c r="C35" s="2" t="s">
        <v>187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>
      <c r="A36" s="2" t="s">
        <v>188</v>
      </c>
      <c r="B36" s="2" t="s">
        <v>189</v>
      </c>
      <c r="C36" s="2" t="s">
        <v>190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>
      <c r="A37" s="2" t="s">
        <v>191</v>
      </c>
      <c r="B37" s="2" t="s">
        <v>192</v>
      </c>
      <c r="C37" s="2" t="s">
        <v>193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>
      <c r="A38" s="2" t="s">
        <v>194</v>
      </c>
      <c r="B38" s="2" t="s">
        <v>195</v>
      </c>
      <c r="C38" s="2" t="s">
        <v>196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>
      <c r="A39" s="2" t="s">
        <v>197</v>
      </c>
      <c r="B39" s="2" t="s">
        <v>198</v>
      </c>
      <c r="C39" s="2" t="s">
        <v>199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>
      <c r="A40" s="2" t="s">
        <v>200</v>
      </c>
      <c r="B40" s="2" t="s">
        <v>201</v>
      </c>
      <c r="C40" s="2" t="s">
        <v>202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>
      <c r="A41" s="2" t="s">
        <v>203</v>
      </c>
      <c r="B41" s="2" t="s">
        <v>204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>
      <c r="A42" s="2" t="s">
        <v>205</v>
      </c>
      <c r="B42" s="2" t="s">
        <v>206</v>
      </c>
      <c r="C42" s="2" t="s">
        <v>207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>
      <c r="A43" s="2" t="s">
        <v>208</v>
      </c>
      <c r="B43" s="2" t="s">
        <v>209</v>
      </c>
      <c r="C43" s="2" t="s">
        <v>210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>
      <c r="A44" s="20" t="s">
        <v>211</v>
      </c>
      <c r="B44" s="2" t="s">
        <v>212</v>
      </c>
      <c r="C44" s="20" t="s">
        <v>213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>
      <c r="A45" s="2" t="s">
        <v>214</v>
      </c>
      <c r="B45" s="2" t="s">
        <v>215</v>
      </c>
      <c r="C45" s="2" t="s">
        <v>216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>
      <c r="A46" s="2" t="s">
        <v>217</v>
      </c>
      <c r="B46" s="2" t="s">
        <v>218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>
      <c r="A47" s="2" t="s">
        <v>219</v>
      </c>
      <c r="B47" s="2" t="s">
        <v>220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>
      <c r="A48" s="2" t="s">
        <v>221</v>
      </c>
      <c r="B48" s="2" t="s">
        <v>222</v>
      </c>
      <c r="C48" s="2" t="s">
        <v>223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>
      <c r="A49" s="2" t="s">
        <v>224</v>
      </c>
      <c r="B49" s="2" t="s">
        <v>225</v>
      </c>
      <c r="C49" s="2" t="s">
        <v>226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>
      <c r="A50" s="2" t="s">
        <v>227</v>
      </c>
      <c r="B50" s="2" t="s">
        <v>228</v>
      </c>
      <c r="C50" s="2" t="s">
        <v>229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>
      <c r="A51" s="2" t="s">
        <v>230</v>
      </c>
      <c r="B51" s="2" t="s">
        <v>231</v>
      </c>
      <c r="C51" s="2" t="s">
        <v>232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>
      <c r="A52" s="2" t="s">
        <v>233</v>
      </c>
      <c r="B52" s="2" t="s">
        <v>234</v>
      </c>
      <c r="C52" s="2" t="s">
        <v>235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>
      <c r="A53" s="2" t="s">
        <v>236</v>
      </c>
      <c r="B53" s="2" t="s">
        <v>237</v>
      </c>
      <c r="C53" s="2" t="s">
        <v>238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>
      <c r="A54" s="2" t="s">
        <v>239</v>
      </c>
      <c r="B54" s="2" t="s">
        <v>240</v>
      </c>
      <c r="C54" s="2" t="s">
        <v>241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>
      <c r="A55" s="2" t="s">
        <v>242</v>
      </c>
      <c r="B55" s="2" t="s">
        <v>243</v>
      </c>
      <c r="C55" s="2" t="s">
        <v>244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>
      <c r="A56" s="2" t="s">
        <v>245</v>
      </c>
      <c r="B56" s="2" t="s">
        <v>246</v>
      </c>
      <c r="C56" s="2" t="s">
        <v>247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>
      <c r="A57" s="2" t="s">
        <v>248</v>
      </c>
      <c r="B57" s="2" t="s">
        <v>249</v>
      </c>
      <c r="C57" s="2" t="s">
        <v>250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>
      <c r="A58" s="2" t="s">
        <v>251</v>
      </c>
      <c r="B58" s="2" t="s">
        <v>252</v>
      </c>
      <c r="C58" s="2" t="s">
        <v>253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>
      <c r="A59" s="2" t="s">
        <v>254</v>
      </c>
      <c r="B59" s="2" t="s">
        <v>255</v>
      </c>
      <c r="C59" s="2" t="s">
        <v>256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>
      <c r="A60" s="2" t="s">
        <v>257</v>
      </c>
      <c r="B60" s="2" t="s">
        <v>258</v>
      </c>
      <c r="C60" s="2" t="s">
        <v>259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>
      <c r="A61" s="2" t="s">
        <v>260</v>
      </c>
      <c r="B61" s="2" t="s">
        <v>261</v>
      </c>
      <c r="C61" s="2" t="s">
        <v>262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>
      <c r="A62" s="2" t="s">
        <v>263</v>
      </c>
      <c r="B62" s="2" t="s">
        <v>264</v>
      </c>
      <c r="C62" s="2" t="s">
        <v>265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>
      <c r="A63" s="2" t="s">
        <v>266</v>
      </c>
      <c r="B63" s="2" t="s">
        <v>267</v>
      </c>
      <c r="C63" s="2" t="s">
        <v>268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>
      <c r="A64" s="2" t="s">
        <v>269</v>
      </c>
      <c r="B64" s="2" t="s">
        <v>270</v>
      </c>
      <c r="C64" s="2" t="s">
        <v>271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>
      <c r="A65" s="2" t="s">
        <v>272</v>
      </c>
      <c r="B65" s="2" t="s">
        <v>273</v>
      </c>
      <c r="C65" s="2" t="s">
        <v>274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>
      <c r="A66" s="2" t="s">
        <v>275</v>
      </c>
      <c r="B66" s="2" t="s">
        <v>276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>
      <c r="A67" s="2" t="s">
        <v>277</v>
      </c>
      <c r="B67" s="2" t="s">
        <v>278</v>
      </c>
      <c r="C67" s="2" t="s">
        <v>279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>
      <c r="A68" s="2" t="s">
        <v>280</v>
      </c>
      <c r="B68" s="2" t="s">
        <v>281</v>
      </c>
      <c r="C68" s="2" t="s">
        <v>282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>
      <c r="A69" s="2" t="s">
        <v>283</v>
      </c>
      <c r="B69" s="2" t="s">
        <v>284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>
      <c r="A70" s="2" t="s">
        <v>285</v>
      </c>
      <c r="B70" s="2" t="s">
        <v>286</v>
      </c>
      <c r="C70" s="2" t="s">
        <v>287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>
      <c r="A71" s="2" t="s">
        <v>288</v>
      </c>
      <c r="B71" s="2" t="s">
        <v>289</v>
      </c>
      <c r="C71" s="2" t="s">
        <v>290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>
      <c r="A72" s="2" t="s">
        <v>291</v>
      </c>
      <c r="B72" s="2" t="s">
        <v>292</v>
      </c>
      <c r="C72" s="2" t="s">
        <v>293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>
      <c r="A73" s="2" t="s">
        <v>294</v>
      </c>
      <c r="B73" s="2" t="s">
        <v>295</v>
      </c>
      <c r="C73" s="2" t="s">
        <v>296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>
      <c r="A74" s="2" t="s">
        <v>297</v>
      </c>
      <c r="B74" s="2" t="s">
        <v>298</v>
      </c>
      <c r="C74" s="2" t="s">
        <v>299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>
      <c r="A75" s="2" t="s">
        <v>300</v>
      </c>
      <c r="B75" s="2" t="s">
        <v>301</v>
      </c>
      <c r="C75" s="2" t="s">
        <v>302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>
      <c r="A76" s="2" t="s">
        <v>303</v>
      </c>
      <c r="B76" s="2" t="s">
        <v>304</v>
      </c>
      <c r="C76" s="2" t="s">
        <v>305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>
      <c r="A77" s="2" t="s">
        <v>306</v>
      </c>
      <c r="B77" s="2" t="s">
        <v>307</v>
      </c>
      <c r="C77" s="2" t="s">
        <v>308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>
      <c r="A78" s="2" t="s">
        <v>309</v>
      </c>
      <c r="B78" s="2" t="s">
        <v>310</v>
      </c>
      <c r="C78" s="2" t="s">
        <v>311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>
      <c r="A79" s="2" t="s">
        <v>312</v>
      </c>
      <c r="B79" s="2" t="s">
        <v>313</v>
      </c>
      <c r="C79" s="2" t="s">
        <v>314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>
      <c r="A80" s="2" t="s">
        <v>315</v>
      </c>
      <c r="B80" s="2" t="s">
        <v>316</v>
      </c>
      <c r="C80" s="2" t="s">
        <v>317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>
      <c r="A81" s="2" t="s">
        <v>318</v>
      </c>
      <c r="B81" s="2" t="s">
        <v>319</v>
      </c>
      <c r="C81" s="2" t="s">
        <v>320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>
      <c r="A82" s="2" t="s">
        <v>321</v>
      </c>
      <c r="B82" s="2" t="s">
        <v>322</v>
      </c>
      <c r="C82" s="2" t="s">
        <v>323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>
      <c r="A83" s="2" t="s">
        <v>324</v>
      </c>
      <c r="B83" s="2" t="s">
        <v>325</v>
      </c>
      <c r="C83" s="2" t="s">
        <v>326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>
      <c r="A84" s="2" t="s">
        <v>327</v>
      </c>
      <c r="B84" s="2" t="s">
        <v>328</v>
      </c>
      <c r="C84" s="2" t="s">
        <v>329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>
      <c r="A85" s="2" t="s">
        <v>330</v>
      </c>
      <c r="B85" s="2" t="s">
        <v>331</v>
      </c>
      <c r="C85" s="2" t="s">
        <v>332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>
      <c r="A86" s="2" t="s">
        <v>333</v>
      </c>
      <c r="B86" s="2" t="s">
        <v>334</v>
      </c>
      <c r="C86" s="2" t="s">
        <v>335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>
      <c r="A87" s="2" t="s">
        <v>336</v>
      </c>
      <c r="B87" s="2" t="s">
        <v>337</v>
      </c>
      <c r="C87" s="20" t="s">
        <v>338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>
      <c r="A88" s="2" t="s">
        <v>65</v>
      </c>
      <c r="B88" s="2" t="s">
        <v>339</v>
      </c>
      <c r="C88" s="2" t="s">
        <v>340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>
      <c r="A89" s="2" t="s">
        <v>341</v>
      </c>
      <c r="B89" s="2" t="s">
        <v>342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>
      <c r="A90" s="2" t="s">
        <v>343</v>
      </c>
      <c r="B90" s="2" t="s">
        <v>344</v>
      </c>
      <c r="C90" s="2" t="s">
        <v>345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>
      <c r="A91" s="2" t="s">
        <v>346</v>
      </c>
      <c r="B91" s="2" t="s">
        <v>347</v>
      </c>
      <c r="C91" s="2" t="s">
        <v>348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>
      <c r="A92" s="2" t="s">
        <v>349</v>
      </c>
      <c r="B92" s="2" t="s">
        <v>350</v>
      </c>
      <c r="C92" s="20" t="s">
        <v>351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>
      <c r="A93" s="2" t="s">
        <v>352</v>
      </c>
      <c r="B93" s="2" t="s">
        <v>353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>
      <c r="A94" s="2" t="s">
        <v>354</v>
      </c>
      <c r="B94" s="2" t="s">
        <v>355</v>
      </c>
      <c r="C94" s="20" t="s">
        <v>356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>
      <c r="A95" s="20" t="s">
        <v>61</v>
      </c>
      <c r="B95" s="20" t="s">
        <v>357</v>
      </c>
      <c r="C95" s="20" t="s">
        <v>357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>
      <c r="A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>
      <c r="A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>
      <c r="A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>
      <c r="A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>
      <c r="A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>
      <c r="A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>
      <c r="A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>
      <c r="A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>
      <c r="A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>
      <c r="A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>
      <c r="A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>
      <c r="A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>
      <c r="A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>
      <c r="A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>
      <c r="A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>
      <c r="A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>
      <c r="A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>
      <c r="A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>
      <c r="A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>
      <c r="A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>
      <c r="A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>
      <c r="A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>
      <c r="A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>
      <c r="A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>
      <c r="A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>
      <c r="A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>
      <c r="A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>
      <c r="A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>
      <c r="A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>
      <c r="A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>
      <c r="A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>
      <c r="A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>
      <c r="A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>
      <c r="A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>
      <c r="A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>
      <c r="A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>
      <c r="A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>
      <c r="A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>
      <c r="A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>
      <c r="A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>
      <c r="A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>
      <c r="A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>
      <c r="A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>
      <c r="A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>
      <c r="A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>
      <c r="A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>
      <c r="A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>
      <c r="A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>
      <c r="A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>
      <c r="A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>
      <c r="A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>
      <c r="A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>
      <c r="A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>
      <c r="A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>
      <c r="A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>
      <c r="A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>
      <c r="A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>
      <c r="A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>
      <c r="A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>
      <c r="A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>
      <c r="A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>
      <c r="A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>
      <c r="A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>
      <c r="A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>
      <c r="A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>
      <c r="A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>
      <c r="A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>
      <c r="A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>
      <c r="A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>
      <c r="A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>
      <c r="A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>
      <c r="A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>
      <c r="A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>
      <c r="A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>
      <c r="A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>
      <c r="A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>
      <c r="A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>
      <c r="A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>
      <c r="A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>
      <c r="A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>
      <c r="A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>
      <c r="A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>
      <c r="A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>
      <c r="A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>
      <c r="A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>
      <c r="A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>
      <c r="A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>
      <c r="A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>
      <c r="A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>
      <c r="A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>
      <c r="A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>
      <c r="A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>
      <c r="A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>
      <c r="A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>
      <c r="A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>
      <c r="A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>
      <c r="A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>
      <c r="A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>
      <c r="A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>
      <c r="A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>
      <c r="A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>
      <c r="A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>
      <c r="A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>
      <c r="A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>
      <c r="A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>
      <c r="A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>
      <c r="A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>
      <c r="A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>
      <c r="A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>
      <c r="A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>
      <c r="A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>
      <c r="A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>
      <c r="A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>
      <c r="A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>
      <c r="A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>
      <c r="A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>
      <c r="A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>
      <c r="A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>
      <c r="A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>
      <c r="A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>
      <c r="A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>
      <c r="A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>
      <c r="A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>
      <c r="A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>
      <c r="A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>
      <c r="A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>
      <c r="A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>
      <c r="A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>
      <c r="A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>
      <c r="A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/>
    <row r="656" spans="1:2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/>
    <row r="660" spans="1:26" ht="12.75" customHeight="1"/>
    <row r="661" spans="1:26" ht="12.75" customHeight="1"/>
    <row r="662" spans="1:26" ht="12.75" customHeight="1"/>
    <row r="663" spans="1:26" ht="12.75" customHeight="1"/>
    <row r="664" spans="1:26" ht="12.75" customHeight="1"/>
    <row r="665" spans="1:26" ht="12.75" customHeight="1"/>
    <row r="666" spans="1:26" ht="12.75" customHeight="1"/>
    <row r="667" spans="1:26" ht="12.75" customHeight="1"/>
    <row r="668" spans="1:26" ht="12.75" customHeight="1"/>
    <row r="669" spans="1:26" ht="12.75" customHeight="1"/>
    <row r="670" spans="1:26" ht="12.75" customHeight="1"/>
    <row r="671" spans="1:26" ht="12.75" customHeight="1"/>
    <row r="672" spans="1:26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" customHeight="1"/>
  <cols>
    <col min="1" max="1" width="16.5" customWidth="1"/>
    <col min="2" max="2" width="22.83203125" customWidth="1"/>
    <col min="3" max="3" width="37" customWidth="1"/>
    <col min="4" max="4" width="20" customWidth="1"/>
    <col min="5" max="5" width="8.83203125" customWidth="1"/>
    <col min="6" max="6" width="6" customWidth="1"/>
    <col min="7" max="7" width="12" customWidth="1"/>
    <col min="8" max="26" width="8.83203125" customWidth="1"/>
  </cols>
  <sheetData>
    <row r="1" spans="1:26" ht="12.75" customHeight="1">
      <c r="A1" s="55" t="s">
        <v>17</v>
      </c>
      <c r="B1" s="55" t="s">
        <v>89</v>
      </c>
      <c r="C1" s="55" t="s">
        <v>90</v>
      </c>
      <c r="G1" s="55"/>
    </row>
    <row r="2" spans="1:26" ht="12.75" customHeight="1">
      <c r="A2" s="2" t="s">
        <v>358</v>
      </c>
      <c r="B2" s="2" t="s">
        <v>359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" t="s">
        <v>360</v>
      </c>
      <c r="B3" s="2" t="s">
        <v>361</v>
      </c>
      <c r="C3" s="2" t="s">
        <v>362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" t="s">
        <v>109</v>
      </c>
      <c r="B4" s="2" t="s">
        <v>363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" t="s">
        <v>364</v>
      </c>
      <c r="B5" s="2" t="s">
        <v>365</v>
      </c>
      <c r="C5" s="2" t="s">
        <v>366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" t="s">
        <v>367</v>
      </c>
      <c r="B6" s="2" t="s">
        <v>368</v>
      </c>
      <c r="C6" s="2" t="s">
        <v>369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" t="s">
        <v>91</v>
      </c>
      <c r="B7" s="2" t="s">
        <v>92</v>
      </c>
      <c r="C7" s="2" t="s">
        <v>93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" t="s">
        <v>370</v>
      </c>
      <c r="B8" s="2" t="s">
        <v>371</v>
      </c>
      <c r="C8" s="2" t="s">
        <v>372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" t="s">
        <v>373</v>
      </c>
      <c r="B9" s="2" t="s">
        <v>374</v>
      </c>
      <c r="C9" s="2" t="s">
        <v>375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" t="s">
        <v>97</v>
      </c>
      <c r="B10" s="2" t="s">
        <v>98</v>
      </c>
      <c r="C10" s="2" t="s">
        <v>99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" t="s">
        <v>376</v>
      </c>
      <c r="B11" s="2" t="s">
        <v>377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" t="s">
        <v>378</v>
      </c>
      <c r="B12" s="2" t="s">
        <v>379</v>
      </c>
      <c r="C12" s="2" t="s">
        <v>380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" t="s">
        <v>381</v>
      </c>
      <c r="B13" s="2" t="s">
        <v>382</v>
      </c>
      <c r="C13" s="2" t="s">
        <v>383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" t="s">
        <v>111</v>
      </c>
      <c r="B14" s="2" t="s">
        <v>384</v>
      </c>
      <c r="C14" s="2" t="s">
        <v>385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" t="s">
        <v>386</v>
      </c>
      <c r="B15" s="2" t="s">
        <v>387</v>
      </c>
      <c r="C15" s="2" t="s">
        <v>388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" t="s">
        <v>389</v>
      </c>
      <c r="B16" s="2" t="s">
        <v>390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" t="s">
        <v>100</v>
      </c>
      <c r="B17" s="2" t="s">
        <v>101</v>
      </c>
      <c r="C17" s="2" t="s">
        <v>102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" t="s">
        <v>103</v>
      </c>
      <c r="B18" s="2" t="s">
        <v>104</v>
      </c>
      <c r="C18" s="2" t="s">
        <v>105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" t="s">
        <v>106</v>
      </c>
      <c r="B19" s="2" t="s">
        <v>107</v>
      </c>
      <c r="C19" s="2" t="s">
        <v>108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0" t="s">
        <v>391</v>
      </c>
      <c r="B20" s="20" t="s">
        <v>392</v>
      </c>
      <c r="C20" s="20" t="s">
        <v>393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" t="s">
        <v>394</v>
      </c>
      <c r="B21" s="2" t="s">
        <v>395</v>
      </c>
      <c r="C21" s="2" t="s">
        <v>396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" t="s">
        <v>397</v>
      </c>
      <c r="B22" s="2" t="s">
        <v>398</v>
      </c>
      <c r="C22" s="2" t="s">
        <v>399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" t="s">
        <v>400</v>
      </c>
      <c r="B23" s="2" t="s">
        <v>401</v>
      </c>
      <c r="C23" s="2" t="s">
        <v>402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" t="s">
        <v>403</v>
      </c>
      <c r="B24" s="2" t="s">
        <v>404</v>
      </c>
      <c r="C24" s="2" t="s">
        <v>405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" t="s">
        <v>131</v>
      </c>
      <c r="B25" s="2" t="s">
        <v>406</v>
      </c>
      <c r="C25" s="2" t="s">
        <v>407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" t="s">
        <v>408</v>
      </c>
      <c r="B26" s="2" t="s">
        <v>409</v>
      </c>
      <c r="C26" s="2" t="s">
        <v>410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" t="s">
        <v>411</v>
      </c>
      <c r="B27" s="2" t="s">
        <v>412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" t="s">
        <v>413</v>
      </c>
      <c r="B28" s="2" t="s">
        <v>414</v>
      </c>
      <c r="C28" s="2" t="s">
        <v>415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" t="s">
        <v>416</v>
      </c>
      <c r="B29" s="2" t="s">
        <v>417</v>
      </c>
      <c r="C29" s="20" t="s">
        <v>418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" t="s">
        <v>117</v>
      </c>
      <c r="B30" s="2" t="s">
        <v>419</v>
      </c>
      <c r="C30" s="2" t="s">
        <v>420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" t="s">
        <v>421</v>
      </c>
      <c r="B31" s="2" t="s">
        <v>422</v>
      </c>
      <c r="C31" s="2" t="s">
        <v>423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" t="s">
        <v>424</v>
      </c>
      <c r="B32" s="2" t="s">
        <v>121</v>
      </c>
      <c r="C32" s="2" t="s">
        <v>122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>
      <c r="A33" s="2" t="s">
        <v>425</v>
      </c>
      <c r="B33" s="2" t="s">
        <v>426</v>
      </c>
      <c r="C33" s="2" t="s">
        <v>427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>
      <c r="A34" s="2" t="s">
        <v>428</v>
      </c>
      <c r="B34" s="2" t="s">
        <v>429</v>
      </c>
      <c r="C34" s="2" t="s">
        <v>430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>
      <c r="A35" s="2" t="s">
        <v>431</v>
      </c>
      <c r="B35" s="2" t="s">
        <v>432</v>
      </c>
      <c r="C35" s="2" t="s">
        <v>433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>
      <c r="A36" s="2" t="s">
        <v>126</v>
      </c>
      <c r="B36" s="2" t="s">
        <v>127</v>
      </c>
      <c r="C36" s="2" t="s">
        <v>128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>
      <c r="A37" s="2" t="s">
        <v>434</v>
      </c>
      <c r="B37" s="2" t="s">
        <v>435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>
      <c r="A38" s="2" t="s">
        <v>129</v>
      </c>
      <c r="B38" s="2" t="s">
        <v>130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>
      <c r="A39" s="2" t="s">
        <v>436</v>
      </c>
      <c r="B39" s="2" t="s">
        <v>437</v>
      </c>
      <c r="C39" s="2" t="s">
        <v>438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>
      <c r="A40" s="2" t="s">
        <v>439</v>
      </c>
      <c r="B40" s="2" t="s">
        <v>440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>
      <c r="A41" s="2" t="s">
        <v>441</v>
      </c>
      <c r="B41" s="2" t="s">
        <v>442</v>
      </c>
      <c r="C41" s="2" t="s">
        <v>443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>
      <c r="A42" s="2" t="s">
        <v>444</v>
      </c>
      <c r="B42" s="2" t="s">
        <v>445</v>
      </c>
      <c r="C42" s="2" t="s">
        <v>446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>
      <c r="A43" s="2" t="s">
        <v>447</v>
      </c>
      <c r="B43" s="2" t="s">
        <v>448</v>
      </c>
      <c r="C43" s="2" t="s">
        <v>449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>
      <c r="A44" s="2" t="s">
        <v>450</v>
      </c>
      <c r="B44" s="2" t="s">
        <v>451</v>
      </c>
      <c r="C44" s="2" t="s">
        <v>452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>
      <c r="A45" s="2" t="s">
        <v>453</v>
      </c>
      <c r="B45" s="2" t="s">
        <v>454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>
      <c r="A46" s="2" t="s">
        <v>455</v>
      </c>
      <c r="B46" s="2" t="s">
        <v>456</v>
      </c>
      <c r="C46" s="2" t="s">
        <v>457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>
      <c r="A47" s="2" t="s">
        <v>458</v>
      </c>
      <c r="B47" s="2" t="s">
        <v>132</v>
      </c>
      <c r="C47" s="20" t="s">
        <v>133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>
      <c r="A48" s="2" t="s">
        <v>459</v>
      </c>
      <c r="B48" s="2" t="s">
        <v>460</v>
      </c>
      <c r="C48" s="2" t="s">
        <v>461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>
      <c r="A49" s="2" t="s">
        <v>462</v>
      </c>
      <c r="B49" s="2" t="s">
        <v>463</v>
      </c>
      <c r="C49" s="2" t="s">
        <v>464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>
      <c r="A50" s="2" t="s">
        <v>465</v>
      </c>
      <c r="B50" s="2" t="s">
        <v>466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>
      <c r="A51" s="2" t="s">
        <v>467</v>
      </c>
      <c r="B51" s="2" t="s">
        <v>468</v>
      </c>
      <c r="C51" s="2" t="s">
        <v>469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>
      <c r="A52" s="2" t="s">
        <v>39</v>
      </c>
      <c r="B52" s="2" t="s">
        <v>470</v>
      </c>
      <c r="C52" s="2" t="s">
        <v>471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>
      <c r="A53" s="2" t="s">
        <v>472</v>
      </c>
      <c r="B53" s="2" t="s">
        <v>473</v>
      </c>
      <c r="C53" s="2" t="s">
        <v>474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>
      <c r="A54" s="2" t="s">
        <v>475</v>
      </c>
      <c r="B54" s="2" t="s">
        <v>476</v>
      </c>
      <c r="C54" s="2" t="s">
        <v>477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>
      <c r="A55" s="2" t="s">
        <v>478</v>
      </c>
      <c r="B55" s="2" t="s">
        <v>479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>
      <c r="A56" s="2" t="s">
        <v>480</v>
      </c>
      <c r="B56" s="2" t="s">
        <v>481</v>
      </c>
      <c r="C56" s="2" t="s">
        <v>482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>
      <c r="A57" s="2" t="s">
        <v>483</v>
      </c>
      <c r="B57" s="2" t="s">
        <v>484</v>
      </c>
      <c r="C57" s="2" t="s">
        <v>485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>
      <c r="A58" s="2" t="s">
        <v>486</v>
      </c>
      <c r="B58" s="2" t="s">
        <v>487</v>
      </c>
      <c r="C58" s="2" t="s">
        <v>488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>
      <c r="A59" s="2" t="s">
        <v>489</v>
      </c>
      <c r="B59" s="2" t="s">
        <v>490</v>
      </c>
      <c r="C59" s="2" t="s">
        <v>491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>
      <c r="A60" s="2" t="s">
        <v>492</v>
      </c>
      <c r="B60" s="2" t="s">
        <v>493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>
      <c r="A61" s="2" t="s">
        <v>494</v>
      </c>
      <c r="B61" s="2" t="s">
        <v>495</v>
      </c>
      <c r="C61" s="2" t="s">
        <v>496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>
      <c r="A62" s="2" t="s">
        <v>497</v>
      </c>
      <c r="B62" s="2" t="s">
        <v>498</v>
      </c>
      <c r="C62" s="2" t="s">
        <v>499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>
      <c r="A63" s="2" t="s">
        <v>500</v>
      </c>
      <c r="B63" s="2" t="s">
        <v>501</v>
      </c>
      <c r="C63" s="2" t="s">
        <v>502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>
      <c r="A64" s="2" t="s">
        <v>503</v>
      </c>
      <c r="B64" s="2" t="s">
        <v>504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>
      <c r="A65" s="2" t="s">
        <v>53</v>
      </c>
      <c r="B65" s="2" t="s">
        <v>505</v>
      </c>
      <c r="C65" s="2" t="s">
        <v>506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>
      <c r="A66" s="2" t="s">
        <v>507</v>
      </c>
      <c r="B66" s="2" t="s">
        <v>508</v>
      </c>
      <c r="C66" s="2" t="s">
        <v>509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>
      <c r="A67" s="2" t="s">
        <v>510</v>
      </c>
      <c r="B67" s="2" t="s">
        <v>511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>
      <c r="A68" s="2" t="s">
        <v>512</v>
      </c>
      <c r="B68" s="2" t="s">
        <v>513</v>
      </c>
      <c r="C68" s="2" t="s">
        <v>514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>
      <c r="A69" s="2" t="s">
        <v>515</v>
      </c>
      <c r="B69" s="2" t="s">
        <v>516</v>
      </c>
      <c r="C69" s="2" t="s">
        <v>517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>
      <c r="A70" s="2" t="s">
        <v>149</v>
      </c>
      <c r="B70" s="2" t="s">
        <v>150</v>
      </c>
      <c r="C70" s="2" t="s">
        <v>151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>
      <c r="A71" s="2" t="s">
        <v>152</v>
      </c>
      <c r="B71" s="2" t="s">
        <v>153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>
      <c r="A72" s="2" t="s">
        <v>518</v>
      </c>
      <c r="B72" s="2" t="s">
        <v>519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>
      <c r="A73" s="2" t="s">
        <v>157</v>
      </c>
      <c r="B73" s="2" t="s">
        <v>158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>
      <c r="A74" s="2" t="s">
        <v>146</v>
      </c>
      <c r="B74" s="2" t="s">
        <v>160</v>
      </c>
      <c r="C74" s="2" t="s">
        <v>161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>
      <c r="A75" s="2" t="s">
        <v>520</v>
      </c>
      <c r="B75" s="2" t="s">
        <v>521</v>
      </c>
      <c r="C75" s="2" t="s">
        <v>522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>
      <c r="A76" s="2" t="s">
        <v>185</v>
      </c>
      <c r="B76" s="2" t="s">
        <v>523</v>
      </c>
      <c r="C76" s="2" t="s">
        <v>524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>
      <c r="A77" s="2" t="s">
        <v>525</v>
      </c>
      <c r="B77" s="2" t="s">
        <v>526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>
      <c r="A78" s="2" t="s">
        <v>165</v>
      </c>
      <c r="B78" s="2" t="s">
        <v>166</v>
      </c>
      <c r="C78" s="2" t="s">
        <v>167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>
      <c r="A79" s="2" t="s">
        <v>527</v>
      </c>
      <c r="B79" s="2" t="s">
        <v>528</v>
      </c>
      <c r="C79" s="2" t="s">
        <v>529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>
      <c r="A80" s="2" t="s">
        <v>530</v>
      </c>
      <c r="B80" s="2" t="s">
        <v>531</v>
      </c>
      <c r="C80" s="2" t="s">
        <v>532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>
      <c r="A81" s="2" t="s">
        <v>49</v>
      </c>
      <c r="B81" s="2" t="s">
        <v>533</v>
      </c>
      <c r="C81" s="2" t="s">
        <v>534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>
      <c r="A82" s="2" t="s">
        <v>535</v>
      </c>
      <c r="B82" s="2" t="s">
        <v>536</v>
      </c>
      <c r="C82" s="2" t="s">
        <v>537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>
      <c r="A83" s="2" t="s">
        <v>538</v>
      </c>
      <c r="B83" s="2" t="s">
        <v>539</v>
      </c>
      <c r="C83" s="2" t="s">
        <v>540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>
      <c r="A84" s="2" t="s">
        <v>541</v>
      </c>
      <c r="B84" s="2" t="s">
        <v>542</v>
      </c>
      <c r="C84" s="2" t="s">
        <v>543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>
      <c r="A85" s="2" t="s">
        <v>544</v>
      </c>
      <c r="B85" s="2" t="s">
        <v>545</v>
      </c>
      <c r="C85" s="2" t="s">
        <v>546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>
      <c r="A86" s="2" t="s">
        <v>170</v>
      </c>
      <c r="B86" s="2" t="s">
        <v>171</v>
      </c>
      <c r="C86" s="2" t="s">
        <v>172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>
      <c r="A87" s="2" t="s">
        <v>173</v>
      </c>
      <c r="B87" s="2" t="s">
        <v>174</v>
      </c>
      <c r="C87" s="2" t="s">
        <v>175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>
      <c r="A88" s="2" t="s">
        <v>176</v>
      </c>
      <c r="B88" s="2" t="s">
        <v>177</v>
      </c>
      <c r="C88" s="2" t="s">
        <v>178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>
      <c r="A89" s="2" t="s">
        <v>547</v>
      </c>
      <c r="B89" s="2" t="s">
        <v>548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>
      <c r="A90" s="2" t="s">
        <v>179</v>
      </c>
      <c r="B90" s="2" t="s">
        <v>180</v>
      </c>
      <c r="C90" s="2" t="s">
        <v>181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>
      <c r="A91" s="2" t="s">
        <v>549</v>
      </c>
      <c r="B91" s="2" t="s">
        <v>550</v>
      </c>
      <c r="C91" s="2" t="s">
        <v>551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>
      <c r="A92" s="2" t="s">
        <v>168</v>
      </c>
      <c r="B92" s="2" t="s">
        <v>552</v>
      </c>
      <c r="C92" s="2" t="s">
        <v>553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>
      <c r="A93" s="2" t="s">
        <v>554</v>
      </c>
      <c r="B93" s="2" t="s">
        <v>555</v>
      </c>
      <c r="C93" s="2" t="s">
        <v>556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>
      <c r="A94" s="2" t="s">
        <v>188</v>
      </c>
      <c r="B94" s="2" t="s">
        <v>189</v>
      </c>
      <c r="C94" s="2" t="s">
        <v>190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>
      <c r="A95" s="2" t="s">
        <v>557</v>
      </c>
      <c r="B95" s="2" t="s">
        <v>558</v>
      </c>
      <c r="C95" s="2" t="s">
        <v>559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>
      <c r="A96" s="2" t="s">
        <v>560</v>
      </c>
      <c r="B96" s="2" t="s">
        <v>561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>
      <c r="A97" s="2" t="s">
        <v>191</v>
      </c>
      <c r="B97" s="2" t="s">
        <v>192</v>
      </c>
      <c r="C97" s="2" t="s">
        <v>193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>
      <c r="A98" s="2" t="s">
        <v>562</v>
      </c>
      <c r="B98" s="2" t="s">
        <v>563</v>
      </c>
      <c r="C98" s="2" t="s">
        <v>564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>
      <c r="A99" s="2" t="s">
        <v>565</v>
      </c>
      <c r="B99" s="2" t="s">
        <v>566</v>
      </c>
      <c r="C99" s="20" t="s">
        <v>567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>
      <c r="A100" s="2" t="s">
        <v>194</v>
      </c>
      <c r="B100" s="2" t="s">
        <v>195</v>
      </c>
      <c r="C100" s="2" t="s">
        <v>196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>
      <c r="A101" s="2" t="s">
        <v>568</v>
      </c>
      <c r="B101" s="2" t="s">
        <v>569</v>
      </c>
      <c r="C101" s="2" t="s">
        <v>570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>
      <c r="A102" s="2" t="s">
        <v>571</v>
      </c>
      <c r="B102" s="2" t="s">
        <v>572</v>
      </c>
      <c r="C102" s="2" t="s">
        <v>573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>
      <c r="A103" s="2" t="s">
        <v>574</v>
      </c>
      <c r="B103" s="2" t="s">
        <v>575</v>
      </c>
      <c r="C103" s="2" t="s">
        <v>576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>
      <c r="A104" s="2" t="s">
        <v>577</v>
      </c>
      <c r="B104" s="2" t="s">
        <v>578</v>
      </c>
      <c r="C104" s="2" t="s">
        <v>579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>
      <c r="A105" s="2" t="s">
        <v>580</v>
      </c>
      <c r="B105" s="2" t="s">
        <v>581</v>
      </c>
      <c r="C105" s="2" t="s">
        <v>582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>
      <c r="A106" s="2" t="s">
        <v>197</v>
      </c>
      <c r="B106" s="2" t="s">
        <v>198</v>
      </c>
      <c r="C106" s="2" t="s">
        <v>199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>
      <c r="A107" s="2" t="s">
        <v>200</v>
      </c>
      <c r="B107" s="2" t="s">
        <v>201</v>
      </c>
      <c r="C107" s="2" t="s">
        <v>202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>
      <c r="A108" s="2" t="s">
        <v>583</v>
      </c>
      <c r="B108" s="2" t="s">
        <v>584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>
      <c r="A109" s="2" t="s">
        <v>585</v>
      </c>
      <c r="B109" s="2" t="s">
        <v>586</v>
      </c>
      <c r="C109" s="2" t="s">
        <v>587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>
      <c r="A110" s="2" t="s">
        <v>588</v>
      </c>
      <c r="B110" s="2" t="s">
        <v>589</v>
      </c>
      <c r="C110" s="2" t="s">
        <v>590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>
      <c r="A111" s="2" t="s">
        <v>591</v>
      </c>
      <c r="B111" s="2" t="s">
        <v>592</v>
      </c>
      <c r="C111" s="2" t="s">
        <v>593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>
      <c r="A112" s="2" t="s">
        <v>594</v>
      </c>
      <c r="B112" s="2" t="s">
        <v>595</v>
      </c>
      <c r="C112" s="2" t="s">
        <v>596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>
      <c r="A113" s="2" t="s">
        <v>41</v>
      </c>
      <c r="B113" s="2" t="s">
        <v>69</v>
      </c>
      <c r="C113" s="2" t="s">
        <v>597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>
      <c r="A114" s="2" t="s">
        <v>598</v>
      </c>
      <c r="B114" s="2" t="s">
        <v>599</v>
      </c>
      <c r="C114" s="2" t="s">
        <v>600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>
      <c r="A115" s="2" t="s">
        <v>601</v>
      </c>
      <c r="B115" s="2" t="s">
        <v>602</v>
      </c>
      <c r="C115" s="2" t="s">
        <v>603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>
      <c r="A116" s="2" t="s">
        <v>604</v>
      </c>
      <c r="B116" s="2" t="s">
        <v>605</v>
      </c>
      <c r="C116" s="20" t="s">
        <v>606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>
      <c r="A117" s="2" t="s">
        <v>211</v>
      </c>
      <c r="B117" s="2" t="s">
        <v>212</v>
      </c>
      <c r="C117" s="20" t="s">
        <v>213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>
      <c r="A118" s="2" t="s">
        <v>214</v>
      </c>
      <c r="B118" s="2" t="s">
        <v>215</v>
      </c>
      <c r="C118" s="2" t="s">
        <v>216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>
      <c r="A119" s="2" t="s">
        <v>217</v>
      </c>
      <c r="B119" s="2" t="s">
        <v>218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>
      <c r="A120" s="2" t="s">
        <v>607</v>
      </c>
      <c r="B120" s="2" t="s">
        <v>608</v>
      </c>
      <c r="C120" s="2" t="s">
        <v>609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>
      <c r="A121" s="2" t="s">
        <v>219</v>
      </c>
      <c r="B121" s="2" t="s">
        <v>220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>
      <c r="A122" s="2" t="s">
        <v>610</v>
      </c>
      <c r="B122" s="2" t="s">
        <v>611</v>
      </c>
      <c r="C122" s="2" t="s">
        <v>612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>
      <c r="A123" s="2" t="s">
        <v>613</v>
      </c>
      <c r="B123" s="2" t="s">
        <v>614</v>
      </c>
      <c r="C123" s="2" t="s">
        <v>615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>
      <c r="A124" s="2" t="s">
        <v>616</v>
      </c>
      <c r="B124" s="2" t="s">
        <v>617</v>
      </c>
      <c r="C124" s="2" t="s">
        <v>618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>
      <c r="A125" s="2" t="s">
        <v>619</v>
      </c>
      <c r="B125" s="2" t="s">
        <v>222</v>
      </c>
      <c r="C125" s="2" t="s">
        <v>223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>
      <c r="A126" s="2" t="s">
        <v>224</v>
      </c>
      <c r="B126" s="2" t="s">
        <v>225</v>
      </c>
      <c r="C126" s="2" t="s">
        <v>226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>
      <c r="A127" s="2" t="s">
        <v>227</v>
      </c>
      <c r="B127" s="2" t="s">
        <v>228</v>
      </c>
      <c r="C127" s="2" t="s">
        <v>229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>
      <c r="A128" s="2" t="s">
        <v>620</v>
      </c>
      <c r="B128" s="2" t="s">
        <v>621</v>
      </c>
      <c r="C128" s="2" t="s">
        <v>622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>
      <c r="A129" s="2" t="s">
        <v>623</v>
      </c>
      <c r="B129" s="2" t="s">
        <v>624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>
      <c r="A130" s="2" t="s">
        <v>221</v>
      </c>
      <c r="B130" s="2" t="s">
        <v>625</v>
      </c>
      <c r="C130" s="2" t="s">
        <v>626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>
      <c r="A131" s="2" t="s">
        <v>230</v>
      </c>
      <c r="B131" s="2" t="s">
        <v>231</v>
      </c>
      <c r="C131" s="2" t="s">
        <v>232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>
      <c r="A132" s="2" t="s">
        <v>627</v>
      </c>
      <c r="B132" s="2" t="s">
        <v>628</v>
      </c>
      <c r="C132" s="2" t="s">
        <v>629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>
      <c r="A133" s="2" t="s">
        <v>42</v>
      </c>
      <c r="B133" s="2" t="s">
        <v>630</v>
      </c>
      <c r="C133" s="2" t="s">
        <v>631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>
      <c r="A134" s="2" t="s">
        <v>233</v>
      </c>
      <c r="B134" s="2" t="s">
        <v>234</v>
      </c>
      <c r="C134" s="2" t="s">
        <v>235</v>
      </c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>
      <c r="A135" s="2" t="s">
        <v>242</v>
      </c>
      <c r="B135" s="2" t="s">
        <v>243</v>
      </c>
      <c r="C135" s="2" t="s">
        <v>244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>
      <c r="A136" s="2" t="s">
        <v>632</v>
      </c>
      <c r="B136" s="2" t="s">
        <v>633</v>
      </c>
      <c r="C136" s="2" t="s">
        <v>634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>
      <c r="A137" s="2" t="s">
        <v>635</v>
      </c>
      <c r="B137" s="2" t="s">
        <v>636</v>
      </c>
      <c r="C137" s="2" t="s">
        <v>637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>
      <c r="A138" s="2" t="s">
        <v>638</v>
      </c>
      <c r="B138" s="2" t="s">
        <v>639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>
      <c r="A139" s="2" t="s">
        <v>640</v>
      </c>
      <c r="B139" s="2" t="s">
        <v>641</v>
      </c>
      <c r="C139" s="2" t="s">
        <v>642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>
      <c r="A140" s="20" t="s">
        <v>643</v>
      </c>
      <c r="B140" s="20" t="s">
        <v>644</v>
      </c>
      <c r="C140" s="20" t="s">
        <v>645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>
      <c r="A141" s="2" t="s">
        <v>646</v>
      </c>
      <c r="B141" s="2" t="s">
        <v>647</v>
      </c>
      <c r="C141" s="2" t="s">
        <v>648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>
      <c r="A142" s="2" t="s">
        <v>649</v>
      </c>
      <c r="B142" s="2" t="s">
        <v>650</v>
      </c>
      <c r="C142" s="2" t="s">
        <v>651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>
      <c r="A143" s="2" t="s">
        <v>245</v>
      </c>
      <c r="B143" s="2" t="s">
        <v>246</v>
      </c>
      <c r="C143" s="2" t="s">
        <v>247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>
      <c r="A144" s="2" t="s">
        <v>652</v>
      </c>
      <c r="B144" s="2" t="s">
        <v>653</v>
      </c>
      <c r="C144" s="2" t="s">
        <v>654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>
      <c r="A145" s="2" t="s">
        <v>655</v>
      </c>
      <c r="B145" s="2" t="s">
        <v>656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>
      <c r="A146" s="2" t="s">
        <v>40</v>
      </c>
      <c r="B146" s="2" t="s">
        <v>657</v>
      </c>
      <c r="C146" s="2" t="s">
        <v>658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>
      <c r="A147" s="2" t="s">
        <v>659</v>
      </c>
      <c r="B147" s="2" t="s">
        <v>660</v>
      </c>
      <c r="C147" s="2" t="s">
        <v>661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>
      <c r="A148" s="2" t="s">
        <v>254</v>
      </c>
      <c r="B148" s="2" t="s">
        <v>255</v>
      </c>
      <c r="C148" s="2" t="s">
        <v>256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>
      <c r="A149" s="2" t="s">
        <v>257</v>
      </c>
      <c r="B149" s="2" t="s">
        <v>258</v>
      </c>
      <c r="C149" s="2" t="s">
        <v>259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>
      <c r="A150" s="2" t="s">
        <v>662</v>
      </c>
      <c r="B150" s="2" t="s">
        <v>663</v>
      </c>
      <c r="C150" s="2" t="s">
        <v>664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>
      <c r="A151" s="2" t="s">
        <v>665</v>
      </c>
      <c r="B151" s="2" t="s">
        <v>666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>
      <c r="A152" s="2" t="s">
        <v>667</v>
      </c>
      <c r="B152" s="2" t="s">
        <v>668</v>
      </c>
      <c r="C152" s="2" t="s">
        <v>669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>
      <c r="A153" s="2" t="s">
        <v>670</v>
      </c>
      <c r="B153" s="2" t="s">
        <v>671</v>
      </c>
      <c r="C153" s="2" t="s">
        <v>672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>
      <c r="A154" s="2" t="s">
        <v>38</v>
      </c>
      <c r="B154" s="2" t="s">
        <v>673</v>
      </c>
      <c r="C154" s="2" t="s">
        <v>674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>
      <c r="A155" s="2" t="s">
        <v>675</v>
      </c>
      <c r="B155" s="2" t="s">
        <v>676</v>
      </c>
      <c r="C155" s="2" t="s">
        <v>677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>
      <c r="A156" s="2" t="s">
        <v>260</v>
      </c>
      <c r="B156" s="2" t="s">
        <v>261</v>
      </c>
      <c r="C156" s="2" t="s">
        <v>262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>
      <c r="A157" s="2" t="s">
        <v>678</v>
      </c>
      <c r="B157" s="2" t="s">
        <v>679</v>
      </c>
      <c r="C157" s="2" t="s">
        <v>680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>
      <c r="A158" s="2" t="s">
        <v>681</v>
      </c>
      <c r="B158" s="2" t="s">
        <v>682</v>
      </c>
      <c r="C158" s="2" t="s">
        <v>683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>
      <c r="A159" s="2" t="s">
        <v>684</v>
      </c>
      <c r="B159" s="2" t="s">
        <v>685</v>
      </c>
      <c r="C159" s="2" t="s">
        <v>686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>
      <c r="A160" s="2" t="s">
        <v>687</v>
      </c>
      <c r="B160" s="2" t="s">
        <v>688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>
      <c r="A161" s="2" t="s">
        <v>263</v>
      </c>
      <c r="B161" s="2" t="s">
        <v>264</v>
      </c>
      <c r="C161" s="2" t="s">
        <v>265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>
      <c r="A162" s="2" t="s">
        <v>689</v>
      </c>
      <c r="B162" s="2" t="s">
        <v>690</v>
      </c>
      <c r="C162" s="2" t="s">
        <v>691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>
      <c r="A163" s="2" t="s">
        <v>692</v>
      </c>
      <c r="B163" s="2" t="s">
        <v>693</v>
      </c>
      <c r="C163" s="2" t="s">
        <v>694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>
      <c r="A164" s="2" t="s">
        <v>695</v>
      </c>
      <c r="B164" s="2" t="s">
        <v>696</v>
      </c>
      <c r="C164" s="2" t="s">
        <v>697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>
      <c r="A165" s="2" t="s">
        <v>698</v>
      </c>
      <c r="B165" s="2" t="s">
        <v>699</v>
      </c>
      <c r="C165" s="2" t="s">
        <v>700</v>
      </c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>
      <c r="A166" s="2" t="s">
        <v>54</v>
      </c>
      <c r="B166" s="2" t="s">
        <v>701</v>
      </c>
      <c r="C166" s="2" t="s">
        <v>702</v>
      </c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>
      <c r="A167" s="2" t="s">
        <v>272</v>
      </c>
      <c r="B167" s="2" t="s">
        <v>273</v>
      </c>
      <c r="C167" s="2" t="s">
        <v>274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>
      <c r="A168" s="2" t="s">
        <v>703</v>
      </c>
      <c r="B168" s="2" t="s">
        <v>704</v>
      </c>
      <c r="C168" s="2" t="s">
        <v>705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>
      <c r="A169" s="2" t="s">
        <v>706</v>
      </c>
      <c r="B169" s="2" t="s">
        <v>707</v>
      </c>
      <c r="C169" s="2" t="s">
        <v>708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>
      <c r="A170" s="2" t="s">
        <v>709</v>
      </c>
      <c r="B170" s="2" t="s">
        <v>710</v>
      </c>
      <c r="C170" s="2" t="s">
        <v>711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>
      <c r="A171" s="2" t="s">
        <v>277</v>
      </c>
      <c r="B171" s="2" t="s">
        <v>278</v>
      </c>
      <c r="C171" s="2" t="s">
        <v>279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>
      <c r="A172" s="2" t="s">
        <v>306</v>
      </c>
      <c r="B172" s="2" t="s">
        <v>281</v>
      </c>
      <c r="C172" s="2" t="s">
        <v>282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>
      <c r="A173" s="2" t="s">
        <v>283</v>
      </c>
      <c r="B173" s="2" t="s">
        <v>284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>
      <c r="A174" s="2" t="s">
        <v>712</v>
      </c>
      <c r="B174" s="2" t="s">
        <v>713</v>
      </c>
      <c r="C174" s="2" t="s">
        <v>714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>
      <c r="A175" s="2" t="s">
        <v>715</v>
      </c>
      <c r="B175" s="2" t="s">
        <v>716</v>
      </c>
      <c r="C175" s="2" t="s">
        <v>717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>
      <c r="A176" s="2" t="s">
        <v>718</v>
      </c>
      <c r="B176" s="2" t="s">
        <v>719</v>
      </c>
      <c r="C176" s="2" t="s">
        <v>720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>
      <c r="A177" s="2" t="s">
        <v>721</v>
      </c>
      <c r="B177" s="2" t="s">
        <v>722</v>
      </c>
      <c r="C177" s="2" t="s">
        <v>723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>
      <c r="A178" s="2" t="s">
        <v>62</v>
      </c>
      <c r="B178" s="2" t="s">
        <v>724</v>
      </c>
      <c r="C178" s="2" t="s">
        <v>725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>
      <c r="A179" s="2" t="s">
        <v>65</v>
      </c>
      <c r="B179" s="2" t="s">
        <v>726</v>
      </c>
      <c r="C179" s="2" t="s">
        <v>727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>
      <c r="A180" s="2" t="s">
        <v>70</v>
      </c>
      <c r="B180" s="2" t="s">
        <v>728</v>
      </c>
      <c r="C180" s="2" t="s">
        <v>729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>
      <c r="A181" s="2" t="s">
        <v>341</v>
      </c>
      <c r="B181" s="2" t="s">
        <v>342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>
      <c r="A182" s="2" t="s">
        <v>343</v>
      </c>
      <c r="B182" s="2" t="s">
        <v>344</v>
      </c>
      <c r="C182" s="2" t="s">
        <v>345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>
      <c r="A183" s="2" t="s">
        <v>730</v>
      </c>
      <c r="B183" s="2" t="s">
        <v>731</v>
      </c>
      <c r="C183" s="2" t="s">
        <v>732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>
      <c r="A184" s="2" t="s">
        <v>733</v>
      </c>
      <c r="B184" s="2" t="s">
        <v>734</v>
      </c>
      <c r="C184" s="2" t="s">
        <v>735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>
      <c r="A185" s="2" t="s">
        <v>736</v>
      </c>
      <c r="B185" s="2" t="s">
        <v>737</v>
      </c>
      <c r="C185" s="2" t="s">
        <v>738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>
      <c r="A186" s="2" t="s">
        <v>739</v>
      </c>
      <c r="B186" s="2" t="s">
        <v>740</v>
      </c>
      <c r="C186" s="2" t="s">
        <v>741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>
      <c r="A187" s="2" t="s">
        <v>742</v>
      </c>
      <c r="B187" s="2" t="s">
        <v>743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>
      <c r="A188" s="2" t="s">
        <v>744</v>
      </c>
      <c r="B188" s="2" t="s">
        <v>745</v>
      </c>
      <c r="C188" s="2" t="s">
        <v>746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>
      <c r="A189" s="2" t="s">
        <v>747</v>
      </c>
      <c r="B189" s="2" t="s">
        <v>748</v>
      </c>
      <c r="C189" s="2" t="s">
        <v>749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>
      <c r="A190" s="2" t="s">
        <v>750</v>
      </c>
      <c r="B190" s="2" t="s">
        <v>751</v>
      </c>
      <c r="C190" s="2" t="s">
        <v>752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>
      <c r="A191" s="2" t="s">
        <v>349</v>
      </c>
      <c r="B191" s="2" t="s">
        <v>350</v>
      </c>
      <c r="C191" s="20" t="s">
        <v>351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>
      <c r="A192" s="2" t="s">
        <v>352</v>
      </c>
      <c r="B192" s="2" t="s">
        <v>353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>
      <c r="A193" s="2" t="s">
        <v>354</v>
      </c>
      <c r="B193" s="2" t="s">
        <v>355</v>
      </c>
      <c r="C193" s="20" t="s">
        <v>356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>
      <c r="A194" s="2" t="s">
        <v>753</v>
      </c>
      <c r="B194" s="2" t="s">
        <v>754</v>
      </c>
      <c r="C194" s="2" t="s">
        <v>755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>
      <c r="A195" s="2" t="s">
        <v>756</v>
      </c>
      <c r="B195" s="2" t="s">
        <v>757</v>
      </c>
      <c r="C195" s="2" t="s">
        <v>758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>
      <c r="A196" s="2" t="s">
        <v>759</v>
      </c>
      <c r="B196" s="2" t="s">
        <v>760</v>
      </c>
      <c r="C196" s="2" t="s">
        <v>761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>
      <c r="A197" s="2" t="s">
        <v>762</v>
      </c>
      <c r="B197" s="2" t="s">
        <v>763</v>
      </c>
      <c r="C197" s="2" t="s">
        <v>764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>
      <c r="A198" s="2" t="s">
        <v>765</v>
      </c>
      <c r="B198" s="2" t="s">
        <v>766</v>
      </c>
      <c r="C198" s="2" t="s">
        <v>767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>
      <c r="A199" s="2" t="s">
        <v>768</v>
      </c>
      <c r="B199" s="2" t="s">
        <v>769</v>
      </c>
      <c r="C199" s="2" t="s">
        <v>770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>
      <c r="A200" s="20" t="s">
        <v>61</v>
      </c>
      <c r="B200" s="20" t="s">
        <v>357</v>
      </c>
      <c r="C200" s="20" t="s">
        <v>357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>
      <c r="A201" s="20" t="s">
        <v>341</v>
      </c>
      <c r="B201" s="20" t="s">
        <v>771</v>
      </c>
      <c r="C201" s="20" t="s">
        <v>771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/>
    <row r="613" spans="1:26" ht="12.75" customHeight="1"/>
    <row r="614" spans="1:26" ht="12.75" customHeight="1"/>
    <row r="615" spans="1:26" ht="12.75" customHeight="1"/>
    <row r="616" spans="1:26" ht="12.75" customHeight="1"/>
    <row r="617" spans="1:26" ht="12.75" customHeight="1"/>
    <row r="618" spans="1:26" ht="12.75" customHeight="1"/>
    <row r="619" spans="1:26" ht="12.75" customHeight="1"/>
    <row r="620" spans="1:26" ht="12.75" customHeight="1"/>
    <row r="621" spans="1:26" ht="12.75" customHeight="1"/>
    <row r="622" spans="1:26" ht="12.75" customHeight="1"/>
    <row r="623" spans="1:26" ht="12.75" customHeight="1"/>
    <row r="624" spans="1:26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6640625" defaultRowHeight="15" customHeight="1"/>
  <cols>
    <col min="1" max="1" width="17.5" customWidth="1"/>
    <col min="2" max="2" width="39.5" customWidth="1"/>
    <col min="3" max="3" width="12.5" customWidth="1"/>
    <col min="4" max="4" width="12" customWidth="1"/>
    <col min="5" max="5" width="20.33203125" customWidth="1"/>
    <col min="6" max="26" width="8.83203125" customWidth="1"/>
  </cols>
  <sheetData>
    <row r="1" spans="1:26" ht="12.75" customHeight="1">
      <c r="A1" s="55" t="s">
        <v>772</v>
      </c>
      <c r="B1" s="55" t="s">
        <v>6</v>
      </c>
      <c r="C1" s="55" t="s">
        <v>7</v>
      </c>
      <c r="D1" s="55" t="s">
        <v>8</v>
      </c>
      <c r="E1" s="55" t="s">
        <v>773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.75" customHeight="1">
      <c r="A2" s="2" t="s">
        <v>774</v>
      </c>
      <c r="B2" s="2" t="s">
        <v>775</v>
      </c>
      <c r="C2" s="2">
        <v>51.74418</v>
      </c>
      <c r="D2" s="2">
        <v>-128.07130000000001</v>
      </c>
      <c r="E2" s="2" t="s">
        <v>776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" t="s">
        <v>777</v>
      </c>
      <c r="B3" s="2" t="s">
        <v>778</v>
      </c>
      <c r="C3" s="2">
        <v>51.733899999999998</v>
      </c>
      <c r="D3" s="2">
        <v>-127.99670999999999</v>
      </c>
      <c r="E3" s="2" t="s">
        <v>776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" t="s">
        <v>779</v>
      </c>
      <c r="B4" s="2" t="s">
        <v>780</v>
      </c>
      <c r="C4" s="2">
        <v>51.649079999999998</v>
      </c>
      <c r="D4" s="2">
        <v>-128.15116</v>
      </c>
      <c r="E4" s="2" t="s">
        <v>776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" t="s">
        <v>781</v>
      </c>
      <c r="B5" s="2" t="s">
        <v>782</v>
      </c>
      <c r="C5" s="2">
        <v>51.803629999999998</v>
      </c>
      <c r="D5" s="2">
        <v>-128.25416000000001</v>
      </c>
      <c r="E5" s="2" t="s">
        <v>776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" t="s">
        <v>783</v>
      </c>
      <c r="B6" s="2" t="s">
        <v>784</v>
      </c>
      <c r="C6" s="2">
        <v>51.667029999999997</v>
      </c>
      <c r="D6" s="2">
        <v>-128.13995</v>
      </c>
      <c r="E6" s="2" t="s">
        <v>776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" t="s">
        <v>785</v>
      </c>
      <c r="B7" s="2" t="s">
        <v>786</v>
      </c>
      <c r="C7" s="2">
        <v>51.649099999999997</v>
      </c>
      <c r="D7" s="2">
        <v>-128.15525</v>
      </c>
      <c r="E7" s="2" t="s">
        <v>776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" t="s">
        <v>787</v>
      </c>
      <c r="B8" s="2" t="s">
        <v>788</v>
      </c>
      <c r="C8" s="2">
        <v>51.701180000000001</v>
      </c>
      <c r="D8" s="2">
        <v>-128.07386</v>
      </c>
      <c r="E8" s="2" t="s">
        <v>776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" t="s">
        <v>789</v>
      </c>
      <c r="B9" s="2" t="s">
        <v>790</v>
      </c>
      <c r="C9" s="2">
        <v>51.680250000000001</v>
      </c>
      <c r="D9" s="2">
        <v>-128.12610000000001</v>
      </c>
      <c r="E9" s="2" t="s">
        <v>776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" t="s">
        <v>66</v>
      </c>
      <c r="B10" s="2" t="s">
        <v>791</v>
      </c>
      <c r="C10" s="2">
        <v>48.828948974609297</v>
      </c>
      <c r="D10" s="2">
        <v>-125.19757080078099</v>
      </c>
      <c r="E10" s="2" t="s">
        <v>792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" t="s">
        <v>74</v>
      </c>
      <c r="B11" s="2" t="s">
        <v>793</v>
      </c>
      <c r="C11" s="2">
        <v>48.870517730712798</v>
      </c>
      <c r="D11" s="2">
        <v>-125.160346984863</v>
      </c>
      <c r="E11" s="2" t="s">
        <v>776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" t="s">
        <v>71</v>
      </c>
      <c r="B12" s="2" t="s">
        <v>794</v>
      </c>
      <c r="C12" s="2">
        <v>48.857467651367102</v>
      </c>
      <c r="D12" s="2">
        <v>-125.158233642578</v>
      </c>
      <c r="E12" s="2" t="s">
        <v>776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" t="s">
        <v>73</v>
      </c>
      <c r="B13" s="2" t="s">
        <v>795</v>
      </c>
      <c r="C13" s="2">
        <v>48.858283996582003</v>
      </c>
      <c r="D13" s="2">
        <v>-125.160919189453</v>
      </c>
      <c r="E13" s="2" t="s">
        <v>776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" t="s">
        <v>83</v>
      </c>
      <c r="B14" s="2" t="s">
        <v>796</v>
      </c>
      <c r="C14" s="2">
        <v>48.865032196044901</v>
      </c>
      <c r="D14" s="2">
        <v>-125.313720703125</v>
      </c>
      <c r="E14" s="2" t="s">
        <v>776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" t="s">
        <v>85</v>
      </c>
      <c r="B15" s="2" t="s">
        <v>797</v>
      </c>
      <c r="C15" s="2">
        <v>48.879081726074197</v>
      </c>
      <c r="D15" s="2">
        <v>-125.297401428222</v>
      </c>
      <c r="E15" s="2" t="s">
        <v>776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" t="s">
        <v>798</v>
      </c>
      <c r="B16" s="2" t="s">
        <v>799</v>
      </c>
      <c r="C16" s="2">
        <v>48.880283355712798</v>
      </c>
      <c r="D16" s="2">
        <v>-125.31288146972599</v>
      </c>
      <c r="E16" s="2" t="s">
        <v>776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" t="s">
        <v>86</v>
      </c>
      <c r="B17" s="2" t="s">
        <v>800</v>
      </c>
      <c r="C17" s="2">
        <v>48.890701293945298</v>
      </c>
      <c r="D17" s="2">
        <v>-125.300498962402</v>
      </c>
      <c r="E17" s="2" t="s">
        <v>776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" t="s">
        <v>84</v>
      </c>
      <c r="B18" s="2" t="s">
        <v>801</v>
      </c>
      <c r="C18" s="2">
        <v>48.865482330322202</v>
      </c>
      <c r="D18" s="2">
        <v>-125.36148071289</v>
      </c>
      <c r="E18" s="2" t="s">
        <v>776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" t="s">
        <v>802</v>
      </c>
      <c r="B19" s="2" t="s">
        <v>803</v>
      </c>
      <c r="C19" s="2">
        <v>48.911617279052699</v>
      </c>
      <c r="D19" s="2">
        <v>-125.267036437988</v>
      </c>
      <c r="E19" s="2" t="s">
        <v>776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" t="s">
        <v>67</v>
      </c>
      <c r="B20" s="2" t="s">
        <v>804</v>
      </c>
      <c r="C20" s="2">
        <v>48.828601837158203</v>
      </c>
      <c r="D20" s="2">
        <v>-125.221298217773</v>
      </c>
      <c r="E20" s="2" t="s">
        <v>776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" t="s">
        <v>79</v>
      </c>
      <c r="B21" s="2" t="s">
        <v>805</v>
      </c>
      <c r="C21" s="2">
        <v>48.850399017333899</v>
      </c>
      <c r="D21" s="2">
        <v>-125.198768615722</v>
      </c>
      <c r="E21" s="2" t="s">
        <v>792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" t="s">
        <v>63</v>
      </c>
      <c r="B22" s="2" t="s">
        <v>806</v>
      </c>
      <c r="C22" s="2">
        <v>48.835666656494098</v>
      </c>
      <c r="D22" s="2">
        <v>-125.214797973632</v>
      </c>
      <c r="E22" s="2" t="s">
        <v>776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" t="s">
        <v>81</v>
      </c>
      <c r="B23" s="2" t="s">
        <v>807</v>
      </c>
      <c r="C23" s="2">
        <v>48.85205078125</v>
      </c>
      <c r="D23" s="2">
        <v>-125.123565673828</v>
      </c>
      <c r="E23" s="2" t="s">
        <v>776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" t="s">
        <v>82</v>
      </c>
      <c r="B24" s="2" t="s">
        <v>808</v>
      </c>
      <c r="C24" s="2">
        <v>48.8542671203613</v>
      </c>
      <c r="D24" s="2">
        <v>-125.11703491210901</v>
      </c>
      <c r="E24" s="2" t="s">
        <v>776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" t="s">
        <v>76</v>
      </c>
      <c r="B25" s="2" t="s">
        <v>809</v>
      </c>
      <c r="C25" s="2">
        <v>48.855583190917898</v>
      </c>
      <c r="D25" s="2">
        <v>-125.183799743652</v>
      </c>
      <c r="E25" s="2" t="s">
        <v>792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" t="s">
        <v>77</v>
      </c>
      <c r="B26" s="2" t="s">
        <v>810</v>
      </c>
      <c r="C26" s="2">
        <v>48.815116882324197</v>
      </c>
      <c r="D26" s="2">
        <v>-125.175331115722</v>
      </c>
      <c r="E26" s="2" t="s">
        <v>792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" t="s">
        <v>43</v>
      </c>
      <c r="B27" s="2" t="s">
        <v>811</v>
      </c>
      <c r="C27" s="2">
        <v>48.8273315429687</v>
      </c>
      <c r="D27" s="2">
        <v>-125.196601867675</v>
      </c>
      <c r="E27" s="2" t="s">
        <v>776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" t="s">
        <v>32</v>
      </c>
      <c r="B28" s="2" t="s">
        <v>812</v>
      </c>
      <c r="C28" s="2">
        <v>48.950233459472599</v>
      </c>
      <c r="D28" s="2">
        <v>-125.155548095703</v>
      </c>
      <c r="E28" s="2" t="s">
        <v>792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" t="s">
        <v>813</v>
      </c>
      <c r="B29" s="2" t="s">
        <v>814</v>
      </c>
      <c r="C29" s="2">
        <v>48.954643249511697</v>
      </c>
      <c r="D29" s="2">
        <v>-125.153991699218</v>
      </c>
      <c r="E29" s="2" t="s">
        <v>776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" t="s">
        <v>26</v>
      </c>
      <c r="B30" s="2" t="s">
        <v>815</v>
      </c>
      <c r="C30" s="2">
        <v>48.955081939697202</v>
      </c>
      <c r="D30" s="2">
        <v>-125.15337371826099</v>
      </c>
      <c r="E30" s="2" t="s">
        <v>776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" t="s">
        <v>48</v>
      </c>
      <c r="B31" s="2" t="s">
        <v>816</v>
      </c>
      <c r="C31" s="2">
        <v>48.834789276122997</v>
      </c>
      <c r="D31" s="2">
        <v>-125.14702606201099</v>
      </c>
      <c r="E31" s="2" t="s">
        <v>776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" t="s">
        <v>817</v>
      </c>
      <c r="B32" s="2" t="s">
        <v>818</v>
      </c>
      <c r="C32" s="2">
        <v>47.652140000000003</v>
      </c>
      <c r="D32" s="2">
        <v>-52.696169999999903</v>
      </c>
      <c r="E32" s="2" t="s">
        <v>819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>
      <c r="A33" s="2" t="s">
        <v>820</v>
      </c>
      <c r="B33" s="2" t="s">
        <v>821</v>
      </c>
      <c r="C33" s="2">
        <v>47.095253</v>
      </c>
      <c r="D33" s="2">
        <v>-52.909590000000001</v>
      </c>
      <c r="E33" s="2" t="s">
        <v>819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>
      <c r="A34" s="2" t="s">
        <v>822</v>
      </c>
      <c r="B34" s="2" t="s">
        <v>823</v>
      </c>
      <c r="C34" s="2">
        <v>47.433706000000001</v>
      </c>
      <c r="D34" s="2">
        <v>-53.158597999999998</v>
      </c>
      <c r="E34" s="2" t="s">
        <v>819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>
      <c r="A35" s="2" t="s">
        <v>824</v>
      </c>
      <c r="B35" s="2" t="s">
        <v>825</v>
      </c>
      <c r="C35" s="2">
        <v>47.803725999999997</v>
      </c>
      <c r="D35" s="2">
        <v>-52.787438000000002</v>
      </c>
      <c r="E35" s="2" t="s">
        <v>819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>
      <c r="A36" s="2" t="s">
        <v>826</v>
      </c>
      <c r="B36" s="2" t="s">
        <v>827</v>
      </c>
      <c r="C36" s="2">
        <v>47.722558999999997</v>
      </c>
      <c r="D36" s="2">
        <v>-52.835217999999998</v>
      </c>
      <c r="E36" s="2" t="s">
        <v>819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>
      <c r="A37" s="2" t="s">
        <v>828</v>
      </c>
      <c r="B37" s="2" t="s">
        <v>829</v>
      </c>
      <c r="C37" s="2">
        <v>47.66498</v>
      </c>
      <c r="D37" s="2">
        <v>-52.726889999999997</v>
      </c>
      <c r="E37" s="2" t="s">
        <v>819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>
      <c r="A38" s="2" t="s">
        <v>830</v>
      </c>
      <c r="B38" s="2" t="s">
        <v>831</v>
      </c>
      <c r="C38" s="2">
        <v>47.625320000000002</v>
      </c>
      <c r="D38" s="2">
        <v>-52.663369999999901</v>
      </c>
      <c r="E38" s="2" t="s">
        <v>819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>
      <c r="A39" s="2" t="s">
        <v>832</v>
      </c>
      <c r="B39" s="2" t="s">
        <v>833</v>
      </c>
      <c r="C39" s="2">
        <v>47.627290000000002</v>
      </c>
      <c r="D39" s="2">
        <v>-52.857689999999998</v>
      </c>
      <c r="E39" s="2" t="s">
        <v>819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>
      <c r="A40" s="2" t="s">
        <v>834</v>
      </c>
      <c r="B40" s="2" t="s">
        <v>835</v>
      </c>
      <c r="C40" s="2">
        <v>47.593032000000001</v>
      </c>
      <c r="D40" s="2">
        <v>-52.887818000000003</v>
      </c>
      <c r="E40" s="2" t="s">
        <v>819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>
      <c r="A41" s="2" t="s">
        <v>836</v>
      </c>
      <c r="B41" s="2" t="s">
        <v>837</v>
      </c>
      <c r="C41" s="2">
        <v>48.862142999999897</v>
      </c>
      <c r="D41" s="2">
        <v>-53.988593000000002</v>
      </c>
      <c r="E41" s="2" t="s">
        <v>819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>
      <c r="A42" s="2" t="s">
        <v>838</v>
      </c>
      <c r="B42" s="2" t="s">
        <v>839</v>
      </c>
      <c r="C42" s="2">
        <v>48.640341999999997</v>
      </c>
      <c r="D42" s="2">
        <v>-53.729569999999903</v>
      </c>
      <c r="E42" s="2" t="s">
        <v>819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>
      <c r="A43" s="2" t="s">
        <v>840</v>
      </c>
      <c r="B43" s="2" t="s">
        <v>841</v>
      </c>
      <c r="C43" s="2">
        <v>48.679724999999998</v>
      </c>
      <c r="D43" s="2">
        <v>-53.677975000000004</v>
      </c>
      <c r="E43" s="2" t="s">
        <v>819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>
      <c r="A44" s="2" t="s">
        <v>842</v>
      </c>
      <c r="B44" s="2" t="s">
        <v>843</v>
      </c>
      <c r="C44" s="2">
        <v>47.700316000000001</v>
      </c>
      <c r="D44" s="2">
        <v>-52.703564</v>
      </c>
      <c r="E44" s="2" t="s">
        <v>819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>
      <c r="A45" s="2" t="s">
        <v>844</v>
      </c>
      <c r="B45" s="2" t="s">
        <v>845</v>
      </c>
      <c r="C45" s="2">
        <v>33.897529999999897</v>
      </c>
      <c r="D45" s="2">
        <v>-120.10075000000001</v>
      </c>
      <c r="E45" s="2" t="s">
        <v>846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>
      <c r="A46" s="2" t="s">
        <v>847</v>
      </c>
      <c r="B46" s="2" t="s">
        <v>848</v>
      </c>
      <c r="C46" s="2">
        <v>34.054279999999999</v>
      </c>
      <c r="D46" s="2">
        <v>-119.56686999999999</v>
      </c>
      <c r="E46" s="2" t="s">
        <v>846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>
      <c r="A47" s="2" t="s">
        <v>849</v>
      </c>
      <c r="B47" s="2" t="s">
        <v>850</v>
      </c>
      <c r="C47" s="2">
        <v>34.044150000000002</v>
      </c>
      <c r="D47" s="2">
        <v>-119.54245</v>
      </c>
      <c r="E47" s="2" t="s">
        <v>846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>
      <c r="A48" s="2" t="s">
        <v>851</v>
      </c>
      <c r="B48" s="2" t="s">
        <v>852</v>
      </c>
      <c r="C48" s="2">
        <v>34.044930000000001</v>
      </c>
      <c r="D48" s="2">
        <v>-119.6014</v>
      </c>
      <c r="E48" s="2" t="s">
        <v>846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>
      <c r="A49" s="2" t="s">
        <v>853</v>
      </c>
      <c r="B49" s="2" t="s">
        <v>854</v>
      </c>
      <c r="C49" s="2">
        <v>34.0246</v>
      </c>
      <c r="D49" s="2">
        <v>-119.60597</v>
      </c>
      <c r="E49" s="2" t="s">
        <v>846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>
      <c r="A50" s="2" t="s">
        <v>855</v>
      </c>
      <c r="B50" s="2" t="s">
        <v>856</v>
      </c>
      <c r="C50" s="2">
        <v>49.315709999999903</v>
      </c>
      <c r="D50" s="2">
        <v>-124.21548999999899</v>
      </c>
      <c r="E50" s="2" t="s">
        <v>792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>
      <c r="A51" s="2" t="s">
        <v>857</v>
      </c>
      <c r="B51" s="2" t="s">
        <v>858</v>
      </c>
      <c r="C51" s="2">
        <v>49.313270000000003</v>
      </c>
      <c r="D51" s="2">
        <v>-124.243169999999</v>
      </c>
      <c r="E51" s="2" t="s">
        <v>792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>
      <c r="A52" s="2" t="s">
        <v>859</v>
      </c>
      <c r="B52" s="2" t="s">
        <v>860</v>
      </c>
      <c r="C52" s="2">
        <v>49.313569999999999</v>
      </c>
      <c r="D52" s="2">
        <v>-124.241939999999</v>
      </c>
      <c r="E52" s="2" t="s">
        <v>792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>
      <c r="A53" s="2" t="s">
        <v>861</v>
      </c>
      <c r="B53" s="2" t="s">
        <v>862</v>
      </c>
      <c r="C53" s="2">
        <v>34.047979999999903</v>
      </c>
      <c r="D53" s="2">
        <v>-119.5514</v>
      </c>
      <c r="E53" s="2" t="s">
        <v>846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>
      <c r="A54" s="2" t="s">
        <v>863</v>
      </c>
      <c r="B54" s="2" t="s">
        <v>864</v>
      </c>
      <c r="C54" s="2">
        <v>50.051540000000003</v>
      </c>
      <c r="D54" s="2">
        <v>-125.22526000000001</v>
      </c>
      <c r="E54" s="2" t="s">
        <v>792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>
      <c r="A55" s="2" t="s">
        <v>865</v>
      </c>
      <c r="B55" s="2" t="s">
        <v>866</v>
      </c>
      <c r="C55" s="2">
        <v>49.292499999999997</v>
      </c>
      <c r="D55" s="2">
        <v>-124.14351000000001</v>
      </c>
      <c r="E55" s="2" t="s">
        <v>792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>
      <c r="A56" s="2" t="s">
        <v>867</v>
      </c>
      <c r="B56" s="2" t="s">
        <v>868</v>
      </c>
      <c r="C56" s="2">
        <v>48.814749999999997</v>
      </c>
      <c r="D56" s="2">
        <v>-123.608539999999</v>
      </c>
      <c r="E56" s="2" t="s">
        <v>792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>
      <c r="A57" s="2" t="s">
        <v>869</v>
      </c>
      <c r="B57" s="2" t="s">
        <v>870</v>
      </c>
      <c r="C57" s="2">
        <v>49.450020000000002</v>
      </c>
      <c r="D57" s="2">
        <v>-123.24075999999999</v>
      </c>
      <c r="E57" s="2" t="s">
        <v>792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>
      <c r="A58" s="2" t="s">
        <v>871</v>
      </c>
      <c r="B58" s="2" t="s">
        <v>872</v>
      </c>
      <c r="C58" s="2">
        <v>33.892330000000001</v>
      </c>
      <c r="D58" s="2">
        <v>-120.1195</v>
      </c>
      <c r="E58" s="2" t="s">
        <v>846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>
      <c r="A59" s="2" t="s">
        <v>873</v>
      </c>
      <c r="B59" s="2" t="s">
        <v>874</v>
      </c>
      <c r="C59" s="2">
        <v>33.900370000000002</v>
      </c>
      <c r="D59" s="2">
        <v>-120.13563000000001</v>
      </c>
      <c r="E59" s="2" t="s">
        <v>846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>
      <c r="A60" s="2" t="s">
        <v>875</v>
      </c>
      <c r="B60" s="2" t="s">
        <v>876</v>
      </c>
      <c r="C60" s="2">
        <v>33.901420000000002</v>
      </c>
      <c r="D60" s="2">
        <v>-120.10221999999899</v>
      </c>
      <c r="E60" s="2" t="s">
        <v>846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>
      <c r="A61" s="2" t="s">
        <v>877</v>
      </c>
      <c r="B61" s="2" t="s">
        <v>878</v>
      </c>
      <c r="C61" s="2">
        <v>33.901470000000003</v>
      </c>
      <c r="D61" s="2">
        <v>-120.10297</v>
      </c>
      <c r="E61" s="2" t="s">
        <v>846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>
      <c r="A62" s="2" t="s">
        <v>879</v>
      </c>
      <c r="B62" s="2" t="s">
        <v>880</v>
      </c>
      <c r="C62" s="2">
        <v>34.03837</v>
      </c>
      <c r="D62" s="2">
        <v>-119.5253</v>
      </c>
      <c r="E62" s="2" t="s">
        <v>846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>
      <c r="A63" s="2" t="s">
        <v>881</v>
      </c>
      <c r="B63" s="2" t="s">
        <v>882</v>
      </c>
      <c r="C63" s="2">
        <v>34.052169999999997</v>
      </c>
      <c r="D63" s="2">
        <v>-119.58211999999899</v>
      </c>
      <c r="E63" s="2" t="s">
        <v>846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>
      <c r="A64" s="2" t="s">
        <v>883</v>
      </c>
      <c r="B64" s="2" t="s">
        <v>884</v>
      </c>
      <c r="C64" s="2">
        <v>34.06438</v>
      </c>
      <c r="D64" s="2">
        <v>-120.3566</v>
      </c>
      <c r="E64" s="2" t="s">
        <v>846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>
      <c r="A65" s="56" t="s">
        <v>88</v>
      </c>
      <c r="B65" s="56" t="s">
        <v>885</v>
      </c>
      <c r="C65" s="32">
        <v>48.837589000000001</v>
      </c>
      <c r="D65" s="32">
        <v>-125.14414499999999</v>
      </c>
      <c r="E65" s="56" t="s">
        <v>886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>
      <c r="A66" s="56" t="s">
        <v>57</v>
      </c>
      <c r="B66" s="56" t="s">
        <v>887</v>
      </c>
      <c r="C66" s="32">
        <v>48.916072999999997</v>
      </c>
      <c r="D66" s="32">
        <v>-125.131174</v>
      </c>
      <c r="E66" s="56" t="s">
        <v>886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>
      <c r="A67" s="56" t="s">
        <v>51</v>
      </c>
      <c r="B67" s="56" t="s">
        <v>888</v>
      </c>
      <c r="C67" s="32">
        <v>48.838594999999998</v>
      </c>
      <c r="D67" s="32">
        <v>-125.135015</v>
      </c>
      <c r="E67" s="56" t="s">
        <v>886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>
      <c r="A68" s="56" t="s">
        <v>60</v>
      </c>
      <c r="B68" s="56" t="s">
        <v>889</v>
      </c>
      <c r="C68" s="32">
        <v>48.9071</v>
      </c>
      <c r="D68" s="32">
        <v>-125.03701700000001</v>
      </c>
      <c r="E68" s="56" t="s">
        <v>886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>
      <c r="A69" s="56" t="s">
        <v>87</v>
      </c>
      <c r="B69" s="56" t="s">
        <v>890</v>
      </c>
      <c r="C69" s="32">
        <v>48.901183000000003</v>
      </c>
      <c r="D69" s="32">
        <v>-125.060433</v>
      </c>
      <c r="E69" s="56" t="s">
        <v>886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>
      <c r="A339" s="20"/>
      <c r="B339" s="20"/>
      <c r="C339" s="20"/>
      <c r="D339" s="20"/>
      <c r="E339" s="20"/>
    </row>
    <row r="340" spans="1:26" ht="12.75" customHeight="1">
      <c r="A340" s="20"/>
      <c r="B340" s="20"/>
      <c r="C340" s="20"/>
      <c r="D340" s="20"/>
      <c r="E340" s="20"/>
    </row>
    <row r="341" spans="1:26" ht="12.75" customHeight="1">
      <c r="A341" s="20"/>
      <c r="B341" s="20"/>
      <c r="C341" s="20"/>
      <c r="D341" s="20"/>
      <c r="E341" s="20"/>
    </row>
    <row r="342" spans="1:26" ht="12.75" customHeight="1">
      <c r="A342" s="20"/>
      <c r="B342" s="20"/>
      <c r="C342" s="20"/>
      <c r="D342" s="20"/>
      <c r="E342" s="20"/>
    </row>
    <row r="343" spans="1:26" ht="12.75" customHeight="1">
      <c r="A343" s="20"/>
      <c r="B343" s="20"/>
      <c r="C343" s="20"/>
      <c r="D343" s="20"/>
      <c r="E343" s="20"/>
    </row>
    <row r="344" spans="1:26" ht="12.75" customHeight="1">
      <c r="A344" s="20"/>
      <c r="B344" s="20"/>
      <c r="C344" s="20"/>
      <c r="D344" s="20"/>
      <c r="E344" s="20"/>
    </row>
    <row r="345" spans="1:26" ht="12.75" customHeight="1">
      <c r="A345" s="20"/>
      <c r="B345" s="20"/>
      <c r="C345" s="20"/>
      <c r="D345" s="20"/>
      <c r="E345" s="20"/>
    </row>
    <row r="346" spans="1:26" ht="12.75" customHeight="1">
      <c r="A346" s="20"/>
      <c r="B346" s="20"/>
      <c r="C346" s="20"/>
      <c r="D346" s="20"/>
      <c r="E346" s="20"/>
    </row>
    <row r="347" spans="1:26" ht="12.75" customHeight="1">
      <c r="A347" s="20"/>
      <c r="B347" s="20"/>
      <c r="C347" s="20"/>
      <c r="D347" s="20"/>
      <c r="E347" s="20"/>
    </row>
    <row r="348" spans="1:26" ht="12.75" customHeight="1">
      <c r="A348" s="20"/>
      <c r="B348" s="20"/>
      <c r="C348" s="20"/>
      <c r="D348" s="20"/>
      <c r="E348" s="20"/>
    </row>
    <row r="349" spans="1:26" ht="12.75" customHeight="1">
      <c r="A349" s="20"/>
      <c r="B349" s="20"/>
      <c r="C349" s="20"/>
      <c r="D349" s="20"/>
      <c r="E349" s="20"/>
    </row>
    <row r="350" spans="1:26" ht="12.75" customHeight="1">
      <c r="A350" s="20"/>
      <c r="B350" s="20"/>
      <c r="C350" s="20"/>
      <c r="D350" s="20"/>
      <c r="E350" s="20"/>
    </row>
    <row r="351" spans="1:26" ht="12.75" customHeight="1">
      <c r="A351" s="20"/>
      <c r="B351" s="20"/>
      <c r="C351" s="20"/>
      <c r="D351" s="20"/>
      <c r="E351" s="20"/>
    </row>
    <row r="352" spans="1:26" ht="12.75" customHeight="1">
      <c r="A352" s="20"/>
      <c r="B352" s="20"/>
      <c r="C352" s="20"/>
      <c r="D352" s="20"/>
      <c r="E352" s="20"/>
    </row>
    <row r="353" spans="1:5" ht="12.75" customHeight="1">
      <c r="A353" s="20"/>
      <c r="B353" s="20"/>
      <c r="C353" s="20"/>
      <c r="D353" s="20"/>
      <c r="E353" s="20"/>
    </row>
    <row r="354" spans="1:5" ht="12.75" customHeight="1">
      <c r="A354" s="20"/>
      <c r="B354" s="20"/>
      <c r="C354" s="20"/>
      <c r="D354" s="20"/>
      <c r="E354" s="20"/>
    </row>
    <row r="355" spans="1:5" ht="12.75" customHeight="1">
      <c r="A355" s="20"/>
      <c r="B355" s="20"/>
      <c r="C355" s="20"/>
      <c r="D355" s="20"/>
      <c r="E355" s="20"/>
    </row>
    <row r="356" spans="1:5" ht="12.75" customHeight="1">
      <c r="A356" s="20"/>
      <c r="B356" s="20"/>
      <c r="C356" s="20"/>
      <c r="D356" s="20"/>
      <c r="E356" s="20"/>
    </row>
    <row r="357" spans="1:5" ht="12.75" customHeight="1">
      <c r="A357" s="20"/>
      <c r="B357" s="20"/>
      <c r="C357" s="20"/>
      <c r="D357" s="20"/>
      <c r="E357" s="20"/>
    </row>
    <row r="358" spans="1:5" ht="12.75" customHeight="1">
      <c r="A358" s="20"/>
      <c r="B358" s="20"/>
      <c r="C358" s="20"/>
      <c r="D358" s="20"/>
      <c r="E358" s="20"/>
    </row>
    <row r="359" spans="1:5" ht="12.75" customHeight="1">
      <c r="A359" s="20"/>
      <c r="B359" s="20"/>
      <c r="C359" s="20"/>
      <c r="D359" s="20"/>
      <c r="E359" s="20"/>
    </row>
    <row r="360" spans="1:5" ht="12.75" customHeight="1">
      <c r="A360" s="20"/>
      <c r="B360" s="20"/>
      <c r="C360" s="20"/>
      <c r="D360" s="20"/>
      <c r="E360" s="20"/>
    </row>
    <row r="361" spans="1:5" ht="12.75" customHeight="1">
      <c r="A361" s="20"/>
      <c r="B361" s="20"/>
      <c r="C361" s="20"/>
      <c r="D361" s="20"/>
      <c r="E361" s="20"/>
    </row>
    <row r="362" spans="1:5" ht="12.75" customHeight="1">
      <c r="A362" s="20"/>
      <c r="B362" s="20"/>
      <c r="C362" s="20"/>
      <c r="D362" s="20"/>
      <c r="E362" s="20"/>
    </row>
    <row r="363" spans="1:5" ht="12.75" customHeight="1">
      <c r="A363" s="20"/>
      <c r="B363" s="20"/>
      <c r="C363" s="20"/>
      <c r="D363" s="20"/>
      <c r="E363" s="20"/>
    </row>
    <row r="364" spans="1:5" ht="12.75" customHeight="1">
      <c r="A364" s="20"/>
      <c r="B364" s="20"/>
      <c r="C364" s="20"/>
      <c r="D364" s="20"/>
      <c r="E364" s="20"/>
    </row>
    <row r="365" spans="1:5" ht="12.75" customHeight="1">
      <c r="A365" s="20"/>
      <c r="B365" s="20"/>
      <c r="C365" s="20"/>
      <c r="D365" s="20"/>
      <c r="E365" s="20"/>
    </row>
    <row r="366" spans="1:5" ht="12.75" customHeight="1">
      <c r="A366" s="20"/>
      <c r="B366" s="20"/>
      <c r="C366" s="20"/>
      <c r="D366" s="20"/>
      <c r="E366" s="20"/>
    </row>
    <row r="367" spans="1:5" ht="12.75" customHeight="1">
      <c r="A367" s="20"/>
      <c r="B367" s="20"/>
      <c r="C367" s="20"/>
      <c r="D367" s="20"/>
      <c r="E367" s="20"/>
    </row>
    <row r="368" spans="1:5" ht="12.75" customHeight="1">
      <c r="A368" s="20"/>
      <c r="B368" s="20"/>
      <c r="C368" s="20"/>
      <c r="D368" s="20"/>
      <c r="E368" s="20"/>
    </row>
    <row r="369" spans="1:5" ht="12.75" customHeight="1">
      <c r="A369" s="20"/>
      <c r="B369" s="20"/>
      <c r="C369" s="20"/>
      <c r="D369" s="20"/>
      <c r="E369" s="20"/>
    </row>
    <row r="370" spans="1:5" ht="12.75" customHeight="1">
      <c r="A370" s="20"/>
      <c r="B370" s="20"/>
      <c r="C370" s="20"/>
      <c r="D370" s="20"/>
      <c r="E370" s="20"/>
    </row>
    <row r="371" spans="1:5" ht="12.75" customHeight="1">
      <c r="A371" s="20"/>
      <c r="B371" s="20"/>
      <c r="C371" s="20"/>
      <c r="D371" s="20"/>
      <c r="E371" s="20"/>
    </row>
    <row r="372" spans="1:5" ht="12.75" customHeight="1">
      <c r="A372" s="20"/>
      <c r="B372" s="20"/>
      <c r="C372" s="20"/>
      <c r="D372" s="20"/>
      <c r="E372" s="20"/>
    </row>
    <row r="373" spans="1:5" ht="12.75" customHeight="1">
      <c r="A373" s="20"/>
      <c r="B373" s="20"/>
      <c r="C373" s="20"/>
      <c r="D373" s="20"/>
      <c r="E373" s="20"/>
    </row>
    <row r="374" spans="1:5" ht="12.75" customHeight="1">
      <c r="A374" s="20"/>
      <c r="B374" s="20"/>
      <c r="C374" s="20"/>
      <c r="D374" s="20"/>
      <c r="E374" s="20"/>
    </row>
    <row r="375" spans="1:5" ht="12.75" customHeight="1">
      <c r="A375" s="20"/>
      <c r="B375" s="20"/>
      <c r="C375" s="20"/>
      <c r="D375" s="20"/>
      <c r="E375" s="20"/>
    </row>
    <row r="376" spans="1:5" ht="12.75" customHeight="1">
      <c r="A376" s="20"/>
      <c r="B376" s="20"/>
      <c r="C376" s="20"/>
      <c r="D376" s="20"/>
      <c r="E376" s="20"/>
    </row>
    <row r="377" spans="1:5" ht="12.75" customHeight="1">
      <c r="A377" s="20"/>
      <c r="B377" s="20"/>
      <c r="C377" s="20"/>
      <c r="D377" s="20"/>
      <c r="E377" s="20"/>
    </row>
    <row r="378" spans="1:5" ht="12.75" customHeight="1">
      <c r="A378" s="20"/>
      <c r="B378" s="20"/>
      <c r="C378" s="20"/>
      <c r="D378" s="20"/>
      <c r="E378" s="20"/>
    </row>
    <row r="379" spans="1:5" ht="12.75" customHeight="1">
      <c r="A379" s="20"/>
      <c r="B379" s="20"/>
      <c r="C379" s="20"/>
      <c r="D379" s="20"/>
      <c r="E379" s="20"/>
    </row>
    <row r="380" spans="1:5" ht="12.75" customHeight="1">
      <c r="A380" s="20"/>
      <c r="B380" s="20"/>
      <c r="C380" s="20"/>
      <c r="D380" s="20"/>
      <c r="E380" s="20"/>
    </row>
    <row r="381" spans="1:5" ht="12.75" customHeight="1">
      <c r="A381" s="20"/>
      <c r="B381" s="20"/>
      <c r="C381" s="20"/>
      <c r="D381" s="20"/>
      <c r="E381" s="20"/>
    </row>
    <row r="382" spans="1:5" ht="12.75" customHeight="1">
      <c r="A382" s="20"/>
      <c r="B382" s="20"/>
      <c r="C382" s="20"/>
      <c r="D382" s="20"/>
      <c r="E382" s="20"/>
    </row>
    <row r="383" spans="1:5" ht="12.75" customHeight="1">
      <c r="A383" s="20"/>
      <c r="B383" s="20"/>
      <c r="C383" s="20"/>
      <c r="D383" s="20"/>
      <c r="E383" s="20"/>
    </row>
    <row r="384" spans="1:5" ht="12.75" customHeight="1">
      <c r="A384" s="20"/>
      <c r="B384" s="20"/>
      <c r="C384" s="20"/>
      <c r="D384" s="20"/>
      <c r="E384" s="20"/>
    </row>
    <row r="385" spans="1:5" ht="12.75" customHeight="1">
      <c r="A385" s="20"/>
      <c r="B385" s="20"/>
      <c r="C385" s="20"/>
      <c r="D385" s="20"/>
      <c r="E385" s="20"/>
    </row>
    <row r="386" spans="1:5" ht="12.75" customHeight="1">
      <c r="A386" s="20"/>
      <c r="B386" s="20"/>
      <c r="C386" s="20"/>
      <c r="D386" s="20"/>
      <c r="E386" s="20"/>
    </row>
    <row r="387" spans="1:5" ht="12.75" customHeight="1">
      <c r="A387" s="20"/>
      <c r="B387" s="20"/>
      <c r="C387" s="20"/>
      <c r="D387" s="20"/>
      <c r="E387" s="20"/>
    </row>
    <row r="388" spans="1:5" ht="12.75" customHeight="1">
      <c r="A388" s="20"/>
      <c r="B388" s="20"/>
      <c r="C388" s="20"/>
      <c r="D388" s="20"/>
      <c r="E388" s="20"/>
    </row>
    <row r="389" spans="1:5" ht="12.75" customHeight="1">
      <c r="A389" s="20"/>
      <c r="B389" s="20"/>
      <c r="C389" s="20"/>
      <c r="D389" s="20"/>
      <c r="E389" s="20"/>
    </row>
    <row r="390" spans="1:5" ht="12.75" customHeight="1">
      <c r="A390" s="20"/>
      <c r="B390" s="20"/>
      <c r="C390" s="20"/>
      <c r="D390" s="20"/>
      <c r="E390" s="20"/>
    </row>
    <row r="391" spans="1:5" ht="12.75" customHeight="1">
      <c r="A391" s="20"/>
      <c r="B391" s="20"/>
      <c r="C391" s="20"/>
      <c r="D391" s="20"/>
      <c r="E391" s="20"/>
    </row>
    <row r="392" spans="1:5" ht="12.75" customHeight="1">
      <c r="A392" s="20"/>
      <c r="B392" s="20"/>
      <c r="C392" s="20"/>
      <c r="D392" s="20"/>
      <c r="E392" s="20"/>
    </row>
    <row r="393" spans="1:5" ht="12.75" customHeight="1">
      <c r="A393" s="20"/>
      <c r="B393" s="20"/>
      <c r="C393" s="20"/>
      <c r="D393" s="20"/>
      <c r="E393" s="20"/>
    </row>
    <row r="394" spans="1:5" ht="12.75" customHeight="1">
      <c r="A394" s="20"/>
      <c r="B394" s="20"/>
      <c r="C394" s="20"/>
      <c r="D394" s="20"/>
      <c r="E394" s="20"/>
    </row>
    <row r="395" spans="1:5" ht="12.75" customHeight="1">
      <c r="A395" s="20"/>
      <c r="B395" s="20"/>
      <c r="C395" s="20"/>
      <c r="D395" s="20"/>
      <c r="E395" s="20"/>
    </row>
    <row r="396" spans="1:5" ht="12.75" customHeight="1">
      <c r="A396" s="20"/>
      <c r="B396" s="20"/>
      <c r="C396" s="20"/>
      <c r="D396" s="20"/>
      <c r="E396" s="20"/>
    </row>
    <row r="397" spans="1:5" ht="12.75" customHeight="1">
      <c r="A397" s="20"/>
      <c r="B397" s="20"/>
      <c r="C397" s="20"/>
      <c r="D397" s="20"/>
      <c r="E397" s="20"/>
    </row>
    <row r="398" spans="1:5" ht="12.75" customHeight="1">
      <c r="A398" s="20"/>
      <c r="B398" s="20"/>
      <c r="C398" s="20"/>
      <c r="D398" s="20"/>
      <c r="E398" s="20"/>
    </row>
    <row r="399" spans="1:5" ht="12.75" customHeight="1">
      <c r="A399" s="20"/>
      <c r="B399" s="20"/>
      <c r="C399" s="20"/>
      <c r="D399" s="20"/>
      <c r="E399" s="20"/>
    </row>
    <row r="400" spans="1:5" ht="12.75" customHeight="1">
      <c r="A400" s="20"/>
      <c r="B400" s="20"/>
      <c r="C400" s="20"/>
      <c r="D400" s="20"/>
      <c r="E400" s="20"/>
    </row>
    <row r="401" spans="1:5" ht="12.75" customHeight="1">
      <c r="A401" s="20"/>
      <c r="B401" s="20"/>
      <c r="C401" s="20"/>
      <c r="D401" s="20"/>
      <c r="E401" s="20"/>
    </row>
    <row r="402" spans="1:5" ht="12.75" customHeight="1">
      <c r="A402" s="20"/>
      <c r="B402" s="20"/>
      <c r="C402" s="20"/>
      <c r="D402" s="20"/>
      <c r="E402" s="20"/>
    </row>
    <row r="403" spans="1:5" ht="12.75" customHeight="1">
      <c r="A403" s="20"/>
      <c r="B403" s="20"/>
      <c r="C403" s="20"/>
      <c r="D403" s="20"/>
      <c r="E403" s="20"/>
    </row>
    <row r="404" spans="1:5" ht="12.75" customHeight="1">
      <c r="A404" s="20"/>
      <c r="B404" s="20"/>
      <c r="C404" s="20"/>
      <c r="D404" s="20"/>
      <c r="E404" s="20"/>
    </row>
    <row r="405" spans="1:5" ht="12.75" customHeight="1">
      <c r="A405" s="20"/>
      <c r="B405" s="20"/>
      <c r="C405" s="20"/>
      <c r="D405" s="20"/>
      <c r="E405" s="20"/>
    </row>
    <row r="406" spans="1:5" ht="12.75" customHeight="1">
      <c r="A406" s="20"/>
      <c r="B406" s="20"/>
      <c r="C406" s="20"/>
      <c r="D406" s="20"/>
      <c r="E406" s="20"/>
    </row>
    <row r="407" spans="1:5" ht="12.75" customHeight="1">
      <c r="A407" s="20"/>
      <c r="B407" s="20"/>
      <c r="C407" s="20"/>
      <c r="D407" s="20"/>
      <c r="E407" s="20"/>
    </row>
    <row r="408" spans="1:5" ht="12.75" customHeight="1">
      <c r="A408" s="20"/>
      <c r="B408" s="20"/>
      <c r="C408" s="20"/>
      <c r="D408" s="20"/>
      <c r="E408" s="20"/>
    </row>
    <row r="409" spans="1:5" ht="12.75" customHeight="1">
      <c r="A409" s="20"/>
      <c r="B409" s="20"/>
      <c r="C409" s="20"/>
      <c r="D409" s="20"/>
      <c r="E409" s="20"/>
    </row>
    <row r="410" spans="1:5" ht="12.75" customHeight="1">
      <c r="A410" s="20"/>
      <c r="B410" s="20"/>
      <c r="C410" s="20"/>
      <c r="D410" s="20"/>
      <c r="E410" s="20"/>
    </row>
    <row r="411" spans="1:5" ht="12.75" customHeight="1">
      <c r="A411" s="20"/>
      <c r="B411" s="20"/>
      <c r="C411" s="20"/>
      <c r="D411" s="20"/>
      <c r="E411" s="20"/>
    </row>
    <row r="412" spans="1:5" ht="12.75" customHeight="1">
      <c r="A412" s="20"/>
      <c r="B412" s="20"/>
      <c r="C412" s="20"/>
      <c r="D412" s="20"/>
      <c r="E412" s="20"/>
    </row>
    <row r="413" spans="1:5" ht="12.75" customHeight="1">
      <c r="A413" s="20"/>
      <c r="B413" s="20"/>
      <c r="C413" s="20"/>
      <c r="D413" s="20"/>
      <c r="E413" s="20"/>
    </row>
    <row r="414" spans="1:5" ht="12.75" customHeight="1">
      <c r="A414" s="20"/>
      <c r="B414" s="20"/>
      <c r="C414" s="20"/>
      <c r="D414" s="20"/>
      <c r="E414" s="20"/>
    </row>
    <row r="415" spans="1:5" ht="12.75" customHeight="1">
      <c r="A415" s="20"/>
      <c r="B415" s="20"/>
      <c r="C415" s="20"/>
      <c r="D415" s="20"/>
      <c r="E415" s="20"/>
    </row>
    <row r="416" spans="1:5" ht="12.75" customHeight="1">
      <c r="A416" s="20"/>
      <c r="B416" s="20"/>
      <c r="C416" s="20"/>
      <c r="D416" s="20"/>
      <c r="E416" s="20"/>
    </row>
    <row r="417" spans="1:5" ht="12.75" customHeight="1">
      <c r="A417" s="20"/>
      <c r="B417" s="20"/>
      <c r="C417" s="20"/>
      <c r="D417" s="20"/>
      <c r="E417" s="20"/>
    </row>
    <row r="418" spans="1:5" ht="12.75" customHeight="1">
      <c r="A418" s="20"/>
      <c r="B418" s="20"/>
      <c r="C418" s="20"/>
      <c r="D418" s="20"/>
      <c r="E418" s="20"/>
    </row>
    <row r="419" spans="1:5" ht="12.75" customHeight="1">
      <c r="A419" s="20"/>
      <c r="B419" s="20"/>
      <c r="C419" s="20"/>
      <c r="D419" s="20"/>
      <c r="E419" s="20"/>
    </row>
    <row r="420" spans="1:5" ht="12.75" customHeight="1">
      <c r="A420" s="20"/>
      <c r="B420" s="20"/>
      <c r="C420" s="20"/>
      <c r="D420" s="20"/>
      <c r="E420" s="20"/>
    </row>
    <row r="421" spans="1:5" ht="12.75" customHeight="1">
      <c r="A421" s="20"/>
      <c r="B421" s="20"/>
      <c r="C421" s="20"/>
      <c r="D421" s="20"/>
      <c r="E421" s="20"/>
    </row>
    <row r="422" spans="1:5" ht="12.75" customHeight="1">
      <c r="A422" s="20"/>
      <c r="B422" s="20"/>
      <c r="C422" s="20"/>
      <c r="D422" s="20"/>
      <c r="E422" s="20"/>
    </row>
    <row r="423" spans="1:5" ht="12.75" customHeight="1">
      <c r="A423" s="20"/>
      <c r="B423" s="20"/>
      <c r="C423" s="20"/>
      <c r="D423" s="20"/>
      <c r="E423" s="20"/>
    </row>
    <row r="424" spans="1:5" ht="12.75" customHeight="1">
      <c r="A424" s="20"/>
      <c r="B424" s="20"/>
      <c r="C424" s="20"/>
      <c r="D424" s="20"/>
      <c r="E424" s="20"/>
    </row>
    <row r="425" spans="1:5" ht="12.75" customHeight="1">
      <c r="A425" s="20"/>
      <c r="B425" s="20"/>
      <c r="C425" s="20"/>
      <c r="D425" s="20"/>
      <c r="E425" s="20"/>
    </row>
    <row r="426" spans="1:5" ht="12.75" customHeight="1">
      <c r="A426" s="20"/>
      <c r="B426" s="20"/>
      <c r="C426" s="20"/>
      <c r="D426" s="20"/>
      <c r="E426" s="20"/>
    </row>
    <row r="427" spans="1:5" ht="12.75" customHeight="1">
      <c r="A427" s="20"/>
      <c r="B427" s="20"/>
      <c r="C427" s="20"/>
      <c r="D427" s="20"/>
      <c r="E427" s="20"/>
    </row>
    <row r="428" spans="1:5" ht="12.75" customHeight="1">
      <c r="A428" s="20"/>
      <c r="B428" s="20"/>
      <c r="C428" s="20"/>
      <c r="D428" s="20"/>
      <c r="E428" s="20"/>
    </row>
    <row r="429" spans="1:5" ht="12.75" customHeight="1">
      <c r="A429" s="20"/>
      <c r="B429" s="20"/>
      <c r="C429" s="20"/>
      <c r="D429" s="20"/>
      <c r="E429" s="20"/>
    </row>
    <row r="430" spans="1:5" ht="12.75" customHeight="1">
      <c r="A430" s="20"/>
      <c r="B430" s="20"/>
      <c r="C430" s="20"/>
      <c r="D430" s="20"/>
      <c r="E430" s="20"/>
    </row>
    <row r="431" spans="1:5" ht="12.75" customHeight="1">
      <c r="A431" s="20"/>
      <c r="B431" s="20"/>
      <c r="C431" s="20"/>
      <c r="D431" s="20"/>
      <c r="E431" s="20"/>
    </row>
    <row r="432" spans="1:5" ht="12.75" customHeight="1">
      <c r="A432" s="20"/>
      <c r="B432" s="20"/>
      <c r="C432" s="20"/>
      <c r="D432" s="20"/>
      <c r="E432" s="20"/>
    </row>
    <row r="433" spans="1:5" ht="12.75" customHeight="1">
      <c r="A433" s="20"/>
      <c r="B433" s="20"/>
      <c r="C433" s="20"/>
      <c r="D433" s="20"/>
      <c r="E433" s="20"/>
    </row>
    <row r="434" spans="1:5" ht="12.75" customHeight="1">
      <c r="A434" s="20"/>
      <c r="B434" s="20"/>
      <c r="C434" s="20"/>
      <c r="D434" s="20"/>
      <c r="E434" s="20"/>
    </row>
    <row r="435" spans="1:5" ht="12.75" customHeight="1">
      <c r="A435" s="20"/>
      <c r="B435" s="20"/>
      <c r="C435" s="20"/>
      <c r="D435" s="20"/>
      <c r="E435" s="20"/>
    </row>
    <row r="436" spans="1:5" ht="12.75" customHeight="1">
      <c r="A436" s="20"/>
      <c r="B436" s="20"/>
      <c r="C436" s="20"/>
      <c r="D436" s="20"/>
      <c r="E436" s="20"/>
    </row>
    <row r="437" spans="1:5" ht="12.75" customHeight="1">
      <c r="A437" s="20"/>
      <c r="B437" s="20"/>
      <c r="C437" s="20"/>
      <c r="D437" s="20"/>
      <c r="E437" s="20"/>
    </row>
    <row r="438" spans="1:5" ht="12.75" customHeight="1">
      <c r="A438" s="20"/>
      <c r="B438" s="20"/>
      <c r="C438" s="20"/>
      <c r="D438" s="20"/>
      <c r="E438" s="20"/>
    </row>
    <row r="439" spans="1:5" ht="12.75" customHeight="1">
      <c r="A439" s="20"/>
      <c r="B439" s="20"/>
      <c r="C439" s="20"/>
      <c r="D439" s="20"/>
      <c r="E439" s="20"/>
    </row>
    <row r="440" spans="1:5" ht="12.75" customHeight="1">
      <c r="A440" s="20"/>
      <c r="B440" s="20"/>
      <c r="C440" s="20"/>
      <c r="D440" s="20"/>
      <c r="E440" s="20"/>
    </row>
    <row r="441" spans="1:5" ht="12.75" customHeight="1">
      <c r="A441" s="20"/>
      <c r="B441" s="20"/>
      <c r="C441" s="20"/>
      <c r="D441" s="20"/>
      <c r="E441" s="20"/>
    </row>
    <row r="442" spans="1:5" ht="12.75" customHeight="1">
      <c r="A442" s="20"/>
      <c r="B442" s="20"/>
      <c r="C442" s="20"/>
      <c r="D442" s="20"/>
      <c r="E442" s="20"/>
    </row>
    <row r="443" spans="1:5" ht="12.75" customHeight="1">
      <c r="A443" s="20"/>
      <c r="B443" s="20"/>
      <c r="C443" s="20"/>
      <c r="D443" s="20"/>
      <c r="E443" s="20"/>
    </row>
    <row r="444" spans="1:5" ht="12.75" customHeight="1">
      <c r="A444" s="20"/>
      <c r="B444" s="20"/>
      <c r="C444" s="20"/>
      <c r="D444" s="20"/>
      <c r="E444" s="20"/>
    </row>
    <row r="445" spans="1:5" ht="12.75" customHeight="1">
      <c r="A445" s="20"/>
      <c r="B445" s="20"/>
      <c r="C445" s="20"/>
      <c r="D445" s="20"/>
      <c r="E445" s="20"/>
    </row>
    <row r="446" spans="1:5" ht="12.75" customHeight="1">
      <c r="A446" s="20"/>
      <c r="B446" s="20"/>
      <c r="C446" s="20"/>
      <c r="D446" s="20"/>
      <c r="E446" s="20"/>
    </row>
    <row r="447" spans="1:5" ht="12.75" customHeight="1">
      <c r="A447" s="20"/>
      <c r="B447" s="20"/>
      <c r="C447" s="20"/>
      <c r="D447" s="20"/>
      <c r="E447" s="20"/>
    </row>
    <row r="448" spans="1:5" ht="12.75" customHeight="1">
      <c r="A448" s="20"/>
      <c r="B448" s="20"/>
      <c r="C448" s="20"/>
      <c r="D448" s="20"/>
      <c r="E448" s="20"/>
    </row>
    <row r="449" spans="1:5" ht="12.75" customHeight="1">
      <c r="A449" s="20"/>
      <c r="B449" s="20"/>
      <c r="C449" s="20"/>
      <c r="D449" s="20"/>
      <c r="E449" s="20"/>
    </row>
    <row r="450" spans="1:5" ht="12.75" customHeight="1">
      <c r="A450" s="20"/>
      <c r="B450" s="20"/>
      <c r="C450" s="20"/>
      <c r="D450" s="20"/>
      <c r="E450" s="20"/>
    </row>
    <row r="451" spans="1:5" ht="12.75" customHeight="1">
      <c r="A451" s="20"/>
      <c r="B451" s="20"/>
      <c r="C451" s="20"/>
      <c r="D451" s="20"/>
      <c r="E451" s="20"/>
    </row>
    <row r="452" spans="1:5" ht="12.75" customHeight="1">
      <c r="A452" s="20"/>
      <c r="B452" s="20"/>
      <c r="C452" s="20"/>
      <c r="D452" s="20"/>
      <c r="E452" s="20"/>
    </row>
    <row r="453" spans="1:5" ht="12.75" customHeight="1">
      <c r="A453" s="20"/>
      <c r="B453" s="20"/>
      <c r="C453" s="20"/>
      <c r="D453" s="20"/>
      <c r="E453" s="20"/>
    </row>
    <row r="454" spans="1:5" ht="12.75" customHeight="1">
      <c r="A454" s="20"/>
      <c r="B454" s="20"/>
      <c r="C454" s="20"/>
      <c r="D454" s="20"/>
      <c r="E454" s="20"/>
    </row>
    <row r="455" spans="1:5" ht="12.75" customHeight="1">
      <c r="A455" s="20"/>
      <c r="B455" s="20"/>
      <c r="C455" s="20"/>
      <c r="D455" s="20"/>
      <c r="E455" s="20"/>
    </row>
    <row r="456" spans="1:5" ht="12.75" customHeight="1">
      <c r="A456" s="20"/>
      <c r="B456" s="20"/>
      <c r="C456" s="20"/>
      <c r="D456" s="20"/>
      <c r="E456" s="20"/>
    </row>
    <row r="457" spans="1:5" ht="12.75" customHeight="1">
      <c r="A457" s="20"/>
      <c r="B457" s="20"/>
      <c r="C457" s="20"/>
      <c r="D457" s="20"/>
      <c r="E457" s="20"/>
    </row>
    <row r="458" spans="1:5" ht="12.75" customHeight="1">
      <c r="A458" s="20"/>
      <c r="B458" s="20"/>
      <c r="C458" s="20"/>
      <c r="D458" s="20"/>
      <c r="E458" s="20"/>
    </row>
    <row r="459" spans="1:5" ht="12.75" customHeight="1">
      <c r="A459" s="20"/>
      <c r="B459" s="20"/>
      <c r="C459" s="20"/>
      <c r="D459" s="20"/>
      <c r="E459" s="20"/>
    </row>
    <row r="460" spans="1:5" ht="12.75" customHeight="1">
      <c r="A460" s="20"/>
      <c r="B460" s="20"/>
      <c r="C460" s="20"/>
      <c r="D460" s="20"/>
      <c r="E460" s="20"/>
    </row>
    <row r="461" spans="1:5" ht="12.75" customHeight="1">
      <c r="A461" s="20"/>
      <c r="B461" s="20"/>
      <c r="C461" s="20"/>
      <c r="D461" s="20"/>
      <c r="E461" s="20"/>
    </row>
    <row r="462" spans="1:5" ht="12.75" customHeight="1">
      <c r="A462" s="20"/>
      <c r="B462" s="20"/>
      <c r="C462" s="20"/>
      <c r="D462" s="20"/>
      <c r="E462" s="20"/>
    </row>
    <row r="463" spans="1:5" ht="12.75" customHeight="1">
      <c r="A463" s="20"/>
      <c r="B463" s="20"/>
      <c r="C463" s="20"/>
      <c r="D463" s="20"/>
      <c r="E463" s="20"/>
    </row>
    <row r="464" spans="1:5" ht="12.75" customHeight="1">
      <c r="A464" s="20"/>
      <c r="B464" s="20"/>
      <c r="C464" s="20"/>
      <c r="D464" s="20"/>
      <c r="E464" s="20"/>
    </row>
    <row r="465" spans="1:5" ht="12.75" customHeight="1">
      <c r="A465" s="20"/>
      <c r="B465" s="20"/>
      <c r="C465" s="20"/>
      <c r="D465" s="20"/>
      <c r="E465" s="20"/>
    </row>
    <row r="466" spans="1:5" ht="12.75" customHeight="1">
      <c r="A466" s="20"/>
      <c r="B466" s="20"/>
      <c r="C466" s="20"/>
      <c r="D466" s="20"/>
      <c r="E466" s="20"/>
    </row>
    <row r="467" spans="1:5" ht="12.75" customHeight="1">
      <c r="A467" s="20"/>
      <c r="B467" s="20"/>
      <c r="C467" s="20"/>
      <c r="D467" s="20"/>
      <c r="E467" s="20"/>
    </row>
    <row r="468" spans="1:5" ht="12.75" customHeight="1">
      <c r="A468" s="20"/>
      <c r="B468" s="20"/>
      <c r="C468" s="20"/>
      <c r="D468" s="20"/>
      <c r="E468" s="20"/>
    </row>
    <row r="469" spans="1:5" ht="12.75" customHeight="1">
      <c r="A469" s="20"/>
      <c r="B469" s="20"/>
      <c r="C469" s="20"/>
      <c r="D469" s="20"/>
      <c r="E469" s="20"/>
    </row>
    <row r="470" spans="1:5" ht="12.75" customHeight="1">
      <c r="A470" s="20"/>
      <c r="B470" s="20"/>
      <c r="C470" s="20"/>
      <c r="D470" s="20"/>
      <c r="E470" s="20"/>
    </row>
    <row r="471" spans="1:5" ht="12.75" customHeight="1">
      <c r="A471" s="20"/>
      <c r="B471" s="20"/>
      <c r="C471" s="20"/>
      <c r="D471" s="20"/>
      <c r="E471" s="20"/>
    </row>
    <row r="472" spans="1:5" ht="12.75" customHeight="1">
      <c r="A472" s="20"/>
      <c r="B472" s="20"/>
      <c r="C472" s="20"/>
      <c r="D472" s="20"/>
      <c r="E472" s="20"/>
    </row>
    <row r="473" spans="1:5" ht="12.75" customHeight="1">
      <c r="A473" s="20"/>
      <c r="B473" s="20"/>
      <c r="C473" s="20"/>
      <c r="D473" s="20"/>
      <c r="E473" s="20"/>
    </row>
    <row r="474" spans="1:5" ht="12.75" customHeight="1">
      <c r="A474" s="20"/>
      <c r="B474" s="20"/>
      <c r="C474" s="20"/>
      <c r="D474" s="20"/>
      <c r="E474" s="20"/>
    </row>
    <row r="475" spans="1:5" ht="12.75" customHeight="1">
      <c r="A475" s="20"/>
      <c r="B475" s="20"/>
      <c r="C475" s="20"/>
      <c r="D475" s="20"/>
      <c r="E475" s="20"/>
    </row>
    <row r="476" spans="1:5" ht="12.75" customHeight="1">
      <c r="A476" s="20"/>
      <c r="B476" s="20"/>
      <c r="C476" s="20"/>
      <c r="D476" s="20"/>
      <c r="E476" s="20"/>
    </row>
    <row r="477" spans="1:5" ht="12.75" customHeight="1">
      <c r="A477" s="20"/>
      <c r="B477" s="20"/>
      <c r="C477" s="20"/>
      <c r="D477" s="20"/>
      <c r="E477" s="20"/>
    </row>
    <row r="478" spans="1:5" ht="12.75" customHeight="1">
      <c r="A478" s="20"/>
      <c r="B478" s="20"/>
      <c r="C478" s="20"/>
      <c r="D478" s="20"/>
      <c r="E478" s="20"/>
    </row>
    <row r="479" spans="1:5" ht="12.75" customHeight="1">
      <c r="A479" s="20"/>
      <c r="B479" s="20"/>
      <c r="C479" s="20"/>
      <c r="D479" s="20"/>
      <c r="E479" s="20"/>
    </row>
    <row r="480" spans="1:5" ht="12.75" customHeight="1">
      <c r="A480" s="20"/>
      <c r="B480" s="20"/>
      <c r="C480" s="20"/>
      <c r="D480" s="20"/>
      <c r="E480" s="20"/>
    </row>
    <row r="481" spans="1:5" ht="12.75" customHeight="1">
      <c r="A481" s="20"/>
      <c r="B481" s="20"/>
      <c r="C481" s="20"/>
      <c r="D481" s="20"/>
      <c r="E481" s="20"/>
    </row>
    <row r="482" spans="1:5" ht="12.75" customHeight="1">
      <c r="A482" s="20"/>
      <c r="B482" s="20"/>
      <c r="C482" s="20"/>
      <c r="D482" s="20"/>
      <c r="E482" s="20"/>
    </row>
    <row r="483" spans="1:5" ht="12.75" customHeight="1">
      <c r="A483" s="20"/>
      <c r="B483" s="20"/>
      <c r="C483" s="20"/>
      <c r="D483" s="20"/>
      <c r="E483" s="20"/>
    </row>
    <row r="484" spans="1:5" ht="12.75" customHeight="1">
      <c r="A484" s="20"/>
      <c r="B484" s="20"/>
      <c r="C484" s="20"/>
      <c r="D484" s="20"/>
      <c r="E484" s="20"/>
    </row>
    <row r="485" spans="1:5" ht="12.75" customHeight="1">
      <c r="A485" s="20"/>
      <c r="B485" s="20"/>
      <c r="C485" s="20"/>
      <c r="D485" s="20"/>
      <c r="E485" s="20"/>
    </row>
    <row r="486" spans="1:5" ht="12.75" customHeight="1">
      <c r="A486" s="20"/>
      <c r="B486" s="20"/>
      <c r="C486" s="20"/>
      <c r="D486" s="20"/>
      <c r="E486" s="20"/>
    </row>
    <row r="487" spans="1:5" ht="12.75" customHeight="1">
      <c r="A487" s="20"/>
      <c r="B487" s="20"/>
      <c r="C487" s="20"/>
      <c r="D487" s="20"/>
      <c r="E487" s="20"/>
    </row>
    <row r="488" spans="1:5" ht="12.75" customHeight="1">
      <c r="A488" s="20"/>
      <c r="B488" s="20"/>
      <c r="C488" s="20"/>
      <c r="D488" s="20"/>
      <c r="E488" s="20"/>
    </row>
    <row r="489" spans="1:5" ht="12.75" customHeight="1">
      <c r="A489" s="20"/>
      <c r="B489" s="20"/>
      <c r="C489" s="20"/>
      <c r="D489" s="20"/>
      <c r="E489" s="20"/>
    </row>
    <row r="490" spans="1:5" ht="12.75" customHeight="1">
      <c r="A490" s="20"/>
      <c r="B490" s="20"/>
      <c r="C490" s="20"/>
      <c r="D490" s="20"/>
      <c r="E490" s="20"/>
    </row>
    <row r="491" spans="1:5" ht="12.75" customHeight="1">
      <c r="A491" s="20"/>
      <c r="B491" s="20"/>
      <c r="C491" s="20"/>
      <c r="D491" s="20"/>
      <c r="E491" s="20"/>
    </row>
    <row r="492" spans="1:5" ht="12.75" customHeight="1">
      <c r="A492" s="20"/>
      <c r="B492" s="20"/>
      <c r="C492" s="20"/>
      <c r="D492" s="20"/>
      <c r="E492" s="20"/>
    </row>
    <row r="493" spans="1:5" ht="12.75" customHeight="1">
      <c r="A493" s="20"/>
      <c r="B493" s="20"/>
      <c r="C493" s="20"/>
      <c r="D493" s="20"/>
      <c r="E493" s="20"/>
    </row>
    <row r="494" spans="1:5" ht="12.75" customHeight="1">
      <c r="A494" s="20"/>
      <c r="B494" s="20"/>
      <c r="C494" s="20"/>
      <c r="D494" s="20"/>
      <c r="E494" s="20"/>
    </row>
    <row r="495" spans="1:5" ht="12.75" customHeight="1">
      <c r="A495" s="20"/>
      <c r="B495" s="20"/>
      <c r="C495" s="20"/>
      <c r="D495" s="20"/>
      <c r="E495" s="20"/>
    </row>
    <row r="496" spans="1:5" ht="12.75" customHeight="1">
      <c r="A496" s="20"/>
      <c r="B496" s="20"/>
      <c r="C496" s="20"/>
      <c r="D496" s="20"/>
      <c r="E496" s="20"/>
    </row>
    <row r="497" spans="1:5" ht="12.75" customHeight="1">
      <c r="A497" s="20"/>
      <c r="B497" s="20"/>
      <c r="C497" s="20"/>
      <c r="D497" s="20"/>
      <c r="E497" s="20"/>
    </row>
    <row r="498" spans="1:5" ht="12.75" customHeight="1">
      <c r="A498" s="20"/>
      <c r="B498" s="20"/>
      <c r="C498" s="20"/>
      <c r="D498" s="20"/>
      <c r="E498" s="20"/>
    </row>
    <row r="499" spans="1:5" ht="12.75" customHeight="1">
      <c r="A499" s="20"/>
      <c r="B499" s="20"/>
      <c r="C499" s="20"/>
      <c r="D499" s="20"/>
      <c r="E499" s="20"/>
    </row>
    <row r="500" spans="1:5" ht="12.75" customHeight="1">
      <c r="A500" s="20"/>
      <c r="B500" s="20"/>
      <c r="C500" s="20"/>
      <c r="D500" s="20"/>
      <c r="E500" s="20"/>
    </row>
    <row r="501" spans="1:5" ht="12.75" customHeight="1">
      <c r="A501" s="20"/>
      <c r="B501" s="20"/>
      <c r="C501" s="20"/>
      <c r="D501" s="20"/>
      <c r="E501" s="20"/>
    </row>
    <row r="502" spans="1:5" ht="12.75" customHeight="1">
      <c r="A502" s="20"/>
      <c r="B502" s="20"/>
      <c r="C502" s="20"/>
      <c r="D502" s="20"/>
      <c r="E502" s="20"/>
    </row>
    <row r="503" spans="1:5" ht="12.75" customHeight="1">
      <c r="A503" s="20"/>
      <c r="B503" s="20"/>
      <c r="C503" s="20"/>
      <c r="D503" s="20"/>
      <c r="E503" s="20"/>
    </row>
    <row r="504" spans="1:5" ht="12.75" customHeight="1">
      <c r="A504" s="20"/>
      <c r="B504" s="20"/>
      <c r="C504" s="20"/>
      <c r="D504" s="20"/>
      <c r="E504" s="20"/>
    </row>
    <row r="505" spans="1:5" ht="12.75" customHeight="1">
      <c r="A505" s="20"/>
      <c r="B505" s="20"/>
      <c r="C505" s="20"/>
      <c r="D505" s="20"/>
      <c r="E505" s="20"/>
    </row>
    <row r="506" spans="1:5" ht="12.75" customHeight="1">
      <c r="A506" s="20"/>
      <c r="B506" s="20"/>
      <c r="C506" s="20"/>
      <c r="D506" s="20"/>
      <c r="E506" s="20"/>
    </row>
    <row r="507" spans="1:5" ht="12.75" customHeight="1">
      <c r="A507" s="20"/>
      <c r="B507" s="20"/>
      <c r="C507" s="20"/>
      <c r="D507" s="20"/>
      <c r="E507" s="20"/>
    </row>
    <row r="508" spans="1:5" ht="12.75" customHeight="1">
      <c r="A508" s="20"/>
      <c r="B508" s="20"/>
      <c r="C508" s="20"/>
      <c r="D508" s="20"/>
      <c r="E508" s="20"/>
    </row>
    <row r="509" spans="1:5" ht="12.75" customHeight="1">
      <c r="A509" s="20"/>
      <c r="B509" s="20"/>
      <c r="C509" s="20"/>
      <c r="D509" s="20"/>
      <c r="E509" s="20"/>
    </row>
    <row r="510" spans="1:5" ht="12.75" customHeight="1">
      <c r="A510" s="20"/>
      <c r="B510" s="20"/>
      <c r="C510" s="20"/>
      <c r="D510" s="20"/>
      <c r="E510" s="20"/>
    </row>
    <row r="511" spans="1:5" ht="12.75" customHeight="1">
      <c r="A511" s="20"/>
      <c r="B511" s="20"/>
      <c r="C511" s="20"/>
      <c r="D511" s="20"/>
      <c r="E511" s="20"/>
    </row>
    <row r="512" spans="1:5" ht="12.75" customHeight="1">
      <c r="A512" s="20"/>
      <c r="B512" s="20"/>
      <c r="C512" s="20"/>
      <c r="D512" s="20"/>
      <c r="E512" s="20"/>
    </row>
    <row r="513" spans="1:5" ht="12.75" customHeight="1">
      <c r="A513" s="20"/>
      <c r="B513" s="20"/>
      <c r="C513" s="20"/>
      <c r="D513" s="20"/>
      <c r="E513" s="20"/>
    </row>
    <row r="514" spans="1:5" ht="12.75" customHeight="1">
      <c r="A514" s="20"/>
      <c r="B514" s="20"/>
      <c r="C514" s="20"/>
      <c r="D514" s="20"/>
      <c r="E514" s="20"/>
    </row>
    <row r="515" spans="1:5" ht="12.75" customHeight="1">
      <c r="A515" s="20"/>
      <c r="B515" s="20"/>
      <c r="C515" s="20"/>
      <c r="D515" s="20"/>
      <c r="E515" s="20"/>
    </row>
    <row r="516" spans="1:5" ht="12.75" customHeight="1">
      <c r="A516" s="20"/>
      <c r="B516" s="20"/>
      <c r="C516" s="20"/>
      <c r="D516" s="20"/>
      <c r="E516" s="20"/>
    </row>
    <row r="517" spans="1:5" ht="12.75" customHeight="1">
      <c r="A517" s="20"/>
      <c r="B517" s="20"/>
      <c r="C517" s="20"/>
      <c r="D517" s="20"/>
      <c r="E517" s="20"/>
    </row>
    <row r="518" spans="1:5" ht="12.75" customHeight="1">
      <c r="A518" s="20"/>
      <c r="B518" s="20"/>
      <c r="C518" s="20"/>
      <c r="D518" s="20"/>
      <c r="E518" s="20"/>
    </row>
    <row r="519" spans="1:5" ht="12.75" customHeight="1">
      <c r="A519" s="20"/>
      <c r="B519" s="20"/>
      <c r="C519" s="20"/>
      <c r="D519" s="20"/>
      <c r="E519" s="20"/>
    </row>
    <row r="520" spans="1:5" ht="12.75" customHeight="1">
      <c r="A520" s="20"/>
      <c r="B520" s="20"/>
      <c r="C520" s="20"/>
      <c r="D520" s="20"/>
      <c r="E520" s="20"/>
    </row>
    <row r="521" spans="1:5" ht="12.75" customHeight="1">
      <c r="A521" s="20"/>
      <c r="B521" s="20"/>
      <c r="C521" s="20"/>
      <c r="D521" s="20"/>
      <c r="E521" s="20"/>
    </row>
    <row r="522" spans="1:5" ht="12.75" customHeight="1">
      <c r="A522" s="20"/>
      <c r="B522" s="20"/>
      <c r="C522" s="20"/>
      <c r="D522" s="20"/>
      <c r="E522" s="20"/>
    </row>
    <row r="523" spans="1:5" ht="12.75" customHeight="1">
      <c r="A523" s="20"/>
      <c r="B523" s="20"/>
      <c r="C523" s="20"/>
      <c r="D523" s="20"/>
      <c r="E523" s="20"/>
    </row>
    <row r="524" spans="1:5" ht="12.75" customHeight="1">
      <c r="A524" s="20"/>
      <c r="B524" s="20"/>
      <c r="C524" s="20"/>
      <c r="D524" s="20"/>
      <c r="E524" s="20"/>
    </row>
    <row r="525" spans="1:5" ht="12.75" customHeight="1">
      <c r="A525" s="20"/>
      <c r="B525" s="20"/>
      <c r="C525" s="20"/>
      <c r="D525" s="20"/>
      <c r="E525" s="20"/>
    </row>
    <row r="526" spans="1:5" ht="12.75" customHeight="1">
      <c r="A526" s="20"/>
      <c r="B526" s="20"/>
      <c r="C526" s="20"/>
      <c r="D526" s="20"/>
      <c r="E526" s="20"/>
    </row>
    <row r="527" spans="1:5" ht="12.75" customHeight="1">
      <c r="A527" s="20"/>
      <c r="B527" s="20"/>
      <c r="C527" s="20"/>
      <c r="D527" s="20"/>
      <c r="E527" s="20"/>
    </row>
    <row r="528" spans="1:5" ht="12.75" customHeight="1">
      <c r="A528" s="20"/>
      <c r="B528" s="20"/>
      <c r="C528" s="20"/>
      <c r="D528" s="20"/>
      <c r="E528" s="20"/>
    </row>
    <row r="529" spans="1:5" ht="12.75" customHeight="1">
      <c r="A529" s="20"/>
      <c r="B529" s="20"/>
      <c r="C529" s="20"/>
      <c r="D529" s="20"/>
      <c r="E529" s="20"/>
    </row>
    <row r="530" spans="1:5" ht="12.75" customHeight="1">
      <c r="A530" s="20"/>
      <c r="B530" s="20"/>
      <c r="C530" s="20"/>
      <c r="D530" s="20"/>
      <c r="E530" s="20"/>
    </row>
    <row r="531" spans="1:5" ht="12.75" customHeight="1">
      <c r="A531" s="20"/>
      <c r="B531" s="20"/>
      <c r="C531" s="20"/>
      <c r="D531" s="20"/>
      <c r="E531" s="20"/>
    </row>
    <row r="532" spans="1:5" ht="12.75" customHeight="1">
      <c r="A532" s="20"/>
      <c r="B532" s="20"/>
      <c r="C532" s="20"/>
      <c r="D532" s="20"/>
      <c r="E532" s="20"/>
    </row>
    <row r="533" spans="1:5" ht="12.75" customHeight="1">
      <c r="A533" s="20"/>
      <c r="B533" s="20"/>
      <c r="C533" s="20"/>
      <c r="D533" s="20"/>
      <c r="E533" s="20"/>
    </row>
    <row r="534" spans="1:5" ht="12.75" customHeight="1">
      <c r="A534" s="20"/>
      <c r="B534" s="20"/>
      <c r="C534" s="20"/>
      <c r="D534" s="20"/>
      <c r="E534" s="20"/>
    </row>
    <row r="535" spans="1:5" ht="12.75" customHeight="1">
      <c r="A535" s="20"/>
      <c r="B535" s="20"/>
      <c r="C535" s="20"/>
      <c r="D535" s="20"/>
      <c r="E535" s="20"/>
    </row>
    <row r="536" spans="1:5" ht="12.75" customHeight="1">
      <c r="A536" s="20"/>
      <c r="B536" s="20"/>
      <c r="C536" s="20"/>
      <c r="D536" s="20"/>
      <c r="E536" s="20"/>
    </row>
    <row r="537" spans="1:5" ht="12.75" customHeight="1">
      <c r="A537" s="20"/>
      <c r="B537" s="20"/>
      <c r="C537" s="20"/>
      <c r="D537" s="20"/>
      <c r="E537" s="20"/>
    </row>
    <row r="538" spans="1:5" ht="12.75" customHeight="1">
      <c r="A538" s="20"/>
      <c r="B538" s="20"/>
      <c r="C538" s="20"/>
      <c r="D538" s="20"/>
      <c r="E538" s="20"/>
    </row>
    <row r="539" spans="1:5" ht="12.75" customHeight="1">
      <c r="A539" s="20"/>
      <c r="B539" s="20"/>
      <c r="C539" s="20"/>
      <c r="D539" s="20"/>
      <c r="E539" s="20"/>
    </row>
    <row r="540" spans="1:5" ht="12.75" customHeight="1">
      <c r="A540" s="20"/>
      <c r="B540" s="20"/>
      <c r="C540" s="20"/>
      <c r="D540" s="20"/>
      <c r="E540" s="20"/>
    </row>
    <row r="541" spans="1:5" ht="12.75" customHeight="1">
      <c r="A541" s="20"/>
      <c r="B541" s="20"/>
      <c r="C541" s="20"/>
      <c r="D541" s="20"/>
      <c r="E541" s="20"/>
    </row>
    <row r="542" spans="1:5" ht="12.75" customHeight="1">
      <c r="A542" s="20"/>
      <c r="B542" s="20"/>
      <c r="C542" s="20"/>
      <c r="D542" s="20"/>
      <c r="E542" s="20"/>
    </row>
    <row r="543" spans="1:5" ht="12.75" customHeight="1">
      <c r="A543" s="20"/>
      <c r="B543" s="20"/>
      <c r="C543" s="20"/>
      <c r="D543" s="20"/>
      <c r="E543" s="20"/>
    </row>
    <row r="544" spans="1:5" ht="12.75" customHeight="1">
      <c r="A544" s="20"/>
      <c r="B544" s="20"/>
      <c r="C544" s="20"/>
      <c r="D544" s="20"/>
      <c r="E544" s="20"/>
    </row>
    <row r="545" spans="1:5" ht="12.75" customHeight="1">
      <c r="A545" s="20"/>
      <c r="B545" s="20"/>
      <c r="C545" s="20"/>
      <c r="D545" s="20"/>
      <c r="E545" s="20"/>
    </row>
    <row r="546" spans="1:5" ht="12.75" customHeight="1">
      <c r="A546" s="20"/>
      <c r="B546" s="20"/>
      <c r="C546" s="20"/>
      <c r="D546" s="20"/>
      <c r="E546" s="20"/>
    </row>
    <row r="547" spans="1:5" ht="12.75" customHeight="1">
      <c r="A547" s="20"/>
      <c r="B547" s="20"/>
      <c r="C547" s="20"/>
      <c r="D547" s="20"/>
      <c r="E547" s="20"/>
    </row>
    <row r="548" spans="1:5" ht="12.75" customHeight="1">
      <c r="A548" s="20"/>
      <c r="B548" s="20"/>
      <c r="C548" s="20"/>
      <c r="D548" s="20"/>
      <c r="E548" s="20"/>
    </row>
    <row r="549" spans="1:5" ht="12.75" customHeight="1">
      <c r="A549" s="20"/>
      <c r="B549" s="20"/>
      <c r="C549" s="20"/>
      <c r="D549" s="20"/>
      <c r="E549" s="20"/>
    </row>
    <row r="550" spans="1:5" ht="12.75" customHeight="1">
      <c r="A550" s="20"/>
      <c r="B550" s="20"/>
      <c r="C550" s="20"/>
      <c r="D550" s="20"/>
      <c r="E550" s="20"/>
    </row>
    <row r="551" spans="1:5" ht="12.75" customHeight="1">
      <c r="A551" s="20"/>
      <c r="B551" s="20"/>
      <c r="C551" s="20"/>
      <c r="D551" s="20"/>
      <c r="E551" s="20"/>
    </row>
    <row r="552" spans="1:5" ht="12.75" customHeight="1">
      <c r="A552" s="20"/>
      <c r="B552" s="20"/>
      <c r="C552" s="20"/>
      <c r="D552" s="20"/>
      <c r="E552" s="20"/>
    </row>
    <row r="553" spans="1:5" ht="12.75" customHeight="1">
      <c r="A553" s="20"/>
      <c r="B553" s="20"/>
      <c r="C553" s="20"/>
      <c r="D553" s="20"/>
      <c r="E553" s="20"/>
    </row>
    <row r="554" spans="1:5" ht="12.75" customHeight="1">
      <c r="A554" s="20"/>
      <c r="B554" s="20"/>
      <c r="C554" s="20"/>
      <c r="D554" s="20"/>
      <c r="E554" s="20"/>
    </row>
    <row r="555" spans="1:5" ht="12.75" customHeight="1">
      <c r="A555" s="20"/>
      <c r="B555" s="20"/>
      <c r="C555" s="20"/>
      <c r="D555" s="20"/>
      <c r="E555" s="20"/>
    </row>
    <row r="556" spans="1:5" ht="12.75" customHeight="1">
      <c r="A556" s="20"/>
      <c r="B556" s="20"/>
      <c r="C556" s="20"/>
      <c r="D556" s="20"/>
      <c r="E556" s="20"/>
    </row>
    <row r="557" spans="1:5" ht="12.75" customHeight="1">
      <c r="A557" s="20"/>
      <c r="B557" s="20"/>
      <c r="C557" s="20"/>
      <c r="D557" s="20"/>
      <c r="E557" s="20"/>
    </row>
    <row r="558" spans="1:5" ht="12.75" customHeight="1">
      <c r="A558" s="20"/>
      <c r="B558" s="20"/>
      <c r="C558" s="20"/>
      <c r="D558" s="20"/>
      <c r="E558" s="20"/>
    </row>
    <row r="559" spans="1:5" ht="12.75" customHeight="1">
      <c r="A559" s="20"/>
      <c r="B559" s="20"/>
      <c r="C559" s="20"/>
      <c r="D559" s="20"/>
      <c r="E559" s="20"/>
    </row>
    <row r="560" spans="1:5" ht="12.75" customHeight="1">
      <c r="A560" s="20"/>
      <c r="B560" s="20"/>
      <c r="C560" s="20"/>
      <c r="D560" s="20"/>
      <c r="E560" s="20"/>
    </row>
    <row r="561" spans="1:5" ht="12.75" customHeight="1">
      <c r="A561" s="20"/>
      <c r="B561" s="20"/>
      <c r="C561" s="20"/>
      <c r="D561" s="20"/>
      <c r="E561" s="20"/>
    </row>
    <row r="562" spans="1:5" ht="12.75" customHeight="1">
      <c r="A562" s="20"/>
      <c r="B562" s="20"/>
      <c r="C562" s="20"/>
      <c r="D562" s="20"/>
      <c r="E562" s="20"/>
    </row>
    <row r="563" spans="1:5" ht="12.75" customHeight="1">
      <c r="A563" s="20"/>
      <c r="B563" s="20"/>
      <c r="C563" s="20"/>
      <c r="D563" s="20"/>
      <c r="E563" s="20"/>
    </row>
    <row r="564" spans="1:5" ht="12.75" customHeight="1">
      <c r="A564" s="20"/>
      <c r="B564" s="20"/>
      <c r="C564" s="20"/>
      <c r="D564" s="20"/>
      <c r="E564" s="20"/>
    </row>
    <row r="565" spans="1:5" ht="12.75" customHeight="1">
      <c r="A565" s="20"/>
      <c r="B565" s="20"/>
      <c r="C565" s="20"/>
      <c r="D565" s="20"/>
      <c r="E565" s="20"/>
    </row>
    <row r="566" spans="1:5" ht="12.75" customHeight="1">
      <c r="A566" s="20"/>
      <c r="B566" s="20"/>
      <c r="C566" s="20"/>
      <c r="D566" s="20"/>
      <c r="E566" s="20"/>
    </row>
    <row r="567" spans="1:5" ht="12.75" customHeight="1">
      <c r="A567" s="20"/>
      <c r="B567" s="20"/>
      <c r="C567" s="20"/>
      <c r="D567" s="20"/>
      <c r="E567" s="20"/>
    </row>
    <row r="568" spans="1:5" ht="12.75" customHeight="1">
      <c r="A568" s="20"/>
      <c r="B568" s="20"/>
      <c r="C568" s="20"/>
      <c r="D568" s="20"/>
      <c r="E568" s="20"/>
    </row>
    <row r="569" spans="1:5" ht="12.75" customHeight="1">
      <c r="A569" s="20"/>
      <c r="B569" s="20"/>
      <c r="C569" s="20"/>
      <c r="D569" s="20"/>
      <c r="E569" s="20"/>
    </row>
    <row r="570" spans="1:5" ht="12.75" customHeight="1">
      <c r="A570" s="20"/>
      <c r="B570" s="20"/>
      <c r="C570" s="20"/>
      <c r="D570" s="20"/>
      <c r="E570" s="20"/>
    </row>
    <row r="571" spans="1:5" ht="12.75" customHeight="1">
      <c r="A571" s="20"/>
      <c r="B571" s="20"/>
      <c r="C571" s="20"/>
      <c r="D571" s="20"/>
      <c r="E571" s="20"/>
    </row>
    <row r="572" spans="1:5" ht="12.75" customHeight="1">
      <c r="A572" s="20"/>
      <c r="B572" s="20"/>
      <c r="C572" s="20"/>
      <c r="D572" s="20"/>
      <c r="E572" s="20"/>
    </row>
    <row r="573" spans="1:5" ht="12.75" customHeight="1">
      <c r="A573" s="20"/>
      <c r="B573" s="20"/>
      <c r="C573" s="20"/>
      <c r="D573" s="20"/>
      <c r="E573" s="20"/>
    </row>
    <row r="574" spans="1:5" ht="12.75" customHeight="1">
      <c r="A574" s="20"/>
      <c r="B574" s="20"/>
      <c r="C574" s="20"/>
      <c r="D574" s="20"/>
      <c r="E574" s="20"/>
    </row>
    <row r="575" spans="1:5" ht="12.75" customHeight="1">
      <c r="A575" s="20"/>
      <c r="B575" s="20"/>
      <c r="C575" s="20"/>
      <c r="D575" s="20"/>
      <c r="E575" s="20"/>
    </row>
    <row r="576" spans="1:5" ht="12.75" customHeight="1">
      <c r="A576" s="20"/>
      <c r="B576" s="20"/>
      <c r="C576" s="20"/>
      <c r="D576" s="20"/>
      <c r="E576" s="20"/>
    </row>
    <row r="577" spans="1:5" ht="12.75" customHeight="1">
      <c r="A577" s="20"/>
      <c r="B577" s="20"/>
      <c r="C577" s="20"/>
      <c r="D577" s="20"/>
      <c r="E577" s="20"/>
    </row>
    <row r="578" spans="1:5" ht="12.75" customHeight="1">
      <c r="A578" s="20"/>
      <c r="B578" s="20"/>
      <c r="C578" s="20"/>
      <c r="D578" s="20"/>
      <c r="E578" s="20"/>
    </row>
    <row r="579" spans="1:5" ht="12.75" customHeight="1">
      <c r="A579" s="20"/>
      <c r="B579" s="20"/>
      <c r="C579" s="20"/>
      <c r="D579" s="20"/>
      <c r="E579" s="20"/>
    </row>
    <row r="580" spans="1:5" ht="12.75" customHeight="1">
      <c r="A580" s="20"/>
      <c r="B580" s="20"/>
      <c r="C580" s="20"/>
      <c r="D580" s="20"/>
      <c r="E580" s="20"/>
    </row>
    <row r="581" spans="1:5" ht="12.75" customHeight="1">
      <c r="A581" s="20"/>
      <c r="B581" s="20"/>
      <c r="C581" s="20"/>
      <c r="D581" s="20"/>
      <c r="E581" s="20"/>
    </row>
    <row r="582" spans="1:5" ht="12.75" customHeight="1">
      <c r="A582" s="20"/>
      <c r="B582" s="20"/>
      <c r="C582" s="20"/>
      <c r="D582" s="20"/>
      <c r="E582" s="20"/>
    </row>
    <row r="583" spans="1:5" ht="12.75" customHeight="1">
      <c r="A583" s="20"/>
      <c r="B583" s="20"/>
      <c r="C583" s="20"/>
      <c r="D583" s="20"/>
      <c r="E583" s="20"/>
    </row>
    <row r="584" spans="1:5" ht="12.75" customHeight="1">
      <c r="A584" s="20"/>
      <c r="B584" s="20"/>
      <c r="C584" s="20"/>
      <c r="D584" s="20"/>
      <c r="E584" s="20"/>
    </row>
    <row r="585" spans="1:5" ht="12.75" customHeight="1">
      <c r="A585" s="20"/>
      <c r="B585" s="20"/>
      <c r="C585" s="20"/>
      <c r="D585" s="20"/>
      <c r="E585" s="20"/>
    </row>
    <row r="586" spans="1:5" ht="12.75" customHeight="1">
      <c r="A586" s="20"/>
      <c r="B586" s="20"/>
      <c r="C586" s="20"/>
      <c r="D586" s="20"/>
      <c r="E586" s="20"/>
    </row>
    <row r="587" spans="1:5" ht="12.75" customHeight="1">
      <c r="A587" s="20"/>
      <c r="B587" s="20"/>
      <c r="C587" s="20"/>
      <c r="D587" s="20"/>
      <c r="E587" s="20"/>
    </row>
    <row r="588" spans="1:5" ht="12.75" customHeight="1">
      <c r="A588" s="20"/>
      <c r="B588" s="20"/>
      <c r="C588" s="20"/>
      <c r="D588" s="20"/>
      <c r="E588" s="20"/>
    </row>
    <row r="589" spans="1:5" ht="12.75" customHeight="1">
      <c r="A589" s="20"/>
      <c r="B589" s="20"/>
      <c r="C589" s="20"/>
      <c r="D589" s="20"/>
      <c r="E589" s="20"/>
    </row>
    <row r="590" spans="1:5" ht="12.75" customHeight="1">
      <c r="A590" s="20"/>
      <c r="B590" s="20"/>
      <c r="C590" s="20"/>
      <c r="D590" s="20"/>
      <c r="E590" s="20"/>
    </row>
    <row r="591" spans="1:5" ht="12.75" customHeight="1">
      <c r="A591" s="20"/>
      <c r="B591" s="20"/>
      <c r="C591" s="20"/>
      <c r="D591" s="20"/>
      <c r="E591" s="20"/>
    </row>
    <row r="592" spans="1:5" ht="12.75" customHeight="1">
      <c r="A592" s="20"/>
      <c r="B592" s="20"/>
      <c r="C592" s="20"/>
      <c r="D592" s="20"/>
      <c r="E592" s="20"/>
    </row>
    <row r="593" spans="1:5" ht="12.75" customHeight="1">
      <c r="A593" s="20"/>
      <c r="B593" s="20"/>
      <c r="C593" s="20"/>
      <c r="D593" s="20"/>
      <c r="E593" s="20"/>
    </row>
    <row r="594" spans="1:5" ht="12.75" customHeight="1">
      <c r="A594" s="20"/>
      <c r="B594" s="20"/>
      <c r="C594" s="20"/>
      <c r="D594" s="20"/>
      <c r="E594" s="20"/>
    </row>
    <row r="595" spans="1:5" ht="12.75" customHeight="1">
      <c r="A595" s="20"/>
      <c r="B595" s="20"/>
      <c r="C595" s="20"/>
      <c r="D595" s="20"/>
      <c r="E595" s="20"/>
    </row>
    <row r="596" spans="1:5" ht="12.75" customHeight="1">
      <c r="A596" s="20"/>
      <c r="B596" s="20"/>
      <c r="C596" s="20"/>
      <c r="D596" s="20"/>
      <c r="E596" s="20"/>
    </row>
    <row r="597" spans="1:5" ht="12.75" customHeight="1">
      <c r="A597" s="20"/>
      <c r="B597" s="20"/>
      <c r="C597" s="20"/>
      <c r="D597" s="20"/>
      <c r="E597" s="20"/>
    </row>
    <row r="598" spans="1:5" ht="12.75" customHeight="1">
      <c r="A598" s="20"/>
      <c r="B598" s="20"/>
      <c r="C598" s="20"/>
      <c r="D598" s="20"/>
      <c r="E598" s="20"/>
    </row>
    <row r="599" spans="1:5" ht="12.75" customHeight="1">
      <c r="A599" s="20"/>
      <c r="B599" s="20"/>
      <c r="C599" s="20"/>
      <c r="D599" s="20"/>
      <c r="E599" s="20"/>
    </row>
    <row r="600" spans="1:5" ht="12.75" customHeight="1">
      <c r="A600" s="20"/>
      <c r="B600" s="20"/>
      <c r="C600" s="20"/>
      <c r="D600" s="20"/>
      <c r="E600" s="20"/>
    </row>
    <row r="601" spans="1:5" ht="12.75" customHeight="1">
      <c r="A601" s="20"/>
      <c r="B601" s="20"/>
      <c r="C601" s="20"/>
      <c r="D601" s="20"/>
      <c r="E601" s="20"/>
    </row>
    <row r="602" spans="1:5" ht="12.75" customHeight="1">
      <c r="A602" s="20"/>
      <c r="B602" s="20"/>
      <c r="C602" s="20"/>
      <c r="D602" s="20"/>
      <c r="E602" s="20"/>
    </row>
    <row r="603" spans="1:5" ht="12.75" customHeight="1">
      <c r="A603" s="20"/>
      <c r="B603" s="20"/>
      <c r="C603" s="20"/>
      <c r="D603" s="20"/>
      <c r="E603" s="20"/>
    </row>
    <row r="604" spans="1:5" ht="12.75" customHeight="1">
      <c r="A604" s="20"/>
      <c r="B604" s="20"/>
      <c r="C604" s="20"/>
      <c r="D604" s="20"/>
      <c r="E604" s="20"/>
    </row>
    <row r="605" spans="1:5" ht="12.75" customHeight="1">
      <c r="A605" s="20"/>
      <c r="B605" s="20"/>
      <c r="C605" s="20"/>
      <c r="D605" s="20"/>
      <c r="E605" s="20"/>
    </row>
    <row r="606" spans="1:5" ht="12.75" customHeight="1">
      <c r="A606" s="20"/>
      <c r="B606" s="20"/>
      <c r="C606" s="20"/>
      <c r="D606" s="20"/>
      <c r="E606" s="20"/>
    </row>
    <row r="607" spans="1:5" ht="12.75" customHeight="1">
      <c r="A607" s="20"/>
      <c r="B607" s="20"/>
      <c r="C607" s="20"/>
      <c r="D607" s="20"/>
      <c r="E607" s="20"/>
    </row>
    <row r="608" spans="1:5" ht="12.75" customHeight="1">
      <c r="A608" s="20"/>
      <c r="B608" s="20"/>
      <c r="C608" s="20"/>
      <c r="D608" s="20"/>
      <c r="E608" s="20"/>
    </row>
    <row r="609" spans="1:5" ht="12.75" customHeight="1">
      <c r="A609" s="20"/>
      <c r="B609" s="20"/>
      <c r="C609" s="20"/>
      <c r="D609" s="20"/>
      <c r="E609" s="20"/>
    </row>
    <row r="610" spans="1:5" ht="12.75" customHeight="1">
      <c r="A610" s="20"/>
      <c r="B610" s="20"/>
      <c r="C610" s="20"/>
      <c r="D610" s="20"/>
      <c r="E610" s="20"/>
    </row>
    <row r="611" spans="1:5" ht="12.75" customHeight="1">
      <c r="A611" s="20"/>
      <c r="B611" s="20"/>
      <c r="C611" s="20"/>
      <c r="D611" s="20"/>
      <c r="E611" s="20"/>
    </row>
    <row r="612" spans="1:5" ht="12.75" customHeight="1">
      <c r="A612" s="20"/>
      <c r="B612" s="20"/>
      <c r="C612" s="20"/>
      <c r="D612" s="20"/>
      <c r="E612" s="20"/>
    </row>
    <row r="613" spans="1:5" ht="12.75" customHeight="1">
      <c r="A613" s="20"/>
      <c r="B613" s="20"/>
      <c r="C613" s="20"/>
      <c r="D613" s="20"/>
      <c r="E613" s="20"/>
    </row>
    <row r="614" spans="1:5" ht="12.75" customHeight="1">
      <c r="A614" s="20"/>
      <c r="B614" s="20"/>
      <c r="C614" s="20"/>
      <c r="D614" s="20"/>
      <c r="E614" s="20"/>
    </row>
    <row r="615" spans="1:5" ht="12.75" customHeight="1">
      <c r="A615" s="20"/>
      <c r="B615" s="20"/>
      <c r="C615" s="20"/>
      <c r="D615" s="20"/>
      <c r="E615" s="20"/>
    </row>
    <row r="616" spans="1:5" ht="12.75" customHeight="1">
      <c r="A616" s="20"/>
      <c r="B616" s="20"/>
      <c r="C616" s="20"/>
      <c r="D616" s="20"/>
      <c r="E616" s="20"/>
    </row>
    <row r="617" spans="1:5" ht="12.75" customHeight="1">
      <c r="A617" s="20"/>
      <c r="B617" s="20"/>
      <c r="C617" s="20"/>
      <c r="D617" s="20"/>
      <c r="E617" s="20"/>
    </row>
    <row r="618" spans="1:5" ht="12.75" customHeight="1">
      <c r="A618" s="20"/>
      <c r="B618" s="20"/>
      <c r="C618" s="20"/>
      <c r="D618" s="20"/>
      <c r="E618" s="20"/>
    </row>
    <row r="619" spans="1:5" ht="12.75" customHeight="1">
      <c r="A619" s="20"/>
      <c r="B619" s="20"/>
      <c r="C619" s="20"/>
      <c r="D619" s="20"/>
      <c r="E619" s="20"/>
    </row>
    <row r="620" spans="1:5" ht="12.75" customHeight="1">
      <c r="A620" s="20"/>
      <c r="B620" s="20"/>
      <c r="C620" s="20"/>
      <c r="D620" s="20"/>
      <c r="E620" s="20"/>
    </row>
    <row r="621" spans="1:5" ht="12.75" customHeight="1">
      <c r="A621" s="20"/>
      <c r="B621" s="20"/>
      <c r="C621" s="20"/>
      <c r="D621" s="20"/>
      <c r="E621" s="20"/>
    </row>
    <row r="622" spans="1:5" ht="12.75" customHeight="1">
      <c r="A622" s="20"/>
      <c r="B622" s="20"/>
      <c r="C622" s="20"/>
      <c r="D622" s="20"/>
      <c r="E622" s="20"/>
    </row>
    <row r="623" spans="1:5" ht="12.75" customHeight="1">
      <c r="A623" s="20"/>
      <c r="B623" s="20"/>
      <c r="C623" s="20"/>
      <c r="D623" s="20"/>
      <c r="E623" s="20"/>
    </row>
    <row r="624" spans="1:5" ht="12.75" customHeight="1">
      <c r="A624" s="20"/>
      <c r="B624" s="20"/>
      <c r="C624" s="20"/>
      <c r="D624" s="20"/>
      <c r="E624" s="20"/>
    </row>
    <row r="625" spans="1:5" ht="12.75" customHeight="1">
      <c r="A625" s="20"/>
      <c r="B625" s="20"/>
      <c r="C625" s="20"/>
      <c r="D625" s="20"/>
      <c r="E625" s="20"/>
    </row>
    <row r="626" spans="1:5" ht="12.75" customHeight="1">
      <c r="A626" s="20"/>
      <c r="B626" s="20"/>
      <c r="C626" s="20"/>
      <c r="D626" s="20"/>
      <c r="E626" s="20"/>
    </row>
    <row r="627" spans="1:5" ht="12.75" customHeight="1">
      <c r="A627" s="20"/>
      <c r="B627" s="20"/>
      <c r="C627" s="20"/>
      <c r="D627" s="20"/>
      <c r="E627" s="20"/>
    </row>
    <row r="628" spans="1:5" ht="12.75" customHeight="1">
      <c r="A628" s="20"/>
      <c r="B628" s="20"/>
      <c r="C628" s="20"/>
      <c r="D628" s="20"/>
      <c r="E628" s="20"/>
    </row>
    <row r="629" spans="1:5" ht="12.75" customHeight="1">
      <c r="A629" s="20"/>
      <c r="B629" s="20"/>
      <c r="C629" s="20"/>
      <c r="D629" s="20"/>
      <c r="E629" s="20"/>
    </row>
    <row r="630" spans="1:5" ht="12.75" customHeight="1">
      <c r="A630" s="20"/>
      <c r="B630" s="20"/>
      <c r="C630" s="20"/>
      <c r="D630" s="20"/>
      <c r="E630" s="20"/>
    </row>
    <row r="631" spans="1:5" ht="12.75" customHeight="1">
      <c r="A631" s="20"/>
      <c r="B631" s="20"/>
      <c r="C631" s="20"/>
      <c r="D631" s="20"/>
      <c r="E631" s="20"/>
    </row>
    <row r="632" spans="1:5" ht="12.75" customHeight="1">
      <c r="A632" s="20"/>
      <c r="B632" s="20"/>
      <c r="C632" s="20"/>
      <c r="D632" s="20"/>
      <c r="E632" s="20"/>
    </row>
    <row r="633" spans="1:5" ht="12.75" customHeight="1">
      <c r="A633" s="20"/>
      <c r="B633" s="20"/>
      <c r="C633" s="20"/>
      <c r="D633" s="20"/>
      <c r="E633" s="20"/>
    </row>
    <row r="634" spans="1:5" ht="12.75" customHeight="1">
      <c r="A634" s="20"/>
      <c r="B634" s="20"/>
      <c r="C634" s="20"/>
      <c r="D634" s="20"/>
      <c r="E634" s="20"/>
    </row>
    <row r="635" spans="1:5" ht="12.75" customHeight="1">
      <c r="A635" s="20"/>
      <c r="B635" s="20"/>
      <c r="C635" s="20"/>
      <c r="D635" s="20"/>
      <c r="E635" s="20"/>
    </row>
    <row r="636" spans="1:5" ht="12.75" customHeight="1">
      <c r="A636" s="20"/>
      <c r="B636" s="20"/>
      <c r="C636" s="20"/>
      <c r="D636" s="20"/>
      <c r="E636" s="20"/>
    </row>
    <row r="637" spans="1:5" ht="12.75" customHeight="1">
      <c r="A637" s="20"/>
      <c r="B637" s="20"/>
      <c r="C637" s="20"/>
      <c r="D637" s="20"/>
      <c r="E637" s="20"/>
    </row>
    <row r="638" spans="1:5" ht="12.75" customHeight="1">
      <c r="A638" s="20"/>
      <c r="B638" s="20"/>
      <c r="C638" s="20"/>
      <c r="D638" s="20"/>
      <c r="E638" s="20"/>
    </row>
    <row r="639" spans="1:5" ht="12.75" customHeight="1">
      <c r="A639" s="20"/>
      <c r="B639" s="20"/>
      <c r="C639" s="20"/>
      <c r="D639" s="20"/>
      <c r="E639" s="20"/>
    </row>
    <row r="640" spans="1:5" ht="12.75" customHeight="1">
      <c r="A640" s="20"/>
      <c r="B640" s="20"/>
      <c r="C640" s="20"/>
      <c r="D640" s="20"/>
      <c r="E640" s="20"/>
    </row>
    <row r="641" spans="1:5" ht="12.75" customHeight="1">
      <c r="A641" s="20"/>
      <c r="B641" s="20"/>
      <c r="C641" s="20"/>
      <c r="D641" s="20"/>
      <c r="E641" s="20"/>
    </row>
    <row r="642" spans="1:5" ht="12.75" customHeight="1">
      <c r="A642" s="20"/>
      <c r="B642" s="20"/>
      <c r="C642" s="20"/>
      <c r="D642" s="20"/>
      <c r="E642" s="20"/>
    </row>
    <row r="643" spans="1:5" ht="12.75" customHeight="1">
      <c r="A643" s="20"/>
      <c r="B643" s="20"/>
      <c r="C643" s="20"/>
      <c r="D643" s="20"/>
      <c r="E643" s="20"/>
    </row>
    <row r="644" spans="1:5" ht="12.75" customHeight="1">
      <c r="A644" s="20"/>
      <c r="B644" s="20"/>
      <c r="C644" s="20"/>
      <c r="D644" s="20"/>
      <c r="E644" s="20"/>
    </row>
    <row r="645" spans="1:5" ht="12.75" customHeight="1">
      <c r="A645" s="20"/>
      <c r="B645" s="20"/>
      <c r="C645" s="20"/>
      <c r="D645" s="20"/>
      <c r="E645" s="20"/>
    </row>
    <row r="646" spans="1:5" ht="12.75" customHeight="1">
      <c r="A646" s="20"/>
      <c r="B646" s="20"/>
      <c r="C646" s="20"/>
      <c r="D646" s="20"/>
      <c r="E646" s="20"/>
    </row>
    <row r="647" spans="1:5" ht="12.75" customHeight="1">
      <c r="A647" s="20"/>
      <c r="B647" s="20"/>
      <c r="C647" s="20"/>
      <c r="D647" s="20"/>
      <c r="E647" s="20"/>
    </row>
    <row r="648" spans="1:5" ht="12.75" customHeight="1">
      <c r="A648" s="20"/>
      <c r="B648" s="20"/>
      <c r="C648" s="20"/>
      <c r="D648" s="20"/>
      <c r="E648" s="20"/>
    </row>
    <row r="649" spans="1:5" ht="12.75" customHeight="1">
      <c r="A649" s="20"/>
      <c r="B649" s="20"/>
      <c r="C649" s="20"/>
      <c r="D649" s="20"/>
      <c r="E649" s="20"/>
    </row>
    <row r="650" spans="1:5" ht="12.75" customHeight="1">
      <c r="A650" s="20"/>
      <c r="B650" s="20"/>
      <c r="C650" s="20"/>
      <c r="D650" s="20"/>
      <c r="E650" s="20"/>
    </row>
    <row r="651" spans="1:5" ht="12.75" customHeight="1">
      <c r="A651" s="20"/>
      <c r="B651" s="20"/>
      <c r="C651" s="20"/>
      <c r="D651" s="20"/>
      <c r="E651" s="20"/>
    </row>
    <row r="652" spans="1:5" ht="12.75" customHeight="1">
      <c r="A652" s="20"/>
      <c r="B652" s="20"/>
      <c r="C652" s="20"/>
      <c r="D652" s="20"/>
      <c r="E652" s="20"/>
    </row>
    <row r="653" spans="1:5" ht="12.75" customHeight="1">
      <c r="A653" s="20"/>
      <c r="B653" s="20"/>
      <c r="C653" s="20"/>
      <c r="D653" s="20"/>
      <c r="E653" s="20"/>
    </row>
    <row r="654" spans="1:5" ht="12.75" customHeight="1">
      <c r="A654" s="20"/>
      <c r="B654" s="20"/>
      <c r="C654" s="20"/>
      <c r="D654" s="20"/>
      <c r="E654" s="20"/>
    </row>
    <row r="655" spans="1:5" ht="12.75" customHeight="1">
      <c r="A655" s="20"/>
      <c r="B655" s="20"/>
      <c r="C655" s="20"/>
      <c r="D655" s="20"/>
      <c r="E655" s="20"/>
    </row>
    <row r="656" spans="1:5" ht="12.75" customHeight="1">
      <c r="A656" s="20"/>
      <c r="B656" s="20"/>
      <c r="C656" s="20"/>
      <c r="D656" s="20"/>
      <c r="E656" s="20"/>
    </row>
    <row r="657" spans="1:5" ht="12.75" customHeight="1">
      <c r="A657" s="20"/>
      <c r="B657" s="20"/>
      <c r="C657" s="20"/>
      <c r="D657" s="20"/>
      <c r="E657" s="20"/>
    </row>
    <row r="658" spans="1:5" ht="12.75" customHeight="1">
      <c r="A658" s="20"/>
      <c r="B658" s="20"/>
      <c r="C658" s="20"/>
      <c r="D658" s="20"/>
      <c r="E658" s="20"/>
    </row>
    <row r="659" spans="1:5" ht="12.75" customHeight="1">
      <c r="A659" s="20"/>
      <c r="B659" s="20"/>
      <c r="C659" s="20"/>
      <c r="D659" s="20"/>
      <c r="E659" s="20"/>
    </row>
    <row r="660" spans="1:5" ht="12.75" customHeight="1">
      <c r="A660" s="20"/>
      <c r="B660" s="20"/>
      <c r="C660" s="20"/>
      <c r="D660" s="20"/>
      <c r="E660" s="20"/>
    </row>
    <row r="661" spans="1:5" ht="12.75" customHeight="1">
      <c r="A661" s="20"/>
      <c r="B661" s="20"/>
      <c r="C661" s="20"/>
      <c r="D661" s="20"/>
      <c r="E661" s="20"/>
    </row>
    <row r="662" spans="1:5" ht="12.75" customHeight="1">
      <c r="A662" s="20"/>
      <c r="B662" s="20"/>
      <c r="C662" s="20"/>
      <c r="D662" s="20"/>
      <c r="E662" s="20"/>
    </row>
    <row r="663" spans="1:5" ht="12.75" customHeight="1">
      <c r="A663" s="20"/>
      <c r="B663" s="20"/>
      <c r="C663" s="20"/>
      <c r="D663" s="20"/>
      <c r="E663" s="20"/>
    </row>
    <row r="664" spans="1:5" ht="12.75" customHeight="1">
      <c r="A664" s="20"/>
      <c r="B664" s="20"/>
      <c r="C664" s="20"/>
      <c r="D664" s="20"/>
      <c r="E664" s="20"/>
    </row>
    <row r="665" spans="1:5" ht="12.75" customHeight="1">
      <c r="A665" s="20"/>
      <c r="B665" s="20"/>
      <c r="C665" s="20"/>
      <c r="D665" s="20"/>
      <c r="E665" s="20"/>
    </row>
    <row r="666" spans="1:5" ht="12.75" customHeight="1">
      <c r="A666" s="20"/>
      <c r="B666" s="20"/>
      <c r="C666" s="20"/>
      <c r="D666" s="20"/>
      <c r="E666" s="20"/>
    </row>
    <row r="667" spans="1:5" ht="12.75" customHeight="1">
      <c r="A667" s="20"/>
      <c r="B667" s="20"/>
      <c r="C667" s="20"/>
      <c r="D667" s="20"/>
      <c r="E667" s="20"/>
    </row>
    <row r="668" spans="1:5" ht="12.75" customHeight="1">
      <c r="A668" s="20"/>
      <c r="B668" s="20"/>
      <c r="C668" s="20"/>
      <c r="D668" s="20"/>
      <c r="E668" s="20"/>
    </row>
    <row r="669" spans="1:5" ht="12.75" customHeight="1">
      <c r="A669" s="20"/>
      <c r="B669" s="20"/>
      <c r="C669" s="20"/>
      <c r="D669" s="20"/>
      <c r="E669" s="20"/>
    </row>
    <row r="670" spans="1:5" ht="12.75" customHeight="1">
      <c r="A670" s="20"/>
      <c r="B670" s="20"/>
      <c r="C670" s="20"/>
      <c r="D670" s="20"/>
      <c r="E670" s="20"/>
    </row>
    <row r="671" spans="1:5" ht="12.75" customHeight="1">
      <c r="A671" s="20"/>
      <c r="B671" s="20"/>
      <c r="C671" s="20"/>
      <c r="D671" s="20"/>
      <c r="E671" s="20"/>
    </row>
    <row r="672" spans="1:5" ht="12.75" customHeight="1">
      <c r="A672" s="20"/>
      <c r="B672" s="20"/>
      <c r="C672" s="20"/>
      <c r="D672" s="20"/>
      <c r="E672" s="20"/>
    </row>
    <row r="673" spans="1:5" ht="12.75" customHeight="1">
      <c r="A673" s="20"/>
      <c r="B673" s="20"/>
      <c r="C673" s="20"/>
      <c r="D673" s="20"/>
      <c r="E673" s="20"/>
    </row>
    <row r="674" spans="1:5" ht="12.75" customHeight="1">
      <c r="A674" s="20"/>
      <c r="B674" s="20"/>
      <c r="C674" s="20"/>
      <c r="D674" s="20"/>
      <c r="E674" s="20"/>
    </row>
    <row r="675" spans="1:5" ht="12.75" customHeight="1">
      <c r="A675" s="20"/>
      <c r="B675" s="20"/>
      <c r="C675" s="20"/>
      <c r="D675" s="20"/>
      <c r="E675" s="20"/>
    </row>
    <row r="676" spans="1:5" ht="12.75" customHeight="1">
      <c r="A676" s="20"/>
      <c r="B676" s="20"/>
      <c r="C676" s="20"/>
      <c r="D676" s="20"/>
      <c r="E676" s="20"/>
    </row>
    <row r="677" spans="1:5" ht="12.75" customHeight="1">
      <c r="A677" s="20"/>
      <c r="B677" s="20"/>
      <c r="C677" s="20"/>
      <c r="D677" s="20"/>
      <c r="E677" s="20"/>
    </row>
    <row r="678" spans="1:5" ht="12.75" customHeight="1">
      <c r="A678" s="20"/>
      <c r="B678" s="20"/>
      <c r="C678" s="20"/>
      <c r="D678" s="20"/>
      <c r="E678" s="20"/>
    </row>
    <row r="679" spans="1:5" ht="12.75" customHeight="1">
      <c r="A679" s="20"/>
      <c r="B679" s="20"/>
      <c r="C679" s="20"/>
      <c r="D679" s="20"/>
      <c r="E679" s="20"/>
    </row>
    <row r="680" spans="1:5" ht="12.75" customHeight="1">
      <c r="A680" s="20"/>
      <c r="B680" s="20"/>
      <c r="C680" s="20"/>
      <c r="D680" s="20"/>
      <c r="E680" s="20"/>
    </row>
    <row r="681" spans="1:5" ht="12.75" customHeight="1">
      <c r="A681" s="20"/>
      <c r="B681" s="20"/>
      <c r="C681" s="20"/>
      <c r="D681" s="20"/>
      <c r="E681" s="20"/>
    </row>
    <row r="682" spans="1:5" ht="12.75" customHeight="1">
      <c r="A682" s="20"/>
      <c r="B682" s="20"/>
      <c r="C682" s="20"/>
      <c r="D682" s="20"/>
      <c r="E682" s="20"/>
    </row>
    <row r="683" spans="1:5" ht="12.75" customHeight="1">
      <c r="A683" s="20"/>
      <c r="B683" s="20"/>
      <c r="C683" s="20"/>
      <c r="D683" s="20"/>
      <c r="E683" s="20"/>
    </row>
    <row r="684" spans="1:5" ht="12.75" customHeight="1">
      <c r="A684" s="20"/>
      <c r="B684" s="20"/>
      <c r="C684" s="20"/>
      <c r="D684" s="20"/>
      <c r="E684" s="20"/>
    </row>
    <row r="685" spans="1:5" ht="12.75" customHeight="1">
      <c r="A685" s="20"/>
      <c r="B685" s="20"/>
      <c r="C685" s="20"/>
      <c r="D685" s="20"/>
      <c r="E685" s="20"/>
    </row>
    <row r="686" spans="1:5" ht="12.75" customHeight="1">
      <c r="A686" s="20"/>
      <c r="B686" s="20"/>
      <c r="C686" s="20"/>
      <c r="D686" s="20"/>
      <c r="E686" s="20"/>
    </row>
    <row r="687" spans="1:5" ht="12.75" customHeight="1">
      <c r="A687" s="20"/>
      <c r="B687" s="20"/>
      <c r="C687" s="20"/>
      <c r="D687" s="20"/>
      <c r="E687" s="20"/>
    </row>
    <row r="688" spans="1:5" ht="12.75" customHeight="1">
      <c r="A688" s="20"/>
      <c r="B688" s="20"/>
      <c r="C688" s="20"/>
      <c r="D688" s="20"/>
      <c r="E688" s="20"/>
    </row>
    <row r="689" spans="1:5" ht="12.75" customHeight="1">
      <c r="A689" s="20"/>
      <c r="B689" s="20"/>
      <c r="C689" s="20"/>
      <c r="D689" s="20"/>
      <c r="E689" s="20"/>
    </row>
    <row r="690" spans="1:5" ht="12.75" customHeight="1">
      <c r="A690" s="20"/>
      <c r="B690" s="20"/>
      <c r="C690" s="20"/>
      <c r="D690" s="20"/>
      <c r="E690" s="20"/>
    </row>
    <row r="691" spans="1:5" ht="12.75" customHeight="1">
      <c r="A691" s="20"/>
      <c r="B691" s="20"/>
      <c r="C691" s="20"/>
      <c r="D691" s="20"/>
      <c r="E691" s="20"/>
    </row>
    <row r="692" spans="1:5" ht="12.75" customHeight="1">
      <c r="A692" s="20"/>
      <c r="B692" s="20"/>
      <c r="C692" s="20"/>
      <c r="D692" s="20"/>
      <c r="E692" s="20"/>
    </row>
    <row r="693" spans="1:5" ht="12.75" customHeight="1">
      <c r="A693" s="20"/>
      <c r="B693" s="20"/>
      <c r="C693" s="20"/>
      <c r="D693" s="20"/>
      <c r="E693" s="20"/>
    </row>
    <row r="694" spans="1:5" ht="12.75" customHeight="1">
      <c r="A694" s="20"/>
      <c r="B694" s="20"/>
      <c r="C694" s="20"/>
      <c r="D694" s="20"/>
      <c r="E694" s="20"/>
    </row>
    <row r="695" spans="1:5" ht="12.75" customHeight="1">
      <c r="A695" s="20"/>
      <c r="B695" s="20"/>
      <c r="C695" s="20"/>
      <c r="D695" s="20"/>
      <c r="E695" s="20"/>
    </row>
    <row r="696" spans="1:5" ht="12.75" customHeight="1">
      <c r="A696" s="20"/>
      <c r="B696" s="20"/>
      <c r="C696" s="20"/>
      <c r="D696" s="20"/>
      <c r="E696" s="20"/>
    </row>
    <row r="697" spans="1:5" ht="12.75" customHeight="1">
      <c r="A697" s="20"/>
      <c r="B697" s="20"/>
      <c r="C697" s="20"/>
      <c r="D697" s="20"/>
      <c r="E697" s="20"/>
    </row>
    <row r="698" spans="1:5" ht="12.75" customHeight="1">
      <c r="A698" s="20"/>
      <c r="B698" s="20"/>
      <c r="C698" s="20"/>
      <c r="D698" s="20"/>
      <c r="E698" s="20"/>
    </row>
    <row r="699" spans="1:5" ht="12.75" customHeight="1">
      <c r="A699" s="20"/>
      <c r="B699" s="20"/>
      <c r="C699" s="20"/>
      <c r="D699" s="20"/>
      <c r="E699" s="20"/>
    </row>
    <row r="700" spans="1:5" ht="12.75" customHeight="1">
      <c r="A700" s="20"/>
      <c r="B700" s="20"/>
      <c r="C700" s="20"/>
      <c r="D700" s="20"/>
      <c r="E700" s="20"/>
    </row>
    <row r="701" spans="1:5" ht="12.75" customHeight="1">
      <c r="A701" s="20"/>
      <c r="B701" s="20"/>
      <c r="C701" s="20"/>
      <c r="D701" s="20"/>
      <c r="E701" s="20"/>
    </row>
    <row r="702" spans="1:5" ht="12.75" customHeight="1">
      <c r="A702" s="20"/>
      <c r="B702" s="20"/>
      <c r="C702" s="20"/>
      <c r="D702" s="20"/>
      <c r="E702" s="20"/>
    </row>
    <row r="703" spans="1:5" ht="12.75" customHeight="1">
      <c r="A703" s="20"/>
      <c r="B703" s="20"/>
      <c r="C703" s="20"/>
      <c r="D703" s="20"/>
      <c r="E703" s="20"/>
    </row>
    <row r="704" spans="1:5" ht="12.75" customHeight="1">
      <c r="A704" s="20"/>
      <c r="B704" s="20"/>
      <c r="C704" s="20"/>
      <c r="D704" s="20"/>
      <c r="E704" s="20"/>
    </row>
    <row r="705" spans="1:5" ht="12.75" customHeight="1">
      <c r="A705" s="20"/>
      <c r="B705" s="20"/>
      <c r="C705" s="20"/>
      <c r="D705" s="20"/>
      <c r="E705" s="20"/>
    </row>
    <row r="706" spans="1:5" ht="12.75" customHeight="1">
      <c r="A706" s="20"/>
      <c r="B706" s="20"/>
      <c r="C706" s="20"/>
      <c r="D706" s="20"/>
      <c r="E706" s="20"/>
    </row>
    <row r="707" spans="1:5" ht="12.75" customHeight="1">
      <c r="A707" s="20"/>
      <c r="B707" s="20"/>
      <c r="C707" s="20"/>
      <c r="D707" s="20"/>
      <c r="E707" s="20"/>
    </row>
    <row r="708" spans="1:5" ht="12.75" customHeight="1">
      <c r="A708" s="20"/>
      <c r="B708" s="20"/>
      <c r="C708" s="20"/>
      <c r="D708" s="20"/>
      <c r="E708" s="20"/>
    </row>
    <row r="709" spans="1:5" ht="12.75" customHeight="1">
      <c r="A709" s="20"/>
      <c r="B709" s="20"/>
      <c r="C709" s="20"/>
      <c r="D709" s="20"/>
      <c r="E709" s="20"/>
    </row>
    <row r="710" spans="1:5" ht="12.75" customHeight="1">
      <c r="A710" s="20"/>
      <c r="B710" s="20"/>
      <c r="C710" s="20"/>
      <c r="D710" s="20"/>
      <c r="E710" s="20"/>
    </row>
    <row r="711" spans="1:5" ht="12.75" customHeight="1">
      <c r="A711" s="20"/>
      <c r="B711" s="20"/>
      <c r="C711" s="20"/>
      <c r="D711" s="20"/>
      <c r="E711" s="20"/>
    </row>
    <row r="712" spans="1:5" ht="12.75" customHeight="1">
      <c r="A712" s="20"/>
      <c r="B712" s="20"/>
      <c r="C712" s="20"/>
      <c r="D712" s="20"/>
      <c r="E712" s="20"/>
    </row>
    <row r="713" spans="1:5" ht="12.75" customHeight="1">
      <c r="A713" s="20"/>
      <c r="B713" s="20"/>
      <c r="C713" s="20"/>
      <c r="D713" s="20"/>
      <c r="E713" s="20"/>
    </row>
    <row r="714" spans="1:5" ht="12.75" customHeight="1">
      <c r="A714" s="20"/>
      <c r="B714" s="20"/>
      <c r="C714" s="20"/>
      <c r="D714" s="20"/>
      <c r="E714" s="20"/>
    </row>
    <row r="715" spans="1:5" ht="12.75" customHeight="1">
      <c r="A715" s="20"/>
      <c r="B715" s="20"/>
      <c r="C715" s="20"/>
      <c r="D715" s="20"/>
      <c r="E715" s="20"/>
    </row>
    <row r="716" spans="1:5" ht="12.75" customHeight="1">
      <c r="A716" s="20"/>
      <c r="B716" s="20"/>
      <c r="C716" s="20"/>
      <c r="D716" s="20"/>
      <c r="E716" s="20"/>
    </row>
    <row r="717" spans="1:5" ht="12.75" customHeight="1">
      <c r="A717" s="20"/>
      <c r="B717" s="20"/>
      <c r="C717" s="20"/>
      <c r="D717" s="20"/>
      <c r="E717" s="20"/>
    </row>
    <row r="718" spans="1:5" ht="12.75" customHeight="1">
      <c r="A718" s="20"/>
      <c r="B718" s="20"/>
      <c r="C718" s="20"/>
      <c r="D718" s="20"/>
      <c r="E718" s="20"/>
    </row>
    <row r="719" spans="1:5" ht="12.75" customHeight="1">
      <c r="A719" s="20"/>
      <c r="B719" s="20"/>
      <c r="C719" s="20"/>
      <c r="D719" s="20"/>
      <c r="E719" s="20"/>
    </row>
    <row r="720" spans="1:5" ht="12.75" customHeight="1">
      <c r="A720" s="20"/>
      <c r="B720" s="20"/>
      <c r="C720" s="20"/>
      <c r="D720" s="20"/>
      <c r="E720" s="20"/>
    </row>
    <row r="721" spans="1:5" ht="12.75" customHeight="1">
      <c r="A721" s="20"/>
      <c r="B721" s="20"/>
      <c r="C721" s="20"/>
      <c r="D721" s="20"/>
      <c r="E721" s="20"/>
    </row>
    <row r="722" spans="1:5" ht="12.75" customHeight="1">
      <c r="A722" s="20"/>
      <c r="B722" s="20"/>
      <c r="C722" s="20"/>
      <c r="D722" s="20"/>
      <c r="E722" s="20"/>
    </row>
    <row r="723" spans="1:5" ht="12.75" customHeight="1">
      <c r="A723" s="20"/>
      <c r="B723" s="20"/>
      <c r="C723" s="20"/>
      <c r="D723" s="20"/>
      <c r="E723" s="20"/>
    </row>
    <row r="724" spans="1:5" ht="12.75" customHeight="1">
      <c r="A724" s="20"/>
      <c r="B724" s="20"/>
      <c r="C724" s="20"/>
      <c r="D724" s="20"/>
      <c r="E724" s="20"/>
    </row>
    <row r="725" spans="1:5" ht="12.75" customHeight="1">
      <c r="A725" s="20"/>
      <c r="B725" s="20"/>
      <c r="C725" s="20"/>
      <c r="D725" s="20"/>
      <c r="E725" s="20"/>
    </row>
    <row r="726" spans="1:5" ht="12.75" customHeight="1">
      <c r="A726" s="20"/>
      <c r="B726" s="20"/>
      <c r="C726" s="20"/>
      <c r="D726" s="20"/>
      <c r="E726" s="20"/>
    </row>
    <row r="727" spans="1:5" ht="12.75" customHeight="1">
      <c r="A727" s="20"/>
      <c r="B727" s="20"/>
      <c r="C727" s="20"/>
      <c r="D727" s="20"/>
      <c r="E727" s="20"/>
    </row>
    <row r="728" spans="1:5" ht="12.75" customHeight="1">
      <c r="A728" s="20"/>
      <c r="B728" s="20"/>
      <c r="C728" s="20"/>
      <c r="D728" s="20"/>
      <c r="E728" s="20"/>
    </row>
    <row r="729" spans="1:5" ht="12.75" customHeight="1">
      <c r="A729" s="20"/>
      <c r="B729" s="20"/>
      <c r="C729" s="20"/>
      <c r="D729" s="20"/>
      <c r="E729" s="20"/>
    </row>
    <row r="730" spans="1:5" ht="12.75" customHeight="1">
      <c r="A730" s="20"/>
      <c r="B730" s="20"/>
      <c r="C730" s="20"/>
      <c r="D730" s="20"/>
      <c r="E730" s="20"/>
    </row>
    <row r="731" spans="1:5" ht="12.75" customHeight="1">
      <c r="A731" s="20"/>
      <c r="B731" s="20"/>
      <c r="C731" s="20"/>
      <c r="D731" s="20"/>
      <c r="E731" s="20"/>
    </row>
    <row r="732" spans="1:5" ht="12.75" customHeight="1">
      <c r="A732" s="20"/>
      <c r="B732" s="20"/>
      <c r="C732" s="20"/>
      <c r="D732" s="20"/>
      <c r="E732" s="20"/>
    </row>
    <row r="733" spans="1:5" ht="12.75" customHeight="1">
      <c r="A733" s="20"/>
      <c r="B733" s="20"/>
      <c r="C733" s="20"/>
      <c r="D733" s="20"/>
      <c r="E733" s="20"/>
    </row>
    <row r="734" spans="1:5" ht="12.75" customHeight="1">
      <c r="A734" s="20"/>
      <c r="B734" s="20"/>
      <c r="C734" s="20"/>
      <c r="D734" s="20"/>
      <c r="E734" s="20"/>
    </row>
    <row r="735" spans="1:5" ht="12.75" customHeight="1">
      <c r="A735" s="20"/>
      <c r="B735" s="20"/>
      <c r="C735" s="20"/>
      <c r="D735" s="20"/>
      <c r="E735" s="20"/>
    </row>
    <row r="736" spans="1:5" ht="12.75" customHeight="1">
      <c r="A736" s="20"/>
      <c r="B736" s="20"/>
      <c r="C736" s="20"/>
      <c r="D736" s="20"/>
      <c r="E736" s="20"/>
    </row>
    <row r="737" spans="1:5" ht="12.75" customHeight="1">
      <c r="A737" s="20"/>
      <c r="B737" s="20"/>
      <c r="C737" s="20"/>
      <c r="D737" s="20"/>
      <c r="E737" s="20"/>
    </row>
    <row r="738" spans="1:5" ht="12.75" customHeight="1">
      <c r="A738" s="20"/>
      <c r="B738" s="20"/>
      <c r="C738" s="20"/>
      <c r="D738" s="20"/>
      <c r="E738" s="20"/>
    </row>
    <row r="739" spans="1:5" ht="12.75" customHeight="1">
      <c r="A739" s="20"/>
      <c r="B739" s="20"/>
      <c r="C739" s="20"/>
      <c r="D739" s="20"/>
      <c r="E739" s="20"/>
    </row>
    <row r="740" spans="1:5" ht="12.75" customHeight="1">
      <c r="A740" s="20"/>
      <c r="B740" s="20"/>
      <c r="C740" s="20"/>
      <c r="D740" s="20"/>
      <c r="E740" s="20"/>
    </row>
    <row r="741" spans="1:5" ht="12.75" customHeight="1">
      <c r="A741" s="20"/>
      <c r="B741" s="20"/>
      <c r="C741" s="20"/>
      <c r="D741" s="20"/>
      <c r="E741" s="20"/>
    </row>
    <row r="742" spans="1:5" ht="12.75" customHeight="1">
      <c r="A742" s="20"/>
      <c r="B742" s="20"/>
      <c r="C742" s="20"/>
      <c r="D742" s="20"/>
      <c r="E742" s="20"/>
    </row>
    <row r="743" spans="1:5" ht="12.75" customHeight="1">
      <c r="A743" s="20"/>
      <c r="B743" s="20"/>
      <c r="C743" s="20"/>
      <c r="D743" s="20"/>
      <c r="E743" s="20"/>
    </row>
    <row r="744" spans="1:5" ht="12.75" customHeight="1">
      <c r="A744" s="20"/>
      <c r="B744" s="20"/>
      <c r="C744" s="20"/>
      <c r="D744" s="20"/>
      <c r="E744" s="20"/>
    </row>
    <row r="745" spans="1:5" ht="12.75" customHeight="1">
      <c r="A745" s="20"/>
      <c r="B745" s="20"/>
      <c r="C745" s="20"/>
      <c r="D745" s="20"/>
      <c r="E745" s="20"/>
    </row>
    <row r="746" spans="1:5" ht="12.75" customHeight="1">
      <c r="A746" s="20"/>
      <c r="B746" s="20"/>
      <c r="C746" s="20"/>
      <c r="D746" s="20"/>
      <c r="E746" s="20"/>
    </row>
    <row r="747" spans="1:5" ht="12.75" customHeight="1">
      <c r="A747" s="20"/>
      <c r="B747" s="20"/>
      <c r="C747" s="20"/>
      <c r="D747" s="20"/>
      <c r="E747" s="20"/>
    </row>
    <row r="748" spans="1:5" ht="12.75" customHeight="1">
      <c r="A748" s="20"/>
      <c r="B748" s="20"/>
      <c r="C748" s="20"/>
      <c r="D748" s="20"/>
      <c r="E748" s="20"/>
    </row>
    <row r="749" spans="1:5" ht="12.75" customHeight="1">
      <c r="A749" s="20"/>
      <c r="B749" s="20"/>
      <c r="C749" s="20"/>
      <c r="D749" s="20"/>
      <c r="E749" s="20"/>
    </row>
    <row r="750" spans="1:5" ht="12.75" customHeight="1">
      <c r="A750" s="20"/>
      <c r="B750" s="20"/>
      <c r="C750" s="20"/>
      <c r="D750" s="20"/>
      <c r="E750" s="20"/>
    </row>
    <row r="751" spans="1:5" ht="12.75" customHeight="1">
      <c r="A751" s="20"/>
      <c r="B751" s="20"/>
      <c r="C751" s="20"/>
      <c r="D751" s="20"/>
      <c r="E751" s="20"/>
    </row>
    <row r="752" spans="1:5" ht="12.75" customHeight="1">
      <c r="A752" s="20"/>
      <c r="B752" s="20"/>
      <c r="C752" s="20"/>
      <c r="D752" s="20"/>
      <c r="E752" s="20"/>
    </row>
    <row r="753" spans="1:5" ht="12.75" customHeight="1">
      <c r="A753" s="20"/>
      <c r="B753" s="20"/>
      <c r="C753" s="20"/>
      <c r="D753" s="20"/>
      <c r="E753" s="20"/>
    </row>
    <row r="754" spans="1:5" ht="12.75" customHeight="1">
      <c r="A754" s="20"/>
      <c r="B754" s="20"/>
      <c r="C754" s="20"/>
      <c r="D754" s="20"/>
      <c r="E754" s="20"/>
    </row>
    <row r="755" spans="1:5" ht="12.75" customHeight="1">
      <c r="A755" s="20"/>
      <c r="B755" s="20"/>
      <c r="C755" s="20"/>
      <c r="D755" s="20"/>
      <c r="E755" s="20"/>
    </row>
    <row r="756" spans="1:5" ht="12.75" customHeight="1">
      <c r="A756" s="20"/>
      <c r="B756" s="20"/>
      <c r="C756" s="20"/>
      <c r="D756" s="20"/>
      <c r="E756" s="20"/>
    </row>
    <row r="757" spans="1:5" ht="12.75" customHeight="1">
      <c r="A757" s="20"/>
      <c r="B757" s="20"/>
      <c r="C757" s="20"/>
      <c r="D757" s="20"/>
      <c r="E757" s="20"/>
    </row>
    <row r="758" spans="1:5" ht="12.75" customHeight="1">
      <c r="A758" s="20"/>
      <c r="B758" s="20"/>
      <c r="C758" s="20"/>
      <c r="D758" s="20"/>
      <c r="E758" s="20"/>
    </row>
    <row r="759" spans="1:5" ht="12.75" customHeight="1">
      <c r="A759" s="20"/>
      <c r="B759" s="20"/>
      <c r="C759" s="20"/>
      <c r="D759" s="20"/>
      <c r="E759" s="20"/>
    </row>
    <row r="760" spans="1:5" ht="12.75" customHeight="1">
      <c r="A760" s="20"/>
      <c r="B760" s="20"/>
      <c r="C760" s="20"/>
      <c r="D760" s="20"/>
      <c r="E760" s="20"/>
    </row>
    <row r="761" spans="1:5" ht="12.75" customHeight="1">
      <c r="A761" s="20"/>
      <c r="B761" s="20"/>
      <c r="C761" s="20"/>
      <c r="D761" s="20"/>
      <c r="E761" s="20"/>
    </row>
    <row r="762" spans="1:5" ht="12.75" customHeight="1">
      <c r="A762" s="20"/>
      <c r="B762" s="20"/>
      <c r="C762" s="20"/>
      <c r="D762" s="20"/>
      <c r="E762" s="20"/>
    </row>
    <row r="763" spans="1:5" ht="12.75" customHeight="1">
      <c r="A763" s="20"/>
      <c r="B763" s="20"/>
      <c r="C763" s="20"/>
      <c r="D763" s="20"/>
      <c r="E763" s="20"/>
    </row>
    <row r="764" spans="1:5" ht="12.75" customHeight="1">
      <c r="A764" s="20"/>
      <c r="B764" s="20"/>
      <c r="C764" s="20"/>
      <c r="D764" s="20"/>
      <c r="E764" s="20"/>
    </row>
    <row r="765" spans="1:5" ht="12.75" customHeight="1">
      <c r="A765" s="20"/>
      <c r="B765" s="20"/>
      <c r="C765" s="20"/>
      <c r="D765" s="20"/>
      <c r="E765" s="20"/>
    </row>
    <row r="766" spans="1:5" ht="12.75" customHeight="1">
      <c r="A766" s="20"/>
      <c r="B766" s="20"/>
      <c r="C766" s="20"/>
      <c r="D766" s="20"/>
      <c r="E766" s="20"/>
    </row>
    <row r="767" spans="1:5" ht="12.75" customHeight="1">
      <c r="A767" s="20"/>
      <c r="B767" s="20"/>
      <c r="C767" s="20"/>
      <c r="D767" s="20"/>
      <c r="E767" s="20"/>
    </row>
    <row r="768" spans="1:5" ht="12.75" customHeight="1">
      <c r="A768" s="20"/>
      <c r="B768" s="20"/>
      <c r="C768" s="20"/>
      <c r="D768" s="20"/>
      <c r="E768" s="20"/>
    </row>
    <row r="769" spans="1:5" ht="12.75" customHeight="1">
      <c r="A769" s="20"/>
      <c r="B769" s="20"/>
      <c r="C769" s="20"/>
      <c r="D769" s="20"/>
      <c r="E769" s="20"/>
    </row>
    <row r="770" spans="1:5" ht="12.75" customHeight="1">
      <c r="A770" s="20"/>
      <c r="B770" s="20"/>
      <c r="C770" s="20"/>
      <c r="D770" s="20"/>
      <c r="E770" s="20"/>
    </row>
    <row r="771" spans="1:5" ht="12.75" customHeight="1">
      <c r="A771" s="20"/>
      <c r="B771" s="20"/>
      <c r="C771" s="20"/>
      <c r="D771" s="20"/>
      <c r="E771" s="20"/>
    </row>
    <row r="772" spans="1:5" ht="12.75" customHeight="1">
      <c r="A772" s="20"/>
      <c r="B772" s="20"/>
      <c r="C772" s="20"/>
      <c r="D772" s="20"/>
      <c r="E772" s="20"/>
    </row>
    <row r="773" spans="1:5" ht="12.75" customHeight="1">
      <c r="A773" s="20"/>
      <c r="B773" s="20"/>
      <c r="C773" s="20"/>
      <c r="D773" s="20"/>
      <c r="E773" s="20"/>
    </row>
    <row r="774" spans="1:5" ht="12.75" customHeight="1">
      <c r="A774" s="20"/>
      <c r="B774" s="20"/>
      <c r="C774" s="20"/>
      <c r="D774" s="20"/>
      <c r="E774" s="20"/>
    </row>
    <row r="775" spans="1:5" ht="12.75" customHeight="1">
      <c r="A775" s="20"/>
      <c r="B775" s="20"/>
      <c r="C775" s="20"/>
      <c r="D775" s="20"/>
      <c r="E775" s="20"/>
    </row>
    <row r="776" spans="1:5" ht="12.75" customHeight="1">
      <c r="A776" s="20"/>
      <c r="B776" s="20"/>
      <c r="C776" s="20"/>
      <c r="D776" s="20"/>
      <c r="E776" s="20"/>
    </row>
    <row r="777" spans="1:5" ht="12.75" customHeight="1">
      <c r="A777" s="20"/>
      <c r="B777" s="20"/>
      <c r="C777" s="20"/>
      <c r="D777" s="20"/>
      <c r="E777" s="20"/>
    </row>
    <row r="778" spans="1:5" ht="12.75" customHeight="1">
      <c r="A778" s="20"/>
      <c r="B778" s="20"/>
      <c r="C778" s="20"/>
      <c r="D778" s="20"/>
      <c r="E778" s="20"/>
    </row>
    <row r="779" spans="1:5" ht="12.75" customHeight="1">
      <c r="A779" s="20"/>
      <c r="B779" s="20"/>
      <c r="C779" s="20"/>
      <c r="D779" s="20"/>
      <c r="E779" s="20"/>
    </row>
    <row r="780" spans="1:5" ht="12.75" customHeight="1">
      <c r="A780" s="20"/>
      <c r="B780" s="20"/>
      <c r="C780" s="20"/>
      <c r="D780" s="20"/>
      <c r="E780" s="20"/>
    </row>
    <row r="781" spans="1:5" ht="12.75" customHeight="1">
      <c r="A781" s="20"/>
      <c r="B781" s="20"/>
      <c r="C781" s="20"/>
      <c r="D781" s="20"/>
      <c r="E781" s="20"/>
    </row>
    <row r="782" spans="1:5" ht="12.75" customHeight="1">
      <c r="A782" s="20"/>
      <c r="B782" s="20"/>
      <c r="C782" s="20"/>
      <c r="D782" s="20"/>
      <c r="E782" s="20"/>
    </row>
    <row r="783" spans="1:5" ht="12.75" customHeight="1">
      <c r="A783" s="20"/>
      <c r="B783" s="20"/>
      <c r="C783" s="20"/>
      <c r="D783" s="20"/>
      <c r="E783" s="20"/>
    </row>
    <row r="784" spans="1:5" ht="12.75" customHeight="1">
      <c r="A784" s="20"/>
      <c r="B784" s="20"/>
      <c r="C784" s="20"/>
      <c r="D784" s="20"/>
      <c r="E784" s="20"/>
    </row>
    <row r="785" spans="1:5" ht="12.75" customHeight="1">
      <c r="A785" s="20"/>
      <c r="B785" s="20"/>
      <c r="C785" s="20"/>
      <c r="D785" s="20"/>
      <c r="E785" s="20"/>
    </row>
    <row r="786" spans="1:5" ht="12.75" customHeight="1">
      <c r="A786" s="20"/>
      <c r="B786" s="20"/>
      <c r="C786" s="20"/>
      <c r="D786" s="20"/>
      <c r="E786" s="20"/>
    </row>
    <row r="787" spans="1:5" ht="12.75" customHeight="1">
      <c r="A787" s="20"/>
      <c r="B787" s="20"/>
      <c r="C787" s="20"/>
      <c r="D787" s="20"/>
      <c r="E787" s="20"/>
    </row>
    <row r="788" spans="1:5" ht="12.75" customHeight="1">
      <c r="A788" s="20"/>
      <c r="B788" s="20"/>
      <c r="C788" s="20"/>
      <c r="D788" s="20"/>
      <c r="E788" s="20"/>
    </row>
    <row r="789" spans="1:5" ht="12.75" customHeight="1">
      <c r="A789" s="20"/>
      <c r="B789" s="20"/>
      <c r="C789" s="20"/>
      <c r="D789" s="20"/>
      <c r="E789" s="20"/>
    </row>
    <row r="790" spans="1:5" ht="12.75" customHeight="1">
      <c r="A790" s="20"/>
      <c r="B790" s="20"/>
      <c r="C790" s="20"/>
      <c r="D790" s="20"/>
      <c r="E790" s="20"/>
    </row>
    <row r="791" spans="1:5" ht="12.75" customHeight="1">
      <c r="A791" s="20"/>
      <c r="B791" s="20"/>
      <c r="C791" s="20"/>
      <c r="D791" s="20"/>
      <c r="E791" s="20"/>
    </row>
    <row r="792" spans="1:5" ht="12.75" customHeight="1">
      <c r="A792" s="20"/>
      <c r="B792" s="20"/>
      <c r="C792" s="20"/>
      <c r="D792" s="20"/>
      <c r="E792" s="20"/>
    </row>
    <row r="793" spans="1:5" ht="12.75" customHeight="1">
      <c r="A793" s="20"/>
      <c r="B793" s="20"/>
      <c r="C793" s="20"/>
      <c r="D793" s="20"/>
      <c r="E793" s="20"/>
    </row>
    <row r="794" spans="1:5" ht="12.75" customHeight="1">
      <c r="A794" s="20"/>
      <c r="B794" s="20"/>
      <c r="C794" s="20"/>
      <c r="D794" s="20"/>
      <c r="E794" s="20"/>
    </row>
    <row r="795" spans="1:5" ht="12.75" customHeight="1">
      <c r="A795" s="20"/>
      <c r="B795" s="20"/>
      <c r="C795" s="20"/>
      <c r="D795" s="20"/>
      <c r="E795" s="20"/>
    </row>
    <row r="796" spans="1:5" ht="12.75" customHeight="1">
      <c r="A796" s="20"/>
      <c r="B796" s="20"/>
      <c r="C796" s="20"/>
      <c r="D796" s="20"/>
      <c r="E796" s="20"/>
    </row>
    <row r="797" spans="1:5" ht="12.75" customHeight="1">
      <c r="A797" s="20"/>
      <c r="B797" s="20"/>
      <c r="C797" s="20"/>
      <c r="D797" s="20"/>
      <c r="E797" s="20"/>
    </row>
    <row r="798" spans="1:5" ht="12.75" customHeight="1">
      <c r="A798" s="20"/>
      <c r="B798" s="20"/>
      <c r="C798" s="20"/>
      <c r="D798" s="20"/>
      <c r="E798" s="20"/>
    </row>
    <row r="799" spans="1:5" ht="12.75" customHeight="1">
      <c r="A799" s="20"/>
      <c r="B799" s="20"/>
      <c r="C799" s="20"/>
      <c r="D799" s="20"/>
      <c r="E799" s="20"/>
    </row>
    <row r="800" spans="1:5" ht="12.75" customHeight="1">
      <c r="A800" s="20"/>
      <c r="B800" s="20"/>
      <c r="C800" s="20"/>
      <c r="D800" s="20"/>
      <c r="E800" s="20"/>
    </row>
    <row r="801" spans="1:5" ht="12.75" customHeight="1">
      <c r="A801" s="20"/>
      <c r="B801" s="20"/>
      <c r="C801" s="20"/>
      <c r="D801" s="20"/>
      <c r="E801" s="20"/>
    </row>
    <row r="802" spans="1:5" ht="12.75" customHeight="1">
      <c r="A802" s="20"/>
      <c r="B802" s="20"/>
      <c r="C802" s="20"/>
      <c r="D802" s="20"/>
      <c r="E802" s="20"/>
    </row>
    <row r="803" spans="1:5" ht="12.75" customHeight="1">
      <c r="A803" s="20"/>
      <c r="B803" s="20"/>
      <c r="C803" s="20"/>
      <c r="D803" s="20"/>
      <c r="E803" s="20"/>
    </row>
    <row r="804" spans="1:5" ht="12.75" customHeight="1">
      <c r="A804" s="20"/>
      <c r="B804" s="20"/>
      <c r="C804" s="20"/>
      <c r="D804" s="20"/>
      <c r="E804" s="20"/>
    </row>
    <row r="805" spans="1:5" ht="12.75" customHeight="1">
      <c r="A805" s="20"/>
      <c r="B805" s="20"/>
      <c r="C805" s="20"/>
      <c r="D805" s="20"/>
      <c r="E805" s="20"/>
    </row>
    <row r="806" spans="1:5" ht="12.75" customHeight="1">
      <c r="A806" s="20"/>
      <c r="B806" s="20"/>
      <c r="C806" s="20"/>
      <c r="D806" s="20"/>
      <c r="E806" s="20"/>
    </row>
    <row r="807" spans="1:5" ht="12.75" customHeight="1">
      <c r="A807" s="20"/>
      <c r="B807" s="20"/>
      <c r="C807" s="20"/>
      <c r="D807" s="20"/>
      <c r="E807" s="20"/>
    </row>
    <row r="808" spans="1:5" ht="12.75" customHeight="1">
      <c r="A808" s="20"/>
      <c r="B808" s="20"/>
      <c r="C808" s="20"/>
      <c r="D808" s="20"/>
      <c r="E808" s="20"/>
    </row>
    <row r="809" spans="1:5" ht="12.75" customHeight="1">
      <c r="A809" s="20"/>
      <c r="B809" s="20"/>
      <c r="C809" s="20"/>
      <c r="D809" s="20"/>
      <c r="E809" s="20"/>
    </row>
    <row r="810" spans="1:5" ht="12.75" customHeight="1">
      <c r="A810" s="20"/>
      <c r="B810" s="20"/>
      <c r="C810" s="20"/>
      <c r="D810" s="20"/>
      <c r="E810" s="20"/>
    </row>
    <row r="811" spans="1:5" ht="12.75" customHeight="1">
      <c r="A811" s="20"/>
      <c r="B811" s="20"/>
      <c r="C811" s="20"/>
      <c r="D811" s="20"/>
      <c r="E811" s="20"/>
    </row>
    <row r="812" spans="1:5" ht="12.75" customHeight="1">
      <c r="A812" s="20"/>
      <c r="B812" s="20"/>
      <c r="C812" s="20"/>
      <c r="D812" s="20"/>
      <c r="E812" s="20"/>
    </row>
    <row r="813" spans="1:5" ht="12.75" customHeight="1">
      <c r="A813" s="20"/>
      <c r="B813" s="20"/>
      <c r="C813" s="20"/>
      <c r="D813" s="20"/>
      <c r="E813" s="20"/>
    </row>
    <row r="814" spans="1:5" ht="12.75" customHeight="1">
      <c r="A814" s="20"/>
      <c r="B814" s="20"/>
      <c r="C814" s="20"/>
      <c r="D814" s="20"/>
      <c r="E814" s="20"/>
    </row>
    <row r="815" spans="1:5" ht="12.75" customHeight="1">
      <c r="A815" s="20"/>
      <c r="B815" s="20"/>
      <c r="C815" s="20"/>
      <c r="D815" s="20"/>
      <c r="E815" s="20"/>
    </row>
    <row r="816" spans="1:5" ht="12.75" customHeight="1">
      <c r="A816" s="20"/>
      <c r="B816" s="20"/>
      <c r="C816" s="20"/>
      <c r="D816" s="20"/>
      <c r="E816" s="20"/>
    </row>
    <row r="817" spans="1:5" ht="12.75" customHeight="1">
      <c r="A817" s="20"/>
      <c r="B817" s="20"/>
      <c r="C817" s="20"/>
      <c r="D817" s="20"/>
      <c r="E817" s="20"/>
    </row>
    <row r="818" spans="1:5" ht="12.75" customHeight="1">
      <c r="A818" s="20"/>
      <c r="B818" s="20"/>
      <c r="C818" s="20"/>
      <c r="D818" s="20"/>
      <c r="E818" s="20"/>
    </row>
    <row r="819" spans="1:5" ht="12.75" customHeight="1">
      <c r="A819" s="20"/>
      <c r="B819" s="20"/>
      <c r="C819" s="20"/>
      <c r="D819" s="20"/>
      <c r="E819" s="20"/>
    </row>
    <row r="820" spans="1:5" ht="12.75" customHeight="1">
      <c r="A820" s="20"/>
      <c r="B820" s="20"/>
      <c r="C820" s="20"/>
      <c r="D820" s="20"/>
      <c r="E820" s="20"/>
    </row>
    <row r="821" spans="1:5" ht="12.75" customHeight="1">
      <c r="A821" s="20"/>
      <c r="B821" s="20"/>
      <c r="C821" s="20"/>
      <c r="D821" s="20"/>
      <c r="E821" s="20"/>
    </row>
    <row r="822" spans="1:5" ht="12.75" customHeight="1">
      <c r="A822" s="20"/>
      <c r="B822" s="20"/>
      <c r="C822" s="20"/>
      <c r="D822" s="20"/>
      <c r="E822" s="20"/>
    </row>
    <row r="823" spans="1:5" ht="12.75" customHeight="1">
      <c r="A823" s="20"/>
      <c r="B823" s="20"/>
      <c r="C823" s="20"/>
      <c r="D823" s="20"/>
      <c r="E823" s="20"/>
    </row>
    <row r="824" spans="1:5" ht="12.75" customHeight="1">
      <c r="A824" s="20"/>
      <c r="B824" s="20"/>
      <c r="C824" s="20"/>
      <c r="D824" s="20"/>
      <c r="E824" s="20"/>
    </row>
    <row r="825" spans="1:5" ht="12.75" customHeight="1">
      <c r="A825" s="20"/>
      <c r="B825" s="20"/>
      <c r="C825" s="20"/>
      <c r="D825" s="20"/>
      <c r="E825" s="20"/>
    </row>
    <row r="826" spans="1:5" ht="12.75" customHeight="1">
      <c r="A826" s="20"/>
      <c r="B826" s="20"/>
      <c r="C826" s="20"/>
      <c r="D826" s="20"/>
      <c r="E826" s="20"/>
    </row>
    <row r="827" spans="1:5" ht="12.75" customHeight="1">
      <c r="A827" s="20"/>
      <c r="B827" s="20"/>
      <c r="C827" s="20"/>
      <c r="D827" s="20"/>
      <c r="E827" s="20"/>
    </row>
    <row r="828" spans="1:5" ht="12.75" customHeight="1">
      <c r="A828" s="20"/>
      <c r="B828" s="20"/>
      <c r="C828" s="20"/>
      <c r="D828" s="20"/>
      <c r="E828" s="20"/>
    </row>
    <row r="829" spans="1:5" ht="12.75" customHeight="1">
      <c r="A829" s="20"/>
      <c r="B829" s="20"/>
      <c r="C829" s="20"/>
      <c r="D829" s="20"/>
      <c r="E829" s="20"/>
    </row>
    <row r="830" spans="1:5" ht="12.75" customHeight="1">
      <c r="A830" s="20"/>
      <c r="B830" s="20"/>
      <c r="C830" s="20"/>
      <c r="D830" s="20"/>
      <c r="E830" s="20"/>
    </row>
    <row r="831" spans="1:5" ht="12.75" customHeight="1">
      <c r="A831" s="20"/>
      <c r="B831" s="20"/>
      <c r="C831" s="20"/>
      <c r="D831" s="20"/>
      <c r="E831" s="20"/>
    </row>
    <row r="832" spans="1:5" ht="12.75" customHeight="1">
      <c r="A832" s="20"/>
      <c r="B832" s="20"/>
      <c r="C832" s="20"/>
      <c r="D832" s="20"/>
      <c r="E832" s="20"/>
    </row>
    <row r="833" spans="1:5" ht="12.75" customHeight="1">
      <c r="A833" s="20"/>
      <c r="B833" s="20"/>
      <c r="C833" s="20"/>
      <c r="D833" s="20"/>
      <c r="E833" s="20"/>
    </row>
    <row r="834" spans="1:5" ht="12.75" customHeight="1">
      <c r="A834" s="20"/>
      <c r="B834" s="20"/>
      <c r="C834" s="20"/>
      <c r="D834" s="20"/>
      <c r="E834" s="20"/>
    </row>
    <row r="835" spans="1:5" ht="12.75" customHeight="1">
      <c r="A835" s="20"/>
      <c r="B835" s="20"/>
      <c r="C835" s="20"/>
      <c r="D835" s="20"/>
      <c r="E835" s="20"/>
    </row>
    <row r="836" spans="1:5" ht="12.75" customHeight="1">
      <c r="A836" s="20"/>
      <c r="B836" s="20"/>
      <c r="C836" s="20"/>
      <c r="D836" s="20"/>
      <c r="E836" s="20"/>
    </row>
    <row r="837" spans="1:5" ht="12.75" customHeight="1">
      <c r="A837" s="20"/>
      <c r="B837" s="20"/>
      <c r="C837" s="20"/>
      <c r="D837" s="20"/>
      <c r="E837" s="20"/>
    </row>
    <row r="838" spans="1:5" ht="12.75" customHeight="1">
      <c r="A838" s="20"/>
      <c r="B838" s="20"/>
      <c r="C838" s="20"/>
      <c r="D838" s="20"/>
      <c r="E838" s="20"/>
    </row>
    <row r="839" spans="1:5" ht="12.75" customHeight="1">
      <c r="A839" s="20"/>
      <c r="B839" s="20"/>
      <c r="C839" s="20"/>
      <c r="D839" s="20"/>
      <c r="E839" s="20"/>
    </row>
    <row r="840" spans="1:5" ht="12.75" customHeight="1">
      <c r="A840" s="20"/>
      <c r="B840" s="20"/>
      <c r="C840" s="20"/>
      <c r="D840" s="20"/>
      <c r="E840" s="20"/>
    </row>
    <row r="841" spans="1:5" ht="12.75" customHeight="1">
      <c r="A841" s="20"/>
      <c r="B841" s="20"/>
      <c r="C841" s="20"/>
      <c r="D841" s="20"/>
      <c r="E841" s="20"/>
    </row>
    <row r="842" spans="1:5" ht="12.75" customHeight="1">
      <c r="A842" s="20"/>
      <c r="B842" s="20"/>
      <c r="C842" s="20"/>
      <c r="D842" s="20"/>
      <c r="E842" s="20"/>
    </row>
    <row r="843" spans="1:5" ht="12.75" customHeight="1">
      <c r="A843" s="20"/>
      <c r="B843" s="20"/>
      <c r="C843" s="20"/>
      <c r="D843" s="20"/>
      <c r="E843" s="20"/>
    </row>
    <row r="844" spans="1:5" ht="12.75" customHeight="1">
      <c r="A844" s="20"/>
      <c r="B844" s="20"/>
      <c r="C844" s="20"/>
      <c r="D844" s="20"/>
      <c r="E844" s="20"/>
    </row>
    <row r="845" spans="1:5" ht="12.75" customHeight="1">
      <c r="A845" s="20"/>
      <c r="B845" s="20"/>
      <c r="C845" s="20"/>
      <c r="D845" s="20"/>
      <c r="E845" s="20"/>
    </row>
    <row r="846" spans="1:5" ht="12.75" customHeight="1">
      <c r="A846" s="20"/>
      <c r="B846" s="20"/>
      <c r="C846" s="20"/>
      <c r="D846" s="20"/>
      <c r="E846" s="20"/>
    </row>
    <row r="847" spans="1:5" ht="12.75" customHeight="1">
      <c r="A847" s="20"/>
      <c r="B847" s="20"/>
      <c r="C847" s="20"/>
      <c r="D847" s="20"/>
      <c r="E847" s="20"/>
    </row>
    <row r="848" spans="1:5" ht="12.75" customHeight="1">
      <c r="A848" s="20"/>
      <c r="B848" s="20"/>
      <c r="C848" s="20"/>
      <c r="D848" s="20"/>
      <c r="E848" s="20"/>
    </row>
    <row r="849" spans="1:5" ht="12.75" customHeight="1">
      <c r="A849" s="20"/>
      <c r="B849" s="20"/>
      <c r="C849" s="20"/>
      <c r="D849" s="20"/>
      <c r="E849" s="20"/>
    </row>
    <row r="850" spans="1:5" ht="12.75" customHeight="1">
      <c r="A850" s="20"/>
      <c r="B850" s="20"/>
      <c r="C850" s="20"/>
      <c r="D850" s="20"/>
      <c r="E850" s="20"/>
    </row>
    <row r="851" spans="1:5" ht="12.75" customHeight="1">
      <c r="A851" s="20"/>
      <c r="B851" s="20"/>
      <c r="C851" s="20"/>
      <c r="D851" s="20"/>
      <c r="E851" s="20"/>
    </row>
    <row r="852" spans="1:5" ht="12.75" customHeight="1">
      <c r="A852" s="20"/>
      <c r="B852" s="20"/>
      <c r="C852" s="20"/>
      <c r="D852" s="20"/>
      <c r="E852" s="20"/>
    </row>
    <row r="853" spans="1:5" ht="12.75" customHeight="1">
      <c r="A853" s="20"/>
      <c r="B853" s="20"/>
      <c r="C853" s="20"/>
      <c r="D853" s="20"/>
      <c r="E853" s="20"/>
    </row>
    <row r="854" spans="1:5" ht="12.75" customHeight="1">
      <c r="A854" s="20"/>
      <c r="B854" s="20"/>
      <c r="C854" s="20"/>
      <c r="D854" s="20"/>
      <c r="E854" s="20"/>
    </row>
    <row r="855" spans="1:5" ht="12.75" customHeight="1">
      <c r="A855" s="20"/>
      <c r="B855" s="20"/>
      <c r="C855" s="20"/>
      <c r="D855" s="20"/>
      <c r="E855" s="20"/>
    </row>
    <row r="856" spans="1:5" ht="12.75" customHeight="1">
      <c r="A856" s="20"/>
      <c r="B856" s="20"/>
      <c r="C856" s="20"/>
      <c r="D856" s="20"/>
      <c r="E856" s="20"/>
    </row>
    <row r="857" spans="1:5" ht="12.75" customHeight="1">
      <c r="A857" s="20"/>
      <c r="B857" s="20"/>
      <c r="C857" s="20"/>
      <c r="D857" s="20"/>
      <c r="E857" s="20"/>
    </row>
    <row r="858" spans="1:5" ht="12.75" customHeight="1">
      <c r="A858" s="20"/>
      <c r="B858" s="20"/>
      <c r="C858" s="20"/>
      <c r="D858" s="20"/>
      <c r="E858" s="20"/>
    </row>
    <row r="859" spans="1:5" ht="12.75" customHeight="1">
      <c r="A859" s="20"/>
      <c r="B859" s="20"/>
      <c r="C859" s="20"/>
      <c r="D859" s="20"/>
      <c r="E859" s="20"/>
    </row>
    <row r="860" spans="1:5" ht="12.75" customHeight="1">
      <c r="A860" s="20"/>
      <c r="B860" s="20"/>
      <c r="C860" s="20"/>
      <c r="D860" s="20"/>
      <c r="E860" s="20"/>
    </row>
    <row r="861" spans="1:5" ht="12.75" customHeight="1">
      <c r="A861" s="20"/>
      <c r="B861" s="20"/>
      <c r="C861" s="20"/>
      <c r="D861" s="20"/>
      <c r="E861" s="20"/>
    </row>
    <row r="862" spans="1:5" ht="12.75" customHeight="1">
      <c r="A862" s="20"/>
      <c r="B862" s="20"/>
      <c r="C862" s="20"/>
      <c r="D862" s="20"/>
      <c r="E862" s="20"/>
    </row>
    <row r="863" spans="1:5" ht="12.75" customHeight="1">
      <c r="A863" s="20"/>
      <c r="B863" s="20"/>
      <c r="C863" s="20"/>
      <c r="D863" s="20"/>
      <c r="E863" s="20"/>
    </row>
    <row r="864" spans="1:5" ht="12.75" customHeight="1">
      <c r="A864" s="20"/>
      <c r="B864" s="20"/>
      <c r="C864" s="20"/>
      <c r="D864" s="20"/>
      <c r="E864" s="20"/>
    </row>
    <row r="865" spans="1:5" ht="12.75" customHeight="1">
      <c r="A865" s="20"/>
      <c r="B865" s="20"/>
      <c r="C865" s="20"/>
      <c r="D865" s="20"/>
      <c r="E865" s="20"/>
    </row>
    <row r="866" spans="1:5" ht="12.75" customHeight="1">
      <c r="A866" s="20"/>
      <c r="B866" s="20"/>
      <c r="C866" s="20"/>
      <c r="D866" s="20"/>
      <c r="E866" s="20"/>
    </row>
    <row r="867" spans="1:5" ht="12.75" customHeight="1">
      <c r="A867" s="20"/>
      <c r="B867" s="20"/>
      <c r="C867" s="20"/>
      <c r="D867" s="20"/>
      <c r="E867" s="20"/>
    </row>
    <row r="868" spans="1:5" ht="12.75" customHeight="1">
      <c r="A868" s="20"/>
      <c r="B868" s="20"/>
      <c r="C868" s="20"/>
      <c r="D868" s="20"/>
      <c r="E868" s="20"/>
    </row>
    <row r="869" spans="1:5" ht="12.75" customHeight="1">
      <c r="A869" s="20"/>
      <c r="B869" s="20"/>
      <c r="C869" s="20"/>
      <c r="D869" s="20"/>
      <c r="E869" s="20"/>
    </row>
    <row r="870" spans="1:5" ht="12.75" customHeight="1">
      <c r="A870" s="20"/>
      <c r="B870" s="20"/>
      <c r="C870" s="20"/>
      <c r="D870" s="20"/>
      <c r="E870" s="20"/>
    </row>
    <row r="871" spans="1:5" ht="12.75" customHeight="1">
      <c r="A871" s="20"/>
      <c r="B871" s="20"/>
      <c r="C871" s="20"/>
      <c r="D871" s="20"/>
      <c r="E871" s="20"/>
    </row>
    <row r="872" spans="1:5" ht="12.75" customHeight="1">
      <c r="A872" s="20"/>
      <c r="B872" s="20"/>
      <c r="C872" s="20"/>
      <c r="D872" s="20"/>
      <c r="E872" s="20"/>
    </row>
    <row r="873" spans="1:5" ht="12.75" customHeight="1">
      <c r="A873" s="20"/>
      <c r="B873" s="20"/>
      <c r="C873" s="20"/>
      <c r="D873" s="20"/>
      <c r="E873" s="20"/>
    </row>
    <row r="874" spans="1:5" ht="12.75" customHeight="1">
      <c r="A874" s="20"/>
      <c r="B874" s="20"/>
      <c r="C874" s="20"/>
      <c r="D874" s="20"/>
      <c r="E874" s="20"/>
    </row>
    <row r="875" spans="1:5" ht="12.75" customHeight="1">
      <c r="A875" s="20"/>
      <c r="B875" s="20"/>
      <c r="C875" s="20"/>
      <c r="D875" s="20"/>
      <c r="E875" s="20"/>
    </row>
    <row r="876" spans="1:5" ht="12.75" customHeight="1">
      <c r="A876" s="20"/>
      <c r="B876" s="20"/>
      <c r="C876" s="20"/>
      <c r="D876" s="20"/>
      <c r="E876" s="20"/>
    </row>
    <row r="877" spans="1:5" ht="12.75" customHeight="1">
      <c r="A877" s="20"/>
      <c r="B877" s="20"/>
      <c r="C877" s="20"/>
      <c r="D877" s="20"/>
      <c r="E877" s="20"/>
    </row>
    <row r="878" spans="1:5" ht="12.75" customHeight="1">
      <c r="A878" s="20"/>
      <c r="B878" s="20"/>
      <c r="C878" s="20"/>
      <c r="D878" s="20"/>
      <c r="E878" s="20"/>
    </row>
    <row r="879" spans="1:5" ht="12.75" customHeight="1">
      <c r="A879" s="20"/>
      <c r="B879" s="20"/>
      <c r="C879" s="20"/>
      <c r="D879" s="20"/>
      <c r="E879" s="20"/>
    </row>
    <row r="880" spans="1:5" ht="12.75" customHeight="1">
      <c r="A880" s="20"/>
      <c r="B880" s="20"/>
      <c r="C880" s="20"/>
      <c r="D880" s="20"/>
      <c r="E880" s="20"/>
    </row>
    <row r="881" spans="1:5" ht="12.75" customHeight="1">
      <c r="A881" s="20"/>
      <c r="B881" s="20"/>
      <c r="C881" s="20"/>
      <c r="D881" s="20"/>
      <c r="E881" s="20"/>
    </row>
    <row r="882" spans="1:5" ht="12.75" customHeight="1">
      <c r="A882" s="20"/>
      <c r="B882" s="20"/>
      <c r="C882" s="20"/>
      <c r="D882" s="20"/>
      <c r="E882" s="20"/>
    </row>
    <row r="883" spans="1:5" ht="12.75" customHeight="1">
      <c r="A883" s="20"/>
      <c r="B883" s="20"/>
      <c r="C883" s="20"/>
      <c r="D883" s="20"/>
      <c r="E883" s="20"/>
    </row>
    <row r="884" spans="1:5" ht="12.75" customHeight="1">
      <c r="A884" s="20"/>
      <c r="B884" s="20"/>
      <c r="C884" s="20"/>
      <c r="D884" s="20"/>
      <c r="E884" s="20"/>
    </row>
    <row r="885" spans="1:5" ht="12.75" customHeight="1">
      <c r="A885" s="20"/>
      <c r="B885" s="20"/>
      <c r="C885" s="20"/>
      <c r="D885" s="20"/>
      <c r="E885" s="20"/>
    </row>
    <row r="886" spans="1:5" ht="12.75" customHeight="1">
      <c r="A886" s="20"/>
      <c r="B886" s="20"/>
      <c r="C886" s="20"/>
      <c r="D886" s="20"/>
      <c r="E886" s="20"/>
    </row>
    <row r="887" spans="1:5" ht="12.75" customHeight="1">
      <c r="A887" s="20"/>
      <c r="B887" s="20"/>
      <c r="C887" s="20"/>
      <c r="D887" s="20"/>
      <c r="E887" s="20"/>
    </row>
    <row r="888" spans="1:5" ht="12.75" customHeight="1">
      <c r="A888" s="20"/>
      <c r="B888" s="20"/>
      <c r="C888" s="20"/>
      <c r="D888" s="20"/>
      <c r="E888" s="20"/>
    </row>
    <row r="889" spans="1:5" ht="12.75" customHeight="1">
      <c r="A889" s="20"/>
      <c r="B889" s="20"/>
      <c r="C889" s="20"/>
      <c r="D889" s="20"/>
      <c r="E889" s="20"/>
    </row>
    <row r="890" spans="1:5" ht="12.75" customHeight="1">
      <c r="A890" s="20"/>
      <c r="B890" s="20"/>
      <c r="C890" s="20"/>
      <c r="D890" s="20"/>
      <c r="E890" s="20"/>
    </row>
    <row r="891" spans="1:5" ht="12.75" customHeight="1">
      <c r="A891" s="20"/>
      <c r="B891" s="20"/>
      <c r="C891" s="20"/>
      <c r="D891" s="20"/>
      <c r="E891" s="20"/>
    </row>
    <row r="892" spans="1:5" ht="12.75" customHeight="1">
      <c r="A892" s="20"/>
      <c r="B892" s="20"/>
      <c r="C892" s="20"/>
      <c r="D892" s="20"/>
      <c r="E892" s="20"/>
    </row>
    <row r="893" spans="1:5" ht="12.75" customHeight="1">
      <c r="A893" s="20"/>
      <c r="B893" s="20"/>
      <c r="C893" s="20"/>
      <c r="D893" s="20"/>
      <c r="E893" s="20"/>
    </row>
    <row r="894" spans="1:5" ht="12.75" customHeight="1">
      <c r="A894" s="20"/>
      <c r="B894" s="20"/>
      <c r="C894" s="20"/>
      <c r="D894" s="20"/>
      <c r="E894" s="20"/>
    </row>
    <row r="895" spans="1:5" ht="12.75" customHeight="1">
      <c r="A895" s="20"/>
      <c r="B895" s="20"/>
      <c r="C895" s="20"/>
      <c r="D895" s="20"/>
      <c r="E895" s="20"/>
    </row>
    <row r="896" spans="1:5" ht="12.75" customHeight="1">
      <c r="A896" s="20"/>
      <c r="B896" s="20"/>
      <c r="C896" s="20"/>
      <c r="D896" s="20"/>
      <c r="E896" s="20"/>
    </row>
    <row r="897" spans="1:5" ht="12.75" customHeight="1">
      <c r="A897" s="20"/>
      <c r="B897" s="20"/>
      <c r="C897" s="20"/>
      <c r="D897" s="20"/>
      <c r="E897" s="20"/>
    </row>
    <row r="898" spans="1:5" ht="12.75" customHeight="1">
      <c r="A898" s="20"/>
      <c r="B898" s="20"/>
      <c r="C898" s="20"/>
      <c r="D898" s="20"/>
      <c r="E898" s="20"/>
    </row>
    <row r="899" spans="1:5" ht="12.75" customHeight="1">
      <c r="A899" s="20"/>
      <c r="B899" s="20"/>
      <c r="C899" s="20"/>
      <c r="D899" s="20"/>
      <c r="E899" s="20"/>
    </row>
    <row r="900" spans="1:5" ht="12.75" customHeight="1">
      <c r="A900" s="20"/>
      <c r="B900" s="20"/>
      <c r="C900" s="20"/>
      <c r="D900" s="20"/>
      <c r="E900" s="20"/>
    </row>
    <row r="901" spans="1:5" ht="12.75" customHeight="1">
      <c r="A901" s="20"/>
      <c r="B901" s="20"/>
      <c r="C901" s="20"/>
      <c r="D901" s="20"/>
      <c r="E901" s="20"/>
    </row>
    <row r="902" spans="1:5" ht="12.75" customHeight="1">
      <c r="A902" s="20"/>
      <c r="B902" s="20"/>
      <c r="C902" s="20"/>
      <c r="D902" s="20"/>
      <c r="E902" s="20"/>
    </row>
    <row r="903" spans="1:5" ht="12.75" customHeight="1">
      <c r="A903" s="20"/>
      <c r="B903" s="20"/>
      <c r="C903" s="20"/>
      <c r="D903" s="20"/>
      <c r="E903" s="20"/>
    </row>
    <row r="904" spans="1:5" ht="12.75" customHeight="1">
      <c r="A904" s="20"/>
      <c r="B904" s="20"/>
      <c r="C904" s="20"/>
      <c r="D904" s="20"/>
      <c r="E904" s="20"/>
    </row>
    <row r="905" spans="1:5" ht="12.75" customHeight="1">
      <c r="A905" s="20"/>
      <c r="B905" s="20"/>
      <c r="C905" s="20"/>
      <c r="D905" s="20"/>
      <c r="E905" s="20"/>
    </row>
    <row r="906" spans="1:5" ht="12.75" customHeight="1">
      <c r="A906" s="20"/>
      <c r="B906" s="20"/>
      <c r="C906" s="20"/>
      <c r="D906" s="20"/>
      <c r="E906" s="20"/>
    </row>
    <row r="907" spans="1:5" ht="12.75" customHeight="1">
      <c r="A907" s="20"/>
      <c r="B907" s="20"/>
      <c r="C907" s="20"/>
      <c r="D907" s="20"/>
      <c r="E907" s="20"/>
    </row>
    <row r="908" spans="1:5" ht="12.75" customHeight="1">
      <c r="A908" s="20"/>
      <c r="B908" s="20"/>
      <c r="C908" s="20"/>
      <c r="D908" s="20"/>
      <c r="E908" s="20"/>
    </row>
    <row r="909" spans="1:5" ht="12.75" customHeight="1">
      <c r="A909" s="20"/>
      <c r="B909" s="20"/>
      <c r="C909" s="20"/>
      <c r="D909" s="20"/>
      <c r="E909" s="20"/>
    </row>
    <row r="910" spans="1:5" ht="12.75" customHeight="1">
      <c r="A910" s="20"/>
      <c r="B910" s="20"/>
      <c r="C910" s="20"/>
      <c r="D910" s="20"/>
      <c r="E910" s="20"/>
    </row>
    <row r="911" spans="1:5" ht="12.75" customHeight="1">
      <c r="A911" s="20"/>
      <c r="B911" s="20"/>
      <c r="C911" s="20"/>
      <c r="D911" s="20"/>
      <c r="E911" s="20"/>
    </row>
    <row r="912" spans="1:5" ht="12.75" customHeight="1">
      <c r="A912" s="20"/>
      <c r="B912" s="20"/>
      <c r="C912" s="20"/>
      <c r="D912" s="20"/>
      <c r="E912" s="20"/>
    </row>
    <row r="913" spans="1:5" ht="12.75" customHeight="1">
      <c r="A913" s="20"/>
      <c r="B913" s="20"/>
      <c r="C913" s="20"/>
      <c r="D913" s="20"/>
      <c r="E913" s="20"/>
    </row>
    <row r="914" spans="1:5" ht="12.75" customHeight="1">
      <c r="A914" s="20"/>
      <c r="B914" s="20"/>
      <c r="C914" s="20"/>
      <c r="D914" s="20"/>
      <c r="E914" s="20"/>
    </row>
    <row r="915" spans="1:5" ht="12.75" customHeight="1">
      <c r="A915" s="20"/>
      <c r="B915" s="20"/>
      <c r="C915" s="20"/>
      <c r="D915" s="20"/>
      <c r="E915" s="20"/>
    </row>
    <row r="916" spans="1:5" ht="12.75" customHeight="1">
      <c r="A916" s="20"/>
      <c r="B916" s="20"/>
      <c r="C916" s="20"/>
      <c r="D916" s="20"/>
      <c r="E916" s="20"/>
    </row>
    <row r="917" spans="1:5" ht="12.75" customHeight="1">
      <c r="A917" s="20"/>
      <c r="B917" s="20"/>
      <c r="C917" s="20"/>
      <c r="D917" s="20"/>
      <c r="E917" s="20"/>
    </row>
    <row r="918" spans="1:5" ht="12.75" customHeight="1">
      <c r="A918" s="20"/>
      <c r="B918" s="20"/>
      <c r="C918" s="20"/>
      <c r="D918" s="20"/>
      <c r="E918" s="20"/>
    </row>
    <row r="919" spans="1:5" ht="12.75" customHeight="1">
      <c r="A919" s="20"/>
      <c r="B919" s="20"/>
      <c r="C919" s="20"/>
      <c r="D919" s="20"/>
      <c r="E919" s="20"/>
    </row>
    <row r="920" spans="1:5" ht="12.75" customHeight="1">
      <c r="A920" s="20"/>
      <c r="B920" s="20"/>
      <c r="C920" s="20"/>
      <c r="D920" s="20"/>
      <c r="E920" s="20"/>
    </row>
    <row r="921" spans="1:5" ht="12.75" customHeight="1">
      <c r="A921" s="20"/>
      <c r="B921" s="20"/>
      <c r="C921" s="20"/>
      <c r="D921" s="20"/>
      <c r="E921" s="20"/>
    </row>
    <row r="922" spans="1:5" ht="12.75" customHeight="1">
      <c r="A922" s="20"/>
      <c r="B922" s="20"/>
      <c r="C922" s="20"/>
      <c r="D922" s="20"/>
      <c r="E922" s="20"/>
    </row>
    <row r="923" spans="1:5" ht="12.75" customHeight="1">
      <c r="A923" s="20"/>
      <c r="B923" s="20"/>
      <c r="C923" s="20"/>
      <c r="D923" s="20"/>
      <c r="E923" s="20"/>
    </row>
    <row r="924" spans="1:5" ht="12.75" customHeight="1">
      <c r="A924" s="20"/>
      <c r="B924" s="20"/>
      <c r="C924" s="20"/>
      <c r="D924" s="20"/>
      <c r="E924" s="20"/>
    </row>
    <row r="925" spans="1:5" ht="12.75" customHeight="1">
      <c r="A925" s="20"/>
      <c r="B925" s="20"/>
      <c r="C925" s="20"/>
      <c r="D925" s="20"/>
      <c r="E925" s="20"/>
    </row>
    <row r="926" spans="1:5" ht="12.75" customHeight="1">
      <c r="A926" s="20"/>
      <c r="B926" s="20"/>
      <c r="C926" s="20"/>
      <c r="D926" s="20"/>
      <c r="E926" s="20"/>
    </row>
    <row r="927" spans="1:5" ht="12.75" customHeight="1">
      <c r="A927" s="20"/>
      <c r="B927" s="20"/>
      <c r="C927" s="20"/>
      <c r="D927" s="20"/>
      <c r="E927" s="20"/>
    </row>
    <row r="928" spans="1:5" ht="12.75" customHeight="1">
      <c r="A928" s="20"/>
      <c r="B928" s="20"/>
      <c r="C928" s="20"/>
      <c r="D928" s="20"/>
      <c r="E928" s="20"/>
    </row>
    <row r="929" spans="1:5" ht="12.75" customHeight="1">
      <c r="A929" s="20"/>
      <c r="B929" s="20"/>
      <c r="C929" s="20"/>
      <c r="D929" s="20"/>
      <c r="E929" s="20"/>
    </row>
    <row r="930" spans="1:5" ht="12.75" customHeight="1">
      <c r="A930" s="20"/>
      <c r="B930" s="20"/>
      <c r="C930" s="20"/>
      <c r="D930" s="20"/>
      <c r="E930" s="20"/>
    </row>
    <row r="931" spans="1:5" ht="12.75" customHeight="1">
      <c r="A931" s="20"/>
      <c r="B931" s="20"/>
      <c r="C931" s="20"/>
      <c r="D931" s="20"/>
      <c r="E931" s="20"/>
    </row>
    <row r="932" spans="1:5" ht="12.75" customHeight="1">
      <c r="A932" s="20"/>
      <c r="B932" s="20"/>
      <c r="C932" s="20"/>
      <c r="D932" s="20"/>
      <c r="E932" s="20"/>
    </row>
    <row r="933" spans="1:5" ht="12.75" customHeight="1">
      <c r="A933" s="20"/>
      <c r="B933" s="20"/>
      <c r="C933" s="20"/>
      <c r="D933" s="20"/>
      <c r="E933" s="20"/>
    </row>
    <row r="934" spans="1:5" ht="12.75" customHeight="1">
      <c r="A934" s="20"/>
      <c r="B934" s="20"/>
      <c r="C934" s="20"/>
      <c r="D934" s="20"/>
      <c r="E934" s="20"/>
    </row>
    <row r="935" spans="1:5" ht="12.75" customHeight="1">
      <c r="A935" s="20"/>
      <c r="B935" s="20"/>
      <c r="C935" s="20"/>
      <c r="D935" s="20"/>
      <c r="E935" s="20"/>
    </row>
    <row r="936" spans="1:5" ht="12.75" customHeight="1">
      <c r="A936" s="20"/>
      <c r="B936" s="20"/>
      <c r="C936" s="20"/>
      <c r="D936" s="20"/>
      <c r="E936" s="20"/>
    </row>
    <row r="937" spans="1:5" ht="12.75" customHeight="1">
      <c r="A937" s="20"/>
      <c r="B937" s="20"/>
      <c r="C937" s="20"/>
      <c r="D937" s="20"/>
      <c r="E937" s="20"/>
    </row>
    <row r="938" spans="1:5" ht="12.75" customHeight="1">
      <c r="A938" s="20"/>
      <c r="B938" s="20"/>
      <c r="C938" s="20"/>
      <c r="D938" s="20"/>
      <c r="E938" s="20"/>
    </row>
    <row r="939" spans="1:5" ht="12.75" customHeight="1">
      <c r="A939" s="20"/>
      <c r="B939" s="20"/>
      <c r="C939" s="20"/>
      <c r="D939" s="20"/>
      <c r="E939" s="20"/>
    </row>
    <row r="940" spans="1:5" ht="12.75" customHeight="1">
      <c r="A940" s="20"/>
      <c r="B940" s="20"/>
      <c r="C940" s="20"/>
      <c r="D940" s="20"/>
      <c r="E940" s="20"/>
    </row>
    <row r="941" spans="1:5" ht="12.75" customHeight="1">
      <c r="A941" s="20"/>
      <c r="B941" s="20"/>
      <c r="C941" s="20"/>
      <c r="D941" s="20"/>
      <c r="E941" s="20"/>
    </row>
    <row r="942" spans="1:5" ht="12.75" customHeight="1">
      <c r="A942" s="20"/>
      <c r="B942" s="20"/>
      <c r="C942" s="20"/>
      <c r="D942" s="20"/>
      <c r="E942" s="20"/>
    </row>
    <row r="943" spans="1:5" ht="12.75" customHeight="1">
      <c r="A943" s="20"/>
      <c r="B943" s="20"/>
      <c r="C943" s="20"/>
      <c r="D943" s="20"/>
      <c r="E943" s="20"/>
    </row>
    <row r="944" spans="1:5" ht="12.75" customHeight="1">
      <c r="A944" s="20"/>
      <c r="B944" s="20"/>
      <c r="C944" s="20"/>
      <c r="D944" s="20"/>
      <c r="E944" s="20"/>
    </row>
    <row r="945" spans="1:5" ht="12.75" customHeight="1">
      <c r="A945" s="20"/>
      <c r="B945" s="20"/>
      <c r="C945" s="20"/>
      <c r="D945" s="20"/>
      <c r="E945" s="20"/>
    </row>
    <row r="946" spans="1:5" ht="12.75" customHeight="1">
      <c r="A946" s="20"/>
      <c r="B946" s="20"/>
      <c r="C946" s="20"/>
      <c r="D946" s="20"/>
      <c r="E946" s="20"/>
    </row>
    <row r="947" spans="1:5" ht="12.75" customHeight="1">
      <c r="A947" s="20"/>
      <c r="B947" s="20"/>
      <c r="C947" s="20"/>
      <c r="D947" s="20"/>
      <c r="E947" s="20"/>
    </row>
    <row r="948" spans="1:5" ht="12.75" customHeight="1">
      <c r="A948" s="20"/>
      <c r="B948" s="20"/>
      <c r="C948" s="20"/>
      <c r="D948" s="20"/>
      <c r="E948" s="20"/>
    </row>
    <row r="949" spans="1:5" ht="12.75" customHeight="1">
      <c r="A949" s="20"/>
      <c r="B949" s="20"/>
      <c r="C949" s="20"/>
      <c r="D949" s="20"/>
      <c r="E949" s="20"/>
    </row>
    <row r="950" spans="1:5" ht="12.75" customHeight="1">
      <c r="A950" s="20"/>
      <c r="B950" s="20"/>
      <c r="C950" s="20"/>
      <c r="D950" s="20"/>
      <c r="E950" s="20"/>
    </row>
    <row r="951" spans="1:5" ht="12.75" customHeight="1">
      <c r="A951" s="20"/>
      <c r="B951" s="20"/>
      <c r="C951" s="20"/>
      <c r="D951" s="20"/>
      <c r="E951" s="20"/>
    </row>
    <row r="952" spans="1:5" ht="12.75" customHeight="1">
      <c r="A952" s="20"/>
      <c r="B952" s="20"/>
      <c r="C952" s="20"/>
      <c r="D952" s="20"/>
      <c r="E952" s="20"/>
    </row>
    <row r="953" spans="1:5" ht="12.75" customHeight="1">
      <c r="A953" s="20"/>
      <c r="B953" s="20"/>
      <c r="C953" s="20"/>
      <c r="D953" s="20"/>
      <c r="E953" s="20"/>
    </row>
    <row r="954" spans="1:5" ht="12.75" customHeight="1">
      <c r="A954" s="20"/>
      <c r="B954" s="20"/>
      <c r="C954" s="20"/>
      <c r="D954" s="20"/>
      <c r="E954" s="20"/>
    </row>
    <row r="955" spans="1:5" ht="12.75" customHeight="1">
      <c r="A955" s="20"/>
      <c r="B955" s="20"/>
      <c r="C955" s="20"/>
      <c r="D955" s="20"/>
      <c r="E955" s="20"/>
    </row>
    <row r="956" spans="1:5" ht="12.75" customHeight="1">
      <c r="A956" s="20"/>
      <c r="B956" s="20"/>
      <c r="C956" s="20"/>
      <c r="D956" s="20"/>
      <c r="E956" s="20"/>
    </row>
    <row r="957" spans="1:5" ht="12.75" customHeight="1">
      <c r="A957" s="20"/>
      <c r="B957" s="20"/>
      <c r="C957" s="20"/>
      <c r="D957" s="20"/>
      <c r="E957" s="20"/>
    </row>
    <row r="958" spans="1:5" ht="12.75" customHeight="1">
      <c r="A958" s="20"/>
      <c r="B958" s="20"/>
      <c r="C958" s="20"/>
      <c r="D958" s="20"/>
      <c r="E958" s="20"/>
    </row>
    <row r="959" spans="1:5" ht="12.75" customHeight="1">
      <c r="A959" s="20"/>
      <c r="B959" s="20"/>
      <c r="C959" s="20"/>
      <c r="D959" s="20"/>
      <c r="E959" s="20"/>
    </row>
    <row r="960" spans="1:5" ht="12.75" customHeight="1">
      <c r="A960" s="20"/>
      <c r="B960" s="20"/>
      <c r="C960" s="20"/>
      <c r="D960" s="20"/>
      <c r="E960" s="20"/>
    </row>
    <row r="961" spans="1:5" ht="12.75" customHeight="1">
      <c r="A961" s="20"/>
      <c r="B961" s="20"/>
      <c r="C961" s="20"/>
      <c r="D961" s="20"/>
      <c r="E961" s="20"/>
    </row>
    <row r="962" spans="1:5" ht="12.75" customHeight="1">
      <c r="A962" s="20"/>
      <c r="B962" s="20"/>
      <c r="C962" s="20"/>
      <c r="D962" s="20"/>
      <c r="E962" s="20"/>
    </row>
    <row r="963" spans="1:5" ht="12.75" customHeight="1">
      <c r="A963" s="20"/>
      <c r="B963" s="20"/>
      <c r="C963" s="20"/>
      <c r="D963" s="20"/>
      <c r="E963" s="20"/>
    </row>
    <row r="964" spans="1:5" ht="12.75" customHeight="1">
      <c r="A964" s="20"/>
      <c r="B964" s="20"/>
      <c r="C964" s="20"/>
      <c r="D964" s="20"/>
      <c r="E964" s="20"/>
    </row>
    <row r="965" spans="1:5" ht="12.75" customHeight="1">
      <c r="A965" s="20"/>
      <c r="B965" s="20"/>
      <c r="C965" s="20"/>
      <c r="D965" s="20"/>
      <c r="E965" s="20"/>
    </row>
    <row r="966" spans="1:5" ht="12.75" customHeight="1">
      <c r="A966" s="20"/>
      <c r="B966" s="20"/>
      <c r="C966" s="20"/>
      <c r="D966" s="20"/>
      <c r="E966" s="20"/>
    </row>
    <row r="967" spans="1:5" ht="12.75" customHeight="1">
      <c r="A967" s="20"/>
      <c r="B967" s="20"/>
      <c r="C967" s="20"/>
      <c r="D967" s="20"/>
      <c r="E967" s="20"/>
    </row>
    <row r="968" spans="1:5" ht="12.75" customHeight="1">
      <c r="A968" s="20"/>
      <c r="B968" s="20"/>
      <c r="C968" s="20"/>
      <c r="D968" s="20"/>
      <c r="E968" s="20"/>
    </row>
    <row r="969" spans="1:5" ht="12.75" customHeight="1">
      <c r="A969" s="20"/>
      <c r="B969" s="20"/>
      <c r="C969" s="20"/>
      <c r="D969" s="20"/>
      <c r="E969" s="20"/>
    </row>
    <row r="970" spans="1:5" ht="12.75" customHeight="1">
      <c r="A970" s="20"/>
      <c r="B970" s="20"/>
      <c r="C970" s="20"/>
      <c r="D970" s="20"/>
      <c r="E970" s="20"/>
    </row>
    <row r="971" spans="1:5" ht="12.75" customHeight="1">
      <c r="A971" s="20"/>
      <c r="B971" s="20"/>
      <c r="C971" s="20"/>
      <c r="D971" s="20"/>
      <c r="E971" s="20"/>
    </row>
    <row r="972" spans="1:5" ht="12.75" customHeight="1">
      <c r="A972" s="20"/>
      <c r="B972" s="20"/>
      <c r="C972" s="20"/>
      <c r="D972" s="20"/>
      <c r="E972" s="20"/>
    </row>
    <row r="973" spans="1:5" ht="12.75" customHeight="1">
      <c r="A973" s="20"/>
      <c r="B973" s="20"/>
      <c r="C973" s="20"/>
      <c r="D973" s="20"/>
      <c r="E973" s="20"/>
    </row>
    <row r="974" spans="1:5" ht="12.75" customHeight="1">
      <c r="A974" s="20"/>
      <c r="B974" s="20"/>
      <c r="C974" s="20"/>
      <c r="D974" s="20"/>
      <c r="E974" s="20"/>
    </row>
    <row r="975" spans="1:5" ht="12.75" customHeight="1">
      <c r="A975" s="20"/>
      <c r="B975" s="20"/>
      <c r="C975" s="20"/>
      <c r="D975" s="20"/>
      <c r="E975" s="20"/>
    </row>
    <row r="976" spans="1:5" ht="12.75" customHeight="1">
      <c r="A976" s="20"/>
      <c r="B976" s="20"/>
      <c r="C976" s="20"/>
      <c r="D976" s="20"/>
      <c r="E976" s="20"/>
    </row>
    <row r="977" spans="1:5" ht="12.75" customHeight="1">
      <c r="A977" s="20"/>
      <c r="B977" s="20"/>
      <c r="C977" s="20"/>
      <c r="D977" s="20"/>
      <c r="E977" s="20"/>
    </row>
    <row r="978" spans="1:5" ht="12.75" customHeight="1">
      <c r="A978" s="20"/>
      <c r="B978" s="20"/>
      <c r="C978" s="20"/>
      <c r="D978" s="20"/>
      <c r="E978" s="20"/>
    </row>
    <row r="979" spans="1:5" ht="12.75" customHeight="1">
      <c r="A979" s="20"/>
      <c r="B979" s="20"/>
      <c r="C979" s="20"/>
      <c r="D979" s="20"/>
      <c r="E979" s="20"/>
    </row>
    <row r="980" spans="1:5" ht="12.75" customHeight="1">
      <c r="A980" s="20"/>
      <c r="B980" s="20"/>
      <c r="C980" s="20"/>
      <c r="D980" s="20"/>
      <c r="E980" s="20"/>
    </row>
    <row r="981" spans="1:5" ht="12.75" customHeight="1">
      <c r="A981" s="20"/>
      <c r="B981" s="20"/>
      <c r="C981" s="20"/>
      <c r="D981" s="20"/>
      <c r="E981" s="20"/>
    </row>
    <row r="982" spans="1:5" ht="12.75" customHeight="1">
      <c r="A982" s="20"/>
      <c r="B982" s="20"/>
      <c r="C982" s="20"/>
      <c r="D982" s="20"/>
      <c r="E982" s="20"/>
    </row>
    <row r="983" spans="1:5" ht="12.75" customHeight="1">
      <c r="A983" s="20"/>
      <c r="B983" s="20"/>
      <c r="C983" s="20"/>
      <c r="D983" s="20"/>
      <c r="E983" s="20"/>
    </row>
    <row r="984" spans="1:5" ht="12.75" customHeight="1">
      <c r="A984" s="20"/>
      <c r="B984" s="20"/>
      <c r="C984" s="20"/>
      <c r="D984" s="20"/>
      <c r="E984" s="20"/>
    </row>
    <row r="985" spans="1:5" ht="12.75" customHeight="1">
      <c r="A985" s="20"/>
      <c r="B985" s="20"/>
      <c r="C985" s="20"/>
      <c r="D985" s="20"/>
      <c r="E985" s="20"/>
    </row>
    <row r="986" spans="1:5" ht="12.75" customHeight="1">
      <c r="A986" s="20"/>
      <c r="B986" s="20"/>
      <c r="C986" s="20"/>
      <c r="D986" s="20"/>
      <c r="E986" s="20"/>
    </row>
    <row r="987" spans="1:5" ht="12.75" customHeight="1">
      <c r="A987" s="20"/>
      <c r="B987" s="20"/>
      <c r="C987" s="20"/>
      <c r="D987" s="20"/>
      <c r="E987" s="20"/>
    </row>
    <row r="988" spans="1:5" ht="12.75" customHeight="1">
      <c r="A988" s="20"/>
      <c r="B988" s="20"/>
      <c r="C988" s="20"/>
      <c r="D988" s="20"/>
      <c r="E988" s="20"/>
    </row>
    <row r="989" spans="1:5" ht="12.75" customHeight="1">
      <c r="A989" s="20"/>
      <c r="B989" s="20"/>
      <c r="C989" s="20"/>
      <c r="D989" s="20"/>
      <c r="E989" s="20"/>
    </row>
    <row r="990" spans="1:5" ht="12.75" customHeight="1">
      <c r="A990" s="20"/>
      <c r="B990" s="20"/>
      <c r="C990" s="20"/>
      <c r="D990" s="20"/>
      <c r="E990" s="20"/>
    </row>
    <row r="991" spans="1:5" ht="12.75" customHeight="1">
      <c r="A991" s="20"/>
      <c r="B991" s="20"/>
      <c r="C991" s="20"/>
      <c r="D991" s="20"/>
      <c r="E991" s="20"/>
    </row>
    <row r="992" spans="1:5" ht="12.75" customHeight="1">
      <c r="A992" s="20"/>
      <c r="B992" s="20"/>
      <c r="C992" s="20"/>
      <c r="D992" s="20"/>
      <c r="E992" s="20"/>
    </row>
    <row r="993" spans="1:5" ht="12.75" customHeight="1">
      <c r="A993" s="20"/>
      <c r="B993" s="20"/>
      <c r="C993" s="20"/>
      <c r="D993" s="20"/>
      <c r="E993" s="20"/>
    </row>
    <row r="994" spans="1:5" ht="12.75" customHeight="1">
      <c r="A994" s="20"/>
      <c r="B994" s="20"/>
      <c r="C994" s="20"/>
      <c r="D994" s="20"/>
      <c r="E994" s="20"/>
    </row>
    <row r="995" spans="1:5" ht="12.75" customHeight="1">
      <c r="A995" s="20"/>
      <c r="B995" s="20"/>
      <c r="C995" s="20"/>
      <c r="D995" s="20"/>
      <c r="E995" s="20"/>
    </row>
    <row r="996" spans="1:5" ht="12.75" customHeight="1">
      <c r="A996" s="20"/>
      <c r="B996" s="20"/>
      <c r="C996" s="20"/>
      <c r="D996" s="20"/>
      <c r="E996" s="20"/>
    </row>
    <row r="997" spans="1:5" ht="12.75" customHeight="1">
      <c r="A997" s="20"/>
      <c r="B997" s="20"/>
      <c r="C997" s="20"/>
      <c r="D997" s="20"/>
      <c r="E997" s="20"/>
    </row>
    <row r="998" spans="1:5" ht="12.75" customHeight="1">
      <c r="A998" s="20"/>
      <c r="B998" s="20"/>
      <c r="C998" s="20"/>
      <c r="D998" s="20"/>
      <c r="E998" s="20"/>
    </row>
    <row r="999" spans="1:5" ht="12.75" customHeight="1">
      <c r="A999" s="20"/>
      <c r="B999" s="20"/>
      <c r="C999" s="20"/>
      <c r="D999" s="20"/>
      <c r="E999" s="20"/>
    </row>
    <row r="1000" spans="1:5" ht="12.75" customHeight="1">
      <c r="A1000" s="20"/>
      <c r="B1000" s="20"/>
      <c r="C1000" s="20"/>
      <c r="D1000" s="20"/>
      <c r="E1000" s="20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:K1000"/>
  <sheetViews>
    <sheetView workbookViewId="0"/>
  </sheetViews>
  <sheetFormatPr baseColWidth="10" defaultColWidth="12.6640625" defaultRowHeight="15" customHeight="1"/>
  <cols>
    <col min="1" max="26" width="8.83203125" customWidth="1"/>
  </cols>
  <sheetData>
    <row r="1" spans="11:11" ht="12.75" customHeight="1">
      <c r="K1" s="2" t="s">
        <v>52</v>
      </c>
    </row>
    <row r="2" spans="11:11" ht="12.75" customHeight="1"/>
    <row r="3" spans="11:11" ht="12.75" customHeight="1"/>
    <row r="4" spans="11:11" ht="12.75" customHeight="1"/>
    <row r="5" spans="11:11" ht="12.75" customHeight="1"/>
    <row r="6" spans="11:11" ht="12.75" customHeight="1"/>
    <row r="7" spans="11:11" ht="12.75" customHeight="1"/>
    <row r="8" spans="11:11" ht="12.75" customHeight="1"/>
    <row r="9" spans="11:11" ht="12.75" customHeight="1"/>
    <row r="10" spans="11:11" ht="12.75" customHeight="1"/>
    <row r="11" spans="11:11" ht="12.75" customHeight="1"/>
    <row r="12" spans="11:11" ht="12.75" customHeight="1"/>
    <row r="13" spans="11:11" ht="12.75" customHeight="1"/>
    <row r="14" spans="11:11" ht="12.75" customHeight="1"/>
    <row r="15" spans="11:11" ht="12.75" customHeight="1"/>
    <row r="16" spans="1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2.6640625" defaultRowHeight="15" customHeight="1"/>
  <cols>
    <col min="1" max="1" width="55.83203125" customWidth="1"/>
    <col min="2" max="2" width="27.6640625" customWidth="1"/>
    <col min="3" max="3" width="17.33203125" customWidth="1"/>
    <col min="4" max="4" width="22.6640625" customWidth="1"/>
    <col min="5" max="5" width="55.83203125" customWidth="1"/>
    <col min="6" max="6" width="27.6640625" customWidth="1"/>
    <col min="7" max="26" width="8.83203125" customWidth="1"/>
  </cols>
  <sheetData>
    <row r="1" spans="1:2" ht="12.75" customHeight="1">
      <c r="A1" s="57" t="s">
        <v>891</v>
      </c>
      <c r="B1" s="57" t="s">
        <v>892</v>
      </c>
    </row>
    <row r="2" spans="1:2" ht="12.75" customHeight="1">
      <c r="A2" s="2" t="s">
        <v>893</v>
      </c>
      <c r="B2" s="2" t="s">
        <v>894</v>
      </c>
    </row>
    <row r="3" spans="1:2" ht="12.75" customHeight="1">
      <c r="A3" s="2" t="s">
        <v>895</v>
      </c>
      <c r="B3" s="2" t="s">
        <v>896</v>
      </c>
    </row>
    <row r="4" spans="1:2" ht="12.75" customHeight="1">
      <c r="A4" s="2" t="s">
        <v>897</v>
      </c>
      <c r="B4" s="2" t="s">
        <v>898</v>
      </c>
    </row>
    <row r="5" spans="1:2" ht="12.75" customHeight="1">
      <c r="A5" s="2" t="s">
        <v>899</v>
      </c>
      <c r="B5" s="2" t="s">
        <v>900</v>
      </c>
    </row>
    <row r="6" spans="1:2" ht="12.75" customHeight="1">
      <c r="A6" s="2" t="s">
        <v>901</v>
      </c>
      <c r="B6" s="2" t="s">
        <v>902</v>
      </c>
    </row>
    <row r="7" spans="1:2" ht="12.75" customHeight="1">
      <c r="A7" s="2" t="s">
        <v>903</v>
      </c>
      <c r="B7" s="2" t="s">
        <v>904</v>
      </c>
    </row>
    <row r="8" spans="1:2" ht="12.75" customHeight="1">
      <c r="A8" s="2" t="s">
        <v>905</v>
      </c>
      <c r="B8" s="2" t="s">
        <v>906</v>
      </c>
    </row>
    <row r="9" spans="1:2" ht="12.75" customHeight="1">
      <c r="A9" s="2" t="s">
        <v>907</v>
      </c>
      <c r="B9" s="2" t="s">
        <v>908</v>
      </c>
    </row>
    <row r="10" spans="1:2" ht="12.75" customHeight="1">
      <c r="A10" s="2" t="s">
        <v>909</v>
      </c>
      <c r="B10" s="2" t="s">
        <v>910</v>
      </c>
    </row>
    <row r="11" spans="1:2" ht="12.75" customHeight="1">
      <c r="A11" s="2" t="s">
        <v>911</v>
      </c>
      <c r="B11" s="2" t="s">
        <v>912</v>
      </c>
    </row>
    <row r="12" spans="1:2" ht="12.75" customHeight="1">
      <c r="A12" s="2" t="s">
        <v>913</v>
      </c>
      <c r="B12" s="2" t="s">
        <v>914</v>
      </c>
    </row>
    <row r="13" spans="1:2" ht="12.75" customHeight="1">
      <c r="A13" s="2" t="s">
        <v>915</v>
      </c>
      <c r="B13" s="2" t="s">
        <v>916</v>
      </c>
    </row>
    <row r="14" spans="1:2" ht="12.75" customHeight="1">
      <c r="A14" s="2" t="s">
        <v>917</v>
      </c>
      <c r="B14" s="2" t="s">
        <v>918</v>
      </c>
    </row>
    <row r="15" spans="1:2" ht="12.75" customHeight="1">
      <c r="A15" s="2" t="s">
        <v>919</v>
      </c>
      <c r="B15" s="2" t="s">
        <v>920</v>
      </c>
    </row>
    <row r="16" spans="1:2" ht="12.75" customHeight="1">
      <c r="A16" s="2" t="s">
        <v>921</v>
      </c>
      <c r="B16" s="2" t="s">
        <v>922</v>
      </c>
    </row>
    <row r="17" spans="1:2" ht="12.75" customHeight="1">
      <c r="A17" s="2" t="s">
        <v>923</v>
      </c>
      <c r="B17" s="2" t="s">
        <v>924</v>
      </c>
    </row>
    <row r="18" spans="1:2" ht="12.75" customHeight="1">
      <c r="A18" s="2" t="s">
        <v>925</v>
      </c>
      <c r="B18" s="2" t="s">
        <v>926</v>
      </c>
    </row>
    <row r="19" spans="1:2" ht="12.75" customHeight="1">
      <c r="A19" s="2" t="s">
        <v>927</v>
      </c>
      <c r="B19" s="2" t="s">
        <v>928</v>
      </c>
    </row>
    <row r="20" spans="1:2" ht="12.75" customHeight="1">
      <c r="A20" s="2" t="s">
        <v>929</v>
      </c>
      <c r="B20" s="2" t="s">
        <v>930</v>
      </c>
    </row>
    <row r="21" spans="1:2" ht="12.75" customHeight="1">
      <c r="A21" s="2" t="s">
        <v>931</v>
      </c>
      <c r="B21" s="2" t="s">
        <v>932</v>
      </c>
    </row>
    <row r="22" spans="1:2" ht="12.75" customHeight="1">
      <c r="A22" s="2" t="s">
        <v>933</v>
      </c>
      <c r="B22" s="2" t="s">
        <v>934</v>
      </c>
    </row>
    <row r="23" spans="1:2" ht="12.75" customHeight="1">
      <c r="A23" s="2" t="s">
        <v>935</v>
      </c>
      <c r="B23" s="2" t="s">
        <v>936</v>
      </c>
    </row>
    <row r="24" spans="1:2" ht="12.75" customHeight="1">
      <c r="A24" s="2" t="s">
        <v>937</v>
      </c>
      <c r="B24" s="2" t="s">
        <v>938</v>
      </c>
    </row>
    <row r="25" spans="1:2" ht="12.75" customHeight="1">
      <c r="A25" s="2" t="s">
        <v>939</v>
      </c>
      <c r="B25" s="2" t="s">
        <v>940</v>
      </c>
    </row>
    <row r="26" spans="1:2" ht="12.75" customHeight="1">
      <c r="A26" s="2" t="s">
        <v>941</v>
      </c>
      <c r="B26" s="2" t="s">
        <v>942</v>
      </c>
    </row>
    <row r="27" spans="1:2" ht="12.75" customHeight="1">
      <c r="A27" s="2" t="s">
        <v>943</v>
      </c>
      <c r="B27" s="2" t="s">
        <v>944</v>
      </c>
    </row>
    <row r="28" spans="1:2" ht="12.75" customHeight="1">
      <c r="A28" s="2" t="s">
        <v>945</v>
      </c>
      <c r="B28" s="2" t="s">
        <v>946</v>
      </c>
    </row>
    <row r="29" spans="1:2" ht="12.75" customHeight="1">
      <c r="A29" s="2" t="s">
        <v>947</v>
      </c>
      <c r="B29" s="2" t="s">
        <v>948</v>
      </c>
    </row>
    <row r="30" spans="1:2" ht="12.75" customHeight="1">
      <c r="A30" s="2" t="s">
        <v>949</v>
      </c>
      <c r="B30" s="2" t="s">
        <v>950</v>
      </c>
    </row>
    <row r="31" spans="1:2" ht="12.75" customHeight="1">
      <c r="A31" s="2" t="s">
        <v>951</v>
      </c>
      <c r="B31" s="2" t="s">
        <v>952</v>
      </c>
    </row>
    <row r="32" spans="1:2" ht="12.75" customHeight="1">
      <c r="A32" s="2" t="s">
        <v>953</v>
      </c>
      <c r="B32" s="2" t="s">
        <v>954</v>
      </c>
    </row>
    <row r="33" spans="1:2" ht="12.75" customHeight="1">
      <c r="A33" s="2" t="s">
        <v>955</v>
      </c>
      <c r="B33" s="2" t="s">
        <v>956</v>
      </c>
    </row>
    <row r="34" spans="1:2" ht="12.75" customHeight="1">
      <c r="A34" s="2" t="s">
        <v>957</v>
      </c>
      <c r="B34" s="2" t="s">
        <v>958</v>
      </c>
    </row>
    <row r="35" spans="1:2" ht="12.75" customHeight="1">
      <c r="A35" s="2" t="s">
        <v>959</v>
      </c>
      <c r="B35" s="2" t="s">
        <v>960</v>
      </c>
    </row>
    <row r="36" spans="1:2" ht="12.75" customHeight="1">
      <c r="A36" s="2" t="s">
        <v>961</v>
      </c>
      <c r="B36" s="2" t="s">
        <v>962</v>
      </c>
    </row>
    <row r="37" spans="1:2" ht="12.75" customHeight="1">
      <c r="A37" s="2" t="s">
        <v>963</v>
      </c>
      <c r="B37" s="2" t="s">
        <v>964</v>
      </c>
    </row>
    <row r="38" spans="1:2" ht="12.75" customHeight="1">
      <c r="A38" s="2" t="s">
        <v>965</v>
      </c>
      <c r="B38" s="2" t="s">
        <v>966</v>
      </c>
    </row>
    <row r="39" spans="1:2" ht="12.75" customHeight="1">
      <c r="A39" s="2" t="s">
        <v>967</v>
      </c>
      <c r="B39" s="2" t="s">
        <v>968</v>
      </c>
    </row>
    <row r="40" spans="1:2" ht="12.75" customHeight="1">
      <c r="A40" s="2" t="s">
        <v>969</v>
      </c>
      <c r="B40" s="2" t="s">
        <v>970</v>
      </c>
    </row>
    <row r="41" spans="1:2" ht="12.75" customHeight="1">
      <c r="A41" s="2" t="s">
        <v>971</v>
      </c>
      <c r="B41" s="2" t="s">
        <v>972</v>
      </c>
    </row>
    <row r="42" spans="1:2" ht="12.75" customHeight="1">
      <c r="A42" s="2" t="s">
        <v>973</v>
      </c>
      <c r="B42" s="2" t="s">
        <v>974</v>
      </c>
    </row>
    <row r="43" spans="1:2" ht="12.75" customHeight="1">
      <c r="A43" s="2" t="s">
        <v>975</v>
      </c>
      <c r="B43" s="2" t="s">
        <v>976</v>
      </c>
    </row>
    <row r="44" spans="1:2" ht="12.75" customHeight="1">
      <c r="A44" s="2" t="s">
        <v>977</v>
      </c>
      <c r="B44" s="2" t="s">
        <v>978</v>
      </c>
    </row>
    <row r="45" spans="1:2" ht="12.75" customHeight="1">
      <c r="A45" s="2" t="s">
        <v>979</v>
      </c>
      <c r="B45" s="2" t="s">
        <v>980</v>
      </c>
    </row>
    <row r="46" spans="1:2" ht="12.75" customHeight="1">
      <c r="A46" s="2" t="s">
        <v>981</v>
      </c>
      <c r="B46" s="2" t="s">
        <v>982</v>
      </c>
    </row>
    <row r="47" spans="1:2" ht="12.75" customHeight="1">
      <c r="A47" s="2" t="s">
        <v>983</v>
      </c>
      <c r="B47" s="2" t="s">
        <v>984</v>
      </c>
    </row>
    <row r="48" spans="1:2" ht="12.75" customHeight="1">
      <c r="A48" s="2" t="s">
        <v>985</v>
      </c>
      <c r="B48" s="2" t="s">
        <v>986</v>
      </c>
    </row>
    <row r="49" spans="1:2" ht="12.75" customHeight="1">
      <c r="A49" s="2" t="s">
        <v>987</v>
      </c>
      <c r="B49" s="2" t="s">
        <v>988</v>
      </c>
    </row>
    <row r="50" spans="1:2" ht="12.75" customHeight="1">
      <c r="A50" s="2" t="s">
        <v>989</v>
      </c>
      <c r="B50" s="2" t="s">
        <v>990</v>
      </c>
    </row>
    <row r="51" spans="1:2" ht="12.75" customHeight="1">
      <c r="A51" s="2" t="s">
        <v>991</v>
      </c>
      <c r="B51" s="2" t="s">
        <v>992</v>
      </c>
    </row>
    <row r="52" spans="1:2" ht="12.75" customHeight="1">
      <c r="A52" s="2" t="s">
        <v>993</v>
      </c>
      <c r="B52" s="2" t="s">
        <v>994</v>
      </c>
    </row>
    <row r="53" spans="1:2" ht="12.75" customHeight="1">
      <c r="A53" s="2" t="s">
        <v>995</v>
      </c>
      <c r="B53" s="2" t="s">
        <v>996</v>
      </c>
    </row>
    <row r="54" spans="1:2" ht="12.75" customHeight="1">
      <c r="A54" s="2" t="s">
        <v>997</v>
      </c>
      <c r="B54" s="2" t="s">
        <v>998</v>
      </c>
    </row>
    <row r="55" spans="1:2" ht="12.75" customHeight="1">
      <c r="A55" s="2" t="s">
        <v>999</v>
      </c>
      <c r="B55" s="2" t="s">
        <v>1000</v>
      </c>
    </row>
    <row r="56" spans="1:2" ht="12.75" customHeight="1">
      <c r="A56" s="2" t="s">
        <v>1001</v>
      </c>
      <c r="B56" s="2" t="s">
        <v>1002</v>
      </c>
    </row>
    <row r="57" spans="1:2" ht="12.75" customHeight="1">
      <c r="A57" s="2" t="s">
        <v>1003</v>
      </c>
      <c r="B57" s="2" t="s">
        <v>1004</v>
      </c>
    </row>
    <row r="58" spans="1:2" ht="12.75" customHeight="1">
      <c r="A58" s="2" t="s">
        <v>1005</v>
      </c>
      <c r="B58" s="2" t="s">
        <v>1006</v>
      </c>
    </row>
    <row r="59" spans="1:2" ht="12.75" customHeight="1">
      <c r="A59" s="2" t="s">
        <v>1007</v>
      </c>
      <c r="B59" s="2" t="s">
        <v>1008</v>
      </c>
    </row>
    <row r="60" spans="1:2" ht="12.75" customHeight="1">
      <c r="A60" s="2" t="s">
        <v>1009</v>
      </c>
      <c r="B60" s="2" t="s">
        <v>1010</v>
      </c>
    </row>
    <row r="61" spans="1:2" ht="12.75" customHeight="1">
      <c r="A61" s="2" t="s">
        <v>1011</v>
      </c>
      <c r="B61" s="2" t="s">
        <v>1012</v>
      </c>
    </row>
    <row r="62" spans="1:2" ht="12.75" customHeight="1">
      <c r="A62" s="2" t="s">
        <v>1013</v>
      </c>
      <c r="B62" s="2" t="s">
        <v>1014</v>
      </c>
    </row>
    <row r="63" spans="1:2" ht="12.75" customHeight="1">
      <c r="A63" s="2" t="s">
        <v>1015</v>
      </c>
      <c r="B63" s="2" t="s">
        <v>1016</v>
      </c>
    </row>
    <row r="64" spans="1:2" ht="12.75" customHeight="1">
      <c r="A64" s="2" t="s">
        <v>1017</v>
      </c>
      <c r="B64" s="2" t="s">
        <v>1018</v>
      </c>
    </row>
    <row r="65" spans="1:2" ht="12.75" customHeight="1">
      <c r="A65" s="2" t="s">
        <v>1019</v>
      </c>
      <c r="B65" s="2" t="s">
        <v>1020</v>
      </c>
    </row>
    <row r="66" spans="1:2" ht="12.75" customHeight="1">
      <c r="A66" s="2" t="s">
        <v>1021</v>
      </c>
      <c r="B66" s="2" t="s">
        <v>906</v>
      </c>
    </row>
    <row r="67" spans="1:2" ht="12.75" customHeight="1">
      <c r="A67" s="2" t="s">
        <v>1022</v>
      </c>
      <c r="B67" s="2" t="s">
        <v>1023</v>
      </c>
    </row>
    <row r="68" spans="1:2" ht="12.75" customHeight="1">
      <c r="A68" s="2" t="s">
        <v>1024</v>
      </c>
      <c r="B68" s="2" t="s">
        <v>1025</v>
      </c>
    </row>
    <row r="69" spans="1:2" ht="12.75" customHeight="1">
      <c r="A69" s="2" t="s">
        <v>1026</v>
      </c>
      <c r="B69" s="2" t="s">
        <v>1027</v>
      </c>
    </row>
    <row r="70" spans="1:2" ht="12.75" customHeight="1">
      <c r="A70" s="2" t="s">
        <v>1028</v>
      </c>
      <c r="B70" s="2" t="s">
        <v>1029</v>
      </c>
    </row>
    <row r="71" spans="1:2" ht="12.75" customHeight="1">
      <c r="A71" s="2" t="s">
        <v>1030</v>
      </c>
      <c r="B71" s="2" t="s">
        <v>1031</v>
      </c>
    </row>
    <row r="72" spans="1:2" ht="12.75" customHeight="1">
      <c r="A72" s="2" t="s">
        <v>1032</v>
      </c>
      <c r="B72" s="2" t="s">
        <v>1033</v>
      </c>
    </row>
    <row r="73" spans="1:2" ht="12.75" customHeight="1">
      <c r="A73" s="2" t="s">
        <v>1034</v>
      </c>
      <c r="B73" s="2" t="s">
        <v>1035</v>
      </c>
    </row>
    <row r="74" spans="1:2" ht="12.75" customHeight="1">
      <c r="A74" s="2" t="s">
        <v>1036</v>
      </c>
      <c r="B74" s="2" t="s">
        <v>1004</v>
      </c>
    </row>
    <row r="75" spans="1:2" ht="12.75" customHeight="1">
      <c r="A75" s="2" t="s">
        <v>1037</v>
      </c>
      <c r="B75" s="2" t="s">
        <v>1038</v>
      </c>
    </row>
    <row r="76" spans="1:2" ht="12.75" customHeight="1">
      <c r="A76" s="2" t="s">
        <v>1039</v>
      </c>
      <c r="B76" s="2" t="s">
        <v>1040</v>
      </c>
    </row>
    <row r="77" spans="1:2" ht="12.75" customHeight="1">
      <c r="A77" s="2" t="s">
        <v>1041</v>
      </c>
      <c r="B77" s="2" t="s">
        <v>1042</v>
      </c>
    </row>
    <row r="78" spans="1:2" ht="12.75" customHeight="1">
      <c r="A78" s="2" t="s">
        <v>1043</v>
      </c>
      <c r="B78" s="2" t="s">
        <v>1044</v>
      </c>
    </row>
    <row r="79" spans="1:2" ht="12.75" customHeight="1">
      <c r="A79" s="2" t="s">
        <v>1045</v>
      </c>
      <c r="B79" s="2" t="s">
        <v>1046</v>
      </c>
    </row>
    <row r="80" spans="1:2" ht="12.75" customHeight="1">
      <c r="A80" s="2" t="s">
        <v>1047</v>
      </c>
      <c r="B80" s="2" t="s">
        <v>1048</v>
      </c>
    </row>
    <row r="81" spans="1:2" ht="12.75" customHeight="1">
      <c r="A81" s="2" t="s">
        <v>1049</v>
      </c>
      <c r="B81" s="2" t="s">
        <v>900</v>
      </c>
    </row>
    <row r="82" spans="1:2" ht="12.75" customHeight="1">
      <c r="A82" s="2" t="s">
        <v>1050</v>
      </c>
      <c r="B82" s="2" t="s">
        <v>1051</v>
      </c>
    </row>
    <row r="83" spans="1:2" ht="12.75" customHeight="1">
      <c r="A83" s="2" t="s">
        <v>1052</v>
      </c>
      <c r="B83" s="2" t="s">
        <v>1053</v>
      </c>
    </row>
    <row r="84" spans="1:2" ht="12.75" customHeight="1">
      <c r="A84" s="2" t="s">
        <v>1054</v>
      </c>
      <c r="B84" s="2" t="s">
        <v>1055</v>
      </c>
    </row>
    <row r="85" spans="1:2" ht="12.75" customHeight="1">
      <c r="A85" s="2" t="s">
        <v>1056</v>
      </c>
      <c r="B85" s="2" t="s">
        <v>1057</v>
      </c>
    </row>
    <row r="86" spans="1:2" ht="12.75" customHeight="1">
      <c r="A86" s="2" t="s">
        <v>1058</v>
      </c>
      <c r="B86" s="2" t="s">
        <v>1059</v>
      </c>
    </row>
    <row r="87" spans="1:2" ht="12.75" customHeight="1">
      <c r="A87" s="2" t="s">
        <v>1060</v>
      </c>
      <c r="B87" s="2" t="s">
        <v>1061</v>
      </c>
    </row>
    <row r="88" spans="1:2" ht="12.75" customHeight="1">
      <c r="A88" s="2" t="s">
        <v>1062</v>
      </c>
      <c r="B88" s="2" t="s">
        <v>1063</v>
      </c>
    </row>
    <row r="89" spans="1:2" ht="12.75" customHeight="1">
      <c r="A89" s="2" t="s">
        <v>1064</v>
      </c>
      <c r="B89" s="2" t="s">
        <v>1065</v>
      </c>
    </row>
    <row r="90" spans="1:2" ht="12.75" customHeight="1"/>
    <row r="91" spans="1:2" ht="12.75" customHeight="1"/>
    <row r="92" spans="1:2" ht="12.75" customHeight="1"/>
    <row r="93" spans="1:2" ht="12.75" customHeight="1"/>
    <row r="94" spans="1:2" ht="12.75" customHeight="1"/>
    <row r="95" spans="1:2" ht="12.75" customHeight="1"/>
    <row r="96" spans="1: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baseColWidth="10" defaultColWidth="12.6640625" defaultRowHeight="15" customHeight="1"/>
  <cols>
    <col min="1" max="1" width="8.83203125" customWidth="1"/>
    <col min="2" max="2" width="29.5" customWidth="1"/>
    <col min="3" max="3" width="10.33203125" customWidth="1"/>
    <col min="4" max="26" width="8.83203125" customWidth="1"/>
  </cols>
  <sheetData>
    <row r="1" spans="1:3" ht="12.75" customHeight="1">
      <c r="A1" s="55" t="s">
        <v>1066</v>
      </c>
      <c r="B1" s="55" t="s">
        <v>1067</v>
      </c>
      <c r="C1" s="20"/>
    </row>
    <row r="2" spans="1:3" ht="12.75" customHeight="1">
      <c r="A2" s="2" t="s">
        <v>1068</v>
      </c>
      <c r="B2" s="2" t="s">
        <v>1069</v>
      </c>
      <c r="C2" s="58"/>
    </row>
    <row r="3" spans="1:3" ht="12.75" customHeight="1">
      <c r="A3" s="2" t="s">
        <v>1070</v>
      </c>
      <c r="B3" s="2" t="s">
        <v>1071</v>
      </c>
      <c r="C3" s="58"/>
    </row>
    <row r="4" spans="1:3" ht="12.75" customHeight="1">
      <c r="A4" s="2" t="s">
        <v>1072</v>
      </c>
      <c r="B4" s="2" t="s">
        <v>1073</v>
      </c>
      <c r="C4" s="58"/>
    </row>
    <row r="5" spans="1:3" ht="12.75" customHeight="1">
      <c r="A5" s="2" t="s">
        <v>1074</v>
      </c>
      <c r="B5" s="2" t="s">
        <v>1075</v>
      </c>
      <c r="C5" s="58"/>
    </row>
    <row r="6" spans="1:3" ht="12.75" customHeight="1">
      <c r="A6" s="2" t="s">
        <v>1076</v>
      </c>
      <c r="B6" s="2" t="s">
        <v>1077</v>
      </c>
      <c r="C6" s="58"/>
    </row>
    <row r="7" spans="1:3" ht="12.75" customHeight="1">
      <c r="A7" s="2" t="s">
        <v>1078</v>
      </c>
      <c r="B7" s="2" t="s">
        <v>1079</v>
      </c>
      <c r="C7" s="58"/>
    </row>
    <row r="8" spans="1:3" ht="12.75" customHeight="1">
      <c r="A8" s="2" t="s">
        <v>1080</v>
      </c>
      <c r="B8" s="2" t="s">
        <v>1081</v>
      </c>
      <c r="C8" s="58"/>
    </row>
    <row r="9" spans="1:3" ht="12.75" customHeight="1">
      <c r="A9" s="2" t="s">
        <v>1082</v>
      </c>
      <c r="B9" s="2" t="s">
        <v>1083</v>
      </c>
      <c r="C9" s="58"/>
    </row>
    <row r="10" spans="1:3" ht="12.75" customHeight="1">
      <c r="A10" s="2" t="s">
        <v>1084</v>
      </c>
      <c r="B10" s="2" t="s">
        <v>1085</v>
      </c>
      <c r="C10" s="58"/>
    </row>
    <row r="11" spans="1:3" ht="12.75" customHeight="1">
      <c r="A11" s="2" t="s">
        <v>1086</v>
      </c>
      <c r="B11" s="2" t="s">
        <v>1087</v>
      </c>
      <c r="C11" s="58"/>
    </row>
    <row r="12" spans="1:3" ht="12.75" customHeight="1">
      <c r="A12" s="2" t="s">
        <v>1088</v>
      </c>
      <c r="B12" s="2" t="s">
        <v>1089</v>
      </c>
      <c r="C12" s="58"/>
    </row>
    <row r="13" spans="1:3" ht="12.75" customHeight="1">
      <c r="A13" s="2" t="s">
        <v>1090</v>
      </c>
      <c r="B13" s="2" t="s">
        <v>1091</v>
      </c>
      <c r="C13" s="58"/>
    </row>
    <row r="14" spans="1:3" ht="12.75" customHeight="1">
      <c r="A14" s="2" t="s">
        <v>1092</v>
      </c>
      <c r="B14" s="2" t="s">
        <v>1093</v>
      </c>
      <c r="C14" s="58"/>
    </row>
    <row r="15" spans="1:3" ht="12.75" customHeight="1">
      <c r="A15" s="2" t="s">
        <v>1094</v>
      </c>
      <c r="B15" s="2" t="s">
        <v>1095</v>
      </c>
      <c r="C15" s="58"/>
    </row>
    <row r="16" spans="1:3" ht="12.75" customHeight="1">
      <c r="A16" s="2" t="s">
        <v>1096</v>
      </c>
      <c r="B16" s="2" t="s">
        <v>1097</v>
      </c>
      <c r="C16" s="58"/>
    </row>
    <row r="17" spans="1:3" ht="12.75" customHeight="1">
      <c r="A17" s="2" t="s">
        <v>1098</v>
      </c>
      <c r="B17" s="2" t="s">
        <v>1099</v>
      </c>
      <c r="C17" s="58"/>
    </row>
    <row r="18" spans="1:3" ht="12.75" customHeight="1">
      <c r="A18" s="2" t="s">
        <v>1100</v>
      </c>
      <c r="B18" s="2" t="s">
        <v>1101</v>
      </c>
      <c r="C18" s="58"/>
    </row>
    <row r="19" spans="1:3" ht="12.75" customHeight="1">
      <c r="A19" s="2" t="s">
        <v>1102</v>
      </c>
      <c r="B19" s="2" t="s">
        <v>1103</v>
      </c>
      <c r="C19" s="58"/>
    </row>
    <row r="20" spans="1:3" ht="12.75" customHeight="1">
      <c r="A20" s="2" t="s">
        <v>1104</v>
      </c>
      <c r="B20" s="2" t="s">
        <v>1105</v>
      </c>
      <c r="C20" s="58"/>
    </row>
    <row r="21" spans="1:3" ht="12.75" customHeight="1">
      <c r="A21" s="2" t="s">
        <v>1106</v>
      </c>
      <c r="B21" s="2" t="s">
        <v>1107</v>
      </c>
      <c r="C21" s="58"/>
    </row>
    <row r="22" spans="1:3" ht="12.75" customHeight="1">
      <c r="A22" s="2" t="s">
        <v>1108</v>
      </c>
      <c r="B22" s="2" t="s">
        <v>1109</v>
      </c>
      <c r="C22" s="58"/>
    </row>
    <row r="23" spans="1:3" ht="12.75" customHeight="1">
      <c r="A23" s="2" t="s">
        <v>1110</v>
      </c>
      <c r="B23" s="2" t="s">
        <v>1111</v>
      </c>
      <c r="C23" s="58"/>
    </row>
    <row r="24" spans="1:3" ht="12.75" customHeight="1">
      <c r="A24" s="2" t="s">
        <v>1112</v>
      </c>
      <c r="B24" s="2" t="s">
        <v>1113</v>
      </c>
      <c r="C24" s="58"/>
    </row>
    <row r="25" spans="1:3" ht="12.75" customHeight="1">
      <c r="A25" s="2" t="s">
        <v>1114</v>
      </c>
      <c r="B25" s="2" t="s">
        <v>1115</v>
      </c>
      <c r="C25" s="58"/>
    </row>
    <row r="26" spans="1:3" ht="12.75" customHeight="1">
      <c r="A26" s="2" t="s">
        <v>1116</v>
      </c>
      <c r="B26" s="2" t="s">
        <v>1117</v>
      </c>
      <c r="C26" s="58"/>
    </row>
    <row r="27" spans="1:3" ht="12.75" customHeight="1">
      <c r="A27" s="2" t="s">
        <v>1118</v>
      </c>
      <c r="B27" s="2" t="s">
        <v>1119</v>
      </c>
      <c r="C27" s="58"/>
    </row>
    <row r="28" spans="1:3" ht="12.75" customHeight="1">
      <c r="A28" s="2" t="s">
        <v>1120</v>
      </c>
      <c r="B28" s="2" t="s">
        <v>1121</v>
      </c>
      <c r="C28" s="58"/>
    </row>
    <row r="29" spans="1:3" ht="12.75" customHeight="1">
      <c r="A29" s="2" t="s">
        <v>1122</v>
      </c>
      <c r="B29" s="2" t="s">
        <v>1123</v>
      </c>
      <c r="C29" s="58"/>
    </row>
    <row r="30" spans="1:3" ht="12.75" customHeight="1">
      <c r="A30" s="2" t="s">
        <v>1124</v>
      </c>
      <c r="B30" s="2" t="s">
        <v>1125</v>
      </c>
      <c r="C30" s="58"/>
    </row>
    <row r="31" spans="1:3" ht="12.75" customHeight="1">
      <c r="A31" s="2" t="s">
        <v>1126</v>
      </c>
      <c r="B31" s="2" t="s">
        <v>1127</v>
      </c>
      <c r="C31" s="58"/>
    </row>
    <row r="32" spans="1:3" ht="12.75" customHeight="1">
      <c r="A32" s="2" t="s">
        <v>1128</v>
      </c>
      <c r="B32" s="2" t="s">
        <v>1129</v>
      </c>
      <c r="C32" s="58"/>
    </row>
    <row r="33" spans="1:3" ht="12.75" customHeight="1">
      <c r="A33" s="2" t="s">
        <v>1130</v>
      </c>
      <c r="B33" s="2" t="s">
        <v>1131</v>
      </c>
      <c r="C33" s="58"/>
    </row>
    <row r="34" spans="1:3" ht="12.75" customHeight="1">
      <c r="A34" s="2" t="s">
        <v>1132</v>
      </c>
      <c r="B34" s="2" t="s">
        <v>1133</v>
      </c>
      <c r="C34" s="58"/>
    </row>
    <row r="35" spans="1:3" ht="12.75" customHeight="1">
      <c r="A35" s="2" t="s">
        <v>1134</v>
      </c>
      <c r="B35" s="2" t="s">
        <v>1135</v>
      </c>
      <c r="C35" s="58"/>
    </row>
    <row r="36" spans="1:3" ht="12.75" customHeight="1">
      <c r="A36" s="2" t="s">
        <v>1136</v>
      </c>
      <c r="B36" s="2" t="s">
        <v>1137</v>
      </c>
      <c r="C36" s="58"/>
    </row>
    <row r="37" spans="1:3" ht="12.75" customHeight="1">
      <c r="A37" s="2" t="s">
        <v>1138</v>
      </c>
      <c r="B37" s="2" t="s">
        <v>1139</v>
      </c>
      <c r="C37" s="58"/>
    </row>
    <row r="38" spans="1:3" ht="12.75" customHeight="1">
      <c r="A38" s="2" t="s">
        <v>1140</v>
      </c>
      <c r="B38" s="2" t="s">
        <v>1141</v>
      </c>
      <c r="C38" s="58"/>
    </row>
    <row r="39" spans="1:3" ht="12.75" customHeight="1">
      <c r="A39" s="2" t="s">
        <v>1142</v>
      </c>
      <c r="B39" s="2" t="s">
        <v>1143</v>
      </c>
      <c r="C39" s="58"/>
    </row>
    <row r="40" spans="1:3" ht="12.75" customHeight="1">
      <c r="A40" s="2" t="s">
        <v>1144</v>
      </c>
      <c r="B40" s="2" t="s">
        <v>1145</v>
      </c>
      <c r="C40" s="58"/>
    </row>
    <row r="41" spans="1:3" ht="12.75" customHeight="1">
      <c r="A41" s="2" t="s">
        <v>1146</v>
      </c>
      <c r="B41" s="2" t="s">
        <v>1147</v>
      </c>
      <c r="C41" s="58"/>
    </row>
    <row r="42" spans="1:3" ht="12.75" customHeight="1">
      <c r="A42" s="2" t="s">
        <v>1148</v>
      </c>
      <c r="B42" s="2" t="s">
        <v>1149</v>
      </c>
      <c r="C42" s="58"/>
    </row>
    <row r="43" spans="1:3" ht="12.75" customHeight="1">
      <c r="A43" s="2" t="s">
        <v>1150</v>
      </c>
      <c r="B43" s="2" t="s">
        <v>1151</v>
      </c>
      <c r="C43" s="58"/>
    </row>
    <row r="44" spans="1:3" ht="12.75" customHeight="1">
      <c r="A44" s="2" t="s">
        <v>1152</v>
      </c>
      <c r="B44" s="2" t="s">
        <v>1153</v>
      </c>
      <c r="C44" s="58"/>
    </row>
    <row r="45" spans="1:3" ht="12.75" customHeight="1">
      <c r="A45" s="2" t="s">
        <v>1154</v>
      </c>
      <c r="B45" s="2" t="s">
        <v>1155</v>
      </c>
      <c r="C45" s="58"/>
    </row>
    <row r="46" spans="1:3" ht="12.75" customHeight="1">
      <c r="A46" s="2" t="s">
        <v>1156</v>
      </c>
      <c r="B46" s="2" t="s">
        <v>1157</v>
      </c>
      <c r="C46" s="58"/>
    </row>
    <row r="47" spans="1:3" ht="12.75" customHeight="1">
      <c r="A47" s="2" t="s">
        <v>1158</v>
      </c>
      <c r="B47" s="2" t="s">
        <v>1159</v>
      </c>
      <c r="C47" s="58"/>
    </row>
    <row r="48" spans="1:3" ht="12.75" customHeight="1">
      <c r="A48" s="2" t="s">
        <v>1160</v>
      </c>
      <c r="B48" s="2" t="s">
        <v>1161</v>
      </c>
      <c r="C48" s="58"/>
    </row>
    <row r="49" spans="1:3" ht="12.75" customHeight="1">
      <c r="A49" s="2" t="s">
        <v>1162</v>
      </c>
      <c r="B49" s="2" t="s">
        <v>1163</v>
      </c>
      <c r="C49" s="58"/>
    </row>
    <row r="50" spans="1:3" ht="12.75" customHeight="1">
      <c r="A50" s="2" t="s">
        <v>1164</v>
      </c>
      <c r="B50" s="2" t="s">
        <v>1165</v>
      </c>
      <c r="C50" s="58"/>
    </row>
    <row r="51" spans="1:3" ht="12.75" customHeight="1">
      <c r="A51" s="2" t="s">
        <v>1166</v>
      </c>
      <c r="B51" s="2" t="s">
        <v>1167</v>
      </c>
      <c r="C51" s="58"/>
    </row>
    <row r="52" spans="1:3" ht="12.75" customHeight="1">
      <c r="A52" s="2" t="s">
        <v>1168</v>
      </c>
      <c r="B52" s="2" t="s">
        <v>1169</v>
      </c>
      <c r="C52" s="58"/>
    </row>
    <row r="53" spans="1:3" ht="12.75" customHeight="1">
      <c r="A53" s="2" t="s">
        <v>1170</v>
      </c>
      <c r="B53" s="2" t="s">
        <v>1171</v>
      </c>
      <c r="C53" s="58"/>
    </row>
    <row r="54" spans="1:3" ht="12.75" customHeight="1">
      <c r="A54" s="2" t="s">
        <v>1172</v>
      </c>
      <c r="B54" s="2" t="s">
        <v>1173</v>
      </c>
      <c r="C54" s="58"/>
    </row>
    <row r="55" spans="1:3" ht="12.75" customHeight="1">
      <c r="A55" s="2" t="s">
        <v>1174</v>
      </c>
      <c r="B55" s="2" t="s">
        <v>1175</v>
      </c>
      <c r="C55" s="58"/>
    </row>
    <row r="56" spans="1:3" ht="12.75" customHeight="1">
      <c r="A56" s="2" t="s">
        <v>1176</v>
      </c>
      <c r="B56" s="2" t="s">
        <v>1177</v>
      </c>
      <c r="C56" s="58"/>
    </row>
    <row r="57" spans="1:3" ht="12.75" customHeight="1">
      <c r="A57" s="2" t="s">
        <v>1178</v>
      </c>
      <c r="B57" s="2" t="s">
        <v>1179</v>
      </c>
      <c r="C57" s="58"/>
    </row>
    <row r="58" spans="1:3" ht="12.75" customHeight="1">
      <c r="A58" s="2" t="s">
        <v>1180</v>
      </c>
      <c r="B58" s="2" t="s">
        <v>1181</v>
      </c>
      <c r="C58" s="58"/>
    </row>
    <row r="59" spans="1:3" ht="12.75" customHeight="1">
      <c r="A59" s="2" t="s">
        <v>1182</v>
      </c>
      <c r="B59" s="2" t="s">
        <v>1183</v>
      </c>
      <c r="C59" s="58"/>
    </row>
    <row r="60" spans="1:3" ht="12.75" customHeight="1">
      <c r="A60" s="2" t="s">
        <v>1184</v>
      </c>
      <c r="B60" s="2" t="s">
        <v>1185</v>
      </c>
      <c r="C60" s="58"/>
    </row>
    <row r="61" spans="1:3" ht="12.75" customHeight="1">
      <c r="A61" s="2" t="s">
        <v>1186</v>
      </c>
      <c r="B61" s="2" t="s">
        <v>1187</v>
      </c>
      <c r="C61" s="58"/>
    </row>
    <row r="62" spans="1:3" ht="12.75" customHeight="1">
      <c r="A62" s="2" t="s">
        <v>1188</v>
      </c>
      <c r="B62" s="2" t="s">
        <v>1189</v>
      </c>
      <c r="C62" s="58"/>
    </row>
    <row r="63" spans="1:3" ht="12.75" customHeight="1">
      <c r="A63" s="2" t="s">
        <v>1190</v>
      </c>
      <c r="B63" s="2" t="s">
        <v>1191</v>
      </c>
      <c r="C63" s="58"/>
    </row>
    <row r="64" spans="1:3" ht="12.75" customHeight="1">
      <c r="A64" s="2" t="s">
        <v>1192</v>
      </c>
      <c r="B64" s="2" t="s">
        <v>1193</v>
      </c>
      <c r="C64" s="58"/>
    </row>
    <row r="65" spans="1:3" ht="12.75" customHeight="1">
      <c r="A65" s="2" t="s">
        <v>1194</v>
      </c>
      <c r="B65" s="2" t="s">
        <v>1195</v>
      </c>
      <c r="C65" s="58"/>
    </row>
    <row r="66" spans="1:3" ht="12.75" customHeight="1">
      <c r="A66" s="2" t="s">
        <v>1196</v>
      </c>
      <c r="B66" s="2" t="s">
        <v>1197</v>
      </c>
      <c r="C66" s="58"/>
    </row>
    <row r="67" spans="1:3" ht="12.75" customHeight="1">
      <c r="A67" s="2" t="s">
        <v>1198</v>
      </c>
      <c r="B67" s="2" t="s">
        <v>1199</v>
      </c>
      <c r="C67" s="58"/>
    </row>
    <row r="68" spans="1:3" ht="12.75" customHeight="1">
      <c r="A68" s="2" t="s">
        <v>1200</v>
      </c>
      <c r="B68" s="2" t="s">
        <v>1201</v>
      </c>
      <c r="C68" s="58"/>
    </row>
    <row r="69" spans="1:3" ht="12.75" customHeight="1">
      <c r="A69" s="2" t="s">
        <v>1202</v>
      </c>
      <c r="B69" s="2" t="s">
        <v>1203</v>
      </c>
      <c r="C69" s="58"/>
    </row>
    <row r="70" spans="1:3" ht="12.75" customHeight="1">
      <c r="A70" s="2" t="s">
        <v>1204</v>
      </c>
      <c r="B70" s="2" t="s">
        <v>1205</v>
      </c>
      <c r="C70" s="58"/>
    </row>
    <row r="71" spans="1:3" ht="12.75" customHeight="1">
      <c r="A71" s="2" t="s">
        <v>1206</v>
      </c>
      <c r="B71" s="2" t="s">
        <v>1207</v>
      </c>
      <c r="C71" s="58"/>
    </row>
    <row r="72" spans="1:3" ht="12.75" customHeight="1">
      <c r="A72" s="2" t="s">
        <v>1208</v>
      </c>
      <c r="B72" s="2" t="s">
        <v>1209</v>
      </c>
      <c r="C72" s="58"/>
    </row>
    <row r="73" spans="1:3" ht="12.75" customHeight="1">
      <c r="A73" s="2" t="s">
        <v>1210</v>
      </c>
      <c r="B73" s="2" t="s">
        <v>1211</v>
      </c>
      <c r="C73" s="58"/>
    </row>
    <row r="74" spans="1:3" ht="12.75" customHeight="1">
      <c r="A74" s="2" t="s">
        <v>1212</v>
      </c>
      <c r="B74" s="2" t="s">
        <v>1213</v>
      </c>
      <c r="C74" s="58"/>
    </row>
    <row r="75" spans="1:3" ht="12.75" customHeight="1">
      <c r="A75" s="2" t="s">
        <v>1214</v>
      </c>
      <c r="B75" s="2" t="s">
        <v>1215</v>
      </c>
      <c r="C75" s="58"/>
    </row>
    <row r="76" spans="1:3" ht="12.75" customHeight="1">
      <c r="A76" s="2" t="s">
        <v>1216</v>
      </c>
      <c r="B76" s="2" t="s">
        <v>1217</v>
      </c>
      <c r="C76" s="58"/>
    </row>
    <row r="77" spans="1:3" ht="12.75" customHeight="1">
      <c r="A77" s="2" t="s">
        <v>1218</v>
      </c>
      <c r="B77" s="2" t="s">
        <v>1219</v>
      </c>
      <c r="C77" s="58"/>
    </row>
    <row r="78" spans="1:3" ht="12.75" customHeight="1">
      <c r="A78" s="2" t="s">
        <v>1220</v>
      </c>
      <c r="B78" s="2" t="s">
        <v>1221</v>
      </c>
      <c r="C78" s="58"/>
    </row>
    <row r="79" spans="1:3" ht="12.75" customHeight="1">
      <c r="A79" s="2" t="s">
        <v>1222</v>
      </c>
      <c r="B79" s="2" t="s">
        <v>1223</v>
      </c>
      <c r="C79" s="58"/>
    </row>
    <row r="80" spans="1:3" ht="12.75" customHeight="1">
      <c r="A80" s="2" t="s">
        <v>1224</v>
      </c>
      <c r="B80" s="2" t="s">
        <v>1225</v>
      </c>
      <c r="C80" s="58"/>
    </row>
    <row r="81" spans="1:3" ht="12.75" customHeight="1">
      <c r="A81" s="2" t="s">
        <v>1226</v>
      </c>
      <c r="B81" s="2" t="s">
        <v>1227</v>
      </c>
      <c r="C81" s="58"/>
    </row>
    <row r="82" spans="1:3" ht="12.75" customHeight="1">
      <c r="A82" s="2" t="s">
        <v>1228</v>
      </c>
      <c r="B82" s="2" t="s">
        <v>1229</v>
      </c>
      <c r="C82" s="58"/>
    </row>
    <row r="83" spans="1:3" ht="12.75" customHeight="1">
      <c r="A83" s="2" t="s">
        <v>1230</v>
      </c>
      <c r="B83" s="2" t="s">
        <v>1231</v>
      </c>
      <c r="C83" s="58"/>
    </row>
    <row r="84" spans="1:3" ht="12.75" customHeight="1">
      <c r="A84" s="2" t="s">
        <v>1232</v>
      </c>
      <c r="B84" s="2" t="s">
        <v>1233</v>
      </c>
      <c r="C84" s="58"/>
    </row>
    <row r="85" spans="1:3" ht="12.75" customHeight="1">
      <c r="A85" s="2" t="s">
        <v>1234</v>
      </c>
      <c r="B85" s="2" t="s">
        <v>1235</v>
      </c>
      <c r="C85" s="58"/>
    </row>
    <row r="86" spans="1:3" ht="12.75" customHeight="1">
      <c r="A86" s="2" t="s">
        <v>1236</v>
      </c>
      <c r="B86" s="2" t="s">
        <v>1237</v>
      </c>
      <c r="C86" s="58"/>
    </row>
    <row r="87" spans="1:3" ht="12.75" customHeight="1">
      <c r="A87" s="2" t="s">
        <v>1238</v>
      </c>
      <c r="B87" s="2" t="s">
        <v>1239</v>
      </c>
      <c r="C87" s="58"/>
    </row>
    <row r="88" spans="1:3" ht="12.75" customHeight="1">
      <c r="A88" s="2" t="s">
        <v>1240</v>
      </c>
      <c r="B88" s="2" t="s">
        <v>1241</v>
      </c>
      <c r="C88" s="58"/>
    </row>
    <row r="89" spans="1:3" ht="12.75" customHeight="1">
      <c r="A89" s="2" t="s">
        <v>1242</v>
      </c>
      <c r="B89" s="2" t="s">
        <v>1243</v>
      </c>
      <c r="C89" s="58"/>
    </row>
    <row r="90" spans="1:3" ht="12.75" customHeight="1">
      <c r="A90" s="2" t="s">
        <v>1244</v>
      </c>
      <c r="B90" s="2" t="s">
        <v>1245</v>
      </c>
      <c r="C90" s="58"/>
    </row>
    <row r="91" spans="1:3" ht="12.75" customHeight="1">
      <c r="A91" s="2" t="s">
        <v>1246</v>
      </c>
      <c r="B91" s="2" t="s">
        <v>1247</v>
      </c>
      <c r="C91" s="58"/>
    </row>
    <row r="92" spans="1:3" ht="12.75" customHeight="1">
      <c r="A92" s="2" t="s">
        <v>1248</v>
      </c>
      <c r="B92" s="2" t="s">
        <v>1249</v>
      </c>
      <c r="C92" s="58"/>
    </row>
    <row r="93" spans="1:3" ht="12.75" customHeight="1">
      <c r="A93" s="2" t="s">
        <v>1250</v>
      </c>
      <c r="B93" s="2" t="s">
        <v>1251</v>
      </c>
      <c r="C93" s="58"/>
    </row>
    <row r="94" spans="1:3" ht="12.75" customHeight="1">
      <c r="A94" s="2" t="s">
        <v>1252</v>
      </c>
      <c r="B94" s="2" t="s">
        <v>35</v>
      </c>
      <c r="C94" s="58"/>
    </row>
    <row r="95" spans="1:3" ht="12.75" customHeight="1">
      <c r="A95" s="2" t="s">
        <v>1253</v>
      </c>
      <c r="B95" s="2" t="s">
        <v>1254</v>
      </c>
      <c r="C95" s="58"/>
    </row>
    <row r="96" spans="1:3" ht="12.75" customHeight="1">
      <c r="A96" s="2" t="s">
        <v>1255</v>
      </c>
      <c r="B96" s="2" t="s">
        <v>1256</v>
      </c>
      <c r="C96" s="58"/>
    </row>
    <row r="97" spans="1:3" ht="12.75" customHeight="1">
      <c r="A97" s="2" t="s">
        <v>1257</v>
      </c>
      <c r="B97" s="2" t="s">
        <v>1258</v>
      </c>
      <c r="C97" s="58"/>
    </row>
    <row r="98" spans="1:3" ht="12.75" customHeight="1">
      <c r="A98" s="2" t="s">
        <v>1259</v>
      </c>
      <c r="B98" s="2" t="s">
        <v>1260</v>
      </c>
      <c r="C98" s="58"/>
    </row>
    <row r="99" spans="1:3" ht="12.75" customHeight="1">
      <c r="A99" s="2" t="s">
        <v>1261</v>
      </c>
      <c r="B99" s="2" t="s">
        <v>1262</v>
      </c>
      <c r="C99" s="58"/>
    </row>
    <row r="100" spans="1:3" ht="12.75" customHeight="1">
      <c r="A100" s="2" t="s">
        <v>1263</v>
      </c>
      <c r="B100" s="2" t="s">
        <v>1264</v>
      </c>
      <c r="C100" s="58"/>
    </row>
    <row r="101" spans="1:3" ht="12.75" customHeight="1">
      <c r="A101" s="2" t="s">
        <v>1265</v>
      </c>
      <c r="B101" s="2" t="s">
        <v>1266</v>
      </c>
      <c r="C101" s="58"/>
    </row>
    <row r="102" spans="1:3" ht="12.75" customHeight="1">
      <c r="A102" s="2" t="s">
        <v>1267</v>
      </c>
      <c r="B102" s="2" t="s">
        <v>1268</v>
      </c>
      <c r="C102" s="58"/>
    </row>
    <row r="103" spans="1:3" ht="12.75" customHeight="1">
      <c r="A103" s="2" t="s">
        <v>1269</v>
      </c>
      <c r="B103" s="2" t="s">
        <v>1270</v>
      </c>
      <c r="C103" s="58"/>
    </row>
    <row r="104" spans="1:3" ht="12.75" customHeight="1">
      <c r="A104" s="2" t="s">
        <v>1271</v>
      </c>
      <c r="B104" s="2" t="s">
        <v>1272</v>
      </c>
      <c r="C104" s="58"/>
    </row>
    <row r="105" spans="1:3" ht="12.75" customHeight="1">
      <c r="A105" s="2" t="s">
        <v>1273</v>
      </c>
      <c r="B105" s="2" t="s">
        <v>1274</v>
      </c>
      <c r="C105" s="58"/>
    </row>
    <row r="106" spans="1:3" ht="12.75" customHeight="1">
      <c r="A106" s="2" t="s">
        <v>1275</v>
      </c>
      <c r="B106" s="2" t="s">
        <v>1276</v>
      </c>
      <c r="C106" s="58"/>
    </row>
    <row r="107" spans="1:3" ht="12.75" customHeight="1">
      <c r="A107" s="2" t="s">
        <v>1277</v>
      </c>
      <c r="B107" s="2" t="s">
        <v>1278</v>
      </c>
      <c r="C107" s="58"/>
    </row>
    <row r="108" spans="1:3" ht="12.75" customHeight="1">
      <c r="A108" s="2" t="s">
        <v>1279</v>
      </c>
      <c r="B108" s="2" t="s">
        <v>1280</v>
      </c>
      <c r="C108" s="58"/>
    </row>
    <row r="109" spans="1:3" ht="12.75" customHeight="1">
      <c r="A109" s="2" t="s">
        <v>1281</v>
      </c>
      <c r="B109" s="2" t="s">
        <v>1282</v>
      </c>
      <c r="C109" s="58"/>
    </row>
    <row r="110" spans="1:3" ht="12.75" customHeight="1">
      <c r="A110" s="2" t="s">
        <v>1283</v>
      </c>
      <c r="B110" s="2" t="s">
        <v>1284</v>
      </c>
      <c r="C110" s="58"/>
    </row>
    <row r="111" spans="1:3" ht="12.75" customHeight="1">
      <c r="A111" s="2" t="s">
        <v>1285</v>
      </c>
      <c r="B111" s="2" t="s">
        <v>1286</v>
      </c>
      <c r="C111" s="58"/>
    </row>
    <row r="112" spans="1:3" ht="12.75" customHeight="1">
      <c r="A112" s="2" t="s">
        <v>1287</v>
      </c>
      <c r="B112" s="2" t="s">
        <v>1288</v>
      </c>
      <c r="C112" s="58"/>
    </row>
    <row r="113" spans="1:3" ht="12.75" customHeight="1">
      <c r="A113" s="2" t="s">
        <v>1289</v>
      </c>
      <c r="B113" s="2" t="s">
        <v>1290</v>
      </c>
      <c r="C113" s="58"/>
    </row>
    <row r="114" spans="1:3" ht="12.75" customHeight="1">
      <c r="A114" s="2" t="s">
        <v>1291</v>
      </c>
      <c r="B114" s="2" t="s">
        <v>1292</v>
      </c>
      <c r="C114" s="58"/>
    </row>
    <row r="115" spans="1:3" ht="12.75" customHeight="1">
      <c r="A115" s="2" t="s">
        <v>1293</v>
      </c>
      <c r="B115" s="2" t="s">
        <v>1294</v>
      </c>
      <c r="C115" s="58"/>
    </row>
    <row r="116" spans="1:3" ht="12.75" customHeight="1">
      <c r="A116" s="2" t="s">
        <v>1295</v>
      </c>
      <c r="B116" s="2" t="s">
        <v>1296</v>
      </c>
      <c r="C116" s="58"/>
    </row>
    <row r="117" spans="1:3" ht="12.75" customHeight="1">
      <c r="A117" s="2" t="s">
        <v>1297</v>
      </c>
      <c r="B117" s="2" t="s">
        <v>1298</v>
      </c>
      <c r="C117" s="58"/>
    </row>
    <row r="118" spans="1:3" ht="12.75" customHeight="1">
      <c r="A118" s="2" t="s">
        <v>1299</v>
      </c>
      <c r="B118" s="2" t="s">
        <v>1300</v>
      </c>
      <c r="C118" s="58"/>
    </row>
    <row r="119" spans="1:3" ht="12.75" customHeight="1">
      <c r="A119" s="2" t="s">
        <v>1301</v>
      </c>
      <c r="B119" s="2" t="s">
        <v>1302</v>
      </c>
      <c r="C119" s="58"/>
    </row>
    <row r="120" spans="1:3" ht="12.75" customHeight="1">
      <c r="A120" s="2" t="s">
        <v>1303</v>
      </c>
      <c r="B120" s="2" t="s">
        <v>1304</v>
      </c>
      <c r="C120" s="58"/>
    </row>
    <row r="121" spans="1:3" ht="12.75" customHeight="1">
      <c r="A121" s="2" t="s">
        <v>1305</v>
      </c>
      <c r="B121" s="2" t="s">
        <v>1306</v>
      </c>
      <c r="C121" s="58"/>
    </row>
    <row r="122" spans="1:3" ht="12.75" customHeight="1">
      <c r="A122" s="2" t="s">
        <v>1307</v>
      </c>
      <c r="B122" s="2" t="s">
        <v>1308</v>
      </c>
      <c r="C122" s="58"/>
    </row>
    <row r="123" spans="1:3" ht="12.75" customHeight="1">
      <c r="A123" s="2" t="s">
        <v>1309</v>
      </c>
      <c r="B123" s="2" t="s">
        <v>1310</v>
      </c>
      <c r="C123" s="58"/>
    </row>
    <row r="124" spans="1:3" ht="12.75" customHeight="1">
      <c r="A124" s="2" t="s">
        <v>1311</v>
      </c>
      <c r="B124" s="2" t="s">
        <v>1312</v>
      </c>
      <c r="C124" s="58"/>
    </row>
    <row r="125" spans="1:3" ht="12.75" customHeight="1">
      <c r="A125" s="2" t="s">
        <v>1313</v>
      </c>
      <c r="B125" s="2" t="s">
        <v>1314</v>
      </c>
      <c r="C125" s="58"/>
    </row>
    <row r="126" spans="1:3" ht="12.75" customHeight="1">
      <c r="A126" s="2" t="s">
        <v>1315</v>
      </c>
      <c r="B126" s="2" t="s">
        <v>1316</v>
      </c>
      <c r="C126" s="58"/>
    </row>
    <row r="127" spans="1:3" ht="12.75" customHeight="1">
      <c r="A127" s="2" t="s">
        <v>1317</v>
      </c>
      <c r="B127" s="2" t="s">
        <v>1318</v>
      </c>
      <c r="C127" s="58"/>
    </row>
    <row r="128" spans="1:3" ht="12.75" customHeight="1">
      <c r="A128" s="2" t="s">
        <v>1319</v>
      </c>
      <c r="B128" s="2" t="s">
        <v>1320</v>
      </c>
      <c r="C128" s="58"/>
    </row>
    <row r="129" spans="1:3" ht="12.75" customHeight="1">
      <c r="A129" s="2" t="s">
        <v>1321</v>
      </c>
      <c r="B129" s="2" t="s">
        <v>1322</v>
      </c>
      <c r="C129" s="58"/>
    </row>
    <row r="130" spans="1:3" ht="12.75" customHeight="1">
      <c r="A130" s="2" t="s">
        <v>1323</v>
      </c>
      <c r="B130" s="2" t="s">
        <v>1324</v>
      </c>
      <c r="C130" s="58"/>
    </row>
    <row r="131" spans="1:3" ht="12.75" customHeight="1">
      <c r="A131" s="2" t="s">
        <v>1325</v>
      </c>
      <c r="B131" s="2" t="s">
        <v>1326</v>
      </c>
      <c r="C131" s="58"/>
    </row>
    <row r="132" spans="1:3" ht="12.75" customHeight="1">
      <c r="A132" s="2" t="s">
        <v>1327</v>
      </c>
      <c r="B132" s="2" t="s">
        <v>1328</v>
      </c>
      <c r="C132" s="58"/>
    </row>
    <row r="133" spans="1:3" ht="12.75" customHeight="1">
      <c r="A133" s="2" t="s">
        <v>1329</v>
      </c>
      <c r="B133" s="2" t="s">
        <v>1330</v>
      </c>
      <c r="C133" s="58"/>
    </row>
    <row r="134" spans="1:3" ht="12.75" customHeight="1">
      <c r="A134" s="2" t="s">
        <v>1331</v>
      </c>
      <c r="B134" s="2" t="s">
        <v>1332</v>
      </c>
      <c r="C134" s="58"/>
    </row>
    <row r="135" spans="1:3" ht="12.75" customHeight="1">
      <c r="A135" s="2" t="s">
        <v>1333</v>
      </c>
      <c r="B135" s="2" t="s">
        <v>1334</v>
      </c>
      <c r="C135" s="58"/>
    </row>
    <row r="136" spans="1:3" ht="12.75" customHeight="1">
      <c r="A136" s="2" t="s">
        <v>1335</v>
      </c>
      <c r="B136" s="2" t="s">
        <v>1336</v>
      </c>
      <c r="C136" s="58"/>
    </row>
    <row r="137" spans="1:3" ht="12.75" customHeight="1">
      <c r="A137" s="2" t="s">
        <v>1337</v>
      </c>
      <c r="B137" s="2" t="s">
        <v>1338</v>
      </c>
      <c r="C137" s="58"/>
    </row>
    <row r="138" spans="1:3" ht="12.75" customHeight="1">
      <c r="A138" s="2" t="s">
        <v>1339</v>
      </c>
      <c r="B138" s="2" t="s">
        <v>1340</v>
      </c>
      <c r="C138" s="58"/>
    </row>
    <row r="139" spans="1:3" ht="12.75" customHeight="1">
      <c r="A139" s="2" t="s">
        <v>1341</v>
      </c>
      <c r="B139" s="2" t="s">
        <v>1342</v>
      </c>
      <c r="C139" s="58"/>
    </row>
    <row r="140" spans="1:3" ht="12.75" customHeight="1">
      <c r="A140" s="2" t="s">
        <v>1343</v>
      </c>
      <c r="B140" s="2" t="s">
        <v>1344</v>
      </c>
      <c r="C140" s="58"/>
    </row>
    <row r="141" spans="1:3" ht="12.75" customHeight="1">
      <c r="A141" s="2" t="s">
        <v>1345</v>
      </c>
      <c r="B141" s="2" t="s">
        <v>1346</v>
      </c>
      <c r="C141" s="58"/>
    </row>
    <row r="142" spans="1:3" ht="12.75" customHeight="1">
      <c r="A142" s="2" t="s">
        <v>1347</v>
      </c>
      <c r="B142" s="2" t="s">
        <v>1348</v>
      </c>
      <c r="C142" s="58"/>
    </row>
    <row r="143" spans="1:3" ht="12.75" customHeight="1">
      <c r="A143" s="2" t="s">
        <v>1349</v>
      </c>
      <c r="B143" s="2" t="s">
        <v>1350</v>
      </c>
      <c r="C143" s="58"/>
    </row>
    <row r="144" spans="1:3" ht="12.75" customHeight="1">
      <c r="A144" s="2" t="s">
        <v>1351</v>
      </c>
      <c r="B144" s="2" t="s">
        <v>1352</v>
      </c>
      <c r="C144" s="58"/>
    </row>
    <row r="145" spans="1:3" ht="12.75" customHeight="1">
      <c r="A145" s="2" t="s">
        <v>1353</v>
      </c>
      <c r="B145" s="2" t="s">
        <v>1354</v>
      </c>
      <c r="C145" s="58"/>
    </row>
    <row r="146" spans="1:3" ht="12.75" customHeight="1">
      <c r="A146" s="2" t="s">
        <v>1355</v>
      </c>
      <c r="B146" s="2" t="s">
        <v>1356</v>
      </c>
      <c r="C146" s="58"/>
    </row>
    <row r="147" spans="1:3" ht="12.75" customHeight="1">
      <c r="A147" s="2" t="s">
        <v>1357</v>
      </c>
      <c r="B147" s="2" t="s">
        <v>1358</v>
      </c>
      <c r="C147" s="58"/>
    </row>
    <row r="148" spans="1:3" ht="12.75" customHeight="1">
      <c r="A148" s="2" t="s">
        <v>1359</v>
      </c>
      <c r="B148" s="2" t="s">
        <v>1360</v>
      </c>
      <c r="C148" s="58"/>
    </row>
    <row r="149" spans="1:3" ht="12.75" customHeight="1">
      <c r="A149" s="2" t="s">
        <v>1361</v>
      </c>
      <c r="B149" s="2" t="s">
        <v>1362</v>
      </c>
      <c r="C149" s="58"/>
    </row>
    <row r="150" spans="1:3" ht="12.75" customHeight="1">
      <c r="A150" s="2" t="s">
        <v>1363</v>
      </c>
      <c r="B150" s="2" t="s">
        <v>1364</v>
      </c>
      <c r="C150" s="58"/>
    </row>
    <row r="151" spans="1:3" ht="12.75" customHeight="1">
      <c r="A151" s="2" t="s">
        <v>1365</v>
      </c>
      <c r="B151" s="2" t="s">
        <v>1366</v>
      </c>
      <c r="C151" s="58"/>
    </row>
    <row r="152" spans="1:3" ht="12.75" customHeight="1">
      <c r="A152" s="2" t="s">
        <v>1367</v>
      </c>
      <c r="B152" s="2" t="s">
        <v>1368</v>
      </c>
      <c r="C152" s="58"/>
    </row>
    <row r="153" spans="1:3" ht="12.75" customHeight="1">
      <c r="A153" s="2" t="s">
        <v>1369</v>
      </c>
      <c r="B153" s="2" t="s">
        <v>1370</v>
      </c>
      <c r="C153" s="58"/>
    </row>
    <row r="154" spans="1:3" ht="12.75" customHeight="1">
      <c r="A154" s="2" t="s">
        <v>1371</v>
      </c>
      <c r="B154" s="2" t="s">
        <v>1372</v>
      </c>
      <c r="C154" s="58"/>
    </row>
    <row r="155" spans="1:3" ht="12.75" customHeight="1">
      <c r="A155" s="2" t="s">
        <v>1373</v>
      </c>
      <c r="B155" s="2" t="s">
        <v>1374</v>
      </c>
      <c r="C155" s="58"/>
    </row>
    <row r="156" spans="1:3" ht="12.75" customHeight="1">
      <c r="A156" s="2" t="s">
        <v>1375</v>
      </c>
      <c r="B156" s="2" t="s">
        <v>1376</v>
      </c>
      <c r="C156" s="58"/>
    </row>
    <row r="157" spans="1:3" ht="12.75" customHeight="1">
      <c r="A157" s="2" t="s">
        <v>1377</v>
      </c>
      <c r="B157" s="2" t="s">
        <v>1378</v>
      </c>
      <c r="C157" s="58"/>
    </row>
    <row r="158" spans="1:3" ht="12.75" customHeight="1">
      <c r="A158" s="2" t="s">
        <v>1379</v>
      </c>
      <c r="B158" s="2" t="s">
        <v>1380</v>
      </c>
      <c r="C158" s="58"/>
    </row>
    <row r="159" spans="1:3" ht="12.75" customHeight="1">
      <c r="A159" s="2" t="s">
        <v>1381</v>
      </c>
      <c r="B159" s="2" t="s">
        <v>1382</v>
      </c>
      <c r="C159" s="58"/>
    </row>
    <row r="160" spans="1:3" ht="12.75" customHeight="1">
      <c r="A160" s="2" t="s">
        <v>1383</v>
      </c>
      <c r="B160" s="2" t="s">
        <v>1384</v>
      </c>
      <c r="C160" s="58"/>
    </row>
    <row r="161" spans="1:3" ht="12.75" customHeight="1">
      <c r="A161" s="2" t="s">
        <v>1385</v>
      </c>
      <c r="B161" s="2" t="s">
        <v>1386</v>
      </c>
      <c r="C161" s="58"/>
    </row>
    <row r="162" spans="1:3" ht="12.75" customHeight="1">
      <c r="A162" s="2" t="s">
        <v>1387</v>
      </c>
      <c r="B162" s="2" t="s">
        <v>1388</v>
      </c>
      <c r="C162" s="58"/>
    </row>
    <row r="163" spans="1:3" ht="12.75" customHeight="1">
      <c r="A163" s="2" t="s">
        <v>1389</v>
      </c>
      <c r="B163" s="2" t="s">
        <v>1390</v>
      </c>
      <c r="C163" s="58"/>
    </row>
    <row r="164" spans="1:3" ht="12.75" customHeight="1">
      <c r="A164" s="2" t="s">
        <v>1391</v>
      </c>
      <c r="B164" s="2" t="s">
        <v>1392</v>
      </c>
      <c r="C164" s="58"/>
    </row>
    <row r="165" spans="1:3" ht="12.75" customHeight="1">
      <c r="A165" s="2" t="s">
        <v>1393</v>
      </c>
      <c r="B165" s="2" t="s">
        <v>24</v>
      </c>
      <c r="C165" s="58"/>
    </row>
    <row r="166" spans="1:3" ht="12.75" customHeight="1">
      <c r="A166" s="2" t="s">
        <v>1394</v>
      </c>
      <c r="B166" s="2" t="s">
        <v>1395</v>
      </c>
      <c r="C166" s="58"/>
    </row>
    <row r="167" spans="1:3" ht="12.75" customHeight="1">
      <c r="A167" s="2" t="s">
        <v>1396</v>
      </c>
      <c r="B167" s="2" t="s">
        <v>1397</v>
      </c>
      <c r="C167" s="58"/>
    </row>
    <row r="168" spans="1:3" ht="12.75" customHeight="1">
      <c r="A168" s="2" t="s">
        <v>1398</v>
      </c>
      <c r="B168" s="2" t="s">
        <v>1399</v>
      </c>
      <c r="C168" s="58"/>
    </row>
    <row r="169" spans="1:3" ht="12.75" customHeight="1">
      <c r="A169" s="2" t="s">
        <v>1400</v>
      </c>
      <c r="B169" s="2" t="s">
        <v>1401</v>
      </c>
      <c r="C169" s="58"/>
    </row>
    <row r="170" spans="1:3" ht="12.75" customHeight="1">
      <c r="A170" s="2" t="s">
        <v>1402</v>
      </c>
      <c r="B170" s="2" t="s">
        <v>1403</v>
      </c>
      <c r="C170" s="58"/>
    </row>
    <row r="171" spans="1:3" ht="12.75" customHeight="1">
      <c r="A171" s="2" t="s">
        <v>1404</v>
      </c>
      <c r="B171" s="2" t="s">
        <v>1405</v>
      </c>
      <c r="C171" s="58"/>
    </row>
    <row r="172" spans="1:3" ht="12.75" customHeight="1">
      <c r="A172" s="2" t="s">
        <v>1406</v>
      </c>
      <c r="B172" s="2" t="s">
        <v>1407</v>
      </c>
      <c r="C172" s="58"/>
    </row>
    <row r="173" spans="1:3" ht="12.75" customHeight="1">
      <c r="A173" s="2" t="s">
        <v>1408</v>
      </c>
      <c r="B173" s="2" t="s">
        <v>1409</v>
      </c>
      <c r="C173" s="58"/>
    </row>
    <row r="174" spans="1:3" ht="12.75" customHeight="1">
      <c r="A174" s="2" t="s">
        <v>1410</v>
      </c>
      <c r="B174" s="2" t="s">
        <v>1411</v>
      </c>
      <c r="C174" s="58"/>
    </row>
    <row r="175" spans="1:3" ht="12.75" customHeight="1">
      <c r="A175" s="2" t="s">
        <v>1412</v>
      </c>
      <c r="B175" s="2" t="s">
        <v>1413</v>
      </c>
      <c r="C175" s="58"/>
    </row>
    <row r="176" spans="1:3" ht="12.75" customHeight="1">
      <c r="A176" s="2" t="s">
        <v>1414</v>
      </c>
      <c r="B176" s="2" t="s">
        <v>1415</v>
      </c>
      <c r="C176" s="58"/>
    </row>
    <row r="177" spans="1:3" ht="12.75" customHeight="1">
      <c r="A177" s="2" t="s">
        <v>1416</v>
      </c>
      <c r="B177" s="2" t="s">
        <v>1417</v>
      </c>
      <c r="C177" s="58"/>
    </row>
    <row r="178" spans="1:3" ht="12.75" customHeight="1">
      <c r="A178" s="2" t="s">
        <v>1418</v>
      </c>
      <c r="B178" s="2" t="s">
        <v>1419</v>
      </c>
      <c r="C178" s="58"/>
    </row>
    <row r="179" spans="1:3" ht="12.75" customHeight="1">
      <c r="A179" s="2" t="s">
        <v>1420</v>
      </c>
      <c r="B179" s="2" t="s">
        <v>1421</v>
      </c>
      <c r="C179" s="58"/>
    </row>
    <row r="180" spans="1:3" ht="12.75" customHeight="1">
      <c r="A180" s="2" t="s">
        <v>1422</v>
      </c>
      <c r="B180" s="2" t="s">
        <v>1423</v>
      </c>
      <c r="C180" s="58"/>
    </row>
    <row r="181" spans="1:3" ht="12.75" customHeight="1">
      <c r="A181" s="2" t="s">
        <v>1424</v>
      </c>
      <c r="B181" s="2" t="s">
        <v>1425</v>
      </c>
      <c r="C181" s="58"/>
    </row>
    <row r="182" spans="1:3" ht="12.75" customHeight="1">
      <c r="A182" s="2" t="s">
        <v>1426</v>
      </c>
      <c r="B182" s="2" t="s">
        <v>1427</v>
      </c>
      <c r="C182" s="58"/>
    </row>
    <row r="183" spans="1:3" ht="12.75" customHeight="1">
      <c r="A183" s="2" t="s">
        <v>1428</v>
      </c>
      <c r="B183" s="2" t="s">
        <v>1429</v>
      </c>
      <c r="C183" s="58"/>
    </row>
    <row r="184" spans="1:3" ht="12.75" customHeight="1">
      <c r="A184" s="2" t="s">
        <v>1430</v>
      </c>
      <c r="B184" s="2" t="s">
        <v>1431</v>
      </c>
      <c r="C184" s="58"/>
    </row>
    <row r="185" spans="1:3" ht="12.75" customHeight="1">
      <c r="A185" s="2" t="s">
        <v>1432</v>
      </c>
      <c r="B185" s="2" t="s">
        <v>1433</v>
      </c>
      <c r="C185" s="58"/>
    </row>
    <row r="186" spans="1:3" ht="12.75" customHeight="1">
      <c r="A186" s="2" t="s">
        <v>1434</v>
      </c>
      <c r="B186" s="2" t="s">
        <v>1435</v>
      </c>
      <c r="C186" s="58"/>
    </row>
    <row r="187" spans="1:3" ht="12.75" customHeight="1">
      <c r="A187" s="2" t="s">
        <v>1436</v>
      </c>
      <c r="B187" s="2" t="s">
        <v>1437</v>
      </c>
      <c r="C187" s="58"/>
    </row>
    <row r="188" spans="1:3" ht="12.75" customHeight="1">
      <c r="A188" s="2" t="s">
        <v>1438</v>
      </c>
      <c r="B188" s="2" t="s">
        <v>1439</v>
      </c>
      <c r="C188" s="58"/>
    </row>
    <row r="189" spans="1:3" ht="12.75" customHeight="1">
      <c r="A189" s="2" t="s">
        <v>1440</v>
      </c>
      <c r="B189" s="2" t="s">
        <v>1441</v>
      </c>
      <c r="C189" s="58"/>
    </row>
    <row r="190" spans="1:3" ht="12.75" customHeight="1">
      <c r="A190" s="2" t="s">
        <v>1442</v>
      </c>
      <c r="B190" s="2" t="s">
        <v>1443</v>
      </c>
      <c r="C190" s="58"/>
    </row>
    <row r="191" spans="1:3" ht="12.75" customHeight="1">
      <c r="A191" s="2" t="s">
        <v>1444</v>
      </c>
      <c r="B191" s="2" t="s">
        <v>1445</v>
      </c>
      <c r="C191" s="58"/>
    </row>
    <row r="192" spans="1:3" ht="12.75" customHeight="1">
      <c r="A192" s="2" t="s">
        <v>1446</v>
      </c>
      <c r="B192" s="2" t="s">
        <v>1447</v>
      </c>
      <c r="C192" s="58"/>
    </row>
    <row r="193" spans="1:3" ht="12.75" customHeight="1">
      <c r="A193" s="2" t="s">
        <v>1448</v>
      </c>
      <c r="B193" s="2" t="s">
        <v>1449</v>
      </c>
      <c r="C193" s="58"/>
    </row>
    <row r="194" spans="1:3" ht="12.75" customHeight="1">
      <c r="A194" s="2" t="s">
        <v>1450</v>
      </c>
      <c r="B194" s="2" t="s">
        <v>1451</v>
      </c>
      <c r="C194" s="58"/>
    </row>
    <row r="195" spans="1:3" ht="12.75" customHeight="1">
      <c r="A195" s="2" t="s">
        <v>1452</v>
      </c>
      <c r="B195" s="2" t="s">
        <v>1453</v>
      </c>
      <c r="C195" s="58"/>
    </row>
    <row r="196" spans="1:3" ht="12.75" customHeight="1">
      <c r="A196" s="2" t="s">
        <v>1454</v>
      </c>
      <c r="B196" s="2" t="s">
        <v>1455</v>
      </c>
      <c r="C196" s="58"/>
    </row>
    <row r="197" spans="1:3" ht="12.75" customHeight="1">
      <c r="A197" s="2" t="s">
        <v>1456</v>
      </c>
      <c r="B197" s="2" t="s">
        <v>1457</v>
      </c>
      <c r="C197" s="58"/>
    </row>
    <row r="198" spans="1:3" ht="12.75" customHeight="1">
      <c r="A198" s="2" t="s">
        <v>1458</v>
      </c>
      <c r="B198" s="2" t="s">
        <v>1459</v>
      </c>
      <c r="C198" s="58"/>
    </row>
    <row r="199" spans="1:3" ht="12.75" customHeight="1">
      <c r="A199" s="2" t="s">
        <v>1460</v>
      </c>
      <c r="B199" s="2" t="s">
        <v>1461</v>
      </c>
      <c r="C199" s="58"/>
    </row>
    <row r="200" spans="1:3" ht="12.75" customHeight="1">
      <c r="A200" s="2" t="s">
        <v>1462</v>
      </c>
      <c r="B200" s="2" t="s">
        <v>1463</v>
      </c>
      <c r="C200" s="58"/>
    </row>
    <row r="201" spans="1:3" ht="12.75" customHeight="1">
      <c r="A201" s="2" t="s">
        <v>1464</v>
      </c>
      <c r="B201" s="2" t="s">
        <v>1465</v>
      </c>
      <c r="C201" s="58"/>
    </row>
    <row r="202" spans="1:3" ht="12.75" customHeight="1">
      <c r="A202" s="2" t="s">
        <v>1466</v>
      </c>
      <c r="B202" s="2" t="s">
        <v>1467</v>
      </c>
      <c r="C202" s="58"/>
    </row>
    <row r="203" spans="1:3" ht="12.75" customHeight="1">
      <c r="A203" s="2" t="s">
        <v>1468</v>
      </c>
      <c r="B203" s="2" t="s">
        <v>1469</v>
      </c>
      <c r="C203" s="58"/>
    </row>
    <row r="204" spans="1:3" ht="12.75" customHeight="1">
      <c r="A204" s="2" t="s">
        <v>1470</v>
      </c>
      <c r="B204" s="2" t="s">
        <v>1471</v>
      </c>
      <c r="C204" s="58"/>
    </row>
    <row r="205" spans="1:3" ht="12.75" customHeight="1">
      <c r="A205" s="2" t="s">
        <v>1472</v>
      </c>
      <c r="B205" s="2" t="s">
        <v>1473</v>
      </c>
      <c r="C205" s="58"/>
    </row>
    <row r="206" spans="1:3" ht="12.75" customHeight="1">
      <c r="A206" s="2" t="s">
        <v>1474</v>
      </c>
      <c r="B206" s="2" t="s">
        <v>1475</v>
      </c>
      <c r="C206" s="58"/>
    </row>
    <row r="207" spans="1:3" ht="12.75" customHeight="1">
      <c r="A207" s="2" t="s">
        <v>1476</v>
      </c>
      <c r="B207" s="2" t="s">
        <v>1477</v>
      </c>
      <c r="C207" s="58"/>
    </row>
    <row r="208" spans="1:3" ht="12.75" customHeight="1">
      <c r="A208" s="2" t="s">
        <v>1478</v>
      </c>
      <c r="B208" s="2" t="s">
        <v>1479</v>
      </c>
      <c r="C208" s="58"/>
    </row>
    <row r="209" spans="1:3" ht="12.75" customHeight="1">
      <c r="A209" s="2" t="s">
        <v>1480</v>
      </c>
      <c r="B209" s="2" t="s">
        <v>1481</v>
      </c>
      <c r="C209" s="58"/>
    </row>
    <row r="210" spans="1:3" ht="12.75" customHeight="1">
      <c r="A210" s="2" t="s">
        <v>1482</v>
      </c>
      <c r="B210" s="2" t="s">
        <v>1483</v>
      </c>
      <c r="C210" s="58"/>
    </row>
    <row r="211" spans="1:3" ht="12.75" customHeight="1">
      <c r="A211" s="2" t="s">
        <v>1484</v>
      </c>
      <c r="B211" s="2" t="s">
        <v>1485</v>
      </c>
      <c r="C211" s="58"/>
    </row>
    <row r="212" spans="1:3" ht="12.75" customHeight="1">
      <c r="A212" s="2" t="s">
        <v>1486</v>
      </c>
      <c r="B212" s="2" t="s">
        <v>1487</v>
      </c>
      <c r="C212" s="58"/>
    </row>
    <row r="213" spans="1:3" ht="12.75" customHeight="1">
      <c r="A213" s="2" t="s">
        <v>1488</v>
      </c>
      <c r="B213" s="2" t="s">
        <v>1489</v>
      </c>
    </row>
    <row r="214" spans="1:3" ht="12.75" customHeight="1">
      <c r="A214" s="2" t="s">
        <v>1490</v>
      </c>
      <c r="B214" s="2" t="s">
        <v>1491</v>
      </c>
    </row>
    <row r="215" spans="1:3" ht="12.75" customHeight="1">
      <c r="A215" s="2" t="s">
        <v>1492</v>
      </c>
      <c r="B215" s="2" t="s">
        <v>1493</v>
      </c>
    </row>
    <row r="216" spans="1:3" ht="12.75" customHeight="1">
      <c r="A216" s="2" t="s">
        <v>1494</v>
      </c>
      <c r="B216" s="2" t="s">
        <v>1495</v>
      </c>
    </row>
    <row r="217" spans="1:3" ht="12.75" customHeight="1">
      <c r="A217" s="2" t="s">
        <v>1496</v>
      </c>
      <c r="B217" s="2" t="s">
        <v>1497</v>
      </c>
    </row>
    <row r="218" spans="1:3" ht="12.75" customHeight="1">
      <c r="A218" s="2" t="s">
        <v>1498</v>
      </c>
      <c r="B218" s="2" t="s">
        <v>1499</v>
      </c>
    </row>
    <row r="219" spans="1:3" ht="12.75" customHeight="1">
      <c r="A219" s="2" t="s">
        <v>1500</v>
      </c>
      <c r="B219" s="2" t="s">
        <v>1501</v>
      </c>
    </row>
    <row r="220" spans="1:3" ht="12.75" customHeight="1">
      <c r="A220" s="2" t="s">
        <v>1502</v>
      </c>
      <c r="B220" s="2" t="s">
        <v>1503</v>
      </c>
    </row>
    <row r="221" spans="1:3" ht="12.75" customHeight="1">
      <c r="A221" s="2" t="s">
        <v>1504</v>
      </c>
      <c r="B221" s="2" t="s">
        <v>1505</v>
      </c>
    </row>
    <row r="222" spans="1:3" ht="12.75" customHeight="1">
      <c r="A222" s="2" t="s">
        <v>1506</v>
      </c>
      <c r="B222" s="2" t="s">
        <v>1507</v>
      </c>
    </row>
    <row r="223" spans="1:3" ht="12.75" customHeight="1">
      <c r="A223" s="2" t="s">
        <v>1508</v>
      </c>
      <c r="B223" s="2" t="s">
        <v>1509</v>
      </c>
    </row>
    <row r="224" spans="1:3" ht="12.75" customHeight="1">
      <c r="A224" s="2" t="s">
        <v>1510</v>
      </c>
      <c r="B224" s="2" t="s">
        <v>1511</v>
      </c>
    </row>
    <row r="225" spans="1:2" ht="12.75" customHeight="1">
      <c r="A225" s="2" t="s">
        <v>1512</v>
      </c>
      <c r="B225" s="2" t="s">
        <v>1513</v>
      </c>
    </row>
    <row r="226" spans="1:2" ht="12.75" customHeight="1">
      <c r="A226" s="2" t="s">
        <v>1514</v>
      </c>
      <c r="B226" s="2" t="s">
        <v>1515</v>
      </c>
    </row>
    <row r="227" spans="1:2" ht="12.75" customHeight="1">
      <c r="A227" s="2" t="s">
        <v>1516</v>
      </c>
      <c r="B227" s="2" t="s">
        <v>1517</v>
      </c>
    </row>
    <row r="228" spans="1:2" ht="12.75" customHeight="1">
      <c r="A228" s="2" t="s">
        <v>1518</v>
      </c>
      <c r="B228" s="2" t="s">
        <v>1519</v>
      </c>
    </row>
    <row r="229" spans="1:2" ht="12.75" customHeight="1">
      <c r="A229" s="2" t="s">
        <v>1520</v>
      </c>
      <c r="B229" s="2" t="s">
        <v>1521</v>
      </c>
    </row>
    <row r="230" spans="1:2" ht="12.75" customHeight="1">
      <c r="A230" s="2" t="s">
        <v>1522</v>
      </c>
      <c r="B230" s="2" t="s">
        <v>1523</v>
      </c>
    </row>
    <row r="231" spans="1:2" ht="12.75" customHeight="1">
      <c r="A231" s="2" t="s">
        <v>1524</v>
      </c>
      <c r="B231" s="2" t="s">
        <v>1525</v>
      </c>
    </row>
    <row r="232" spans="1:2" ht="12.75" customHeight="1">
      <c r="A232" s="2" t="s">
        <v>1526</v>
      </c>
      <c r="B232" s="2" t="s">
        <v>1527</v>
      </c>
    </row>
    <row r="233" spans="1:2" ht="12.75" customHeight="1">
      <c r="A233" s="2" t="s">
        <v>1528</v>
      </c>
      <c r="B233" s="2" t="s">
        <v>1529</v>
      </c>
    </row>
    <row r="234" spans="1:2" ht="12.75" customHeight="1">
      <c r="A234" s="2" t="s">
        <v>1530</v>
      </c>
      <c r="B234" s="2" t="s">
        <v>1531</v>
      </c>
    </row>
    <row r="235" spans="1:2" ht="12.75" customHeight="1">
      <c r="A235" s="2" t="s">
        <v>1532</v>
      </c>
      <c r="B235" s="2" t="s">
        <v>1533</v>
      </c>
    </row>
    <row r="236" spans="1:2" ht="12.75" customHeight="1">
      <c r="A236" s="2" t="s">
        <v>1534</v>
      </c>
      <c r="B236" s="2" t="s">
        <v>1535</v>
      </c>
    </row>
    <row r="237" spans="1:2" ht="12.75" customHeight="1">
      <c r="A237" s="2" t="s">
        <v>1536</v>
      </c>
      <c r="B237" s="2" t="s">
        <v>1537</v>
      </c>
    </row>
    <row r="238" spans="1:2" ht="12.75" customHeight="1">
      <c r="A238" s="2" t="s">
        <v>1538</v>
      </c>
      <c r="B238" s="2" t="s">
        <v>1539</v>
      </c>
    </row>
    <row r="239" spans="1:2" ht="12.75" customHeight="1">
      <c r="A239" s="2" t="s">
        <v>1540</v>
      </c>
      <c r="B239" s="2" t="s">
        <v>1541</v>
      </c>
    </row>
    <row r="240" spans="1:2" ht="12.75" customHeight="1">
      <c r="A240" s="2" t="s">
        <v>1542</v>
      </c>
      <c r="B240" s="2" t="s">
        <v>1543</v>
      </c>
    </row>
    <row r="241" spans="1:2" ht="12.75" customHeight="1">
      <c r="A241" s="2" t="s">
        <v>1544</v>
      </c>
      <c r="B241" s="2" t="s">
        <v>1545</v>
      </c>
    </row>
    <row r="242" spans="1:2" ht="12.75" customHeight="1">
      <c r="A242" s="2" t="s">
        <v>1546</v>
      </c>
      <c r="B242" s="2" t="s">
        <v>1547</v>
      </c>
    </row>
    <row r="243" spans="1:2" ht="12.75" customHeight="1">
      <c r="A243" s="2" t="s">
        <v>1548</v>
      </c>
      <c r="B243" s="2" t="s">
        <v>1549</v>
      </c>
    </row>
    <row r="244" spans="1:2" ht="12.75" customHeight="1">
      <c r="A244" s="2" t="s">
        <v>1550</v>
      </c>
      <c r="B244" s="2" t="s">
        <v>1551</v>
      </c>
    </row>
    <row r="245" spans="1:2" ht="12.75" customHeight="1">
      <c r="A245" s="2" t="s">
        <v>1552</v>
      </c>
      <c r="B245" s="2" t="s">
        <v>1553</v>
      </c>
    </row>
    <row r="246" spans="1:2" ht="12.75" customHeight="1">
      <c r="A246" s="2" t="s">
        <v>1554</v>
      </c>
      <c r="B246" s="2" t="s">
        <v>1555</v>
      </c>
    </row>
    <row r="247" spans="1:2" ht="12.75" customHeight="1">
      <c r="A247" s="2" t="s">
        <v>1556</v>
      </c>
      <c r="B247" s="2" t="s">
        <v>1557</v>
      </c>
    </row>
    <row r="248" spans="1:2" ht="12.75" customHeight="1">
      <c r="A248" s="2" t="s">
        <v>1558</v>
      </c>
      <c r="B248" s="2" t="s">
        <v>1559</v>
      </c>
    </row>
    <row r="249" spans="1:2" ht="12.75" customHeight="1">
      <c r="A249" s="2" t="s">
        <v>1560</v>
      </c>
      <c r="B249" s="2" t="s">
        <v>1561</v>
      </c>
    </row>
    <row r="250" spans="1:2" ht="12.75" customHeight="1">
      <c r="A250" s="2" t="s">
        <v>1562</v>
      </c>
      <c r="B250" s="2" t="s">
        <v>1563</v>
      </c>
    </row>
    <row r="251" spans="1:2" ht="12.75" customHeight="1">
      <c r="A251" s="2" t="s">
        <v>1564</v>
      </c>
      <c r="B251" s="2" t="s">
        <v>1565</v>
      </c>
    </row>
    <row r="252" spans="1:2" ht="12.75" customHeight="1">
      <c r="A252" s="2" t="s">
        <v>1566</v>
      </c>
      <c r="B252" s="2" t="s">
        <v>1567</v>
      </c>
    </row>
    <row r="253" spans="1:2" ht="12.75" customHeight="1">
      <c r="A253" s="2" t="s">
        <v>1568</v>
      </c>
      <c r="B253" s="2" t="s">
        <v>1569</v>
      </c>
    </row>
    <row r="254" spans="1:2" ht="12.75" customHeight="1">
      <c r="A254" s="2" t="s">
        <v>1570</v>
      </c>
      <c r="B254" s="2" t="s">
        <v>1571</v>
      </c>
    </row>
    <row r="255" spans="1:2" ht="12.75" customHeight="1">
      <c r="A255" s="2" t="s">
        <v>1572</v>
      </c>
      <c r="B255" s="2" t="s">
        <v>1573</v>
      </c>
    </row>
    <row r="256" spans="1:2" ht="12.75" customHeight="1">
      <c r="A256" s="2" t="s">
        <v>1574</v>
      </c>
      <c r="B256" s="2" t="s">
        <v>1575</v>
      </c>
    </row>
    <row r="257" spans="1:2" ht="12.75" customHeight="1">
      <c r="A257" s="2" t="s">
        <v>1576</v>
      </c>
      <c r="B257" s="2" t="s">
        <v>1577</v>
      </c>
    </row>
    <row r="258" spans="1:2" ht="12.75" customHeight="1">
      <c r="A258" s="2" t="s">
        <v>1578</v>
      </c>
      <c r="B258" s="2" t="s">
        <v>1579</v>
      </c>
    </row>
    <row r="259" spans="1:2" ht="12.75" customHeight="1">
      <c r="A259" s="2" t="s">
        <v>1580</v>
      </c>
      <c r="B259" s="2" t="s">
        <v>1581</v>
      </c>
    </row>
    <row r="260" spans="1:2" ht="12.75" customHeight="1">
      <c r="A260" s="2" t="s">
        <v>1582</v>
      </c>
      <c r="B260" s="2" t="s">
        <v>1583</v>
      </c>
    </row>
    <row r="261" spans="1:2" ht="12.75" customHeight="1">
      <c r="A261" s="2" t="s">
        <v>1584</v>
      </c>
      <c r="B261" s="2" t="s">
        <v>1585</v>
      </c>
    </row>
    <row r="262" spans="1:2" ht="12.75" customHeight="1">
      <c r="A262" s="2" t="s">
        <v>1586</v>
      </c>
      <c r="B262" s="2" t="s">
        <v>1587</v>
      </c>
    </row>
    <row r="263" spans="1:2" ht="12.75" customHeight="1">
      <c r="A263" s="2" t="s">
        <v>1588</v>
      </c>
      <c r="B263" s="2" t="s">
        <v>1589</v>
      </c>
    </row>
    <row r="264" spans="1:2" ht="12.75" customHeight="1">
      <c r="A264" s="2" t="s">
        <v>1590</v>
      </c>
      <c r="B264" s="2" t="s">
        <v>1591</v>
      </c>
    </row>
    <row r="265" spans="1:2" ht="12.75" customHeight="1">
      <c r="A265" s="2" t="s">
        <v>1592</v>
      </c>
      <c r="B265" s="2" t="s">
        <v>1593</v>
      </c>
    </row>
    <row r="266" spans="1:2" ht="12.75" customHeight="1">
      <c r="A266" s="2" t="s">
        <v>1594</v>
      </c>
      <c r="B266" s="2" t="s">
        <v>1595</v>
      </c>
    </row>
    <row r="267" spans="1:2" ht="12.75" customHeight="1">
      <c r="A267" s="2" t="s">
        <v>1596</v>
      </c>
      <c r="B267" s="2" t="s">
        <v>1597</v>
      </c>
    </row>
    <row r="268" spans="1:2" ht="12.75" customHeight="1">
      <c r="A268" s="2" t="s">
        <v>1598</v>
      </c>
      <c r="B268" s="2" t="s">
        <v>1599</v>
      </c>
    </row>
    <row r="269" spans="1:2" ht="12.75" customHeight="1">
      <c r="A269" s="2" t="s">
        <v>1600</v>
      </c>
      <c r="B269" s="2" t="s">
        <v>1601</v>
      </c>
    </row>
    <row r="270" spans="1:2" ht="12.75" customHeight="1">
      <c r="A270" s="2" t="s">
        <v>1602</v>
      </c>
      <c r="B270" s="2" t="s">
        <v>1603</v>
      </c>
    </row>
    <row r="271" spans="1:2" ht="12.75" customHeight="1">
      <c r="A271" s="2" t="s">
        <v>1604</v>
      </c>
      <c r="B271" s="2" t="s">
        <v>1605</v>
      </c>
    </row>
    <row r="272" spans="1:2" ht="12.75" customHeight="1">
      <c r="A272" s="2" t="s">
        <v>1606</v>
      </c>
      <c r="B272" s="2" t="s">
        <v>1607</v>
      </c>
    </row>
    <row r="273" spans="1:2" ht="12.75" customHeight="1">
      <c r="A273" s="2" t="s">
        <v>1608</v>
      </c>
      <c r="B273" s="2" t="s">
        <v>1609</v>
      </c>
    </row>
    <row r="274" spans="1:2" ht="12.75" customHeight="1">
      <c r="A274" s="2" t="s">
        <v>1610</v>
      </c>
      <c r="B274" s="2" t="s">
        <v>1611</v>
      </c>
    </row>
    <row r="275" spans="1:2" ht="12.75" customHeight="1">
      <c r="A275" s="2" t="s">
        <v>1612</v>
      </c>
      <c r="B275" s="2" t="s">
        <v>1613</v>
      </c>
    </row>
    <row r="276" spans="1:2" ht="12.75" customHeight="1">
      <c r="A276" s="2" t="s">
        <v>1614</v>
      </c>
      <c r="B276" s="2" t="s">
        <v>1615</v>
      </c>
    </row>
    <row r="277" spans="1:2" ht="12.75" customHeight="1">
      <c r="A277" s="2" t="s">
        <v>1616</v>
      </c>
      <c r="B277" s="2" t="s">
        <v>1617</v>
      </c>
    </row>
    <row r="278" spans="1:2" ht="12.75" customHeight="1">
      <c r="A278" s="2" t="s">
        <v>1618</v>
      </c>
      <c r="B278" s="2" t="s">
        <v>1619</v>
      </c>
    </row>
    <row r="279" spans="1:2" ht="12.75" customHeight="1">
      <c r="A279" s="2" t="s">
        <v>1620</v>
      </c>
      <c r="B279" s="2" t="s">
        <v>1621</v>
      </c>
    </row>
    <row r="280" spans="1:2" ht="12.75" customHeight="1">
      <c r="A280" s="2" t="s">
        <v>1622</v>
      </c>
      <c r="B280" s="2" t="s">
        <v>1623</v>
      </c>
    </row>
    <row r="281" spans="1:2" ht="12.75" customHeight="1">
      <c r="A281" s="2" t="s">
        <v>1624</v>
      </c>
      <c r="B281" s="2" t="s">
        <v>1625</v>
      </c>
    </row>
    <row r="282" spans="1:2" ht="12.75" customHeight="1">
      <c r="A282" s="2" t="s">
        <v>1626</v>
      </c>
      <c r="B282" s="2" t="s">
        <v>1627</v>
      </c>
    </row>
    <row r="283" spans="1:2" ht="12.75" customHeight="1">
      <c r="A283" s="2" t="s">
        <v>1628</v>
      </c>
      <c r="B283" s="2" t="s">
        <v>1629</v>
      </c>
    </row>
    <row r="284" spans="1:2" ht="12.75" customHeight="1">
      <c r="A284" s="2" t="s">
        <v>1630</v>
      </c>
      <c r="B284" s="2" t="s">
        <v>1631</v>
      </c>
    </row>
    <row r="285" spans="1:2" ht="12.75" customHeight="1">
      <c r="A285" s="2" t="s">
        <v>1632</v>
      </c>
      <c r="B285" s="2" t="s">
        <v>1633</v>
      </c>
    </row>
    <row r="286" spans="1:2" ht="12.75" customHeight="1">
      <c r="A286" s="2" t="s">
        <v>1634</v>
      </c>
      <c r="B286" s="2" t="s">
        <v>1635</v>
      </c>
    </row>
    <row r="287" spans="1:2" ht="12.75" customHeight="1">
      <c r="A287" s="2" t="s">
        <v>1636</v>
      </c>
      <c r="B287" s="2" t="s">
        <v>1637</v>
      </c>
    </row>
    <row r="288" spans="1:2" ht="12.75" customHeight="1">
      <c r="A288" s="2" t="s">
        <v>1638</v>
      </c>
      <c r="B288" s="2" t="s">
        <v>1639</v>
      </c>
    </row>
    <row r="289" spans="1:2" ht="12.75" customHeight="1">
      <c r="A289" s="2" t="s">
        <v>1640</v>
      </c>
      <c r="B289" s="2" t="s">
        <v>1641</v>
      </c>
    </row>
    <row r="290" spans="1:2" ht="12.75" customHeight="1">
      <c r="A290" s="2" t="s">
        <v>1642</v>
      </c>
      <c r="B290" s="2" t="s">
        <v>1643</v>
      </c>
    </row>
    <row r="291" spans="1:2" ht="12.75" customHeight="1">
      <c r="A291" s="2" t="s">
        <v>1644</v>
      </c>
      <c r="B291" s="2" t="s">
        <v>1645</v>
      </c>
    </row>
    <row r="292" spans="1:2" ht="12.75" customHeight="1">
      <c r="A292" s="2" t="s">
        <v>1646</v>
      </c>
      <c r="B292" s="2" t="s">
        <v>1647</v>
      </c>
    </row>
    <row r="293" spans="1:2" ht="12.75" customHeight="1">
      <c r="A293" s="2" t="s">
        <v>1648</v>
      </c>
      <c r="B293" s="2" t="s">
        <v>1649</v>
      </c>
    </row>
    <row r="294" spans="1:2" ht="12.75" customHeight="1">
      <c r="A294" s="2" t="s">
        <v>1650</v>
      </c>
      <c r="B294" s="2" t="s">
        <v>1651</v>
      </c>
    </row>
    <row r="295" spans="1:2" ht="12.75" customHeight="1">
      <c r="A295" s="2" t="s">
        <v>1652</v>
      </c>
      <c r="B295" s="2" t="s">
        <v>1653</v>
      </c>
    </row>
    <row r="296" spans="1:2" ht="12.75" customHeight="1">
      <c r="A296" s="2" t="s">
        <v>1654</v>
      </c>
      <c r="B296" s="2" t="s">
        <v>1655</v>
      </c>
    </row>
    <row r="297" spans="1:2" ht="12.75" customHeight="1">
      <c r="A297" s="2" t="s">
        <v>1656</v>
      </c>
      <c r="B297" s="2" t="s">
        <v>1657</v>
      </c>
    </row>
    <row r="298" spans="1:2" ht="12.75" customHeight="1">
      <c r="A298" s="2" t="s">
        <v>1658</v>
      </c>
      <c r="B298" s="2" t="s">
        <v>1659</v>
      </c>
    </row>
    <row r="299" spans="1:2" ht="12.75" customHeight="1">
      <c r="A299" s="2" t="s">
        <v>1660</v>
      </c>
      <c r="B299" s="2" t="s">
        <v>1661</v>
      </c>
    </row>
    <row r="300" spans="1:2" ht="12.75" customHeight="1">
      <c r="A300" s="2" t="s">
        <v>1662</v>
      </c>
      <c r="B300" s="2" t="s">
        <v>1663</v>
      </c>
    </row>
    <row r="301" spans="1:2" ht="12.75" customHeight="1">
      <c r="A301" s="2" t="s">
        <v>1664</v>
      </c>
      <c r="B301" s="2" t="s">
        <v>1665</v>
      </c>
    </row>
    <row r="302" spans="1:2" ht="12.75" customHeight="1">
      <c r="A302" s="2" t="s">
        <v>1666</v>
      </c>
      <c r="B302" s="2" t="s">
        <v>1667</v>
      </c>
    </row>
    <row r="303" spans="1:2" ht="12.75" customHeight="1">
      <c r="A303" s="2" t="s">
        <v>1668</v>
      </c>
      <c r="B303" s="2" t="s">
        <v>1669</v>
      </c>
    </row>
    <row r="304" spans="1:2" ht="12.75" customHeight="1">
      <c r="A304" s="2" t="s">
        <v>1670</v>
      </c>
      <c r="B304" s="2" t="s">
        <v>1671</v>
      </c>
    </row>
    <row r="305" spans="1:2" ht="12.75" customHeight="1">
      <c r="A305" s="2" t="s">
        <v>1672</v>
      </c>
      <c r="B305" s="2" t="s">
        <v>1673</v>
      </c>
    </row>
    <row r="306" spans="1:2" ht="12.75" customHeight="1">
      <c r="A306" s="2" t="s">
        <v>1674</v>
      </c>
      <c r="B306" s="2" t="s">
        <v>1675</v>
      </c>
    </row>
    <row r="307" spans="1:2" ht="12.75" customHeight="1">
      <c r="A307" s="2" t="s">
        <v>1676</v>
      </c>
      <c r="B307" s="2" t="s">
        <v>1677</v>
      </c>
    </row>
    <row r="308" spans="1:2" ht="12.75" customHeight="1">
      <c r="A308" s="2" t="s">
        <v>1678</v>
      </c>
      <c r="B308" s="2" t="s">
        <v>1679</v>
      </c>
    </row>
    <row r="309" spans="1:2" ht="12.75" customHeight="1">
      <c r="A309" s="2" t="s">
        <v>1680</v>
      </c>
      <c r="B309" s="2" t="s">
        <v>1681</v>
      </c>
    </row>
    <row r="310" spans="1:2" ht="12.75" customHeight="1">
      <c r="A310" s="2" t="s">
        <v>1682</v>
      </c>
      <c r="B310" s="2" t="s">
        <v>1683</v>
      </c>
    </row>
    <row r="311" spans="1:2" ht="12.75" customHeight="1">
      <c r="A311" s="2" t="s">
        <v>1684</v>
      </c>
      <c r="B311" s="2" t="s">
        <v>1685</v>
      </c>
    </row>
    <row r="312" spans="1:2" ht="12.75" customHeight="1">
      <c r="A312" s="2" t="s">
        <v>1686</v>
      </c>
      <c r="B312" s="2" t="s">
        <v>1687</v>
      </c>
    </row>
    <row r="313" spans="1:2" ht="12.75" customHeight="1">
      <c r="A313" s="2" t="s">
        <v>1688</v>
      </c>
      <c r="B313" s="2" t="s">
        <v>1689</v>
      </c>
    </row>
    <row r="314" spans="1:2" ht="12.75" customHeight="1">
      <c r="A314" s="2" t="s">
        <v>1690</v>
      </c>
      <c r="B314" s="2" t="s">
        <v>1691</v>
      </c>
    </row>
    <row r="315" spans="1:2" ht="12.75" customHeight="1">
      <c r="A315" s="2" t="s">
        <v>1692</v>
      </c>
      <c r="B315" s="2" t="s">
        <v>1693</v>
      </c>
    </row>
    <row r="316" spans="1:2" ht="12.75" customHeight="1">
      <c r="A316" s="2" t="s">
        <v>1694</v>
      </c>
      <c r="B316" s="2" t="s">
        <v>1695</v>
      </c>
    </row>
    <row r="317" spans="1:2" ht="12.75" customHeight="1">
      <c r="A317" s="2" t="s">
        <v>1696</v>
      </c>
      <c r="B317" s="2" t="s">
        <v>1697</v>
      </c>
    </row>
    <row r="318" spans="1:2" ht="12.75" customHeight="1">
      <c r="A318" s="2" t="s">
        <v>1698</v>
      </c>
      <c r="B318" s="2" t="s">
        <v>1699</v>
      </c>
    </row>
    <row r="319" spans="1:2" ht="12.75" customHeight="1">
      <c r="A319" s="2" t="s">
        <v>1700</v>
      </c>
      <c r="B319" s="2" t="s">
        <v>1701</v>
      </c>
    </row>
    <row r="320" spans="1:2" ht="12.75" customHeight="1">
      <c r="A320" s="2" t="s">
        <v>1702</v>
      </c>
      <c r="B320" s="2" t="s">
        <v>1703</v>
      </c>
    </row>
    <row r="321" spans="1:2" ht="12.75" customHeight="1">
      <c r="A321" s="2" t="s">
        <v>1704</v>
      </c>
      <c r="B321" s="2" t="s">
        <v>1705</v>
      </c>
    </row>
    <row r="322" spans="1:2" ht="12.75" customHeight="1">
      <c r="A322" s="2" t="s">
        <v>1706</v>
      </c>
      <c r="B322" s="2" t="s">
        <v>1707</v>
      </c>
    </row>
    <row r="323" spans="1:2" ht="12.75" customHeight="1">
      <c r="A323" s="2" t="s">
        <v>1708</v>
      </c>
      <c r="B323" s="2" t="s">
        <v>1709</v>
      </c>
    </row>
    <row r="324" spans="1:2" ht="12.75" customHeight="1">
      <c r="A324" s="2" t="s">
        <v>1710</v>
      </c>
      <c r="B324" s="2" t="s">
        <v>1711</v>
      </c>
    </row>
    <row r="325" spans="1:2" ht="12.75" customHeight="1">
      <c r="A325" s="2" t="s">
        <v>1712</v>
      </c>
      <c r="B325" s="2" t="s">
        <v>1713</v>
      </c>
    </row>
    <row r="326" spans="1:2" ht="12.75" customHeight="1">
      <c r="A326" s="2" t="s">
        <v>1714</v>
      </c>
      <c r="B326" s="2" t="s">
        <v>1715</v>
      </c>
    </row>
    <row r="327" spans="1:2" ht="12.75" customHeight="1">
      <c r="A327" s="2" t="s">
        <v>1716</v>
      </c>
      <c r="B327" s="2" t="s">
        <v>1717</v>
      </c>
    </row>
    <row r="328" spans="1:2" ht="12.75" customHeight="1">
      <c r="A328" s="2" t="s">
        <v>1718</v>
      </c>
      <c r="B328" s="2" t="s">
        <v>1719</v>
      </c>
    </row>
    <row r="329" spans="1:2" ht="12.75" customHeight="1">
      <c r="A329" s="2" t="s">
        <v>1720</v>
      </c>
      <c r="B329" s="2" t="s">
        <v>1721</v>
      </c>
    </row>
    <row r="330" spans="1:2" ht="12.75" customHeight="1">
      <c r="A330" s="2" t="s">
        <v>1722</v>
      </c>
      <c r="B330" s="2" t="s">
        <v>1723</v>
      </c>
    </row>
    <row r="331" spans="1:2" ht="12.75" customHeight="1">
      <c r="A331" s="2" t="s">
        <v>1724</v>
      </c>
      <c r="B331" s="2" t="s">
        <v>1725</v>
      </c>
    </row>
    <row r="332" spans="1:2" ht="12.75" customHeight="1">
      <c r="A332" s="2" t="s">
        <v>1726</v>
      </c>
      <c r="B332" s="2" t="s">
        <v>1727</v>
      </c>
    </row>
    <row r="333" spans="1:2" ht="12.75" customHeight="1">
      <c r="A333" s="2" t="s">
        <v>1728</v>
      </c>
      <c r="B333" s="2" t="s">
        <v>1729</v>
      </c>
    </row>
    <row r="334" spans="1:2" ht="12.75" customHeight="1">
      <c r="A334" s="2" t="s">
        <v>1730</v>
      </c>
      <c r="B334" s="2" t="s">
        <v>1731</v>
      </c>
    </row>
    <row r="335" spans="1:2" ht="12.75" customHeight="1">
      <c r="A335" s="2" t="s">
        <v>1732</v>
      </c>
      <c r="B335" s="2" t="s">
        <v>1733</v>
      </c>
    </row>
    <row r="336" spans="1:2" ht="12.75" customHeight="1">
      <c r="A336" s="2" t="s">
        <v>1734</v>
      </c>
      <c r="B336" s="2" t="s">
        <v>1735</v>
      </c>
    </row>
    <row r="337" spans="1:2" ht="12.75" customHeight="1">
      <c r="A337" s="2" t="s">
        <v>1736</v>
      </c>
      <c r="B337" s="2" t="s">
        <v>1737</v>
      </c>
    </row>
    <row r="338" spans="1:2" ht="12.75" customHeight="1">
      <c r="A338" s="2" t="s">
        <v>1738</v>
      </c>
      <c r="B338" s="2" t="s">
        <v>1739</v>
      </c>
    </row>
    <row r="339" spans="1:2" ht="12.75" customHeight="1">
      <c r="A339" s="2" t="s">
        <v>1740</v>
      </c>
      <c r="B339" s="2" t="s">
        <v>1741</v>
      </c>
    </row>
    <row r="340" spans="1:2" ht="12.75" customHeight="1">
      <c r="A340" s="2" t="s">
        <v>1742</v>
      </c>
      <c r="B340" s="2" t="s">
        <v>1743</v>
      </c>
    </row>
    <row r="341" spans="1:2" ht="12.75" customHeight="1">
      <c r="A341" s="2" t="s">
        <v>1744</v>
      </c>
      <c r="B341" s="2" t="s">
        <v>1745</v>
      </c>
    </row>
    <row r="342" spans="1:2" ht="12.75" customHeight="1">
      <c r="A342" s="2" t="s">
        <v>1746</v>
      </c>
      <c r="B342" s="2" t="s">
        <v>1747</v>
      </c>
    </row>
    <row r="343" spans="1:2" ht="12.75" customHeight="1">
      <c r="A343" s="2" t="s">
        <v>1748</v>
      </c>
      <c r="B343" s="2" t="s">
        <v>1749</v>
      </c>
    </row>
    <row r="344" spans="1:2" ht="12.75" customHeight="1">
      <c r="A344" s="2" t="s">
        <v>1750</v>
      </c>
      <c r="B344" s="2" t="s">
        <v>1751</v>
      </c>
    </row>
    <row r="345" spans="1:2" ht="12.75" customHeight="1">
      <c r="A345" s="2" t="s">
        <v>1752</v>
      </c>
      <c r="B345" s="2" t="s">
        <v>1753</v>
      </c>
    </row>
    <row r="346" spans="1:2" ht="12.75" customHeight="1">
      <c r="A346" s="2" t="s">
        <v>1754</v>
      </c>
      <c r="B346" s="2" t="s">
        <v>1755</v>
      </c>
    </row>
    <row r="347" spans="1:2" ht="12.75" customHeight="1">
      <c r="A347" s="2" t="s">
        <v>1756</v>
      </c>
      <c r="B347" s="2" t="s">
        <v>1757</v>
      </c>
    </row>
    <row r="348" spans="1:2" ht="12.75" customHeight="1">
      <c r="A348" s="2" t="s">
        <v>1758</v>
      </c>
      <c r="B348" s="2" t="s">
        <v>1759</v>
      </c>
    </row>
    <row r="349" spans="1:2" ht="12.75" customHeight="1">
      <c r="A349" s="2" t="s">
        <v>1760</v>
      </c>
      <c r="B349" s="2" t="s">
        <v>1761</v>
      </c>
    </row>
    <row r="350" spans="1:2" ht="12.75" customHeight="1">
      <c r="A350" s="2" t="s">
        <v>1762</v>
      </c>
      <c r="B350" s="2" t="s">
        <v>1763</v>
      </c>
    </row>
    <row r="351" spans="1:2" ht="12.75" customHeight="1">
      <c r="A351" s="2" t="s">
        <v>1764</v>
      </c>
      <c r="B351" s="2" t="s">
        <v>1765</v>
      </c>
    </row>
    <row r="352" spans="1:2" ht="12.75" customHeight="1">
      <c r="A352" s="2" t="s">
        <v>1766</v>
      </c>
      <c r="B352" s="2" t="s">
        <v>1767</v>
      </c>
    </row>
    <row r="353" spans="1:2" ht="12.75" customHeight="1">
      <c r="A353" s="2" t="s">
        <v>1768</v>
      </c>
      <c r="B353" s="2" t="s">
        <v>1769</v>
      </c>
    </row>
    <row r="354" spans="1:2" ht="12.75" customHeight="1">
      <c r="A354" s="2" t="s">
        <v>1770</v>
      </c>
      <c r="B354" s="2" t="s">
        <v>1771</v>
      </c>
    </row>
    <row r="355" spans="1:2" ht="12.75" customHeight="1">
      <c r="A355" s="2" t="s">
        <v>1772</v>
      </c>
      <c r="B355" s="2" t="s">
        <v>1773</v>
      </c>
    </row>
    <row r="356" spans="1:2" ht="12.75" customHeight="1">
      <c r="A356" s="2" t="s">
        <v>1774</v>
      </c>
      <c r="B356" s="2" t="s">
        <v>1775</v>
      </c>
    </row>
    <row r="357" spans="1:2" ht="12.75" customHeight="1">
      <c r="A357" s="2" t="s">
        <v>1776</v>
      </c>
      <c r="B357" s="2" t="s">
        <v>1777</v>
      </c>
    </row>
    <row r="358" spans="1:2" ht="12.75" customHeight="1">
      <c r="A358" s="2" t="s">
        <v>1778</v>
      </c>
      <c r="B358" s="2" t="s">
        <v>1779</v>
      </c>
    </row>
    <row r="359" spans="1:2" ht="12.75" customHeight="1">
      <c r="A359" s="2" t="s">
        <v>1780</v>
      </c>
      <c r="B359" s="2" t="s">
        <v>1781</v>
      </c>
    </row>
    <row r="360" spans="1:2" ht="12.75" customHeight="1">
      <c r="A360" s="2" t="s">
        <v>1782</v>
      </c>
      <c r="B360" s="2" t="s">
        <v>1783</v>
      </c>
    </row>
    <row r="361" spans="1:2" ht="12.75" customHeight="1">
      <c r="A361" s="2" t="s">
        <v>1784</v>
      </c>
      <c r="B361" s="2" t="s">
        <v>1785</v>
      </c>
    </row>
    <row r="362" spans="1:2" ht="12.75" customHeight="1">
      <c r="A362" s="2" t="s">
        <v>1786</v>
      </c>
      <c r="B362" s="2" t="s">
        <v>1787</v>
      </c>
    </row>
    <row r="363" spans="1:2" ht="12.75" customHeight="1">
      <c r="A363" s="2" t="s">
        <v>1788</v>
      </c>
      <c r="B363" s="2" t="s">
        <v>1789</v>
      </c>
    </row>
    <row r="364" spans="1:2" ht="12.75" customHeight="1">
      <c r="A364" s="2" t="s">
        <v>1790</v>
      </c>
      <c r="B364" s="2" t="s">
        <v>1791</v>
      </c>
    </row>
    <row r="365" spans="1:2" ht="12.75" customHeight="1"/>
    <row r="366" spans="1:2" ht="12.75" customHeight="1"/>
    <row r="367" spans="1:2" ht="12.75" customHeight="1"/>
    <row r="368" spans="1:2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B364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workbookViewId="0"/>
  </sheetViews>
  <sheetFormatPr baseColWidth="10" defaultColWidth="12.6640625" defaultRowHeight="15" customHeight="1"/>
  <cols>
    <col min="1" max="1" width="18.33203125" customWidth="1"/>
    <col min="2" max="2" width="12" customWidth="1"/>
    <col min="3" max="3" width="7.1640625" customWidth="1"/>
    <col min="4" max="4" width="8.1640625" customWidth="1"/>
    <col min="5" max="5" width="9.5" customWidth="1"/>
    <col min="6" max="6" width="8" customWidth="1"/>
    <col min="7" max="8" width="7.33203125" customWidth="1"/>
    <col min="9" max="9" width="10.5" customWidth="1"/>
    <col min="10" max="26" width="8.83203125" customWidth="1"/>
  </cols>
  <sheetData>
    <row r="1" spans="1:14" ht="12.75" customHeight="1">
      <c r="A1" s="20" t="s">
        <v>1792</v>
      </c>
    </row>
    <row r="2" spans="1:14" ht="12.75" customHeight="1"/>
    <row r="3" spans="1:14" ht="12.75" customHeight="1">
      <c r="A3" s="59" t="s">
        <v>1793</v>
      </c>
      <c r="B3" s="60"/>
      <c r="C3" s="60"/>
      <c r="D3" s="60"/>
      <c r="E3" s="60"/>
      <c r="F3" s="60"/>
      <c r="G3" s="59" t="s">
        <v>3</v>
      </c>
      <c r="H3" s="60"/>
      <c r="I3" s="60"/>
      <c r="J3" s="60"/>
      <c r="K3" s="60"/>
      <c r="L3" s="60"/>
      <c r="M3" s="60"/>
      <c r="N3" s="61"/>
    </row>
    <row r="4" spans="1:14" ht="12.75" customHeight="1">
      <c r="A4" s="59" t="s">
        <v>5</v>
      </c>
      <c r="B4" s="59" t="s">
        <v>6</v>
      </c>
      <c r="C4" s="59" t="s">
        <v>9</v>
      </c>
      <c r="D4" s="59" t="s">
        <v>13</v>
      </c>
      <c r="E4" s="59" t="s">
        <v>14</v>
      </c>
      <c r="F4" s="59" t="s">
        <v>15</v>
      </c>
      <c r="G4" s="62" t="s">
        <v>56</v>
      </c>
      <c r="H4" s="63" t="s">
        <v>35</v>
      </c>
      <c r="I4" s="63" t="s">
        <v>36</v>
      </c>
      <c r="J4" s="63" t="s">
        <v>24</v>
      </c>
      <c r="K4" s="63" t="s">
        <v>25</v>
      </c>
      <c r="L4" s="63" t="s">
        <v>75</v>
      </c>
      <c r="M4" s="63" t="s">
        <v>1795</v>
      </c>
      <c r="N4" s="64" t="s">
        <v>1794</v>
      </c>
    </row>
    <row r="5" spans="1:14" ht="12.75" customHeight="1">
      <c r="A5" s="62" t="s">
        <v>66</v>
      </c>
      <c r="B5" s="62" t="s">
        <v>791</v>
      </c>
      <c r="C5" s="62" t="s">
        <v>64</v>
      </c>
      <c r="D5" s="62">
        <v>6.5</v>
      </c>
      <c r="E5" s="62">
        <v>2</v>
      </c>
      <c r="F5" s="62">
        <v>1</v>
      </c>
      <c r="G5" s="75"/>
      <c r="H5" s="76"/>
      <c r="I5" s="76">
        <v>3</v>
      </c>
      <c r="J5" s="76"/>
      <c r="K5" s="76">
        <v>2</v>
      </c>
      <c r="L5" s="76"/>
      <c r="M5" s="76"/>
      <c r="N5" s="77">
        <v>5</v>
      </c>
    </row>
    <row r="6" spans="1:14" ht="12.75" customHeight="1">
      <c r="A6" s="65"/>
      <c r="B6" s="65"/>
      <c r="C6" s="65"/>
      <c r="D6" s="65"/>
      <c r="E6" s="65"/>
      <c r="F6" s="66">
        <v>2</v>
      </c>
      <c r="G6" s="78"/>
      <c r="H6" s="79"/>
      <c r="I6" s="79"/>
      <c r="J6" s="79"/>
      <c r="K6" s="79">
        <v>3</v>
      </c>
      <c r="L6" s="79"/>
      <c r="M6" s="79"/>
      <c r="N6" s="80">
        <v>3</v>
      </c>
    </row>
    <row r="7" spans="1:14" ht="12.75" customHeight="1">
      <c r="A7" s="65"/>
      <c r="B7" s="65"/>
      <c r="C7" s="67">
        <v>45407</v>
      </c>
      <c r="D7" s="62">
        <v>5</v>
      </c>
      <c r="E7" s="62">
        <v>2</v>
      </c>
      <c r="F7" s="62">
        <v>1</v>
      </c>
      <c r="G7" s="75">
        <v>1</v>
      </c>
      <c r="H7" s="76">
        <v>6</v>
      </c>
      <c r="I7" s="76"/>
      <c r="J7" s="76"/>
      <c r="K7" s="76"/>
      <c r="L7" s="76"/>
      <c r="M7" s="76"/>
      <c r="N7" s="77">
        <v>7</v>
      </c>
    </row>
    <row r="8" spans="1:14" ht="12.75" customHeight="1">
      <c r="A8" s="65"/>
      <c r="B8" s="65"/>
      <c r="C8" s="65"/>
      <c r="D8" s="65"/>
      <c r="E8" s="65"/>
      <c r="F8" s="66">
        <v>2</v>
      </c>
      <c r="G8" s="78">
        <v>4</v>
      </c>
      <c r="H8" s="79"/>
      <c r="I8" s="79"/>
      <c r="J8" s="79"/>
      <c r="K8" s="79"/>
      <c r="L8" s="79"/>
      <c r="M8" s="79"/>
      <c r="N8" s="80">
        <v>4</v>
      </c>
    </row>
    <row r="9" spans="1:14" ht="12.75" customHeight="1">
      <c r="A9" s="62" t="s">
        <v>74</v>
      </c>
      <c r="B9" s="62" t="s">
        <v>793</v>
      </c>
      <c r="C9" s="62" t="s">
        <v>72</v>
      </c>
      <c r="D9" s="62">
        <v>4.5</v>
      </c>
      <c r="E9" s="62">
        <v>2</v>
      </c>
      <c r="F9" s="62">
        <v>1</v>
      </c>
      <c r="G9" s="75"/>
      <c r="H9" s="76"/>
      <c r="I9" s="76">
        <v>2</v>
      </c>
      <c r="J9" s="76"/>
      <c r="K9" s="76"/>
      <c r="L9" s="76"/>
      <c r="M9" s="76"/>
      <c r="N9" s="77">
        <v>2</v>
      </c>
    </row>
    <row r="10" spans="1:14" ht="12.75" customHeight="1">
      <c r="A10" s="65"/>
      <c r="B10" s="65"/>
      <c r="C10" s="65"/>
      <c r="D10" s="65"/>
      <c r="E10" s="65"/>
      <c r="F10" s="66">
        <v>2</v>
      </c>
      <c r="G10" s="78"/>
      <c r="H10" s="79"/>
      <c r="I10" s="79">
        <v>9</v>
      </c>
      <c r="J10" s="79"/>
      <c r="K10" s="79"/>
      <c r="L10" s="79"/>
      <c r="M10" s="79"/>
      <c r="N10" s="80">
        <v>9</v>
      </c>
    </row>
    <row r="11" spans="1:14" ht="12.75" customHeight="1">
      <c r="A11" s="62" t="s">
        <v>71</v>
      </c>
      <c r="B11" s="62" t="s">
        <v>794</v>
      </c>
      <c r="C11" s="62" t="s">
        <v>72</v>
      </c>
      <c r="D11" s="62">
        <v>5</v>
      </c>
      <c r="E11" s="62">
        <v>2</v>
      </c>
      <c r="F11" s="62">
        <v>1</v>
      </c>
      <c r="G11" s="75"/>
      <c r="H11" s="76"/>
      <c r="I11" s="76">
        <v>3</v>
      </c>
      <c r="J11" s="76"/>
      <c r="K11" s="76"/>
      <c r="L11" s="76"/>
      <c r="M11" s="76"/>
      <c r="N11" s="77">
        <v>3</v>
      </c>
    </row>
    <row r="12" spans="1:14" ht="12.75" customHeight="1">
      <c r="A12" s="65"/>
      <c r="B12" s="65"/>
      <c r="C12" s="65"/>
      <c r="D12" s="65"/>
      <c r="E12" s="65"/>
      <c r="F12" s="66">
        <v>2</v>
      </c>
      <c r="G12" s="78"/>
      <c r="H12" s="79"/>
      <c r="I12" s="79"/>
      <c r="J12" s="79"/>
      <c r="K12" s="79">
        <v>5</v>
      </c>
      <c r="L12" s="79"/>
      <c r="M12" s="79"/>
      <c r="N12" s="80">
        <v>5</v>
      </c>
    </row>
    <row r="13" spans="1:14" ht="12.75" customHeight="1">
      <c r="A13" s="65"/>
      <c r="B13" s="65"/>
      <c r="C13" s="65"/>
      <c r="D13" s="62">
        <v>7.5</v>
      </c>
      <c r="E13" s="62">
        <v>2</v>
      </c>
      <c r="F13" s="62">
        <v>1</v>
      </c>
      <c r="G13" s="75"/>
      <c r="H13" s="76">
        <v>3</v>
      </c>
      <c r="I13" s="76"/>
      <c r="J13" s="76"/>
      <c r="K13" s="76"/>
      <c r="L13" s="76"/>
      <c r="M13" s="76"/>
      <c r="N13" s="77">
        <v>3</v>
      </c>
    </row>
    <row r="14" spans="1:14" ht="12.75" customHeight="1">
      <c r="A14" s="65"/>
      <c r="B14" s="65"/>
      <c r="C14" s="65"/>
      <c r="D14" s="65"/>
      <c r="E14" s="65"/>
      <c r="F14" s="66">
        <v>2</v>
      </c>
      <c r="G14" s="78">
        <v>3</v>
      </c>
      <c r="H14" s="79"/>
      <c r="I14" s="79"/>
      <c r="J14" s="79"/>
      <c r="K14" s="79"/>
      <c r="L14" s="79"/>
      <c r="M14" s="79"/>
      <c r="N14" s="80">
        <v>3</v>
      </c>
    </row>
    <row r="15" spans="1:14" ht="12.75" customHeight="1">
      <c r="A15" s="62" t="s">
        <v>73</v>
      </c>
      <c r="B15" s="62" t="s">
        <v>795</v>
      </c>
      <c r="C15" s="62" t="s">
        <v>72</v>
      </c>
      <c r="D15" s="62">
        <v>4.5</v>
      </c>
      <c r="E15" s="62">
        <v>2</v>
      </c>
      <c r="F15" s="62">
        <v>1</v>
      </c>
      <c r="G15" s="75"/>
      <c r="H15" s="76">
        <v>4</v>
      </c>
      <c r="I15" s="76"/>
      <c r="J15" s="76"/>
      <c r="K15" s="76"/>
      <c r="L15" s="76"/>
      <c r="M15" s="76"/>
      <c r="N15" s="77">
        <v>4</v>
      </c>
    </row>
    <row r="16" spans="1:14" ht="12.75" customHeight="1">
      <c r="A16" s="65"/>
      <c r="B16" s="65"/>
      <c r="C16" s="65"/>
      <c r="D16" s="65"/>
      <c r="E16" s="65"/>
      <c r="F16" s="66">
        <v>2</v>
      </c>
      <c r="G16" s="78">
        <v>4</v>
      </c>
      <c r="H16" s="79"/>
      <c r="I16" s="79"/>
      <c r="J16" s="79"/>
      <c r="K16" s="79"/>
      <c r="L16" s="79"/>
      <c r="M16" s="79"/>
      <c r="N16" s="80">
        <v>4</v>
      </c>
    </row>
    <row r="17" spans="1:14" ht="12.75" customHeight="1">
      <c r="A17" s="65"/>
      <c r="B17" s="65"/>
      <c r="C17" s="65"/>
      <c r="D17" s="62">
        <v>7</v>
      </c>
      <c r="E17" s="62">
        <v>2</v>
      </c>
      <c r="F17" s="62">
        <v>1</v>
      </c>
      <c r="G17" s="75"/>
      <c r="H17" s="76"/>
      <c r="I17" s="76">
        <v>3</v>
      </c>
      <c r="J17" s="76"/>
      <c r="K17" s="76"/>
      <c r="L17" s="76"/>
      <c r="M17" s="76"/>
      <c r="N17" s="77">
        <v>3</v>
      </c>
    </row>
    <row r="18" spans="1:14" ht="12.75" customHeight="1">
      <c r="A18" s="65"/>
      <c r="B18" s="65"/>
      <c r="C18" s="65"/>
      <c r="D18" s="65"/>
      <c r="E18" s="65"/>
      <c r="F18" s="66">
        <v>2</v>
      </c>
      <c r="G18" s="78"/>
      <c r="H18" s="79"/>
      <c r="I18" s="79"/>
      <c r="J18" s="79"/>
      <c r="K18" s="79">
        <v>6</v>
      </c>
      <c r="L18" s="79"/>
      <c r="M18" s="79"/>
      <c r="N18" s="80">
        <v>6</v>
      </c>
    </row>
    <row r="19" spans="1:14" ht="12.75" customHeight="1">
      <c r="A19" s="62" t="s">
        <v>83</v>
      </c>
      <c r="B19" s="62" t="s">
        <v>796</v>
      </c>
      <c r="C19" s="67">
        <v>45413</v>
      </c>
      <c r="D19" s="62">
        <v>3</v>
      </c>
      <c r="E19" s="62">
        <v>2</v>
      </c>
      <c r="F19" s="62">
        <v>2</v>
      </c>
      <c r="G19" s="75"/>
      <c r="H19" s="76">
        <v>9</v>
      </c>
      <c r="I19" s="76"/>
      <c r="J19" s="76"/>
      <c r="K19" s="76"/>
      <c r="L19" s="76">
        <v>6</v>
      </c>
      <c r="M19" s="76"/>
      <c r="N19" s="77">
        <v>15</v>
      </c>
    </row>
    <row r="20" spans="1:14" ht="12.75" customHeight="1">
      <c r="A20" s="62" t="s">
        <v>85</v>
      </c>
      <c r="B20" s="62" t="s">
        <v>797</v>
      </c>
      <c r="C20" s="67">
        <v>45413</v>
      </c>
      <c r="D20" s="62">
        <v>6</v>
      </c>
      <c r="E20" s="62">
        <v>2</v>
      </c>
      <c r="F20" s="62">
        <v>1</v>
      </c>
      <c r="G20" s="75"/>
      <c r="H20" s="76">
        <v>6</v>
      </c>
      <c r="I20" s="76"/>
      <c r="J20" s="76"/>
      <c r="K20" s="76"/>
      <c r="L20" s="76"/>
      <c r="M20" s="76"/>
      <c r="N20" s="77">
        <v>6</v>
      </c>
    </row>
    <row r="21" spans="1:14" ht="12.75" customHeight="1">
      <c r="A21" s="65"/>
      <c r="B21" s="65"/>
      <c r="C21" s="65"/>
      <c r="D21" s="65"/>
      <c r="E21" s="65"/>
      <c r="F21" s="66">
        <v>2</v>
      </c>
      <c r="G21" s="78"/>
      <c r="H21" s="79">
        <v>8</v>
      </c>
      <c r="I21" s="79"/>
      <c r="J21" s="79"/>
      <c r="K21" s="79"/>
      <c r="L21" s="79"/>
      <c r="M21" s="79"/>
      <c r="N21" s="80">
        <v>8</v>
      </c>
    </row>
    <row r="22" spans="1:14" ht="12.75" customHeight="1">
      <c r="A22" s="62" t="s">
        <v>86</v>
      </c>
      <c r="B22" s="62" t="s">
        <v>800</v>
      </c>
      <c r="C22" s="67">
        <v>45414</v>
      </c>
      <c r="D22" s="62">
        <v>7.5</v>
      </c>
      <c r="E22" s="62">
        <v>2</v>
      </c>
      <c r="F22" s="62">
        <v>2</v>
      </c>
      <c r="G22" s="75"/>
      <c r="H22" s="76"/>
      <c r="I22" s="76"/>
      <c r="J22" s="76"/>
      <c r="K22" s="76"/>
      <c r="L22" s="76">
        <v>27</v>
      </c>
      <c r="M22" s="76"/>
      <c r="N22" s="77">
        <v>27</v>
      </c>
    </row>
    <row r="23" spans="1:14" ht="12.75" customHeight="1">
      <c r="A23" s="62" t="s">
        <v>84</v>
      </c>
      <c r="B23" s="62" t="s">
        <v>801</v>
      </c>
      <c r="C23" s="67">
        <v>45414</v>
      </c>
      <c r="D23" s="62">
        <v>5.8</v>
      </c>
      <c r="E23" s="62">
        <v>2</v>
      </c>
      <c r="F23" s="62">
        <v>1</v>
      </c>
      <c r="G23" s="75"/>
      <c r="H23" s="76">
        <v>6</v>
      </c>
      <c r="I23" s="76"/>
      <c r="J23" s="76"/>
      <c r="K23" s="76"/>
      <c r="L23" s="76"/>
      <c r="M23" s="76"/>
      <c r="N23" s="77">
        <v>6</v>
      </c>
    </row>
    <row r="24" spans="1:14" ht="12.75" customHeight="1">
      <c r="A24" s="65"/>
      <c r="B24" s="65"/>
      <c r="C24" s="65"/>
      <c r="D24" s="65"/>
      <c r="E24" s="65"/>
      <c r="F24" s="66">
        <v>2</v>
      </c>
      <c r="G24" s="78"/>
      <c r="H24" s="79">
        <v>4</v>
      </c>
      <c r="I24" s="79"/>
      <c r="J24" s="79"/>
      <c r="K24" s="79"/>
      <c r="L24" s="79"/>
      <c r="M24" s="79"/>
      <c r="N24" s="80">
        <v>4</v>
      </c>
    </row>
    <row r="25" spans="1:14" ht="12.75" customHeight="1">
      <c r="A25" s="62" t="s">
        <v>67</v>
      </c>
      <c r="B25" s="62" t="s">
        <v>804</v>
      </c>
      <c r="C25" s="62" t="s">
        <v>64</v>
      </c>
      <c r="D25" s="62">
        <v>8.5</v>
      </c>
      <c r="E25" s="62">
        <v>2</v>
      </c>
      <c r="F25" s="62">
        <v>1</v>
      </c>
      <c r="G25" s="75"/>
      <c r="H25" s="76"/>
      <c r="I25" s="76">
        <v>12</v>
      </c>
      <c r="J25" s="76"/>
      <c r="K25" s="76"/>
      <c r="L25" s="76"/>
      <c r="M25" s="76"/>
      <c r="N25" s="77">
        <v>12</v>
      </c>
    </row>
    <row r="26" spans="1:14" ht="12.75" customHeight="1">
      <c r="A26" s="65"/>
      <c r="B26" s="65"/>
      <c r="C26" s="65"/>
      <c r="D26" s="65"/>
      <c r="E26" s="65"/>
      <c r="F26" s="66">
        <v>2</v>
      </c>
      <c r="G26" s="78"/>
      <c r="H26" s="79"/>
      <c r="I26" s="79">
        <v>7</v>
      </c>
      <c r="J26" s="79"/>
      <c r="K26" s="79"/>
      <c r="L26" s="79"/>
      <c r="M26" s="79"/>
      <c r="N26" s="80">
        <v>7</v>
      </c>
    </row>
    <row r="27" spans="1:14" ht="12.75" customHeight="1">
      <c r="A27" s="62" t="s">
        <v>79</v>
      </c>
      <c r="B27" s="62" t="s">
        <v>805</v>
      </c>
      <c r="C27" s="67">
        <v>45411</v>
      </c>
      <c r="D27" s="62">
        <v>4</v>
      </c>
      <c r="E27" s="62">
        <v>2</v>
      </c>
      <c r="F27" s="62">
        <v>2</v>
      </c>
      <c r="G27" s="75">
        <v>10</v>
      </c>
      <c r="H27" s="76"/>
      <c r="I27" s="76"/>
      <c r="J27" s="76"/>
      <c r="K27" s="76"/>
      <c r="L27" s="76"/>
      <c r="M27" s="76"/>
      <c r="N27" s="77">
        <v>10</v>
      </c>
    </row>
    <row r="28" spans="1:14" ht="12.75" customHeight="1">
      <c r="A28" s="62" t="s">
        <v>63</v>
      </c>
      <c r="B28" s="62" t="s">
        <v>806</v>
      </c>
      <c r="C28" s="62" t="s">
        <v>64</v>
      </c>
      <c r="D28" s="62">
        <v>6.7</v>
      </c>
      <c r="E28" s="62">
        <v>2</v>
      </c>
      <c r="F28" s="62">
        <v>1</v>
      </c>
      <c r="G28" s="75"/>
      <c r="H28" s="76"/>
      <c r="I28" s="76">
        <v>11</v>
      </c>
      <c r="J28" s="76"/>
      <c r="K28" s="76"/>
      <c r="L28" s="76"/>
      <c r="M28" s="76"/>
      <c r="N28" s="77">
        <v>11</v>
      </c>
    </row>
    <row r="29" spans="1:14" ht="12.75" customHeight="1">
      <c r="A29" s="65"/>
      <c r="B29" s="65"/>
      <c r="C29" s="65"/>
      <c r="D29" s="65"/>
      <c r="E29" s="65"/>
      <c r="F29" s="66">
        <v>2</v>
      </c>
      <c r="G29" s="78"/>
      <c r="H29" s="79"/>
      <c r="I29" s="79">
        <v>8</v>
      </c>
      <c r="J29" s="79"/>
      <c r="K29" s="79"/>
      <c r="L29" s="79"/>
      <c r="M29" s="79"/>
      <c r="N29" s="80">
        <v>8</v>
      </c>
    </row>
    <row r="30" spans="1:14" ht="12.75" customHeight="1">
      <c r="A30" s="62" t="s">
        <v>81</v>
      </c>
      <c r="B30" s="62" t="s">
        <v>807</v>
      </c>
      <c r="C30" s="67">
        <v>45412</v>
      </c>
      <c r="D30" s="62">
        <v>6.5</v>
      </c>
      <c r="E30" s="62">
        <v>2</v>
      </c>
      <c r="F30" s="62">
        <v>2</v>
      </c>
      <c r="G30" s="75"/>
      <c r="H30" s="76"/>
      <c r="I30" s="76"/>
      <c r="J30" s="76"/>
      <c r="K30" s="76"/>
      <c r="L30" s="76">
        <v>8</v>
      </c>
      <c r="M30" s="76"/>
      <c r="N30" s="77">
        <v>8</v>
      </c>
    </row>
    <row r="31" spans="1:14" ht="12.75" customHeight="1">
      <c r="A31" s="62" t="s">
        <v>82</v>
      </c>
      <c r="B31" s="62" t="s">
        <v>808</v>
      </c>
      <c r="C31" s="67">
        <v>45412</v>
      </c>
      <c r="D31" s="62">
        <v>5.5</v>
      </c>
      <c r="E31" s="62">
        <v>2</v>
      </c>
      <c r="F31" s="62">
        <v>2</v>
      </c>
      <c r="G31" s="75">
        <v>8</v>
      </c>
      <c r="H31" s="76"/>
      <c r="I31" s="76"/>
      <c r="J31" s="76"/>
      <c r="K31" s="76"/>
      <c r="L31" s="76"/>
      <c r="M31" s="76"/>
      <c r="N31" s="77">
        <v>8</v>
      </c>
    </row>
    <row r="32" spans="1:14" ht="12.75" customHeight="1">
      <c r="A32" s="62" t="s">
        <v>88</v>
      </c>
      <c r="B32" s="62" t="s">
        <v>885</v>
      </c>
      <c r="C32" s="67">
        <v>45415</v>
      </c>
      <c r="D32" s="62">
        <v>6.7</v>
      </c>
      <c r="E32" s="62">
        <v>2</v>
      </c>
      <c r="F32" s="62">
        <v>1</v>
      </c>
      <c r="G32" s="75"/>
      <c r="H32" s="76">
        <v>12</v>
      </c>
      <c r="I32" s="76"/>
      <c r="J32" s="76"/>
      <c r="K32" s="76"/>
      <c r="L32" s="76"/>
      <c r="M32" s="76"/>
      <c r="N32" s="77">
        <v>12</v>
      </c>
    </row>
    <row r="33" spans="1:14" ht="12.75" customHeight="1">
      <c r="A33" s="62" t="s">
        <v>57</v>
      </c>
      <c r="B33" s="62" t="s">
        <v>887</v>
      </c>
      <c r="C33" s="62" t="s">
        <v>58</v>
      </c>
      <c r="D33" s="62">
        <v>5.5</v>
      </c>
      <c r="E33" s="62">
        <v>2</v>
      </c>
      <c r="F33" s="62">
        <v>1</v>
      </c>
      <c r="G33" s="75"/>
      <c r="H33" s="76"/>
      <c r="I33" s="76">
        <v>8</v>
      </c>
      <c r="J33" s="76"/>
      <c r="K33" s="76"/>
      <c r="L33" s="76"/>
      <c r="M33" s="76"/>
      <c r="N33" s="77">
        <v>8</v>
      </c>
    </row>
    <row r="34" spans="1:14" ht="12.75" customHeight="1">
      <c r="A34" s="65"/>
      <c r="B34" s="65"/>
      <c r="C34" s="65"/>
      <c r="D34" s="62">
        <v>10.5</v>
      </c>
      <c r="E34" s="62">
        <v>2</v>
      </c>
      <c r="F34" s="62">
        <v>2</v>
      </c>
      <c r="G34" s="75"/>
      <c r="H34" s="76"/>
      <c r="I34" s="76"/>
      <c r="J34" s="76"/>
      <c r="K34" s="76">
        <v>2</v>
      </c>
      <c r="L34" s="76"/>
      <c r="M34" s="76"/>
      <c r="N34" s="77">
        <v>2</v>
      </c>
    </row>
    <row r="35" spans="1:14" ht="12.75" customHeight="1">
      <c r="A35" s="65"/>
      <c r="B35" s="65"/>
      <c r="C35" s="67">
        <v>45406</v>
      </c>
      <c r="D35" s="62">
        <v>5.5</v>
      </c>
      <c r="E35" s="62">
        <v>2</v>
      </c>
      <c r="F35" s="62">
        <v>2</v>
      </c>
      <c r="G35" s="75">
        <v>9</v>
      </c>
      <c r="H35" s="76"/>
      <c r="I35" s="76"/>
      <c r="J35" s="76"/>
      <c r="K35" s="76"/>
      <c r="L35" s="76"/>
      <c r="M35" s="76"/>
      <c r="N35" s="77">
        <v>9</v>
      </c>
    </row>
    <row r="36" spans="1:14" ht="12.75" customHeight="1">
      <c r="A36" s="65"/>
      <c r="B36" s="65"/>
      <c r="C36" s="65"/>
      <c r="D36" s="62">
        <v>10.5</v>
      </c>
      <c r="E36" s="62">
        <v>2</v>
      </c>
      <c r="F36" s="62">
        <v>1</v>
      </c>
      <c r="G36" s="75"/>
      <c r="H36" s="76">
        <v>12</v>
      </c>
      <c r="I36" s="76"/>
      <c r="J36" s="76"/>
      <c r="K36" s="76"/>
      <c r="L36" s="76"/>
      <c r="M36" s="76"/>
      <c r="N36" s="77">
        <v>12</v>
      </c>
    </row>
    <row r="37" spans="1:14" ht="12.75" customHeight="1">
      <c r="A37" s="62" t="s">
        <v>51</v>
      </c>
      <c r="B37" s="62" t="s">
        <v>888</v>
      </c>
      <c r="C37" s="62" t="s">
        <v>44</v>
      </c>
      <c r="D37" s="62">
        <v>5.5</v>
      </c>
      <c r="E37" s="62">
        <v>2</v>
      </c>
      <c r="F37" s="62">
        <v>1</v>
      </c>
      <c r="G37" s="75"/>
      <c r="H37" s="76"/>
      <c r="I37" s="76"/>
      <c r="J37" s="76">
        <v>5</v>
      </c>
      <c r="K37" s="76"/>
      <c r="L37" s="76"/>
      <c r="M37" s="76"/>
      <c r="N37" s="77">
        <v>5</v>
      </c>
    </row>
    <row r="38" spans="1:14" ht="12.75" customHeight="1">
      <c r="A38" s="65"/>
      <c r="B38" s="65"/>
      <c r="C38" s="65"/>
      <c r="D38" s="62">
        <v>6</v>
      </c>
      <c r="E38" s="62">
        <v>2</v>
      </c>
      <c r="F38" s="62">
        <v>1</v>
      </c>
      <c r="G38" s="75"/>
      <c r="H38" s="76">
        <v>1</v>
      </c>
      <c r="I38" s="76">
        <v>7</v>
      </c>
      <c r="J38" s="76"/>
      <c r="K38" s="76"/>
      <c r="L38" s="76"/>
      <c r="M38" s="76"/>
      <c r="N38" s="77">
        <v>8</v>
      </c>
    </row>
    <row r="39" spans="1:14" ht="12.75" customHeight="1">
      <c r="A39" s="65"/>
      <c r="B39" s="65"/>
      <c r="C39" s="65"/>
      <c r="D39" s="65"/>
      <c r="E39" s="65"/>
      <c r="F39" s="66">
        <v>2</v>
      </c>
      <c r="G39" s="78"/>
      <c r="H39" s="79">
        <v>5</v>
      </c>
      <c r="I39" s="79"/>
      <c r="J39" s="79"/>
      <c r="K39" s="79"/>
      <c r="L39" s="79"/>
      <c r="M39" s="79"/>
      <c r="N39" s="80">
        <v>5</v>
      </c>
    </row>
    <row r="40" spans="1:14" ht="12.75" customHeight="1">
      <c r="A40" s="65"/>
      <c r="B40" s="65"/>
      <c r="C40" s="67">
        <v>45405</v>
      </c>
      <c r="D40" s="62">
        <v>6</v>
      </c>
      <c r="E40" s="62">
        <v>2</v>
      </c>
      <c r="F40" s="62">
        <v>2</v>
      </c>
      <c r="G40" s="75"/>
      <c r="H40" s="76"/>
      <c r="I40" s="76"/>
      <c r="J40" s="76"/>
      <c r="K40" s="76">
        <v>5</v>
      </c>
      <c r="L40" s="76"/>
      <c r="M40" s="76"/>
      <c r="N40" s="77">
        <v>5</v>
      </c>
    </row>
    <row r="41" spans="1:14" ht="12.75" customHeight="1">
      <c r="A41" s="62" t="s">
        <v>60</v>
      </c>
      <c r="B41" s="62" t="s">
        <v>889</v>
      </c>
      <c r="C41" s="67">
        <v>45406</v>
      </c>
      <c r="D41" s="62">
        <v>8</v>
      </c>
      <c r="E41" s="62">
        <v>2</v>
      </c>
      <c r="F41" s="62">
        <v>2</v>
      </c>
      <c r="G41" s="75"/>
      <c r="H41" s="76">
        <v>4</v>
      </c>
      <c r="I41" s="76"/>
      <c r="J41" s="76"/>
      <c r="K41" s="76"/>
      <c r="L41" s="76"/>
      <c r="M41" s="76"/>
      <c r="N41" s="77">
        <v>4</v>
      </c>
    </row>
    <row r="42" spans="1:14" ht="12.75" customHeight="1">
      <c r="A42" s="62" t="s">
        <v>87</v>
      </c>
      <c r="B42" s="62" t="s">
        <v>890</v>
      </c>
      <c r="C42" s="67">
        <v>45415</v>
      </c>
      <c r="D42" s="62">
        <v>8.5</v>
      </c>
      <c r="E42" s="62">
        <v>2</v>
      </c>
      <c r="F42" s="62">
        <v>1</v>
      </c>
      <c r="G42" s="75"/>
      <c r="H42" s="76">
        <v>4</v>
      </c>
      <c r="I42" s="76"/>
      <c r="J42" s="76"/>
      <c r="K42" s="76"/>
      <c r="L42" s="76"/>
      <c r="M42" s="76"/>
      <c r="N42" s="77">
        <v>4</v>
      </c>
    </row>
    <row r="43" spans="1:14" ht="12.75" customHeight="1">
      <c r="A43" s="65"/>
      <c r="B43" s="65"/>
      <c r="C43" s="65"/>
      <c r="D43" s="65"/>
      <c r="E43" s="65"/>
      <c r="F43" s="66">
        <v>2</v>
      </c>
      <c r="G43" s="78"/>
      <c r="H43" s="79">
        <v>4</v>
      </c>
      <c r="I43" s="79"/>
      <c r="J43" s="79"/>
      <c r="K43" s="79"/>
      <c r="L43" s="79"/>
      <c r="M43" s="79"/>
      <c r="N43" s="80">
        <v>4</v>
      </c>
    </row>
    <row r="44" spans="1:14" ht="12.75" customHeight="1">
      <c r="A44" s="62" t="s">
        <v>76</v>
      </c>
      <c r="B44" s="62" t="s">
        <v>809</v>
      </c>
      <c r="C44" s="67">
        <v>45411</v>
      </c>
      <c r="D44" s="62">
        <v>6</v>
      </c>
      <c r="E44" s="62">
        <v>2</v>
      </c>
      <c r="F44" s="62">
        <v>2</v>
      </c>
      <c r="G44" s="75"/>
      <c r="H44" s="76"/>
      <c r="I44" s="76"/>
      <c r="J44" s="76"/>
      <c r="K44" s="76"/>
      <c r="L44" s="76">
        <v>16</v>
      </c>
      <c r="M44" s="76"/>
      <c r="N44" s="77">
        <v>16</v>
      </c>
    </row>
    <row r="45" spans="1:14" ht="12.75" customHeight="1">
      <c r="A45" s="62" t="s">
        <v>77</v>
      </c>
      <c r="B45" s="62" t="s">
        <v>810</v>
      </c>
      <c r="C45" s="67">
        <v>45411</v>
      </c>
      <c r="D45" s="62">
        <v>8.5</v>
      </c>
      <c r="E45" s="62">
        <v>2</v>
      </c>
      <c r="F45" s="62">
        <v>1</v>
      </c>
      <c r="G45" s="75"/>
      <c r="H45" s="76">
        <v>8</v>
      </c>
      <c r="I45" s="76"/>
      <c r="J45" s="76"/>
      <c r="K45" s="76"/>
      <c r="L45" s="76"/>
      <c r="M45" s="76"/>
      <c r="N45" s="77">
        <v>8</v>
      </c>
    </row>
    <row r="46" spans="1:14" ht="12.75" customHeight="1">
      <c r="A46" s="65"/>
      <c r="B46" s="65"/>
      <c r="C46" s="65"/>
      <c r="D46" s="65"/>
      <c r="E46" s="65"/>
      <c r="F46" s="66">
        <v>2</v>
      </c>
      <c r="G46" s="78"/>
      <c r="H46" s="79">
        <v>7</v>
      </c>
      <c r="I46" s="79"/>
      <c r="J46" s="79"/>
      <c r="K46" s="79"/>
      <c r="L46" s="79"/>
      <c r="M46" s="79"/>
      <c r="N46" s="80">
        <v>7</v>
      </c>
    </row>
    <row r="47" spans="1:14" ht="12.75" customHeight="1">
      <c r="A47" s="62" t="s">
        <v>43</v>
      </c>
      <c r="B47" s="62" t="s">
        <v>811</v>
      </c>
      <c r="C47" s="62" t="s">
        <v>44</v>
      </c>
      <c r="D47" s="62">
        <v>6</v>
      </c>
      <c r="E47" s="62">
        <v>2</v>
      </c>
      <c r="F47" s="62">
        <v>1</v>
      </c>
      <c r="G47" s="75"/>
      <c r="H47" s="76"/>
      <c r="I47" s="76"/>
      <c r="J47" s="76">
        <v>9</v>
      </c>
      <c r="K47" s="76"/>
      <c r="L47" s="76"/>
      <c r="M47" s="76"/>
      <c r="N47" s="77">
        <v>9</v>
      </c>
    </row>
    <row r="48" spans="1:14" ht="12.75" customHeight="1">
      <c r="A48" s="65"/>
      <c r="B48" s="65"/>
      <c r="C48" s="65"/>
      <c r="D48" s="62">
        <v>6.5</v>
      </c>
      <c r="E48" s="62">
        <v>2</v>
      </c>
      <c r="F48" s="62">
        <v>1</v>
      </c>
      <c r="G48" s="75"/>
      <c r="H48" s="76"/>
      <c r="I48" s="76">
        <v>3</v>
      </c>
      <c r="J48" s="76"/>
      <c r="K48" s="76"/>
      <c r="L48" s="76"/>
      <c r="M48" s="76"/>
      <c r="N48" s="77">
        <v>3</v>
      </c>
    </row>
    <row r="49" spans="1:14" ht="12.75" customHeight="1">
      <c r="A49" s="65"/>
      <c r="B49" s="65"/>
      <c r="C49" s="67">
        <v>45405</v>
      </c>
      <c r="D49" s="62">
        <v>6</v>
      </c>
      <c r="E49" s="62">
        <v>2</v>
      </c>
      <c r="F49" s="62">
        <v>2</v>
      </c>
      <c r="G49" s="75"/>
      <c r="H49" s="76"/>
      <c r="I49" s="76"/>
      <c r="J49" s="76"/>
      <c r="K49" s="76">
        <v>4</v>
      </c>
      <c r="L49" s="76"/>
      <c r="M49" s="76"/>
      <c r="N49" s="77">
        <v>4</v>
      </c>
    </row>
    <row r="50" spans="1:14" ht="12.75" customHeight="1">
      <c r="A50" s="65"/>
      <c r="B50" s="65"/>
      <c r="C50" s="65"/>
      <c r="D50" s="62">
        <v>6.5</v>
      </c>
      <c r="E50" s="62">
        <v>2</v>
      </c>
      <c r="F50" s="62">
        <v>2</v>
      </c>
      <c r="G50" s="75"/>
      <c r="H50" s="76">
        <v>9</v>
      </c>
      <c r="I50" s="76"/>
      <c r="J50" s="76"/>
      <c r="K50" s="76"/>
      <c r="L50" s="76"/>
      <c r="M50" s="76"/>
      <c r="N50" s="77">
        <v>9</v>
      </c>
    </row>
    <row r="51" spans="1:14" ht="12.75" customHeight="1">
      <c r="A51" s="62" t="s">
        <v>32</v>
      </c>
      <c r="B51" s="62" t="s">
        <v>812</v>
      </c>
      <c r="C51" s="62" t="s">
        <v>55</v>
      </c>
      <c r="D51" s="62">
        <v>8</v>
      </c>
      <c r="E51" s="62">
        <v>2</v>
      </c>
      <c r="F51" s="62">
        <v>2</v>
      </c>
      <c r="G51" s="75"/>
      <c r="H51" s="76"/>
      <c r="I51" s="76"/>
      <c r="J51" s="76"/>
      <c r="K51" s="76">
        <v>6</v>
      </c>
      <c r="L51" s="76"/>
      <c r="M51" s="76"/>
      <c r="N51" s="77">
        <v>6</v>
      </c>
    </row>
    <row r="52" spans="1:14" ht="12.75" customHeight="1">
      <c r="A52" s="65"/>
      <c r="B52" s="65"/>
      <c r="C52" s="67">
        <v>45404</v>
      </c>
      <c r="D52" s="62">
        <v>8</v>
      </c>
      <c r="E52" s="62">
        <v>2</v>
      </c>
      <c r="F52" s="62">
        <v>1</v>
      </c>
      <c r="G52" s="75"/>
      <c r="H52" s="76"/>
      <c r="I52" s="76"/>
      <c r="J52" s="76">
        <v>9</v>
      </c>
      <c r="K52" s="76"/>
      <c r="L52" s="76"/>
      <c r="M52" s="76"/>
      <c r="N52" s="77">
        <v>9</v>
      </c>
    </row>
    <row r="53" spans="1:14" ht="12.75" customHeight="1">
      <c r="A53" s="65"/>
      <c r="B53" s="65"/>
      <c r="C53" s="65"/>
      <c r="D53" s="62">
        <v>11</v>
      </c>
      <c r="E53" s="62">
        <v>2</v>
      </c>
      <c r="F53" s="62">
        <v>1</v>
      </c>
      <c r="G53" s="75"/>
      <c r="H53" s="76">
        <v>2</v>
      </c>
      <c r="I53" s="76">
        <v>5</v>
      </c>
      <c r="J53" s="76"/>
      <c r="K53" s="76"/>
      <c r="L53" s="76"/>
      <c r="M53" s="76"/>
      <c r="N53" s="77">
        <v>7</v>
      </c>
    </row>
    <row r="54" spans="1:14" ht="12.75" customHeight="1">
      <c r="A54" s="65"/>
      <c r="B54" s="65"/>
      <c r="C54" s="65"/>
      <c r="D54" s="65"/>
      <c r="E54" s="65"/>
      <c r="F54" s="66">
        <v>2</v>
      </c>
      <c r="G54" s="78"/>
      <c r="H54" s="79">
        <v>6</v>
      </c>
      <c r="I54" s="79"/>
      <c r="J54" s="79"/>
      <c r="K54" s="79"/>
      <c r="L54" s="79"/>
      <c r="M54" s="79"/>
      <c r="N54" s="80">
        <v>6</v>
      </c>
    </row>
    <row r="55" spans="1:14" ht="12.75" customHeight="1">
      <c r="A55" s="62" t="s">
        <v>26</v>
      </c>
      <c r="B55" s="62" t="s">
        <v>815</v>
      </c>
      <c r="C55" s="62" t="s">
        <v>55</v>
      </c>
      <c r="D55" s="62">
        <v>7.5</v>
      </c>
      <c r="E55" s="62">
        <v>2</v>
      </c>
      <c r="F55" s="62">
        <v>2</v>
      </c>
      <c r="G55" s="75"/>
      <c r="H55" s="76"/>
      <c r="I55" s="76"/>
      <c r="J55" s="76"/>
      <c r="K55" s="76">
        <v>8</v>
      </c>
      <c r="L55" s="76"/>
      <c r="M55" s="76"/>
      <c r="N55" s="77">
        <v>8</v>
      </c>
    </row>
    <row r="56" spans="1:14" ht="12.75" customHeight="1">
      <c r="A56" s="65"/>
      <c r="B56" s="65"/>
      <c r="C56" s="67">
        <v>45404</v>
      </c>
      <c r="D56" s="62">
        <v>7.5</v>
      </c>
      <c r="E56" s="62">
        <v>2</v>
      </c>
      <c r="F56" s="62">
        <v>1</v>
      </c>
      <c r="G56" s="75"/>
      <c r="H56" s="76"/>
      <c r="I56" s="76"/>
      <c r="J56" s="76">
        <v>9</v>
      </c>
      <c r="K56" s="76"/>
      <c r="L56" s="76"/>
      <c r="M56" s="76"/>
      <c r="N56" s="77">
        <v>9</v>
      </c>
    </row>
    <row r="57" spans="1:14" ht="12.75" customHeight="1">
      <c r="A57" s="65"/>
      <c r="B57" s="65"/>
      <c r="C57" s="65"/>
      <c r="D57" s="62">
        <v>8.5</v>
      </c>
      <c r="E57" s="62">
        <v>2</v>
      </c>
      <c r="F57" s="62">
        <v>1</v>
      </c>
      <c r="G57" s="75"/>
      <c r="H57" s="76"/>
      <c r="I57" s="76">
        <v>4</v>
      </c>
      <c r="J57" s="76"/>
      <c r="K57" s="76"/>
      <c r="L57" s="76"/>
      <c r="M57" s="76"/>
      <c r="N57" s="77">
        <v>4</v>
      </c>
    </row>
    <row r="58" spans="1:14" ht="12.75" customHeight="1">
      <c r="A58" s="65"/>
      <c r="B58" s="65"/>
      <c r="C58" s="65"/>
      <c r="D58" s="65"/>
      <c r="E58" s="65"/>
      <c r="F58" s="66">
        <v>2</v>
      </c>
      <c r="G58" s="78"/>
      <c r="H58" s="79">
        <v>7</v>
      </c>
      <c r="I58" s="79"/>
      <c r="J58" s="79"/>
      <c r="K58" s="79"/>
      <c r="L58" s="79"/>
      <c r="M58" s="79"/>
      <c r="N58" s="80">
        <v>7</v>
      </c>
    </row>
    <row r="59" spans="1:14" ht="12.75" customHeight="1">
      <c r="A59" s="62" t="s">
        <v>48</v>
      </c>
      <c r="B59" s="62" t="s">
        <v>816</v>
      </c>
      <c r="C59" s="62" t="s">
        <v>44</v>
      </c>
      <c r="D59" s="62">
        <v>6.5</v>
      </c>
      <c r="E59" s="62">
        <v>2</v>
      </c>
      <c r="F59" s="62">
        <v>1</v>
      </c>
      <c r="G59" s="75"/>
      <c r="H59" s="76"/>
      <c r="I59" s="76"/>
      <c r="J59" s="76">
        <v>13</v>
      </c>
      <c r="K59" s="76"/>
      <c r="L59" s="76"/>
      <c r="M59" s="76"/>
      <c r="N59" s="77">
        <v>13</v>
      </c>
    </row>
    <row r="60" spans="1:14" ht="12.75" customHeight="1">
      <c r="A60" s="62" t="s">
        <v>1795</v>
      </c>
      <c r="B60" s="62" t="s">
        <v>1795</v>
      </c>
      <c r="C60" s="62" t="s">
        <v>1795</v>
      </c>
      <c r="D60" s="62" t="s">
        <v>1795</v>
      </c>
      <c r="E60" s="62" t="s">
        <v>22</v>
      </c>
      <c r="F60" s="62" t="s">
        <v>23</v>
      </c>
      <c r="G60" s="75"/>
      <c r="H60" s="76"/>
      <c r="I60" s="76"/>
      <c r="J60" s="76"/>
      <c r="K60" s="76"/>
      <c r="L60" s="76"/>
      <c r="M60" s="76">
        <v>1</v>
      </c>
      <c r="N60" s="77">
        <v>1</v>
      </c>
    </row>
    <row r="61" spans="1:14" ht="12.75" customHeight="1">
      <c r="A61" s="68" t="s">
        <v>1794</v>
      </c>
      <c r="B61" s="69"/>
      <c r="C61" s="69"/>
      <c r="D61" s="69"/>
      <c r="E61" s="69"/>
      <c r="F61" s="69"/>
      <c r="G61" s="81">
        <v>39</v>
      </c>
      <c r="H61" s="82">
        <v>127</v>
      </c>
      <c r="I61" s="82">
        <v>85</v>
      </c>
      <c r="J61" s="82">
        <v>45</v>
      </c>
      <c r="K61" s="82">
        <v>41</v>
      </c>
      <c r="L61" s="82">
        <v>57</v>
      </c>
      <c r="M61" s="82">
        <v>1</v>
      </c>
      <c r="N61" s="83">
        <v>395</v>
      </c>
    </row>
    <row r="62" spans="1:14" ht="12.75" customHeight="1"/>
    <row r="63" spans="1:14" ht="12.75" customHeight="1"/>
    <row r="64" spans="1:1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DATA</vt:lpstr>
      <vt:lpstr>M1</vt:lpstr>
      <vt:lpstr>M2</vt:lpstr>
      <vt:lpstr>SITES</vt:lpstr>
      <vt:lpstr>NOTES</vt:lpstr>
      <vt:lpstr>CRYPTIC FAMILIES</vt:lpstr>
      <vt:lpstr>DIVERS</vt:lpstr>
      <vt:lpstr>Pivot data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</dc:creator>
  <cp:lastModifiedBy>Alec Jones</cp:lastModifiedBy>
  <dcterms:created xsi:type="dcterms:W3CDTF">2007-10-13T13:23:35Z</dcterms:created>
  <dcterms:modified xsi:type="dcterms:W3CDTF">2025-01-22T21:09:36Z</dcterms:modified>
</cp:coreProperties>
</file>