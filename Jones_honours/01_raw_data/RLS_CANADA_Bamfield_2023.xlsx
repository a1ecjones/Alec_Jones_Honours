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"/>
    </mc:Choice>
  </mc:AlternateContent>
  <xr:revisionPtr revIDLastSave="0" documentId="13_ncr:1_{85726E5A-8095-6846-B5C5-4053F6689FA7}" xr6:coauthVersionLast="47" xr6:coauthVersionMax="47" xr10:uidLastSave="{00000000-0000-0000-0000-000000000000}"/>
  <bookViews>
    <workbookView xWindow="0" yWindow="1960" windowWidth="38400" windowHeight="19640" activeTab="1" xr2:uid="{00000000-000D-0000-FFFF-FFFF00000000}"/>
  </bookViews>
  <sheets>
    <sheet name="SUMMARY" sheetId="13" state="hidden" r:id="rId1"/>
    <sheet name="DATA" sheetId="6" r:id="rId2"/>
    <sheet name="M1" sheetId="8" r:id="rId3"/>
    <sheet name="M2" sheetId="9" r:id="rId4"/>
    <sheet name="SITES" sheetId="11" r:id="rId5"/>
    <sheet name="NOTES" sheetId="12" r:id="rId6"/>
    <sheet name="CRYPTIC FAMILIES" sheetId="15" r:id="rId7"/>
    <sheet name="DIVERS" sheetId="14" r:id="rId8"/>
    <sheet name="Pivot data check" sheetId="17" r:id="rId9"/>
  </sheets>
  <definedNames>
    <definedName name="_xlnm._FilterDatabase" localSheetId="1" hidden="1">DATA!$A$1:$AV$1680</definedName>
    <definedName name="_xlnm._FilterDatabase" localSheetId="7" hidden="1">DIVERS!$A$1:$B$367</definedName>
    <definedName name="SpeciesList1">'M1'!#REF!</definedName>
    <definedName name="SpeciesList2">'M2'!#REF!</definedName>
  </definedNames>
  <calcPr calcId="191028"/>
  <pivotCaches>
    <pivotCache cacheId="160" r:id="rId10"/>
    <pivotCache cacheId="16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5" i="6" l="1"/>
  <c r="J566" i="6" s="1"/>
  <c r="J567" i="6" s="1"/>
  <c r="J568" i="6" s="1"/>
  <c r="J569" i="6" s="1"/>
  <c r="J570" i="6" s="1"/>
  <c r="J571" i="6" s="1"/>
  <c r="J572" i="6" s="1"/>
  <c r="J573" i="6" s="1"/>
  <c r="J574" i="6" s="1"/>
  <c r="J575" i="6" s="1"/>
  <c r="J576" i="6" s="1"/>
  <c r="J577" i="6" s="1"/>
  <c r="J578" i="6" s="1"/>
  <c r="J579" i="6" s="1"/>
  <c r="J580" i="6" s="1"/>
  <c r="J581" i="6" s="1"/>
  <c r="J582" i="6" s="1"/>
  <c r="J583" i="6" s="1"/>
  <c r="J584" i="6" s="1"/>
  <c r="J585" i="6" s="1"/>
  <c r="J586" i="6" s="1"/>
  <c r="J587" i="6" s="1"/>
  <c r="J588" i="6" s="1"/>
  <c r="S846" i="6"/>
  <c r="T1680" i="6" l="1"/>
  <c r="S641" i="6" l="1"/>
  <c r="S642" i="6"/>
  <c r="D1602" i="6" l="1"/>
  <c r="G1602" i="6" s="1"/>
  <c r="S429" i="6" l="1"/>
  <c r="K590" i="6" l="1"/>
  <c r="K591" i="6" s="1"/>
  <c r="K592" i="6" s="1"/>
  <c r="K593" i="6" s="1"/>
  <c r="K594" i="6" s="1"/>
  <c r="K595" i="6" s="1"/>
  <c r="K596" i="6" s="1"/>
  <c r="K597" i="6" s="1"/>
  <c r="K598" i="6" s="1"/>
  <c r="K599" i="6" s="1"/>
  <c r="K600" i="6" s="1"/>
  <c r="K601" i="6" s="1"/>
  <c r="K602" i="6" s="1"/>
  <c r="K603" i="6" s="1"/>
  <c r="K604" i="6" s="1"/>
  <c r="K605" i="6" s="1"/>
  <c r="K606" i="6" s="1"/>
  <c r="K607" i="6" s="1"/>
  <c r="K608" i="6" s="1"/>
  <c r="K609" i="6" s="1"/>
  <c r="K610" i="6" s="1"/>
  <c r="K611" i="6" s="1"/>
  <c r="K612" i="6" s="1"/>
  <c r="K613" i="6" s="1"/>
  <c r="K614" i="6" s="1"/>
  <c r="K615" i="6" s="1"/>
  <c r="K616" i="6" s="1"/>
  <c r="K617" i="6" s="1"/>
  <c r="K537" i="6" s="1"/>
  <c r="K538" i="6" s="1"/>
  <c r="K539" i="6" s="1"/>
  <c r="K540" i="6" s="1"/>
  <c r="K541" i="6" s="1"/>
  <c r="K542" i="6" s="1"/>
  <c r="K543" i="6" s="1"/>
  <c r="K544" i="6" s="1"/>
  <c r="K545" i="6" s="1"/>
  <c r="K546" i="6" s="1"/>
  <c r="K547" i="6" s="1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480" i="6" s="1"/>
  <c r="K481" i="6" s="1"/>
  <c r="K482" i="6" s="1"/>
  <c r="K483" i="6" s="1"/>
  <c r="K484" i="6" s="1"/>
  <c r="K485" i="6" s="1"/>
  <c r="K486" i="6" s="1"/>
  <c r="K487" i="6" s="1"/>
  <c r="K488" i="6" s="1"/>
  <c r="K489" i="6" s="1"/>
  <c r="K490" i="6" s="1"/>
  <c r="K491" i="6" s="1"/>
  <c r="K492" i="6" s="1"/>
  <c r="K493" i="6" s="1"/>
  <c r="K494" i="6" s="1"/>
  <c r="K495" i="6" s="1"/>
  <c r="K496" i="6" s="1"/>
  <c r="K497" i="6" s="1"/>
  <c r="K498" i="6" s="1"/>
  <c r="K499" i="6" s="1"/>
  <c r="K500" i="6" s="1"/>
  <c r="K501" i="6" s="1"/>
  <c r="K502" i="6" s="1"/>
  <c r="K503" i="6" s="1"/>
  <c r="K504" i="6" s="1"/>
  <c r="K505" i="6" s="1"/>
  <c r="K1602" i="6" s="1"/>
  <c r="K1603" i="6" s="1"/>
  <c r="K1604" i="6" s="1"/>
  <c r="K1605" i="6" s="1"/>
  <c r="K1606" i="6" s="1"/>
  <c r="K1607" i="6" s="1"/>
  <c r="K1608" i="6" s="1"/>
  <c r="K1609" i="6" s="1"/>
  <c r="K1610" i="6" s="1"/>
  <c r="K1611" i="6" s="1"/>
  <c r="K1612" i="6" s="1"/>
  <c r="K1613" i="6" s="1"/>
  <c r="K1614" i="6" s="1"/>
  <c r="K1615" i="6" s="1"/>
  <c r="K1616" i="6" s="1"/>
  <c r="K1617" i="6" s="1"/>
  <c r="K1618" i="6" s="1"/>
  <c r="K1619" i="6" s="1"/>
  <c r="K1620" i="6" s="1"/>
  <c r="K1621" i="6" s="1"/>
  <c r="K1622" i="6" s="1"/>
  <c r="K1623" i="6" s="1"/>
  <c r="K1624" i="6" s="1"/>
  <c r="K1625" i="6" s="1"/>
  <c r="K1626" i="6" s="1"/>
  <c r="K1627" i="6" s="1"/>
  <c r="K1628" i="6" s="1"/>
  <c r="K1629" i="6" s="1"/>
  <c r="K1630" i="6" s="1"/>
  <c r="K1631" i="6" s="1"/>
  <c r="K1632" i="6" s="1"/>
  <c r="K1633" i="6" s="1"/>
  <c r="K1634" i="6" s="1"/>
  <c r="K1635" i="6" s="1"/>
  <c r="K1636" i="6" s="1"/>
  <c r="K1637" i="6" s="1"/>
  <c r="K1638" i="6" s="1"/>
  <c r="K1639" i="6" s="1"/>
  <c r="K1640" i="6" s="1"/>
  <c r="K1641" i="6" s="1"/>
  <c r="K1642" i="6" s="1"/>
  <c r="K1643" i="6" s="1"/>
  <c r="K640" i="6" s="1"/>
  <c r="Q589" i="6"/>
  <c r="R589" i="6"/>
  <c r="S589" i="6"/>
  <c r="O590" i="6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3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5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7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N590" i="6"/>
  <c r="N591" i="6" s="1"/>
  <c r="N592" i="6" s="1"/>
  <c r="N593" i="6" s="1"/>
  <c r="M590" i="6"/>
  <c r="M591" i="6" s="1"/>
  <c r="M592" i="6" s="1"/>
  <c r="M593" i="6" s="1"/>
  <c r="M594" i="6" s="1"/>
  <c r="M595" i="6" s="1"/>
  <c r="M596" i="6" s="1"/>
  <c r="M597" i="6" s="1"/>
  <c r="M598" i="6" s="1"/>
  <c r="M599" i="6" s="1"/>
  <c r="M600" i="6" s="1"/>
  <c r="M601" i="6" s="1"/>
  <c r="M602" i="6" s="1"/>
  <c r="M603" i="6" s="1"/>
  <c r="M604" i="6" s="1"/>
  <c r="M605" i="6" s="1"/>
  <c r="M606" i="6" s="1"/>
  <c r="M607" i="6" s="1"/>
  <c r="M608" i="6" s="1"/>
  <c r="M609" i="6" s="1"/>
  <c r="M610" i="6" s="1"/>
  <c r="M611" i="6" s="1"/>
  <c r="M612" i="6" s="1"/>
  <c r="M613" i="6" s="1"/>
  <c r="M614" i="6" s="1"/>
  <c r="M615" i="6" s="1"/>
  <c r="M616" i="6" s="1"/>
  <c r="M617" i="6" s="1"/>
  <c r="M537" i="6" s="1"/>
  <c r="M538" i="6" s="1"/>
  <c r="M539" i="6" s="1"/>
  <c r="M540" i="6" s="1"/>
  <c r="M541" i="6" s="1"/>
  <c r="M542" i="6" s="1"/>
  <c r="M543" i="6" s="1"/>
  <c r="M544" i="6" s="1"/>
  <c r="M545" i="6" s="1"/>
  <c r="M546" i="6" s="1"/>
  <c r="M547" i="6" s="1"/>
  <c r="M548" i="6" s="1"/>
  <c r="M549" i="6" s="1"/>
  <c r="M550" i="6" s="1"/>
  <c r="M551" i="6" s="1"/>
  <c r="M552" i="6" s="1"/>
  <c r="M553" i="6" s="1"/>
  <c r="M554" i="6" s="1"/>
  <c r="M555" i="6" s="1"/>
  <c r="M556" i="6" s="1"/>
  <c r="M557" i="6" s="1"/>
  <c r="M558" i="6" s="1"/>
  <c r="M559" i="6" s="1"/>
  <c r="M560" i="6" s="1"/>
  <c r="M561" i="6" s="1"/>
  <c r="M562" i="6" s="1"/>
  <c r="M563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5" i="6" s="1"/>
  <c r="M116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428" i="6" s="1"/>
  <c r="M429" i="6" s="1"/>
  <c r="M430" i="6" s="1"/>
  <c r="M431" i="6" s="1"/>
  <c r="M432" i="6" s="1"/>
  <c r="M433" i="6" s="1"/>
  <c r="M434" i="6" s="1"/>
  <c r="M435" i="6" s="1"/>
  <c r="M436" i="6" s="1"/>
  <c r="M437" i="6" s="1"/>
  <c r="M438" i="6" s="1"/>
  <c r="M439" i="6" s="1"/>
  <c r="M440" i="6" s="1"/>
  <c r="M441" i="6" s="1"/>
  <c r="M442" i="6" s="1"/>
  <c r="M443" i="6" s="1"/>
  <c r="M444" i="6" s="1"/>
  <c r="M445" i="6" s="1"/>
  <c r="M446" i="6" s="1"/>
  <c r="M447" i="6" s="1"/>
  <c r="M448" i="6" s="1"/>
  <c r="M449" i="6" s="1"/>
  <c r="M450" i="6" s="1"/>
  <c r="M451" i="6" s="1"/>
  <c r="M452" i="6" s="1"/>
  <c r="M453" i="6" s="1"/>
  <c r="M454" i="6" s="1"/>
  <c r="M455" i="6" s="1"/>
  <c r="M374" i="6" s="1"/>
  <c r="M375" i="6" s="1"/>
  <c r="M376" i="6" s="1"/>
  <c r="M377" i="6" s="1"/>
  <c r="M378" i="6" s="1"/>
  <c r="M379" i="6" s="1"/>
  <c r="M380" i="6" s="1"/>
  <c r="M381" i="6" s="1"/>
  <c r="M382" i="6" s="1"/>
  <c r="M383" i="6" s="1"/>
  <c r="M384" i="6" s="1"/>
  <c r="M385" i="6" s="1"/>
  <c r="M386" i="6" s="1"/>
  <c r="M387" i="6" s="1"/>
  <c r="M388" i="6" s="1"/>
  <c r="M389" i="6" s="1"/>
  <c r="M390" i="6" s="1"/>
  <c r="M391" i="6" s="1"/>
  <c r="M392" i="6" s="1"/>
  <c r="M393" i="6" s="1"/>
  <c r="M394" i="6" s="1"/>
  <c r="M395" i="6" s="1"/>
  <c r="M396" i="6" s="1"/>
  <c r="M397" i="6" s="1"/>
  <c r="M479" i="6" s="1"/>
  <c r="M480" i="6" s="1"/>
  <c r="M481" i="6" s="1"/>
  <c r="M482" i="6" s="1"/>
  <c r="M483" i="6" s="1"/>
  <c r="M484" i="6" s="1"/>
  <c r="M485" i="6" s="1"/>
  <c r="M486" i="6" s="1"/>
  <c r="M487" i="6" s="1"/>
  <c r="M488" i="6" s="1"/>
  <c r="M489" i="6" s="1"/>
  <c r="M490" i="6" s="1"/>
  <c r="M491" i="6" s="1"/>
  <c r="M492" i="6" s="1"/>
  <c r="M493" i="6" s="1"/>
  <c r="M494" i="6" s="1"/>
  <c r="M495" i="6" s="1"/>
  <c r="M496" i="6" s="1"/>
  <c r="M497" i="6" s="1"/>
  <c r="M498" i="6" s="1"/>
  <c r="M499" i="6" s="1"/>
  <c r="M500" i="6" s="1"/>
  <c r="M501" i="6" s="1"/>
  <c r="M502" i="6" s="1"/>
  <c r="M503" i="6" s="1"/>
  <c r="M504" i="6" s="1"/>
  <c r="M505" i="6" s="1"/>
  <c r="M1602" i="6" s="1"/>
  <c r="M1603" i="6" s="1"/>
  <c r="M1604" i="6" s="1"/>
  <c r="M1605" i="6" s="1"/>
  <c r="M1606" i="6" s="1"/>
  <c r="M1607" i="6" s="1"/>
  <c r="M1608" i="6" s="1"/>
  <c r="M1609" i="6" s="1"/>
  <c r="M1610" i="6" s="1"/>
  <c r="M1611" i="6" s="1"/>
  <c r="M1612" i="6" s="1"/>
  <c r="M1613" i="6" s="1"/>
  <c r="M1614" i="6" s="1"/>
  <c r="M1615" i="6" s="1"/>
  <c r="M1616" i="6" s="1"/>
  <c r="M1617" i="6" s="1"/>
  <c r="M1618" i="6" s="1"/>
  <c r="M1619" i="6" s="1"/>
  <c r="M1620" i="6" s="1"/>
  <c r="M1621" i="6" s="1"/>
  <c r="M1622" i="6" s="1"/>
  <c r="M1623" i="6" s="1"/>
  <c r="M1624" i="6" s="1"/>
  <c r="M1625" i="6" s="1"/>
  <c r="M1626" i="6" s="1"/>
  <c r="M1627" i="6" s="1"/>
  <c r="M1628" i="6" s="1"/>
  <c r="M1629" i="6" s="1"/>
  <c r="M1630" i="6" s="1"/>
  <c r="M1631" i="6" s="1"/>
  <c r="M1632" i="6" s="1"/>
  <c r="M1633" i="6" s="1"/>
  <c r="M1634" i="6" s="1"/>
  <c r="M1635" i="6" s="1"/>
  <c r="M1636" i="6" s="1"/>
  <c r="M1637" i="6" s="1"/>
  <c r="M1638" i="6" s="1"/>
  <c r="M1639" i="6" s="1"/>
  <c r="M1640" i="6" s="1"/>
  <c r="M1641" i="6" s="1"/>
  <c r="M1642" i="6" s="1"/>
  <c r="M1643" i="6" s="1"/>
  <c r="M640" i="6" s="1"/>
  <c r="L590" i="6"/>
  <c r="L591" i="6" s="1"/>
  <c r="L592" i="6" s="1"/>
  <c r="L593" i="6" s="1"/>
  <c r="L594" i="6" s="1"/>
  <c r="L595" i="6" s="1"/>
  <c r="L596" i="6" s="1"/>
  <c r="L597" i="6" s="1"/>
  <c r="L598" i="6" s="1"/>
  <c r="L599" i="6" s="1"/>
  <c r="L600" i="6" s="1"/>
  <c r="L601" i="6" s="1"/>
  <c r="L602" i="6" s="1"/>
  <c r="L603" i="6" s="1"/>
  <c r="L604" i="6" s="1"/>
  <c r="L605" i="6" s="1"/>
  <c r="L606" i="6" s="1"/>
  <c r="L607" i="6" s="1"/>
  <c r="L608" i="6" s="1"/>
  <c r="L609" i="6" s="1"/>
  <c r="L610" i="6" s="1"/>
  <c r="L611" i="6" s="1"/>
  <c r="L612" i="6" s="1"/>
  <c r="L613" i="6" s="1"/>
  <c r="L614" i="6" s="1"/>
  <c r="L615" i="6" s="1"/>
  <c r="L616" i="6" s="1"/>
  <c r="L617" i="6" s="1"/>
  <c r="L536" i="6" s="1"/>
  <c r="L537" i="6" s="1"/>
  <c r="L538" i="6" s="1"/>
  <c r="L539" i="6" s="1"/>
  <c r="L540" i="6" s="1"/>
  <c r="L541" i="6" s="1"/>
  <c r="L542" i="6" s="1"/>
  <c r="L543" i="6" s="1"/>
  <c r="L544" i="6" s="1"/>
  <c r="L545" i="6" s="1"/>
  <c r="L546" i="6" s="1"/>
  <c r="L547" i="6" s="1"/>
  <c r="L548" i="6" s="1"/>
  <c r="L549" i="6" s="1"/>
  <c r="L550" i="6" s="1"/>
  <c r="L551" i="6" s="1"/>
  <c r="L552" i="6" s="1"/>
  <c r="L553" i="6" s="1"/>
  <c r="L554" i="6" s="1"/>
  <c r="L555" i="6" s="1"/>
  <c r="L556" i="6" s="1"/>
  <c r="L557" i="6" s="1"/>
  <c r="L558" i="6" s="1"/>
  <c r="L559" i="6" s="1"/>
  <c r="L560" i="6" s="1"/>
  <c r="L561" i="6" s="1"/>
  <c r="L562" i="6" s="1"/>
  <c r="L563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427" i="6" s="1"/>
  <c r="L428" i="6" s="1"/>
  <c r="L429" i="6" s="1"/>
  <c r="L430" i="6" s="1"/>
  <c r="L431" i="6" s="1"/>
  <c r="L432" i="6" s="1"/>
  <c r="L433" i="6" s="1"/>
  <c r="L434" i="6" s="1"/>
  <c r="L435" i="6" s="1"/>
  <c r="L436" i="6" s="1"/>
  <c r="L437" i="6" s="1"/>
  <c r="L438" i="6" s="1"/>
  <c r="L439" i="6" s="1"/>
  <c r="L440" i="6" s="1"/>
  <c r="L441" i="6" s="1"/>
  <c r="L442" i="6" s="1"/>
  <c r="L443" i="6" s="1"/>
  <c r="L444" i="6" s="1"/>
  <c r="L445" i="6" s="1"/>
  <c r="L446" i="6" s="1"/>
  <c r="L447" i="6" s="1"/>
  <c r="L448" i="6" s="1"/>
  <c r="L449" i="6" s="1"/>
  <c r="L450" i="6" s="1"/>
  <c r="L451" i="6" s="1"/>
  <c r="L452" i="6" s="1"/>
  <c r="L453" i="6" s="1"/>
  <c r="L454" i="6" s="1"/>
  <c r="L455" i="6" s="1"/>
  <c r="L373" i="6" s="1"/>
  <c r="L374" i="6" s="1"/>
  <c r="L375" i="6" s="1"/>
  <c r="L376" i="6" s="1"/>
  <c r="L377" i="6" s="1"/>
  <c r="L378" i="6" s="1"/>
  <c r="L379" i="6" s="1"/>
  <c r="L380" i="6" s="1"/>
  <c r="L381" i="6" s="1"/>
  <c r="L382" i="6" s="1"/>
  <c r="L383" i="6" s="1"/>
  <c r="L384" i="6" s="1"/>
  <c r="L385" i="6" s="1"/>
  <c r="L386" i="6" s="1"/>
  <c r="L387" i="6" s="1"/>
  <c r="L388" i="6" s="1"/>
  <c r="L389" i="6" s="1"/>
  <c r="L390" i="6" s="1"/>
  <c r="L391" i="6" s="1"/>
  <c r="L392" i="6" s="1"/>
  <c r="L393" i="6" s="1"/>
  <c r="L394" i="6" s="1"/>
  <c r="L395" i="6" s="1"/>
  <c r="L396" i="6" s="1"/>
  <c r="L397" i="6" s="1"/>
  <c r="L479" i="6" s="1"/>
  <c r="L480" i="6" s="1"/>
  <c r="L481" i="6" s="1"/>
  <c r="L482" i="6" s="1"/>
  <c r="L483" i="6" s="1"/>
  <c r="L484" i="6" s="1"/>
  <c r="L485" i="6" s="1"/>
  <c r="L486" i="6" s="1"/>
  <c r="L487" i="6" s="1"/>
  <c r="L488" i="6" s="1"/>
  <c r="L489" i="6" s="1"/>
  <c r="L490" i="6" s="1"/>
  <c r="L491" i="6" s="1"/>
  <c r="L492" i="6" s="1"/>
  <c r="L493" i="6" s="1"/>
  <c r="L494" i="6" s="1"/>
  <c r="L495" i="6" s="1"/>
  <c r="L496" i="6" s="1"/>
  <c r="L497" i="6" s="1"/>
  <c r="L498" i="6" s="1"/>
  <c r="L499" i="6" s="1"/>
  <c r="L500" i="6" s="1"/>
  <c r="L501" i="6" s="1"/>
  <c r="L502" i="6" s="1"/>
  <c r="L503" i="6" s="1"/>
  <c r="L504" i="6" s="1"/>
  <c r="L505" i="6" s="1"/>
  <c r="L1602" i="6" s="1"/>
  <c r="L1603" i="6" s="1"/>
  <c r="L1604" i="6" s="1"/>
  <c r="L1605" i="6" s="1"/>
  <c r="L1606" i="6" s="1"/>
  <c r="L1607" i="6" s="1"/>
  <c r="L1608" i="6" s="1"/>
  <c r="L1609" i="6" s="1"/>
  <c r="L1610" i="6" s="1"/>
  <c r="L1611" i="6" s="1"/>
  <c r="L1612" i="6" s="1"/>
  <c r="L1613" i="6" s="1"/>
  <c r="L1614" i="6" s="1"/>
  <c r="L1615" i="6" s="1"/>
  <c r="L1616" i="6" s="1"/>
  <c r="L1617" i="6" s="1"/>
  <c r="L1618" i="6" s="1"/>
  <c r="L1619" i="6" s="1"/>
  <c r="L1620" i="6" s="1"/>
  <c r="L1621" i="6" s="1"/>
  <c r="L1622" i="6" s="1"/>
  <c r="L1623" i="6" s="1"/>
  <c r="L1624" i="6" s="1"/>
  <c r="L1625" i="6" s="1"/>
  <c r="L1626" i="6" s="1"/>
  <c r="L1627" i="6" s="1"/>
  <c r="L1628" i="6" s="1"/>
  <c r="L1629" i="6" s="1"/>
  <c r="L1630" i="6" s="1"/>
  <c r="L1631" i="6" s="1"/>
  <c r="L1632" i="6" s="1"/>
  <c r="L1633" i="6" s="1"/>
  <c r="L1634" i="6" s="1"/>
  <c r="L1635" i="6" s="1"/>
  <c r="L1636" i="6" s="1"/>
  <c r="L1637" i="6" s="1"/>
  <c r="L1638" i="6" s="1"/>
  <c r="L1639" i="6" s="1"/>
  <c r="L1640" i="6" s="1"/>
  <c r="L1641" i="6" s="1"/>
  <c r="L1642" i="6" s="1"/>
  <c r="L1643" i="6" s="1"/>
  <c r="L639" i="6" s="1"/>
  <c r="L640" i="6" s="1"/>
  <c r="G589" i="6"/>
  <c r="H590" i="6"/>
  <c r="H591" i="6" s="1"/>
  <c r="H592" i="6" s="1"/>
  <c r="H593" i="6" s="1"/>
  <c r="H594" i="6" s="1"/>
  <c r="H595" i="6" s="1"/>
  <c r="H596" i="6" s="1"/>
  <c r="H597" i="6" s="1"/>
  <c r="H598" i="6" s="1"/>
  <c r="H599" i="6" s="1"/>
  <c r="H600" i="6" s="1"/>
  <c r="H601" i="6" s="1"/>
  <c r="H602" i="6" s="1"/>
  <c r="H603" i="6" s="1"/>
  <c r="H604" i="6" s="1"/>
  <c r="H605" i="6" s="1"/>
  <c r="H606" i="6" s="1"/>
  <c r="H607" i="6" s="1"/>
  <c r="H608" i="6" s="1"/>
  <c r="H609" i="6" s="1"/>
  <c r="H610" i="6" s="1"/>
  <c r="H611" i="6" s="1"/>
  <c r="H612" i="6" s="1"/>
  <c r="H613" i="6" s="1"/>
  <c r="H614" i="6" s="1"/>
  <c r="H615" i="6" s="1"/>
  <c r="H616" i="6" s="1"/>
  <c r="H617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427" i="6" s="1"/>
  <c r="H428" i="6" s="1"/>
  <c r="H429" i="6" s="1"/>
  <c r="H430" i="6" s="1"/>
  <c r="H431" i="6" s="1"/>
  <c r="H432" i="6" s="1"/>
  <c r="H433" i="6" s="1"/>
  <c r="H434" i="6" s="1"/>
  <c r="H435" i="6" s="1"/>
  <c r="H436" i="6" s="1"/>
  <c r="H437" i="6" s="1"/>
  <c r="H438" i="6" s="1"/>
  <c r="H439" i="6" s="1"/>
  <c r="H440" i="6" s="1"/>
  <c r="H441" i="6" s="1"/>
  <c r="H442" i="6" s="1"/>
  <c r="H443" i="6" s="1"/>
  <c r="H444" i="6" s="1"/>
  <c r="H445" i="6" s="1"/>
  <c r="H446" i="6" s="1"/>
  <c r="H447" i="6" s="1"/>
  <c r="H448" i="6" s="1"/>
  <c r="H449" i="6" s="1"/>
  <c r="H450" i="6" s="1"/>
  <c r="H451" i="6" s="1"/>
  <c r="H452" i="6" s="1"/>
  <c r="H453" i="6" s="1"/>
  <c r="H454" i="6" s="1"/>
  <c r="H455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 s="1"/>
  <c r="H489" i="6" s="1"/>
  <c r="H490" i="6" s="1"/>
  <c r="H491" i="6" s="1"/>
  <c r="H492" i="6" s="1"/>
  <c r="H493" i="6" s="1"/>
  <c r="H494" i="6" s="1"/>
  <c r="H495" i="6" s="1"/>
  <c r="H496" i="6" s="1"/>
  <c r="H497" i="6" s="1"/>
  <c r="H498" i="6" s="1"/>
  <c r="H499" i="6" s="1"/>
  <c r="H500" i="6" s="1"/>
  <c r="H501" i="6" s="1"/>
  <c r="H502" i="6" s="1"/>
  <c r="H503" i="6" s="1"/>
  <c r="H504" i="6" s="1"/>
  <c r="H505" i="6" s="1"/>
  <c r="H1602" i="6" s="1"/>
  <c r="H1603" i="6" s="1"/>
  <c r="H1604" i="6" s="1"/>
  <c r="H1605" i="6" s="1"/>
  <c r="H1606" i="6" s="1"/>
  <c r="H1607" i="6" s="1"/>
  <c r="H1608" i="6" s="1"/>
  <c r="H1609" i="6" s="1"/>
  <c r="H1610" i="6" s="1"/>
  <c r="H1611" i="6" s="1"/>
  <c r="H1612" i="6" s="1"/>
  <c r="H1613" i="6" s="1"/>
  <c r="H1614" i="6" s="1"/>
  <c r="H1615" i="6" s="1"/>
  <c r="H1616" i="6" s="1"/>
  <c r="H1617" i="6" s="1"/>
  <c r="H1618" i="6" s="1"/>
  <c r="H1619" i="6" s="1"/>
  <c r="H1620" i="6" s="1"/>
  <c r="H1621" i="6" s="1"/>
  <c r="H1622" i="6" s="1"/>
  <c r="H1623" i="6" s="1"/>
  <c r="H1624" i="6" s="1"/>
  <c r="H1625" i="6" s="1"/>
  <c r="H1626" i="6" s="1"/>
  <c r="H1627" i="6" s="1"/>
  <c r="H1628" i="6" s="1"/>
  <c r="H1629" i="6" s="1"/>
  <c r="H1630" i="6" s="1"/>
  <c r="H1631" i="6" s="1"/>
  <c r="H1632" i="6" s="1"/>
  <c r="H1633" i="6" s="1"/>
  <c r="H1634" i="6" s="1"/>
  <c r="H1635" i="6" s="1"/>
  <c r="H1636" i="6" s="1"/>
  <c r="H1637" i="6" s="1"/>
  <c r="H1638" i="6" s="1"/>
  <c r="H1639" i="6" s="1"/>
  <c r="H1640" i="6" s="1"/>
  <c r="H1641" i="6" s="1"/>
  <c r="H1642" i="6" s="1"/>
  <c r="H1643" i="6" s="1"/>
  <c r="H639" i="6" s="1"/>
  <c r="H640" i="6" s="1"/>
  <c r="J590" i="6"/>
  <c r="J591" i="6" s="1"/>
  <c r="J592" i="6" s="1"/>
  <c r="J593" i="6" s="1"/>
  <c r="J594" i="6" s="1"/>
  <c r="J595" i="6" s="1"/>
  <c r="J596" i="6" s="1"/>
  <c r="J597" i="6" s="1"/>
  <c r="J598" i="6" s="1"/>
  <c r="J599" i="6" s="1"/>
  <c r="J600" i="6" s="1"/>
  <c r="J601" i="6" s="1"/>
  <c r="J602" i="6" s="1"/>
  <c r="J603" i="6" s="1"/>
  <c r="J604" i="6" s="1"/>
  <c r="J605" i="6" s="1"/>
  <c r="J606" i="6" s="1"/>
  <c r="J607" i="6" s="1"/>
  <c r="J608" i="6" s="1"/>
  <c r="J609" i="6" s="1"/>
  <c r="J610" i="6" s="1"/>
  <c r="J611" i="6" s="1"/>
  <c r="J612" i="6" s="1"/>
  <c r="J613" i="6" s="1"/>
  <c r="J614" i="6" s="1"/>
  <c r="J615" i="6" s="1"/>
  <c r="J616" i="6" s="1"/>
  <c r="J617" i="6" s="1"/>
  <c r="J536" i="6" s="1"/>
  <c r="J537" i="6" s="1"/>
  <c r="J538" i="6" s="1"/>
  <c r="J539" i="6" s="1"/>
  <c r="J540" i="6" s="1"/>
  <c r="J541" i="6" s="1"/>
  <c r="J542" i="6" s="1"/>
  <c r="J543" i="6" s="1"/>
  <c r="J544" i="6" s="1"/>
  <c r="J545" i="6" s="1"/>
  <c r="J546" i="6" s="1"/>
  <c r="J547" i="6" s="1"/>
  <c r="J548" i="6" s="1"/>
  <c r="J549" i="6" s="1"/>
  <c r="J550" i="6" s="1"/>
  <c r="J551" i="6" s="1"/>
  <c r="J552" i="6" s="1"/>
  <c r="J553" i="6" s="1"/>
  <c r="J554" i="6" s="1"/>
  <c r="J555" i="6" s="1"/>
  <c r="J556" i="6" s="1"/>
  <c r="J557" i="6" s="1"/>
  <c r="J558" i="6" s="1"/>
  <c r="J559" i="6" s="1"/>
  <c r="J560" i="6" s="1"/>
  <c r="I590" i="6"/>
  <c r="I591" i="6" s="1"/>
  <c r="I592" i="6" s="1"/>
  <c r="I593" i="6" s="1"/>
  <c r="I594" i="6" s="1"/>
  <c r="I595" i="6" s="1"/>
  <c r="I596" i="6" s="1"/>
  <c r="I597" i="6" s="1"/>
  <c r="I598" i="6" s="1"/>
  <c r="I599" i="6" s="1"/>
  <c r="I600" i="6" s="1"/>
  <c r="I601" i="6" s="1"/>
  <c r="I602" i="6" s="1"/>
  <c r="I603" i="6" s="1"/>
  <c r="I604" i="6" s="1"/>
  <c r="I605" i="6" s="1"/>
  <c r="I606" i="6" s="1"/>
  <c r="I607" i="6" s="1"/>
  <c r="I608" i="6" s="1"/>
  <c r="I609" i="6" s="1"/>
  <c r="I610" i="6" s="1"/>
  <c r="I611" i="6" s="1"/>
  <c r="I612" i="6" s="1"/>
  <c r="I613" i="6" s="1"/>
  <c r="I614" i="6" s="1"/>
  <c r="I615" i="6" s="1"/>
  <c r="I616" i="6" s="1"/>
  <c r="I617" i="6" s="1"/>
  <c r="I537" i="6" s="1"/>
  <c r="I538" i="6" s="1"/>
  <c r="I539" i="6" s="1"/>
  <c r="I540" i="6" s="1"/>
  <c r="I541" i="6" s="1"/>
  <c r="I542" i="6" s="1"/>
  <c r="I543" i="6" s="1"/>
  <c r="I544" i="6" s="1"/>
  <c r="I545" i="6" s="1"/>
  <c r="I546" i="6" s="1"/>
  <c r="I547" i="6" s="1"/>
  <c r="I548" i="6" s="1"/>
  <c r="I549" i="6" s="1"/>
  <c r="I550" i="6" s="1"/>
  <c r="I551" i="6" s="1"/>
  <c r="I552" i="6" s="1"/>
  <c r="I553" i="6" s="1"/>
  <c r="I554" i="6" s="1"/>
  <c r="I555" i="6" s="1"/>
  <c r="I556" i="6" s="1"/>
  <c r="I557" i="6" s="1"/>
  <c r="I558" i="6" s="1"/>
  <c r="I559" i="6" s="1"/>
  <c r="I560" i="6" s="1"/>
  <c r="I561" i="6" s="1"/>
  <c r="I562" i="6" s="1"/>
  <c r="I563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428" i="6" s="1"/>
  <c r="I429" i="6" s="1"/>
  <c r="I430" i="6" s="1"/>
  <c r="I431" i="6" s="1"/>
  <c r="I432" i="6" s="1"/>
  <c r="I433" i="6" s="1"/>
  <c r="I434" i="6" s="1"/>
  <c r="I435" i="6" s="1"/>
  <c r="I436" i="6" s="1"/>
  <c r="I437" i="6" s="1"/>
  <c r="I438" i="6" s="1"/>
  <c r="I439" i="6" s="1"/>
  <c r="I440" i="6" s="1"/>
  <c r="I441" i="6" s="1"/>
  <c r="I442" i="6" s="1"/>
  <c r="I443" i="6" s="1"/>
  <c r="I444" i="6" s="1"/>
  <c r="I445" i="6" s="1"/>
  <c r="I446" i="6" s="1"/>
  <c r="I447" i="6" s="1"/>
  <c r="I448" i="6" s="1"/>
  <c r="I449" i="6" s="1"/>
  <c r="I450" i="6" s="1"/>
  <c r="I451" i="6" s="1"/>
  <c r="I452" i="6" s="1"/>
  <c r="I453" i="6" s="1"/>
  <c r="I454" i="6" s="1"/>
  <c r="I455" i="6" s="1"/>
  <c r="I373" i="6" s="1"/>
  <c r="I374" i="6" s="1"/>
  <c r="I375" i="6" s="1"/>
  <c r="I376" i="6" s="1"/>
  <c r="I377" i="6" s="1"/>
  <c r="I378" i="6" s="1"/>
  <c r="I379" i="6" s="1"/>
  <c r="I380" i="6" s="1"/>
  <c r="I381" i="6" s="1"/>
  <c r="I382" i="6" s="1"/>
  <c r="I383" i="6" s="1"/>
  <c r="I384" i="6" s="1"/>
  <c r="I385" i="6" s="1"/>
  <c r="I386" i="6" s="1"/>
  <c r="I387" i="6" s="1"/>
  <c r="I388" i="6" s="1"/>
  <c r="I389" i="6" s="1"/>
  <c r="I390" i="6" s="1"/>
  <c r="I391" i="6" s="1"/>
  <c r="I392" i="6" s="1"/>
  <c r="I393" i="6" s="1"/>
  <c r="I394" i="6" s="1"/>
  <c r="I395" i="6" s="1"/>
  <c r="I396" i="6" s="1"/>
  <c r="I397" i="6" s="1"/>
  <c r="I480" i="6" s="1"/>
  <c r="I481" i="6" s="1"/>
  <c r="I482" i="6" s="1"/>
  <c r="I483" i="6" s="1"/>
  <c r="I484" i="6" s="1"/>
  <c r="I485" i="6" s="1"/>
  <c r="I486" i="6" s="1"/>
  <c r="I487" i="6" s="1"/>
  <c r="I488" i="6" s="1"/>
  <c r="I489" i="6" s="1"/>
  <c r="I490" i="6" s="1"/>
  <c r="I491" i="6" s="1"/>
  <c r="I492" i="6" s="1"/>
  <c r="I493" i="6" s="1"/>
  <c r="I494" i="6" s="1"/>
  <c r="I495" i="6" s="1"/>
  <c r="I496" i="6" s="1"/>
  <c r="I497" i="6" s="1"/>
  <c r="I498" i="6" s="1"/>
  <c r="I499" i="6" s="1"/>
  <c r="I500" i="6" s="1"/>
  <c r="I501" i="6" s="1"/>
  <c r="I502" i="6" s="1"/>
  <c r="I503" i="6" s="1"/>
  <c r="I504" i="6" s="1"/>
  <c r="I505" i="6" s="1"/>
  <c r="I1602" i="6" s="1"/>
  <c r="I1603" i="6" s="1"/>
  <c r="I1604" i="6" s="1"/>
  <c r="I1605" i="6" s="1"/>
  <c r="I1606" i="6" s="1"/>
  <c r="I1607" i="6" s="1"/>
  <c r="I1608" i="6" s="1"/>
  <c r="I1609" i="6" s="1"/>
  <c r="I1610" i="6" s="1"/>
  <c r="I1611" i="6" s="1"/>
  <c r="I1612" i="6" s="1"/>
  <c r="I1613" i="6" s="1"/>
  <c r="I1614" i="6" s="1"/>
  <c r="I1615" i="6" s="1"/>
  <c r="I1616" i="6" s="1"/>
  <c r="I1617" i="6" s="1"/>
  <c r="I1618" i="6" s="1"/>
  <c r="I1619" i="6" s="1"/>
  <c r="I1620" i="6" s="1"/>
  <c r="I1621" i="6" s="1"/>
  <c r="I1622" i="6" s="1"/>
  <c r="I1623" i="6" s="1"/>
  <c r="I1624" i="6" s="1"/>
  <c r="I1625" i="6" s="1"/>
  <c r="I1626" i="6" s="1"/>
  <c r="I1627" i="6" s="1"/>
  <c r="I1628" i="6" s="1"/>
  <c r="I1629" i="6" s="1"/>
  <c r="I1630" i="6" s="1"/>
  <c r="I1631" i="6" s="1"/>
  <c r="I1632" i="6" s="1"/>
  <c r="I1633" i="6" s="1"/>
  <c r="I1634" i="6" s="1"/>
  <c r="I1635" i="6" s="1"/>
  <c r="I1636" i="6" s="1"/>
  <c r="I1637" i="6" s="1"/>
  <c r="I1638" i="6" s="1"/>
  <c r="I1639" i="6" s="1"/>
  <c r="I1640" i="6" s="1"/>
  <c r="I1641" i="6" s="1"/>
  <c r="I1642" i="6" s="1"/>
  <c r="I1643" i="6" s="1"/>
  <c r="I640" i="6" s="1"/>
  <c r="F589" i="6"/>
  <c r="E589" i="6"/>
  <c r="D590" i="6"/>
  <c r="D591" i="6" s="1"/>
  <c r="D592" i="6" s="1"/>
  <c r="E592" i="6" s="1"/>
  <c r="C590" i="6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1601" i="6" s="1"/>
  <c r="C1602" i="6" s="1"/>
  <c r="C1603" i="6" s="1"/>
  <c r="C1604" i="6" s="1"/>
  <c r="C1605" i="6" s="1"/>
  <c r="C1606" i="6" s="1"/>
  <c r="C1607" i="6" s="1"/>
  <c r="C1608" i="6" s="1"/>
  <c r="C1609" i="6" s="1"/>
  <c r="C1610" i="6" s="1"/>
  <c r="C1611" i="6" s="1"/>
  <c r="C1612" i="6" s="1"/>
  <c r="C1613" i="6" s="1"/>
  <c r="C1614" i="6" s="1"/>
  <c r="C1615" i="6" s="1"/>
  <c r="C1616" i="6" s="1"/>
  <c r="C1617" i="6" s="1"/>
  <c r="C1618" i="6" s="1"/>
  <c r="C1619" i="6" s="1"/>
  <c r="C1620" i="6" s="1"/>
  <c r="C1621" i="6" s="1"/>
  <c r="C1622" i="6" s="1"/>
  <c r="C1623" i="6" s="1"/>
  <c r="C1624" i="6" s="1"/>
  <c r="C1625" i="6" s="1"/>
  <c r="C1626" i="6" s="1"/>
  <c r="C1627" i="6" s="1"/>
  <c r="C1628" i="6" s="1"/>
  <c r="C1629" i="6" s="1"/>
  <c r="C1630" i="6" s="1"/>
  <c r="C1631" i="6" s="1"/>
  <c r="C1632" i="6" s="1"/>
  <c r="C1633" i="6" s="1"/>
  <c r="C1634" i="6" s="1"/>
  <c r="C1635" i="6" s="1"/>
  <c r="C1636" i="6" s="1"/>
  <c r="C1637" i="6" s="1"/>
  <c r="C1638" i="6" s="1"/>
  <c r="C1639" i="6" s="1"/>
  <c r="C1640" i="6" s="1"/>
  <c r="C1641" i="6" s="1"/>
  <c r="C1642" i="6" s="1"/>
  <c r="C1643" i="6" s="1"/>
  <c r="C639" i="6" s="1"/>
  <c r="C640" i="6" s="1"/>
  <c r="B590" i="6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1601" i="6" s="1"/>
  <c r="B1602" i="6" s="1"/>
  <c r="B1603" i="6" s="1"/>
  <c r="B1604" i="6" s="1"/>
  <c r="B1605" i="6" s="1"/>
  <c r="B1606" i="6" s="1"/>
  <c r="B1607" i="6" s="1"/>
  <c r="B1608" i="6" s="1"/>
  <c r="B1609" i="6" s="1"/>
  <c r="B1610" i="6" s="1"/>
  <c r="B1611" i="6" s="1"/>
  <c r="B1612" i="6" s="1"/>
  <c r="B1613" i="6" s="1"/>
  <c r="B1614" i="6" s="1"/>
  <c r="B1615" i="6" s="1"/>
  <c r="B1616" i="6" s="1"/>
  <c r="B1617" i="6" s="1"/>
  <c r="B1618" i="6" s="1"/>
  <c r="B1619" i="6" s="1"/>
  <c r="B1620" i="6" s="1"/>
  <c r="B1621" i="6" s="1"/>
  <c r="B1622" i="6" s="1"/>
  <c r="B1623" i="6" s="1"/>
  <c r="B1624" i="6" s="1"/>
  <c r="B1625" i="6" s="1"/>
  <c r="B1626" i="6" s="1"/>
  <c r="B1627" i="6" s="1"/>
  <c r="B1628" i="6" s="1"/>
  <c r="B1629" i="6" s="1"/>
  <c r="B1630" i="6" s="1"/>
  <c r="B1631" i="6" s="1"/>
  <c r="B1632" i="6" s="1"/>
  <c r="B1633" i="6" s="1"/>
  <c r="B1634" i="6" s="1"/>
  <c r="B1635" i="6" s="1"/>
  <c r="B1636" i="6" s="1"/>
  <c r="B1637" i="6" s="1"/>
  <c r="B1638" i="6" s="1"/>
  <c r="B1639" i="6" s="1"/>
  <c r="B1640" i="6" s="1"/>
  <c r="B1641" i="6" s="1"/>
  <c r="B1642" i="6" s="1"/>
  <c r="B1643" i="6" s="1"/>
  <c r="B639" i="6" s="1"/>
  <c r="B640" i="6" s="1"/>
  <c r="S590" i="6"/>
  <c r="S591" i="6"/>
  <c r="S592" i="6"/>
  <c r="S593" i="6"/>
  <c r="S555" i="6"/>
  <c r="S556" i="6"/>
  <c r="AA1" i="6"/>
  <c r="Y1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7" i="6"/>
  <c r="S558" i="6"/>
  <c r="S559" i="6"/>
  <c r="S560" i="6"/>
  <c r="S561" i="6"/>
  <c r="S562" i="6"/>
  <c r="S563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427" i="6"/>
  <c r="S428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1601" i="6"/>
  <c r="S1602" i="6"/>
  <c r="S1603" i="6"/>
  <c r="S1604" i="6"/>
  <c r="S1605" i="6"/>
  <c r="S1606" i="6"/>
  <c r="S1607" i="6"/>
  <c r="S1608" i="6"/>
  <c r="S1609" i="6"/>
  <c r="S1610" i="6"/>
  <c r="S1611" i="6"/>
  <c r="S1612" i="6"/>
  <c r="S1613" i="6"/>
  <c r="S1614" i="6"/>
  <c r="S1615" i="6"/>
  <c r="S1616" i="6"/>
  <c r="S1617" i="6"/>
  <c r="S1618" i="6"/>
  <c r="S1619" i="6"/>
  <c r="S1620" i="6"/>
  <c r="S1621" i="6"/>
  <c r="S1622" i="6"/>
  <c r="S1623" i="6"/>
  <c r="S1624" i="6"/>
  <c r="S1625" i="6"/>
  <c r="S1626" i="6"/>
  <c r="S1627" i="6"/>
  <c r="S1628" i="6"/>
  <c r="S1629" i="6"/>
  <c r="S1630" i="6"/>
  <c r="S1631" i="6"/>
  <c r="S1632" i="6"/>
  <c r="S1633" i="6"/>
  <c r="S1634" i="6"/>
  <c r="S1635" i="6"/>
  <c r="S1636" i="6"/>
  <c r="S1637" i="6"/>
  <c r="S1638" i="6"/>
  <c r="S1639" i="6"/>
  <c r="S1640" i="6"/>
  <c r="S1641" i="6"/>
  <c r="S1642" i="6"/>
  <c r="S1643" i="6"/>
  <c r="S639" i="6"/>
  <c r="S640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1277" i="6"/>
  <c r="S1278" i="6"/>
  <c r="S1279" i="6"/>
  <c r="S1280" i="6"/>
  <c r="S1281" i="6"/>
  <c r="S1282" i="6"/>
  <c r="S1283" i="6"/>
  <c r="S1284" i="6"/>
  <c r="S1285" i="6"/>
  <c r="S1286" i="6"/>
  <c r="S1287" i="6"/>
  <c r="S1288" i="6"/>
  <c r="S1289" i="6"/>
  <c r="S1290" i="6"/>
  <c r="S1291" i="6"/>
  <c r="S1292" i="6"/>
  <c r="S1293" i="6"/>
  <c r="S1294" i="6"/>
  <c r="S1295" i="6"/>
  <c r="S1296" i="6"/>
  <c r="S1297" i="6"/>
  <c r="S1298" i="6"/>
  <c r="S1214" i="6"/>
  <c r="S1215" i="6"/>
  <c r="S1216" i="6"/>
  <c r="S1217" i="6"/>
  <c r="S1218" i="6"/>
  <c r="S1219" i="6"/>
  <c r="S1220" i="6"/>
  <c r="S1221" i="6"/>
  <c r="S1222" i="6"/>
  <c r="S1223" i="6"/>
  <c r="S1224" i="6"/>
  <c r="S1225" i="6"/>
  <c r="S1226" i="6"/>
  <c r="S1227" i="6"/>
  <c r="S1228" i="6"/>
  <c r="S1229" i="6"/>
  <c r="S1230" i="6"/>
  <c r="S1231" i="6"/>
  <c r="S1232" i="6"/>
  <c r="S1233" i="6"/>
  <c r="S1234" i="6"/>
  <c r="S1235" i="6"/>
  <c r="S1236" i="6"/>
  <c r="S1237" i="6"/>
  <c r="S1238" i="6"/>
  <c r="S1239" i="6"/>
  <c r="S1240" i="6"/>
  <c r="S1241" i="6"/>
  <c r="S1242" i="6"/>
  <c r="S1243" i="6"/>
  <c r="S1324" i="6"/>
  <c r="S1325" i="6"/>
  <c r="S1326" i="6"/>
  <c r="S1327" i="6"/>
  <c r="S1328" i="6"/>
  <c r="S1329" i="6"/>
  <c r="S1330" i="6"/>
  <c r="S1331" i="6"/>
  <c r="S1332" i="6"/>
  <c r="S1333" i="6"/>
  <c r="S1334" i="6"/>
  <c r="S1335" i="6"/>
  <c r="S1336" i="6"/>
  <c r="S1337" i="6"/>
  <c r="S1338" i="6"/>
  <c r="S1339" i="6"/>
  <c r="S1340" i="6"/>
  <c r="S1341" i="6"/>
  <c r="S1342" i="6"/>
  <c r="S1343" i="6"/>
  <c r="S1344" i="6"/>
  <c r="S1345" i="6"/>
  <c r="S1411" i="6"/>
  <c r="S1412" i="6"/>
  <c r="S1413" i="6"/>
  <c r="S1414" i="6"/>
  <c r="S1415" i="6"/>
  <c r="S1416" i="6"/>
  <c r="S1417" i="6"/>
  <c r="S1418" i="6"/>
  <c r="S1419" i="6"/>
  <c r="S1420" i="6"/>
  <c r="S1421" i="6"/>
  <c r="S1422" i="6"/>
  <c r="S1423" i="6"/>
  <c r="S1424" i="6"/>
  <c r="S1425" i="6"/>
  <c r="S1426" i="6"/>
  <c r="S1427" i="6"/>
  <c r="S1428" i="6"/>
  <c r="S1429" i="6"/>
  <c r="S1430" i="6"/>
  <c r="S1431" i="6"/>
  <c r="S1432" i="6"/>
  <c r="S1433" i="6"/>
  <c r="S1434" i="6"/>
  <c r="S1435" i="6"/>
  <c r="S1436" i="6"/>
  <c r="S1437" i="6"/>
  <c r="S1438" i="6"/>
  <c r="S1513" i="6"/>
  <c r="S1514" i="6"/>
  <c r="S1515" i="6"/>
  <c r="S1516" i="6"/>
  <c r="S1517" i="6"/>
  <c r="S1518" i="6"/>
  <c r="S1519" i="6"/>
  <c r="S1520" i="6"/>
  <c r="S1521" i="6"/>
  <c r="S1522" i="6"/>
  <c r="S1523" i="6"/>
  <c r="S1524" i="6"/>
  <c r="S1525" i="6"/>
  <c r="S1526" i="6"/>
  <c r="S1527" i="6"/>
  <c r="S1528" i="6"/>
  <c r="S1529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1002" i="6"/>
  <c r="S1003" i="6"/>
  <c r="S1004" i="6"/>
  <c r="U1" i="6"/>
  <c r="V1" i="6"/>
  <c r="W1" i="6"/>
  <c r="X1" i="6"/>
  <c r="Z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R590" i="6" l="1"/>
  <c r="Q590" i="6"/>
  <c r="J102" i="6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428" i="6" s="1"/>
  <c r="J429" i="6" s="1"/>
  <c r="J430" i="6" s="1"/>
  <c r="J431" i="6" s="1"/>
  <c r="J432" i="6" s="1"/>
  <c r="J433" i="6" s="1"/>
  <c r="J434" i="6" s="1"/>
  <c r="J435" i="6" s="1"/>
  <c r="J436" i="6" s="1"/>
  <c r="J437" i="6" s="1"/>
  <c r="J438" i="6" s="1"/>
  <c r="J439" i="6" s="1"/>
  <c r="J440" i="6" s="1"/>
  <c r="J441" i="6" s="1"/>
  <c r="J442" i="6" s="1"/>
  <c r="J443" i="6" s="1"/>
  <c r="J444" i="6" s="1"/>
  <c r="J445" i="6" s="1"/>
  <c r="J446" i="6" s="1"/>
  <c r="J447" i="6" s="1"/>
  <c r="J448" i="6" s="1"/>
  <c r="J449" i="6" s="1"/>
  <c r="J450" i="6" s="1"/>
  <c r="J451" i="6" s="1"/>
  <c r="J452" i="6" s="1"/>
  <c r="J453" i="6" s="1"/>
  <c r="J454" i="6" s="1"/>
  <c r="J455" i="6" s="1"/>
  <c r="J374" i="6" s="1"/>
  <c r="J375" i="6" s="1"/>
  <c r="J376" i="6" s="1"/>
  <c r="J377" i="6" s="1"/>
  <c r="J378" i="6" s="1"/>
  <c r="J379" i="6" s="1"/>
  <c r="J380" i="6" s="1"/>
  <c r="J381" i="6" s="1"/>
  <c r="J382" i="6" s="1"/>
  <c r="J383" i="6" s="1"/>
  <c r="J384" i="6" s="1"/>
  <c r="J385" i="6" s="1"/>
  <c r="J386" i="6" s="1"/>
  <c r="J387" i="6" s="1"/>
  <c r="J388" i="6" s="1"/>
  <c r="J389" i="6" s="1"/>
  <c r="J390" i="6" s="1"/>
  <c r="J391" i="6" s="1"/>
  <c r="J392" i="6" s="1"/>
  <c r="J393" i="6" s="1"/>
  <c r="J394" i="6" s="1"/>
  <c r="J395" i="6" s="1"/>
  <c r="J396" i="6" s="1"/>
  <c r="J397" i="6" s="1"/>
  <c r="J480" i="6" s="1"/>
  <c r="J481" i="6" s="1"/>
  <c r="J482" i="6" s="1"/>
  <c r="J483" i="6" s="1"/>
  <c r="J484" i="6" s="1"/>
  <c r="J485" i="6" s="1"/>
  <c r="J486" i="6" s="1"/>
  <c r="J487" i="6" s="1"/>
  <c r="J488" i="6" s="1"/>
  <c r="J489" i="6" s="1"/>
  <c r="J490" i="6" s="1"/>
  <c r="J491" i="6" s="1"/>
  <c r="J492" i="6" s="1"/>
  <c r="J493" i="6" s="1"/>
  <c r="J494" i="6" s="1"/>
  <c r="J495" i="6" s="1"/>
  <c r="J496" i="6" s="1"/>
  <c r="J497" i="6" s="1"/>
  <c r="J498" i="6" s="1"/>
  <c r="J499" i="6" s="1"/>
  <c r="J500" i="6" s="1"/>
  <c r="J501" i="6" s="1"/>
  <c r="J502" i="6" s="1"/>
  <c r="J503" i="6" s="1"/>
  <c r="J504" i="6" s="1"/>
  <c r="J505" i="6" s="1"/>
  <c r="J1602" i="6" s="1"/>
  <c r="J1603" i="6" s="1"/>
  <c r="J1604" i="6" s="1"/>
  <c r="J1605" i="6" s="1"/>
  <c r="J1606" i="6" s="1"/>
  <c r="J1607" i="6" s="1"/>
  <c r="J1608" i="6" s="1"/>
  <c r="J1609" i="6" s="1"/>
  <c r="J1610" i="6" s="1"/>
  <c r="J1611" i="6" s="1"/>
  <c r="J1612" i="6" s="1"/>
  <c r="J1613" i="6" s="1"/>
  <c r="J1614" i="6" s="1"/>
  <c r="J1615" i="6" s="1"/>
  <c r="J1616" i="6" s="1"/>
  <c r="J1617" i="6" s="1"/>
  <c r="J1618" i="6" s="1"/>
  <c r="J1619" i="6" s="1"/>
  <c r="J1620" i="6" s="1"/>
  <c r="J1621" i="6" s="1"/>
  <c r="J1622" i="6" s="1"/>
  <c r="J1623" i="6" s="1"/>
  <c r="J1624" i="6" s="1"/>
  <c r="J1625" i="6" s="1"/>
  <c r="J1626" i="6" s="1"/>
  <c r="J1627" i="6" s="1"/>
  <c r="J1628" i="6" s="1"/>
  <c r="J1629" i="6" s="1"/>
  <c r="J1630" i="6" s="1"/>
  <c r="J1631" i="6" s="1"/>
  <c r="J1632" i="6" s="1"/>
  <c r="J1633" i="6" s="1"/>
  <c r="J1634" i="6" s="1"/>
  <c r="J1635" i="6" s="1"/>
  <c r="J1636" i="6" s="1"/>
  <c r="J1637" i="6" s="1"/>
  <c r="J1638" i="6" s="1"/>
  <c r="J1639" i="6" s="1"/>
  <c r="J1640" i="6" s="1"/>
  <c r="J1641" i="6" s="1"/>
  <c r="J1642" i="6" s="1"/>
  <c r="J1643" i="6" s="1"/>
  <c r="J640" i="6" s="1"/>
  <c r="J642" i="6" s="1"/>
  <c r="J643" i="6" s="1"/>
  <c r="J644" i="6" s="1"/>
  <c r="J645" i="6" s="1"/>
  <c r="J646" i="6" s="1"/>
  <c r="J647" i="6" s="1"/>
  <c r="J648" i="6" s="1"/>
  <c r="J649" i="6" s="1"/>
  <c r="J650" i="6" s="1"/>
  <c r="J651" i="6" s="1"/>
  <c r="J652" i="6" s="1"/>
  <c r="J653" i="6" s="1"/>
  <c r="J654" i="6" s="1"/>
  <c r="J655" i="6" s="1"/>
  <c r="J656" i="6" s="1"/>
  <c r="J657" i="6" s="1"/>
  <c r="J658" i="6" s="1"/>
  <c r="J659" i="6" s="1"/>
  <c r="J660" i="6" s="1"/>
  <c r="J661" i="6" s="1"/>
  <c r="J662" i="6" s="1"/>
  <c r="J663" i="6" s="1"/>
  <c r="J664" i="6" s="1"/>
  <c r="J665" i="6" s="1"/>
  <c r="J666" i="6" s="1"/>
  <c r="J667" i="6" s="1"/>
  <c r="J668" i="6" s="1"/>
  <c r="J669" i="6" s="1"/>
  <c r="J670" i="6" s="1"/>
  <c r="J1277" i="6" s="1"/>
  <c r="J1278" i="6" s="1"/>
  <c r="J1279" i="6" s="1"/>
  <c r="J1280" i="6" s="1"/>
  <c r="J1281" i="6" s="1"/>
  <c r="J1282" i="6" s="1"/>
  <c r="J1283" i="6" s="1"/>
  <c r="J1284" i="6" s="1"/>
  <c r="J1285" i="6" s="1"/>
  <c r="J1286" i="6" s="1"/>
  <c r="J1287" i="6" s="1"/>
  <c r="J1288" i="6" s="1"/>
  <c r="J1289" i="6" s="1"/>
  <c r="J1290" i="6" s="1"/>
  <c r="J1291" i="6" s="1"/>
  <c r="J1292" i="6" s="1"/>
  <c r="J1293" i="6" s="1"/>
  <c r="J1294" i="6" s="1"/>
  <c r="J1295" i="6" s="1"/>
  <c r="J1296" i="6" s="1"/>
  <c r="J1297" i="6" s="1"/>
  <c r="J1298" i="6" s="1"/>
  <c r="J1215" i="6" s="1"/>
  <c r="J1216" i="6" s="1"/>
  <c r="J1217" i="6" s="1"/>
  <c r="J1218" i="6" s="1"/>
  <c r="J1219" i="6" s="1"/>
  <c r="J1220" i="6" s="1"/>
  <c r="J1221" i="6" s="1"/>
  <c r="J1222" i="6" s="1"/>
  <c r="J1223" i="6" s="1"/>
  <c r="J1224" i="6" s="1"/>
  <c r="J1225" i="6" s="1"/>
  <c r="J1226" i="6" s="1"/>
  <c r="J1227" i="6" s="1"/>
  <c r="J1228" i="6" s="1"/>
  <c r="J1229" i="6" s="1"/>
  <c r="J1230" i="6" s="1"/>
  <c r="J1231" i="6" s="1"/>
  <c r="J1232" i="6" s="1"/>
  <c r="J1233" i="6" s="1"/>
  <c r="J1234" i="6" s="1"/>
  <c r="J1235" i="6" s="1"/>
  <c r="J1236" i="6" s="1"/>
  <c r="J1237" i="6" s="1"/>
  <c r="J1238" i="6" s="1"/>
  <c r="J1239" i="6" s="1"/>
  <c r="J1240" i="6" s="1"/>
  <c r="J1241" i="6" s="1"/>
  <c r="J1242" i="6" s="1"/>
  <c r="J1243" i="6" s="1"/>
  <c r="J1324" i="6" s="1"/>
  <c r="J1325" i="6" s="1"/>
  <c r="J1326" i="6" s="1"/>
  <c r="J1327" i="6" s="1"/>
  <c r="J1328" i="6" s="1"/>
  <c r="J1329" i="6" s="1"/>
  <c r="J1330" i="6" s="1"/>
  <c r="J1331" i="6" s="1"/>
  <c r="J1332" i="6" s="1"/>
  <c r="J1333" i="6" s="1"/>
  <c r="J1334" i="6" s="1"/>
  <c r="J1335" i="6" s="1"/>
  <c r="J1336" i="6" s="1"/>
  <c r="J1337" i="6" s="1"/>
  <c r="J1338" i="6" s="1"/>
  <c r="J1339" i="6" s="1"/>
  <c r="J1340" i="6" s="1"/>
  <c r="J1341" i="6" s="1"/>
  <c r="J1342" i="6" s="1"/>
  <c r="J1343" i="6" s="1"/>
  <c r="J1344" i="6" s="1"/>
  <c r="J1345" i="6" s="1"/>
  <c r="J1412" i="6" s="1"/>
  <c r="J1413" i="6" s="1"/>
  <c r="J1414" i="6" s="1"/>
  <c r="J1415" i="6" s="1"/>
  <c r="J1416" i="6" s="1"/>
  <c r="J1417" i="6" s="1"/>
  <c r="J1418" i="6" s="1"/>
  <c r="J1419" i="6" s="1"/>
  <c r="J1420" i="6" s="1"/>
  <c r="J1421" i="6" s="1"/>
  <c r="J1422" i="6" s="1"/>
  <c r="J1423" i="6" s="1"/>
  <c r="J1424" i="6" s="1"/>
  <c r="J1425" i="6" s="1"/>
  <c r="J1426" i="6" s="1"/>
  <c r="J1427" i="6" s="1"/>
  <c r="J1428" i="6" s="1"/>
  <c r="J1429" i="6" s="1"/>
  <c r="J1430" i="6" s="1"/>
  <c r="J1431" i="6" s="1"/>
  <c r="J1432" i="6" s="1"/>
  <c r="J1433" i="6" s="1"/>
  <c r="J1434" i="6" s="1"/>
  <c r="J1435" i="6" s="1"/>
  <c r="J1436" i="6" s="1"/>
  <c r="J1437" i="6" s="1"/>
  <c r="J1438" i="6" s="1"/>
  <c r="J1514" i="6" s="1"/>
  <c r="J1515" i="6" s="1"/>
  <c r="J1516" i="6" s="1"/>
  <c r="J1517" i="6" s="1"/>
  <c r="J1518" i="6" s="1"/>
  <c r="J1519" i="6" s="1"/>
  <c r="J1520" i="6" s="1"/>
  <c r="J1521" i="6" s="1"/>
  <c r="J1522" i="6" s="1"/>
  <c r="J1523" i="6" s="1"/>
  <c r="J1524" i="6" s="1"/>
  <c r="J1525" i="6" s="1"/>
  <c r="J1526" i="6" s="1"/>
  <c r="J1527" i="6" s="1"/>
  <c r="J1528" i="6" s="1"/>
  <c r="J1529" i="6" s="1"/>
  <c r="J706" i="6" s="1"/>
  <c r="J707" i="6" s="1"/>
  <c r="J708" i="6" s="1"/>
  <c r="J709" i="6" s="1"/>
  <c r="J710" i="6" s="1"/>
  <c r="J711" i="6" s="1"/>
  <c r="J712" i="6" s="1"/>
  <c r="J713" i="6" s="1"/>
  <c r="J714" i="6" s="1"/>
  <c r="J715" i="6" s="1"/>
  <c r="J716" i="6" s="1"/>
  <c r="J717" i="6" s="1"/>
  <c r="J718" i="6" s="1"/>
  <c r="J719" i="6" s="1"/>
  <c r="J720" i="6" s="1"/>
  <c r="J721" i="6" s="1"/>
  <c r="J722" i="6" s="1"/>
  <c r="J723" i="6" s="1"/>
  <c r="J724" i="6" s="1"/>
  <c r="J725" i="6" s="1"/>
  <c r="J726" i="6" s="1"/>
  <c r="J727" i="6" s="1"/>
  <c r="J728" i="6" s="1"/>
  <c r="J729" i="6" s="1"/>
  <c r="J730" i="6" s="1"/>
  <c r="J731" i="6" s="1"/>
  <c r="J732" i="6" s="1"/>
  <c r="J733" i="6" s="1"/>
  <c r="J734" i="6" s="1"/>
  <c r="J735" i="6" s="1"/>
  <c r="J736" i="6" s="1"/>
  <c r="J737" i="6" s="1"/>
  <c r="J738" i="6" s="1"/>
  <c r="J739" i="6" s="1"/>
  <c r="J968" i="6" s="1"/>
  <c r="J969" i="6" s="1"/>
  <c r="J970" i="6" s="1"/>
  <c r="J971" i="6" s="1"/>
  <c r="J972" i="6" s="1"/>
  <c r="J973" i="6" s="1"/>
  <c r="J974" i="6" s="1"/>
  <c r="J975" i="6" s="1"/>
  <c r="J976" i="6" s="1"/>
  <c r="J977" i="6" s="1"/>
  <c r="J978" i="6" s="1"/>
  <c r="J979" i="6" s="1"/>
  <c r="J980" i="6" s="1"/>
  <c r="J981" i="6" s="1"/>
  <c r="J982" i="6" s="1"/>
  <c r="J983" i="6" s="1"/>
  <c r="J984" i="6" s="1"/>
  <c r="J985" i="6" s="1"/>
  <c r="J986" i="6" s="1"/>
  <c r="J987" i="6" s="1"/>
  <c r="J988" i="6" s="1"/>
  <c r="J989" i="6" s="1"/>
  <c r="J990" i="6" s="1"/>
  <c r="J991" i="6" s="1"/>
  <c r="J992" i="6" s="1"/>
  <c r="J993" i="6" s="1"/>
  <c r="J994" i="6" s="1"/>
  <c r="J995" i="6" s="1"/>
  <c r="J996" i="6" s="1"/>
  <c r="J997" i="6" s="1"/>
  <c r="J998" i="6" s="1"/>
  <c r="J999" i="6" s="1"/>
  <c r="J1000" i="6" s="1"/>
  <c r="J1001" i="6" s="1"/>
  <c r="J1002" i="6" s="1"/>
  <c r="J1003" i="6" s="1"/>
  <c r="J1004" i="6" s="1"/>
  <c r="J561" i="6"/>
  <c r="J562" i="6" s="1"/>
  <c r="J563" i="6" s="1"/>
  <c r="N595" i="6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5" i="6" s="1"/>
  <c r="N616" i="6" s="1"/>
  <c r="N617" i="6" s="1"/>
  <c r="N537" i="6" s="1"/>
  <c r="N538" i="6" s="1"/>
  <c r="N539" i="6" s="1"/>
  <c r="N540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3" i="6" s="1"/>
  <c r="N102" i="6" s="1"/>
  <c r="Q593" i="6"/>
  <c r="R593" i="6"/>
  <c r="L642" i="6"/>
  <c r="L643" i="6" s="1"/>
  <c r="L644" i="6" s="1"/>
  <c r="L645" i="6" s="1"/>
  <c r="L646" i="6" s="1"/>
  <c r="L647" i="6" s="1"/>
  <c r="L648" i="6" s="1"/>
  <c r="L649" i="6" s="1"/>
  <c r="L650" i="6" s="1"/>
  <c r="L651" i="6" s="1"/>
  <c r="L652" i="6" s="1"/>
  <c r="L653" i="6" s="1"/>
  <c r="L654" i="6" s="1"/>
  <c r="L655" i="6" s="1"/>
  <c r="L656" i="6" s="1"/>
  <c r="L657" i="6" s="1"/>
  <c r="L658" i="6" s="1"/>
  <c r="L659" i="6" s="1"/>
  <c r="L660" i="6" s="1"/>
  <c r="L661" i="6" s="1"/>
  <c r="L662" i="6" s="1"/>
  <c r="L663" i="6" s="1"/>
  <c r="L664" i="6" s="1"/>
  <c r="L665" i="6" s="1"/>
  <c r="L666" i="6" s="1"/>
  <c r="L667" i="6" s="1"/>
  <c r="L668" i="6" s="1"/>
  <c r="L669" i="6" s="1"/>
  <c r="L670" i="6" s="1"/>
  <c r="L1277" i="6" s="1"/>
  <c r="L1278" i="6" s="1"/>
  <c r="L1279" i="6" s="1"/>
  <c r="L1280" i="6" s="1"/>
  <c r="L1281" i="6" s="1"/>
  <c r="L1282" i="6" s="1"/>
  <c r="L1283" i="6" s="1"/>
  <c r="L1284" i="6" s="1"/>
  <c r="L1285" i="6" s="1"/>
  <c r="L1286" i="6" s="1"/>
  <c r="L1287" i="6" s="1"/>
  <c r="L1288" i="6" s="1"/>
  <c r="L1289" i="6" s="1"/>
  <c r="L1290" i="6" s="1"/>
  <c r="L1291" i="6" s="1"/>
  <c r="L1292" i="6" s="1"/>
  <c r="L1293" i="6" s="1"/>
  <c r="L1294" i="6" s="1"/>
  <c r="L1295" i="6" s="1"/>
  <c r="L1296" i="6" s="1"/>
  <c r="L1297" i="6" s="1"/>
  <c r="L1298" i="6" s="1"/>
  <c r="L1214" i="6" s="1"/>
  <c r="L1215" i="6" s="1"/>
  <c r="L1216" i="6" s="1"/>
  <c r="L1217" i="6" s="1"/>
  <c r="L1218" i="6" s="1"/>
  <c r="L1219" i="6" s="1"/>
  <c r="L1220" i="6" s="1"/>
  <c r="L1221" i="6" s="1"/>
  <c r="L1222" i="6" s="1"/>
  <c r="L1223" i="6" s="1"/>
  <c r="L1224" i="6" s="1"/>
  <c r="L1225" i="6" s="1"/>
  <c r="L1226" i="6" s="1"/>
  <c r="L1227" i="6" s="1"/>
  <c r="L1228" i="6" s="1"/>
  <c r="L1229" i="6" s="1"/>
  <c r="L1230" i="6" s="1"/>
  <c r="L1231" i="6" s="1"/>
  <c r="L1232" i="6" s="1"/>
  <c r="L1233" i="6" s="1"/>
  <c r="L1234" i="6" s="1"/>
  <c r="L1235" i="6" s="1"/>
  <c r="L1236" i="6" s="1"/>
  <c r="L1237" i="6" s="1"/>
  <c r="L1238" i="6" s="1"/>
  <c r="L1239" i="6" s="1"/>
  <c r="L1240" i="6" s="1"/>
  <c r="L1241" i="6" s="1"/>
  <c r="L1242" i="6" s="1"/>
  <c r="L1243" i="6" s="1"/>
  <c r="L1325" i="6" s="1"/>
  <c r="L1326" i="6" s="1"/>
  <c r="L1327" i="6" s="1"/>
  <c r="L1328" i="6" s="1"/>
  <c r="L1329" i="6" s="1"/>
  <c r="L1330" i="6" s="1"/>
  <c r="L1331" i="6" s="1"/>
  <c r="L1332" i="6" s="1"/>
  <c r="L1333" i="6" s="1"/>
  <c r="L1334" i="6" s="1"/>
  <c r="L1335" i="6" s="1"/>
  <c r="L1336" i="6" s="1"/>
  <c r="L1337" i="6" s="1"/>
  <c r="L1338" i="6" s="1"/>
  <c r="L1339" i="6" s="1"/>
  <c r="L1340" i="6" s="1"/>
  <c r="L1341" i="6" s="1"/>
  <c r="L1342" i="6" s="1"/>
  <c r="L1343" i="6" s="1"/>
  <c r="L1344" i="6" s="1"/>
  <c r="L1345" i="6" s="1"/>
  <c r="L1412" i="6" s="1"/>
  <c r="L1413" i="6" s="1"/>
  <c r="L1414" i="6" s="1"/>
  <c r="L1415" i="6" s="1"/>
  <c r="L1416" i="6" s="1"/>
  <c r="L1417" i="6" s="1"/>
  <c r="L1418" i="6" s="1"/>
  <c r="L1419" i="6" s="1"/>
  <c r="L1420" i="6" s="1"/>
  <c r="L1421" i="6" s="1"/>
  <c r="L1422" i="6" s="1"/>
  <c r="L1423" i="6" s="1"/>
  <c r="L1424" i="6" s="1"/>
  <c r="L1425" i="6" s="1"/>
  <c r="L1426" i="6" s="1"/>
  <c r="L1427" i="6" s="1"/>
  <c r="L1428" i="6" s="1"/>
  <c r="L1429" i="6" s="1"/>
  <c r="L1430" i="6" s="1"/>
  <c r="L1431" i="6" s="1"/>
  <c r="L1432" i="6" s="1"/>
  <c r="L1433" i="6" s="1"/>
  <c r="L1434" i="6" s="1"/>
  <c r="L1435" i="6" s="1"/>
  <c r="L1436" i="6" s="1"/>
  <c r="L1437" i="6" s="1"/>
  <c r="L1438" i="6" s="1"/>
  <c r="L1513" i="6" s="1"/>
  <c r="L1514" i="6" s="1"/>
  <c r="L1515" i="6" s="1"/>
  <c r="L1516" i="6" s="1"/>
  <c r="L1517" i="6" s="1"/>
  <c r="L1518" i="6" s="1"/>
  <c r="L1519" i="6" s="1"/>
  <c r="L1520" i="6" s="1"/>
  <c r="L1521" i="6" s="1"/>
  <c r="L1522" i="6" s="1"/>
  <c r="L1523" i="6" s="1"/>
  <c r="L1524" i="6" s="1"/>
  <c r="L1525" i="6" s="1"/>
  <c r="L1526" i="6" s="1"/>
  <c r="L1527" i="6" s="1"/>
  <c r="L1528" i="6" s="1"/>
  <c r="L1529" i="6" s="1"/>
  <c r="L705" i="6" s="1"/>
  <c r="L706" i="6" s="1"/>
  <c r="L707" i="6" s="1"/>
  <c r="L708" i="6" s="1"/>
  <c r="L709" i="6" s="1"/>
  <c r="L710" i="6" s="1"/>
  <c r="L711" i="6" s="1"/>
  <c r="L712" i="6" s="1"/>
  <c r="L713" i="6" s="1"/>
  <c r="L714" i="6" s="1"/>
  <c r="L715" i="6" s="1"/>
  <c r="L716" i="6" s="1"/>
  <c r="L717" i="6" s="1"/>
  <c r="L718" i="6" s="1"/>
  <c r="L719" i="6" s="1"/>
  <c r="L720" i="6" s="1"/>
  <c r="L721" i="6" s="1"/>
  <c r="L722" i="6" s="1"/>
  <c r="L723" i="6" s="1"/>
  <c r="L724" i="6" s="1"/>
  <c r="L725" i="6" s="1"/>
  <c r="L726" i="6" s="1"/>
  <c r="L727" i="6" s="1"/>
  <c r="L728" i="6" s="1"/>
  <c r="L729" i="6" s="1"/>
  <c r="L730" i="6" s="1"/>
  <c r="L731" i="6" s="1"/>
  <c r="L732" i="6" s="1"/>
  <c r="L733" i="6" s="1"/>
  <c r="L734" i="6" s="1"/>
  <c r="L735" i="6" s="1"/>
  <c r="L736" i="6" s="1"/>
  <c r="L737" i="6" s="1"/>
  <c r="L738" i="6" s="1"/>
  <c r="L739" i="6" s="1"/>
  <c r="L969" i="6" s="1"/>
  <c r="L970" i="6" s="1"/>
  <c r="L971" i="6" s="1"/>
  <c r="L972" i="6" s="1"/>
  <c r="L973" i="6" s="1"/>
  <c r="L974" i="6" s="1"/>
  <c r="L975" i="6" s="1"/>
  <c r="L976" i="6" s="1"/>
  <c r="L977" i="6" s="1"/>
  <c r="L978" i="6" s="1"/>
  <c r="L979" i="6" s="1"/>
  <c r="L980" i="6" s="1"/>
  <c r="L981" i="6" s="1"/>
  <c r="L982" i="6" s="1"/>
  <c r="L983" i="6" s="1"/>
  <c r="L984" i="6" s="1"/>
  <c r="L985" i="6" s="1"/>
  <c r="L986" i="6" s="1"/>
  <c r="L987" i="6" s="1"/>
  <c r="L988" i="6" s="1"/>
  <c r="L989" i="6" s="1"/>
  <c r="L990" i="6" s="1"/>
  <c r="L991" i="6" s="1"/>
  <c r="L992" i="6" s="1"/>
  <c r="L993" i="6" s="1"/>
  <c r="L994" i="6" s="1"/>
  <c r="L995" i="6" s="1"/>
  <c r="L996" i="6" s="1"/>
  <c r="L997" i="6" s="1"/>
  <c r="L998" i="6" s="1"/>
  <c r="L999" i="6" s="1"/>
  <c r="L1000" i="6" s="1"/>
  <c r="L1001" i="6" s="1"/>
  <c r="L1002" i="6" s="1"/>
  <c r="L1003" i="6" s="1"/>
  <c r="L1004" i="6" s="1"/>
  <c r="L641" i="6"/>
  <c r="C642" i="6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1277" i="6" s="1"/>
  <c r="C1278" i="6" s="1"/>
  <c r="C1279" i="6" s="1"/>
  <c r="C1280" i="6" s="1"/>
  <c r="C1281" i="6" s="1"/>
  <c r="C1282" i="6" s="1"/>
  <c r="C1283" i="6" s="1"/>
  <c r="C1284" i="6" s="1"/>
  <c r="C1285" i="6" s="1"/>
  <c r="C1286" i="6" s="1"/>
  <c r="C1287" i="6" s="1"/>
  <c r="C1288" i="6" s="1"/>
  <c r="C1289" i="6" s="1"/>
  <c r="C1290" i="6" s="1"/>
  <c r="C1291" i="6" s="1"/>
  <c r="C1292" i="6" s="1"/>
  <c r="C1293" i="6" s="1"/>
  <c r="C1294" i="6" s="1"/>
  <c r="C1295" i="6" s="1"/>
  <c r="C1296" i="6" s="1"/>
  <c r="C1297" i="6" s="1"/>
  <c r="C1298" i="6" s="1"/>
  <c r="C1214" i="6" s="1"/>
  <c r="C1215" i="6" s="1"/>
  <c r="C1216" i="6" s="1"/>
  <c r="C1217" i="6" s="1"/>
  <c r="C1218" i="6" s="1"/>
  <c r="C1219" i="6" s="1"/>
  <c r="C1220" i="6" s="1"/>
  <c r="C1221" i="6" s="1"/>
  <c r="C1222" i="6" s="1"/>
  <c r="C1223" i="6" s="1"/>
  <c r="C1224" i="6" s="1"/>
  <c r="C1225" i="6" s="1"/>
  <c r="C1226" i="6" s="1"/>
  <c r="C1227" i="6" s="1"/>
  <c r="C1228" i="6" s="1"/>
  <c r="C1229" i="6" s="1"/>
  <c r="C1230" i="6" s="1"/>
  <c r="C1231" i="6" s="1"/>
  <c r="C1232" i="6" s="1"/>
  <c r="C1233" i="6" s="1"/>
  <c r="C1234" i="6" s="1"/>
  <c r="C1235" i="6" s="1"/>
  <c r="C1236" i="6" s="1"/>
  <c r="C1237" i="6" s="1"/>
  <c r="C1238" i="6" s="1"/>
  <c r="C1239" i="6" s="1"/>
  <c r="C1240" i="6" s="1"/>
  <c r="C1241" i="6" s="1"/>
  <c r="C1242" i="6" s="1"/>
  <c r="C1243" i="6" s="1"/>
  <c r="C1325" i="6" s="1"/>
  <c r="C1326" i="6" s="1"/>
  <c r="C1327" i="6" s="1"/>
  <c r="C1328" i="6" s="1"/>
  <c r="C1329" i="6" s="1"/>
  <c r="C1330" i="6" s="1"/>
  <c r="C1331" i="6" s="1"/>
  <c r="C1332" i="6" s="1"/>
  <c r="C1333" i="6" s="1"/>
  <c r="C1334" i="6" s="1"/>
  <c r="C1335" i="6" s="1"/>
  <c r="C1336" i="6" s="1"/>
  <c r="C1337" i="6" s="1"/>
  <c r="C1338" i="6" s="1"/>
  <c r="C1339" i="6" s="1"/>
  <c r="C1340" i="6" s="1"/>
  <c r="C1341" i="6" s="1"/>
  <c r="C1342" i="6" s="1"/>
  <c r="C1343" i="6" s="1"/>
  <c r="C1344" i="6" s="1"/>
  <c r="C1345" i="6" s="1"/>
  <c r="C1412" i="6" s="1"/>
  <c r="C1413" i="6" s="1"/>
  <c r="C1414" i="6" s="1"/>
  <c r="C1415" i="6" s="1"/>
  <c r="C1416" i="6" s="1"/>
  <c r="C1417" i="6" s="1"/>
  <c r="C1418" i="6" s="1"/>
  <c r="C1419" i="6" s="1"/>
  <c r="C1420" i="6" s="1"/>
  <c r="C1421" i="6" s="1"/>
  <c r="C1422" i="6" s="1"/>
  <c r="C1423" i="6" s="1"/>
  <c r="C1424" i="6" s="1"/>
  <c r="C1425" i="6" s="1"/>
  <c r="C1426" i="6" s="1"/>
  <c r="C1427" i="6" s="1"/>
  <c r="C1428" i="6" s="1"/>
  <c r="C1429" i="6" s="1"/>
  <c r="C1430" i="6" s="1"/>
  <c r="C1431" i="6" s="1"/>
  <c r="C1432" i="6" s="1"/>
  <c r="C1433" i="6" s="1"/>
  <c r="C1434" i="6" s="1"/>
  <c r="C1435" i="6" s="1"/>
  <c r="C1436" i="6" s="1"/>
  <c r="C1437" i="6" s="1"/>
  <c r="C1438" i="6" s="1"/>
  <c r="C1513" i="6" s="1"/>
  <c r="C1514" i="6" s="1"/>
  <c r="C1515" i="6" s="1"/>
  <c r="C1516" i="6" s="1"/>
  <c r="C1517" i="6" s="1"/>
  <c r="C1518" i="6" s="1"/>
  <c r="C1519" i="6" s="1"/>
  <c r="C1520" i="6" s="1"/>
  <c r="C1521" i="6" s="1"/>
  <c r="C1522" i="6" s="1"/>
  <c r="C1523" i="6" s="1"/>
  <c r="C1524" i="6" s="1"/>
  <c r="C1525" i="6" s="1"/>
  <c r="C1526" i="6" s="1"/>
  <c r="C1527" i="6" s="1"/>
  <c r="C1528" i="6" s="1"/>
  <c r="C1529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992" i="6" s="1"/>
  <c r="C993" i="6" s="1"/>
  <c r="C994" i="6" s="1"/>
  <c r="C995" i="6" s="1"/>
  <c r="C996" i="6" s="1"/>
  <c r="C997" i="6" s="1"/>
  <c r="C998" i="6" s="1"/>
  <c r="C999" i="6" s="1"/>
  <c r="C1000" i="6" s="1"/>
  <c r="C1001" i="6" s="1"/>
  <c r="C1002" i="6" s="1"/>
  <c r="C1003" i="6" s="1"/>
  <c r="C1004" i="6" s="1"/>
  <c r="C641" i="6"/>
  <c r="M642" i="6"/>
  <c r="M643" i="6" s="1"/>
  <c r="M644" i="6" s="1"/>
  <c r="M645" i="6" s="1"/>
  <c r="M646" i="6" s="1"/>
  <c r="M647" i="6" s="1"/>
  <c r="M648" i="6" s="1"/>
  <c r="M649" i="6" s="1"/>
  <c r="M650" i="6" s="1"/>
  <c r="M651" i="6" s="1"/>
  <c r="M652" i="6" s="1"/>
  <c r="M653" i="6" s="1"/>
  <c r="M654" i="6" s="1"/>
  <c r="M655" i="6" s="1"/>
  <c r="M656" i="6" s="1"/>
  <c r="M657" i="6" s="1"/>
  <c r="M658" i="6" s="1"/>
  <c r="M659" i="6" s="1"/>
  <c r="M660" i="6" s="1"/>
  <c r="M661" i="6" s="1"/>
  <c r="M662" i="6" s="1"/>
  <c r="M663" i="6" s="1"/>
  <c r="M664" i="6" s="1"/>
  <c r="M665" i="6" s="1"/>
  <c r="M666" i="6" s="1"/>
  <c r="M667" i="6" s="1"/>
  <c r="M668" i="6" s="1"/>
  <c r="M669" i="6" s="1"/>
  <c r="M670" i="6" s="1"/>
  <c r="M1278" i="6" s="1"/>
  <c r="M1279" i="6" s="1"/>
  <c r="M1280" i="6" s="1"/>
  <c r="M1281" i="6" s="1"/>
  <c r="M1282" i="6" s="1"/>
  <c r="M1283" i="6" s="1"/>
  <c r="M1284" i="6" s="1"/>
  <c r="M1285" i="6" s="1"/>
  <c r="M1286" i="6" s="1"/>
  <c r="M1287" i="6" s="1"/>
  <c r="M1288" i="6" s="1"/>
  <c r="M1289" i="6" s="1"/>
  <c r="M1290" i="6" s="1"/>
  <c r="M1291" i="6" s="1"/>
  <c r="M1292" i="6" s="1"/>
  <c r="M1293" i="6" s="1"/>
  <c r="M1294" i="6" s="1"/>
  <c r="M1295" i="6" s="1"/>
  <c r="M1296" i="6" s="1"/>
  <c r="M1297" i="6" s="1"/>
  <c r="M1298" i="6" s="1"/>
  <c r="M1215" i="6" s="1"/>
  <c r="M1216" i="6" s="1"/>
  <c r="M1217" i="6" s="1"/>
  <c r="M1218" i="6" s="1"/>
  <c r="M1219" i="6" s="1"/>
  <c r="M1220" i="6" s="1"/>
  <c r="M1221" i="6" s="1"/>
  <c r="M1222" i="6" s="1"/>
  <c r="M1223" i="6" s="1"/>
  <c r="M1224" i="6" s="1"/>
  <c r="M1225" i="6" s="1"/>
  <c r="M1226" i="6" s="1"/>
  <c r="M1227" i="6" s="1"/>
  <c r="M1228" i="6" s="1"/>
  <c r="M1229" i="6" s="1"/>
  <c r="M1230" i="6" s="1"/>
  <c r="M1231" i="6" s="1"/>
  <c r="M1232" i="6" s="1"/>
  <c r="M1233" i="6" s="1"/>
  <c r="M1234" i="6" s="1"/>
  <c r="M1235" i="6" s="1"/>
  <c r="M1236" i="6" s="1"/>
  <c r="M1237" i="6" s="1"/>
  <c r="M1238" i="6" s="1"/>
  <c r="M1239" i="6" s="1"/>
  <c r="M1240" i="6" s="1"/>
  <c r="M1241" i="6" s="1"/>
  <c r="M1242" i="6" s="1"/>
  <c r="M1243" i="6" s="1"/>
  <c r="M1325" i="6" s="1"/>
  <c r="M1326" i="6" s="1"/>
  <c r="M1327" i="6" s="1"/>
  <c r="M1328" i="6" s="1"/>
  <c r="M1329" i="6" s="1"/>
  <c r="M1330" i="6" s="1"/>
  <c r="M1331" i="6" s="1"/>
  <c r="M1332" i="6" s="1"/>
  <c r="M1333" i="6" s="1"/>
  <c r="M1334" i="6" s="1"/>
  <c r="M1335" i="6" s="1"/>
  <c r="M1336" i="6" s="1"/>
  <c r="M1337" i="6" s="1"/>
  <c r="M1338" i="6" s="1"/>
  <c r="M1339" i="6" s="1"/>
  <c r="M1340" i="6" s="1"/>
  <c r="M1341" i="6" s="1"/>
  <c r="M1342" i="6" s="1"/>
  <c r="M1343" i="6" s="1"/>
  <c r="M1344" i="6" s="1"/>
  <c r="M1345" i="6" s="1"/>
  <c r="M1412" i="6" s="1"/>
  <c r="M1413" i="6" s="1"/>
  <c r="M1414" i="6" s="1"/>
  <c r="M1415" i="6" s="1"/>
  <c r="M1416" i="6" s="1"/>
  <c r="M1417" i="6" s="1"/>
  <c r="M1418" i="6" s="1"/>
  <c r="M1419" i="6" s="1"/>
  <c r="M1420" i="6" s="1"/>
  <c r="M1421" i="6" s="1"/>
  <c r="M1422" i="6" s="1"/>
  <c r="M1423" i="6" s="1"/>
  <c r="M1424" i="6" s="1"/>
  <c r="M1425" i="6" s="1"/>
  <c r="M1426" i="6" s="1"/>
  <c r="M1427" i="6" s="1"/>
  <c r="M1428" i="6" s="1"/>
  <c r="M1429" i="6" s="1"/>
  <c r="M1430" i="6" s="1"/>
  <c r="M1431" i="6" s="1"/>
  <c r="M1432" i="6" s="1"/>
  <c r="M1433" i="6" s="1"/>
  <c r="M1434" i="6" s="1"/>
  <c r="M1435" i="6" s="1"/>
  <c r="M1436" i="6" s="1"/>
  <c r="M1437" i="6" s="1"/>
  <c r="M1438" i="6" s="1"/>
  <c r="M1514" i="6" s="1"/>
  <c r="M1515" i="6" s="1"/>
  <c r="M1516" i="6" s="1"/>
  <c r="M1517" i="6" s="1"/>
  <c r="M1518" i="6" s="1"/>
  <c r="M1519" i="6" s="1"/>
  <c r="M1520" i="6" s="1"/>
  <c r="M1521" i="6" s="1"/>
  <c r="M1522" i="6" s="1"/>
  <c r="M1523" i="6" s="1"/>
  <c r="M1524" i="6" s="1"/>
  <c r="M1525" i="6" s="1"/>
  <c r="M1526" i="6" s="1"/>
  <c r="M1527" i="6" s="1"/>
  <c r="M1528" i="6" s="1"/>
  <c r="M1529" i="6" s="1"/>
  <c r="M705" i="6" s="1"/>
  <c r="M706" i="6" s="1"/>
  <c r="M707" i="6" s="1"/>
  <c r="M708" i="6" s="1"/>
  <c r="M709" i="6" s="1"/>
  <c r="M710" i="6" s="1"/>
  <c r="M711" i="6" s="1"/>
  <c r="M712" i="6" s="1"/>
  <c r="M713" i="6" s="1"/>
  <c r="M714" i="6" s="1"/>
  <c r="M715" i="6" s="1"/>
  <c r="M716" i="6" s="1"/>
  <c r="M717" i="6" s="1"/>
  <c r="M718" i="6" s="1"/>
  <c r="M719" i="6" s="1"/>
  <c r="M720" i="6" s="1"/>
  <c r="M721" i="6" s="1"/>
  <c r="M722" i="6" s="1"/>
  <c r="M723" i="6" s="1"/>
  <c r="M724" i="6" s="1"/>
  <c r="M725" i="6" s="1"/>
  <c r="M726" i="6" s="1"/>
  <c r="M727" i="6" s="1"/>
  <c r="M728" i="6" s="1"/>
  <c r="M729" i="6" s="1"/>
  <c r="M730" i="6" s="1"/>
  <c r="M731" i="6" s="1"/>
  <c r="M732" i="6" s="1"/>
  <c r="M733" i="6" s="1"/>
  <c r="M734" i="6" s="1"/>
  <c r="M735" i="6" s="1"/>
  <c r="M736" i="6" s="1"/>
  <c r="M737" i="6" s="1"/>
  <c r="M738" i="6" s="1"/>
  <c r="M739" i="6" s="1"/>
  <c r="M969" i="6" s="1"/>
  <c r="M970" i="6" s="1"/>
  <c r="M971" i="6" s="1"/>
  <c r="M972" i="6" s="1"/>
  <c r="M973" i="6" s="1"/>
  <c r="M974" i="6" s="1"/>
  <c r="M975" i="6" s="1"/>
  <c r="M976" i="6" s="1"/>
  <c r="M977" i="6" s="1"/>
  <c r="M978" i="6" s="1"/>
  <c r="M979" i="6" s="1"/>
  <c r="M980" i="6" s="1"/>
  <c r="M981" i="6" s="1"/>
  <c r="M982" i="6" s="1"/>
  <c r="M983" i="6" s="1"/>
  <c r="M984" i="6" s="1"/>
  <c r="M985" i="6" s="1"/>
  <c r="M986" i="6" s="1"/>
  <c r="M987" i="6" s="1"/>
  <c r="M988" i="6" s="1"/>
  <c r="M989" i="6" s="1"/>
  <c r="M990" i="6" s="1"/>
  <c r="M991" i="6" s="1"/>
  <c r="M992" i="6" s="1"/>
  <c r="M993" i="6" s="1"/>
  <c r="M994" i="6" s="1"/>
  <c r="M995" i="6" s="1"/>
  <c r="M996" i="6" s="1"/>
  <c r="M997" i="6" s="1"/>
  <c r="M998" i="6" s="1"/>
  <c r="M999" i="6" s="1"/>
  <c r="M1000" i="6" s="1"/>
  <c r="M1001" i="6" s="1"/>
  <c r="M1002" i="6" s="1"/>
  <c r="M1003" i="6" s="1"/>
  <c r="M1004" i="6" s="1"/>
  <c r="M641" i="6"/>
  <c r="I642" i="6"/>
  <c r="I643" i="6" s="1"/>
  <c r="I644" i="6" s="1"/>
  <c r="I645" i="6" s="1"/>
  <c r="I646" i="6" s="1"/>
  <c r="I647" i="6" s="1"/>
  <c r="I648" i="6" s="1"/>
  <c r="I649" i="6" s="1"/>
  <c r="I650" i="6" s="1"/>
  <c r="I651" i="6" s="1"/>
  <c r="I652" i="6" s="1"/>
  <c r="I653" i="6" s="1"/>
  <c r="I654" i="6" s="1"/>
  <c r="I655" i="6" s="1"/>
  <c r="I656" i="6" s="1"/>
  <c r="I657" i="6" s="1"/>
  <c r="I658" i="6" s="1"/>
  <c r="I659" i="6" s="1"/>
  <c r="I660" i="6" s="1"/>
  <c r="I661" i="6" s="1"/>
  <c r="I662" i="6" s="1"/>
  <c r="I663" i="6" s="1"/>
  <c r="I664" i="6" s="1"/>
  <c r="I665" i="6" s="1"/>
  <c r="I666" i="6" s="1"/>
  <c r="I667" i="6" s="1"/>
  <c r="I668" i="6" s="1"/>
  <c r="I669" i="6" s="1"/>
  <c r="I670" i="6" s="1"/>
  <c r="I1278" i="6" s="1"/>
  <c r="I1279" i="6" s="1"/>
  <c r="I1280" i="6" s="1"/>
  <c r="I1281" i="6" s="1"/>
  <c r="I1282" i="6" s="1"/>
  <c r="I1283" i="6" s="1"/>
  <c r="I1284" i="6" s="1"/>
  <c r="I1285" i="6" s="1"/>
  <c r="I1286" i="6" s="1"/>
  <c r="I1287" i="6" s="1"/>
  <c r="I1288" i="6" s="1"/>
  <c r="I1289" i="6" s="1"/>
  <c r="I1290" i="6" s="1"/>
  <c r="I1291" i="6" s="1"/>
  <c r="I1292" i="6" s="1"/>
  <c r="I1293" i="6" s="1"/>
  <c r="I1294" i="6" s="1"/>
  <c r="I1295" i="6" s="1"/>
  <c r="I1296" i="6" s="1"/>
  <c r="I1297" i="6" s="1"/>
  <c r="I1298" i="6" s="1"/>
  <c r="I1215" i="6" s="1"/>
  <c r="I1216" i="6" s="1"/>
  <c r="I1217" i="6" s="1"/>
  <c r="I1218" i="6" s="1"/>
  <c r="I1219" i="6" s="1"/>
  <c r="I1220" i="6" s="1"/>
  <c r="I1221" i="6" s="1"/>
  <c r="I1222" i="6" s="1"/>
  <c r="I1223" i="6" s="1"/>
  <c r="I1224" i="6" s="1"/>
  <c r="I1225" i="6" s="1"/>
  <c r="I1226" i="6" s="1"/>
  <c r="I1227" i="6" s="1"/>
  <c r="I1228" i="6" s="1"/>
  <c r="I1229" i="6" s="1"/>
  <c r="I1230" i="6" s="1"/>
  <c r="I1231" i="6" s="1"/>
  <c r="I1232" i="6" s="1"/>
  <c r="I1233" i="6" s="1"/>
  <c r="I1234" i="6" s="1"/>
  <c r="I1235" i="6" s="1"/>
  <c r="I1236" i="6" s="1"/>
  <c r="I1237" i="6" s="1"/>
  <c r="I1238" i="6" s="1"/>
  <c r="I1239" i="6" s="1"/>
  <c r="I1240" i="6" s="1"/>
  <c r="I1241" i="6" s="1"/>
  <c r="I1242" i="6" s="1"/>
  <c r="I1243" i="6" s="1"/>
  <c r="I1325" i="6" s="1"/>
  <c r="I1326" i="6" s="1"/>
  <c r="I1327" i="6" s="1"/>
  <c r="I1328" i="6" s="1"/>
  <c r="I1329" i="6" s="1"/>
  <c r="I1330" i="6" s="1"/>
  <c r="I1331" i="6" s="1"/>
  <c r="I1332" i="6" s="1"/>
  <c r="I1333" i="6" s="1"/>
  <c r="I1334" i="6" s="1"/>
  <c r="I1335" i="6" s="1"/>
  <c r="I1336" i="6" s="1"/>
  <c r="I1337" i="6" s="1"/>
  <c r="I1338" i="6" s="1"/>
  <c r="I1339" i="6" s="1"/>
  <c r="I1340" i="6" s="1"/>
  <c r="I1341" i="6" s="1"/>
  <c r="I1342" i="6" s="1"/>
  <c r="I1343" i="6" s="1"/>
  <c r="I1344" i="6" s="1"/>
  <c r="I1345" i="6" s="1"/>
  <c r="I1412" i="6" s="1"/>
  <c r="I1413" i="6" s="1"/>
  <c r="I1414" i="6" s="1"/>
  <c r="I1415" i="6" s="1"/>
  <c r="I1416" i="6" s="1"/>
  <c r="I1417" i="6" s="1"/>
  <c r="I1418" i="6" s="1"/>
  <c r="I1419" i="6" s="1"/>
  <c r="I1420" i="6" s="1"/>
  <c r="I1421" i="6" s="1"/>
  <c r="I1422" i="6" s="1"/>
  <c r="I1423" i="6" s="1"/>
  <c r="I1424" i="6" s="1"/>
  <c r="I1425" i="6" s="1"/>
  <c r="I1426" i="6" s="1"/>
  <c r="I1427" i="6" s="1"/>
  <c r="I1428" i="6" s="1"/>
  <c r="I1429" i="6" s="1"/>
  <c r="I1430" i="6" s="1"/>
  <c r="I1431" i="6" s="1"/>
  <c r="I1432" i="6" s="1"/>
  <c r="I1433" i="6" s="1"/>
  <c r="I1434" i="6" s="1"/>
  <c r="I1435" i="6" s="1"/>
  <c r="I1436" i="6" s="1"/>
  <c r="I1437" i="6" s="1"/>
  <c r="I1438" i="6" s="1"/>
  <c r="I1513" i="6" s="1"/>
  <c r="I1514" i="6" s="1"/>
  <c r="I1515" i="6" s="1"/>
  <c r="I1516" i="6" s="1"/>
  <c r="I1517" i="6" s="1"/>
  <c r="I1518" i="6" s="1"/>
  <c r="I1519" i="6" s="1"/>
  <c r="I1520" i="6" s="1"/>
  <c r="I1521" i="6" s="1"/>
  <c r="I1522" i="6" s="1"/>
  <c r="I1523" i="6" s="1"/>
  <c r="I1524" i="6" s="1"/>
  <c r="I1525" i="6" s="1"/>
  <c r="I1526" i="6" s="1"/>
  <c r="I1527" i="6" s="1"/>
  <c r="I1528" i="6" s="1"/>
  <c r="I1529" i="6" s="1"/>
  <c r="I706" i="6" s="1"/>
  <c r="I707" i="6" s="1"/>
  <c r="I708" i="6" s="1"/>
  <c r="I709" i="6" s="1"/>
  <c r="I710" i="6" s="1"/>
  <c r="I711" i="6" s="1"/>
  <c r="I712" i="6" s="1"/>
  <c r="I713" i="6" s="1"/>
  <c r="I714" i="6" s="1"/>
  <c r="I715" i="6" s="1"/>
  <c r="I716" i="6" s="1"/>
  <c r="I717" i="6" s="1"/>
  <c r="I718" i="6" s="1"/>
  <c r="I719" i="6" s="1"/>
  <c r="I720" i="6" s="1"/>
  <c r="I721" i="6" s="1"/>
  <c r="I722" i="6" s="1"/>
  <c r="I723" i="6" s="1"/>
  <c r="I724" i="6" s="1"/>
  <c r="I725" i="6" s="1"/>
  <c r="I726" i="6" s="1"/>
  <c r="I727" i="6" s="1"/>
  <c r="I728" i="6" s="1"/>
  <c r="I729" i="6" s="1"/>
  <c r="I730" i="6" s="1"/>
  <c r="I731" i="6" s="1"/>
  <c r="I732" i="6" s="1"/>
  <c r="I733" i="6" s="1"/>
  <c r="I734" i="6" s="1"/>
  <c r="I735" i="6" s="1"/>
  <c r="I736" i="6" s="1"/>
  <c r="I737" i="6" s="1"/>
  <c r="I738" i="6" s="1"/>
  <c r="I739" i="6" s="1"/>
  <c r="I969" i="6" s="1"/>
  <c r="I970" i="6" s="1"/>
  <c r="I971" i="6" s="1"/>
  <c r="I972" i="6" s="1"/>
  <c r="I973" i="6" s="1"/>
  <c r="I974" i="6" s="1"/>
  <c r="I975" i="6" s="1"/>
  <c r="I976" i="6" s="1"/>
  <c r="I977" i="6" s="1"/>
  <c r="I978" i="6" s="1"/>
  <c r="I979" i="6" s="1"/>
  <c r="I980" i="6" s="1"/>
  <c r="I981" i="6" s="1"/>
  <c r="I982" i="6" s="1"/>
  <c r="I983" i="6" s="1"/>
  <c r="I984" i="6" s="1"/>
  <c r="I985" i="6" s="1"/>
  <c r="I986" i="6" s="1"/>
  <c r="I987" i="6" s="1"/>
  <c r="I988" i="6" s="1"/>
  <c r="I989" i="6" s="1"/>
  <c r="I990" i="6" s="1"/>
  <c r="I991" i="6" s="1"/>
  <c r="I992" i="6" s="1"/>
  <c r="I993" i="6" s="1"/>
  <c r="I994" i="6" s="1"/>
  <c r="I995" i="6" s="1"/>
  <c r="I996" i="6" s="1"/>
  <c r="I997" i="6" s="1"/>
  <c r="I998" i="6" s="1"/>
  <c r="I999" i="6" s="1"/>
  <c r="I1000" i="6" s="1"/>
  <c r="I1001" i="6" s="1"/>
  <c r="I1002" i="6" s="1"/>
  <c r="I1003" i="6" s="1"/>
  <c r="I1004" i="6" s="1"/>
  <c r="I641" i="6"/>
  <c r="S1680" i="6"/>
  <c r="H642" i="6"/>
  <c r="H643" i="6" s="1"/>
  <c r="H644" i="6" s="1"/>
  <c r="H645" i="6" s="1"/>
  <c r="H646" i="6" s="1"/>
  <c r="H647" i="6" s="1"/>
  <c r="H648" i="6" s="1"/>
  <c r="H649" i="6" s="1"/>
  <c r="H650" i="6" s="1"/>
  <c r="H651" i="6" s="1"/>
  <c r="H652" i="6" s="1"/>
  <c r="H653" i="6" s="1"/>
  <c r="H654" i="6" s="1"/>
  <c r="H655" i="6" s="1"/>
  <c r="H656" i="6" s="1"/>
  <c r="H657" i="6" s="1"/>
  <c r="H658" i="6" s="1"/>
  <c r="H659" i="6" s="1"/>
  <c r="H660" i="6" s="1"/>
  <c r="H661" i="6" s="1"/>
  <c r="H662" i="6" s="1"/>
  <c r="H663" i="6" s="1"/>
  <c r="H664" i="6" s="1"/>
  <c r="H665" i="6" s="1"/>
  <c r="H666" i="6" s="1"/>
  <c r="H667" i="6" s="1"/>
  <c r="H668" i="6" s="1"/>
  <c r="H669" i="6" s="1"/>
  <c r="H670" i="6" s="1"/>
  <c r="H1278" i="6" s="1"/>
  <c r="H1279" i="6" s="1"/>
  <c r="H1280" i="6" s="1"/>
  <c r="H1281" i="6" s="1"/>
  <c r="H1282" i="6" s="1"/>
  <c r="H1283" i="6" s="1"/>
  <c r="H1284" i="6" s="1"/>
  <c r="H1285" i="6" s="1"/>
  <c r="H1286" i="6" s="1"/>
  <c r="H1287" i="6" s="1"/>
  <c r="H1288" i="6" s="1"/>
  <c r="H1289" i="6" s="1"/>
  <c r="H1290" i="6" s="1"/>
  <c r="H1291" i="6" s="1"/>
  <c r="H1292" i="6" s="1"/>
  <c r="H1293" i="6" s="1"/>
  <c r="H1294" i="6" s="1"/>
  <c r="H1295" i="6" s="1"/>
  <c r="H1296" i="6" s="1"/>
  <c r="H1297" i="6" s="1"/>
  <c r="H1298" i="6" s="1"/>
  <c r="H1214" i="6" s="1"/>
  <c r="H1215" i="6" s="1"/>
  <c r="H1216" i="6" s="1"/>
  <c r="H1217" i="6" s="1"/>
  <c r="H1218" i="6" s="1"/>
  <c r="H1219" i="6" s="1"/>
  <c r="H1220" i="6" s="1"/>
  <c r="H1221" i="6" s="1"/>
  <c r="H1222" i="6" s="1"/>
  <c r="H1223" i="6" s="1"/>
  <c r="H1224" i="6" s="1"/>
  <c r="H1225" i="6" s="1"/>
  <c r="H1226" i="6" s="1"/>
  <c r="H1227" i="6" s="1"/>
  <c r="H1228" i="6" s="1"/>
  <c r="H1229" i="6" s="1"/>
  <c r="H1230" i="6" s="1"/>
  <c r="H1231" i="6" s="1"/>
  <c r="H1232" i="6" s="1"/>
  <c r="H1233" i="6" s="1"/>
  <c r="H1234" i="6" s="1"/>
  <c r="H1235" i="6" s="1"/>
  <c r="H1236" i="6" s="1"/>
  <c r="H1237" i="6" s="1"/>
  <c r="H1238" i="6" s="1"/>
  <c r="H1239" i="6" s="1"/>
  <c r="H1240" i="6" s="1"/>
  <c r="H1241" i="6" s="1"/>
  <c r="H1242" i="6" s="1"/>
  <c r="H1243" i="6" s="1"/>
  <c r="H1325" i="6" s="1"/>
  <c r="H1326" i="6" s="1"/>
  <c r="H1327" i="6" s="1"/>
  <c r="H1328" i="6" s="1"/>
  <c r="H1329" i="6" s="1"/>
  <c r="H1330" i="6" s="1"/>
  <c r="H1331" i="6" s="1"/>
  <c r="H1332" i="6" s="1"/>
  <c r="H1333" i="6" s="1"/>
  <c r="H1334" i="6" s="1"/>
  <c r="H1335" i="6" s="1"/>
  <c r="H1336" i="6" s="1"/>
  <c r="H1337" i="6" s="1"/>
  <c r="H1338" i="6" s="1"/>
  <c r="H1339" i="6" s="1"/>
  <c r="H1340" i="6" s="1"/>
  <c r="H1341" i="6" s="1"/>
  <c r="H1342" i="6" s="1"/>
  <c r="H1343" i="6" s="1"/>
  <c r="H1344" i="6" s="1"/>
  <c r="H1345" i="6" s="1"/>
  <c r="H1412" i="6" s="1"/>
  <c r="H1413" i="6" s="1"/>
  <c r="H1414" i="6" s="1"/>
  <c r="H1415" i="6" s="1"/>
  <c r="H1416" i="6" s="1"/>
  <c r="H1417" i="6" s="1"/>
  <c r="H1418" i="6" s="1"/>
  <c r="H1419" i="6" s="1"/>
  <c r="H1420" i="6" s="1"/>
  <c r="H1421" i="6" s="1"/>
  <c r="H1422" i="6" s="1"/>
  <c r="H1423" i="6" s="1"/>
  <c r="H1424" i="6" s="1"/>
  <c r="H1425" i="6" s="1"/>
  <c r="H1426" i="6" s="1"/>
  <c r="H1427" i="6" s="1"/>
  <c r="H1428" i="6" s="1"/>
  <c r="H1429" i="6" s="1"/>
  <c r="H1430" i="6" s="1"/>
  <c r="H1431" i="6" s="1"/>
  <c r="H1432" i="6" s="1"/>
  <c r="H1433" i="6" s="1"/>
  <c r="H1434" i="6" s="1"/>
  <c r="H1435" i="6" s="1"/>
  <c r="H1436" i="6" s="1"/>
  <c r="H1437" i="6" s="1"/>
  <c r="H1438" i="6" s="1"/>
  <c r="H1513" i="6" s="1"/>
  <c r="H1514" i="6" s="1"/>
  <c r="H1515" i="6" s="1"/>
  <c r="H1516" i="6" s="1"/>
  <c r="H1517" i="6" s="1"/>
  <c r="H1518" i="6" s="1"/>
  <c r="H1519" i="6" s="1"/>
  <c r="H1520" i="6" s="1"/>
  <c r="H1521" i="6" s="1"/>
  <c r="H1522" i="6" s="1"/>
  <c r="H1523" i="6" s="1"/>
  <c r="H1524" i="6" s="1"/>
  <c r="H1525" i="6" s="1"/>
  <c r="H1526" i="6" s="1"/>
  <c r="H1527" i="6" s="1"/>
  <c r="H1528" i="6" s="1"/>
  <c r="H1529" i="6" s="1"/>
  <c r="H706" i="6" s="1"/>
  <c r="H707" i="6" s="1"/>
  <c r="H708" i="6" s="1"/>
  <c r="H709" i="6" s="1"/>
  <c r="H710" i="6" s="1"/>
  <c r="H711" i="6" s="1"/>
  <c r="H712" i="6" s="1"/>
  <c r="H713" i="6" s="1"/>
  <c r="H714" i="6" s="1"/>
  <c r="H715" i="6" s="1"/>
  <c r="H716" i="6" s="1"/>
  <c r="H717" i="6" s="1"/>
  <c r="H718" i="6" s="1"/>
  <c r="H719" i="6" s="1"/>
  <c r="H720" i="6" s="1"/>
  <c r="H721" i="6" s="1"/>
  <c r="H722" i="6" s="1"/>
  <c r="H723" i="6" s="1"/>
  <c r="H724" i="6" s="1"/>
  <c r="H725" i="6" s="1"/>
  <c r="H726" i="6" s="1"/>
  <c r="H727" i="6" s="1"/>
  <c r="H728" i="6" s="1"/>
  <c r="H729" i="6" s="1"/>
  <c r="H730" i="6" s="1"/>
  <c r="H731" i="6" s="1"/>
  <c r="H732" i="6" s="1"/>
  <c r="H733" i="6" s="1"/>
  <c r="H734" i="6" s="1"/>
  <c r="H735" i="6" s="1"/>
  <c r="H736" i="6" s="1"/>
  <c r="H737" i="6" s="1"/>
  <c r="H738" i="6" s="1"/>
  <c r="H739" i="6" s="1"/>
  <c r="H969" i="6" s="1"/>
  <c r="H970" i="6" s="1"/>
  <c r="H971" i="6" s="1"/>
  <c r="H972" i="6" s="1"/>
  <c r="H973" i="6" s="1"/>
  <c r="H974" i="6" s="1"/>
  <c r="H975" i="6" s="1"/>
  <c r="H976" i="6" s="1"/>
  <c r="H977" i="6" s="1"/>
  <c r="H978" i="6" s="1"/>
  <c r="H979" i="6" s="1"/>
  <c r="H980" i="6" s="1"/>
  <c r="H981" i="6" s="1"/>
  <c r="H982" i="6" s="1"/>
  <c r="H983" i="6" s="1"/>
  <c r="H984" i="6" s="1"/>
  <c r="H985" i="6" s="1"/>
  <c r="H986" i="6" s="1"/>
  <c r="H987" i="6" s="1"/>
  <c r="H988" i="6" s="1"/>
  <c r="H989" i="6" s="1"/>
  <c r="H990" i="6" s="1"/>
  <c r="H991" i="6" s="1"/>
  <c r="H992" i="6" s="1"/>
  <c r="H993" i="6" s="1"/>
  <c r="H994" i="6" s="1"/>
  <c r="H995" i="6" s="1"/>
  <c r="H996" i="6" s="1"/>
  <c r="H997" i="6" s="1"/>
  <c r="H998" i="6" s="1"/>
  <c r="H999" i="6" s="1"/>
  <c r="H1000" i="6" s="1"/>
  <c r="H1001" i="6" s="1"/>
  <c r="H1002" i="6" s="1"/>
  <c r="H1003" i="6" s="1"/>
  <c r="H1004" i="6" s="1"/>
  <c r="H641" i="6"/>
  <c r="B642" i="6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1277" i="6" s="1"/>
  <c r="B1278" i="6" s="1"/>
  <c r="B1279" i="6" s="1"/>
  <c r="B1280" i="6" s="1"/>
  <c r="B1281" i="6" s="1"/>
  <c r="B1282" i="6" s="1"/>
  <c r="B1283" i="6" s="1"/>
  <c r="B1284" i="6" s="1"/>
  <c r="B1285" i="6" s="1"/>
  <c r="B1286" i="6" s="1"/>
  <c r="B1287" i="6" s="1"/>
  <c r="B1288" i="6" s="1"/>
  <c r="B1289" i="6" s="1"/>
  <c r="B1290" i="6" s="1"/>
  <c r="B1291" i="6" s="1"/>
  <c r="B1292" i="6" s="1"/>
  <c r="B1293" i="6" s="1"/>
  <c r="B1294" i="6" s="1"/>
  <c r="B1295" i="6" s="1"/>
  <c r="B1296" i="6" s="1"/>
  <c r="B1297" i="6" s="1"/>
  <c r="B1298" i="6" s="1"/>
  <c r="B1214" i="6" s="1"/>
  <c r="B1215" i="6" s="1"/>
  <c r="B1216" i="6" s="1"/>
  <c r="B1217" i="6" s="1"/>
  <c r="B1218" i="6" s="1"/>
  <c r="B1219" i="6" s="1"/>
  <c r="B1220" i="6" s="1"/>
  <c r="B1221" i="6" s="1"/>
  <c r="B1222" i="6" s="1"/>
  <c r="B1223" i="6" s="1"/>
  <c r="B1224" i="6" s="1"/>
  <c r="B1225" i="6" s="1"/>
  <c r="B1226" i="6" s="1"/>
  <c r="B1227" i="6" s="1"/>
  <c r="B1228" i="6" s="1"/>
  <c r="B1229" i="6" s="1"/>
  <c r="B1230" i="6" s="1"/>
  <c r="B1231" i="6" s="1"/>
  <c r="B1232" i="6" s="1"/>
  <c r="B1233" i="6" s="1"/>
  <c r="B1234" i="6" s="1"/>
  <c r="B1235" i="6" s="1"/>
  <c r="B1236" i="6" s="1"/>
  <c r="B1237" i="6" s="1"/>
  <c r="B1238" i="6" s="1"/>
  <c r="B1239" i="6" s="1"/>
  <c r="B1240" i="6" s="1"/>
  <c r="B1241" i="6" s="1"/>
  <c r="B1242" i="6" s="1"/>
  <c r="B1243" i="6" s="1"/>
  <c r="B1324" i="6" s="1"/>
  <c r="B1325" i="6" s="1"/>
  <c r="B1326" i="6" s="1"/>
  <c r="B1327" i="6" s="1"/>
  <c r="B1328" i="6" s="1"/>
  <c r="B1329" i="6" s="1"/>
  <c r="B1330" i="6" s="1"/>
  <c r="B1331" i="6" s="1"/>
  <c r="B1332" i="6" s="1"/>
  <c r="B1333" i="6" s="1"/>
  <c r="B1334" i="6" s="1"/>
  <c r="B1335" i="6" s="1"/>
  <c r="B1336" i="6" s="1"/>
  <c r="B1337" i="6" s="1"/>
  <c r="B1338" i="6" s="1"/>
  <c r="B1339" i="6" s="1"/>
  <c r="B1340" i="6" s="1"/>
  <c r="B1341" i="6" s="1"/>
  <c r="B1342" i="6" s="1"/>
  <c r="B1343" i="6" s="1"/>
  <c r="B1344" i="6" s="1"/>
  <c r="B1345" i="6" s="1"/>
  <c r="B1411" i="6" s="1"/>
  <c r="B1412" i="6" s="1"/>
  <c r="B1413" i="6" s="1"/>
  <c r="B1414" i="6" s="1"/>
  <c r="B1415" i="6" s="1"/>
  <c r="B1416" i="6" s="1"/>
  <c r="B1417" i="6" s="1"/>
  <c r="B1418" i="6" s="1"/>
  <c r="B1419" i="6" s="1"/>
  <c r="B1420" i="6" s="1"/>
  <c r="B1421" i="6" s="1"/>
  <c r="B1422" i="6" s="1"/>
  <c r="B1423" i="6" s="1"/>
  <c r="B1424" i="6" s="1"/>
  <c r="B1425" i="6" s="1"/>
  <c r="B1426" i="6" s="1"/>
  <c r="B1427" i="6" s="1"/>
  <c r="B1428" i="6" s="1"/>
  <c r="B1429" i="6" s="1"/>
  <c r="B1430" i="6" s="1"/>
  <c r="B1431" i="6" s="1"/>
  <c r="B1432" i="6" s="1"/>
  <c r="B1433" i="6" s="1"/>
  <c r="B1434" i="6" s="1"/>
  <c r="B1435" i="6" s="1"/>
  <c r="B1436" i="6" s="1"/>
  <c r="B1437" i="6" s="1"/>
  <c r="B1438" i="6" s="1"/>
  <c r="B1513" i="6" s="1"/>
  <c r="B1514" i="6" s="1"/>
  <c r="B1515" i="6" s="1"/>
  <c r="B1516" i="6" s="1"/>
  <c r="B1517" i="6" s="1"/>
  <c r="B1518" i="6" s="1"/>
  <c r="B1519" i="6" s="1"/>
  <c r="B1520" i="6" s="1"/>
  <c r="B1521" i="6" s="1"/>
  <c r="B1522" i="6" s="1"/>
  <c r="B1523" i="6" s="1"/>
  <c r="B1524" i="6" s="1"/>
  <c r="B1525" i="6" s="1"/>
  <c r="B1526" i="6" s="1"/>
  <c r="B1527" i="6" s="1"/>
  <c r="B1528" i="6" s="1"/>
  <c r="B1529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1001" i="6" s="1"/>
  <c r="B1002" i="6" s="1"/>
  <c r="B1003" i="6" s="1"/>
  <c r="B1004" i="6" s="1"/>
  <c r="B641" i="6"/>
  <c r="K642" i="6"/>
  <c r="K643" i="6" s="1"/>
  <c r="K644" i="6" s="1"/>
  <c r="K645" i="6" s="1"/>
  <c r="K646" i="6" s="1"/>
  <c r="K647" i="6" s="1"/>
  <c r="K648" i="6" s="1"/>
  <c r="K649" i="6" s="1"/>
  <c r="K650" i="6" s="1"/>
  <c r="K651" i="6" s="1"/>
  <c r="K652" i="6" s="1"/>
  <c r="K653" i="6" s="1"/>
  <c r="K654" i="6" s="1"/>
  <c r="K655" i="6" s="1"/>
  <c r="K656" i="6" s="1"/>
  <c r="K657" i="6" s="1"/>
  <c r="K658" i="6" s="1"/>
  <c r="K659" i="6" s="1"/>
  <c r="K660" i="6" s="1"/>
  <c r="K661" i="6" s="1"/>
  <c r="K662" i="6" s="1"/>
  <c r="K663" i="6" s="1"/>
  <c r="K664" i="6" s="1"/>
  <c r="K665" i="6" s="1"/>
  <c r="K666" i="6" s="1"/>
  <c r="K667" i="6" s="1"/>
  <c r="K668" i="6" s="1"/>
  <c r="K669" i="6" s="1"/>
  <c r="K670" i="6" s="1"/>
  <c r="K1278" i="6" s="1"/>
  <c r="K1279" i="6" s="1"/>
  <c r="K1280" i="6" s="1"/>
  <c r="K1281" i="6" s="1"/>
  <c r="K1282" i="6" s="1"/>
  <c r="K1283" i="6" s="1"/>
  <c r="K1284" i="6" s="1"/>
  <c r="K1285" i="6" s="1"/>
  <c r="K1286" i="6" s="1"/>
  <c r="K1287" i="6" s="1"/>
  <c r="K1288" i="6" s="1"/>
  <c r="K1289" i="6" s="1"/>
  <c r="K1290" i="6" s="1"/>
  <c r="K1291" i="6" s="1"/>
  <c r="K1292" i="6" s="1"/>
  <c r="K1293" i="6" s="1"/>
  <c r="K1294" i="6" s="1"/>
  <c r="K1295" i="6" s="1"/>
  <c r="K1296" i="6" s="1"/>
  <c r="K1297" i="6" s="1"/>
  <c r="K1298" i="6" s="1"/>
  <c r="K1215" i="6" s="1"/>
  <c r="K1216" i="6" s="1"/>
  <c r="K1217" i="6" s="1"/>
  <c r="K1218" i="6" s="1"/>
  <c r="K1219" i="6" s="1"/>
  <c r="K1220" i="6" s="1"/>
  <c r="K1221" i="6" s="1"/>
  <c r="K1222" i="6" s="1"/>
  <c r="K1223" i="6" s="1"/>
  <c r="K1224" i="6" s="1"/>
  <c r="K1225" i="6" s="1"/>
  <c r="K1226" i="6" s="1"/>
  <c r="K1227" i="6" s="1"/>
  <c r="K1228" i="6" s="1"/>
  <c r="K1229" i="6" s="1"/>
  <c r="K1230" i="6" s="1"/>
  <c r="K1231" i="6" s="1"/>
  <c r="K1232" i="6" s="1"/>
  <c r="K1233" i="6" s="1"/>
  <c r="K1234" i="6" s="1"/>
  <c r="K1235" i="6" s="1"/>
  <c r="K1236" i="6" s="1"/>
  <c r="K1237" i="6" s="1"/>
  <c r="K1238" i="6" s="1"/>
  <c r="K1239" i="6" s="1"/>
  <c r="K1240" i="6" s="1"/>
  <c r="K1241" i="6" s="1"/>
  <c r="K1242" i="6" s="1"/>
  <c r="K1243" i="6" s="1"/>
  <c r="K1325" i="6" s="1"/>
  <c r="K1326" i="6" s="1"/>
  <c r="K1327" i="6" s="1"/>
  <c r="K1328" i="6" s="1"/>
  <c r="K1329" i="6" s="1"/>
  <c r="K1330" i="6" s="1"/>
  <c r="K1331" i="6" s="1"/>
  <c r="K1332" i="6" s="1"/>
  <c r="K1333" i="6" s="1"/>
  <c r="K1334" i="6" s="1"/>
  <c r="K1335" i="6" s="1"/>
  <c r="K1336" i="6" s="1"/>
  <c r="K1337" i="6" s="1"/>
  <c r="K1338" i="6" s="1"/>
  <c r="K1339" i="6" s="1"/>
  <c r="K1340" i="6" s="1"/>
  <c r="K1341" i="6" s="1"/>
  <c r="K1342" i="6" s="1"/>
  <c r="K1343" i="6" s="1"/>
  <c r="K1344" i="6" s="1"/>
  <c r="K1345" i="6" s="1"/>
  <c r="K1412" i="6" s="1"/>
  <c r="K1413" i="6" s="1"/>
  <c r="K1414" i="6" s="1"/>
  <c r="K1415" i="6" s="1"/>
  <c r="K1416" i="6" s="1"/>
  <c r="K1417" i="6" s="1"/>
  <c r="K1418" i="6" s="1"/>
  <c r="K1419" i="6" s="1"/>
  <c r="K1420" i="6" s="1"/>
  <c r="K1421" i="6" s="1"/>
  <c r="K1422" i="6" s="1"/>
  <c r="K1423" i="6" s="1"/>
  <c r="K1424" i="6" s="1"/>
  <c r="K1425" i="6" s="1"/>
  <c r="K1426" i="6" s="1"/>
  <c r="K1427" i="6" s="1"/>
  <c r="K1428" i="6" s="1"/>
  <c r="K1429" i="6" s="1"/>
  <c r="K1430" i="6" s="1"/>
  <c r="K1431" i="6" s="1"/>
  <c r="K1432" i="6" s="1"/>
  <c r="K1433" i="6" s="1"/>
  <c r="K1434" i="6" s="1"/>
  <c r="K1435" i="6" s="1"/>
  <c r="K1436" i="6" s="1"/>
  <c r="K1437" i="6" s="1"/>
  <c r="K1438" i="6" s="1"/>
  <c r="K1514" i="6" s="1"/>
  <c r="K1515" i="6" s="1"/>
  <c r="K1516" i="6" s="1"/>
  <c r="K1517" i="6" s="1"/>
  <c r="K1518" i="6" s="1"/>
  <c r="K1519" i="6" s="1"/>
  <c r="K1520" i="6" s="1"/>
  <c r="K1521" i="6" s="1"/>
  <c r="K1522" i="6" s="1"/>
  <c r="K1523" i="6" s="1"/>
  <c r="K1524" i="6" s="1"/>
  <c r="K1525" i="6" s="1"/>
  <c r="K1526" i="6" s="1"/>
  <c r="K1527" i="6" s="1"/>
  <c r="K1528" i="6" s="1"/>
  <c r="K1529" i="6" s="1"/>
  <c r="K706" i="6" s="1"/>
  <c r="K707" i="6" s="1"/>
  <c r="K708" i="6" s="1"/>
  <c r="K709" i="6" s="1"/>
  <c r="K710" i="6" s="1"/>
  <c r="K711" i="6" s="1"/>
  <c r="K712" i="6" s="1"/>
  <c r="K713" i="6" s="1"/>
  <c r="K714" i="6" s="1"/>
  <c r="K715" i="6" s="1"/>
  <c r="K716" i="6" s="1"/>
  <c r="K717" i="6" s="1"/>
  <c r="K718" i="6" s="1"/>
  <c r="K719" i="6" s="1"/>
  <c r="K720" i="6" s="1"/>
  <c r="K721" i="6" s="1"/>
  <c r="K722" i="6" s="1"/>
  <c r="K723" i="6" s="1"/>
  <c r="K724" i="6" s="1"/>
  <c r="K725" i="6" s="1"/>
  <c r="K726" i="6" s="1"/>
  <c r="K727" i="6" s="1"/>
  <c r="K728" i="6" s="1"/>
  <c r="K729" i="6" s="1"/>
  <c r="K730" i="6" s="1"/>
  <c r="K731" i="6" s="1"/>
  <c r="K732" i="6" s="1"/>
  <c r="K733" i="6" s="1"/>
  <c r="K734" i="6" s="1"/>
  <c r="K735" i="6" s="1"/>
  <c r="K736" i="6" s="1"/>
  <c r="K737" i="6" s="1"/>
  <c r="K738" i="6" s="1"/>
  <c r="K739" i="6" s="1"/>
  <c r="K969" i="6" s="1"/>
  <c r="K970" i="6" s="1"/>
  <c r="K971" i="6" s="1"/>
  <c r="K972" i="6" s="1"/>
  <c r="K973" i="6" s="1"/>
  <c r="K974" i="6" s="1"/>
  <c r="K975" i="6" s="1"/>
  <c r="K976" i="6" s="1"/>
  <c r="K977" i="6" s="1"/>
  <c r="K978" i="6" s="1"/>
  <c r="K979" i="6" s="1"/>
  <c r="K980" i="6" s="1"/>
  <c r="K981" i="6" s="1"/>
  <c r="K982" i="6" s="1"/>
  <c r="K983" i="6" s="1"/>
  <c r="K984" i="6" s="1"/>
  <c r="K985" i="6" s="1"/>
  <c r="K986" i="6" s="1"/>
  <c r="K987" i="6" s="1"/>
  <c r="K988" i="6" s="1"/>
  <c r="K989" i="6" s="1"/>
  <c r="K990" i="6" s="1"/>
  <c r="K991" i="6" s="1"/>
  <c r="K992" i="6" s="1"/>
  <c r="K993" i="6" s="1"/>
  <c r="K994" i="6" s="1"/>
  <c r="K995" i="6" s="1"/>
  <c r="K996" i="6" s="1"/>
  <c r="K997" i="6" s="1"/>
  <c r="K998" i="6" s="1"/>
  <c r="K999" i="6" s="1"/>
  <c r="K1000" i="6" s="1"/>
  <c r="K1001" i="6" s="1"/>
  <c r="K1002" i="6" s="1"/>
  <c r="K1003" i="6" s="1"/>
  <c r="K1004" i="6" s="1"/>
  <c r="K641" i="6"/>
  <c r="O505" i="6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640" i="6" s="1"/>
  <c r="E591" i="6"/>
  <c r="F591" i="6"/>
  <c r="G591" i="6"/>
  <c r="F590" i="6"/>
  <c r="G590" i="6"/>
  <c r="E590" i="6"/>
  <c r="D593" i="6"/>
  <c r="G593" i="6" s="1"/>
  <c r="Q591" i="6"/>
  <c r="R591" i="6"/>
  <c r="F592" i="6"/>
  <c r="G592" i="6"/>
  <c r="J641" i="6" l="1"/>
  <c r="Q539" i="6"/>
  <c r="N103" i="6"/>
  <c r="N104" i="6" s="1"/>
  <c r="N106" i="6" s="1"/>
  <c r="N107" i="6" s="1"/>
  <c r="N108" i="6" s="1"/>
  <c r="N109" i="6" s="1"/>
  <c r="N110" i="6" s="1"/>
  <c r="N111" i="6" s="1"/>
  <c r="N112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6" i="6" s="1"/>
  <c r="N127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5" i="6" s="1"/>
  <c r="N374" i="6" s="1"/>
  <c r="N375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R102" i="6"/>
  <c r="O642" i="6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7" i="6" s="1"/>
  <c r="O668" i="6" s="1"/>
  <c r="O669" i="6" s="1"/>
  <c r="O670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641" i="6"/>
  <c r="F593" i="6"/>
  <c r="D594" i="6"/>
  <c r="E594" i="6" s="1"/>
  <c r="E593" i="6"/>
  <c r="R592" i="6"/>
  <c r="Q592" i="6"/>
  <c r="F594" i="6" l="1"/>
  <c r="G594" i="6"/>
  <c r="D595" i="6"/>
  <c r="D596" i="6" s="1"/>
  <c r="N392" i="6"/>
  <c r="R391" i="6"/>
  <c r="F595" i="6" l="1"/>
  <c r="G595" i="6"/>
  <c r="E595" i="6"/>
  <c r="R392" i="6"/>
  <c r="N393" i="6"/>
  <c r="N394" i="6" s="1"/>
  <c r="N395" i="6" s="1"/>
  <c r="N397" i="6" s="1"/>
  <c r="N480" i="6" s="1"/>
  <c r="N481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Q594" i="6"/>
  <c r="R594" i="6"/>
  <c r="G596" i="6"/>
  <c r="E596" i="6"/>
  <c r="D597" i="6"/>
  <c r="F596" i="6"/>
  <c r="N499" i="6" l="1"/>
  <c r="N500" i="6" s="1"/>
  <c r="N501" i="6" s="1"/>
  <c r="N502" i="6" s="1"/>
  <c r="N503" i="6" s="1"/>
  <c r="N504" i="6" s="1"/>
  <c r="N505" i="6" s="1"/>
  <c r="N1602" i="6" s="1"/>
  <c r="N1603" i="6" s="1"/>
  <c r="N1604" i="6" s="1"/>
  <c r="N1605" i="6" s="1"/>
  <c r="N1606" i="6" s="1"/>
  <c r="N1607" i="6" s="1"/>
  <c r="N1608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2" i="6" s="1"/>
  <c r="N1633" i="6" s="1"/>
  <c r="N1634" i="6" s="1"/>
  <c r="N1635" i="6" s="1"/>
  <c r="N1636" i="6" s="1"/>
  <c r="N1637" i="6" s="1"/>
  <c r="N1638" i="6" s="1"/>
  <c r="N1642" i="6" s="1"/>
  <c r="N1643" i="6" s="1"/>
  <c r="N640" i="6" s="1"/>
  <c r="R498" i="6"/>
  <c r="Q595" i="6"/>
  <c r="R595" i="6"/>
  <c r="D598" i="6"/>
  <c r="G597" i="6"/>
  <c r="E597" i="6"/>
  <c r="F597" i="6"/>
  <c r="N642" i="6" l="1"/>
  <c r="N641" i="6"/>
  <c r="R596" i="6"/>
  <c r="Q596" i="6"/>
  <c r="E598" i="6"/>
  <c r="F598" i="6"/>
  <c r="D599" i="6"/>
  <c r="G598" i="6"/>
  <c r="Q641" i="6" l="1"/>
  <c r="R641" i="6"/>
  <c r="N643" i="6"/>
  <c r="N645" i="6" s="1"/>
  <c r="N646" i="6" s="1"/>
  <c r="N647" i="6" s="1"/>
  <c r="N648" i="6" s="1"/>
  <c r="N649" i="6" s="1"/>
  <c r="N650" i="6" s="1"/>
  <c r="N651" i="6" s="1"/>
  <c r="N652" i="6" s="1"/>
  <c r="N655" i="6" s="1"/>
  <c r="N656" i="6" s="1"/>
  <c r="N657" i="6" s="1"/>
  <c r="N658" i="6" s="1"/>
  <c r="N659" i="6" s="1"/>
  <c r="N660" i="6" s="1"/>
  <c r="N661" i="6" s="1"/>
  <c r="N662" i="6" s="1"/>
  <c r="N663" i="6" s="1"/>
  <c r="N667" i="6" s="1"/>
  <c r="N668" i="6" s="1"/>
  <c r="N669" i="6" s="1"/>
  <c r="N670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R642" i="6"/>
  <c r="Q642" i="6"/>
  <c r="N1215" i="6"/>
  <c r="N1216" i="6" s="1"/>
  <c r="N1217" i="6" s="1"/>
  <c r="N1219" i="6" s="1"/>
  <c r="N1220" i="6" s="1"/>
  <c r="N1221" i="6" s="1"/>
  <c r="N1222" i="6" s="1"/>
  <c r="N1223" i="6" s="1"/>
  <c r="N1224" i="6" s="1"/>
  <c r="N1225" i="6" s="1"/>
  <c r="N1226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325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412" i="6" s="1"/>
  <c r="N1413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Q597" i="6"/>
  <c r="R597" i="6"/>
  <c r="E599" i="6"/>
  <c r="G599" i="6"/>
  <c r="F599" i="6"/>
  <c r="D600" i="6"/>
  <c r="N1289" i="6" l="1"/>
  <c r="R1288" i="6"/>
  <c r="N1438" i="6"/>
  <c r="N1514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706" i="6" s="1"/>
  <c r="N707" i="6" s="1"/>
  <c r="N708" i="6" s="1"/>
  <c r="N709" i="6" s="1"/>
  <c r="N711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969" i="6" s="1"/>
  <c r="N970" i="6" s="1"/>
  <c r="N971" i="6" s="1"/>
  <c r="N972" i="6" s="1"/>
  <c r="N973" i="6" s="1"/>
  <c r="N974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1" i="6" s="1"/>
  <c r="N1002" i="6" s="1"/>
  <c r="N1003" i="6" s="1"/>
  <c r="N1004" i="6" s="1"/>
  <c r="Q1437" i="6"/>
  <c r="Q598" i="6"/>
  <c r="R598" i="6"/>
  <c r="D601" i="6"/>
  <c r="G600" i="6"/>
  <c r="F600" i="6"/>
  <c r="E600" i="6"/>
  <c r="N1290" i="6" l="1"/>
  <c r="N1291" i="6" s="1"/>
  <c r="N1292" i="6" s="1"/>
  <c r="N1293" i="6" s="1"/>
  <c r="N1294" i="6" s="1"/>
  <c r="R1289" i="6"/>
  <c r="Q599" i="6"/>
  <c r="R599" i="6"/>
  <c r="G601" i="6"/>
  <c r="E601" i="6"/>
  <c r="D602" i="6"/>
  <c r="F601" i="6"/>
  <c r="N1295" i="6" l="1"/>
  <c r="N1296" i="6" s="1"/>
  <c r="N1298" i="6" s="1"/>
  <c r="R1298" i="6" s="1"/>
  <c r="R1294" i="6"/>
  <c r="R600" i="6"/>
  <c r="Q600" i="6"/>
  <c r="E602" i="6"/>
  <c r="D603" i="6"/>
  <c r="G602" i="6"/>
  <c r="F602" i="6"/>
  <c r="Q601" i="6" l="1"/>
  <c r="R601" i="6"/>
  <c r="D604" i="6"/>
  <c r="F603" i="6"/>
  <c r="E603" i="6"/>
  <c r="G603" i="6"/>
  <c r="Q602" i="6" l="1"/>
  <c r="R602" i="6"/>
  <c r="G604" i="6"/>
  <c r="E604" i="6"/>
  <c r="D605" i="6"/>
  <c r="F604" i="6"/>
  <c r="Q603" i="6" l="1"/>
  <c r="R603" i="6"/>
  <c r="G605" i="6"/>
  <c r="E605" i="6"/>
  <c r="D606" i="6"/>
  <c r="F605" i="6"/>
  <c r="R604" i="6" l="1"/>
  <c r="Q604" i="6"/>
  <c r="F606" i="6"/>
  <c r="D607" i="6"/>
  <c r="E606" i="6"/>
  <c r="G606" i="6"/>
  <c r="R605" i="6" l="1"/>
  <c r="Q605" i="6"/>
  <c r="F607" i="6"/>
  <c r="G607" i="6"/>
  <c r="E607" i="6"/>
  <c r="D608" i="6"/>
  <c r="Q606" i="6" l="1"/>
  <c r="R606" i="6"/>
  <c r="D609" i="6"/>
  <c r="F608" i="6"/>
  <c r="E608" i="6"/>
  <c r="G608" i="6"/>
  <c r="Q607" i="6" l="1"/>
  <c r="R607" i="6"/>
  <c r="F609" i="6"/>
  <c r="G609" i="6"/>
  <c r="D610" i="6"/>
  <c r="E609" i="6"/>
  <c r="R608" i="6" l="1"/>
  <c r="Q608" i="6"/>
  <c r="F610" i="6"/>
  <c r="D611" i="6"/>
  <c r="E610" i="6"/>
  <c r="G610" i="6"/>
  <c r="R609" i="6" l="1"/>
  <c r="Q609" i="6"/>
  <c r="F611" i="6"/>
  <c r="E611" i="6"/>
  <c r="G611" i="6"/>
  <c r="D612" i="6"/>
  <c r="Q610" i="6" l="1"/>
  <c r="R610" i="6"/>
  <c r="G612" i="6"/>
  <c r="F612" i="6"/>
  <c r="E612" i="6"/>
  <c r="D613" i="6"/>
  <c r="Q611" i="6" l="1"/>
  <c r="R611" i="6"/>
  <c r="F613" i="6"/>
  <c r="D614" i="6"/>
  <c r="E613" i="6"/>
  <c r="G613" i="6"/>
  <c r="Q612" i="6" l="1"/>
  <c r="R612" i="6"/>
  <c r="E614" i="6"/>
  <c r="D615" i="6"/>
  <c r="F614" i="6"/>
  <c r="G614" i="6"/>
  <c r="R613" i="6" l="1"/>
  <c r="Q613" i="6"/>
  <c r="E615" i="6"/>
  <c r="F615" i="6"/>
  <c r="G615" i="6"/>
  <c r="D616" i="6"/>
  <c r="R614" i="6" l="1"/>
  <c r="Q614" i="6"/>
  <c r="G616" i="6"/>
  <c r="F616" i="6"/>
  <c r="E616" i="6"/>
  <c r="D617" i="6"/>
  <c r="Q615" i="6" l="1"/>
  <c r="R615" i="6"/>
  <c r="F617" i="6"/>
  <c r="G617" i="6"/>
  <c r="E617" i="6"/>
  <c r="R616" i="6" l="1"/>
  <c r="Q616" i="6"/>
  <c r="G536" i="6"/>
  <c r="D537" i="6"/>
  <c r="E536" i="6"/>
  <c r="F536" i="6"/>
  <c r="R617" i="6" l="1"/>
  <c r="Q617" i="6"/>
  <c r="F537" i="6"/>
  <c r="D538" i="6"/>
  <c r="G537" i="6"/>
  <c r="E537" i="6"/>
  <c r="Q536" i="6" l="1"/>
  <c r="R536" i="6"/>
  <c r="G538" i="6"/>
  <c r="E538" i="6"/>
  <c r="F538" i="6"/>
  <c r="D539" i="6"/>
  <c r="Q537" i="6" l="1"/>
  <c r="R537" i="6"/>
  <c r="G539" i="6"/>
  <c r="E539" i="6"/>
  <c r="F539" i="6"/>
  <c r="D540" i="6"/>
  <c r="R538" i="6" l="1"/>
  <c r="Q538" i="6"/>
  <c r="F540" i="6"/>
  <c r="D541" i="6"/>
  <c r="E540" i="6"/>
  <c r="G540" i="6"/>
  <c r="R539" i="6" l="1"/>
  <c r="F541" i="6"/>
  <c r="D542" i="6"/>
  <c r="E541" i="6"/>
  <c r="G541" i="6"/>
  <c r="Q540" i="6" l="1"/>
  <c r="R540" i="6"/>
  <c r="D543" i="6"/>
  <c r="F542" i="6"/>
  <c r="E542" i="6"/>
  <c r="G542" i="6"/>
  <c r="Q541" i="6" l="1"/>
  <c r="R541" i="6"/>
  <c r="G543" i="6"/>
  <c r="E543" i="6"/>
  <c r="F543" i="6"/>
  <c r="D544" i="6"/>
  <c r="R542" i="6" l="1"/>
  <c r="Q542" i="6"/>
  <c r="F544" i="6"/>
  <c r="D545" i="6"/>
  <c r="G544" i="6"/>
  <c r="E544" i="6"/>
  <c r="R543" i="6" l="1"/>
  <c r="Q543" i="6"/>
  <c r="F545" i="6"/>
  <c r="E545" i="6"/>
  <c r="G545" i="6"/>
  <c r="D546" i="6"/>
  <c r="Q544" i="6" l="1"/>
  <c r="R544" i="6"/>
  <c r="G546" i="6"/>
  <c r="F546" i="6"/>
  <c r="E546" i="6"/>
  <c r="D547" i="6"/>
  <c r="Q545" i="6" l="1"/>
  <c r="R545" i="6"/>
  <c r="G547" i="6"/>
  <c r="D548" i="6"/>
  <c r="E547" i="6"/>
  <c r="F547" i="6"/>
  <c r="Q546" i="6" l="1"/>
  <c r="R546" i="6"/>
  <c r="F548" i="6"/>
  <c r="D549" i="6"/>
  <c r="E548" i="6"/>
  <c r="G548" i="6"/>
  <c r="R547" i="6" l="1"/>
  <c r="Q547" i="6"/>
  <c r="D550" i="6"/>
  <c r="F549" i="6"/>
  <c r="G549" i="6"/>
  <c r="E549" i="6"/>
  <c r="R548" i="6" l="1"/>
  <c r="Q548" i="6"/>
  <c r="G550" i="6"/>
  <c r="F550" i="6"/>
  <c r="E550" i="6"/>
  <c r="D551" i="6"/>
  <c r="Q549" i="6" l="1"/>
  <c r="R549" i="6"/>
  <c r="E551" i="6"/>
  <c r="G551" i="6"/>
  <c r="F551" i="6"/>
  <c r="D552" i="6"/>
  <c r="R550" i="6" l="1"/>
  <c r="Q550" i="6"/>
  <c r="F552" i="6"/>
  <c r="D553" i="6"/>
  <c r="G552" i="6"/>
  <c r="E552" i="6"/>
  <c r="R551" i="6" l="1"/>
  <c r="Q551" i="6"/>
  <c r="F553" i="6"/>
  <c r="E553" i="6"/>
  <c r="G553" i="6"/>
  <c r="D554" i="6"/>
  <c r="Q552" i="6" l="1"/>
  <c r="R552" i="6"/>
  <c r="G554" i="6"/>
  <c r="E554" i="6"/>
  <c r="D555" i="6"/>
  <c r="F554" i="6"/>
  <c r="Q553" i="6" l="1"/>
  <c r="R553" i="6"/>
  <c r="G555" i="6"/>
  <c r="E555" i="6"/>
  <c r="F555" i="6"/>
  <c r="D556" i="6"/>
  <c r="R554" i="6" l="1"/>
  <c r="Q554" i="6"/>
  <c r="E556" i="6"/>
  <c r="D557" i="6"/>
  <c r="F556" i="6"/>
  <c r="G556" i="6"/>
  <c r="R555" i="6" l="1"/>
  <c r="Q555" i="6"/>
  <c r="F557" i="6"/>
  <c r="D558" i="6"/>
  <c r="E557" i="6"/>
  <c r="G557" i="6"/>
  <c r="Q556" i="6" l="1"/>
  <c r="R556" i="6"/>
  <c r="G558" i="6"/>
  <c r="E558" i="6"/>
  <c r="F558" i="6"/>
  <c r="D559" i="6"/>
  <c r="Q557" i="6" l="1"/>
  <c r="R557" i="6"/>
  <c r="F559" i="6"/>
  <c r="D560" i="6"/>
  <c r="G559" i="6"/>
  <c r="E559" i="6"/>
  <c r="R558" i="6" l="1"/>
  <c r="Q558" i="6"/>
  <c r="F560" i="6"/>
  <c r="D561" i="6"/>
  <c r="G560" i="6"/>
  <c r="E560" i="6"/>
  <c r="R559" i="6" l="1"/>
  <c r="Q559" i="6"/>
  <c r="F561" i="6"/>
  <c r="E561" i="6"/>
  <c r="G561" i="6"/>
  <c r="D562" i="6"/>
  <c r="Q560" i="6" l="1"/>
  <c r="R560" i="6"/>
  <c r="D563" i="6"/>
  <c r="E562" i="6"/>
  <c r="F562" i="6"/>
  <c r="G562" i="6"/>
  <c r="Q561" i="6" l="1"/>
  <c r="R561" i="6"/>
  <c r="G563" i="6"/>
  <c r="E563" i="6"/>
  <c r="F563" i="6"/>
  <c r="Q562" i="6" l="1"/>
  <c r="R562" i="6"/>
  <c r="F101" i="6"/>
  <c r="D102" i="6"/>
  <c r="E101" i="6"/>
  <c r="G101" i="6"/>
  <c r="R563" i="6" l="1"/>
  <c r="Q563" i="6"/>
  <c r="E102" i="6"/>
  <c r="D103" i="6"/>
  <c r="G102" i="6"/>
  <c r="F102" i="6"/>
  <c r="R101" i="6" l="1"/>
  <c r="Q101" i="6"/>
  <c r="D104" i="6"/>
  <c r="E103" i="6"/>
  <c r="F103" i="6"/>
  <c r="G103" i="6"/>
  <c r="Q102" i="6" l="1"/>
  <c r="F104" i="6"/>
  <c r="G104" i="6"/>
  <c r="E104" i="6"/>
  <c r="D105" i="6"/>
  <c r="R103" i="6" l="1"/>
  <c r="Q103" i="6"/>
  <c r="F105" i="6"/>
  <c r="D106" i="6"/>
  <c r="E105" i="6"/>
  <c r="G105" i="6"/>
  <c r="R104" i="6" l="1"/>
  <c r="Q104" i="6"/>
  <c r="F106" i="6"/>
  <c r="D107" i="6"/>
  <c r="G106" i="6"/>
  <c r="E106" i="6"/>
  <c r="Q105" i="6" l="1"/>
  <c r="R105" i="6"/>
  <c r="D108" i="6"/>
  <c r="E107" i="6"/>
  <c r="F107" i="6"/>
  <c r="G107" i="6"/>
  <c r="Q106" i="6" l="1"/>
  <c r="R106" i="6"/>
  <c r="G108" i="6"/>
  <c r="E108" i="6"/>
  <c r="F108" i="6"/>
  <c r="D109" i="6"/>
  <c r="R107" i="6" l="1"/>
  <c r="Q107" i="6"/>
  <c r="F109" i="6"/>
  <c r="D110" i="6"/>
  <c r="E109" i="6"/>
  <c r="G109" i="6"/>
  <c r="R108" i="6" l="1"/>
  <c r="Q108" i="6"/>
  <c r="E110" i="6"/>
  <c r="G110" i="6"/>
  <c r="D111" i="6"/>
  <c r="F110" i="6"/>
  <c r="Q109" i="6" l="1"/>
  <c r="R109" i="6"/>
  <c r="D112" i="6"/>
  <c r="E111" i="6"/>
  <c r="F111" i="6"/>
  <c r="G111" i="6"/>
  <c r="Q110" i="6" l="1"/>
  <c r="R110" i="6"/>
  <c r="G112" i="6"/>
  <c r="D113" i="6"/>
  <c r="E112" i="6"/>
  <c r="F112" i="6"/>
  <c r="R111" i="6" l="1"/>
  <c r="Q111" i="6"/>
  <c r="E113" i="6"/>
  <c r="D114" i="6"/>
  <c r="G113" i="6"/>
  <c r="F113" i="6"/>
  <c r="R112" i="6" l="1"/>
  <c r="Q112" i="6"/>
  <c r="F114" i="6"/>
  <c r="D115" i="6"/>
  <c r="G114" i="6"/>
  <c r="E114" i="6"/>
  <c r="Q113" i="6" l="1"/>
  <c r="R113" i="6"/>
  <c r="G115" i="6"/>
  <c r="E115" i="6"/>
  <c r="F115" i="6"/>
  <c r="D116" i="6"/>
  <c r="Q114" i="6" l="1"/>
  <c r="R114" i="6"/>
  <c r="G116" i="6"/>
  <c r="D117" i="6"/>
  <c r="E116" i="6"/>
  <c r="F116" i="6"/>
  <c r="Q115" i="6" l="1"/>
  <c r="R115" i="6"/>
  <c r="E117" i="6"/>
  <c r="D118" i="6"/>
  <c r="F117" i="6"/>
  <c r="G117" i="6"/>
  <c r="Q116" i="6" l="1"/>
  <c r="R116" i="6"/>
  <c r="G118" i="6"/>
  <c r="F118" i="6"/>
  <c r="D119" i="6"/>
  <c r="E118" i="6"/>
  <c r="R117" i="6" l="1"/>
  <c r="Q117" i="6"/>
  <c r="D120" i="6"/>
  <c r="E119" i="6"/>
  <c r="F119" i="6"/>
  <c r="G119" i="6"/>
  <c r="Q118" i="6" l="1"/>
  <c r="R118" i="6"/>
  <c r="F120" i="6"/>
  <c r="E120" i="6"/>
  <c r="G120" i="6"/>
  <c r="D121" i="6"/>
  <c r="R119" i="6" l="1"/>
  <c r="Q119" i="6"/>
  <c r="G121" i="6"/>
  <c r="D122" i="6"/>
  <c r="E121" i="6"/>
  <c r="F121" i="6"/>
  <c r="R120" i="6" l="1"/>
  <c r="Q120" i="6"/>
  <c r="F122" i="6"/>
  <c r="E122" i="6"/>
  <c r="G122" i="6"/>
  <c r="D123" i="6"/>
  <c r="Q121" i="6" l="1"/>
  <c r="R121" i="6"/>
  <c r="G123" i="6"/>
  <c r="F123" i="6"/>
  <c r="E123" i="6"/>
  <c r="D124" i="6"/>
  <c r="Q122" i="6" l="1"/>
  <c r="R122" i="6"/>
  <c r="F124" i="6"/>
  <c r="E124" i="6"/>
  <c r="D125" i="6"/>
  <c r="G124" i="6"/>
  <c r="R123" i="6" l="1"/>
  <c r="Q123" i="6"/>
  <c r="E125" i="6"/>
  <c r="D126" i="6"/>
  <c r="F125" i="6"/>
  <c r="G125" i="6"/>
  <c r="R124" i="6" l="1"/>
  <c r="Q124" i="6"/>
  <c r="F126" i="6"/>
  <c r="D127" i="6"/>
  <c r="E126" i="6"/>
  <c r="G126" i="6"/>
  <c r="Q125" i="6" l="1"/>
  <c r="R125" i="6"/>
  <c r="E127" i="6"/>
  <c r="F127" i="6"/>
  <c r="G127" i="6"/>
  <c r="Q126" i="6" l="1"/>
  <c r="R126" i="6"/>
  <c r="E427" i="6"/>
  <c r="G427" i="6"/>
  <c r="F427" i="6"/>
  <c r="D428" i="6"/>
  <c r="E428" i="6" l="1"/>
  <c r="D429" i="6"/>
  <c r="G428" i="6"/>
  <c r="F428" i="6"/>
  <c r="R427" i="6" l="1"/>
  <c r="Q427" i="6"/>
  <c r="E429" i="6"/>
  <c r="D430" i="6"/>
  <c r="G429" i="6"/>
  <c r="F429" i="6"/>
  <c r="Q428" i="6" l="1"/>
  <c r="R428" i="6"/>
  <c r="G430" i="6"/>
  <c r="F430" i="6"/>
  <c r="D431" i="6"/>
  <c r="E430" i="6"/>
  <c r="Q429" i="6" l="1"/>
  <c r="R429" i="6"/>
  <c r="F431" i="6"/>
  <c r="D432" i="6"/>
  <c r="G431" i="6"/>
  <c r="E431" i="6"/>
  <c r="Q430" i="6" l="1"/>
  <c r="R430" i="6"/>
  <c r="D433" i="6"/>
  <c r="E432" i="6"/>
  <c r="F432" i="6"/>
  <c r="G432" i="6"/>
  <c r="R431" i="6" l="1"/>
  <c r="Q431" i="6"/>
  <c r="D434" i="6"/>
  <c r="F433" i="6"/>
  <c r="G433" i="6"/>
  <c r="E433" i="6"/>
  <c r="R432" i="6" l="1"/>
  <c r="Q432" i="6"/>
  <c r="D435" i="6"/>
  <c r="F434" i="6"/>
  <c r="E434" i="6"/>
  <c r="G434" i="6"/>
  <c r="Q433" i="6" l="1"/>
  <c r="R433" i="6"/>
  <c r="E435" i="6"/>
  <c r="G435" i="6"/>
  <c r="D436" i="6"/>
  <c r="F435" i="6"/>
  <c r="R434" i="6" l="1"/>
  <c r="Q434" i="6"/>
  <c r="E436" i="6"/>
  <c r="D437" i="6"/>
  <c r="G436" i="6"/>
  <c r="F436" i="6"/>
  <c r="R435" i="6" l="1"/>
  <c r="Q435" i="6"/>
  <c r="G437" i="6"/>
  <c r="D438" i="6"/>
  <c r="E437" i="6"/>
  <c r="F437" i="6"/>
  <c r="Q436" i="6" l="1"/>
  <c r="R436" i="6"/>
  <c r="E438" i="6"/>
  <c r="G438" i="6"/>
  <c r="D439" i="6"/>
  <c r="F438" i="6"/>
  <c r="Q437" i="6" l="1"/>
  <c r="R437" i="6"/>
  <c r="F439" i="6"/>
  <c r="E439" i="6"/>
  <c r="G439" i="6"/>
  <c r="D440" i="6"/>
  <c r="R438" i="6" l="1"/>
  <c r="Q438" i="6"/>
  <c r="E440" i="6"/>
  <c r="D441" i="6"/>
  <c r="F440" i="6"/>
  <c r="G440" i="6"/>
  <c r="R439" i="6" l="1"/>
  <c r="Q439" i="6"/>
  <c r="F441" i="6"/>
  <c r="G441" i="6"/>
  <c r="E441" i="6"/>
  <c r="D442" i="6"/>
  <c r="R440" i="6" l="1"/>
  <c r="Q440" i="6"/>
  <c r="E442" i="6"/>
  <c r="G442" i="6"/>
  <c r="F442" i="6"/>
  <c r="D443" i="6"/>
  <c r="Q441" i="6" l="1"/>
  <c r="R441" i="6"/>
  <c r="E443" i="6"/>
  <c r="D444" i="6"/>
  <c r="G443" i="6"/>
  <c r="F443" i="6"/>
  <c r="Q442" i="6" l="1"/>
  <c r="R442" i="6"/>
  <c r="D445" i="6"/>
  <c r="G444" i="6"/>
  <c r="F444" i="6"/>
  <c r="E444" i="6"/>
  <c r="R443" i="6" l="1"/>
  <c r="Q443" i="6"/>
  <c r="F445" i="6"/>
  <c r="D446" i="6"/>
  <c r="E445" i="6"/>
  <c r="G445" i="6"/>
  <c r="Q444" i="6" l="1"/>
  <c r="R444" i="6"/>
  <c r="E446" i="6"/>
  <c r="G446" i="6"/>
  <c r="F446" i="6"/>
  <c r="D447" i="6"/>
  <c r="Q445" i="6" l="1"/>
  <c r="R445" i="6"/>
  <c r="D448" i="6"/>
  <c r="E447" i="6"/>
  <c r="F447" i="6"/>
  <c r="G447" i="6"/>
  <c r="Q446" i="6" l="1"/>
  <c r="R446" i="6"/>
  <c r="E448" i="6"/>
  <c r="D449" i="6"/>
  <c r="G448" i="6"/>
  <c r="F448" i="6"/>
  <c r="R447" i="6" l="1"/>
  <c r="Q447" i="6"/>
  <c r="F449" i="6"/>
  <c r="G449" i="6"/>
  <c r="D450" i="6"/>
  <c r="E449" i="6"/>
  <c r="R448" i="6" l="1"/>
  <c r="Q448" i="6"/>
  <c r="G450" i="6"/>
  <c r="F450" i="6"/>
  <c r="E450" i="6"/>
  <c r="D451" i="6"/>
  <c r="Q449" i="6" l="1"/>
  <c r="R449" i="6"/>
  <c r="E451" i="6"/>
  <c r="F451" i="6"/>
  <c r="D452" i="6"/>
  <c r="G451" i="6"/>
  <c r="R450" i="6" l="1"/>
  <c r="Q450" i="6"/>
  <c r="F452" i="6"/>
  <c r="D453" i="6"/>
  <c r="G452" i="6"/>
  <c r="E452" i="6"/>
  <c r="R451" i="6" l="1"/>
  <c r="Q451" i="6"/>
  <c r="E453" i="6"/>
  <c r="G453" i="6"/>
  <c r="D454" i="6"/>
  <c r="F453" i="6"/>
  <c r="Q452" i="6" l="1"/>
  <c r="R452" i="6"/>
  <c r="D455" i="6"/>
  <c r="E454" i="6"/>
  <c r="F454" i="6"/>
  <c r="G454" i="6"/>
  <c r="Q453" i="6" l="1"/>
  <c r="R453" i="6"/>
  <c r="E455" i="6"/>
  <c r="F455" i="6"/>
  <c r="G455" i="6"/>
  <c r="Q454" i="6" l="1"/>
  <c r="R454" i="6"/>
  <c r="E373" i="6"/>
  <c r="D374" i="6"/>
  <c r="G373" i="6"/>
  <c r="F373" i="6"/>
  <c r="R455" i="6" l="1"/>
  <c r="Q455" i="6"/>
  <c r="F374" i="6"/>
  <c r="E374" i="6"/>
  <c r="D375" i="6"/>
  <c r="G374" i="6"/>
  <c r="Q373" i="6" l="1"/>
  <c r="R373" i="6"/>
  <c r="F375" i="6"/>
  <c r="D376" i="6"/>
  <c r="E375" i="6"/>
  <c r="G375" i="6"/>
  <c r="Q374" i="6" l="1"/>
  <c r="R374" i="6"/>
  <c r="D377" i="6"/>
  <c r="G376" i="6"/>
  <c r="E376" i="6"/>
  <c r="F376" i="6"/>
  <c r="R375" i="6" l="1"/>
  <c r="Q375" i="6"/>
  <c r="E377" i="6"/>
  <c r="D378" i="6"/>
  <c r="G377" i="6"/>
  <c r="F377" i="6"/>
  <c r="Q376" i="6" l="1"/>
  <c r="R376" i="6"/>
  <c r="F378" i="6"/>
  <c r="D379" i="6"/>
  <c r="G378" i="6"/>
  <c r="E378" i="6"/>
  <c r="R377" i="6" l="1"/>
  <c r="Q377" i="6"/>
  <c r="F379" i="6"/>
  <c r="G379" i="6"/>
  <c r="E379" i="6"/>
  <c r="D380" i="6"/>
  <c r="Q378" i="6" l="1"/>
  <c r="R378" i="6"/>
  <c r="E380" i="6"/>
  <c r="G380" i="6"/>
  <c r="F380" i="6"/>
  <c r="D381" i="6"/>
  <c r="Q379" i="6" l="1"/>
  <c r="R379" i="6"/>
  <c r="E381" i="6"/>
  <c r="D382" i="6"/>
  <c r="G381" i="6"/>
  <c r="F381" i="6"/>
  <c r="R380" i="6" l="1"/>
  <c r="Q380" i="6"/>
  <c r="D383" i="6"/>
  <c r="G382" i="6"/>
  <c r="F382" i="6"/>
  <c r="E382" i="6"/>
  <c r="R381" i="6" l="1"/>
  <c r="Q381" i="6"/>
  <c r="G383" i="6"/>
  <c r="F383" i="6"/>
  <c r="E383" i="6"/>
  <c r="D384" i="6"/>
  <c r="R382" i="6" l="1"/>
  <c r="Q382" i="6"/>
  <c r="D385" i="6"/>
  <c r="F384" i="6"/>
  <c r="G384" i="6"/>
  <c r="E384" i="6"/>
  <c r="R383" i="6" l="1"/>
  <c r="Q383" i="6"/>
  <c r="D386" i="6"/>
  <c r="G385" i="6"/>
  <c r="E385" i="6"/>
  <c r="F385" i="6"/>
  <c r="Q384" i="6" l="1"/>
  <c r="R384" i="6"/>
  <c r="F386" i="6"/>
  <c r="D387" i="6"/>
  <c r="E386" i="6"/>
  <c r="G386" i="6"/>
  <c r="R385" i="6" l="1"/>
  <c r="Q385" i="6"/>
  <c r="G387" i="6"/>
  <c r="F387" i="6"/>
  <c r="E387" i="6"/>
  <c r="D388" i="6"/>
  <c r="E388" i="6" s="1"/>
  <c r="Q386" i="6" l="1"/>
  <c r="R386" i="6"/>
  <c r="F388" i="6"/>
  <c r="D389" i="6"/>
  <c r="G388" i="6"/>
  <c r="R387" i="6" l="1"/>
  <c r="Q387" i="6"/>
  <c r="D390" i="6"/>
  <c r="E389" i="6"/>
  <c r="G389" i="6"/>
  <c r="F389" i="6"/>
  <c r="R388" i="6" l="1"/>
  <c r="Q388" i="6"/>
  <c r="D391" i="6"/>
  <c r="G390" i="6"/>
  <c r="F390" i="6"/>
  <c r="E390" i="6"/>
  <c r="R389" i="6" l="1"/>
  <c r="Q389" i="6"/>
  <c r="E391" i="6"/>
  <c r="F391" i="6"/>
  <c r="D392" i="6"/>
  <c r="G391" i="6"/>
  <c r="R390" i="6" l="1"/>
  <c r="Q390" i="6"/>
  <c r="E392" i="6"/>
  <c r="F392" i="6"/>
  <c r="D393" i="6"/>
  <c r="G392" i="6"/>
  <c r="Q391" i="6" l="1"/>
  <c r="G393" i="6"/>
  <c r="E393" i="6"/>
  <c r="F393" i="6"/>
  <c r="D394" i="6"/>
  <c r="Q392" i="6" l="1"/>
  <c r="E394" i="6"/>
  <c r="G394" i="6"/>
  <c r="F394" i="6"/>
  <c r="D395" i="6"/>
  <c r="R393" i="6" l="1"/>
  <c r="Q393" i="6"/>
  <c r="E395" i="6"/>
  <c r="D396" i="6"/>
  <c r="F395" i="6"/>
  <c r="G395" i="6"/>
  <c r="Q394" i="6" l="1"/>
  <c r="R394" i="6"/>
  <c r="E396" i="6"/>
  <c r="D397" i="6"/>
  <c r="G396" i="6"/>
  <c r="F396" i="6"/>
  <c r="Q395" i="6" l="1"/>
  <c r="R395" i="6"/>
  <c r="E397" i="6"/>
  <c r="F397" i="6"/>
  <c r="G397" i="6"/>
  <c r="R396" i="6" l="1"/>
  <c r="Q396" i="6"/>
  <c r="E479" i="6"/>
  <c r="G479" i="6"/>
  <c r="D480" i="6"/>
  <c r="F479" i="6"/>
  <c r="R397" i="6" l="1"/>
  <c r="Q397" i="6"/>
  <c r="D481" i="6"/>
  <c r="G480" i="6"/>
  <c r="F480" i="6"/>
  <c r="E480" i="6"/>
  <c r="R479" i="6" l="1"/>
  <c r="Q479" i="6"/>
  <c r="F481" i="6"/>
  <c r="E481" i="6"/>
  <c r="D482" i="6"/>
  <c r="G481" i="6"/>
  <c r="R480" i="6" l="1"/>
  <c r="Q480" i="6"/>
  <c r="G482" i="6"/>
  <c r="F482" i="6"/>
  <c r="E482" i="6"/>
  <c r="D483" i="6"/>
  <c r="Q481" i="6" l="1"/>
  <c r="R481" i="6"/>
  <c r="E483" i="6"/>
  <c r="F483" i="6"/>
  <c r="G483" i="6"/>
  <c r="D484" i="6"/>
  <c r="R482" i="6" l="1"/>
  <c r="Q482" i="6"/>
  <c r="D485" i="6"/>
  <c r="G484" i="6"/>
  <c r="F484" i="6"/>
  <c r="E484" i="6"/>
  <c r="Q483" i="6" l="1"/>
  <c r="R483" i="6"/>
  <c r="D486" i="6"/>
  <c r="F485" i="6"/>
  <c r="G485" i="6"/>
  <c r="E485" i="6"/>
  <c r="R484" i="6" l="1"/>
  <c r="Q484" i="6"/>
  <c r="D487" i="6"/>
  <c r="G486" i="6"/>
  <c r="F486" i="6"/>
  <c r="E486" i="6"/>
  <c r="R485" i="6" l="1"/>
  <c r="Q485" i="6"/>
  <c r="F487" i="6"/>
  <c r="G487" i="6"/>
  <c r="E487" i="6"/>
  <c r="D488" i="6"/>
  <c r="D489" i="6" s="1"/>
  <c r="D490" i="6" s="1"/>
  <c r="R486" i="6" l="1"/>
  <c r="Q486" i="6"/>
  <c r="F488" i="6"/>
  <c r="E488" i="6"/>
  <c r="G488" i="6"/>
  <c r="R487" i="6" l="1"/>
  <c r="Q487" i="6"/>
  <c r="E489" i="6"/>
  <c r="F489" i="6"/>
  <c r="G489" i="6"/>
  <c r="R488" i="6" l="1"/>
  <c r="Q488" i="6"/>
  <c r="F490" i="6"/>
  <c r="D491" i="6"/>
  <c r="E490" i="6"/>
  <c r="G490" i="6"/>
  <c r="Q489" i="6" l="1"/>
  <c r="R489" i="6"/>
  <c r="F491" i="6"/>
  <c r="G491" i="6"/>
  <c r="D492" i="6"/>
  <c r="E491" i="6"/>
  <c r="Q490" i="6" l="1"/>
  <c r="R490" i="6"/>
  <c r="D493" i="6"/>
  <c r="F492" i="6"/>
  <c r="E492" i="6"/>
  <c r="G492" i="6"/>
  <c r="R491" i="6" l="1"/>
  <c r="Q491" i="6"/>
  <c r="F493" i="6"/>
  <c r="D494" i="6"/>
  <c r="G493" i="6"/>
  <c r="E493" i="6"/>
  <c r="R492" i="6" l="1"/>
  <c r="Q492" i="6"/>
  <c r="D495" i="6"/>
  <c r="G494" i="6"/>
  <c r="E494" i="6"/>
  <c r="F494" i="6"/>
  <c r="Q493" i="6" l="1"/>
  <c r="R493" i="6"/>
  <c r="F495" i="6"/>
  <c r="G495" i="6"/>
  <c r="E495" i="6"/>
  <c r="D496" i="6"/>
  <c r="Q494" i="6" l="1"/>
  <c r="R494" i="6"/>
  <c r="D497" i="6"/>
  <c r="G496" i="6"/>
  <c r="F496" i="6"/>
  <c r="E496" i="6"/>
  <c r="R495" i="6" l="1"/>
  <c r="Q495" i="6"/>
  <c r="E497" i="6"/>
  <c r="D498" i="6"/>
  <c r="G497" i="6"/>
  <c r="F497" i="6"/>
  <c r="R496" i="6" l="1"/>
  <c r="Q496" i="6"/>
  <c r="F498" i="6"/>
  <c r="G498" i="6"/>
  <c r="E498" i="6"/>
  <c r="D499" i="6"/>
  <c r="Q497" i="6" l="1"/>
  <c r="R497" i="6"/>
  <c r="F499" i="6"/>
  <c r="G499" i="6"/>
  <c r="E499" i="6"/>
  <c r="D500" i="6"/>
  <c r="Q498" i="6" l="1"/>
  <c r="G500" i="6"/>
  <c r="D501" i="6"/>
  <c r="E500" i="6"/>
  <c r="F500" i="6"/>
  <c r="R499" i="6" l="1"/>
  <c r="Q499" i="6"/>
  <c r="F501" i="6"/>
  <c r="D502" i="6"/>
  <c r="G501" i="6"/>
  <c r="E501" i="6"/>
  <c r="R500" i="6" l="1"/>
  <c r="Q500" i="6"/>
  <c r="G502" i="6"/>
  <c r="D503" i="6"/>
  <c r="F502" i="6"/>
  <c r="E502" i="6"/>
  <c r="Q501" i="6" l="1"/>
  <c r="R501" i="6"/>
  <c r="F503" i="6"/>
  <c r="G503" i="6"/>
  <c r="E503" i="6"/>
  <c r="D504" i="6"/>
  <c r="Q502" i="6" l="1"/>
  <c r="R502" i="6"/>
  <c r="D505" i="6"/>
  <c r="E504" i="6"/>
  <c r="G504" i="6"/>
  <c r="F504" i="6"/>
  <c r="R503" i="6" l="1"/>
  <c r="Q503" i="6"/>
  <c r="G505" i="6"/>
  <c r="F505" i="6"/>
  <c r="E505" i="6"/>
  <c r="R504" i="6" l="1"/>
  <c r="Q504" i="6"/>
  <c r="F1601" i="6"/>
  <c r="E1601" i="6"/>
  <c r="G1601" i="6"/>
  <c r="Q505" i="6" l="1"/>
  <c r="R505" i="6"/>
  <c r="F1602" i="6"/>
  <c r="D1603" i="6"/>
  <c r="E1602" i="6"/>
  <c r="Q1601" i="6" l="1"/>
  <c r="R1601" i="6"/>
  <c r="G1603" i="6"/>
  <c r="D1604" i="6"/>
  <c r="F1603" i="6"/>
  <c r="E1603" i="6"/>
  <c r="R1602" i="6" l="1"/>
  <c r="Q1602" i="6"/>
  <c r="F1604" i="6"/>
  <c r="D1605" i="6"/>
  <c r="G1604" i="6"/>
  <c r="E1604" i="6"/>
  <c r="R1603" i="6" l="1"/>
  <c r="Q1603" i="6"/>
  <c r="G1605" i="6"/>
  <c r="D1606" i="6"/>
  <c r="E1605" i="6"/>
  <c r="F1605" i="6"/>
  <c r="Q1604" i="6" l="1"/>
  <c r="R1604" i="6"/>
  <c r="F1606" i="6"/>
  <c r="G1606" i="6"/>
  <c r="E1606" i="6"/>
  <c r="D1607" i="6"/>
  <c r="Q1605" i="6" l="1"/>
  <c r="R1605" i="6"/>
  <c r="D1608" i="6"/>
  <c r="G1607" i="6"/>
  <c r="F1607" i="6"/>
  <c r="E1607" i="6"/>
  <c r="R1606" i="6" l="1"/>
  <c r="Q1606" i="6"/>
  <c r="E1608" i="6"/>
  <c r="D1609" i="6"/>
  <c r="G1608" i="6"/>
  <c r="F1608" i="6"/>
  <c r="R1607" i="6" l="1"/>
  <c r="Q1607" i="6"/>
  <c r="F1609" i="6"/>
  <c r="G1609" i="6"/>
  <c r="E1609" i="6"/>
  <c r="D1610" i="6"/>
  <c r="Q1608" i="6" l="1"/>
  <c r="R1608" i="6"/>
  <c r="F1610" i="6"/>
  <c r="G1610" i="6"/>
  <c r="E1610" i="6"/>
  <c r="D1611" i="6"/>
  <c r="Q1609" i="6" l="1"/>
  <c r="R1609" i="6"/>
  <c r="F1611" i="6"/>
  <c r="E1611" i="6"/>
  <c r="D1612" i="6"/>
  <c r="G1611" i="6"/>
  <c r="R1610" i="6" l="1"/>
  <c r="Q1610" i="6"/>
  <c r="F1612" i="6"/>
  <c r="D1613" i="6"/>
  <c r="G1612" i="6"/>
  <c r="E1612" i="6"/>
  <c r="R1611" i="6" l="1"/>
  <c r="Q1611" i="6"/>
  <c r="D1614" i="6"/>
  <c r="F1613" i="6"/>
  <c r="E1613" i="6"/>
  <c r="G1613" i="6"/>
  <c r="Q1612" i="6" l="1"/>
  <c r="R1612" i="6"/>
  <c r="F1614" i="6"/>
  <c r="D1615" i="6"/>
  <c r="E1614" i="6"/>
  <c r="G1614" i="6"/>
  <c r="R1613" i="6" l="1"/>
  <c r="Q1613" i="6"/>
  <c r="G1615" i="6"/>
  <c r="D1616" i="6"/>
  <c r="E1615" i="6"/>
  <c r="F1615" i="6"/>
  <c r="R1614" i="6" l="1"/>
  <c r="Q1614" i="6"/>
  <c r="D1617" i="6"/>
  <c r="E1616" i="6"/>
  <c r="F1616" i="6"/>
  <c r="G1616" i="6"/>
  <c r="R1615" i="6" l="1"/>
  <c r="Q1615" i="6"/>
  <c r="F1617" i="6"/>
  <c r="G1617" i="6"/>
  <c r="E1617" i="6"/>
  <c r="D1618" i="6"/>
  <c r="Q1616" i="6" l="1"/>
  <c r="R1616" i="6"/>
  <c r="E1618" i="6"/>
  <c r="G1618" i="6"/>
  <c r="F1618" i="6"/>
  <c r="D1619" i="6"/>
  <c r="Q1617" i="6" l="1"/>
  <c r="R1617" i="6"/>
  <c r="D1620" i="6"/>
  <c r="F1619" i="6"/>
  <c r="G1619" i="6"/>
  <c r="E1619" i="6"/>
  <c r="R1618" i="6" l="1"/>
  <c r="Q1618" i="6"/>
  <c r="D1621" i="6"/>
  <c r="G1620" i="6"/>
  <c r="F1620" i="6"/>
  <c r="E1620" i="6"/>
  <c r="R1619" i="6" l="1"/>
  <c r="Q1619" i="6"/>
  <c r="G1621" i="6"/>
  <c r="E1621" i="6"/>
  <c r="D1622" i="6"/>
  <c r="F1621" i="6"/>
  <c r="R1620" i="6" l="1"/>
  <c r="Q1620" i="6"/>
  <c r="E1622" i="6"/>
  <c r="G1622" i="6"/>
  <c r="D1623" i="6"/>
  <c r="F1622" i="6"/>
  <c r="Q1621" i="6" l="1"/>
  <c r="R1621" i="6"/>
  <c r="E1623" i="6"/>
  <c r="D1624" i="6"/>
  <c r="F1623" i="6"/>
  <c r="G1623" i="6"/>
  <c r="R1622" i="6" l="1"/>
  <c r="Q1622" i="6"/>
  <c r="D1625" i="6"/>
  <c r="G1624" i="6"/>
  <c r="E1624" i="6"/>
  <c r="F1624" i="6"/>
  <c r="R1623" i="6" l="1"/>
  <c r="Q1623" i="6"/>
  <c r="G1625" i="6"/>
  <c r="F1625" i="6"/>
  <c r="D1626" i="6"/>
  <c r="E1625" i="6"/>
  <c r="Q1624" i="6" l="1"/>
  <c r="R1624" i="6"/>
  <c r="F1626" i="6"/>
  <c r="G1626" i="6"/>
  <c r="E1626" i="6"/>
  <c r="D1627" i="6"/>
  <c r="Q1625" i="6" l="1"/>
  <c r="R1625" i="6"/>
  <c r="F1627" i="6"/>
  <c r="D1628" i="6"/>
  <c r="G1627" i="6"/>
  <c r="E1627" i="6"/>
  <c r="Q1626" i="6" l="1"/>
  <c r="R1626" i="6"/>
  <c r="F1628" i="6"/>
  <c r="D1629" i="6"/>
  <c r="G1628" i="6"/>
  <c r="E1628" i="6"/>
  <c r="R1627" i="6" l="1"/>
  <c r="Q1627" i="6"/>
  <c r="G1629" i="6"/>
  <c r="F1629" i="6"/>
  <c r="E1629" i="6"/>
  <c r="D1630" i="6"/>
  <c r="Q1628" i="6" l="1"/>
  <c r="R1628" i="6"/>
  <c r="F1630" i="6"/>
  <c r="G1630" i="6"/>
  <c r="E1630" i="6"/>
  <c r="D1631" i="6"/>
  <c r="R1629" i="6" l="1"/>
  <c r="Q1629" i="6"/>
  <c r="G1631" i="6"/>
  <c r="F1631" i="6"/>
  <c r="E1631" i="6"/>
  <c r="D1632" i="6"/>
  <c r="R1630" i="6" l="1"/>
  <c r="Q1630" i="6"/>
  <c r="G1632" i="6"/>
  <c r="E1632" i="6"/>
  <c r="F1632" i="6"/>
  <c r="D1633" i="6"/>
  <c r="R1631" i="6" l="1"/>
  <c r="Q1631" i="6"/>
  <c r="F1633" i="6"/>
  <c r="D1634" i="6"/>
  <c r="E1633" i="6"/>
  <c r="G1633" i="6"/>
  <c r="Q1632" i="6" l="1"/>
  <c r="R1632" i="6"/>
  <c r="E1634" i="6"/>
  <c r="D1635" i="6"/>
  <c r="F1634" i="6"/>
  <c r="G1634" i="6"/>
  <c r="Q1633" i="6" l="1"/>
  <c r="R1633" i="6"/>
  <c r="D1636" i="6"/>
  <c r="G1635" i="6"/>
  <c r="F1635" i="6"/>
  <c r="E1635" i="6"/>
  <c r="Q1634" i="6" l="1"/>
  <c r="R1634" i="6"/>
  <c r="D1637" i="6"/>
  <c r="G1636" i="6"/>
  <c r="F1636" i="6"/>
  <c r="E1636" i="6"/>
  <c r="R1635" i="6" l="1"/>
  <c r="Q1635" i="6"/>
  <c r="G1637" i="6"/>
  <c r="D1638" i="6"/>
  <c r="E1637" i="6"/>
  <c r="F1637" i="6"/>
  <c r="R1636" i="6" l="1"/>
  <c r="Q1636" i="6"/>
  <c r="D1639" i="6"/>
  <c r="E1638" i="6"/>
  <c r="F1638" i="6"/>
  <c r="G1638" i="6"/>
  <c r="Q1637" i="6" l="1"/>
  <c r="R1637" i="6"/>
  <c r="E1639" i="6"/>
  <c r="D1640" i="6"/>
  <c r="F1639" i="6"/>
  <c r="G1639" i="6"/>
  <c r="R1638" i="6" l="1"/>
  <c r="Q1638" i="6"/>
  <c r="D1641" i="6"/>
  <c r="G1640" i="6"/>
  <c r="E1640" i="6"/>
  <c r="F1640" i="6"/>
  <c r="R1639" i="6" l="1"/>
  <c r="Q1639" i="6"/>
  <c r="D1642" i="6"/>
  <c r="E1641" i="6"/>
  <c r="G1641" i="6"/>
  <c r="F1641" i="6"/>
  <c r="Q1640" i="6" l="1"/>
  <c r="R1640" i="6"/>
  <c r="G1642" i="6"/>
  <c r="F1642" i="6"/>
  <c r="D1643" i="6"/>
  <c r="E1642" i="6"/>
  <c r="Q1641" i="6" l="1"/>
  <c r="R1641" i="6"/>
  <c r="E1643" i="6"/>
  <c r="F1643" i="6"/>
  <c r="G1643" i="6"/>
  <c r="Q1642" i="6" l="1"/>
  <c r="R1642" i="6"/>
  <c r="D640" i="6"/>
  <c r="D641" i="6" s="1"/>
  <c r="F639" i="6"/>
  <c r="G639" i="6"/>
  <c r="E639" i="6"/>
  <c r="G641" i="6" l="1"/>
  <c r="F641" i="6"/>
  <c r="E641" i="6"/>
  <c r="R1643" i="6"/>
  <c r="Q1643" i="6"/>
  <c r="G640" i="6"/>
  <c r="F640" i="6"/>
  <c r="D642" i="6"/>
  <c r="E640" i="6"/>
  <c r="Q639" i="6" l="1"/>
  <c r="R639" i="6"/>
  <c r="D643" i="6"/>
  <c r="F642" i="6"/>
  <c r="E642" i="6"/>
  <c r="G642" i="6"/>
  <c r="R640" i="6" l="1"/>
  <c r="Q640" i="6"/>
  <c r="G643" i="6"/>
  <c r="F643" i="6"/>
  <c r="D644" i="6"/>
  <c r="E643" i="6"/>
  <c r="E644" i="6" l="1"/>
  <c r="G644" i="6"/>
  <c r="F644" i="6"/>
  <c r="D645" i="6"/>
  <c r="R643" i="6" l="1"/>
  <c r="Q643" i="6"/>
  <c r="F645" i="6"/>
  <c r="D646" i="6"/>
  <c r="E645" i="6"/>
  <c r="G645" i="6"/>
  <c r="Q644" i="6" l="1"/>
  <c r="R644" i="6"/>
  <c r="D647" i="6"/>
  <c r="E646" i="6"/>
  <c r="F646" i="6"/>
  <c r="G646" i="6"/>
  <c r="Q645" i="6" l="1"/>
  <c r="R645" i="6"/>
  <c r="F647" i="6"/>
  <c r="D648" i="6"/>
  <c r="E647" i="6"/>
  <c r="G647" i="6"/>
  <c r="Q646" i="6" l="1"/>
  <c r="R646" i="6"/>
  <c r="D649" i="6"/>
  <c r="G648" i="6"/>
  <c r="F648" i="6"/>
  <c r="E648" i="6"/>
  <c r="R647" i="6" l="1"/>
  <c r="Q647" i="6"/>
  <c r="E649" i="6"/>
  <c r="G649" i="6"/>
  <c r="D650" i="6"/>
  <c r="F649" i="6"/>
  <c r="R648" i="6" l="1"/>
  <c r="Q648" i="6"/>
  <c r="F650" i="6"/>
  <c r="G650" i="6"/>
  <c r="D651" i="6"/>
  <c r="E650" i="6"/>
  <c r="Q649" i="6" l="1"/>
  <c r="R649" i="6"/>
  <c r="F651" i="6"/>
  <c r="D652" i="6"/>
  <c r="E651" i="6"/>
  <c r="G651" i="6"/>
  <c r="Q650" i="6" l="1"/>
  <c r="R650" i="6"/>
  <c r="D653" i="6"/>
  <c r="G652" i="6"/>
  <c r="E652" i="6"/>
  <c r="F652" i="6"/>
  <c r="R651" i="6" l="1"/>
  <c r="Q651" i="6"/>
  <c r="G653" i="6"/>
  <c r="D654" i="6"/>
  <c r="E653" i="6"/>
  <c r="F653" i="6"/>
  <c r="Q652" i="6" l="1"/>
  <c r="R652" i="6"/>
  <c r="D655" i="6"/>
  <c r="G654" i="6"/>
  <c r="E654" i="6"/>
  <c r="F654" i="6"/>
  <c r="R653" i="6" l="1"/>
  <c r="Q653" i="6"/>
  <c r="F655" i="6"/>
  <c r="D656" i="6"/>
  <c r="G655" i="6"/>
  <c r="E655" i="6"/>
  <c r="Q654" i="6" l="1"/>
  <c r="R654" i="6"/>
  <c r="E656" i="6"/>
  <c r="F656" i="6"/>
  <c r="D657" i="6"/>
  <c r="G656" i="6"/>
  <c r="Q655" i="6" l="1"/>
  <c r="R655" i="6"/>
  <c r="F657" i="6"/>
  <c r="D658" i="6"/>
  <c r="G657" i="6"/>
  <c r="E657" i="6"/>
  <c r="Q656" i="6" l="1"/>
  <c r="R656" i="6"/>
  <c r="E658" i="6"/>
  <c r="G658" i="6"/>
  <c r="F658" i="6"/>
  <c r="D659" i="6"/>
  <c r="R657" i="6" l="1"/>
  <c r="Q657" i="6"/>
  <c r="G659" i="6"/>
  <c r="D660" i="6"/>
  <c r="F659" i="6"/>
  <c r="E659" i="6"/>
  <c r="Q658" i="6" l="1"/>
  <c r="R658" i="6"/>
  <c r="D661" i="6"/>
  <c r="G660" i="6"/>
  <c r="F660" i="6"/>
  <c r="E660" i="6"/>
  <c r="Q659" i="6" l="1"/>
  <c r="R659" i="6"/>
  <c r="G661" i="6"/>
  <c r="E661" i="6"/>
  <c r="F661" i="6"/>
  <c r="D662" i="6"/>
  <c r="Q660" i="6" l="1"/>
  <c r="R660" i="6"/>
  <c r="E662" i="6"/>
  <c r="G662" i="6"/>
  <c r="D663" i="6"/>
  <c r="F662" i="6"/>
  <c r="R661" i="6" l="1"/>
  <c r="Q661" i="6"/>
  <c r="E663" i="6"/>
  <c r="D664" i="6"/>
  <c r="F663" i="6"/>
  <c r="G663" i="6"/>
  <c r="Q662" i="6" l="1"/>
  <c r="R662" i="6"/>
  <c r="E664" i="6"/>
  <c r="F664" i="6"/>
  <c r="G664" i="6"/>
  <c r="D665" i="6"/>
  <c r="Q663" i="6" l="1"/>
  <c r="R663" i="6"/>
  <c r="E665" i="6"/>
  <c r="D666" i="6"/>
  <c r="F665" i="6"/>
  <c r="G665" i="6"/>
  <c r="Q664" i="6" l="1"/>
  <c r="R664" i="6"/>
  <c r="D667" i="6"/>
  <c r="G666" i="6"/>
  <c r="E666" i="6"/>
  <c r="F666" i="6"/>
  <c r="R665" i="6" l="1"/>
  <c r="Q665" i="6"/>
  <c r="E667" i="6"/>
  <c r="D668" i="6"/>
  <c r="G667" i="6"/>
  <c r="F667" i="6"/>
  <c r="Q666" i="6" l="1"/>
  <c r="R666" i="6"/>
  <c r="F668" i="6"/>
  <c r="G668" i="6"/>
  <c r="D669" i="6"/>
  <c r="E668" i="6"/>
  <c r="Q667" i="6" l="1"/>
  <c r="R667" i="6"/>
  <c r="G669" i="6"/>
  <c r="D670" i="6"/>
  <c r="F669" i="6"/>
  <c r="E669" i="6"/>
  <c r="Q668" i="6" l="1"/>
  <c r="R668" i="6"/>
  <c r="G670" i="6"/>
  <c r="E670" i="6"/>
  <c r="F670" i="6"/>
  <c r="R669" i="6" l="1"/>
  <c r="Q669" i="6"/>
  <c r="F1277" i="6"/>
  <c r="G1277" i="6"/>
  <c r="D1278" i="6"/>
  <c r="E1277" i="6"/>
  <c r="Q670" i="6" l="1"/>
  <c r="R670" i="6"/>
  <c r="G1278" i="6"/>
  <c r="E1278" i="6"/>
  <c r="D1279" i="6"/>
  <c r="F1278" i="6"/>
  <c r="Q1277" i="6" l="1"/>
  <c r="R1277" i="6"/>
  <c r="D1280" i="6"/>
  <c r="E1279" i="6"/>
  <c r="G1279" i="6"/>
  <c r="F1279" i="6"/>
  <c r="Q1278" i="6" l="1"/>
  <c r="R1278" i="6"/>
  <c r="G1280" i="6"/>
  <c r="E1280" i="6"/>
  <c r="F1280" i="6"/>
  <c r="D1281" i="6"/>
  <c r="R1279" i="6" l="1"/>
  <c r="Q1279" i="6"/>
  <c r="E1281" i="6"/>
  <c r="F1281" i="6"/>
  <c r="G1281" i="6"/>
  <c r="D1282" i="6"/>
  <c r="Q1280" i="6" l="1"/>
  <c r="R1280" i="6"/>
  <c r="E1282" i="6"/>
  <c r="D1283" i="6"/>
  <c r="F1282" i="6"/>
  <c r="G1282" i="6"/>
  <c r="Q1281" i="6" l="1"/>
  <c r="R1281" i="6"/>
  <c r="D1284" i="6"/>
  <c r="E1283" i="6"/>
  <c r="F1283" i="6"/>
  <c r="G1283" i="6"/>
  <c r="Q1282" i="6" l="1"/>
  <c r="R1282" i="6"/>
  <c r="G1284" i="6"/>
  <c r="D1285" i="6"/>
  <c r="F1284" i="6"/>
  <c r="E1284" i="6"/>
  <c r="R1283" i="6" l="1"/>
  <c r="Q1283" i="6"/>
  <c r="G1285" i="6"/>
  <c r="F1285" i="6"/>
  <c r="E1285" i="6"/>
  <c r="D1286" i="6"/>
  <c r="R1284" i="6" l="1"/>
  <c r="Q1284" i="6"/>
  <c r="G1286" i="6"/>
  <c r="E1286" i="6"/>
  <c r="D1287" i="6"/>
  <c r="F1286" i="6"/>
  <c r="Q1285" i="6" l="1"/>
  <c r="R1285" i="6"/>
  <c r="D1288" i="6"/>
  <c r="E1287" i="6"/>
  <c r="F1287" i="6"/>
  <c r="G1287" i="6"/>
  <c r="Q1286" i="6" l="1"/>
  <c r="R1286" i="6"/>
  <c r="G1288" i="6"/>
  <c r="D1289" i="6"/>
  <c r="E1288" i="6"/>
  <c r="F1288" i="6"/>
  <c r="R1287" i="6" l="1"/>
  <c r="Q1287" i="6"/>
  <c r="E1289" i="6"/>
  <c r="D1290" i="6"/>
  <c r="G1289" i="6"/>
  <c r="F1289" i="6"/>
  <c r="Q1288" i="6" l="1"/>
  <c r="E1290" i="6"/>
  <c r="F1290" i="6"/>
  <c r="D1291" i="6"/>
  <c r="G1290" i="6"/>
  <c r="Q1289" i="6" l="1"/>
  <c r="G1291" i="6"/>
  <c r="F1291" i="6"/>
  <c r="E1291" i="6"/>
  <c r="D1292" i="6"/>
  <c r="Q1290" i="6" l="1"/>
  <c r="R1290" i="6"/>
  <c r="G1292" i="6"/>
  <c r="D1293" i="6"/>
  <c r="E1292" i="6"/>
  <c r="F1292" i="6"/>
  <c r="R1291" i="6" l="1"/>
  <c r="Q1291" i="6"/>
  <c r="G1293" i="6"/>
  <c r="E1293" i="6"/>
  <c r="F1293" i="6"/>
  <c r="D1294" i="6"/>
  <c r="R1292" i="6" l="1"/>
  <c r="Q1292" i="6"/>
  <c r="E1294" i="6"/>
  <c r="D1295" i="6"/>
  <c r="F1294" i="6"/>
  <c r="G1294" i="6"/>
  <c r="Q1293" i="6" l="1"/>
  <c r="R1293" i="6"/>
  <c r="G1295" i="6"/>
  <c r="D1296" i="6"/>
  <c r="F1295" i="6"/>
  <c r="E1295" i="6"/>
  <c r="Q1294" i="6" l="1"/>
  <c r="G1296" i="6"/>
  <c r="E1296" i="6"/>
  <c r="F1296" i="6"/>
  <c r="D1297" i="6"/>
  <c r="R1295" i="6" l="1"/>
  <c r="Q1295" i="6"/>
  <c r="G1297" i="6"/>
  <c r="D1298" i="6"/>
  <c r="F1297" i="6"/>
  <c r="E1297" i="6"/>
  <c r="Q1296" i="6" l="1"/>
  <c r="R1296" i="6"/>
  <c r="E1298" i="6"/>
  <c r="F1298" i="6"/>
  <c r="G1298" i="6"/>
  <c r="Q1297" i="6" l="1"/>
  <c r="R1297" i="6"/>
  <c r="G1214" i="6"/>
  <c r="E1214" i="6"/>
  <c r="F1214" i="6"/>
  <c r="D1215" i="6"/>
  <c r="Q1298" i="6" l="1"/>
  <c r="G1215" i="6"/>
  <c r="E1215" i="6"/>
  <c r="F1215" i="6"/>
  <c r="D1216" i="6"/>
  <c r="R1214" i="6" l="1"/>
  <c r="Q1214" i="6"/>
  <c r="D1217" i="6"/>
  <c r="G1216" i="6"/>
  <c r="F1216" i="6"/>
  <c r="E1216" i="6"/>
  <c r="Q1215" i="6" l="1"/>
  <c r="R1215" i="6"/>
  <c r="E1217" i="6"/>
  <c r="G1217" i="6"/>
  <c r="D1218" i="6"/>
  <c r="F1217" i="6"/>
  <c r="Q1216" i="6" l="1"/>
  <c r="R1216" i="6"/>
  <c r="D1219" i="6"/>
  <c r="E1218" i="6"/>
  <c r="F1218" i="6"/>
  <c r="G1218" i="6"/>
  <c r="Q1217" i="6" l="1"/>
  <c r="R1217" i="6"/>
  <c r="D1220" i="6"/>
  <c r="G1219" i="6"/>
  <c r="E1219" i="6"/>
  <c r="F1219" i="6"/>
  <c r="R1218" i="6" l="1"/>
  <c r="Q1218" i="6"/>
  <c r="G1220" i="6"/>
  <c r="E1220" i="6"/>
  <c r="D1221" i="6"/>
  <c r="F1220" i="6"/>
  <c r="Q1219" i="6" l="1"/>
  <c r="R1219" i="6"/>
  <c r="D1222" i="6"/>
  <c r="F1221" i="6"/>
  <c r="E1221" i="6"/>
  <c r="G1221" i="6"/>
  <c r="Q1220" i="6" l="1"/>
  <c r="R1220" i="6"/>
  <c r="F1222" i="6"/>
  <c r="G1222" i="6"/>
  <c r="E1222" i="6"/>
  <c r="D1223" i="6"/>
  <c r="Q1221" i="6" l="1"/>
  <c r="R1221" i="6"/>
  <c r="D1224" i="6"/>
  <c r="G1223" i="6"/>
  <c r="E1223" i="6"/>
  <c r="F1223" i="6"/>
  <c r="R1222" i="6" l="1"/>
  <c r="Q1222" i="6"/>
  <c r="E1224" i="6"/>
  <c r="G1224" i="6"/>
  <c r="F1224" i="6"/>
  <c r="D1225" i="6"/>
  <c r="Q1223" i="6" l="1"/>
  <c r="R1223" i="6"/>
  <c r="E1225" i="6"/>
  <c r="F1225" i="6"/>
  <c r="G1225" i="6"/>
  <c r="D1226" i="6"/>
  <c r="Q1224" i="6" l="1"/>
  <c r="R1224" i="6"/>
  <c r="E1226" i="6"/>
  <c r="D1227" i="6"/>
  <c r="G1226" i="6"/>
  <c r="F1226" i="6"/>
  <c r="Q1225" i="6" l="1"/>
  <c r="R1225" i="6"/>
  <c r="E1227" i="6"/>
  <c r="G1227" i="6"/>
  <c r="F1227" i="6"/>
  <c r="D1228" i="6"/>
  <c r="R1226" i="6" l="1"/>
  <c r="Q1226" i="6"/>
  <c r="G1228" i="6"/>
  <c r="E1228" i="6"/>
  <c r="D1229" i="6"/>
  <c r="F1228" i="6"/>
  <c r="Q1227" i="6" l="1"/>
  <c r="R1227" i="6"/>
  <c r="F1229" i="6"/>
  <c r="E1229" i="6"/>
  <c r="G1229" i="6"/>
  <c r="D1230" i="6"/>
  <c r="Q1228" i="6" l="1"/>
  <c r="R1228" i="6"/>
  <c r="E1230" i="6"/>
  <c r="F1230" i="6"/>
  <c r="D1231" i="6"/>
  <c r="G1230" i="6"/>
  <c r="Q1229" i="6" l="1"/>
  <c r="R1229" i="6"/>
  <c r="D1232" i="6"/>
  <c r="G1231" i="6"/>
  <c r="F1231" i="6"/>
  <c r="E1231" i="6"/>
  <c r="R1230" i="6" l="1"/>
  <c r="Q1230" i="6"/>
  <c r="G1232" i="6"/>
  <c r="E1232" i="6"/>
  <c r="F1232" i="6"/>
  <c r="D1233" i="6"/>
  <c r="Q1231" i="6" l="1"/>
  <c r="R1231" i="6"/>
  <c r="F1233" i="6"/>
  <c r="D1234" i="6"/>
  <c r="G1233" i="6"/>
  <c r="E1233" i="6"/>
  <c r="Q1232" i="6" l="1"/>
  <c r="R1232" i="6"/>
  <c r="F1234" i="6"/>
  <c r="D1235" i="6"/>
  <c r="G1234" i="6"/>
  <c r="E1234" i="6"/>
  <c r="Q1233" i="6" l="1"/>
  <c r="R1233" i="6"/>
  <c r="E1235" i="6"/>
  <c r="G1235" i="6"/>
  <c r="D1236" i="6"/>
  <c r="F1235" i="6"/>
  <c r="R1234" i="6" l="1"/>
  <c r="Q1234" i="6"/>
  <c r="D1237" i="6"/>
  <c r="G1236" i="6"/>
  <c r="E1236" i="6"/>
  <c r="F1236" i="6"/>
  <c r="Q1235" i="6" l="1"/>
  <c r="R1235" i="6"/>
  <c r="G1237" i="6"/>
  <c r="F1237" i="6"/>
  <c r="D1238" i="6"/>
  <c r="E1237" i="6"/>
  <c r="Q1236" i="6" l="1"/>
  <c r="R1236" i="6"/>
  <c r="G1238" i="6"/>
  <c r="F1238" i="6"/>
  <c r="E1238" i="6"/>
  <c r="D1239" i="6"/>
  <c r="R1237" i="6" l="1"/>
  <c r="Q1237" i="6"/>
  <c r="G1239" i="6"/>
  <c r="D1240" i="6"/>
  <c r="E1239" i="6"/>
  <c r="F1239" i="6"/>
  <c r="R1238" i="6" l="1"/>
  <c r="Q1238" i="6"/>
  <c r="D1241" i="6"/>
  <c r="F1240" i="6"/>
  <c r="G1240" i="6"/>
  <c r="E1240" i="6"/>
  <c r="Q1239" i="6" l="1"/>
  <c r="R1239" i="6"/>
  <c r="G1241" i="6"/>
  <c r="D1242" i="6"/>
  <c r="F1241" i="6"/>
  <c r="E1241" i="6"/>
  <c r="Q1240" i="6" l="1"/>
  <c r="R1240" i="6"/>
  <c r="F1242" i="6"/>
  <c r="G1242" i="6"/>
  <c r="E1242" i="6"/>
  <c r="D1243" i="6"/>
  <c r="Q1241" i="6" l="1"/>
  <c r="R1241" i="6"/>
  <c r="F1243" i="6"/>
  <c r="E1243" i="6"/>
  <c r="G1243" i="6"/>
  <c r="R1242" i="6" l="1"/>
  <c r="Q1242" i="6"/>
  <c r="E1324" i="6"/>
  <c r="F1324" i="6"/>
  <c r="D1325" i="6"/>
  <c r="G1324" i="6"/>
  <c r="R1243" i="6" l="1"/>
  <c r="Q1243" i="6"/>
  <c r="E1325" i="6"/>
  <c r="D1326" i="6"/>
  <c r="F1325" i="6"/>
  <c r="G1325" i="6"/>
  <c r="Q1324" i="6" l="1"/>
  <c r="R1324" i="6"/>
  <c r="G1326" i="6"/>
  <c r="D1327" i="6"/>
  <c r="F1326" i="6"/>
  <c r="E1326" i="6"/>
  <c r="R1325" i="6" l="1"/>
  <c r="Q1325" i="6"/>
  <c r="F1327" i="6"/>
  <c r="D1328" i="6"/>
  <c r="E1327" i="6"/>
  <c r="G1327" i="6"/>
  <c r="R1326" i="6" l="1"/>
  <c r="Q1326" i="6"/>
  <c r="E1328" i="6"/>
  <c r="G1328" i="6"/>
  <c r="D1329" i="6"/>
  <c r="F1328" i="6"/>
  <c r="Q1327" i="6" l="1"/>
  <c r="R1327" i="6"/>
  <c r="E1329" i="6"/>
  <c r="F1329" i="6"/>
  <c r="G1329" i="6"/>
  <c r="Q1328" i="6" l="1"/>
  <c r="R1328" i="6"/>
  <c r="D1330" i="6"/>
  <c r="R1329" i="6" l="1"/>
  <c r="Q1329" i="6"/>
  <c r="G1330" i="6"/>
  <c r="F1330" i="6"/>
  <c r="E1330" i="6"/>
  <c r="D1331" i="6"/>
  <c r="E1331" i="6" l="1"/>
  <c r="G1331" i="6"/>
  <c r="F1331" i="6"/>
  <c r="D1332" i="6"/>
  <c r="R1330" i="6" l="1"/>
  <c r="Q1330" i="6"/>
  <c r="F1332" i="6"/>
  <c r="D1333" i="6"/>
  <c r="G1332" i="6"/>
  <c r="E1332" i="6"/>
  <c r="Q1331" i="6" l="1"/>
  <c r="R1331" i="6"/>
  <c r="G1333" i="6"/>
  <c r="E1333" i="6"/>
  <c r="F1333" i="6"/>
  <c r="D1334" i="6"/>
  <c r="R1332" i="6" l="1"/>
  <c r="Q1332" i="6"/>
  <c r="G1334" i="6"/>
  <c r="E1334" i="6"/>
  <c r="D1335" i="6"/>
  <c r="F1334" i="6"/>
  <c r="R1333" i="6" l="1"/>
  <c r="Q1333" i="6"/>
  <c r="F1335" i="6"/>
  <c r="G1335" i="6"/>
  <c r="E1335" i="6"/>
  <c r="D1336" i="6"/>
  <c r="R1334" i="6" l="1"/>
  <c r="Q1334" i="6"/>
  <c r="G1336" i="6"/>
  <c r="D1337" i="6"/>
  <c r="E1336" i="6"/>
  <c r="F1336" i="6"/>
  <c r="Q1335" i="6" l="1"/>
  <c r="R1335" i="6"/>
  <c r="E1337" i="6"/>
  <c r="G1337" i="6"/>
  <c r="D1338" i="6"/>
  <c r="F1337" i="6"/>
  <c r="R1336" i="6" l="1"/>
  <c r="Q1336" i="6"/>
  <c r="G1338" i="6"/>
  <c r="D1339" i="6"/>
  <c r="E1338" i="6"/>
  <c r="F1338" i="6"/>
  <c r="R1337" i="6" l="1"/>
  <c r="Q1337" i="6"/>
  <c r="E1339" i="6"/>
  <c r="F1339" i="6"/>
  <c r="G1339" i="6"/>
  <c r="D1340" i="6"/>
  <c r="R1338" i="6" l="1"/>
  <c r="Q1338" i="6"/>
  <c r="G1340" i="6"/>
  <c r="F1340" i="6"/>
  <c r="D1341" i="6"/>
  <c r="E1340" i="6"/>
  <c r="Q1339" i="6" l="1"/>
  <c r="R1339" i="6"/>
  <c r="G1341" i="6"/>
  <c r="F1341" i="6"/>
  <c r="E1341" i="6"/>
  <c r="D1342" i="6"/>
  <c r="R1340" i="6" l="1"/>
  <c r="Q1340" i="6"/>
  <c r="G1342" i="6"/>
  <c r="E1342" i="6"/>
  <c r="F1342" i="6"/>
  <c r="D1343" i="6"/>
  <c r="R1341" i="6" l="1"/>
  <c r="Q1341" i="6"/>
  <c r="G1343" i="6"/>
  <c r="E1343" i="6"/>
  <c r="F1343" i="6"/>
  <c r="D1344" i="6"/>
  <c r="Q1342" i="6" l="1"/>
  <c r="R1342" i="6"/>
  <c r="E1344" i="6"/>
  <c r="F1344" i="6"/>
  <c r="G1344" i="6"/>
  <c r="D1345" i="6"/>
  <c r="Q1343" i="6" l="1"/>
  <c r="R1343" i="6"/>
  <c r="E1345" i="6"/>
  <c r="F1345" i="6"/>
  <c r="G1345" i="6"/>
  <c r="Q1344" i="6" l="1"/>
  <c r="R1344" i="6"/>
  <c r="G1411" i="6"/>
  <c r="E1411" i="6"/>
  <c r="F1411" i="6"/>
  <c r="D1412" i="6"/>
  <c r="R1345" i="6" l="1"/>
  <c r="Q1345" i="6"/>
  <c r="E1412" i="6"/>
  <c r="G1412" i="6"/>
  <c r="D1413" i="6"/>
  <c r="F1412" i="6"/>
  <c r="R1411" i="6" l="1"/>
  <c r="Q1411" i="6"/>
  <c r="G1413" i="6"/>
  <c r="D1414" i="6"/>
  <c r="E1413" i="6"/>
  <c r="F1413" i="6"/>
  <c r="Q1412" i="6" l="1"/>
  <c r="R1412" i="6"/>
  <c r="G1414" i="6"/>
  <c r="D1415" i="6"/>
  <c r="E1414" i="6"/>
  <c r="F1414" i="6"/>
  <c r="R1413" i="6" l="1"/>
  <c r="Q1413" i="6"/>
  <c r="E1415" i="6"/>
  <c r="G1415" i="6"/>
  <c r="D1416" i="6"/>
  <c r="F1415" i="6"/>
  <c r="R1414" i="6" l="1"/>
  <c r="Q1414" i="6"/>
  <c r="F1416" i="6"/>
  <c r="G1416" i="6"/>
  <c r="D1417" i="6"/>
  <c r="E1416" i="6"/>
  <c r="R1415" i="6" l="1"/>
  <c r="Q1415" i="6"/>
  <c r="D1418" i="6"/>
  <c r="G1417" i="6"/>
  <c r="E1417" i="6"/>
  <c r="F1417" i="6"/>
  <c r="Q1416" i="6" l="1"/>
  <c r="R1416" i="6"/>
  <c r="G1418" i="6"/>
  <c r="E1418" i="6"/>
  <c r="D1419" i="6"/>
  <c r="F1418" i="6"/>
  <c r="R1417" i="6" l="1"/>
  <c r="Q1417" i="6"/>
  <c r="E1419" i="6"/>
  <c r="G1419" i="6"/>
  <c r="F1419" i="6"/>
  <c r="D1420" i="6"/>
  <c r="R1418" i="6" l="1"/>
  <c r="Q1418" i="6"/>
  <c r="E1420" i="6"/>
  <c r="F1420" i="6"/>
  <c r="G1420" i="6"/>
  <c r="D1421" i="6"/>
  <c r="R1419" i="6" l="1"/>
  <c r="Q1419" i="6"/>
  <c r="D1422" i="6"/>
  <c r="G1421" i="6"/>
  <c r="F1421" i="6"/>
  <c r="E1421" i="6"/>
  <c r="Q1420" i="6" l="1"/>
  <c r="R1420" i="6"/>
  <c r="D1423" i="6"/>
  <c r="E1422" i="6"/>
  <c r="F1422" i="6"/>
  <c r="G1422" i="6"/>
  <c r="R1421" i="6" l="1"/>
  <c r="Q1421" i="6"/>
  <c r="E1423" i="6"/>
  <c r="G1423" i="6"/>
  <c r="F1423" i="6"/>
  <c r="D1424" i="6"/>
  <c r="R1422" i="6" l="1"/>
  <c r="Q1422" i="6"/>
  <c r="G1424" i="6"/>
  <c r="F1424" i="6"/>
  <c r="E1424" i="6"/>
  <c r="D1425" i="6"/>
  <c r="Q1423" i="6" l="1"/>
  <c r="R1423" i="6"/>
  <c r="D1426" i="6"/>
  <c r="G1425" i="6"/>
  <c r="E1425" i="6"/>
  <c r="F1425" i="6"/>
  <c r="Q1424" i="6" l="1"/>
  <c r="R1424" i="6"/>
  <c r="E1426" i="6"/>
  <c r="D1427" i="6"/>
  <c r="F1426" i="6"/>
  <c r="G1426" i="6"/>
  <c r="Q1425" i="6" l="1"/>
  <c r="R1425" i="6"/>
  <c r="F1427" i="6"/>
  <c r="G1427" i="6"/>
  <c r="E1427" i="6"/>
  <c r="D1428" i="6"/>
  <c r="R1426" i="6" l="1"/>
  <c r="Q1426" i="6"/>
  <c r="G1428" i="6"/>
  <c r="E1428" i="6"/>
  <c r="F1428" i="6"/>
  <c r="D1429" i="6"/>
  <c r="R1427" i="6" l="1"/>
  <c r="Q1427" i="6"/>
  <c r="D1430" i="6"/>
  <c r="F1429" i="6"/>
  <c r="E1429" i="6"/>
  <c r="G1429" i="6"/>
  <c r="Q1428" i="6" l="1"/>
  <c r="R1428" i="6"/>
  <c r="G1430" i="6"/>
  <c r="E1430" i="6"/>
  <c r="F1430" i="6"/>
  <c r="D1431" i="6"/>
  <c r="R1429" i="6" l="1"/>
  <c r="Q1429" i="6"/>
  <c r="D1432" i="6"/>
  <c r="G1431" i="6"/>
  <c r="F1431" i="6"/>
  <c r="E1431" i="6"/>
  <c r="R1430" i="6" l="1"/>
  <c r="Q1430" i="6"/>
  <c r="G1432" i="6"/>
  <c r="E1432" i="6"/>
  <c r="D1433" i="6"/>
  <c r="F1432" i="6"/>
  <c r="Q1431" i="6" l="1"/>
  <c r="R1431" i="6"/>
  <c r="E1433" i="6"/>
  <c r="G1433" i="6"/>
  <c r="D1434" i="6"/>
  <c r="F1433" i="6"/>
  <c r="Q1432" i="6" l="1"/>
  <c r="R1432" i="6"/>
  <c r="D1435" i="6"/>
  <c r="E1434" i="6"/>
  <c r="G1434" i="6"/>
  <c r="F1434" i="6"/>
  <c r="E1435" i="6" l="1"/>
  <c r="G1435" i="6"/>
  <c r="F1435" i="6"/>
  <c r="D1436" i="6"/>
  <c r="R1434" i="6" l="1"/>
  <c r="Q1434" i="6"/>
  <c r="E1436" i="6"/>
  <c r="F1436" i="6"/>
  <c r="D1437" i="6"/>
  <c r="G1436" i="6"/>
  <c r="R1435" i="6" l="1"/>
  <c r="Q1435" i="6"/>
  <c r="F1437" i="6"/>
  <c r="G1437" i="6"/>
  <c r="D1438" i="6"/>
  <c r="E1437" i="6"/>
  <c r="Q1436" i="6" l="1"/>
  <c r="R1436" i="6"/>
  <c r="E1438" i="6"/>
  <c r="F1438" i="6"/>
  <c r="G1438" i="6"/>
  <c r="R1437" i="6" l="1"/>
  <c r="E1513" i="6"/>
  <c r="G1513" i="6"/>
  <c r="F1513" i="6"/>
  <c r="D1514" i="6"/>
  <c r="R1438" i="6" l="1"/>
  <c r="Q1438" i="6"/>
  <c r="E1514" i="6"/>
  <c r="G1514" i="6"/>
  <c r="F1514" i="6"/>
  <c r="D1515" i="6"/>
  <c r="R1513" i="6" l="1"/>
  <c r="Q1513" i="6"/>
  <c r="D1516" i="6"/>
  <c r="F1515" i="6"/>
  <c r="E1515" i="6"/>
  <c r="G1515" i="6"/>
  <c r="Q1514" i="6" l="1"/>
  <c r="R1514" i="6"/>
  <c r="E1516" i="6"/>
  <c r="D1517" i="6"/>
  <c r="F1516" i="6"/>
  <c r="G1516" i="6"/>
  <c r="R1515" i="6" l="1"/>
  <c r="Q1515" i="6"/>
  <c r="F1517" i="6"/>
  <c r="G1517" i="6"/>
  <c r="E1517" i="6"/>
  <c r="D1518" i="6"/>
  <c r="Q1516" i="6" l="1"/>
  <c r="R1516" i="6"/>
  <c r="F1518" i="6"/>
  <c r="G1518" i="6"/>
  <c r="E1518" i="6"/>
  <c r="D1519" i="6"/>
  <c r="R1517" i="6" l="1"/>
  <c r="Q1517" i="6"/>
  <c r="G1519" i="6"/>
  <c r="E1519" i="6"/>
  <c r="D1520" i="6"/>
  <c r="F1519" i="6"/>
  <c r="Q1518" i="6" l="1"/>
  <c r="R1518" i="6"/>
  <c r="D1521" i="6"/>
  <c r="E1520" i="6"/>
  <c r="F1520" i="6"/>
  <c r="G1520" i="6"/>
  <c r="R1519" i="6" l="1"/>
  <c r="Q1519" i="6"/>
  <c r="G1521" i="6"/>
  <c r="E1521" i="6"/>
  <c r="D1522" i="6"/>
  <c r="F1521" i="6"/>
  <c r="R1520" i="6" l="1"/>
  <c r="Q1520" i="6"/>
  <c r="F1522" i="6"/>
  <c r="G1522" i="6"/>
  <c r="D1523" i="6"/>
  <c r="E1522" i="6"/>
  <c r="R1521" i="6" l="1"/>
  <c r="Q1521" i="6"/>
  <c r="G1523" i="6"/>
  <c r="E1523" i="6"/>
  <c r="D1524" i="6"/>
  <c r="F1523" i="6"/>
  <c r="Q1522" i="6" l="1"/>
  <c r="R1522" i="6"/>
  <c r="D1525" i="6"/>
  <c r="E1524" i="6"/>
  <c r="G1524" i="6"/>
  <c r="F1524" i="6"/>
  <c r="R1523" i="6" l="1"/>
  <c r="Q1523" i="6"/>
  <c r="F1525" i="6"/>
  <c r="D1526" i="6"/>
  <c r="G1525" i="6"/>
  <c r="E1525" i="6"/>
  <c r="Q1524" i="6" l="1"/>
  <c r="R1524" i="6"/>
  <c r="E1526" i="6"/>
  <c r="D1527" i="6"/>
  <c r="F1526" i="6"/>
  <c r="G1526" i="6"/>
  <c r="R1525" i="6" l="1"/>
  <c r="Q1525" i="6"/>
  <c r="F1527" i="6"/>
  <c r="D1528" i="6"/>
  <c r="G1527" i="6"/>
  <c r="E1527" i="6"/>
  <c r="Q1526" i="6" l="1"/>
  <c r="R1526" i="6"/>
  <c r="G1528" i="6"/>
  <c r="F1528" i="6"/>
  <c r="D1529" i="6"/>
  <c r="E1528" i="6"/>
  <c r="R1527" i="6" l="1"/>
  <c r="Q1527" i="6"/>
  <c r="F1529" i="6"/>
  <c r="G1529" i="6"/>
  <c r="E1529" i="6"/>
  <c r="R1528" i="6" l="1"/>
  <c r="Q1528" i="6"/>
  <c r="G705" i="6"/>
  <c r="D706" i="6"/>
  <c r="E705" i="6"/>
  <c r="F705" i="6"/>
  <c r="R1529" i="6" l="1"/>
  <c r="Q1529" i="6"/>
  <c r="F706" i="6"/>
  <c r="G706" i="6"/>
  <c r="E706" i="6"/>
  <c r="D707" i="6"/>
  <c r="Q705" i="6" l="1"/>
  <c r="R705" i="6"/>
  <c r="G707" i="6"/>
  <c r="E707" i="6"/>
  <c r="F707" i="6"/>
  <c r="D708" i="6"/>
  <c r="R706" i="6" l="1"/>
  <c r="Q706" i="6"/>
  <c r="G708" i="6"/>
  <c r="E708" i="6"/>
  <c r="F708" i="6"/>
  <c r="D709" i="6"/>
  <c r="Q707" i="6" l="1"/>
  <c r="R707" i="6"/>
  <c r="G709" i="6"/>
  <c r="E709" i="6"/>
  <c r="D710" i="6"/>
  <c r="F709" i="6"/>
  <c r="R708" i="6" l="1"/>
  <c r="Q708" i="6"/>
  <c r="G710" i="6"/>
  <c r="E710" i="6"/>
  <c r="F710" i="6"/>
  <c r="D711" i="6"/>
  <c r="Q709" i="6" l="1"/>
  <c r="R709" i="6"/>
  <c r="F711" i="6"/>
  <c r="G711" i="6"/>
  <c r="D712" i="6"/>
  <c r="E711" i="6"/>
  <c r="R710" i="6" l="1"/>
  <c r="Q710" i="6"/>
  <c r="G712" i="6"/>
  <c r="F712" i="6"/>
  <c r="E712" i="6"/>
  <c r="D713" i="6"/>
  <c r="R711" i="6" l="1"/>
  <c r="Q711" i="6"/>
  <c r="E713" i="6"/>
  <c r="G713" i="6"/>
  <c r="F713" i="6"/>
  <c r="D714" i="6"/>
  <c r="R712" i="6" l="1"/>
  <c r="Q712" i="6"/>
  <c r="E714" i="6"/>
  <c r="F714" i="6"/>
  <c r="D715" i="6"/>
  <c r="G714" i="6"/>
  <c r="Q713" i="6" l="1"/>
  <c r="R713" i="6"/>
  <c r="E715" i="6"/>
  <c r="G715" i="6"/>
  <c r="D716" i="6"/>
  <c r="F715" i="6"/>
  <c r="Q714" i="6" l="1"/>
  <c r="R714" i="6"/>
  <c r="D717" i="6"/>
  <c r="F716" i="6"/>
  <c r="G716" i="6"/>
  <c r="E716" i="6"/>
  <c r="Q715" i="6" l="1"/>
  <c r="R715" i="6"/>
  <c r="G717" i="6"/>
  <c r="E717" i="6"/>
  <c r="D718" i="6"/>
  <c r="F717" i="6"/>
  <c r="Q716" i="6" l="1"/>
  <c r="R716" i="6"/>
  <c r="E718" i="6"/>
  <c r="F718" i="6"/>
  <c r="D719" i="6"/>
  <c r="G718" i="6"/>
  <c r="Q717" i="6" l="1"/>
  <c r="R717" i="6"/>
  <c r="F719" i="6"/>
  <c r="E719" i="6"/>
  <c r="G719" i="6"/>
  <c r="D720" i="6"/>
  <c r="R718" i="6" l="1"/>
  <c r="Q718" i="6"/>
  <c r="E720" i="6"/>
  <c r="F720" i="6"/>
  <c r="D721" i="6"/>
  <c r="G720" i="6"/>
  <c r="R719" i="6" l="1"/>
  <c r="Q719" i="6"/>
  <c r="F721" i="6"/>
  <c r="G721" i="6"/>
  <c r="D722" i="6"/>
  <c r="E721" i="6"/>
  <c r="R720" i="6" l="1"/>
  <c r="Q720" i="6"/>
  <c r="E722" i="6"/>
  <c r="G722" i="6"/>
  <c r="F722" i="6"/>
  <c r="D723" i="6"/>
  <c r="Q721" i="6" l="1"/>
  <c r="R721" i="6"/>
  <c r="G723" i="6"/>
  <c r="E723" i="6"/>
  <c r="F723" i="6"/>
  <c r="D724" i="6"/>
  <c r="Q722" i="6" l="1"/>
  <c r="R722" i="6"/>
  <c r="G724" i="6"/>
  <c r="D725" i="6"/>
  <c r="E724" i="6"/>
  <c r="F724" i="6"/>
  <c r="Q723" i="6" l="1"/>
  <c r="R723" i="6"/>
  <c r="G725" i="6"/>
  <c r="F725" i="6"/>
  <c r="D726" i="6"/>
  <c r="E725" i="6"/>
  <c r="R724" i="6" l="1"/>
  <c r="Q724" i="6"/>
  <c r="E726" i="6"/>
  <c r="F726" i="6"/>
  <c r="G726" i="6"/>
  <c r="D727" i="6"/>
  <c r="Q725" i="6" l="1"/>
  <c r="R725" i="6"/>
  <c r="G727" i="6"/>
  <c r="E727" i="6"/>
  <c r="F727" i="6"/>
  <c r="D728" i="6"/>
  <c r="R726" i="6" l="1"/>
  <c r="Q726" i="6"/>
  <c r="G728" i="6"/>
  <c r="F728" i="6"/>
  <c r="D729" i="6"/>
  <c r="E728" i="6"/>
  <c r="R727" i="6" l="1"/>
  <c r="Q727" i="6"/>
  <c r="F729" i="6"/>
  <c r="G729" i="6"/>
  <c r="E729" i="6"/>
  <c r="D730" i="6"/>
  <c r="R728" i="6" l="1"/>
  <c r="Q728" i="6"/>
  <c r="G730" i="6"/>
  <c r="F730" i="6"/>
  <c r="D731" i="6"/>
  <c r="E730" i="6"/>
  <c r="Q729" i="6" l="1"/>
  <c r="R729" i="6"/>
  <c r="D732" i="6"/>
  <c r="G731" i="6"/>
  <c r="F731" i="6"/>
  <c r="E731" i="6"/>
  <c r="Q730" i="6" l="1"/>
  <c r="R730" i="6"/>
  <c r="G732" i="6"/>
  <c r="F732" i="6"/>
  <c r="E732" i="6"/>
  <c r="D733" i="6"/>
  <c r="Q731" i="6" l="1"/>
  <c r="R731" i="6"/>
  <c r="E733" i="6"/>
  <c r="D734" i="6"/>
  <c r="F733" i="6"/>
  <c r="G733" i="6"/>
  <c r="Q732" i="6" l="1"/>
  <c r="R732" i="6"/>
  <c r="E734" i="6"/>
  <c r="G734" i="6"/>
  <c r="D735" i="6"/>
  <c r="F734" i="6"/>
  <c r="R733" i="6" l="1"/>
  <c r="Q733" i="6"/>
  <c r="F735" i="6"/>
  <c r="G735" i="6"/>
  <c r="E735" i="6"/>
  <c r="D736" i="6"/>
  <c r="Q734" i="6" l="1"/>
  <c r="R734" i="6"/>
  <c r="G736" i="6"/>
  <c r="D737" i="6"/>
  <c r="E736" i="6"/>
  <c r="F736" i="6"/>
  <c r="Q735" i="6" l="1"/>
  <c r="R735" i="6"/>
  <c r="D738" i="6"/>
  <c r="F737" i="6"/>
  <c r="G737" i="6"/>
  <c r="E737" i="6"/>
  <c r="R736" i="6" l="1"/>
  <c r="Q736" i="6"/>
  <c r="E738" i="6"/>
  <c r="F738" i="6"/>
  <c r="G738" i="6"/>
  <c r="D739" i="6"/>
  <c r="R737" i="6" l="1"/>
  <c r="Q737" i="6"/>
  <c r="E739" i="6"/>
  <c r="F739" i="6"/>
  <c r="G739" i="6"/>
  <c r="Q738" i="6" l="1"/>
  <c r="R738" i="6"/>
  <c r="G968" i="6"/>
  <c r="E968" i="6"/>
  <c r="D969" i="6"/>
  <c r="F968" i="6"/>
  <c r="Q739" i="6" l="1"/>
  <c r="R739" i="6"/>
  <c r="G969" i="6"/>
  <c r="F969" i="6"/>
  <c r="D970" i="6"/>
  <c r="E969" i="6"/>
  <c r="Q968" i="6" l="1"/>
  <c r="R968" i="6"/>
  <c r="E970" i="6"/>
  <c r="G970" i="6"/>
  <c r="D971" i="6"/>
  <c r="F970" i="6"/>
  <c r="R969" i="6" l="1"/>
  <c r="Q969" i="6"/>
  <c r="D972" i="6"/>
  <c r="G971" i="6"/>
  <c r="E971" i="6"/>
  <c r="F971" i="6"/>
  <c r="Q970" i="6" l="1"/>
  <c r="R970" i="6"/>
  <c r="E972" i="6"/>
  <c r="F972" i="6"/>
  <c r="D973" i="6"/>
  <c r="G972" i="6"/>
  <c r="R971" i="6" l="1"/>
  <c r="Q971" i="6"/>
  <c r="G973" i="6"/>
  <c r="F973" i="6"/>
  <c r="D974" i="6"/>
  <c r="E973" i="6"/>
  <c r="Q972" i="6" l="1"/>
  <c r="R972" i="6"/>
  <c r="E974" i="6"/>
  <c r="F974" i="6"/>
  <c r="D975" i="6"/>
  <c r="G974" i="6"/>
  <c r="R973" i="6" l="1"/>
  <c r="Q973" i="6"/>
  <c r="G975" i="6"/>
  <c r="F975" i="6"/>
  <c r="E975" i="6"/>
  <c r="D976" i="6"/>
  <c r="Q974" i="6" l="1"/>
  <c r="R974" i="6"/>
  <c r="G976" i="6"/>
  <c r="D977" i="6"/>
  <c r="F976" i="6"/>
  <c r="E976" i="6"/>
  <c r="R975" i="6" l="1"/>
  <c r="Q975" i="6"/>
  <c r="G977" i="6"/>
  <c r="F977" i="6"/>
  <c r="E977" i="6"/>
  <c r="D978" i="6"/>
  <c r="R976" i="6" l="1"/>
  <c r="Q976" i="6"/>
  <c r="F978" i="6"/>
  <c r="G978" i="6"/>
  <c r="D979" i="6"/>
  <c r="E978" i="6"/>
  <c r="R977" i="6" l="1"/>
  <c r="Q977" i="6"/>
  <c r="F979" i="6"/>
  <c r="E979" i="6"/>
  <c r="D980" i="6"/>
  <c r="G979" i="6"/>
  <c r="Q978" i="6" l="1"/>
  <c r="R978" i="6"/>
  <c r="D981" i="6"/>
  <c r="E980" i="6"/>
  <c r="G980" i="6"/>
  <c r="F980" i="6"/>
  <c r="R979" i="6" l="1"/>
  <c r="Q979" i="6"/>
  <c r="G981" i="6"/>
  <c r="D982" i="6"/>
  <c r="F981" i="6"/>
  <c r="E981" i="6"/>
  <c r="Q980" i="6" l="1"/>
  <c r="R980" i="6"/>
  <c r="E982" i="6"/>
  <c r="G982" i="6"/>
  <c r="D983" i="6"/>
  <c r="F982" i="6"/>
  <c r="R981" i="6" l="1"/>
  <c r="Q981" i="6"/>
  <c r="F983" i="6"/>
  <c r="G983" i="6"/>
  <c r="E983" i="6"/>
  <c r="D984" i="6"/>
  <c r="Q982" i="6" l="1"/>
  <c r="R982" i="6"/>
  <c r="D985" i="6"/>
  <c r="F984" i="6"/>
  <c r="E984" i="6"/>
  <c r="G984" i="6"/>
  <c r="R983" i="6" l="1"/>
  <c r="Q983" i="6"/>
  <c r="E985" i="6"/>
  <c r="D986" i="6"/>
  <c r="F985" i="6"/>
  <c r="G985" i="6"/>
  <c r="R984" i="6" l="1"/>
  <c r="Q984" i="6"/>
  <c r="G986" i="6"/>
  <c r="D987" i="6"/>
  <c r="F986" i="6"/>
  <c r="E986" i="6"/>
  <c r="R985" i="6" l="1"/>
  <c r="Q985" i="6"/>
  <c r="E987" i="6"/>
  <c r="G987" i="6"/>
  <c r="F987" i="6"/>
  <c r="D988" i="6"/>
  <c r="G988" i="6" l="1"/>
  <c r="F988" i="6"/>
  <c r="D989" i="6"/>
  <c r="E988" i="6"/>
  <c r="Q987" i="6" l="1"/>
  <c r="R987" i="6"/>
  <c r="D990" i="6"/>
  <c r="F989" i="6"/>
  <c r="G989" i="6"/>
  <c r="E989" i="6"/>
  <c r="Q988" i="6" l="1"/>
  <c r="R988" i="6"/>
  <c r="D991" i="6"/>
  <c r="E990" i="6"/>
  <c r="G990" i="6"/>
  <c r="F990" i="6"/>
  <c r="R989" i="6" l="1"/>
  <c r="Q989" i="6"/>
  <c r="D992" i="6"/>
  <c r="F991" i="6"/>
  <c r="E991" i="6"/>
  <c r="G991" i="6"/>
  <c r="Q990" i="6" l="1"/>
  <c r="R990" i="6"/>
  <c r="G992" i="6"/>
  <c r="E992" i="6"/>
  <c r="D993" i="6"/>
  <c r="F992" i="6"/>
  <c r="Q991" i="6" l="1"/>
  <c r="R991" i="6"/>
  <c r="E993" i="6"/>
  <c r="F993" i="6"/>
  <c r="G993" i="6"/>
  <c r="D994" i="6"/>
  <c r="R992" i="6" l="1"/>
  <c r="Q992" i="6"/>
  <c r="G994" i="6"/>
  <c r="E994" i="6"/>
  <c r="F994" i="6"/>
  <c r="D995" i="6"/>
  <c r="R993" i="6" l="1"/>
  <c r="Q993" i="6"/>
  <c r="G995" i="6"/>
  <c r="E995" i="6"/>
  <c r="D996" i="6"/>
  <c r="F995" i="6"/>
  <c r="G996" i="6" l="1"/>
  <c r="D997" i="6"/>
  <c r="F996" i="6"/>
  <c r="E996" i="6"/>
  <c r="Q995" i="6" l="1"/>
  <c r="R995" i="6"/>
  <c r="G997" i="6"/>
  <c r="D998" i="6"/>
  <c r="F997" i="6"/>
  <c r="E997" i="6"/>
  <c r="Q996" i="6" l="1"/>
  <c r="R996" i="6"/>
  <c r="E998" i="6"/>
  <c r="D999" i="6"/>
  <c r="F998" i="6"/>
  <c r="G998" i="6"/>
  <c r="R997" i="6" l="1"/>
  <c r="Q997" i="6"/>
  <c r="D1000" i="6"/>
  <c r="F999" i="6"/>
  <c r="E999" i="6"/>
  <c r="G999" i="6"/>
  <c r="Q998" i="6" l="1"/>
  <c r="R998" i="6"/>
  <c r="G1000" i="6"/>
  <c r="F1000" i="6"/>
  <c r="D1001" i="6"/>
  <c r="E1000" i="6"/>
  <c r="R999" i="6" l="1"/>
  <c r="Q999" i="6"/>
  <c r="F1001" i="6"/>
  <c r="G1001" i="6"/>
  <c r="E1001" i="6"/>
  <c r="D1002" i="6"/>
  <c r="Q1000" i="6" l="1"/>
  <c r="R1000" i="6"/>
  <c r="E1002" i="6"/>
  <c r="F1002" i="6"/>
  <c r="G1002" i="6"/>
  <c r="D1003" i="6"/>
  <c r="R1001" i="6" l="1"/>
  <c r="Q1001" i="6"/>
  <c r="F1003" i="6"/>
  <c r="G1003" i="6"/>
  <c r="E1003" i="6"/>
  <c r="D1004" i="6"/>
  <c r="Q1002" i="6" l="1"/>
  <c r="R1002" i="6"/>
  <c r="G1004" i="6"/>
  <c r="F1004" i="6"/>
  <c r="E1004" i="6"/>
  <c r="R1003" i="6" l="1"/>
  <c r="Q1003" i="6"/>
  <c r="Q1004" i="6" l="1"/>
  <c r="R1004" i="6"/>
  <c r="A2" i="6" l="1"/>
  <c r="A3" i="6"/>
  <c r="A4" i="6" s="1"/>
  <c r="A5" i="6" s="1"/>
  <c r="A6" i="6" l="1"/>
  <c r="A7" i="6" l="1"/>
  <c r="A8" i="6" s="1"/>
  <c r="A9" i="6" s="1"/>
  <c r="A10" i="6" l="1"/>
  <c r="A11" i="6" l="1"/>
  <c r="A12" i="6" s="1"/>
  <c r="A13" i="6" l="1"/>
  <c r="A14" i="6"/>
  <c r="A15" i="6" l="1"/>
  <c r="A16" i="6"/>
  <c r="A17" i="6" l="1"/>
  <c r="A18" i="6" s="1"/>
  <c r="A19" i="6" s="1"/>
  <c r="A20" i="6" l="1"/>
  <c r="A21" i="6" l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</calcChain>
</file>

<file path=xl/sharedStrings.xml><?xml version="1.0" encoding="utf-8"?>
<sst xmlns="http://schemas.openxmlformats.org/spreadsheetml/2006/main" count="14017" uniqueCount="1989">
  <si>
    <t>Sum of Total</t>
  </si>
  <si>
    <t>Date</t>
  </si>
  <si>
    <t>Site No.</t>
  </si>
  <si>
    <t>Depth</t>
  </si>
  <si>
    <t>(blank)</t>
  </si>
  <si>
    <t>08/05/2023</t>
  </si>
  <si>
    <t>09/05/2023</t>
  </si>
  <si>
    <t>10/05/2023</t>
  </si>
  <si>
    <t>11/05/2023</t>
  </si>
  <si>
    <t>12/05/2023</t>
  </si>
  <si>
    <t>15/05/2023</t>
  </si>
  <si>
    <t>17/05/2023</t>
  </si>
  <si>
    <t>18/05/2023</t>
  </si>
  <si>
    <t>19/05/2023</t>
  </si>
  <si>
    <t>16/05/2023</t>
  </si>
  <si>
    <t>15/5/2023</t>
  </si>
  <si>
    <t>16/5/2023</t>
  </si>
  <si>
    <t>18/5/2023</t>
  </si>
  <si>
    <t>19/5/2023</t>
  </si>
  <si>
    <t>Grand Total</t>
  </si>
  <si>
    <t>BMSC22</t>
  </si>
  <si>
    <t>BMSC21</t>
  </si>
  <si>
    <t>BMSC10</t>
  </si>
  <si>
    <t>BMSC2</t>
  </si>
  <si>
    <t>BMSC19</t>
  </si>
  <si>
    <t>BMSC20</t>
  </si>
  <si>
    <t>BMSC9</t>
  </si>
  <si>
    <t>BMSC23</t>
  </si>
  <si>
    <t>BMSC4</t>
  </si>
  <si>
    <t>BMSC3</t>
  </si>
  <si>
    <t>BMSC5</t>
  </si>
  <si>
    <t>BMSC1</t>
  </si>
  <si>
    <t>BMSC6</t>
  </si>
  <si>
    <t>BMSC8</t>
  </si>
  <si>
    <t>BMSC24</t>
  </si>
  <si>
    <t>BMSC25</t>
  </si>
  <si>
    <t>BMSC26</t>
  </si>
  <si>
    <t>BMSC27</t>
  </si>
  <si>
    <t>BMSC11</t>
  </si>
  <si>
    <t>BMSC12</t>
  </si>
  <si>
    <t>Method</t>
  </si>
  <si>
    <t>Species</t>
  </si>
  <si>
    <t>Rhinogobiops nicholsii</t>
  </si>
  <si>
    <t>Hexagrammos decagrammus</t>
  </si>
  <si>
    <t>Oxylebius pictus</t>
  </si>
  <si>
    <t>Sebastes caurinus</t>
  </si>
  <si>
    <t>Artedius harringtoni</t>
  </si>
  <si>
    <t>Bolinopsis infundibulum</t>
  </si>
  <si>
    <t>Sebastes melanops</t>
  </si>
  <si>
    <t>Hexagrammos stelleri</t>
  </si>
  <si>
    <t>Sebastes YOY</t>
  </si>
  <si>
    <t>Ophiodon elongatus</t>
  </si>
  <si>
    <t>Sebastes nebulosus</t>
  </si>
  <si>
    <t>Sebastes flavidus</t>
  </si>
  <si>
    <t>Sebastes maliger</t>
  </si>
  <si>
    <t>Sebastes pinniger</t>
  </si>
  <si>
    <t>Embiotoca lateralis</t>
  </si>
  <si>
    <t>Rhacochilus vacca</t>
  </si>
  <si>
    <t>Aulorhynchus flavidus</t>
  </si>
  <si>
    <t>Brachyistius frenatus</t>
  </si>
  <si>
    <t>Anarrhichthys ocellatus</t>
  </si>
  <si>
    <t>embiotocidae spp</t>
  </si>
  <si>
    <t>Phoca vitulina</t>
  </si>
  <si>
    <t>Mesocentrotus franciscanus</t>
  </si>
  <si>
    <t>Dermasterias imbricata</t>
  </si>
  <si>
    <t>Patiria miniata</t>
  </si>
  <si>
    <t>Haliotis kamtschatkana</t>
  </si>
  <si>
    <t>Pomaulax gibberosus</t>
  </si>
  <si>
    <t>Henricia sp.</t>
  </si>
  <si>
    <t>Apostichopus californicus</t>
  </si>
  <si>
    <t>Tonicella sp.</t>
  </si>
  <si>
    <t>Pisaster ochraceus</t>
  </si>
  <si>
    <t>Cancer productus</t>
  </si>
  <si>
    <t>Evasterias troschelii</t>
  </si>
  <si>
    <t>Diodora aspera</t>
  </si>
  <si>
    <t>Orthasterias koehleri</t>
  </si>
  <si>
    <t>Doris odhneri</t>
  </si>
  <si>
    <t>Cadlina luteomarginata</t>
  </si>
  <si>
    <t>Crassadoma gigantea</t>
  </si>
  <si>
    <t>Dirona albolineata</t>
  </si>
  <si>
    <t>Acmaea mitra</t>
  </si>
  <si>
    <t>Mediaster aequalis</t>
  </si>
  <si>
    <t>Triopha modesta</t>
  </si>
  <si>
    <t>Scyra acutifrons</t>
  </si>
  <si>
    <t>Diaulula odonoghuei</t>
  </si>
  <si>
    <t>Ceratostoma foliatum</t>
  </si>
  <si>
    <t>NOT PRESENT</t>
  </si>
  <si>
    <t>Debris - Plastic</t>
  </si>
  <si>
    <t>Debris - Fishing Gear</t>
  </si>
  <si>
    <t>Pycnopodia helianthoides</t>
  </si>
  <si>
    <t>Peltodoris nobilis</t>
  </si>
  <si>
    <t>Strongylocentrotus droebachiensis</t>
  </si>
  <si>
    <t>Pugettia producta</t>
  </si>
  <si>
    <t>Pugettia gracilis</t>
  </si>
  <si>
    <t>Pholis laeta</t>
  </si>
  <si>
    <t>Pisaster brevispinus</t>
  </si>
  <si>
    <t>Nucella lamellosa</t>
  </si>
  <si>
    <t>Pagurus hemphilli</t>
  </si>
  <si>
    <t>Stylasterias forreri</t>
  </si>
  <si>
    <t>Hermissenda crassicornis</t>
  </si>
  <si>
    <t>Pandalus danae</t>
  </si>
  <si>
    <t>Jordania zonope</t>
  </si>
  <si>
    <t>Strongylocentrotus purpuratus</t>
  </si>
  <si>
    <t>Pagurus beringanus</t>
  </si>
  <si>
    <t>Lottia sp.</t>
  </si>
  <si>
    <t>Berthella californica</t>
  </si>
  <si>
    <t>Diaulula sandiegensis</t>
  </si>
  <si>
    <t>Enteroctopus dofleini</t>
  </si>
  <si>
    <t>Hemilepidotus hemilepidotus</t>
  </si>
  <si>
    <t>Debris - Glass</t>
  </si>
  <si>
    <t>Triopha catalinae</t>
  </si>
  <si>
    <t>Neverita lewisii</t>
  </si>
  <si>
    <t>Glebocarcinus oregonensis</t>
  </si>
  <si>
    <t>Antiopella fusca</t>
  </si>
  <si>
    <t>Doris montereyensis</t>
  </si>
  <si>
    <t>Lopholithodes mandtii</t>
  </si>
  <si>
    <t>Pholis spp.</t>
  </si>
  <si>
    <t>Cadlina sylviaearleae</t>
  </si>
  <si>
    <t>Polycera tricolor</t>
  </si>
  <si>
    <t>Pholis clemensi</t>
  </si>
  <si>
    <t>Oregonia gracilis</t>
  </si>
  <si>
    <t>Mopalia</t>
  </si>
  <si>
    <t>Calliostoma ligatum</t>
  </si>
  <si>
    <t>Henricia spp.</t>
  </si>
  <si>
    <t>Chorilia longipes</t>
  </si>
  <si>
    <t>Cryptochiton stelleri</t>
  </si>
  <si>
    <t>Debris - Zero</t>
  </si>
  <si>
    <t>Dendronotus iris</t>
  </si>
  <si>
    <t>Berthella chacei</t>
  </si>
  <si>
    <t>Limacia cockerelli</t>
  </si>
  <si>
    <t>Tegula funebralis</t>
  </si>
  <si>
    <t>Tonicella lineata</t>
  </si>
  <si>
    <t>Acanthodoris hudsoni</t>
  </si>
  <si>
    <t>Opalia wroblewskyi</t>
  </si>
  <si>
    <t>Armina californica</t>
  </si>
  <si>
    <t>Pteraster tesselatus</t>
  </si>
  <si>
    <t>Unidentified shrimp</t>
  </si>
  <si>
    <t>Debris - Metal</t>
  </si>
  <si>
    <t>Henricia leviuscula</t>
  </si>
  <si>
    <t>Paguroidea spp.</t>
  </si>
  <si>
    <t>Enophrys bison</t>
  </si>
  <si>
    <t>Pleuronichthys coenosus</t>
  </si>
  <si>
    <t>Megathura crenulata</t>
  </si>
  <si>
    <t>Citharichthys stigmaeus</t>
  </si>
  <si>
    <t>Mopalia muscosa</t>
  </si>
  <si>
    <t>Cadlina modesta</t>
  </si>
  <si>
    <t>Solaster stimpsoni</t>
  </si>
  <si>
    <t>Parastichopus californicus</t>
  </si>
  <si>
    <t>Henrecia spp.</t>
  </si>
  <si>
    <t>Tonicella spp.</t>
  </si>
  <si>
    <t>Scorpaenichthys marmoratus</t>
  </si>
  <si>
    <t>Scyra species</t>
  </si>
  <si>
    <t>0, 1, 2</t>
  </si>
  <si>
    <t>Eumetopias jubatus</t>
  </si>
  <si>
    <t>Tritonia festiva</t>
  </si>
  <si>
    <t>ID</t>
  </si>
  <si>
    <t>Diver</t>
  </si>
  <si>
    <t>Buddy</t>
  </si>
  <si>
    <t>Site Name</t>
  </si>
  <si>
    <t>Latitude</t>
  </si>
  <si>
    <t>Longitude</t>
  </si>
  <si>
    <t>vis</t>
  </si>
  <si>
    <t>Direction</t>
  </si>
  <si>
    <t>Time</t>
  </si>
  <si>
    <t>P-Qs</t>
  </si>
  <si>
    <t>Block</t>
  </si>
  <si>
    <t>Code</t>
  </si>
  <si>
    <t>Common name</t>
  </si>
  <si>
    <t>Total</t>
  </si>
  <si>
    <t>Inverts</t>
  </si>
  <si>
    <t>Jasmin Schuster</t>
  </si>
  <si>
    <t>Em Lim</t>
  </si>
  <si>
    <t>EGL</t>
  </si>
  <si>
    <t>Rni</t>
  </si>
  <si>
    <t>Hde</t>
  </si>
  <si>
    <t>Opi</t>
  </si>
  <si>
    <t>Sca</t>
  </si>
  <si>
    <t>Bin</t>
  </si>
  <si>
    <t>Mfra</t>
  </si>
  <si>
    <t>Dim</t>
  </si>
  <si>
    <t>Pmi</t>
  </si>
  <si>
    <t>Hka</t>
  </si>
  <si>
    <t>Pgi</t>
  </si>
  <si>
    <t>Hsp.</t>
  </si>
  <si>
    <t>Aca</t>
  </si>
  <si>
    <t>Tsp.</t>
  </si>
  <si>
    <t>Poc</t>
  </si>
  <si>
    <t>Cpr</t>
  </si>
  <si>
    <t>Etr</t>
  </si>
  <si>
    <t>Das</t>
  </si>
  <si>
    <t>Oko</t>
  </si>
  <si>
    <t>Dod</t>
  </si>
  <si>
    <t>Clu</t>
  </si>
  <si>
    <t>Cgi</t>
  </si>
  <si>
    <t>Aha</t>
  </si>
  <si>
    <t>Dal</t>
  </si>
  <si>
    <t>Ami</t>
  </si>
  <si>
    <t>Mae</t>
  </si>
  <si>
    <t>Tmo</t>
  </si>
  <si>
    <t>Sac</t>
  </si>
  <si>
    <t>Sme</t>
  </si>
  <si>
    <t>Dodo</t>
  </si>
  <si>
    <t>Cfo</t>
  </si>
  <si>
    <t>Spu</t>
  </si>
  <si>
    <t>dep</t>
  </si>
  <si>
    <t>def</t>
  </si>
  <si>
    <t>Phe</t>
  </si>
  <si>
    <t>Pno</t>
  </si>
  <si>
    <t>Hst</t>
  </si>
  <si>
    <t>Syoy</t>
  </si>
  <si>
    <t>Sdr</t>
  </si>
  <si>
    <t>Ppr</t>
  </si>
  <si>
    <t>Pgr</t>
  </si>
  <si>
    <t>Pla</t>
  </si>
  <si>
    <t>Pbr</t>
  </si>
  <si>
    <t>myoxocephalus</t>
  </si>
  <si>
    <t>Myoxocephalus spp.</t>
  </si>
  <si>
    <t>Unidentified sculpin</t>
  </si>
  <si>
    <t>Nla</t>
  </si>
  <si>
    <t>Phem</t>
  </si>
  <si>
    <t>Sfo</t>
  </si>
  <si>
    <t>Hcr</t>
  </si>
  <si>
    <t>Pda</t>
  </si>
  <si>
    <t>Jzo</t>
  </si>
  <si>
    <t>Oel</t>
  </si>
  <si>
    <t>Pbe</t>
  </si>
  <si>
    <t>Sne</t>
  </si>
  <si>
    <t>Lsp.</t>
  </si>
  <si>
    <t>Bca</t>
  </si>
  <si>
    <t>Dsa</t>
  </si>
  <si>
    <t>rni</t>
  </si>
  <si>
    <t>sme</t>
  </si>
  <si>
    <t>hde</t>
  </si>
  <si>
    <t>sfl</t>
  </si>
  <si>
    <t>sca</t>
  </si>
  <si>
    <t>sma</t>
  </si>
  <si>
    <t>opi</t>
  </si>
  <si>
    <t>oel</t>
  </si>
  <si>
    <t>aca</t>
  </si>
  <si>
    <t>ami</t>
  </si>
  <si>
    <t>das</t>
  </si>
  <si>
    <t>mfra</t>
  </si>
  <si>
    <t>pda</t>
  </si>
  <si>
    <t>cfo</t>
  </si>
  <si>
    <t>pmi</t>
  </si>
  <si>
    <t>hsp.</t>
  </si>
  <si>
    <t>hka</t>
  </si>
  <si>
    <t>dim</t>
  </si>
  <si>
    <t>cgi</t>
  </si>
  <si>
    <t>pno</t>
  </si>
  <si>
    <t>aha</t>
  </si>
  <si>
    <t>etr</t>
  </si>
  <si>
    <t>dod</t>
  </si>
  <si>
    <t>Edo</t>
  </si>
  <si>
    <t>hhe</t>
  </si>
  <si>
    <t>dal</t>
  </si>
  <si>
    <t>Deg</t>
  </si>
  <si>
    <t>Def</t>
  </si>
  <si>
    <t>Sfl</t>
  </si>
  <si>
    <t>dsa</t>
  </si>
  <si>
    <t>Sma</t>
  </si>
  <si>
    <t>Spi</t>
  </si>
  <si>
    <t>Tca</t>
  </si>
  <si>
    <t>Nle</t>
  </si>
  <si>
    <t>Gor</t>
  </si>
  <si>
    <t>Afu</t>
  </si>
  <si>
    <t>Eju</t>
  </si>
  <si>
    <t>Dmo</t>
  </si>
  <si>
    <t>Lma</t>
  </si>
  <si>
    <t>Valesca de Groot</t>
  </si>
  <si>
    <t>VDG</t>
  </si>
  <si>
    <t>dodo</t>
  </si>
  <si>
    <t>Ela</t>
  </si>
  <si>
    <t>maen</t>
  </si>
  <si>
    <t>Myoxocephalus aenaeus?</t>
  </si>
  <si>
    <t>Grubby sculpin?</t>
  </si>
  <si>
    <t>Rva</t>
  </si>
  <si>
    <t>pholis</t>
  </si>
  <si>
    <t>Isabelle Cote</t>
  </si>
  <si>
    <t>JMS</t>
  </si>
  <si>
    <t>Afl</t>
  </si>
  <si>
    <t>Csy</t>
  </si>
  <si>
    <t>Pandalus</t>
  </si>
  <si>
    <t>Pandalus spp.</t>
  </si>
  <si>
    <t>Ptr</t>
  </si>
  <si>
    <t>ele</t>
  </si>
  <si>
    <t>Eurylepta leoparda</t>
  </si>
  <si>
    <t>Spotted flatworm</t>
  </si>
  <si>
    <t>Pcle</t>
  </si>
  <si>
    <t>Ogr</t>
  </si>
  <si>
    <t>Dodger Channel</t>
  </si>
  <si>
    <t>bfr</t>
  </si>
  <si>
    <t>Kelp perch</t>
  </si>
  <si>
    <t>Leather star</t>
  </si>
  <si>
    <t>Red sea urchin</t>
  </si>
  <si>
    <t>Scalyhead sculpin</t>
  </si>
  <si>
    <t>oko</t>
  </si>
  <si>
    <t>Rainbow star</t>
  </si>
  <si>
    <t>hcr</t>
  </si>
  <si>
    <t>Opalescent nudibranch</t>
  </si>
  <si>
    <t>Whitecap limpet</t>
  </si>
  <si>
    <t>phem</t>
  </si>
  <si>
    <t>Maroon hermit</t>
  </si>
  <si>
    <t>mopelia</t>
  </si>
  <si>
    <t>Mopalia sp</t>
  </si>
  <si>
    <t>phe</t>
  </si>
  <si>
    <t>Sunflower star</t>
  </si>
  <si>
    <t>Bat star</t>
  </si>
  <si>
    <t>cli</t>
  </si>
  <si>
    <t>Blue top shell</t>
  </si>
  <si>
    <t>sfo</t>
  </si>
  <si>
    <t>Velcro seastar</t>
  </si>
  <si>
    <t>Leafy hornmouth</t>
  </si>
  <si>
    <t>California sea cucumber</t>
  </si>
  <si>
    <t>poc</t>
  </si>
  <si>
    <t>Purple sea star</t>
  </si>
  <si>
    <t>henricia</t>
  </si>
  <si>
    <t>Unidentified blood star</t>
  </si>
  <si>
    <t>Pinto abalone</t>
  </si>
  <si>
    <t>ogr</t>
  </si>
  <si>
    <t>Graceful decorator crab</t>
  </si>
  <si>
    <t>Blackeye goby</t>
  </si>
  <si>
    <t>clo</t>
  </si>
  <si>
    <t>Longhorn decorator crab</t>
  </si>
  <si>
    <t>Kelp greenling</t>
  </si>
  <si>
    <t>Mottled starfish</t>
  </si>
  <si>
    <t>cste</t>
  </si>
  <si>
    <t>Gumboot chiton</t>
  </si>
  <si>
    <t>DEZ</t>
  </si>
  <si>
    <t>No Debris found</t>
  </si>
  <si>
    <t>Taylor Rock</t>
  </si>
  <si>
    <t>pgi</t>
  </si>
  <si>
    <t>Red turban shell</t>
  </si>
  <si>
    <t>spu</t>
  </si>
  <si>
    <t>Purple sea urchin</t>
  </si>
  <si>
    <t>sdr</t>
  </si>
  <si>
    <t>Northern sea urchin</t>
  </si>
  <si>
    <t>Rough keyhole limpet</t>
  </si>
  <si>
    <t>jzo</t>
  </si>
  <si>
    <t>Longfin sculpin</t>
  </si>
  <si>
    <t>dmo</t>
  </si>
  <si>
    <t>Monterey sea lemon</t>
  </si>
  <si>
    <t>dez</t>
  </si>
  <si>
    <t>Ringed doris</t>
  </si>
  <si>
    <t>Wizard Island South</t>
  </si>
  <si>
    <t>dir</t>
  </si>
  <si>
    <t>Giant frond-aeolis</t>
  </si>
  <si>
    <t>tca</t>
  </si>
  <si>
    <t>Sea-clown triopha</t>
  </si>
  <si>
    <t>Purple-hinged rock scallop</t>
  </si>
  <si>
    <t>sac</t>
  </si>
  <si>
    <t>Sharpnose crab</t>
  </si>
  <si>
    <t>Noble sea lemon</t>
  </si>
  <si>
    <t>Copper rockfish</t>
  </si>
  <si>
    <t>White-line dirona</t>
  </si>
  <si>
    <t>tfe</t>
  </si>
  <si>
    <t>Diamondback tritonia</t>
  </si>
  <si>
    <t>bch</t>
  </si>
  <si>
    <t>White berthella nudibranch</t>
  </si>
  <si>
    <t>Wizard Island North</t>
  </si>
  <si>
    <t>lcoc</t>
  </si>
  <si>
    <t>Cockerell's dorid</t>
  </si>
  <si>
    <t>Dock shrimp</t>
  </si>
  <si>
    <t>Baeria Rocks South Island</t>
  </si>
  <si>
    <t>Quillback rockfish</t>
  </si>
  <si>
    <t>Black rockfish</t>
  </si>
  <si>
    <t>pbe</t>
  </si>
  <si>
    <t>Bering hermit crab</t>
  </si>
  <si>
    <t>Lingcod</t>
  </si>
  <si>
    <t>Painted greenling</t>
  </si>
  <si>
    <t>Baeria Rocks North Island Northside</t>
  </si>
  <si>
    <t>tfu</t>
  </si>
  <si>
    <t>Black top shell</t>
  </si>
  <si>
    <t>tli</t>
  </si>
  <si>
    <t>Lined chiton</t>
  </si>
  <si>
    <t>ahu</t>
  </si>
  <si>
    <t>owr</t>
  </si>
  <si>
    <t>Wroblewski's Wentletrap</t>
  </si>
  <si>
    <t>Swiss Boy</t>
  </si>
  <si>
    <t>Yellowtail rockfish</t>
  </si>
  <si>
    <t>sne</t>
  </si>
  <si>
    <t>China rockfish</t>
  </si>
  <si>
    <t>Goby Town</t>
  </si>
  <si>
    <t>cpr</t>
  </si>
  <si>
    <t>Red rock crab</t>
  </si>
  <si>
    <t>Red Irish lord</t>
  </si>
  <si>
    <t>pla</t>
  </si>
  <si>
    <t>Crescent gunnel</t>
  </si>
  <si>
    <t>tmo</t>
  </si>
  <si>
    <t>Sea clown</t>
  </si>
  <si>
    <t>DEG</t>
  </si>
  <si>
    <t>Any glass debris</t>
  </si>
  <si>
    <t>Hosie South</t>
  </si>
  <si>
    <t>afl</t>
  </si>
  <si>
    <t>Tube-snout</t>
  </si>
  <si>
    <t>mae</t>
  </si>
  <si>
    <t>Vermillion sea star</t>
  </si>
  <si>
    <t>ptr</t>
  </si>
  <si>
    <t>Tricolour nudibranch</t>
  </si>
  <si>
    <t>acali</t>
  </si>
  <si>
    <t>Striped nudibranch</t>
  </si>
  <si>
    <t>pte</t>
  </si>
  <si>
    <t>Slime star</t>
  </si>
  <si>
    <t>shrimp</t>
  </si>
  <si>
    <t>San Jose North Island</t>
  </si>
  <si>
    <t>IMC</t>
  </si>
  <si>
    <t>Spotted dorid</t>
  </si>
  <si>
    <t>DEM</t>
  </si>
  <si>
    <t>Any metal debris</t>
  </si>
  <si>
    <t>Andrew Bickell</t>
  </si>
  <si>
    <t>Lined Chiton</t>
  </si>
  <si>
    <t>hle</t>
  </si>
  <si>
    <t>Pacific blood star</t>
  </si>
  <si>
    <t>White night doris</t>
  </si>
  <si>
    <t>Cushion star</t>
  </si>
  <si>
    <t>ppr</t>
  </si>
  <si>
    <t>Northern kelp crab</t>
  </si>
  <si>
    <t>gunnel</t>
  </si>
  <si>
    <t>Unidentified gunnel</t>
  </si>
  <si>
    <t>hermit</t>
  </si>
  <si>
    <t>Unidentified hermit crab</t>
  </si>
  <si>
    <t>ebi</t>
  </si>
  <si>
    <t>Buffalo sculpin</t>
  </si>
  <si>
    <t>afu</t>
  </si>
  <si>
    <t>White-and-orange-tipped nudibranch</t>
  </si>
  <si>
    <t>pco</t>
  </si>
  <si>
    <t>C-o sole</t>
  </si>
  <si>
    <t>mcr</t>
  </si>
  <si>
    <t>Giant keyhole limpet</t>
  </si>
  <si>
    <t>Frosted nudibranch</t>
  </si>
  <si>
    <t>cst</t>
  </si>
  <si>
    <t>Speckled sand dab</t>
  </si>
  <si>
    <t>mmu</t>
  </si>
  <si>
    <t>Mossy chiton</t>
  </si>
  <si>
    <t>aoc</t>
  </si>
  <si>
    <t>Wolf-eel</t>
  </si>
  <si>
    <t>cmo</t>
  </si>
  <si>
    <t>Modest cadlina nudibranch</t>
  </si>
  <si>
    <t>sst</t>
  </si>
  <si>
    <t>Striped sun star</t>
  </si>
  <si>
    <t>pca</t>
  </si>
  <si>
    <t>Californian sea cucumber</t>
  </si>
  <si>
    <t>blood star</t>
  </si>
  <si>
    <t>Frosted dirona</t>
  </si>
  <si>
    <t>chiton</t>
  </si>
  <si>
    <t>Unidentified chiton</t>
  </si>
  <si>
    <t>perch</t>
  </si>
  <si>
    <t>Unidentified perch</t>
  </si>
  <si>
    <t>gor</t>
  </si>
  <si>
    <t>Pygmy rock crab</t>
  </si>
  <si>
    <t>pvi</t>
  </si>
  <si>
    <t>harbour seal</t>
  </si>
  <si>
    <t>Hudson's dorid</t>
  </si>
  <si>
    <t>Cabezon</t>
  </si>
  <si>
    <t>dem</t>
  </si>
  <si>
    <t>Any plastic debris</t>
  </si>
  <si>
    <t>scyra</t>
  </si>
  <si>
    <t>Scyra spp.</t>
  </si>
  <si>
    <t>Dixon Inside</t>
  </si>
  <si>
    <t>Keyhole limpet</t>
  </si>
  <si>
    <t>Dixon SW</t>
  </si>
  <si>
    <t>dfi</t>
  </si>
  <si>
    <t>Debris - Fishing</t>
  </si>
  <si>
    <t>Any fishing debris</t>
  </si>
  <si>
    <t>Ross Islets Slug Island</t>
  </si>
  <si>
    <t>cag</t>
  </si>
  <si>
    <t>Cymatogaster aggregata</t>
  </si>
  <si>
    <t>Shiner perch</t>
  </si>
  <si>
    <t>sebastes</t>
  </si>
  <si>
    <t>Sebastes spp.</t>
  </si>
  <si>
    <t>Unidentified rockfish</t>
  </si>
  <si>
    <t>rva</t>
  </si>
  <si>
    <t>Pile perch</t>
  </si>
  <si>
    <t>pri</t>
  </si>
  <si>
    <t>Pugettia richii</t>
  </si>
  <si>
    <t>Cryptic kelp crab</t>
  </si>
  <si>
    <t>Apodichthys flavidus</t>
  </si>
  <si>
    <t>Penpoint gunnel</t>
  </si>
  <si>
    <t>Kirby</t>
  </si>
  <si>
    <t>teleostei</t>
  </si>
  <si>
    <t>Teleostei</t>
  </si>
  <si>
    <t>Unidentified larval fish</t>
  </si>
  <si>
    <t>Ed King SW Pyramid</t>
  </si>
  <si>
    <t>tonicella</t>
  </si>
  <si>
    <t>Unidentified lined chiton</t>
  </si>
  <si>
    <t>Ed King East</t>
  </si>
  <si>
    <t>Eagle Bay</t>
  </si>
  <si>
    <t>deg</t>
  </si>
  <si>
    <t>Aguilar Point</t>
  </si>
  <si>
    <t>deo</t>
  </si>
  <si>
    <t>Debris - Other</t>
  </si>
  <si>
    <t>Any debris OTHER THAN fishing gear, made of plastic, cloth, metal, glass or timber</t>
  </si>
  <si>
    <t>clu</t>
  </si>
  <si>
    <t>Yellow-edge cadlina</t>
  </si>
  <si>
    <t>Kii xin</t>
  </si>
  <si>
    <t>nla</t>
  </si>
  <si>
    <t>Frilled dogwinkle</t>
  </si>
  <si>
    <t>Ohiat</t>
  </si>
  <si>
    <t>ppu</t>
  </si>
  <si>
    <t>Pachycheles pubescens</t>
  </si>
  <si>
    <t>Pubescent Porcelain Crab</t>
  </si>
  <si>
    <t>cnu</t>
  </si>
  <si>
    <t>Chirolophis nugator</t>
  </si>
  <si>
    <t>Mosshead warbonnet</t>
  </si>
  <si>
    <t>Isabelle Côté</t>
  </si>
  <si>
    <t>mli</t>
  </si>
  <si>
    <t>Mopalia lignosa</t>
  </si>
  <si>
    <t>Woody Chiton</t>
  </si>
  <si>
    <t>hexagrammos</t>
  </si>
  <si>
    <t>Hexagrammos spp.</t>
  </si>
  <si>
    <t>Unidentified greenling</t>
  </si>
  <si>
    <t>mopalia</t>
  </si>
  <si>
    <t>Mopalia spp.</t>
  </si>
  <si>
    <t>lma</t>
  </si>
  <si>
    <t>Puget sound king crab</t>
  </si>
  <si>
    <t>smar</t>
  </si>
  <si>
    <t>hme</t>
  </si>
  <si>
    <t>Hapalogaster mertensii</t>
  </si>
  <si>
    <t>Hairy crab</t>
  </si>
  <si>
    <t>sni</t>
  </si>
  <si>
    <t>Sebastes nigrocinctus</t>
  </si>
  <si>
    <t>Tiger rockfish</t>
  </si>
  <si>
    <t>smi</t>
  </si>
  <si>
    <t>Sebastes miniatus</t>
  </si>
  <si>
    <t>Vermilion rockfish</t>
  </si>
  <si>
    <t>ppa</t>
  </si>
  <si>
    <t>Phyllolithodes papillosus</t>
  </si>
  <si>
    <t>Heart crab</t>
  </si>
  <si>
    <t>pbr</t>
  </si>
  <si>
    <t>Giant pink sea star</t>
  </si>
  <si>
    <t>Species Name</t>
  </si>
  <si>
    <t>Common Name</t>
  </si>
  <si>
    <t>aho</t>
  </si>
  <si>
    <t>Alloclinus holderi</t>
  </si>
  <si>
    <t>Island kelpfish</t>
  </si>
  <si>
    <t>ako</t>
  </si>
  <si>
    <t>Amphistichus koelzi</t>
  </si>
  <si>
    <t>Calico surfperch</t>
  </si>
  <si>
    <t>aco</t>
  </si>
  <si>
    <t>Artedius corallinus</t>
  </si>
  <si>
    <t>Coralline sculpin</t>
  </si>
  <si>
    <t>ala</t>
  </si>
  <si>
    <t>Artedius lateralis</t>
  </si>
  <si>
    <t>Smoothhead sculpin</t>
  </si>
  <si>
    <t>asp</t>
  </si>
  <si>
    <t>Atractoscion sp. (nobilis)</t>
  </si>
  <si>
    <t>bin</t>
  </si>
  <si>
    <t>Northern comb jelly</t>
  </si>
  <si>
    <t>Caulolatilus princeps</t>
  </si>
  <si>
    <t>Ocean whitefish</t>
  </si>
  <si>
    <t>cve</t>
  </si>
  <si>
    <t>Cephaloscyllium ventriosum</t>
  </si>
  <si>
    <t>Swell shark</t>
  </si>
  <si>
    <t>cpu</t>
  </si>
  <si>
    <t>Chromis punctipinnis</t>
  </si>
  <si>
    <t>Blacksmith chromis</t>
  </si>
  <si>
    <t>cottidae</t>
  </si>
  <si>
    <t>Cottidae spp.</t>
  </si>
  <si>
    <t>Cyclopterus lumpus</t>
  </si>
  <si>
    <t>Lumpfish</t>
  </si>
  <si>
    <t>eja</t>
  </si>
  <si>
    <t>Embiotoca jacksoni</t>
  </si>
  <si>
    <t>Black perch</t>
  </si>
  <si>
    <t>ela</t>
  </si>
  <si>
    <t>Striped seaperch</t>
  </si>
  <si>
    <t>eju</t>
  </si>
  <si>
    <t>Steller sea lion</t>
  </si>
  <si>
    <t>gmo</t>
  </si>
  <si>
    <t>Gadus morhua</t>
  </si>
  <si>
    <t>Atlantic cod</t>
  </si>
  <si>
    <t>gel</t>
  </si>
  <si>
    <t>Gibbonsia elegans</t>
  </si>
  <si>
    <t>Spotted kelpfish</t>
  </si>
  <si>
    <t>gsp</t>
  </si>
  <si>
    <t>Gibbonsia sp. (elegans)</t>
  </si>
  <si>
    <t>gni</t>
  </si>
  <si>
    <t>Girella nigricans</t>
  </si>
  <si>
    <t>Opaleye</t>
  </si>
  <si>
    <t>gsp.</t>
  </si>
  <si>
    <t>Gobiidae sp. [orange]</t>
  </si>
  <si>
    <t>gmor</t>
  </si>
  <si>
    <t>Gymnothorax mordax</t>
  </si>
  <si>
    <t>California moray</t>
  </si>
  <si>
    <t>hse</t>
  </si>
  <si>
    <t>Halichoeres semicinctus</t>
  </si>
  <si>
    <t>Rock wrasse</t>
  </si>
  <si>
    <t>ham</t>
  </si>
  <si>
    <t>Hemitripterus americanus</t>
  </si>
  <si>
    <t>hfr</t>
  </si>
  <si>
    <t>Heterodontus francisci</t>
  </si>
  <si>
    <t>Bullhead shark</t>
  </si>
  <si>
    <t>hro</t>
  </si>
  <si>
    <t>Heterostichus rostratus</t>
  </si>
  <si>
    <t>Giant kelpfish</t>
  </si>
  <si>
    <t>hst</t>
  </si>
  <si>
    <t>Whitespotted greenling</t>
  </si>
  <si>
    <t>hca</t>
  </si>
  <si>
    <t>Hypsurus caryi</t>
  </si>
  <si>
    <t>Rainbow seaperch</t>
  </si>
  <si>
    <t>hru</t>
  </si>
  <si>
    <t>Hypsypops rubicundus</t>
  </si>
  <si>
    <t>Garibaldi damselfish</t>
  </si>
  <si>
    <t>lhi</t>
  </si>
  <si>
    <t>Leiocottus hirundo</t>
  </si>
  <si>
    <t>Lavender sculpin</t>
  </si>
  <si>
    <t>lar</t>
  </si>
  <si>
    <t>Leptocottus armatus</t>
  </si>
  <si>
    <t>Pacific staghorn sculpin</t>
  </si>
  <si>
    <t>lda</t>
  </si>
  <si>
    <t>Lythrypnus dalli</t>
  </si>
  <si>
    <t>Bluebanded goby</t>
  </si>
  <si>
    <t>lze</t>
  </si>
  <si>
    <t>Lythrypnus zebra</t>
  </si>
  <si>
    <t>Zebra goby</t>
  </si>
  <si>
    <t>mvi</t>
  </si>
  <si>
    <t>Mallotus villosus</t>
  </si>
  <si>
    <t>mca</t>
  </si>
  <si>
    <t>Medialuna californiensis</t>
  </si>
  <si>
    <t>Halfmoon</t>
  </si>
  <si>
    <t>mcal</t>
  </si>
  <si>
    <t>Myliobatis californica</t>
  </si>
  <si>
    <t>Bat eagle ray</t>
  </si>
  <si>
    <t>Myoxocephalus aenaeus</t>
  </si>
  <si>
    <t>Grubby sculpin</t>
  </si>
  <si>
    <t>msc</t>
  </si>
  <si>
    <t>Myoxocephalus scorpius</t>
  </si>
  <si>
    <t>Shorthorn sculpin</t>
  </si>
  <si>
    <t>neoclinus</t>
  </si>
  <si>
    <t>Neoclinus spp.</t>
  </si>
  <si>
    <t>obi</t>
  </si>
  <si>
    <t>Octopus bimaculatus</t>
  </si>
  <si>
    <t>California two-spot octopus</t>
  </si>
  <si>
    <t>oru</t>
  </si>
  <si>
    <t>Octopus rubescens</t>
  </si>
  <si>
    <t>East pacific red octopus</t>
  </si>
  <si>
    <t>octopus</t>
  </si>
  <si>
    <t>Octopus spp.</t>
  </si>
  <si>
    <t>Octopus</t>
  </si>
  <si>
    <t>otr</t>
  </si>
  <si>
    <t>Orthonopias triacis</t>
  </si>
  <si>
    <t>Snubnose sculpin</t>
  </si>
  <si>
    <t>otariidae</t>
  </si>
  <si>
    <t>Otariidae spp.</t>
  </si>
  <si>
    <t>eared seals</t>
  </si>
  <si>
    <t>oca</t>
  </si>
  <si>
    <t>Oxyjulis californica</t>
  </si>
  <si>
    <t>SeÃ±orita</t>
  </si>
  <si>
    <t>pcl</t>
  </si>
  <si>
    <t>Paralabrax clathratus</t>
  </si>
  <si>
    <t>Kelp bass</t>
  </si>
  <si>
    <t>pat</t>
  </si>
  <si>
    <t>Phanerodon atripes</t>
  </si>
  <si>
    <t>Sharpnose seaperch</t>
  </si>
  <si>
    <t>pgu</t>
  </si>
  <si>
    <t>Pholis gunnellus</t>
  </si>
  <si>
    <t>Rock gunnel</t>
  </si>
  <si>
    <t>pam</t>
  </si>
  <si>
    <t>Pseudopleuronectes americanus</t>
  </si>
  <si>
    <t>Winter flounder</t>
  </si>
  <si>
    <t>rto</t>
  </si>
  <si>
    <t>Rhacochilus toxotes</t>
  </si>
  <si>
    <t>Rubberlip seaperch</t>
  </si>
  <si>
    <t>ssa</t>
  </si>
  <si>
    <t>Scomberesox saurus</t>
  </si>
  <si>
    <t>sgu</t>
  </si>
  <si>
    <t>Scorpaena guttata</t>
  </si>
  <si>
    <t>California scorpionfish</t>
  </si>
  <si>
    <t>scyliorhinidae</t>
  </si>
  <si>
    <t>Scyliorhinidae spp.</t>
  </si>
  <si>
    <t>sat</t>
  </si>
  <si>
    <t>Sebastes atrovirens</t>
  </si>
  <si>
    <t>Kelp rockfish</t>
  </si>
  <si>
    <t>sau</t>
  </si>
  <si>
    <t>Sebastes auriculatus</t>
  </si>
  <si>
    <t>Brown rockfish</t>
  </si>
  <si>
    <t>scar</t>
  </si>
  <si>
    <t>Sebastes carnatus</t>
  </si>
  <si>
    <t>Gopher rockfish</t>
  </si>
  <si>
    <t>sch</t>
  </si>
  <si>
    <t>Sebastes chrysomelas</t>
  </si>
  <si>
    <t>Black-and-yellow rockfish</t>
  </si>
  <si>
    <t>sdi</t>
  </si>
  <si>
    <t>Sebastes diaconus</t>
  </si>
  <si>
    <t>Deacon rockfish</t>
  </si>
  <si>
    <t>smy</t>
  </si>
  <si>
    <t>Sebastes mystinus</t>
  </si>
  <si>
    <t>Blue rockfish</t>
  </si>
  <si>
    <t>spa</t>
  </si>
  <si>
    <t>Sebastes paucispinis</t>
  </si>
  <si>
    <t>Bocaccio rockfish</t>
  </si>
  <si>
    <t>spi</t>
  </si>
  <si>
    <t>Canary rockfish</t>
  </si>
  <si>
    <t>sra</t>
  </si>
  <si>
    <t>Sebastes rastrelliger</t>
  </si>
  <si>
    <t>Grass rockfish</t>
  </si>
  <si>
    <t>sse</t>
  </si>
  <si>
    <t>Sebastes serranoides</t>
  </si>
  <si>
    <t>Olive rockfish</t>
  </si>
  <si>
    <t>sser</t>
  </si>
  <si>
    <t>Sebastes serriceps</t>
  </si>
  <si>
    <t>Treefish</t>
  </si>
  <si>
    <t>syoy</t>
  </si>
  <si>
    <t>Rockfish YOY</t>
  </si>
  <si>
    <t>Semicossyphus pulcher</t>
  </si>
  <si>
    <t>California sheephead</t>
  </si>
  <si>
    <t>snd</t>
  </si>
  <si>
    <t>Survey Not Done</t>
  </si>
  <si>
    <t>sgi</t>
  </si>
  <si>
    <t>Synchirus gilli</t>
  </si>
  <si>
    <t>Manacled sculpin</t>
  </si>
  <si>
    <t>tad</t>
  </si>
  <si>
    <t>Tautogolabrus adspersus</t>
  </si>
  <si>
    <t>Cunner</t>
  </si>
  <si>
    <t>usu</t>
  </si>
  <si>
    <t>Ulvaria subbifurcata</t>
  </si>
  <si>
    <t>Radiated shanny</t>
  </si>
  <si>
    <t>uch</t>
  </si>
  <si>
    <t>Urophycis chuss</t>
  </si>
  <si>
    <t>zam</t>
  </si>
  <si>
    <t>Zoarces americanus</t>
  </si>
  <si>
    <t>Eelpout</t>
  </si>
  <si>
    <t>nsf</t>
  </si>
  <si>
    <t>No species found</t>
  </si>
  <si>
    <t>White-and-Orange-Tipped Nudibranch</t>
  </si>
  <si>
    <t>ana</t>
  </si>
  <si>
    <t>Acanthodoris nanaimoensis</t>
  </si>
  <si>
    <t>Nanaimo horned dorid</t>
  </si>
  <si>
    <t>Acanthodoris sp. [hudsoni]</t>
  </si>
  <si>
    <t>apa</t>
  </si>
  <si>
    <t>Aeolidia papillosa</t>
  </si>
  <si>
    <t>Shag-rug nudibranch</t>
  </si>
  <si>
    <t>acol</t>
  </si>
  <si>
    <t>Amphissa columbiana</t>
  </si>
  <si>
    <t>Wrinkled dove snail</t>
  </si>
  <si>
    <t>amphissa</t>
  </si>
  <si>
    <t>Amphissa spp.</t>
  </si>
  <si>
    <t>Dove shell</t>
  </si>
  <si>
    <t>anisodoris</t>
  </si>
  <si>
    <t>Anisodoris spp.</t>
  </si>
  <si>
    <t>acal</t>
  </si>
  <si>
    <t>Aplysia californica</t>
  </si>
  <si>
    <t>California seahare</t>
  </si>
  <si>
    <t>archidoris</t>
  </si>
  <si>
    <t>Archidoris spp.</t>
  </si>
  <si>
    <t>Aru</t>
  </si>
  <si>
    <t>Asterias rubens</t>
  </si>
  <si>
    <t>Common sea star</t>
  </si>
  <si>
    <t>California sidegill slug</t>
  </si>
  <si>
    <t>bmi</t>
  </si>
  <si>
    <t>Baptodoris mimetica</t>
  </si>
  <si>
    <t>Mimic dorid</t>
  </si>
  <si>
    <t>Common northern comb jelly</t>
  </si>
  <si>
    <t>bun</t>
  </si>
  <si>
    <t>Buccinum undatum</t>
  </si>
  <si>
    <t>Waved whelk</t>
  </si>
  <si>
    <t>can</t>
  </si>
  <si>
    <t>Calliostoma annulatum</t>
  </si>
  <si>
    <t>cir</t>
  </si>
  <si>
    <t>Cancer irroratus</t>
  </si>
  <si>
    <t>Atlantic rock crab</t>
  </si>
  <si>
    <t>cco</t>
  </si>
  <si>
    <t>Centrostephanus coronatus</t>
  </si>
  <si>
    <t>Crowned sea urchin</t>
  </si>
  <si>
    <t>cven</t>
  </si>
  <si>
    <t>cha</t>
  </si>
  <si>
    <t>Chlamys hastata</t>
  </si>
  <si>
    <t>Spear scallop</t>
  </si>
  <si>
    <t>cru</t>
  </si>
  <si>
    <t>Chlamys rubida</t>
  </si>
  <si>
    <t>Reddish scallop</t>
  </si>
  <si>
    <t>cver</t>
  </si>
  <si>
    <t>Coryphella verrucosa</t>
  </si>
  <si>
    <t>cad</t>
  </si>
  <si>
    <t>Crepidula adunca</t>
  </si>
  <si>
    <t>cpa</t>
  </si>
  <si>
    <t>Crossaster papposus</t>
  </si>
  <si>
    <t>Rose seastar</t>
  </si>
  <si>
    <t>csi</t>
  </si>
  <si>
    <t>Cryptolithodes sitchensis</t>
  </si>
  <si>
    <t xml:space="preserve">Umbrella crab </t>
  </si>
  <si>
    <t>cfr</t>
  </si>
  <si>
    <t>Cucumaria frondosa</t>
  </si>
  <si>
    <t>Orange-footed sea cucumber</t>
  </si>
  <si>
    <t>cmi</t>
  </si>
  <si>
    <t>Cucumaria miniata</t>
  </si>
  <si>
    <t>Orange sea cucumber</t>
  </si>
  <si>
    <t>cpi</t>
  </si>
  <si>
    <t>Cucumaria piperata</t>
  </si>
  <si>
    <t>csa</t>
  </si>
  <si>
    <t>Cucumaria salma</t>
  </si>
  <si>
    <t>White sea cucumber</t>
  </si>
  <si>
    <t>clum</t>
  </si>
  <si>
    <t>dfu</t>
  </si>
  <si>
    <t>Dendrodoris fulva</t>
  </si>
  <si>
    <t>Yellow porostome</t>
  </si>
  <si>
    <t>dalb</t>
  </si>
  <si>
    <t>Dendronotus albus</t>
  </si>
  <si>
    <t>White frond-aeolis</t>
  </si>
  <si>
    <t>dfr</t>
  </si>
  <si>
    <t>Dendronotus frondosus</t>
  </si>
  <si>
    <t>Ringed dorid</t>
  </si>
  <si>
    <t>dpe</t>
  </si>
  <si>
    <t>Dirona pellucida</t>
  </si>
  <si>
    <t>Golden dirona</t>
  </si>
  <si>
    <t>Giant white doris</t>
  </si>
  <si>
    <t>Stellar sea lion</t>
  </si>
  <si>
    <t>edo</t>
  </si>
  <si>
    <t>Giant pacific octopus</t>
  </si>
  <si>
    <t>epa</t>
  </si>
  <si>
    <t>Echinarachnius parma</t>
  </si>
  <si>
    <t>ete</t>
  </si>
  <si>
    <t>Elassochirus tenuimanus</t>
  </si>
  <si>
    <t>Widehand hermitcrab</t>
  </si>
  <si>
    <t>equ</t>
  </si>
  <si>
    <t>Eupentacta quinquesemita</t>
  </si>
  <si>
    <t>Stiff-footed sea cucumber</t>
  </si>
  <si>
    <t>eupentacta</t>
  </si>
  <si>
    <t>Eupentacta spp.</t>
  </si>
  <si>
    <t>fse</t>
  </si>
  <si>
    <t>Florometra serratissima</t>
  </si>
  <si>
    <t>Common feather star</t>
  </si>
  <si>
    <t>fusinus</t>
  </si>
  <si>
    <t>Fusinus spp.</t>
  </si>
  <si>
    <t>for</t>
  </si>
  <si>
    <t>Fusitriton oregonensis</t>
  </si>
  <si>
    <t>Oregon triton</t>
  </si>
  <si>
    <t>ghe</t>
  </si>
  <si>
    <t>Geitodoris heathi</t>
  </si>
  <si>
    <t>Heath's dorid</t>
  </si>
  <si>
    <t>Haliotis rufescens</t>
  </si>
  <si>
    <t>Red abalone</t>
  </si>
  <si>
    <t>him</t>
  </si>
  <si>
    <t>Harmothoe imbricata</t>
  </si>
  <si>
    <t>hpu</t>
  </si>
  <si>
    <t>Henricia pumila</t>
  </si>
  <si>
    <t>Dwarf mottled henricia</t>
  </si>
  <si>
    <t>hsa</t>
  </si>
  <si>
    <t>Henricia sanguinolenta</t>
  </si>
  <si>
    <t>Northern henricia</t>
  </si>
  <si>
    <t>hsty</t>
  </si>
  <si>
    <t>Heptacarpus stylus</t>
  </si>
  <si>
    <t>Stiletto shrimp</t>
  </si>
  <si>
    <t>hpa</t>
  </si>
  <si>
    <t>Herbstia parvifrons</t>
  </si>
  <si>
    <t>Crevice spider crab</t>
  </si>
  <si>
    <t>hsp</t>
  </si>
  <si>
    <t>Hippasteria spinosa</t>
  </si>
  <si>
    <t>Spiny red star</t>
  </si>
  <si>
    <t>Homarus americanus</t>
  </si>
  <si>
    <t>American lobster</t>
  </si>
  <si>
    <t>hco</t>
  </si>
  <si>
    <t>Hyas coarctatus</t>
  </si>
  <si>
    <t>Arctic lyre crab</t>
  </si>
  <si>
    <t>kke</t>
  </si>
  <si>
    <t>Kelletia kelletii</t>
  </si>
  <si>
    <t>Kellet's whelk</t>
  </si>
  <si>
    <t>lgr</t>
  </si>
  <si>
    <t>Lebbeus groenlandicus</t>
  </si>
  <si>
    <t>lhe</t>
  </si>
  <si>
    <t>Leptasterias hexactis</t>
  </si>
  <si>
    <t>Six-rayed star</t>
  </si>
  <si>
    <t>lpo</t>
  </si>
  <si>
    <t>Leptasterias polaris</t>
  </si>
  <si>
    <t>Polar six-rayed star</t>
  </si>
  <si>
    <t>lco</t>
  </si>
  <si>
    <t>Linckia columbiae</t>
  </si>
  <si>
    <t>Fragile star</t>
  </si>
  <si>
    <t>lfl</t>
  </si>
  <si>
    <t>Liparis florae</t>
  </si>
  <si>
    <t>Tidepool snailfish</t>
  </si>
  <si>
    <t>lbe</t>
  </si>
  <si>
    <t>Lophopanopeus bellus</t>
  </si>
  <si>
    <t>Black-clawed crab</t>
  </si>
  <si>
    <t>lsp.</t>
  </si>
  <si>
    <t>Unidentified plate limpet</t>
  </si>
  <si>
    <t>lsc</t>
  </si>
  <si>
    <t>Lottia scutum</t>
  </si>
  <si>
    <t>Plate limpet</t>
  </si>
  <si>
    <t>majidae</t>
  </si>
  <si>
    <t>Majidae spp.</t>
  </si>
  <si>
    <t>mun</t>
  </si>
  <si>
    <t>Megastraea undosa</t>
  </si>
  <si>
    <t>Wavy turban snail</t>
  </si>
  <si>
    <t>mle</t>
  </si>
  <si>
    <t>Melibe leonina</t>
  </si>
  <si>
    <t>Hooded nudibranch</t>
  </si>
  <si>
    <t>mfo</t>
  </si>
  <si>
    <t>Mimulus foliatus</t>
  </si>
  <si>
    <t>Foliate kelp crab</t>
  </si>
  <si>
    <t>mce</t>
  </si>
  <si>
    <t>Mitrocoma cellularia</t>
  </si>
  <si>
    <t>Cross jellyfish</t>
  </si>
  <si>
    <t>mmo</t>
  </si>
  <si>
    <t>Modiolus modiolus</t>
  </si>
  <si>
    <t>Horse mussel</t>
  </si>
  <si>
    <t>nin</t>
  </si>
  <si>
    <t>Navanax inermis</t>
  </si>
  <si>
    <t>California aglaja</t>
  </si>
  <si>
    <t>nle</t>
  </si>
  <si>
    <t>Lewis' Moon snail</t>
  </si>
  <si>
    <t>nno</t>
  </si>
  <si>
    <t>Norrisia norrisii</t>
  </si>
  <si>
    <t>Norris top snail</t>
  </si>
  <si>
    <t>obim</t>
  </si>
  <si>
    <t>oma</t>
  </si>
  <si>
    <t>Oligocottus maculosus</t>
  </si>
  <si>
    <t>Tidepool sculpin</t>
  </si>
  <si>
    <t>olivella</t>
  </si>
  <si>
    <t>Olivella spp.</t>
  </si>
  <si>
    <t>Onchidoris bilamellata</t>
  </si>
  <si>
    <t>Rough-mantled doris</t>
  </si>
  <si>
    <t>pru</t>
  </si>
  <si>
    <t>Pachythyone rubra</t>
  </si>
  <si>
    <t>Red sea cucumber</t>
  </si>
  <si>
    <t>pul</t>
  </si>
  <si>
    <t>Paguristes ulreyi</t>
  </si>
  <si>
    <t>Furry hermit crab</t>
  </si>
  <si>
    <t>pac</t>
  </si>
  <si>
    <t>Pagurus acadianus</t>
  </si>
  <si>
    <t>noble sea lemon</t>
  </si>
  <si>
    <t>pin</t>
  </si>
  <si>
    <t>Panulirus interruptus</t>
  </si>
  <si>
    <t>California spiny lobster</t>
  </si>
  <si>
    <t>parastichopus</t>
  </si>
  <si>
    <t>Parastichopus spp.</t>
  </si>
  <si>
    <t>phi</t>
  </si>
  <si>
    <t>Phidiana hiltoni</t>
  </si>
  <si>
    <t>Pugnaceous aeolis</t>
  </si>
  <si>
    <t>Longfin gunnel</t>
  </si>
  <si>
    <t>por</t>
  </si>
  <si>
    <t>Pholis ornata</t>
  </si>
  <si>
    <t>Saddleback gunnel</t>
  </si>
  <si>
    <t>pgig</t>
  </si>
  <si>
    <t>Pisaster giganteus</t>
  </si>
  <si>
    <t>Giant spined star</t>
  </si>
  <si>
    <t>Ochre sea star</t>
  </si>
  <si>
    <t>pma</t>
  </si>
  <si>
    <t>Placopecten magellanicus</t>
  </si>
  <si>
    <t>Giant scallop</t>
  </si>
  <si>
    <t>ppe</t>
  </si>
  <si>
    <t>Polyorchis penicillatus</t>
  </si>
  <si>
    <t>Red-eye jellyfish</t>
  </si>
  <si>
    <t>plu</t>
  </si>
  <si>
    <t>Pseudocnus lubrica</t>
  </si>
  <si>
    <t>pgr</t>
  </si>
  <si>
    <t>Graceful kelp crab</t>
  </si>
  <si>
    <t>pugettia</t>
  </si>
  <si>
    <t>Pugettia spp.</t>
  </si>
  <si>
    <t>Kelp crabs</t>
  </si>
  <si>
    <t>rwo</t>
  </si>
  <si>
    <t>Rhinolithodes wosnessenskii</t>
  </si>
  <si>
    <t>Rhinoceros crab</t>
  </si>
  <si>
    <t>ran</t>
  </si>
  <si>
    <t>Romaleon antennarium</t>
  </si>
  <si>
    <t>California rock crab</t>
  </si>
  <si>
    <t>rbr</t>
  </si>
  <si>
    <t>Romaleon branneri</t>
  </si>
  <si>
    <t>Furrowed rock crab</t>
  </si>
  <si>
    <t>sda</t>
  </si>
  <si>
    <t>Solaster dawsoni</t>
  </si>
  <si>
    <t>Morning sun star</t>
  </si>
  <si>
    <t>sen</t>
  </si>
  <si>
    <t>Solaster endeca</t>
  </si>
  <si>
    <t>Northern sun star</t>
  </si>
  <si>
    <t>tei</t>
  </si>
  <si>
    <t>Tegula eiseni</t>
  </si>
  <si>
    <t>Banded tegula</t>
  </si>
  <si>
    <t>tpu</t>
  </si>
  <si>
    <t>Tegula pulligo</t>
  </si>
  <si>
    <t>Dusky tegula</t>
  </si>
  <si>
    <t>tre</t>
  </si>
  <si>
    <t>Tegula regina</t>
  </si>
  <si>
    <t>Queen tegula</t>
  </si>
  <si>
    <t>tte</t>
  </si>
  <si>
    <t>Testudinalia testudinalis</t>
  </si>
  <si>
    <t>tsp.</t>
  </si>
  <si>
    <t>Any fishing gear</t>
  </si>
  <si>
    <t>dec</t>
  </si>
  <si>
    <t>Debris - Cloth</t>
  </si>
  <si>
    <t>Any cloth debris</t>
  </si>
  <si>
    <t>dew</t>
  </si>
  <si>
    <t>Debris - Wood</t>
  </si>
  <si>
    <t>Any timber debris &gt; 10cm</t>
  </si>
  <si>
    <t>Survey not done</t>
  </si>
  <si>
    <t>SITE</t>
  </si>
  <si>
    <t>Region</t>
  </si>
  <si>
    <t>BC1</t>
  </si>
  <si>
    <t>Mercury</t>
  </si>
  <si>
    <t>British Columbia</t>
  </si>
  <si>
    <t>BC2</t>
  </si>
  <si>
    <t>Kelpie Point</t>
  </si>
  <si>
    <t>BC3</t>
  </si>
  <si>
    <t>West Beach</t>
  </si>
  <si>
    <t>BC4</t>
  </si>
  <si>
    <t>Triquet</t>
  </si>
  <si>
    <t>BC5</t>
  </si>
  <si>
    <t>North Beach</t>
  </si>
  <si>
    <t>BC6</t>
  </si>
  <si>
    <t>West Beach Nereo</t>
  </si>
  <si>
    <t>BC7</t>
  </si>
  <si>
    <t>Rattenbury</t>
  </si>
  <si>
    <t>BC8</t>
  </si>
  <si>
    <t>Starfish</t>
  </si>
  <si>
    <t>Bamfield</t>
  </si>
  <si>
    <t>BMSC13</t>
  </si>
  <si>
    <t>Effingham West</t>
  </si>
  <si>
    <t>BMSC14</t>
  </si>
  <si>
    <t>Effingham Archipelago</t>
  </si>
  <si>
    <t>BMSC15</t>
  </si>
  <si>
    <t>Raymond Kelp Rock</t>
  </si>
  <si>
    <t>BMSC16</t>
  </si>
  <si>
    <t>Faber Islets</t>
  </si>
  <si>
    <t>BMSC17</t>
  </si>
  <si>
    <t>Wouwer Channel</t>
  </si>
  <si>
    <t>BMSC18</t>
  </si>
  <si>
    <t>Eussen Rock</t>
  </si>
  <si>
    <t>BMSC7</t>
  </si>
  <si>
    <t>Baeria Rocks North Island Southside</t>
  </si>
  <si>
    <t>NFLD1</t>
  </si>
  <si>
    <t>Middle Cove</t>
  </si>
  <si>
    <t>Newfoundland</t>
  </si>
  <si>
    <t>NFLD10</t>
  </si>
  <si>
    <t>Admirals Cove</t>
  </si>
  <si>
    <t>NFLD11</t>
  </si>
  <si>
    <t>Harbour Main</t>
  </si>
  <si>
    <t>NFLD12</t>
  </si>
  <si>
    <t>Biscayan Cove</t>
  </si>
  <si>
    <t>NFLD13</t>
  </si>
  <si>
    <t>Bauline</t>
  </si>
  <si>
    <t>NFLD2</t>
  </si>
  <si>
    <t>Tappers Cove</t>
  </si>
  <si>
    <t>NFLD3</t>
  </si>
  <si>
    <t>OSC Canyon</t>
  </si>
  <si>
    <t>NFLD4</t>
  </si>
  <si>
    <t>Portugal Cove</t>
  </si>
  <si>
    <t>NFLD5</t>
  </si>
  <si>
    <t>Broad Cove</t>
  </si>
  <si>
    <t>NFLD6</t>
  </si>
  <si>
    <t>Hare Bay</t>
  </si>
  <si>
    <t>NFLD7</t>
  </si>
  <si>
    <t>Sandy Cove Beach</t>
  </si>
  <si>
    <t>NFLD8</t>
  </si>
  <si>
    <t>Wild Cove</t>
  </si>
  <si>
    <t>NFLD9</t>
  </si>
  <si>
    <t>Flatrock</t>
  </si>
  <si>
    <t>USWC10</t>
  </si>
  <si>
    <t>Johnsons Lee South  Sta Rosa CA</t>
  </si>
  <si>
    <t>Channel Islands</t>
  </si>
  <si>
    <t>USWC11</t>
  </si>
  <si>
    <t>Cavern Point  Santa Cruz</t>
  </si>
  <si>
    <t>USWC12</t>
  </si>
  <si>
    <t>Little Scorpion  Santa Cruz</t>
  </si>
  <si>
    <t>USWC13</t>
  </si>
  <si>
    <t>Devils Peak Member  Santa Cruz</t>
  </si>
  <si>
    <t>USWC14</t>
  </si>
  <si>
    <t>Devils Peak Member south  Santa Cruz</t>
  </si>
  <si>
    <t>USWC17</t>
  </si>
  <si>
    <t>Cottam Point  Nanaimo BC</t>
  </si>
  <si>
    <t>Vancouver</t>
  </si>
  <si>
    <t>USWC18</t>
  </si>
  <si>
    <t>Madrona Point SW  Nainaimo BC</t>
  </si>
  <si>
    <t>USWC19</t>
  </si>
  <si>
    <t>Madrona Point NW  Nainaimo BC</t>
  </si>
  <si>
    <t>USWC2</t>
  </si>
  <si>
    <t>Scorpion Anchorage  Sta Cruz CA</t>
  </si>
  <si>
    <t>USWC20</t>
  </si>
  <si>
    <t>Quathiaski Cove BC</t>
  </si>
  <si>
    <t>USWC21</t>
  </si>
  <si>
    <t>Dolphin Beach East BC</t>
  </si>
  <si>
    <t>USWC22</t>
  </si>
  <si>
    <t>Maple Cove  Vancouver I BC</t>
  </si>
  <si>
    <t>USWC23</t>
  </si>
  <si>
    <t>Kelvin Grove  BC</t>
  </si>
  <si>
    <t>USWC3</t>
  </si>
  <si>
    <t>South Point  Sta Rosa CA</t>
  </si>
  <si>
    <t>USWC4</t>
  </si>
  <si>
    <t>Chickasaw  Sta Rosa CA</t>
  </si>
  <si>
    <t>USWC5</t>
  </si>
  <si>
    <t>Johnson s Lee  Sta Rosa CA</t>
  </si>
  <si>
    <t>USWC6</t>
  </si>
  <si>
    <t>Johnsons Lee North  Sta Rosa CA</t>
  </si>
  <si>
    <t>USWC7</t>
  </si>
  <si>
    <t>Pedro Reef  Santa Cruz</t>
  </si>
  <si>
    <t>USWC8</t>
  </si>
  <si>
    <t>Potato Pasture  Santa Cruz</t>
  </si>
  <si>
    <t>USWC9</t>
  </si>
  <si>
    <t>Hare Rock  San Miguel</t>
  </si>
  <si>
    <t>S</t>
  </si>
  <si>
    <t>FAMILY</t>
  </si>
  <si>
    <t>COMMON NAME</t>
  </si>
  <si>
    <t>Agonidae</t>
  </si>
  <si>
    <t>Poachers</t>
  </si>
  <si>
    <t>Ambassidae</t>
  </si>
  <si>
    <t>Glassfishes</t>
  </si>
  <si>
    <t>Anarhichadidae</t>
  </si>
  <si>
    <t>Wolf eels</t>
  </si>
  <si>
    <t>Antennariidae</t>
  </si>
  <si>
    <t>Anglerfishes</t>
  </si>
  <si>
    <t>Aploactinidae</t>
  </si>
  <si>
    <t>Velvetfishes</t>
  </si>
  <si>
    <t>Apogonidae</t>
  </si>
  <si>
    <t>Cardinalfishes</t>
  </si>
  <si>
    <t>Ariidae</t>
  </si>
  <si>
    <t>Catfishes</t>
  </si>
  <si>
    <t>Aulopidae</t>
  </si>
  <si>
    <t>Sergeant bakers</t>
  </si>
  <si>
    <t>Bathymasteridae</t>
  </si>
  <si>
    <t>Ronquils</t>
  </si>
  <si>
    <t>Batrachoididae</t>
  </si>
  <si>
    <t>Frogfishes</t>
  </si>
  <si>
    <t>Blenniidae</t>
  </si>
  <si>
    <t>Blennies</t>
  </si>
  <si>
    <t>Bothidae</t>
  </si>
  <si>
    <t>Lefteye flounder</t>
  </si>
  <si>
    <t>Bovichtidae</t>
  </si>
  <si>
    <t>Thornfish</t>
  </si>
  <si>
    <t>Brachaeluridae</t>
  </si>
  <si>
    <t>Blind sharks</t>
  </si>
  <si>
    <t>Brachionichthyidae</t>
  </si>
  <si>
    <t>Handfishes</t>
  </si>
  <si>
    <t>Bythitidae</t>
  </si>
  <si>
    <t>Blindfishes and cuskeels</t>
  </si>
  <si>
    <t>Callionymidae</t>
  </si>
  <si>
    <t>Dragonets</t>
  </si>
  <si>
    <t>Caracanthidae</t>
  </si>
  <si>
    <t>Crouchers</t>
  </si>
  <si>
    <t>Carapidae</t>
  </si>
  <si>
    <t>Pearlfish</t>
  </si>
  <si>
    <t>Centriscidae</t>
  </si>
  <si>
    <t>Razorfish</t>
  </si>
  <si>
    <t xml:space="preserve">Chaenopsidae </t>
  </si>
  <si>
    <t>Tubeblennies, flagblennies</t>
  </si>
  <si>
    <t>Chironemidae</t>
  </si>
  <si>
    <t>Kelpfishes</t>
  </si>
  <si>
    <t>Cirrhitidae</t>
  </si>
  <si>
    <t>Hawkfishes</t>
  </si>
  <si>
    <t>Clinidae</t>
  </si>
  <si>
    <t>Weedfishes</t>
  </si>
  <si>
    <t>Congridae</t>
  </si>
  <si>
    <t>Conger eels</t>
  </si>
  <si>
    <t>Congrogadidae</t>
  </si>
  <si>
    <t>Eel blennies</t>
  </si>
  <si>
    <t>Cottidae</t>
  </si>
  <si>
    <t>Sculpins</t>
  </si>
  <si>
    <t>Creediidae</t>
  </si>
  <si>
    <t>Sand divers</t>
  </si>
  <si>
    <t>Cryptacanthodidae</t>
  </si>
  <si>
    <t>Wrymouths</t>
  </si>
  <si>
    <t>Cyclopteridae</t>
  </si>
  <si>
    <t>Lumpsucker</t>
  </si>
  <si>
    <t>Cynoglossidae</t>
  </si>
  <si>
    <t>Tonguefish</t>
  </si>
  <si>
    <t>Dasyatidae</t>
  </si>
  <si>
    <t>Stingrays</t>
  </si>
  <si>
    <t>Diodontidae</t>
  </si>
  <si>
    <t>Porcupinefish</t>
  </si>
  <si>
    <t>Eleotridae</t>
  </si>
  <si>
    <t>Gudgeons</t>
  </si>
  <si>
    <t>Gnathanacanthidae</t>
  </si>
  <si>
    <t>Red velvetfish</t>
  </si>
  <si>
    <t>Gobiesocidae</t>
  </si>
  <si>
    <t>Clingfishes</t>
  </si>
  <si>
    <t>Gobiidae</t>
  </si>
  <si>
    <t>Gobies</t>
  </si>
  <si>
    <t>Grammistidae</t>
  </si>
  <si>
    <t>Soapfishes</t>
  </si>
  <si>
    <t>Hemiscylliidae</t>
  </si>
  <si>
    <t>Longtail carpet sharks</t>
  </si>
  <si>
    <t>Heterodontidae</t>
  </si>
  <si>
    <t>Bullhead sharks</t>
  </si>
  <si>
    <t>Holocentridae</t>
  </si>
  <si>
    <t>Squirrel and soldier fishes</t>
  </si>
  <si>
    <t>Hypnidae</t>
  </si>
  <si>
    <t>Coffin rays</t>
  </si>
  <si>
    <t>Labrisomidae</t>
  </si>
  <si>
    <t>Tropical blennies</t>
  </si>
  <si>
    <t>Leptoscopidae</t>
  </si>
  <si>
    <t>Pygmy stargazers</t>
  </si>
  <si>
    <t>Liparidae</t>
  </si>
  <si>
    <t>Snailfishes</t>
  </si>
  <si>
    <t>Lotidae</t>
  </si>
  <si>
    <t>Burbots</t>
  </si>
  <si>
    <t>Monocentridae</t>
  </si>
  <si>
    <t>Pineapplefishes</t>
  </si>
  <si>
    <t>Moridae</t>
  </si>
  <si>
    <t>Beardies</t>
  </si>
  <si>
    <t>Muraenidae</t>
  </si>
  <si>
    <t>Moray eels</t>
  </si>
  <si>
    <t>Nototheniidae</t>
  </si>
  <si>
    <t>Icefishes</t>
  </si>
  <si>
    <t>Ophichthidae</t>
  </si>
  <si>
    <t>Snake and worm eels</t>
  </si>
  <si>
    <t>Ophidiidae</t>
  </si>
  <si>
    <t>Lings</t>
  </si>
  <si>
    <t>Opistognathidae</t>
  </si>
  <si>
    <t>Jawfishes</t>
  </si>
  <si>
    <t>Orectolobidae</t>
  </si>
  <si>
    <t>Wobbegongs</t>
  </si>
  <si>
    <t>Paralichthyidae</t>
  </si>
  <si>
    <t>Large-tooth flounder</t>
  </si>
  <si>
    <t>Parascylliidae</t>
  </si>
  <si>
    <t>Catsharks</t>
  </si>
  <si>
    <t>Pataecidae</t>
  </si>
  <si>
    <t>Prowfishes</t>
  </si>
  <si>
    <t>Pegasidae</t>
  </si>
  <si>
    <t>Seamoths</t>
  </si>
  <si>
    <t>Pempheridae</t>
  </si>
  <si>
    <t>Bullseye</t>
  </si>
  <si>
    <t>Pholidae</t>
  </si>
  <si>
    <t>Gunnels</t>
  </si>
  <si>
    <t>Pinguipedidae</t>
  </si>
  <si>
    <t>Grubfishes</t>
  </si>
  <si>
    <t>Platycephalidae</t>
  </si>
  <si>
    <t>Flatheads</t>
  </si>
  <si>
    <t>*Plesiopidae – excluding Trachinops</t>
  </si>
  <si>
    <t>Longfins</t>
  </si>
  <si>
    <t>Pleuronectidae</t>
  </si>
  <si>
    <t>Righteye flounder</t>
  </si>
  <si>
    <t>Plotosidae</t>
  </si>
  <si>
    <t>Priacanthidae</t>
  </si>
  <si>
    <t>Bigeyes</t>
  </si>
  <si>
    <t>Pseudochromidae</t>
  </si>
  <si>
    <t>Dottybacks</t>
  </si>
  <si>
    <t>Psychrolutidae</t>
  </si>
  <si>
    <t>Fatheads</t>
  </si>
  <si>
    <t>Rajidae</t>
  </si>
  <si>
    <t>Skates</t>
  </si>
  <si>
    <t>Rhinobatidae</t>
  </si>
  <si>
    <t>Shovelnose rays</t>
  </si>
  <si>
    <t>Scorpaenidae</t>
  </si>
  <si>
    <t>Scorpionfish, orbicular velvetfish</t>
  </si>
  <si>
    <t>*Serranidae - excluding “Anthias”, Caesioperca, and Lepidoperca</t>
  </si>
  <si>
    <t>Rockcods &amp; Seaperches</t>
  </si>
  <si>
    <t>Scyliorhinidae</t>
  </si>
  <si>
    <t>Soleidae</t>
  </si>
  <si>
    <t>Soles</t>
  </si>
  <si>
    <t>Solenostomidae</t>
  </si>
  <si>
    <t>Ghostpipefishes</t>
  </si>
  <si>
    <t>Stichaeidae</t>
  </si>
  <si>
    <t>Prickleback</t>
  </si>
  <si>
    <t>Synanceiidae</t>
  </si>
  <si>
    <t>Stonefish</t>
  </si>
  <si>
    <t>Syngnathidae</t>
  </si>
  <si>
    <t>Pipefish &amp; Seahorses</t>
  </si>
  <si>
    <t>Synodontidae</t>
  </si>
  <si>
    <t>Lizardfishes and Sauries</t>
  </si>
  <si>
    <t>Tetrabrachiidae</t>
  </si>
  <si>
    <t>Tetrarogidae</t>
  </si>
  <si>
    <t>Waspfishes</t>
  </si>
  <si>
    <t>Torpedinidae</t>
  </si>
  <si>
    <t>Numbfish</t>
  </si>
  <si>
    <t>Trachichthyidae</t>
  </si>
  <si>
    <t>Roughies</t>
  </si>
  <si>
    <t>Tripterygiidae</t>
  </si>
  <si>
    <t>Threefins</t>
  </si>
  <si>
    <t>Uranoscopidae</t>
  </si>
  <si>
    <t>Stargazers</t>
  </si>
  <si>
    <t>Urolophidae</t>
  </si>
  <si>
    <t>Stingarees</t>
  </si>
  <si>
    <t>Zaproridae</t>
  </si>
  <si>
    <t>Prowfish</t>
  </si>
  <si>
    <t>Zoarcidae</t>
  </si>
  <si>
    <t>Eelpouts</t>
  </si>
  <si>
    <t>INITIALS</t>
  </si>
  <si>
    <t>FULL NAME</t>
  </si>
  <si>
    <t>AA</t>
  </si>
  <si>
    <t>Andrew Altieri</t>
  </si>
  <si>
    <t>AB</t>
  </si>
  <si>
    <t>Arturo Bocos</t>
  </si>
  <si>
    <t>ALB</t>
  </si>
  <si>
    <t>AC</t>
  </si>
  <si>
    <t>Angel Chiriboga</t>
  </si>
  <si>
    <t>ACM</t>
  </si>
  <si>
    <t>Alicia McArdle</t>
  </si>
  <si>
    <t>AD</t>
  </si>
  <si>
    <t>Arturo Dominici</t>
  </si>
  <si>
    <t>AE</t>
  </si>
  <si>
    <t>Anna Edgar</t>
  </si>
  <si>
    <t>AEB</t>
  </si>
  <si>
    <t>Amanda Bates</t>
  </si>
  <si>
    <t>AEF</t>
  </si>
  <si>
    <t>Amelia Fowles</t>
  </si>
  <si>
    <t>AG</t>
  </si>
  <si>
    <t>Allyson Groth</t>
  </si>
  <si>
    <t>AGA</t>
  </si>
  <si>
    <t>Aaron Galloway</t>
  </si>
  <si>
    <t>AGGM</t>
  </si>
  <si>
    <t>Ana Gloria Guzman</t>
  </si>
  <si>
    <t>AI</t>
  </si>
  <si>
    <t>Alejo Irigoyen</t>
  </si>
  <si>
    <t>AJB</t>
  </si>
  <si>
    <t>Tony Brown</t>
  </si>
  <si>
    <t>AJG</t>
  </si>
  <si>
    <t>Andrew Green</t>
  </si>
  <si>
    <t>AJW</t>
  </si>
  <si>
    <t>Alan Wilkins</t>
  </si>
  <si>
    <t>AKB</t>
  </si>
  <si>
    <t>Anna Berthelson</t>
  </si>
  <si>
    <t>AKC</t>
  </si>
  <si>
    <t>Anna Cresswell</t>
  </si>
  <si>
    <t>AL</t>
  </si>
  <si>
    <t>Alexandra Lea</t>
  </si>
  <si>
    <t>Ali Bloomfield</t>
  </si>
  <si>
    <t>ALS</t>
  </si>
  <si>
    <t>Alicia Sutton</t>
  </si>
  <si>
    <t>AML</t>
  </si>
  <si>
    <t>Arwen Mo-Lowry</t>
  </si>
  <si>
    <t>AMM</t>
  </si>
  <si>
    <t>Alberto Moreno Mejias</t>
  </si>
  <si>
    <t>ANB</t>
  </si>
  <si>
    <t>Anthony Bernard</t>
  </si>
  <si>
    <t>AOF</t>
  </si>
  <si>
    <t>Angel Orozco Rodriguez</t>
  </si>
  <si>
    <t>AP</t>
  </si>
  <si>
    <t>Amanda Parr</t>
  </si>
  <si>
    <t>APM</t>
  </si>
  <si>
    <t>Andy Myers</t>
  </si>
  <si>
    <t>APMA</t>
  </si>
  <si>
    <t>Alejandro Perez Matus</t>
  </si>
  <si>
    <t>APSJ</t>
  </si>
  <si>
    <t>Alejandra Pérez San Juan</t>
  </si>
  <si>
    <t>AR</t>
  </si>
  <si>
    <t>Arthur Riedel</t>
  </si>
  <si>
    <t>ARB</t>
  </si>
  <si>
    <t>Adrian Brown</t>
  </si>
  <si>
    <t>AS</t>
  </si>
  <si>
    <t>Ashley Smith</t>
  </si>
  <si>
    <t>ATC</t>
  </si>
  <si>
    <t>Antonia Cooper</t>
  </si>
  <si>
    <t>BCB</t>
  </si>
  <si>
    <t>Belen Calero</t>
  </si>
  <si>
    <t>BF</t>
  </si>
  <si>
    <t>Ben French</t>
  </si>
  <si>
    <t>BGO</t>
  </si>
  <si>
    <t>Belén GO</t>
  </si>
  <si>
    <t>BJC</t>
  </si>
  <si>
    <t>Ben Cashman</t>
  </si>
  <si>
    <t>BJH</t>
  </si>
  <si>
    <t>Brian Hughes</t>
  </si>
  <si>
    <t>BK</t>
  </si>
  <si>
    <t>Brendan Kelaher</t>
  </si>
  <si>
    <t>BKJ</t>
  </si>
  <si>
    <t>Ben Jones</t>
  </si>
  <si>
    <t>BRB</t>
  </si>
  <si>
    <t>Brian Busteed</t>
  </si>
  <si>
    <t>BS</t>
  </si>
  <si>
    <t>Beth Strain</t>
  </si>
  <si>
    <t>BTB</t>
  </si>
  <si>
    <t>Ben Brayford</t>
  </si>
  <si>
    <t>BY</t>
  </si>
  <si>
    <t>Bevan Yiu</t>
  </si>
  <si>
    <t>CAH</t>
  </si>
  <si>
    <t>Camille White</t>
  </si>
  <si>
    <t>CAS</t>
  </si>
  <si>
    <t>Cathie Shorthouse</t>
  </si>
  <si>
    <t>CB</t>
  </si>
  <si>
    <t>Carlota Barañano</t>
  </si>
  <si>
    <t>CBU</t>
  </si>
  <si>
    <t>Claire Butler</t>
  </si>
  <si>
    <t>CD</t>
  </si>
  <si>
    <t>Cecile Decazes</t>
  </si>
  <si>
    <t>CEL</t>
  </si>
  <si>
    <t>Craig Lewis</t>
  </si>
  <si>
    <t>CEQ</t>
  </si>
  <si>
    <t>Catherine Quick</t>
  </si>
  <si>
    <t>CG</t>
  </si>
  <si>
    <t>Carly Giosio</t>
  </si>
  <si>
    <t>CGI</t>
  </si>
  <si>
    <t>Carolina García</t>
  </si>
  <si>
    <t>CH</t>
  </si>
  <si>
    <t>Chelsea Haebich</t>
  </si>
  <si>
    <t>CHB</t>
  </si>
  <si>
    <t>Charlie Bedford</t>
  </si>
  <si>
    <t>CHK</t>
  </si>
  <si>
    <t>Christine Kibele</t>
  </si>
  <si>
    <t>CHS</t>
  </si>
  <si>
    <t>Carla Huete-Stauffer</t>
  </si>
  <si>
    <t>CJM</t>
  </si>
  <si>
    <t>Caroline Mason</t>
  </si>
  <si>
    <t>CJZ</t>
  </si>
  <si>
    <t>Carolina Zagal</t>
  </si>
  <si>
    <t>CK</t>
  </si>
  <si>
    <t>Caitie Kuempel</t>
  </si>
  <si>
    <t>CL</t>
  </si>
  <si>
    <t>Cayne Layton</t>
  </si>
  <si>
    <t>CLG</t>
  </si>
  <si>
    <t>Chris Gillies</t>
  </si>
  <si>
    <t>CMN</t>
  </si>
  <si>
    <t>Chris Nimmo</t>
  </si>
  <si>
    <t>CMP</t>
  </si>
  <si>
    <t>Chris Preston</t>
  </si>
  <si>
    <t>CMW</t>
  </si>
  <si>
    <t>Chris Westley</t>
  </si>
  <si>
    <t>CRH</t>
  </si>
  <si>
    <t>Casey Hambrecht</t>
  </si>
  <si>
    <t>CS</t>
  </si>
  <si>
    <t>Craig Smith</t>
  </si>
  <si>
    <t>CTH</t>
  </si>
  <si>
    <t>Christo Haseldon</t>
  </si>
  <si>
    <t>CTP</t>
  </si>
  <si>
    <t>Cheryl Petty</t>
  </si>
  <si>
    <t>CW</t>
  </si>
  <si>
    <t>Caitlin Woods</t>
  </si>
  <si>
    <t>DAI</t>
  </si>
  <si>
    <t>Dan Ierodiaconou</t>
  </si>
  <si>
    <t>DC</t>
  </si>
  <si>
    <t>Dean Chamberlain</t>
  </si>
  <si>
    <t>DDG</t>
  </si>
  <si>
    <t>Dacil  Diaz Gomez</t>
  </si>
  <si>
    <t>DG</t>
  </si>
  <si>
    <t>David Galvan</t>
  </si>
  <si>
    <t>DH</t>
  </si>
  <si>
    <t>Dave Henke</t>
  </si>
  <si>
    <t>DHP</t>
  </si>
  <si>
    <t>Daniel Hernández Pérez</t>
  </si>
  <si>
    <t>DJ</t>
  </si>
  <si>
    <t>Dane Jones</t>
  </si>
  <si>
    <t>DJA</t>
  </si>
  <si>
    <t>Dave Arthur</t>
  </si>
  <si>
    <t>DJB</t>
  </si>
  <si>
    <t>Danny Brock</t>
  </si>
  <si>
    <t>DJM</t>
  </si>
  <si>
    <t>David Miller</t>
  </si>
  <si>
    <t>DK</t>
  </si>
  <si>
    <t>David Kushner</t>
  </si>
  <si>
    <t>DKA</t>
  </si>
  <si>
    <t>Deb Aston</t>
  </si>
  <si>
    <t>DM</t>
  </si>
  <si>
    <t>David Massih</t>
  </si>
  <si>
    <t>DRD</t>
  </si>
  <si>
    <t>Debbie Dalziel</t>
  </si>
  <si>
    <t>DS</t>
  </si>
  <si>
    <t>Damien Stanford</t>
  </si>
  <si>
    <t>DT</t>
  </si>
  <si>
    <t>Dave Thomas</t>
  </si>
  <si>
    <t>DTL</t>
  </si>
  <si>
    <t>Don Love</t>
  </si>
  <si>
    <t>EAC</t>
  </si>
  <si>
    <t>Ella Clausius</t>
  </si>
  <si>
    <t>EBF</t>
  </si>
  <si>
    <t>Emma Flukes</t>
  </si>
  <si>
    <t>EC</t>
  </si>
  <si>
    <t>Edgar Castaneda</t>
  </si>
  <si>
    <t>ECA</t>
  </si>
  <si>
    <t>Eloise Ashworth</t>
  </si>
  <si>
    <t>ED</t>
  </si>
  <si>
    <t>Emma Daly</t>
  </si>
  <si>
    <t>EFR</t>
  </si>
  <si>
    <t>Eliseo Fica Roca</t>
  </si>
  <si>
    <t>EH</t>
  </si>
  <si>
    <t>Edgar Herrera</t>
  </si>
  <si>
    <t>EL</t>
  </si>
  <si>
    <t>Erick Lopez</t>
  </si>
  <si>
    <t>ELH</t>
  </si>
  <si>
    <t>Emma Henry</t>
  </si>
  <si>
    <t>EM</t>
  </si>
  <si>
    <t>Ellie Marks</t>
  </si>
  <si>
    <t>EP</t>
  </si>
  <si>
    <t>Ed Parnell</t>
  </si>
  <si>
    <t>ERM</t>
  </si>
  <si>
    <t>Eric Mooney</t>
  </si>
  <si>
    <t>ESMK</t>
  </si>
  <si>
    <t>Elaine Kwee</t>
  </si>
  <si>
    <t>ESO</t>
  </si>
  <si>
    <t>Liz Oh</t>
  </si>
  <si>
    <t>ET</t>
  </si>
  <si>
    <t>Emre Turak</t>
  </si>
  <si>
    <t>FELB</t>
  </si>
  <si>
    <t>Fidel Ernesto Lopez Briceno</t>
  </si>
  <si>
    <t>FJ</t>
  </si>
  <si>
    <t>Flora Jennifer</t>
  </si>
  <si>
    <t>FPC</t>
  </si>
  <si>
    <t>Fernando Pinillos</t>
  </si>
  <si>
    <t>FR</t>
  </si>
  <si>
    <t>Fred Rueff</t>
  </si>
  <si>
    <t>GAZ</t>
  </si>
  <si>
    <t>Gonzalo  Apestequia Zamora</t>
  </si>
  <si>
    <t>GC</t>
  </si>
  <si>
    <t>Gwenael Cadiou</t>
  </si>
  <si>
    <t>GER</t>
  </si>
  <si>
    <t>Germán Soler</t>
  </si>
  <si>
    <t>GJE</t>
  </si>
  <si>
    <t>Graham Edgar</t>
  </si>
  <si>
    <t>GJF</t>
  </si>
  <si>
    <t>Grant Flanagan</t>
  </si>
  <si>
    <t>GK</t>
  </si>
  <si>
    <t>Geoff Kelly</t>
  </si>
  <si>
    <t>GMS</t>
  </si>
  <si>
    <t>Garrick Smith</t>
  </si>
  <si>
    <t>GP</t>
  </si>
  <si>
    <t>Grant Pearce</t>
  </si>
  <si>
    <t>GPE</t>
  </si>
  <si>
    <t>Graeme Ewing</t>
  </si>
  <si>
    <t>GR</t>
  </si>
  <si>
    <t>Georgina Ramirez</t>
  </si>
  <si>
    <t>GS</t>
  </si>
  <si>
    <t>Gary Summers</t>
  </si>
  <si>
    <t>GW</t>
  </si>
  <si>
    <t>George Wood</t>
  </si>
  <si>
    <t>GWA</t>
  </si>
  <si>
    <t>Gabby Walley</t>
  </si>
  <si>
    <t>HF</t>
  </si>
  <si>
    <t>Hunter Forbes</t>
  </si>
  <si>
    <t>HIT</t>
  </si>
  <si>
    <t>Hisayo Thornton</t>
  </si>
  <si>
    <t>HJK</t>
  </si>
  <si>
    <t>Heiri Klein</t>
  </si>
  <si>
    <t>HKW</t>
  </si>
  <si>
    <t>Heyonji Wembridge</t>
  </si>
  <si>
    <t>HMC</t>
  </si>
  <si>
    <t>Helen Crawford</t>
  </si>
  <si>
    <t>HND</t>
  </si>
  <si>
    <t>Harriet Davies</t>
  </si>
  <si>
    <t>IF</t>
  </si>
  <si>
    <t>Iona Flett</t>
  </si>
  <si>
    <t>IH</t>
  </si>
  <si>
    <t>Ivan Hinojosa</t>
  </si>
  <si>
    <t>IJB</t>
  </si>
  <si>
    <t>Ian Buchanan</t>
  </si>
  <si>
    <t>IM</t>
  </si>
  <si>
    <t>Irene Martin</t>
  </si>
  <si>
    <t>IMS</t>
  </si>
  <si>
    <t>Isabelle Strachan</t>
  </si>
  <si>
    <t>IRS</t>
  </si>
  <si>
    <t>Irene RS</t>
  </si>
  <si>
    <t>IU</t>
  </si>
  <si>
    <t>Inigo Uriarte</t>
  </si>
  <si>
    <t>IVS</t>
  </si>
  <si>
    <t>Ian Shaw</t>
  </si>
  <si>
    <t>IWB</t>
  </si>
  <si>
    <t>Ian Banks</t>
  </si>
  <si>
    <t>JA</t>
  </si>
  <si>
    <t>Janet Abbott</t>
  </si>
  <si>
    <t>JAB</t>
  </si>
  <si>
    <t>Jenny Bryant</t>
  </si>
  <si>
    <t>JAE</t>
  </si>
  <si>
    <t>Jenny Edwards</t>
  </si>
  <si>
    <t>JAJ</t>
  </si>
  <si>
    <t>John Johnstone</t>
  </si>
  <si>
    <t>JASF</t>
  </si>
  <si>
    <t>José Antonio Sanabria Fernández</t>
  </si>
  <si>
    <t>JB</t>
  </si>
  <si>
    <t>Joshua Batchelor</t>
  </si>
  <si>
    <t>JBB</t>
  </si>
  <si>
    <t>James Brook</t>
  </si>
  <si>
    <t>JBP</t>
  </si>
  <si>
    <t>Jacqui Pocklington</t>
  </si>
  <si>
    <t>JCH</t>
  </si>
  <si>
    <t>Jennifer Hine</t>
  </si>
  <si>
    <t>JDB</t>
  </si>
  <si>
    <t>Jennie Bennett</t>
  </si>
  <si>
    <t>JDK</t>
  </si>
  <si>
    <t>Jared Kibele</t>
  </si>
  <si>
    <t>JE</t>
  </si>
  <si>
    <t>Jane Elek</t>
  </si>
  <si>
    <t>JEH</t>
  </si>
  <si>
    <t>Jennifer Hoskin</t>
  </si>
  <si>
    <t>JEM</t>
  </si>
  <si>
    <t>Jerson Moreno</t>
  </si>
  <si>
    <t>JG</t>
  </si>
  <si>
    <t>Justin Gillian</t>
  </si>
  <si>
    <t>JGR</t>
  </si>
  <si>
    <t>Jane Ruckert</t>
  </si>
  <si>
    <t>JH</t>
  </si>
  <si>
    <t>Jamie Hicks</t>
  </si>
  <si>
    <t>JHIN</t>
  </si>
  <si>
    <t>Jessica Hintzsche</t>
  </si>
  <si>
    <t>JJA</t>
  </si>
  <si>
    <t>Juan José Alvarado</t>
  </si>
  <si>
    <t>JJO</t>
  </si>
  <si>
    <t>Jack O'Connor</t>
  </si>
  <si>
    <t>JK</t>
  </si>
  <si>
    <t>Jude Keyse</t>
  </si>
  <si>
    <t>JLB</t>
  </si>
  <si>
    <t>Janine Baker</t>
  </si>
  <si>
    <t>JLE</t>
  </si>
  <si>
    <t>John Lemburg</t>
  </si>
  <si>
    <t>JLG</t>
  </si>
  <si>
    <t>Jose Luis</t>
  </si>
  <si>
    <t>JLH</t>
  </si>
  <si>
    <t>Jason Hoare</t>
  </si>
  <si>
    <t>JLR</t>
  </si>
  <si>
    <t>Jan Ranson</t>
  </si>
  <si>
    <t>JLT</t>
  </si>
  <si>
    <t>Jennifer Thompson</t>
  </si>
  <si>
    <t>JME</t>
  </si>
  <si>
    <t>Jacob Metzger</t>
  </si>
  <si>
    <t>JML</t>
  </si>
  <si>
    <t>Jordan Logan</t>
  </si>
  <si>
    <t>JPP</t>
  </si>
  <si>
    <t>Jorge Pascual</t>
  </si>
  <si>
    <t>JPR</t>
  </si>
  <si>
    <t>James Robinson</t>
  </si>
  <si>
    <t>JPS</t>
  </si>
  <si>
    <t>Joe Shields</t>
  </si>
  <si>
    <t>JPST</t>
  </si>
  <si>
    <t>Jonathon Stevenson</t>
  </si>
  <si>
    <t>JRA</t>
  </si>
  <si>
    <t>John Allen</t>
  </si>
  <si>
    <t>JS</t>
  </si>
  <si>
    <t>Josh Sprague</t>
  </si>
  <si>
    <t>JSE</t>
  </si>
  <si>
    <t>Janina Seemann</t>
  </si>
  <si>
    <t>JSS</t>
  </si>
  <si>
    <t>Jemina Stuart-Smith</t>
  </si>
  <si>
    <t>JT</t>
  </si>
  <si>
    <t>John Turnbull</t>
  </si>
  <si>
    <t>JV</t>
  </si>
  <si>
    <t>Joe Valentine</t>
  </si>
  <si>
    <t>JVM</t>
  </si>
  <si>
    <t>Josh Moloney</t>
  </si>
  <si>
    <t>JW</t>
  </si>
  <si>
    <t>Jeremy Ward</t>
  </si>
  <si>
    <t>JWG</t>
  </si>
  <si>
    <t>Joe Gabauer</t>
  </si>
  <si>
    <t>JWM</t>
  </si>
  <si>
    <t>Jimmy Maher</t>
  </si>
  <si>
    <t>KC</t>
  </si>
  <si>
    <t>Kate Clements</t>
  </si>
  <si>
    <t>KDS</t>
  </si>
  <si>
    <t>Keith Saunders</t>
  </si>
  <si>
    <t>KF</t>
  </si>
  <si>
    <t>Kate Fraser</t>
  </si>
  <si>
    <t>KGL</t>
  </si>
  <si>
    <t>Kym Lashmar</t>
  </si>
  <si>
    <t>KHVT</t>
  </si>
  <si>
    <t>Kate Tinson</t>
  </si>
  <si>
    <t>KIR</t>
  </si>
  <si>
    <t>Kirsten Rodgers</t>
  </si>
  <si>
    <t>KJS</t>
  </si>
  <si>
    <t>Karl Schimanski</t>
  </si>
  <si>
    <t>KM</t>
  </si>
  <si>
    <t>Kelly Moore</t>
  </si>
  <si>
    <t>KMS</t>
  </si>
  <si>
    <t>Kim Sebo</t>
  </si>
  <si>
    <t>KO</t>
  </si>
  <si>
    <t>Kris O'Keeffe</t>
  </si>
  <si>
    <t>KR</t>
  </si>
  <si>
    <t>Karen Raubenheimer</t>
  </si>
  <si>
    <t>KRC</t>
  </si>
  <si>
    <t>Karen Crawley</t>
  </si>
  <si>
    <t>KRS</t>
  </si>
  <si>
    <t>Kevin Smith</t>
  </si>
  <si>
    <t>KS</t>
  </si>
  <si>
    <t>Kosta Stamoulis</t>
  </si>
  <si>
    <t>KW</t>
  </si>
  <si>
    <t>Kirsty Whitman</t>
  </si>
  <si>
    <t>LA</t>
  </si>
  <si>
    <t>Laura Airoldi</t>
  </si>
  <si>
    <t>LAH</t>
  </si>
  <si>
    <t>Louis Alberto Henríquez</t>
  </si>
  <si>
    <t>LAT</t>
  </si>
  <si>
    <t>Laurel Trebilco</t>
  </si>
  <si>
    <t>LCS</t>
  </si>
  <si>
    <t>Leonie Suter</t>
  </si>
  <si>
    <t>LDB</t>
  </si>
  <si>
    <t>Louise de Beuzeville</t>
  </si>
  <si>
    <t>LDR</t>
  </si>
  <si>
    <t>Lara Denis-Roy</t>
  </si>
  <si>
    <t>LER</t>
  </si>
  <si>
    <t>Lotte Rivers</t>
  </si>
  <si>
    <t>LH</t>
  </si>
  <si>
    <t>Leah Harper</t>
  </si>
  <si>
    <t>LJ</t>
  </si>
  <si>
    <t>Jeremy Lane</t>
  </si>
  <si>
    <t>LL</t>
  </si>
  <si>
    <t>Luigi Laezza</t>
  </si>
  <si>
    <t>LPF</t>
  </si>
  <si>
    <t>Laura Palacin Fernandez</t>
  </si>
  <si>
    <t>LVS</t>
  </si>
  <si>
    <t>Laura Smith</t>
  </si>
  <si>
    <t>LW</t>
  </si>
  <si>
    <t>Lisa west</t>
  </si>
  <si>
    <t>MA</t>
  </si>
  <si>
    <t>Michael Abbott</t>
  </si>
  <si>
    <t>MAK</t>
  </si>
  <si>
    <t>Martine Kinloch</t>
  </si>
  <si>
    <t>MB</t>
  </si>
  <si>
    <t>Michael Brooker</t>
  </si>
  <si>
    <t>MC</t>
  </si>
  <si>
    <t>Michelle Crighton</t>
  </si>
  <si>
    <t>MCA</t>
  </si>
  <si>
    <t>Mauricio Castrejón</t>
  </si>
  <si>
    <t>MCD</t>
  </si>
  <si>
    <t>Marie-Claire Demers</t>
  </si>
  <si>
    <t>MCO</t>
  </si>
  <si>
    <t>Mark Costello</t>
  </si>
  <si>
    <t>MD</t>
  </si>
  <si>
    <t>Madeline Davey</t>
  </si>
  <si>
    <t>ME</t>
  </si>
  <si>
    <t>Maryann Evetts</t>
  </si>
  <si>
    <t>MF</t>
  </si>
  <si>
    <t>Martin Filleul</t>
  </si>
  <si>
    <t>MGI</t>
  </si>
  <si>
    <t>Mike Irvine</t>
  </si>
  <si>
    <t>MGM</t>
  </si>
  <si>
    <t>Martin Mueller</t>
  </si>
  <si>
    <t>MGO</t>
  </si>
  <si>
    <t>Michael Goodison</t>
  </si>
  <si>
    <t>MH</t>
  </si>
  <si>
    <t>Martin Hing</t>
  </si>
  <si>
    <t>MHA</t>
  </si>
  <si>
    <t>Megan Hartog</t>
  </si>
  <si>
    <t>MIC</t>
  </si>
  <si>
    <t>Mishal Cohen</t>
  </si>
  <si>
    <t>MJC</t>
  </si>
  <si>
    <t>Matt Cameron</t>
  </si>
  <si>
    <t>MJJ</t>
  </si>
  <si>
    <t>Michael Jacques</t>
  </si>
  <si>
    <t>MJN</t>
  </si>
  <si>
    <t>Matt Nelson</t>
  </si>
  <si>
    <t>MJS</t>
  </si>
  <si>
    <t>Mike Sugden</t>
  </si>
  <si>
    <t>MKP</t>
  </si>
  <si>
    <t>Martin Puchert</t>
  </si>
  <si>
    <t>ML</t>
  </si>
  <si>
    <t>Meryl Larkin</t>
  </si>
  <si>
    <t>MLD</t>
  </si>
  <si>
    <t>Marlene Davey</t>
  </si>
  <si>
    <t>MLH</t>
  </si>
  <si>
    <t>Matt Hammond</t>
  </si>
  <si>
    <t>MMGD</t>
  </si>
  <si>
    <t>Manuel Maria Gonzalez Duarte</t>
  </si>
  <si>
    <t>MP</t>
  </si>
  <si>
    <t>Marjon Phur</t>
  </si>
  <si>
    <t>MPFL</t>
  </si>
  <si>
    <t>Matthias Liffers</t>
  </si>
  <si>
    <t>MRP</t>
  </si>
  <si>
    <t>Marianne Purton</t>
  </si>
  <si>
    <t>MRV</t>
  </si>
  <si>
    <t>Miriam Reverter Vives</t>
  </si>
  <si>
    <t>MS</t>
  </si>
  <si>
    <t>Margo Smith</t>
  </si>
  <si>
    <t>MSK</t>
  </si>
  <si>
    <t>Mat Skye</t>
  </si>
  <si>
    <t>MT</t>
  </si>
  <si>
    <t>Masa Tatsumi</t>
  </si>
  <si>
    <t>NAD</t>
  </si>
  <si>
    <t>Nicola Davis</t>
  </si>
  <si>
    <t>NAH</t>
  </si>
  <si>
    <t>Nicole Hill</t>
  </si>
  <si>
    <t>NAW</t>
  </si>
  <si>
    <t>Nick Watkins</t>
  </si>
  <si>
    <t>NB</t>
  </si>
  <si>
    <t>Nacor Balanos</t>
  </si>
  <si>
    <t>NDL</t>
  </si>
  <si>
    <t>Natali Lazzari</t>
  </si>
  <si>
    <t>NEB</t>
  </si>
  <si>
    <t>Nestor Bosch</t>
  </si>
  <si>
    <t>NEF</t>
  </si>
  <si>
    <t>Nicki Filby</t>
  </si>
  <si>
    <t>NF</t>
  </si>
  <si>
    <t>Nicola Fraser</t>
  </si>
  <si>
    <t>NH</t>
  </si>
  <si>
    <t>Natasha Hardy</t>
  </si>
  <si>
    <t>NJM</t>
  </si>
  <si>
    <t>Nick Mooney</t>
  </si>
  <si>
    <t>NJV</t>
  </si>
  <si>
    <t>Neil Vaughan</t>
  </si>
  <si>
    <t>NK</t>
  </si>
  <si>
    <t>Nina Kriegisch</t>
  </si>
  <si>
    <t>NKN</t>
  </si>
  <si>
    <t>Nathan Knott</t>
  </si>
  <si>
    <t>NMI</t>
  </si>
  <si>
    <t>Nicole Miller</t>
  </si>
  <si>
    <t>NRO</t>
  </si>
  <si>
    <t>Nuria Rizo Osuna-Moyano</t>
  </si>
  <si>
    <t>NSB</t>
  </si>
  <si>
    <t>Nev Barrett</t>
  </si>
  <si>
    <t>NSM</t>
  </si>
  <si>
    <t>Nestor Sanchez</t>
  </si>
  <si>
    <t>NT</t>
  </si>
  <si>
    <t>Natalia Tirado</t>
  </si>
  <si>
    <t>NTO</t>
  </si>
  <si>
    <t>Nahum Torres</t>
  </si>
  <si>
    <t>OAG</t>
  </si>
  <si>
    <t>Omar Álvarez González</t>
  </si>
  <si>
    <t>OAT</t>
  </si>
  <si>
    <t>Olatz Telleria</t>
  </si>
  <si>
    <t>OB</t>
  </si>
  <si>
    <t>Odalisca Breedy</t>
  </si>
  <si>
    <t>OJ</t>
  </si>
  <si>
    <t>Olivia Johnson</t>
  </si>
  <si>
    <t>PAC</t>
  </si>
  <si>
    <t>Paul Caiger</t>
  </si>
  <si>
    <t>PB</t>
  </si>
  <si>
    <t>Peltier Barahona</t>
  </si>
  <si>
    <t>PBD</t>
  </si>
  <si>
    <t>Paul Day</t>
  </si>
  <si>
    <t>PBS</t>
  </si>
  <si>
    <t>Paul Sharp</t>
  </si>
  <si>
    <t>PC</t>
  </si>
  <si>
    <t>Pip Cohen</t>
  </si>
  <si>
    <t>PEC</t>
  </si>
  <si>
    <t>Paul Carnell</t>
  </si>
  <si>
    <t>PH</t>
  </si>
  <si>
    <t>Peter Hay</t>
  </si>
  <si>
    <t>PHP</t>
  </si>
  <si>
    <t>Peter Pfennig</t>
  </si>
  <si>
    <t>PIP</t>
  </si>
  <si>
    <t>Petko Petkov</t>
  </si>
  <si>
    <t>PJB</t>
  </si>
  <si>
    <t>Pearse Buchanan</t>
  </si>
  <si>
    <t>PJR</t>
  </si>
  <si>
    <t>Peter Reeves</t>
  </si>
  <si>
    <t>PM</t>
  </si>
  <si>
    <t>Peter Mooney</t>
  </si>
  <si>
    <t>PMC</t>
  </si>
  <si>
    <t>Peter McGee</t>
  </si>
  <si>
    <t>PNL</t>
  </si>
  <si>
    <t>Patrick Lewis</t>
  </si>
  <si>
    <t>PRJ</t>
  </si>
  <si>
    <t>Paul Jennings</t>
  </si>
  <si>
    <t>PS</t>
  </si>
  <si>
    <t>Peter Southwood</t>
  </si>
  <si>
    <t>PSW</t>
  </si>
  <si>
    <t>Patrick Smallhorn-West</t>
  </si>
  <si>
    <t>PT</t>
  </si>
  <si>
    <t>Paul Tinkler</t>
  </si>
  <si>
    <t>PVDW</t>
  </si>
  <si>
    <t>Pieter van der Woude</t>
  </si>
  <si>
    <t>PW</t>
  </si>
  <si>
    <t>Paul Wembridge</t>
  </si>
  <si>
    <t>RB</t>
  </si>
  <si>
    <t>Ben Ruttenberg</t>
  </si>
  <si>
    <t>RBM</t>
  </si>
  <si>
    <t>Ron Mawbey</t>
  </si>
  <si>
    <t>RENA</t>
  </si>
  <si>
    <t>Rachel Austin</t>
  </si>
  <si>
    <t>RF</t>
  </si>
  <si>
    <t>Renata Ferrari Legorreta</t>
  </si>
  <si>
    <t>RFS</t>
  </si>
  <si>
    <t>Rita Silver</t>
  </si>
  <si>
    <t>RHE</t>
  </si>
  <si>
    <t>Rogelio Herrera Perez</t>
  </si>
  <si>
    <t>RIH</t>
  </si>
  <si>
    <t>Richard Hughes</t>
  </si>
  <si>
    <t>RJE</t>
  </si>
  <si>
    <t>Bob Edgar</t>
  </si>
  <si>
    <t>RJK</t>
  </si>
  <si>
    <t>Rohan Kaehne</t>
  </si>
  <si>
    <t>RM</t>
  </si>
  <si>
    <t>Rachael Miles</t>
  </si>
  <si>
    <t>RP</t>
  </si>
  <si>
    <t>Roby Pepolas</t>
  </si>
  <si>
    <t>RRE</t>
  </si>
  <si>
    <t>Rodrigo Riera</t>
  </si>
  <si>
    <t>RS</t>
  </si>
  <si>
    <t>Russ Stevens</t>
  </si>
  <si>
    <t>RSS</t>
  </si>
  <si>
    <t>Rick Stuart-Smith</t>
  </si>
  <si>
    <t>RT</t>
  </si>
  <si>
    <t>Rowan Trebilco</t>
  </si>
  <si>
    <t>RV</t>
  </si>
  <si>
    <t>Renate Velzeboer</t>
  </si>
  <si>
    <t>RW</t>
  </si>
  <si>
    <t>Regan Warren</t>
  </si>
  <si>
    <t>RWA</t>
  </si>
  <si>
    <t>Rebecca Watson</t>
  </si>
  <si>
    <t>RWH</t>
  </si>
  <si>
    <t>Ross Whippo</t>
  </si>
  <si>
    <t>SAB</t>
  </si>
  <si>
    <t>Sandra Bessudo</t>
  </si>
  <si>
    <t>SAG</t>
  </si>
  <si>
    <t>Sallyann Gudge</t>
  </si>
  <si>
    <t>SAS</t>
  </si>
  <si>
    <t>Scoresby Sheperd</t>
  </si>
  <si>
    <t>SC</t>
  </si>
  <si>
    <t>San Clarke</t>
  </si>
  <si>
    <t>SCB</t>
  </si>
  <si>
    <t>Sue Baker</t>
  </si>
  <si>
    <t>SCE</t>
  </si>
  <si>
    <t>Sophie Edgar</t>
  </si>
  <si>
    <t>SD</t>
  </si>
  <si>
    <t>Shaun Davis</t>
  </si>
  <si>
    <t>SDL</t>
  </si>
  <si>
    <t>Scott Ling</t>
  </si>
  <si>
    <t>SEB</t>
  </si>
  <si>
    <t>Stuart Banks</t>
  </si>
  <si>
    <t>SG</t>
  </si>
  <si>
    <t>Simon Gartenstein</t>
  </si>
  <si>
    <t>SGG</t>
  </si>
  <si>
    <t>Sam Gaylard</t>
  </si>
  <si>
    <t>SGR</t>
  </si>
  <si>
    <t>Siobhan Gray</t>
  </si>
  <si>
    <t>SGS</t>
  </si>
  <si>
    <t>Sonia Sagrista</t>
  </si>
  <si>
    <t>SH</t>
  </si>
  <si>
    <t>Shane Holland</t>
  </si>
  <si>
    <t>SI</t>
  </si>
  <si>
    <t>Sonia Ibarra</t>
  </si>
  <si>
    <t>SJ</t>
  </si>
  <si>
    <t>Scott Jones</t>
  </si>
  <si>
    <t>SJF</t>
  </si>
  <si>
    <t>Suzanne Fiebig</t>
  </si>
  <si>
    <t>SJK</t>
  </si>
  <si>
    <t>Stuart Kininmonth</t>
  </si>
  <si>
    <t>SJO</t>
  </si>
  <si>
    <t>Sam Owen</t>
  </si>
  <si>
    <t>SJS</t>
  </si>
  <si>
    <t>Spencer Shute</t>
  </si>
  <si>
    <t>SJT</t>
  </si>
  <si>
    <t>Simon Tweed</t>
  </si>
  <si>
    <t>SJW</t>
  </si>
  <si>
    <t>Sue Wragge</t>
  </si>
  <si>
    <t>SK</t>
  </si>
  <si>
    <t>Sam Kruimink</t>
  </si>
  <si>
    <t>SLG</t>
  </si>
  <si>
    <t>Stephen Green</t>
  </si>
  <si>
    <t>SLR</t>
  </si>
  <si>
    <t>Sarah-Lena Reinhardt</t>
  </si>
  <si>
    <t>SLW</t>
  </si>
  <si>
    <t>Sam Wines</t>
  </si>
  <si>
    <t>SM</t>
  </si>
  <si>
    <t>Simon Morley</t>
  </si>
  <si>
    <t>SMP</t>
  </si>
  <si>
    <t>Sophie Powell</t>
  </si>
  <si>
    <t>SP</t>
  </si>
  <si>
    <t>Sarah Payne</t>
  </si>
  <si>
    <t>SPE</t>
  </si>
  <si>
    <t>Shamaram Eichmann</t>
  </si>
  <si>
    <t>SPS</t>
  </si>
  <si>
    <t>Paige Shaw</t>
  </si>
  <si>
    <t>SPUD</t>
  </si>
  <si>
    <t>Justin Hulls</t>
  </si>
  <si>
    <t>SR</t>
  </si>
  <si>
    <t>Simon Reeves</t>
  </si>
  <si>
    <t>SRB</t>
  </si>
  <si>
    <t>Simon Bryars</t>
  </si>
  <si>
    <t>SRC</t>
  </si>
  <si>
    <t>Simon Curtis</t>
  </si>
  <si>
    <t>SRG</t>
  </si>
  <si>
    <t>Sam Griffiths</t>
  </si>
  <si>
    <t>SRT</t>
  </si>
  <si>
    <t>Simon Talbot</t>
  </si>
  <si>
    <t>SS</t>
  </si>
  <si>
    <t>Silke Stuckenbrock</t>
  </si>
  <si>
    <t>SSA</t>
  </si>
  <si>
    <t>Salvador Sanchez</t>
  </si>
  <si>
    <t>STB</t>
  </si>
  <si>
    <t>Steve Benj</t>
  </si>
  <si>
    <t>STN</t>
  </si>
  <si>
    <t>Sue Newson</t>
  </si>
  <si>
    <t>SYB</t>
  </si>
  <si>
    <t>Sylvia Buchanan</t>
  </si>
  <si>
    <t>TAS</t>
  </si>
  <si>
    <t>Terina Saunders</t>
  </si>
  <si>
    <t>TCD</t>
  </si>
  <si>
    <t>Tas Douglass</t>
  </si>
  <si>
    <t>TEF</t>
  </si>
  <si>
    <t>Tim Forster</t>
  </si>
  <si>
    <t>TH</t>
  </si>
  <si>
    <t>Tom Holmes</t>
  </si>
  <si>
    <t>TJ</t>
  </si>
  <si>
    <t>Tyson Jones</t>
  </si>
  <si>
    <t>TJA</t>
  </si>
  <si>
    <t>Tim Alexander</t>
  </si>
  <si>
    <t>TP</t>
  </si>
  <si>
    <t>Tanja Ponudic</t>
  </si>
  <si>
    <t>TPC</t>
  </si>
  <si>
    <t>Tim Crawford</t>
  </si>
  <si>
    <t>TR</t>
  </si>
  <si>
    <t>Thierry Rakotoarivelo</t>
  </si>
  <si>
    <t>TRD</t>
  </si>
  <si>
    <t>Tom Davis</t>
  </si>
  <si>
    <t>TS</t>
  </si>
  <si>
    <t>Tanika Shalders</t>
  </si>
  <si>
    <t>TT</t>
  </si>
  <si>
    <t>Todd Thimios</t>
  </si>
  <si>
    <t>VNP</t>
  </si>
  <si>
    <t>Vic National Parks</t>
  </si>
  <si>
    <t>WCB</t>
  </si>
  <si>
    <t>Bill Barker</t>
  </si>
  <si>
    <t>WEI</t>
  </si>
  <si>
    <t>Eddie Ivers</t>
  </si>
  <si>
    <t>WF</t>
  </si>
  <si>
    <t>Will Figueira</t>
  </si>
  <si>
    <t>WJN</t>
  </si>
  <si>
    <t>Warrick Noble</t>
  </si>
  <si>
    <t>WRH</t>
  </si>
  <si>
    <t>Wendy Hutchison</t>
  </si>
  <si>
    <t>WW</t>
  </si>
  <si>
    <t>Will Wied</t>
  </si>
  <si>
    <t>YMS</t>
  </si>
  <si>
    <t>Yanir Seroussi</t>
  </si>
  <si>
    <t>ZF</t>
  </si>
  <si>
    <t>Zach Foltz</t>
  </si>
  <si>
    <t>* when the pivot table is selected (blue), under the Data tab - press 'Refresh All' to update table as data is populated to check structure.</t>
  </si>
  <si>
    <t>Count of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</si>
</sst>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gray125">
        <bgColor rgb="FFFFFF00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/>
    <xf numFmtId="0" fontId="0" fillId="1" borderId="0" xfId="0" applyFill="1"/>
    <xf numFmtId="14" fontId="0" fillId="0" borderId="0" xfId="0" applyNumberFormat="1" applyProtection="1">
      <protection locked="0"/>
    </xf>
    <xf numFmtId="20" fontId="0" fillId="0" borderId="0" xfId="0" applyNumberFormat="1" applyProtection="1">
      <protection locked="0"/>
    </xf>
    <xf numFmtId="0" fontId="0" fillId="1" borderId="1" xfId="0" applyFill="1" applyBorder="1"/>
    <xf numFmtId="0" fontId="2" fillId="1" borderId="2" xfId="0" applyFont="1" applyFill="1" applyBorder="1" applyProtection="1">
      <protection locked="0"/>
    </xf>
    <xf numFmtId="0" fontId="2" fillId="0" borderId="3" xfId="0" applyFont="1" applyBorder="1" applyProtection="1">
      <protection locked="0"/>
    </xf>
    <xf numFmtId="14" fontId="2" fillId="0" borderId="3" xfId="0" applyNumberFormat="1" applyFont="1" applyBorder="1" applyProtection="1">
      <protection locked="0"/>
    </xf>
    <xf numFmtId="20" fontId="2" fillId="0" borderId="3" xfId="0" applyNumberFormat="1" applyFont="1" applyBorder="1" applyProtection="1">
      <protection locked="0"/>
    </xf>
    <xf numFmtId="0" fontId="2" fillId="1" borderId="3" xfId="0" applyFont="1" applyFill="1" applyBorder="1"/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2" fillId="1" borderId="2" xfId="0" applyFont="1" applyFill="1" applyBorder="1"/>
    <xf numFmtId="0" fontId="2" fillId="1" borderId="5" xfId="0" applyFont="1" applyFill="1" applyBorder="1"/>
    <xf numFmtId="0" fontId="0" fillId="1" borderId="6" xfId="0" applyFill="1" applyBorder="1"/>
    <xf numFmtId="0" fontId="2" fillId="1" borderId="7" xfId="0" applyFont="1" applyFill="1" applyBorder="1"/>
    <xf numFmtId="0" fontId="0" fillId="1" borderId="8" xfId="0" applyFill="1" applyBorder="1" applyProtection="1">
      <protection locked="0"/>
    </xf>
    <xf numFmtId="20" fontId="0" fillId="0" borderId="0" xfId="0" applyNumberFormat="1" applyAlignment="1" applyProtection="1">
      <alignment horizontal="left"/>
      <protection locked="0"/>
    </xf>
    <xf numFmtId="0" fontId="4" fillId="0" borderId="0" xfId="0" applyFont="1"/>
    <xf numFmtId="0" fontId="5" fillId="1" borderId="1" xfId="0" applyFont="1" applyFill="1" applyBorder="1"/>
    <xf numFmtId="0" fontId="5" fillId="1" borderId="0" xfId="0" applyFont="1" applyFill="1"/>
    <xf numFmtId="0" fontId="0" fillId="0" borderId="0" xfId="0" applyAlignment="1">
      <alignment vertical="center" wrapText="1"/>
    </xf>
    <xf numFmtId="0" fontId="6" fillId="2" borderId="0" xfId="0" applyFont="1" applyFill="1"/>
    <xf numFmtId="0" fontId="1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0" fontId="1" fillId="1" borderId="1" xfId="0" applyFont="1" applyFill="1" applyBorder="1"/>
    <xf numFmtId="0" fontId="0" fillId="3" borderId="1" xfId="0" applyFill="1" applyBorder="1"/>
    <xf numFmtId="0" fontId="0" fillId="3" borderId="8" xfId="0" applyFill="1" applyBorder="1" applyProtection="1">
      <protection locked="0"/>
    </xf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0" xfId="0" pivotButton="1" applyBorder="1"/>
    <xf numFmtId="0" fontId="0" fillId="0" borderId="21" xfId="0" applyBorder="1"/>
    <xf numFmtId="0" fontId="1" fillId="1" borderId="0" xfId="0" applyFont="1" applyFill="1"/>
    <xf numFmtId="0" fontId="7" fillId="0" borderId="0" xfId="0" applyFont="1" applyProtection="1">
      <protection locked="0"/>
    </xf>
    <xf numFmtId="0" fontId="1" fillId="4" borderId="0" xfId="0" applyFont="1" applyFill="1" applyProtection="1">
      <protection locked="0"/>
    </xf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20" fontId="0" fillId="4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0" fontId="0" fillId="1" borderId="6" xfId="0" applyFill="1" applyBorder="1" applyProtection="1">
      <protection locked="0"/>
    </xf>
    <xf numFmtId="0" fontId="1" fillId="1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min Schuster" refreshedDate="45079.725359837961" createdVersion="6" refreshedVersion="6" recordCount="1123" xr:uid="{00000000-000A-0000-FFFF-FFFF1D000000}">
  <cacheSource type="worksheet">
    <worksheetSource ref="B1:S65538" sheet="DATA"/>
  </cacheSource>
  <cacheFields count="18">
    <cacheField name="Diver" numFmtId="0">
      <sharedItems containsBlank="1"/>
    </cacheField>
    <cacheField name="Buddy" numFmtId="0">
      <sharedItems containsBlank="1"/>
    </cacheField>
    <cacheField name="Site No." numFmtId="0">
      <sharedItems containsBlank="1" count="22">
        <m/>
        <s v="BMSC22"/>
        <s v="BMSC21"/>
        <s v="BMSC10"/>
        <s v="BMSC2"/>
        <s v="BMSC19"/>
        <s v="BMSC20"/>
        <s v="BMSC9"/>
        <s v="BMSC23"/>
        <s v="BMSC4"/>
        <s v="BMSC3"/>
        <s v="BMSC5"/>
        <s v="BMSC6"/>
        <s v="BMSC8"/>
        <s v="BMSC24"/>
        <s v="BMSC26"/>
        <s v="BMSC1"/>
        <s v="BMSC11"/>
        <s v="BMSC12"/>
        <s v="BMSC25"/>
        <s v="BMSC27"/>
        <s v="ps44" u="1"/>
      </sharedItems>
    </cacheField>
    <cacheField name="Site Name" numFmtId="0">
      <sharedItems containsBlank="1"/>
    </cacheField>
    <cacheField name="Latitude" numFmtId="0">
      <sharedItems containsString="0" containsBlank="1" containsNumber="1" minValue="0" maxValue="48.955081939697202"/>
    </cacheField>
    <cacheField name="Longitude" numFmtId="0">
      <sharedItems containsString="0" containsBlank="1" containsNumber="1" minValue="-125.221298217773" maxValue="0"/>
    </cacheField>
    <cacheField name="Date" numFmtId="14">
      <sharedItems containsDate="1" containsBlank="1" containsMixedTypes="1" minDate="2013-04-22T00:00:00" maxDate="2013-04-23T00:00:00" count="16">
        <m/>
        <s v="08/05/2023"/>
        <s v="09/05/2023"/>
        <s v="10/05/2023"/>
        <s v="11/05/2023"/>
        <s v="12/05/2023"/>
        <s v="15/05/2023"/>
        <s v="17/05/2023"/>
        <s v="18/05/2023"/>
        <s v="19/05/2023"/>
        <s v="16/05/2023"/>
        <s v="15/5/2023"/>
        <s v="16/5/2023"/>
        <s v="18/5/2023"/>
        <s v="19/5/2023"/>
        <d v="2013-04-22T00:00:00" u="1"/>
      </sharedItems>
    </cacheField>
    <cacheField name="vis" numFmtId="0">
      <sharedItems containsString="0" containsBlank="1" containsNumber="1" minValue="0.5" maxValue="6"/>
    </cacheField>
    <cacheField name="Direction" numFmtId="0">
      <sharedItems containsString="0" containsBlank="1" containsNumber="1" containsInteger="1" minValue="30" maxValue="340"/>
    </cacheField>
    <cacheField name="Time" numFmtId="20">
      <sharedItems containsNonDate="0" containsDate="1" containsString="0" containsBlank="1" minDate="1899-12-30T09:54:00" maxDate="1899-12-30T13:30:00"/>
    </cacheField>
    <cacheField name="P-Qs" numFmtId="0">
      <sharedItems containsBlank="1"/>
    </cacheField>
    <cacheField name="Depth" numFmtId="0">
      <sharedItems containsString="0" containsBlank="1" containsNumber="1" minValue="4" maxValue="11" count="14">
        <m/>
        <n v="5.5"/>
        <n v="6"/>
        <n v="4"/>
        <n v="7"/>
        <n v="6.5"/>
        <n v="8.5"/>
        <n v="7.5"/>
        <n v="8"/>
        <n v="10"/>
        <n v="9"/>
        <n v="11"/>
        <n v="5.7"/>
        <n v="9.5"/>
      </sharedItems>
    </cacheField>
    <cacheField name="Method" numFmtId="0">
      <sharedItems containsBlank="1" containsMixedTypes="1" containsNumber="1" containsInteger="1" minValue="0" maxValue="2" count="5">
        <s v="0, 1, 2"/>
        <n v="1"/>
        <n v="2"/>
        <n v="0"/>
        <m/>
      </sharedItems>
    </cacheField>
    <cacheField name="Block" numFmtId="0">
      <sharedItems containsBlank="1" containsMixedTypes="1" containsNumber="1" containsInteger="1" minValue="0" maxValue="2"/>
    </cacheField>
    <cacheField name="Code" numFmtId="0">
      <sharedItems containsBlank="1"/>
    </cacheField>
    <cacheField name="Species" numFmtId="0">
      <sharedItems containsBlank="1" containsMixedTypes="1" containsNumber="1" containsInteger="1" minValue="2" maxValue="2" count="149">
        <n v="2"/>
        <s v="Rhinogobiops nicholsii"/>
        <s v="Hexagrammos decagrammus"/>
        <s v="Oxylebius pictus"/>
        <s v="Sebastes caurinus"/>
        <s v="Mesocentrotus franciscanus"/>
        <s v="Dermasterias imbricata"/>
        <s v="Patiria miniata"/>
        <s v="Haliotis kamtschatkana"/>
        <s v="Pomaulax gibberosus"/>
        <s v="Henricia sp."/>
        <s v="Apostichopus californicus"/>
        <s v="Tonicella sp."/>
        <s v="Pisaster ochraceus"/>
        <s v="Cancer productus"/>
        <s v="Evasterias troschelii"/>
        <s v="Diodora aspera"/>
        <s v="Orthasterias koehleri"/>
        <s v="Doris odhneri"/>
        <s v="Cadlina luteomarginata"/>
        <s v="Crassadoma gigantea"/>
        <s v="Artedius harringtoni"/>
        <s v="Dirona albolineata"/>
        <s v="Acmaea mitra"/>
        <s v="Mediaster aequalis"/>
        <s v="Triopha modesta"/>
        <s v="Scyra acutifrons"/>
        <s v="Bolinopsis infundibulum"/>
        <s v="Sebastes melanops"/>
        <s v="Diaulula odonoghuei"/>
        <s v="Ceratostoma foliatum"/>
        <s v="NOT PRESENT"/>
        <s v="Debris - Plastic"/>
        <s v="Debris - Fishing Gear"/>
        <s v="Pycnopodia helianthoides"/>
        <s v="Peltodoris nobilis"/>
        <s v="Hexagrammos stelleri"/>
        <s v="Sebastes YOY"/>
        <s v="Strongylocentrotus droebachiensis"/>
        <s v="Pugettia producta"/>
        <s v="Pugettia gracilis"/>
        <s v="Pholis laeta"/>
        <s v="Pisaster brevispinus"/>
        <s v="Nucella lamellosa"/>
        <s v="Pagurus hemphilli"/>
        <s v="Stylasterias forreri"/>
        <s v="Hermissenda crassicornis"/>
        <s v="Pandalus danae"/>
        <s v="Jordania zonope"/>
        <s v="Ophiodon elongatus"/>
        <s v="Strongylocentrotus purpuratus"/>
        <s v="Pagurus beringanus"/>
        <s v="Sebastes nebulosus"/>
        <s v="Lottia sp."/>
        <s v="Berthella californica"/>
        <s v="Diaulula sandiegensis"/>
        <s v="Sebastes flavidus"/>
        <s v="Sebastes maliger"/>
        <s v="Enteroctopus dofleini"/>
        <s v="Hemilepidotus hemilepidotus"/>
        <s v="Debris - Glass"/>
        <s v="Sebastes pinniger"/>
        <s v="Triopha catalinae"/>
        <s v="Neverita lewisii"/>
        <s v="Glebocarcinus oregonensis"/>
        <s v="Antiopella fusca"/>
        <s v="Eumetopias jubatus"/>
        <s v="Doris montereyensis"/>
        <s v="Lopholithodes mandtii"/>
        <s v="Embiotoca lateralis"/>
        <s v="Rhacochilus vacca"/>
        <s v="Pholis spp."/>
        <s v="Aulorhynchus flavidus"/>
        <s v="Cadlina sylviaearleae"/>
        <s v="Polycera tricolor"/>
        <s v="Pholis clemensi"/>
        <s v="Oregonia gracilis"/>
        <s v="Brachyistius frenatus"/>
        <s v="Mopalia"/>
        <s v="Calliostoma ligatum"/>
        <s v="Henricia spp."/>
        <s v="Chorilia longipes"/>
        <s v="Cryptochiton stelleri"/>
        <s v="Debris - Zero"/>
        <s v="Dendronotus iris"/>
        <s v="Tritonia festiva"/>
        <s v="Berthella chacei"/>
        <s v="Limacia cockerelli"/>
        <s v="Tegula funebralis"/>
        <s v="Tonicella lineata"/>
        <s v="Acanthodoris hudsoni"/>
        <s v="Opalia wroblewskyi"/>
        <s v="Armina californica"/>
        <s v="Pteraster tesselatus"/>
        <s v="Unidentified shrimp"/>
        <s v="Debris - Metal"/>
        <s v="Henricia leviuscula"/>
        <s v="Paguroidea spp."/>
        <s v="Enophrys bison"/>
        <s v="Pleuronichthys coenosus"/>
        <s v="Megathura crenulata"/>
        <s v="Citharichthys stigmaeus"/>
        <s v="Mopalia muscosa"/>
        <s v="Anarrhichthys ocellatus"/>
        <s v="Cadlina modesta"/>
        <s v="Solaster stimpsoni"/>
        <s v="Parastichopus californicus"/>
        <s v="Henrecia spp."/>
        <s v="Tonicella spp."/>
        <s v="embiotocidae spp"/>
        <s v="Phoca vitulina"/>
        <s v="Scorpaenichthys marmoratus"/>
        <s v="Scyra species"/>
        <m/>
        <s v="Trachurus novaezelandiae" u="1"/>
        <s v="Parma microlepis" u="1"/>
        <s v="Pempheris affinis" u="1"/>
        <s v="Aplodactylus lophodon" u="1"/>
        <s v="Anoplocapros inermis" u="1"/>
        <s v="Chromis hypsilepis" u="1"/>
        <s v="Pempheris compressa" u="1"/>
        <s v="Parma unifasciata" u="1"/>
        <s v="Girella tricuspidata" u="1"/>
        <s v="Comanthus trichoptera" u="1"/>
        <s v="Carangoides orthogrammus" u="1"/>
        <s v="Astralium tentoriformis" u="1"/>
        <s v="Scorpis lineolata" u="1"/>
        <s v="Meuschenia freycineti" u="1"/>
        <s v="Plagiotremus tapeinosoma" u="1"/>
        <s v="Notolabrus gymnogenis" u="1"/>
        <s v="Meuschenia trachylepis" u="1"/>
        <s v="Scorpaena jacksoniensis" u="1"/>
        <s v="Cheilodactylus fuscus" u="1"/>
        <s v="Mecaenichthys immaculatus" u="1"/>
        <s v="Hypoplectrodes maccullochi" u="1"/>
        <s v="Centrostephanus rodgersii" u="1"/>
        <s v="Labroides dimidiatus" u="1"/>
        <s v="Cheilodactylus vestitus" u="1"/>
        <s v="Enoplosus armatus" u="1"/>
        <s v="Phyllacanthus parvispinus" u="1"/>
        <s v="Pempheris multiradiata" u="1"/>
        <s v="Achoerodus viridis" u="1"/>
        <s v="Prionurus microlepidotus" u="1"/>
        <s v="Atypichthys strigatus" u="1"/>
        <s v="Ophthalmolepis lineolatus" u="1"/>
        <s v="Thalassoma lunare" u="1"/>
        <s v="Eubalichthys bucephalus" u="1"/>
        <s v="Gymnothorax prasinus" u="1"/>
        <s v="Trachinops taeniatus" u="1"/>
      </sharedItems>
    </cacheField>
    <cacheField name="Common name" numFmtId="0">
      <sharedItems containsBlank="1" containsMixedTypes="1" containsNumber="1" containsInteger="1" minValue="0" maxValue="3"/>
    </cacheField>
    <cacheField name="Total" numFmtId="0">
      <sharedItems containsString="0" containsBlank="1" containsNumber="1" containsInteger="1" minValue="0" maxValue="183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min Schuster" refreshedDate="45111.663770370367" createdVersion="6" refreshedVersion="6" minRefreshableVersion="3" recordCount="1699" xr:uid="{D254A02B-4D10-BA41-A786-F344B074EB78}">
  <cacheSource type="worksheet">
    <worksheetSource ref="A1:AV1680" sheet="DATA"/>
  </cacheSource>
  <cacheFields count="48">
    <cacheField name="ID" numFmtId="0">
      <sharedItems containsString="0" containsBlank="1" containsNumber="1" containsInteger="1" minValue="1" maxValue="1698"/>
    </cacheField>
    <cacheField name="Diver" numFmtId="0">
      <sharedItems containsBlank="1" count="6">
        <m/>
        <s v="Jasmin Schuster"/>
        <s v="Isabelle Cote"/>
        <s v="Andrew Bickell"/>
        <s v="Valesca de Groot"/>
        <s v="Em Lim"/>
      </sharedItems>
    </cacheField>
    <cacheField name="Buddy" numFmtId="0">
      <sharedItems containsBlank="1"/>
    </cacheField>
    <cacheField name="Site No." numFmtId="0">
      <sharedItems containsBlank="1" count="21">
        <m/>
        <s v="BMSC22"/>
        <s v="BMSC21"/>
        <s v="BMSC10"/>
        <s v="BMSC2"/>
        <s v="BMSC19"/>
        <s v="BMSC20"/>
        <s v="BMSC9"/>
        <s v="BMSC23"/>
        <s v="BMSC4"/>
        <s v="BMSC3"/>
        <s v="BMSC5"/>
        <s v="BMSC6"/>
        <s v="BMSC8"/>
        <s v="BMSC24"/>
        <s v="BMSC26"/>
        <s v="BMSC1"/>
        <s v="BMSC11"/>
        <s v="BMSC12"/>
        <s v="BMSC25"/>
        <s v="BMSC27"/>
      </sharedItems>
    </cacheField>
    <cacheField name="Site Name" numFmtId="0">
      <sharedItems containsBlank="1" count="23">
        <m/>
        <s v="Dixon Inside"/>
        <s v="Dixon SW"/>
        <s v="Ross Islets Slug Island"/>
        <s v="Kirby"/>
        <s v="Ed King SW Pyramid"/>
        <s v="Ed King East"/>
        <s v="Eagle Bay"/>
        <s v="Aguilar Point"/>
        <s v="Kii xin"/>
        <s v="Ohiat"/>
        <s v="Taylor Rock"/>
        <s v="Baeria Rocks South Island"/>
        <s v="Baeria Rocks North Island Northside"/>
        <s v="Swiss Boy"/>
        <s v="Hosie South"/>
        <s v="Dodger Channel"/>
        <s v="Wizard Island South"/>
        <s v="Wizard Island North"/>
        <s v="Goby Town"/>
        <s v="San Jose North Island"/>
        <s v="Goby Town" u="1"/>
        <s v="San Jose North" u="1"/>
      </sharedItems>
    </cacheField>
    <cacheField name="Latitude" numFmtId="0">
      <sharedItems containsString="0" containsBlank="1" containsNumber="1" minValue="48.815116882324197" maxValue="48.955081939697202"/>
    </cacheField>
    <cacheField name="Longitude" numFmtId="0">
      <sharedItems containsString="0" containsBlank="1" containsNumber="1" minValue="-125.221298217773" maxValue="-125.03701700000001"/>
    </cacheField>
    <cacheField name="Date" numFmtId="14">
      <sharedItems containsBlank="1" count="11">
        <m/>
        <s v="08/05/2023"/>
        <s v="09/05/2023"/>
        <s v="10/05/2023"/>
        <s v="11/05/2023"/>
        <s v="12/05/2023"/>
        <s v="15/05/2023"/>
        <s v="17/05/2023"/>
        <s v="18/05/2023"/>
        <s v="19/05/2023"/>
        <s v="16/05/2023"/>
      </sharedItems>
    </cacheField>
    <cacheField name="vis" numFmtId="0">
      <sharedItems containsString="0" containsBlank="1" containsNumber="1" minValue="0.5" maxValue="6"/>
    </cacheField>
    <cacheField name="Direction" numFmtId="0">
      <sharedItems containsBlank="1" containsMixedTypes="1" containsNumber="1" containsInteger="1" minValue="0" maxValue="340"/>
    </cacheField>
    <cacheField name="Time" numFmtId="20">
      <sharedItems containsSemiMixedTypes="0" containsNonDate="0" containsDate="1" containsString="0" minDate="1899-12-30T09:38:00" maxDate="1899-12-30T13:30:00"/>
    </cacheField>
    <cacheField name="P-Qs" numFmtId="0">
      <sharedItems containsBlank="1"/>
    </cacheField>
    <cacheField name="Depth" numFmtId="0">
      <sharedItems containsString="0" containsBlank="1" containsNumber="1" minValue="4" maxValue="11" count="14">
        <m/>
        <n v="5.5"/>
        <n v="6"/>
        <n v="4"/>
        <n v="7"/>
        <n v="6.5"/>
        <n v="8.5"/>
        <n v="7.5"/>
        <n v="8"/>
        <n v="10"/>
        <n v="9"/>
        <n v="11"/>
        <n v="5.7"/>
        <n v="9.5"/>
      </sharedItems>
    </cacheField>
    <cacheField name="Method" numFmtId="0">
      <sharedItems containsMixedTypes="1" containsNumber="1" containsInteger="1" minValue="0" maxValue="2" count="4">
        <s v="0, 1, 2"/>
        <n v="1"/>
        <n v="2"/>
        <n v="0"/>
      </sharedItems>
    </cacheField>
    <cacheField name="Block" numFmtId="0">
      <sharedItems containsMixedTypes="1" containsNumber="1" containsInteger="1" minValue="0" maxValue="2" count="4">
        <s v="0, 1, 2"/>
        <n v="2"/>
        <n v="1"/>
        <n v="0"/>
      </sharedItems>
    </cacheField>
    <cacheField name="Code" numFmtId="0">
      <sharedItems containsBlank="1"/>
    </cacheField>
    <cacheField name="Species" numFmtId="0">
      <sharedItems containsMixedTypes="1" containsNumber="1" containsInteger="1" minValue="2" maxValue="2"/>
    </cacheField>
    <cacheField name="Common name" numFmtId="0">
      <sharedItems containsMixedTypes="1" containsNumber="1" containsInteger="1" minValue="0" maxValue="3"/>
    </cacheField>
    <cacheField name="Total" numFmtId="0">
      <sharedItems containsSemiMixedTypes="0" containsString="0" containsNumber="1" containsInteger="1" minValue="0" maxValue="28022"/>
    </cacheField>
    <cacheField name="Inverts" numFmtId="0">
      <sharedItems containsString="0" containsBlank="1" containsNumber="1" containsInteger="1" minValue="0" maxValue="23322"/>
    </cacheField>
    <cacheField name="2.5" numFmtId="0">
      <sharedItems containsString="0" containsBlank="1" containsNumber="1" containsInteger="1" minValue="1" maxValue="80"/>
    </cacheField>
    <cacheField name="5" numFmtId="0">
      <sharedItems containsString="0" containsBlank="1" containsNumber="1" containsInteger="1" minValue="1" maxValue="59"/>
    </cacheField>
    <cacheField name="7.5" numFmtId="0">
      <sharedItems containsString="0" containsBlank="1" containsNumber="1" containsInteger="1" minValue="1" maxValue="80"/>
    </cacheField>
    <cacheField name="10" numFmtId="0">
      <sharedItems containsString="0" containsBlank="1" containsNumber="1" containsInteger="1" minValue="1" maxValue="43"/>
    </cacheField>
    <cacheField name="12.5" numFmtId="0">
      <sharedItems containsString="0" containsBlank="1" containsNumber="1" containsInteger="1" minValue="1" maxValue="28"/>
    </cacheField>
    <cacheField name="15" numFmtId="0">
      <sharedItems containsString="0" containsBlank="1" containsNumber="1" containsInteger="1" minValue="1" maxValue="27"/>
    </cacheField>
    <cacheField name="20" numFmtId="0">
      <sharedItems containsString="0" containsBlank="1" containsNumber="1" containsInteger="1" minValue="1" maxValue="43"/>
    </cacheField>
    <cacheField name="25" numFmtId="0">
      <sharedItems containsString="0" containsBlank="1" containsNumber="1" containsInteger="1" minValue="1" maxValue="30"/>
    </cacheField>
    <cacheField name="30" numFmtId="0">
      <sharedItems containsString="0" containsBlank="1" containsNumber="1" containsInteger="1" minValue="1" maxValue="12"/>
    </cacheField>
    <cacheField name="35" numFmtId="0">
      <sharedItems containsString="0" containsBlank="1" containsNumber="1" containsInteger="1" minValue="1" maxValue="14"/>
    </cacheField>
    <cacheField name="40" numFmtId="0">
      <sharedItems containsString="0" containsBlank="1" containsNumber="1" containsInteger="1" minValue="1" maxValue="16"/>
    </cacheField>
    <cacheField name="50" numFmtId="0">
      <sharedItems containsString="0" containsBlank="1" containsNumber="1" containsInteger="1" minValue="1" maxValue="20"/>
    </cacheField>
    <cacheField name="62.5" numFmtId="0">
      <sharedItems containsString="0" containsBlank="1" containsNumber="1" containsInteger="1" minValue="1" maxValue="25"/>
    </cacheField>
    <cacheField name="75" numFmtId="0">
      <sharedItems containsString="0" containsBlank="1" containsNumber="1" containsInteger="1" minValue="30" maxValue="30"/>
    </cacheField>
    <cacheField name="87.5" numFmtId="0">
      <sharedItems containsString="0" containsBlank="1" containsNumber="1" containsInteger="1" minValue="1" maxValue="35"/>
    </cacheField>
    <cacheField name="100" numFmtId="0">
      <sharedItems containsString="0" containsBlank="1" containsNumber="1" containsInteger="1" minValue="1" maxValue="40"/>
    </cacheField>
    <cacheField name="112.5" numFmtId="0">
      <sharedItems containsString="0" containsBlank="1" containsNumber="1" containsInteger="1" minValue="45" maxValue="45"/>
    </cacheField>
    <cacheField name="125" numFmtId="0">
      <sharedItems containsString="0" containsBlank="1" containsNumber="1" containsInteger="1" minValue="50" maxValue="50"/>
    </cacheField>
    <cacheField name="137.5" numFmtId="0">
      <sharedItems containsString="0" containsBlank="1" containsNumber="1" containsInteger="1" minValue="3" maxValue="55"/>
    </cacheField>
    <cacheField name="150" numFmtId="0">
      <sharedItems containsString="0" containsBlank="1" containsNumber="1" containsInteger="1" minValue="1" maxValue="60"/>
    </cacheField>
    <cacheField name="162.5" numFmtId="0">
      <sharedItems containsString="0" containsBlank="1" containsNumber="1" containsInteger="1" minValue="65" maxValue="65"/>
    </cacheField>
    <cacheField name="175" numFmtId="0">
      <sharedItems containsString="0" containsBlank="1" containsNumber="1" containsInteger="1" minValue="7" maxValue="70"/>
    </cacheField>
    <cacheField name="187.5" numFmtId="0">
      <sharedItems containsString="0" containsBlank="1" containsNumber="1" containsInteger="1" minValue="4" maxValue="75"/>
    </cacheField>
    <cacheField name="200" numFmtId="0">
      <sharedItems containsString="0" containsBlank="1" containsNumber="1" containsInteger="1" minValue="1" maxValue="80"/>
    </cacheField>
    <cacheField name="250" numFmtId="0">
      <sharedItems containsString="0" containsBlank="1" containsNumber="1" containsInteger="1" minValue="100" maxValue="100"/>
    </cacheField>
    <cacheField name="300" numFmtId="0">
      <sharedItems containsString="0" containsBlank="1" containsNumber="1" containsInteger="1" minValue="120" maxValue="120"/>
    </cacheField>
    <cacheField name="350" numFmtId="0">
      <sharedItems containsString="0" containsBlank="1" containsNumber="1" containsInteger="1" minValue="140" maxValue="140"/>
    </cacheField>
    <cacheField name="400" numFmtId="0">
      <sharedItems containsString="0" containsBlank="1" containsNumber="1" containsInteger="1" minValue="160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3">
  <r>
    <m/>
    <m/>
    <x v="0"/>
    <m/>
    <m/>
    <m/>
    <x v="0"/>
    <m/>
    <m/>
    <d v="1899-12-30T12:00:00"/>
    <m/>
    <x v="0"/>
    <x v="0"/>
    <s v="0, 1, 2"/>
    <m/>
    <x v="0"/>
    <n v="3"/>
    <n v="18319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1"/>
    <n v="2"/>
    <s v="Rni"/>
    <x v="1"/>
    <s v="Blackeye goby"/>
    <n v="50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1"/>
    <n v="2"/>
    <s v="Hde"/>
    <x v="2"/>
    <s v="Kelp greenling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1"/>
    <n v="2"/>
    <s v="Opi"/>
    <x v="3"/>
    <s v="Painted greenling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1"/>
    <n v="2"/>
    <s v="Sca"/>
    <x v="4"/>
    <s v="Copper rockfish"/>
    <n v="2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1"/>
    <n v="2"/>
    <s v="Sca"/>
    <x v="4"/>
    <s v="Unidentified ctenophore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Mfra"/>
    <x v="5"/>
    <s v="Red sea urchin"/>
    <n v="52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Dim"/>
    <x v="6"/>
    <s v="Leather star"/>
    <n v="20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Pmi"/>
    <x v="7"/>
    <s v="Bat star"/>
    <n v="12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Rni"/>
    <x v="1"/>
    <s v="Blackeye goby"/>
    <n v="117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Hka"/>
    <x v="8"/>
    <s v="Pinto abalone"/>
    <n v="5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Pgi"/>
    <x v="9"/>
    <s v="Red turban shell"/>
    <n v="2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Hsp."/>
    <x v="10"/>
    <s v="Unidentified blood star"/>
    <n v="6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Aca"/>
    <x v="11"/>
    <s v="California sea cucumber"/>
    <n v="23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Tsp."/>
    <x v="12"/>
    <s v="Unidentified chiton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Poc"/>
    <x v="13"/>
    <s v="Ochre sea star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Cpr"/>
    <x v="14"/>
    <s v="Red rock crab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Etr"/>
    <x v="15"/>
    <s v="Mottled starfish"/>
    <n v="2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Das"/>
    <x v="16"/>
    <s v="Rough keyhole limpet"/>
    <n v="7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Oko"/>
    <x v="17"/>
    <s v="Rainbow star"/>
    <n v="7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Dod"/>
    <x v="18"/>
    <s v="Giant white doris"/>
    <n v="2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Clu"/>
    <x v="19"/>
    <s v="Yellow-edge cadlina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Cgi"/>
    <x v="20"/>
    <s v="Purple-hinged rock scallop"/>
    <n v="4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Aha"/>
    <x v="21"/>
    <s v="Scalyhead sculpin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Dal"/>
    <x v="22"/>
    <s v="White-line dirona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3"/>
    <n v="2"/>
    <s v="Hde"/>
    <x v="2"/>
    <s v="Kelp greenling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Ami"/>
    <x v="23"/>
    <s v="Whitecap limpet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Mae"/>
    <x v="24"/>
    <s v="Vermillion sea star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Tmo"/>
    <x v="25"/>
    <s v="Sea clown"/>
    <n v="1"/>
  </r>
  <r>
    <s v="Jasmin Schuster"/>
    <s v="Em Lim"/>
    <x v="1"/>
    <s v="Dixon Inside"/>
    <n v="48.8542671203613"/>
    <n v="-125.11703491210901"/>
    <x v="1"/>
    <n v="3"/>
    <n v="90"/>
    <d v="1899-12-30T10:14:00"/>
    <s v="EGL"/>
    <x v="1"/>
    <x v="2"/>
    <n v="2"/>
    <s v="Sac"/>
    <x v="26"/>
    <s v="Sharpnose crab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1"/>
    <n v="1"/>
    <s v="Rni"/>
    <x v="1"/>
    <s v="Blackeye goby"/>
    <n v="9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1"/>
    <n v="1"/>
    <s v="Hde"/>
    <x v="2"/>
    <s v="Kelp greenling"/>
    <n v="10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1"/>
    <n v="1"/>
    <s v="Aha"/>
    <x v="21"/>
    <s v="Scalyhead sculpin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1"/>
    <n v="1"/>
    <s v="Bin"/>
    <x v="27"/>
    <s v="Northern comb jelly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1"/>
    <n v="1"/>
    <s v="Sme"/>
    <x v="28"/>
    <s v="Black rockfish"/>
    <n v="5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Mfra"/>
    <x v="5"/>
    <s v="Red sea urchin"/>
    <n v="373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Oko"/>
    <x v="17"/>
    <s v="Rainbow star"/>
    <n v="17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Hka"/>
    <x v="8"/>
    <s v="Pinto abalone"/>
    <n v="59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Rni"/>
    <x v="1"/>
    <s v="Blackeye goby"/>
    <n v="25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Aca"/>
    <x v="11"/>
    <s v="California sea cucumber"/>
    <n v="42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Dim"/>
    <x v="6"/>
    <s v="Leather star"/>
    <n v="15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Pmi"/>
    <x v="7"/>
    <s v="Bat star"/>
    <n v="18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Cgi"/>
    <x v="20"/>
    <s v="Purple-hinged rock scallop"/>
    <n v="1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Dodo"/>
    <x v="29"/>
    <s v="Spotted dorid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Poc"/>
    <x v="13"/>
    <s v="Ochre sea star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Pgi"/>
    <x v="9"/>
    <s v="Red turban shell"/>
    <n v="7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Cfo"/>
    <x v="30"/>
    <s v="Leafy hornmouth"/>
    <n v="1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Etr"/>
    <x v="15"/>
    <s v="Mottled starfish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Aha"/>
    <x v="21"/>
    <s v="Scalyhead sculpin"/>
    <n v="4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Ami"/>
    <x v="23"/>
    <s v="Whitecap limpet"/>
    <n v="3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R+K52"/>
    <x v="31"/>
    <s v="NOT PRESENT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dep"/>
    <x v="32"/>
    <s v="Any plastic debris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def"/>
    <x v="33"/>
    <s v="Any fishing gear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Phe"/>
    <x v="34"/>
    <s v="Sunflower star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3"/>
    <n v="1"/>
    <s v="Opi"/>
    <x v="3"/>
    <s v="Painted greenling"/>
    <n v="2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2"/>
    <n v="1"/>
    <s v="Pno"/>
    <x v="35"/>
    <s v="noble sea lemon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3"/>
    <n v="0"/>
    <s v="Hst"/>
    <x v="36"/>
    <s v="Whitespotted greenling"/>
    <n v="1"/>
  </r>
  <r>
    <s v="Jasmin Schuster"/>
    <s v="Em Lim"/>
    <x v="2"/>
    <s v="Dixon SW"/>
    <n v="48.85205078125"/>
    <n v="-125.123565673828"/>
    <x v="1"/>
    <n v="2"/>
    <n v="90"/>
    <d v="1899-12-30T13:00:00"/>
    <s v="EGL"/>
    <x v="2"/>
    <x v="3"/>
    <n v="0"/>
    <s v="Phe"/>
    <x v="34"/>
    <s v="Sunflower star"/>
    <n v="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1"/>
    <n v="1"/>
    <s v="Rni"/>
    <x v="1"/>
    <s v="Blackeye goby"/>
    <n v="23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1"/>
    <n v="1"/>
    <s v="Bin"/>
    <x v="27"/>
    <s v="Northern comb jelly"/>
    <n v="9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1"/>
    <n v="1"/>
    <s v="Syoy"/>
    <x v="37"/>
    <s v="Rockfish YOY"/>
    <n v="3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1"/>
    <n v="1"/>
    <s v="Hde"/>
    <x v="2"/>
    <s v="Kelp greenling"/>
    <n v="3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Mfra"/>
    <x v="5"/>
    <s v="Red sea urchin"/>
    <n v="9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Oko"/>
    <x v="17"/>
    <s v="Rainbow star"/>
    <n v="8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Rni"/>
    <x v="1"/>
    <s v="Blackeye goby"/>
    <n v="68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Cfo"/>
    <x v="30"/>
    <s v="Leafy hornmouth"/>
    <n v="6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Dim"/>
    <x v="6"/>
    <s v="Leather star"/>
    <n v="6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Das"/>
    <x v="16"/>
    <s v="Rough keyhole limpet"/>
    <n v="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Aca"/>
    <x v="11"/>
    <s v="California sea cucumber"/>
    <n v="50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Pmi"/>
    <x v="7"/>
    <s v="Bat star"/>
    <n v="33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3"/>
    <n v="1"/>
    <s v="Syoy"/>
    <x v="37"/>
    <s v="Rockfish YOY"/>
    <n v="2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Sdr"/>
    <x v="38"/>
    <s v="Northern sea urchin"/>
    <n v="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Cgi"/>
    <x v="20"/>
    <s v="Purple-hinged rock scallop"/>
    <n v="2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Pgi"/>
    <x v="9"/>
    <s v="Red turban shell"/>
    <n v="5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Phe"/>
    <x v="34"/>
    <s v="Sunflower star"/>
    <n v="15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Ppr"/>
    <x v="39"/>
    <s v="Northern kelp crab"/>
    <n v="2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Pgr"/>
    <x v="40"/>
    <s v="Graceful kelp crab"/>
    <n v="3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Poc"/>
    <x v="13"/>
    <s v="Ochre sea star"/>
    <n v="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Etr"/>
    <x v="15"/>
    <s v="Mottled starfish"/>
    <n v="2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Sac"/>
    <x v="26"/>
    <s v="Sharpnose crab"/>
    <n v="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Pla"/>
    <x v="41"/>
    <s v="Crescent gunnel"/>
    <n v="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2"/>
    <n v="1"/>
    <s v="Hka"/>
    <x v="8"/>
    <s v="Pinto abalone"/>
    <n v="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3"/>
    <n v="1"/>
    <s v="Phe"/>
    <x v="34"/>
    <s v="Sunflower star"/>
    <n v="8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3"/>
    <n v="0"/>
    <s v="Pbr"/>
    <x v="42"/>
    <s v="Giant pink sea star"/>
    <n v="1"/>
  </r>
  <r>
    <s v="Jasmin Schuster"/>
    <s v="Em Lim"/>
    <x v="3"/>
    <s v="Ross Islets Slug Island"/>
    <n v="48.870517730712798"/>
    <n v="-125.160346984863"/>
    <x v="2"/>
    <n v="1.5"/>
    <n v="270"/>
    <d v="1899-12-30T10:23:00"/>
    <s v="EGL"/>
    <x v="3"/>
    <x v="3"/>
    <n v="0"/>
    <m/>
    <x v="31"/>
    <s v="Unidentified sculpin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1"/>
    <n v="1"/>
    <s v="Hde"/>
    <x v="2"/>
    <s v="Kelp greenling"/>
    <n v="5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Mfra"/>
    <x v="5"/>
    <s v="Red sea urchin"/>
    <n v="500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Etr"/>
    <x v="15"/>
    <s v="Mottled starfish"/>
    <n v="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Cfo"/>
    <x v="30"/>
    <s v="Leafy hornmouth"/>
    <n v="14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Aca"/>
    <x v="11"/>
    <s v="California sea cucumber"/>
    <n v="39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Hka"/>
    <x v="8"/>
    <s v="Pinto abalone"/>
    <n v="2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Pgi"/>
    <x v="9"/>
    <s v="Red turban shell"/>
    <n v="2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Dal"/>
    <x v="22"/>
    <s v="White-line dirona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Cgi"/>
    <x v="20"/>
    <s v="Purple-hinged rock scallop"/>
    <n v="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Dim"/>
    <x v="6"/>
    <s v="Leather star"/>
    <n v="20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Oko"/>
    <x v="17"/>
    <s v="Rainbow star"/>
    <n v="9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Nla"/>
    <x v="43"/>
    <s v="Frilled dogwinkle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Aha"/>
    <x v="21"/>
    <s v="Scalyhead sculpin"/>
    <n v="3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Phem"/>
    <x v="44"/>
    <s v="Maroon hermit"/>
    <n v="3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Tsp."/>
    <x v="12"/>
    <s v="Unidentified chiton"/>
    <n v="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Tmo"/>
    <x v="25"/>
    <s v="Sea clown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Sfo"/>
    <x v="45"/>
    <s v="Velcro seastar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Poc"/>
    <x v="13"/>
    <s v="Ochre sea star"/>
    <n v="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Hsp."/>
    <x v="10"/>
    <s v="Unidentified blood star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Phe"/>
    <x v="34"/>
    <s v="Sunflower star"/>
    <n v="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Hcr"/>
    <x v="46"/>
    <s v="Opalescent nudibranch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Rni"/>
    <x v="1"/>
    <s v="Blackeye goby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Pda"/>
    <x v="47"/>
    <s v="Dock shrimp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Jzo"/>
    <x v="48"/>
    <s v="Longfin sculpin"/>
    <n v="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Pmi"/>
    <x v="7"/>
    <s v="Bat star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Ami"/>
    <x v="23"/>
    <s v="Whitecap limpet"/>
    <n v="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2"/>
    <n v="1"/>
    <s v="Sac"/>
    <x v="26"/>
    <s v="Sharpnose crab"/>
    <n v="1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3"/>
    <n v="0"/>
    <s v="Phe"/>
    <x v="34"/>
    <s v="Sunflower star"/>
    <n v="2"/>
  </r>
  <r>
    <s v="Jasmin Schuster"/>
    <s v="Em Lim"/>
    <x v="4"/>
    <s v="Kirby"/>
    <n v="48.850399017333899"/>
    <n v="-125.198768615722"/>
    <x v="2"/>
    <n v="1.5"/>
    <n v="60"/>
    <d v="1899-12-30T13:30:00"/>
    <s v="EGL"/>
    <x v="4"/>
    <x v="3"/>
    <n v="0"/>
    <s v="Aha"/>
    <x v="21"/>
    <s v="Scalyhead sculpin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1"/>
    <n v="1"/>
    <s v="Hde"/>
    <x v="2"/>
    <s v="Kelp greenling"/>
    <n v="10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1"/>
    <n v="1"/>
    <s v="Aha"/>
    <x v="21"/>
    <s v="Scalyhead sculpin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1"/>
    <n v="1"/>
    <s v="Oel"/>
    <x v="49"/>
    <s v="Lingcod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Mfra"/>
    <x v="5"/>
    <s v="Red sea urchin"/>
    <n v="372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Poc"/>
    <x v="13"/>
    <s v="Ochre sea star"/>
    <n v="13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Hka"/>
    <x v="8"/>
    <s v="Pinto abalone"/>
    <n v="40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Pmi"/>
    <x v="7"/>
    <s v="Bat star"/>
    <n v="27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Oko"/>
    <x v="17"/>
    <s v="Rainbow star"/>
    <n v="4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Ami"/>
    <x v="23"/>
    <s v="Whitecap limpet"/>
    <n v="1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Phem"/>
    <x v="44"/>
    <s v="Maroon hermit"/>
    <n v="19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Aca"/>
    <x v="11"/>
    <s v="California sea cucumber"/>
    <n v="13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Dim"/>
    <x v="6"/>
    <s v="Leather star"/>
    <n v="4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Spu"/>
    <x v="50"/>
    <s v="Purple sea urchin"/>
    <n v="16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Hsp."/>
    <x v="10"/>
    <s v="Unidentified blood star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Cfo"/>
    <x v="30"/>
    <s v="Leafy hornmouth"/>
    <n v="10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Sdr"/>
    <x v="38"/>
    <s v="Northern sea urchin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Pgi"/>
    <x v="9"/>
    <s v="Red turban shell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Aha"/>
    <x v="21"/>
    <s v="Scalyhead sculpin"/>
    <n v="5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Pbe"/>
    <x v="51"/>
    <s v="Bering hermit crab"/>
    <n v="2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Das"/>
    <x v="16"/>
    <s v="Rough keyhole limpet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Cpr"/>
    <x v="14"/>
    <s v="Red rock crab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Hka"/>
    <x v="8"/>
    <s v="Pinto abalone"/>
    <n v="10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2"/>
    <n v="1"/>
    <s v="Tsp."/>
    <x v="12"/>
    <s v="Unidentified chiton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3"/>
    <n v="0"/>
    <s v="Jzo"/>
    <x v="48"/>
    <s v="Longfin sculpin"/>
    <n v="1"/>
  </r>
  <r>
    <s v="Jasmin Schuster"/>
    <s v="Em Lim"/>
    <x v="5"/>
    <s v="Ed King SW Pyramid"/>
    <n v="48.828601837158203"/>
    <n v="-125.221298217773"/>
    <x v="3"/>
    <n v="1.5"/>
    <n v="270"/>
    <d v="1899-12-30T11:15:00"/>
    <s v="EGL"/>
    <x v="5"/>
    <x v="3"/>
    <n v="0"/>
    <s v="Sme"/>
    <x v="28"/>
    <s v="Black rockfish"/>
    <n v="18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1"/>
    <n v="1"/>
    <s v="Hde"/>
    <x v="2"/>
    <s v="Kelp greenling"/>
    <n v="6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1"/>
    <n v="1"/>
    <s v="Sne"/>
    <x v="52"/>
    <s v="China rockfish"/>
    <n v="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1"/>
    <n v="1"/>
    <s v="Sme"/>
    <x v="28"/>
    <s v="Black rockfish"/>
    <n v="16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Mfra"/>
    <x v="5"/>
    <s v="Red sea urchin"/>
    <n v="42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Spu"/>
    <x v="50"/>
    <s v="Purple sea urchin"/>
    <n v="14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Ami"/>
    <x v="23"/>
    <s v="Whitecap limpet"/>
    <n v="17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Pmi"/>
    <x v="7"/>
    <s v="Bat star"/>
    <n v="45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Phem"/>
    <x v="44"/>
    <s v="Maroon hermit"/>
    <n v="16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Oko"/>
    <x v="17"/>
    <s v="Rainbow star"/>
    <n v="2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Cfo"/>
    <x v="30"/>
    <s v="Leafy hornmouth"/>
    <n v="1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Aca"/>
    <x v="11"/>
    <s v="California sea cucumber"/>
    <n v="7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Cgi"/>
    <x v="20"/>
    <s v="Purple-hinged rock scallop"/>
    <n v="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Aha"/>
    <x v="21"/>
    <s v="Scalyhead sculpin"/>
    <n v="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Jzo"/>
    <x v="48"/>
    <s v="Longfin sculpin"/>
    <n v="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Hsp."/>
    <x v="10"/>
    <s v="Unidentified blood star"/>
    <n v="3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Tsp."/>
    <x v="12"/>
    <s v="Unidentified chiton"/>
    <n v="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Hka"/>
    <x v="8"/>
    <s v="Pinto abalone"/>
    <n v="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Rni"/>
    <x v="1"/>
    <s v="Blackeye goby"/>
    <n v="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Das"/>
    <x v="16"/>
    <s v="Rough keyhole limpet"/>
    <n v="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Lsp."/>
    <x v="53"/>
    <s v="Unidentified plate limpet"/>
    <n v="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Pno"/>
    <x v="35"/>
    <s v="noble sea lemon"/>
    <n v="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Bca"/>
    <x v="54"/>
    <s v="California sidegill slug"/>
    <n v="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Opi"/>
    <x v="3"/>
    <s v="Painted greenling"/>
    <n v="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Sac"/>
    <x v="26"/>
    <s v="Sharpnose crab"/>
    <n v="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Dsa"/>
    <x v="55"/>
    <s v="Ringed dorid"/>
    <n v="1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Dim"/>
    <x v="6"/>
    <s v="Leather star"/>
    <n v="2"/>
  </r>
  <r>
    <s v="Jasmin Schuster"/>
    <s v="Em Lim"/>
    <x v="6"/>
    <s v="Ed King East"/>
    <n v="48.835666656494098"/>
    <n v="-125.214797973632"/>
    <x v="3"/>
    <n v="2.5"/>
    <n v="300"/>
    <d v="1899-12-30T12:35:00"/>
    <s v="EGL"/>
    <x v="5"/>
    <x v="2"/>
    <n v="1"/>
    <s v="Phe"/>
    <x v="34"/>
    <s v="Sunflower star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1"/>
    <n v="1"/>
    <s v="rni"/>
    <x v="1"/>
    <s v="Blackeye goby"/>
    <n v="1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1"/>
    <n v="1"/>
    <s v="sme"/>
    <x v="28"/>
    <s v="Black rockfish"/>
    <n v="12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1"/>
    <n v="1"/>
    <s v="hde"/>
    <x v="2"/>
    <s v="Kelp greenling"/>
    <n v="7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1"/>
    <n v="1"/>
    <s v="sfl"/>
    <x v="56"/>
    <s v="Yellowtail rockfish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1"/>
    <n v="1"/>
    <s v="sca"/>
    <x v="4"/>
    <s v="Copper rockfish"/>
    <n v="8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1"/>
    <n v="1"/>
    <s v="sma"/>
    <x v="57"/>
    <s v="Quillback rockfish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1"/>
    <n v="1"/>
    <s v="opi"/>
    <x v="3"/>
    <s v="Painted greenling"/>
    <n v="2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1"/>
    <n v="1"/>
    <s v="oel"/>
    <x v="49"/>
    <s v="Lingcod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aca"/>
    <x v="11"/>
    <s v="California sea cucumber"/>
    <n v="15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ami"/>
    <x v="23"/>
    <s v="Whitecap limpet"/>
    <n v="45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das"/>
    <x v="16"/>
    <s v="Rough keyhole limpet"/>
    <n v="19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rni"/>
    <x v="1"/>
    <s v="Blackeye goby"/>
    <n v="42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mfra"/>
    <x v="5"/>
    <s v="Red sea urchin"/>
    <n v="155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pda"/>
    <x v="47"/>
    <s v="Dock shrimp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cfo"/>
    <x v="30"/>
    <s v="Leafy hornmouth"/>
    <n v="30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pmi"/>
    <x v="7"/>
    <s v="Bat star"/>
    <n v="34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opi"/>
    <x v="3"/>
    <s v="Painted greenling"/>
    <n v="5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hsp."/>
    <x v="10"/>
    <s v="Unidentified blood star"/>
    <n v="16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hka"/>
    <x v="8"/>
    <s v="Pinto abalone"/>
    <n v="28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dim"/>
    <x v="6"/>
    <s v="Leather star"/>
    <n v="14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cgi"/>
    <x v="20"/>
    <s v="Purple-hinged rock scallop"/>
    <n v="20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Tmo"/>
    <x v="25"/>
    <s v="Sea clown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pno"/>
    <x v="35"/>
    <s v="noble sea lemon"/>
    <n v="5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aha"/>
    <x v="21"/>
    <s v="Scalyhead sculpin"/>
    <n v="4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etr"/>
    <x v="15"/>
    <s v="Mottled starfish"/>
    <n v="3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dod"/>
    <x v="18"/>
    <s v="Giant white doris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Tsp."/>
    <x v="12"/>
    <s v="Unidentified chiton"/>
    <n v="3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Edo"/>
    <x v="58"/>
    <s v="Giant pacific octopus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hhe"/>
    <x v="59"/>
    <s v="Red Irish lord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3"/>
    <n v="1"/>
    <s v="Sne"/>
    <x v="52"/>
    <s v="China rockfish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Poc"/>
    <x v="13"/>
    <s v="Ochre sea star"/>
    <n v="2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Sac"/>
    <x v="26"/>
    <s v="Sharpnose crab"/>
    <n v="3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Oko"/>
    <x v="17"/>
    <s v="Rainbow star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Spu"/>
    <x v="50"/>
    <s v="Purple sea urchin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dal"/>
    <x v="22"/>
    <s v="White-line dirona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Phem"/>
    <x v="44"/>
    <s v="Maroon hermit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Deg"/>
    <x v="60"/>
    <s v="Any glass debris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Def"/>
    <x v="33"/>
    <s v="Any fishing gear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3"/>
    <n v="1"/>
    <s v="Sfl"/>
    <x v="56"/>
    <s v="Yellowtail rockfish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2"/>
    <n v="1"/>
    <s v="dsa"/>
    <x v="55"/>
    <s v="Ringed dorid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3"/>
    <n v="1"/>
    <s v="Oel"/>
    <x v="49"/>
    <s v="Lingcod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3"/>
    <n v="1"/>
    <s v="Sma"/>
    <x v="57"/>
    <s v="Quillback rockfish"/>
    <n v="1"/>
  </r>
  <r>
    <s v="Jasmin Schuster"/>
    <s v="Em Lim"/>
    <x v="7"/>
    <s v="Eagle Bay"/>
    <n v="48.834789276122997"/>
    <n v="-125.14702606201099"/>
    <x v="4"/>
    <n v="2"/>
    <n v="220"/>
    <d v="1899-12-30T10:00:00"/>
    <s v="EGL"/>
    <x v="2"/>
    <x v="3"/>
    <n v="1"/>
    <s v="Sca"/>
    <x v="4"/>
    <s v="Copper rockfish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1"/>
    <n v="1"/>
    <s v="Rni"/>
    <x v="1"/>
    <s v="Blackeye goby"/>
    <n v="9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1"/>
    <n v="1"/>
    <s v="Hde"/>
    <x v="2"/>
    <s v="Kelp greenling"/>
    <n v="2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1"/>
    <n v="1"/>
    <s v="Spi"/>
    <x v="61"/>
    <s v="Canary rockfish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1"/>
    <n v="1"/>
    <s v="Sfl"/>
    <x v="56"/>
    <s v="Yellowtail rockfish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1"/>
    <n v="1"/>
    <s v="Sca"/>
    <x v="4"/>
    <s v="Copper rockfish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Mfra"/>
    <x v="5"/>
    <s v="Red sea urchin"/>
    <n v="203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Hsp."/>
    <x v="10"/>
    <s v="Unidentified blood star"/>
    <n v="6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Cfo"/>
    <x v="30"/>
    <s v="Leafy hornmouth"/>
    <n v="29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Ami"/>
    <x v="23"/>
    <s v="Whitecap limpet"/>
    <n v="1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Tca"/>
    <x v="62"/>
    <s v="Sea-clown triopha"/>
    <n v="2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Aca"/>
    <x v="11"/>
    <s v="California sea cucumber"/>
    <n v="20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Etr"/>
    <x v="15"/>
    <s v="Mottled starfish"/>
    <n v="6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Hka"/>
    <x v="8"/>
    <s v="Pinto abalone"/>
    <n v="20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Rni"/>
    <x v="1"/>
    <s v="Blackeye goby"/>
    <n v="39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3"/>
    <n v="1"/>
    <s v="Sca"/>
    <x v="4"/>
    <s v="Copper rockfish"/>
    <n v="2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Das"/>
    <x v="16"/>
    <s v="Rough keyhole limpet"/>
    <n v="1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Oko"/>
    <x v="17"/>
    <s v="Rainbow star"/>
    <n v="8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Cgi"/>
    <x v="20"/>
    <s v="Purple-hinged rock scallop"/>
    <n v="4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Pmi"/>
    <x v="7"/>
    <s v="Bat star"/>
    <n v="7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Pno"/>
    <x v="35"/>
    <s v="noble sea lemon"/>
    <n v="2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Tsp."/>
    <x v="12"/>
    <s v="Unidentified chiton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Aha"/>
    <x v="21"/>
    <s v="Scalyhead sculpin"/>
    <n v="7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Dim"/>
    <x v="6"/>
    <s v="Leather star"/>
    <n v="6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Phem"/>
    <x v="44"/>
    <s v="Maroon hermit"/>
    <n v="2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Sac"/>
    <x v="26"/>
    <s v="Sharpnose crab"/>
    <n v="2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3"/>
    <n v="1"/>
    <s v="Syoy"/>
    <x v="37"/>
    <s v="Rockfish YOY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2"/>
    <n v="1"/>
    <s v="Jzo"/>
    <x v="48"/>
    <s v="Longfin sculpin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3"/>
    <n v="0"/>
    <s v="Phe"/>
    <x v="34"/>
    <s v="Sunflower star"/>
    <n v="3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3"/>
    <n v="0"/>
    <s v="Sma"/>
    <x v="57"/>
    <s v="Quillback rockfish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3"/>
    <n v="0"/>
    <s v="Nle"/>
    <x v="63"/>
    <s v="Lewis' Moon snail"/>
    <n v="2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3"/>
    <n v="0"/>
    <s v="Oel"/>
    <x v="49"/>
    <s v="Lingcod"/>
    <n v="1"/>
  </r>
  <r>
    <s v="Jasmin Schuster"/>
    <s v="Em Lim"/>
    <x v="8"/>
    <s v="Aguilar Point"/>
    <n v="48.837589000000001"/>
    <n v="-125.14414499999999"/>
    <x v="4"/>
    <n v="3"/>
    <n v="30"/>
    <d v="1899-12-30T12:20:00"/>
    <s v="EGL"/>
    <x v="4"/>
    <x v="3"/>
    <n v="0"/>
    <s v="Opi"/>
    <x v="3"/>
    <s v="Painted greenling"/>
    <n v="1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1"/>
    <n v="1"/>
    <s v="Hde"/>
    <x v="2"/>
    <s v="Kelp greenling"/>
    <n v="4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Mfra"/>
    <x v="5"/>
    <s v="Red sea urchin"/>
    <n v="159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Etr"/>
    <x v="15"/>
    <s v="Mottled starfish"/>
    <n v="2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Aha"/>
    <x v="21"/>
    <s v="Scalyhead sculpin"/>
    <n v="5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Dim"/>
    <x v="6"/>
    <s v="Leather star"/>
    <n v="14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Sac"/>
    <x v="26"/>
    <s v="Sharpnose crab"/>
    <n v="3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Aca"/>
    <x v="11"/>
    <s v="California sea cucumber"/>
    <n v="19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Hka"/>
    <x v="8"/>
    <s v="Pinto abalone"/>
    <n v="8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Oko"/>
    <x v="17"/>
    <s v="Rainbow star"/>
    <n v="17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Phem"/>
    <x v="44"/>
    <s v="Maroon hermit"/>
    <n v="20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Das"/>
    <x v="16"/>
    <s v="Rough keyhole limpet"/>
    <n v="1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Nla"/>
    <x v="43"/>
    <s v="Frilled dogwinkle"/>
    <n v="5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Gor"/>
    <x v="64"/>
    <s v="Pygmy rock crab"/>
    <n v="1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Cpr"/>
    <x v="14"/>
    <s v="Red rock crab"/>
    <n v="1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Cfo"/>
    <x v="30"/>
    <s v="Leafy hornmouth"/>
    <n v="12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Pmi"/>
    <x v="7"/>
    <s v="Bat star"/>
    <n v="1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Cgi"/>
    <x v="20"/>
    <s v="Purple-hinged rock scallop"/>
    <n v="2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Afu"/>
    <x v="65"/>
    <s v="White-and-Orange-Tipped Nudibranch"/>
    <n v="1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Hsp."/>
    <x v="10"/>
    <s v="Unidentified blood star"/>
    <n v="5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2"/>
    <n v="1"/>
    <s v="Ami"/>
    <x v="23"/>
    <s v="Whitecap limpet"/>
    <n v="1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3"/>
    <n v="1"/>
    <s v="Poc"/>
    <x v="13"/>
    <s v="Ochre sea star"/>
    <n v="1"/>
  </r>
  <r>
    <s v="Jasmin Schuster"/>
    <s v="Em Lim"/>
    <x v="9"/>
    <s v="Kii xin"/>
    <n v="48.815116882324197"/>
    <n v="-125.175331115722"/>
    <x v="5"/>
    <n v="1.5"/>
    <n v="30"/>
    <d v="1899-12-30T10:07:00"/>
    <s v="EGL"/>
    <x v="6"/>
    <x v="3"/>
    <n v="0"/>
    <s v="Eju"/>
    <x v="66"/>
    <s v="Steller sea lion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1"/>
    <n v="1"/>
    <s v="Sme"/>
    <x v="28"/>
    <s v="Black rockfish"/>
    <n v="3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1"/>
    <n v="1"/>
    <s v="Hde"/>
    <x v="2"/>
    <s v="Kelp greenling"/>
    <n v="6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1"/>
    <n v="1"/>
    <s v="Rni"/>
    <x v="1"/>
    <s v="Blackeye goby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1"/>
    <n v="1"/>
    <s v="Oel"/>
    <x v="49"/>
    <s v="Lingcod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Sac"/>
    <x v="26"/>
    <s v="Sharpnose crab"/>
    <n v="5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Aha"/>
    <x v="21"/>
    <s v="Scalyhead sculpin"/>
    <n v="10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Mfra"/>
    <x v="5"/>
    <s v="Red sea urchin"/>
    <n v="460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Hka"/>
    <x v="8"/>
    <s v="Pinto abalone"/>
    <n v="39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Cgi"/>
    <x v="20"/>
    <s v="Purple-hinged rock scallop"/>
    <n v="36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Rni"/>
    <x v="1"/>
    <s v="Blackeye goby"/>
    <n v="14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Dim"/>
    <x v="6"/>
    <s v="Leather star"/>
    <n v="12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Hcr"/>
    <x v="46"/>
    <s v="Opalescent nudibranch"/>
    <n v="1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Dmo"/>
    <x v="67"/>
    <s v="Monterey sea lemon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3"/>
    <n v="1"/>
    <s v="Sne"/>
    <x v="52"/>
    <s v="China rockfish"/>
    <n v="2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Lma"/>
    <x v="68"/>
    <s v="Puget sound king crab"/>
    <n v="2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Oko"/>
    <x v="17"/>
    <s v="Rainbow star"/>
    <n v="2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Hsp."/>
    <x v="10"/>
    <s v="Unidentified blood star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Aca"/>
    <x v="11"/>
    <s v="California sea cucumber"/>
    <n v="28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Ami"/>
    <x v="23"/>
    <s v="Whitecap limpet"/>
    <n v="7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Pgi"/>
    <x v="9"/>
    <s v="Red turban shell"/>
    <n v="4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Jzo"/>
    <x v="48"/>
    <s v="Longfin sculpin"/>
    <n v="4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Cfo"/>
    <x v="30"/>
    <s v="Leafy hornmouth"/>
    <n v="18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Pmi"/>
    <x v="7"/>
    <s v="Bat star"/>
    <n v="6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Ppr"/>
    <x v="39"/>
    <s v="Northern kelp crab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Phem"/>
    <x v="44"/>
    <s v="Maroon hermit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Spu"/>
    <x v="50"/>
    <s v="Purple sea urchin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Sdr"/>
    <x v="38"/>
    <s v="Northern sea urchin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Dod"/>
    <x v="18"/>
    <s v="Giant white doris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2"/>
    <n v="1"/>
    <s v="Etr"/>
    <x v="15"/>
    <s v="Mottled starfish"/>
    <n v="1"/>
  </r>
  <r>
    <s v="Jasmin Schuster"/>
    <s v="Em Lim"/>
    <x v="10"/>
    <s v="Ohiat"/>
    <n v="48.855583190917898"/>
    <n v="-125.183799743652"/>
    <x v="5"/>
    <n v="1"/>
    <n v="270"/>
    <d v="1899-12-30T12:40:00"/>
    <s v="EGL"/>
    <x v="7"/>
    <x v="3"/>
    <n v="0"/>
    <s v="Sme"/>
    <x v="28"/>
    <s v="Black rockfish"/>
    <n v="3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1"/>
    <n v="1"/>
    <s v="Rni"/>
    <x v="1"/>
    <s v="Blackeye goby"/>
    <n v="2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1"/>
    <n v="1"/>
    <s v="Hst"/>
    <x v="36"/>
    <s v="Whitespotted greenling"/>
    <n v="1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Mfra"/>
    <x v="5"/>
    <s v="Red sea urchin"/>
    <n v="218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Phe"/>
    <x v="34"/>
    <s v="Sunflower star"/>
    <n v="21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Aca"/>
    <x v="11"/>
    <s v="California sea cucumber"/>
    <n v="19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Pgi"/>
    <x v="9"/>
    <s v="Red turban shell"/>
    <n v="103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Nle"/>
    <x v="63"/>
    <s v="Lewis' Moon snail"/>
    <n v="1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Das"/>
    <x v="16"/>
    <s v="Rough keyhole limpet"/>
    <n v="3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Tsp."/>
    <x v="12"/>
    <s v="Unidentified chiton"/>
    <n v="3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Hka"/>
    <x v="8"/>
    <s v="Pinto abalone"/>
    <n v="12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Ami"/>
    <x v="23"/>
    <s v="Whitecap limpet"/>
    <n v="6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Aha"/>
    <x v="21"/>
    <s v="Scalyhead sculpin"/>
    <n v="7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Cfo"/>
    <x v="30"/>
    <s v="Leafy hornmouth"/>
    <n v="12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Oko"/>
    <x v="17"/>
    <s v="Rainbow star"/>
    <n v="5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Rni"/>
    <x v="1"/>
    <s v="Blackeye goby"/>
    <n v="9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Dim"/>
    <x v="6"/>
    <s v="Leather star"/>
    <n v="8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Phem"/>
    <x v="44"/>
    <s v="Maroon hermit"/>
    <n v="3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Poc"/>
    <x v="13"/>
    <s v="Ochre sea star"/>
    <n v="5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Pmi"/>
    <x v="7"/>
    <s v="Bat star"/>
    <n v="10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Cgi"/>
    <x v="20"/>
    <s v="Purple-hinged rock scallop"/>
    <n v="1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Hsp."/>
    <x v="10"/>
    <s v="Unidentified blood star"/>
    <n v="3"/>
  </r>
  <r>
    <s v="Jasmin Schuster"/>
    <s v="Valesca de Groot"/>
    <x v="11"/>
    <s v="Taylor Rock"/>
    <n v="48.8273315429687"/>
    <n v="-125.196601867675"/>
    <x v="6"/>
    <n v="0.5"/>
    <n v="270"/>
    <d v="1899-12-30T12:18:00"/>
    <s v="VDG"/>
    <x v="8"/>
    <x v="2"/>
    <n v="1"/>
    <s v="dodo"/>
    <x v="29"/>
    <s v="Spotted dorid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1"/>
    <n v="1"/>
    <s v="Hde"/>
    <x v="2"/>
    <s v="Kelp greenling"/>
    <n v="4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1"/>
    <n v="1"/>
    <s v="Opi"/>
    <x v="3"/>
    <s v="Painted greenling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1"/>
    <n v="1"/>
    <s v="Oel"/>
    <x v="49"/>
    <s v="Lingcod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3"/>
    <n v="1"/>
    <s v="Ela"/>
    <x v="69"/>
    <s v="Striped seaperch"/>
    <n v="2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Mfra"/>
    <x v="5"/>
    <s v="Red sea urchin"/>
    <n v="650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Oko"/>
    <x v="17"/>
    <s v="Rainbow star"/>
    <n v="5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Ami"/>
    <x v="23"/>
    <s v="Whitecap limpet"/>
    <n v="43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Pgi"/>
    <x v="9"/>
    <s v="Red turban shell"/>
    <n v="45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Pmi"/>
    <x v="7"/>
    <s v="Bat star"/>
    <n v="29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Phem"/>
    <x v="44"/>
    <s v="Maroon hermit"/>
    <n v="8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Poc"/>
    <x v="13"/>
    <s v="Ochre sea star"/>
    <n v="9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Hsp."/>
    <x v="10"/>
    <s v="Unidentified blood star"/>
    <n v="6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Tsp."/>
    <x v="12"/>
    <s v="Unidentified chiton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Spu"/>
    <x v="50"/>
    <s v="Purple sea urchin"/>
    <n v="24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Aha"/>
    <x v="21"/>
    <s v="Scalyhead sculpin"/>
    <n v="3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Hka"/>
    <x v="8"/>
    <s v="Pinto abalone"/>
    <n v="5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Sdr"/>
    <x v="38"/>
    <s v="Northern sea urchin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Dim"/>
    <x v="6"/>
    <s v="Leather star"/>
    <n v="15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Sac"/>
    <x v="26"/>
    <s v="Sharpnose crab"/>
    <n v="4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Cgi"/>
    <x v="20"/>
    <s v="Purple-hinged rock scallop"/>
    <n v="2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Jzo"/>
    <x v="48"/>
    <s v="Longfin sculpin"/>
    <n v="3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Oel"/>
    <x v="49"/>
    <s v="Lingcod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Oel"/>
    <x v="49"/>
    <s v="Grubby sculpin??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Rni"/>
    <x v="1"/>
    <s v="Blackeye goby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Phe"/>
    <x v="34"/>
    <s v="Sunflower star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Cfo"/>
    <x v="30"/>
    <s v="Leafy hornmouth"/>
    <n v="1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Pbe"/>
    <x v="51"/>
    <s v="Bering hermit crab"/>
    <n v="2"/>
  </r>
  <r>
    <s v="Jasmin Schuster"/>
    <s v="Valesca de Groot"/>
    <x v="12"/>
    <s v="Baeria Rocks South Island"/>
    <n v="48.950233459472599"/>
    <n v="-125.155548095703"/>
    <x v="7"/>
    <n v="5"/>
    <n v="240"/>
    <d v="1899-12-30T10:20:00"/>
    <s v="VDG"/>
    <x v="1"/>
    <x v="2"/>
    <n v="1"/>
    <s v="Cpr"/>
    <x v="14"/>
    <s v="Red rock crab"/>
    <n v="1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1"/>
    <n v="1"/>
    <s v="Bin"/>
    <x v="27"/>
    <s v="Northern comb jelly"/>
    <n v="2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1"/>
    <n v="1"/>
    <s v="Hde"/>
    <x v="2"/>
    <s v="Kelp greenling"/>
    <n v="1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Mfra"/>
    <x v="5"/>
    <s v="Red sea urchin"/>
    <n v="262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Pgib"/>
    <x v="31"/>
    <s v="NOT PRESENT"/>
    <n v="116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Ami"/>
    <x v="23"/>
    <s v="Whitecap limpet"/>
    <n v="35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Pmi"/>
    <x v="7"/>
    <s v="Bat star"/>
    <n v="106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Oko"/>
    <x v="17"/>
    <s v="Rainbow star"/>
    <n v="13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Phem"/>
    <x v="44"/>
    <s v="Maroon hermit"/>
    <n v="4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Hka"/>
    <x v="8"/>
    <s v="Pinto abalone"/>
    <n v="8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Aha"/>
    <x v="21"/>
    <s v="Scalyhead sculpin"/>
    <n v="3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Cfo"/>
    <x v="30"/>
    <s v="Leafy hornmouth"/>
    <n v="3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Rni"/>
    <x v="1"/>
    <s v="Blackeye goby"/>
    <n v="3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Aca"/>
    <x v="11"/>
    <s v="California sea cucumber"/>
    <n v="5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Mae"/>
    <x v="24"/>
    <s v="Vermillion sea star"/>
    <n v="1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Sdr"/>
    <x v="38"/>
    <s v="Northern sea urchin"/>
    <n v="1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Poc"/>
    <x v="13"/>
    <s v="Ochre sea star"/>
    <n v="1"/>
  </r>
  <r>
    <s v="Jasmin Schuster"/>
    <s v="Valesca de Groot"/>
    <x v="13"/>
    <s v="Baeria Rocks North Island Northside"/>
    <n v="48.955081939697202"/>
    <n v="-125.15337371826099"/>
    <x v="7"/>
    <n v="5"/>
    <n v="300"/>
    <d v="1899-12-30T13:00:00"/>
    <s v="VDG"/>
    <x v="7"/>
    <x v="2"/>
    <n v="1"/>
    <s v="Sfo"/>
    <x v="45"/>
    <s v="Velcro seastar"/>
    <n v="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1"/>
    <n v="2"/>
    <s v="Hde"/>
    <x v="2"/>
    <s v="Kelp greenling"/>
    <n v="8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1"/>
    <n v="2"/>
    <s v="Rva"/>
    <x v="70"/>
    <s v="Pile perch"/>
    <n v="12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1"/>
    <n v="2"/>
    <s v="Ela"/>
    <x v="69"/>
    <s v="Striped seaperch"/>
    <n v="23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1"/>
    <n v="2"/>
    <s v="Bin"/>
    <x v="27"/>
    <s v="Northern comb jelly"/>
    <n v="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1"/>
    <n v="2"/>
    <s v="Oel"/>
    <x v="49"/>
    <s v="Lingcod"/>
    <n v="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3"/>
    <n v="2"/>
    <s v="Sme"/>
    <x v="28"/>
    <s v="Black rockfish"/>
    <n v="30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3"/>
    <n v="2"/>
    <s v="Sfl"/>
    <x v="56"/>
    <s v="Yellowtail rockfish"/>
    <n v="60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Mfra"/>
    <x v="5"/>
    <s v="Red sea urchin"/>
    <n v="386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Dim"/>
    <x v="6"/>
    <s v="Leather star"/>
    <n v="24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Poc"/>
    <x v="13"/>
    <s v="Ochre sea star"/>
    <n v="57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Hka"/>
    <x v="8"/>
    <s v="Pinto abalone"/>
    <n v="79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Ami"/>
    <x v="23"/>
    <s v="Whitecap limpet"/>
    <n v="9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Jzo"/>
    <x v="48"/>
    <s v="Longfin sculpin"/>
    <n v="13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Hsp."/>
    <x v="10"/>
    <s v="Unidentified blood star"/>
    <n v="4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Oko"/>
    <x v="17"/>
    <s v="Rainbow star"/>
    <n v="12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Aha"/>
    <x v="21"/>
    <s v="Scalyhead sculpin"/>
    <n v="1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Sac"/>
    <x v="26"/>
    <s v="Sharpnose crab"/>
    <n v="8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Spu"/>
    <x v="50"/>
    <s v="Purple sea urchin"/>
    <n v="25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Opi"/>
    <x v="3"/>
    <s v="Painted greenling"/>
    <n v="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Tsp."/>
    <x v="12"/>
    <s v="Unidentified chiton"/>
    <n v="4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Aca"/>
    <x v="11"/>
    <s v="California sea cucumber"/>
    <n v="39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Sdr"/>
    <x v="38"/>
    <s v="Northern sea urchin"/>
    <n v="6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Pmi"/>
    <x v="7"/>
    <s v="Bat star"/>
    <n v="22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Phem"/>
    <x v="44"/>
    <s v="Maroon hermit"/>
    <n v="4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Cfo"/>
    <x v="30"/>
    <s v="Leafy hornmouth"/>
    <n v="3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Pgi"/>
    <x v="9"/>
    <s v="Red turban shell"/>
    <n v="5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Das"/>
    <x v="16"/>
    <s v="Rough keyhole limpet"/>
    <n v="6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pholis"/>
    <x v="71"/>
    <n v="0"/>
    <n v="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Cgi"/>
    <x v="20"/>
    <s v="Purple-hinged rock scallop"/>
    <n v="6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Clu"/>
    <x v="19"/>
    <s v="Yellow-edge cadlina"/>
    <n v="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Hcr"/>
    <x v="46"/>
    <s v="Opalescent nudibranch"/>
    <n v="7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Etr"/>
    <x v="15"/>
    <s v="Mottled starfish"/>
    <n v="3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Gor"/>
    <x v="64"/>
    <s v="Pygmy rock crab"/>
    <n v="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Pno"/>
    <x v="35"/>
    <s v="noble sea lemon"/>
    <n v="1"/>
  </r>
  <r>
    <s v="Jasmin Schuster"/>
    <s v="Valesca de Groot"/>
    <x v="14"/>
    <s v="Swiss Boy"/>
    <n v="48.916072999999997"/>
    <n v="-125.131174"/>
    <x v="8"/>
    <n v="6"/>
    <n v="40"/>
    <d v="1899-12-30T10:30:00"/>
    <s v="VDG"/>
    <x v="7"/>
    <x v="2"/>
    <n v="2"/>
    <s v="Rni"/>
    <x v="1"/>
    <s v="Blackeye goby"/>
    <n v="2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1"/>
    <n v="2"/>
    <s v="Hde"/>
    <x v="2"/>
    <s v="Kelp greenling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1"/>
    <n v="2"/>
    <s v="Rni"/>
    <x v="1"/>
    <s v="Blackeye goby"/>
    <n v="3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1"/>
    <n v="2"/>
    <s v="Rva"/>
    <x v="70"/>
    <s v="Pile perch"/>
    <n v="4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1"/>
    <n v="2"/>
    <s v="Afl"/>
    <x v="72"/>
    <s v="Tube-snout"/>
    <n v="2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1"/>
    <n v="2"/>
    <s v="Bin"/>
    <x v="27"/>
    <s v="Northern comb jelly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1"/>
    <n v="2"/>
    <s v="Ela"/>
    <x v="69"/>
    <s v="Striped seaperch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1"/>
    <n v="2"/>
    <s v="Sme"/>
    <x v="28"/>
    <s v="Black rockfish"/>
    <n v="18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Dim"/>
    <x v="6"/>
    <s v="Leather star"/>
    <n v="17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Rni"/>
    <x v="1"/>
    <s v="Blackeye goby"/>
    <n v="16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Sdr"/>
    <x v="38"/>
    <s v="Northern sea urchin"/>
    <n v="8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Sfo"/>
    <x v="45"/>
    <s v="Velcro seastar"/>
    <n v="6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Hsp."/>
    <x v="10"/>
    <s v="Unidentified blood star"/>
    <n v="3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Aca"/>
    <x v="11"/>
    <s v="California sea cucumber"/>
    <n v="3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Mae"/>
    <x v="24"/>
    <s v="Vermillion sea star"/>
    <n v="14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Phem"/>
    <x v="44"/>
    <s v="Maroon hermit"/>
    <n v="4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Csy"/>
    <x v="73"/>
    <n v="0"/>
    <n v="2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Lma"/>
    <x v="68"/>
    <s v="Puget sound king crab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Sac"/>
    <x v="26"/>
    <s v="Sharpnose crab"/>
    <n v="2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Sac"/>
    <x v="26"/>
    <s v="Unidentified shrimp"/>
    <n v="3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Hka"/>
    <x v="8"/>
    <s v="Pinto abalone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Dal"/>
    <x v="22"/>
    <s v="White-line dirona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Pgi"/>
    <x v="9"/>
    <s v="Red turban shell"/>
    <n v="8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Oko"/>
    <x v="17"/>
    <s v="Rainbow star"/>
    <n v="4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Ptr"/>
    <x v="74"/>
    <s v="Tricolour nudibranch"/>
    <n v="10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Phe"/>
    <x v="34"/>
    <s v="Sunflower star"/>
    <n v="8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Etr"/>
    <x v="15"/>
    <s v="Mottled starfish"/>
    <n v="3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Etr"/>
    <x v="15"/>
    <s v="unidentified flatworm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Cgi"/>
    <x v="20"/>
    <s v="Purple-hinged rock scallop"/>
    <n v="2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Cpr"/>
    <x v="14"/>
    <s v="Red rock crab"/>
    <n v="2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Pbr"/>
    <x v="42"/>
    <s v="Giant pink sea star"/>
    <n v="2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Pcle"/>
    <x v="75"/>
    <s v="Longfin gunnel"/>
    <n v="2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2"/>
    <n v="2"/>
    <s v="Ppr"/>
    <x v="39"/>
    <s v="Northern kelp crab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3"/>
    <n v="2"/>
    <s v="Sca"/>
    <x v="4"/>
    <s v="Copper rockfish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3"/>
    <n v="2"/>
    <s v="Hde"/>
    <x v="2"/>
    <s v="Kelp greenling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3"/>
    <n v="2"/>
    <s v="Hka"/>
    <x v="8"/>
    <s v="Pinto abalone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3"/>
    <n v="2"/>
    <s v="hhe"/>
    <x v="59"/>
    <s v="Red Irish lord"/>
    <n v="1"/>
  </r>
  <r>
    <s v="Jasmin Schuster"/>
    <s v="Isabelle Cote"/>
    <x v="15"/>
    <s v="Hosie South"/>
    <n v="48.9071"/>
    <n v="-125.03701700000001"/>
    <x v="9"/>
    <n v="3"/>
    <n v="40"/>
    <d v="1899-12-30T10:17:00"/>
    <s v="JMS"/>
    <x v="9"/>
    <x v="3"/>
    <n v="2"/>
    <s v="Ogr"/>
    <x v="76"/>
    <s v="Graceful decorator crab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1"/>
    <n v="2"/>
    <s v="bfr"/>
    <x v="77"/>
    <s v="Kelp perch"/>
    <n v="2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dim"/>
    <x v="6"/>
    <s v="Leather star"/>
    <n v="6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mfra"/>
    <x v="5"/>
    <s v="Red sea urchin"/>
    <n v="159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aha"/>
    <x v="21"/>
    <s v="Scalyhead sculpin"/>
    <n v="5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oko"/>
    <x v="17"/>
    <s v="Rainbow star"/>
    <n v="2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hcr"/>
    <x v="46"/>
    <s v="Opalescent nudibranch"/>
    <n v="5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ami"/>
    <x v="23"/>
    <s v="Whitecap limpet"/>
    <n v="23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phem"/>
    <x v="44"/>
    <s v="Maroon hermit"/>
    <n v="6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mopelia"/>
    <x v="78"/>
    <s v="Mopalia sp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phe"/>
    <x v="34"/>
    <s v="Sunflower star"/>
    <n v="3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pmi"/>
    <x v="7"/>
    <s v="Bat star"/>
    <n v="2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cli"/>
    <x v="79"/>
    <s v="Blue top shell"/>
    <n v="2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sfo"/>
    <x v="45"/>
    <s v="Velcro seastar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cfo"/>
    <x v="30"/>
    <s v="Leafy hornmouth"/>
    <n v="3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aca"/>
    <x v="11"/>
    <s v="California sea cucumber"/>
    <n v="6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poc"/>
    <x v="13"/>
    <s v="Purple sea star"/>
    <n v="4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henricia"/>
    <x v="80"/>
    <s v="Unidentified blood star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hka"/>
    <x v="8"/>
    <s v="Pinto abalone"/>
    <n v="7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ogr"/>
    <x v="76"/>
    <s v="Graceful decorator crab"/>
    <n v="2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rni"/>
    <x v="1"/>
    <s v="Blackeye goby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clo"/>
    <x v="81"/>
    <s v="Longhorn decorator crab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3"/>
    <n v="2"/>
    <s v="hde"/>
    <x v="2"/>
    <s v="Kelp greenling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etr"/>
    <x v="15"/>
    <s v="Mottled starfish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cste"/>
    <x v="82"/>
    <s v="Gumboot chiton"/>
    <n v="1"/>
  </r>
  <r>
    <s v="Isabelle Cote"/>
    <s v="Em Lim"/>
    <x v="16"/>
    <s v="Dodger Channel"/>
    <n v="48.828948974609297"/>
    <n v="-125.19757080078099"/>
    <x v="6"/>
    <n v="1"/>
    <n v="210"/>
    <d v="1899-12-30T09:54:00"/>
    <s v="EGL"/>
    <x v="1"/>
    <x v="2"/>
    <n v="2"/>
    <s v="DEZ"/>
    <x v="83"/>
    <s v="No Debris found"/>
    <n v="0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1"/>
    <n v="1"/>
    <s v="hde"/>
    <x v="2"/>
    <s v="Kelp greenling"/>
    <n v="3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mfra"/>
    <x v="5"/>
    <s v="Red sea urchin"/>
    <n v="437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aca"/>
    <x v="11"/>
    <s v="California sea cucumber"/>
    <n v="25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cfo"/>
    <x v="30"/>
    <s v="Leafy hornmouth"/>
    <n v="20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hka"/>
    <x v="8"/>
    <s v="Pinto abalone"/>
    <n v="13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pgi"/>
    <x v="9"/>
    <s v="Red turban shell"/>
    <n v="4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rni"/>
    <x v="1"/>
    <s v="Blackeye goby"/>
    <n v="6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ami"/>
    <x v="23"/>
    <s v="Whitecap limpet"/>
    <n v="10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oko"/>
    <x v="17"/>
    <s v="Rainbow star"/>
    <n v="5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cli"/>
    <x v="79"/>
    <s v="Blue top shell"/>
    <n v="10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dim"/>
    <x v="6"/>
    <s v="Leather star"/>
    <n v="8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phe"/>
    <x v="34"/>
    <s v="Sunflower star"/>
    <n v="1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aha"/>
    <x v="21"/>
    <s v="Scalyhead sculpin"/>
    <n v="6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spu"/>
    <x v="50"/>
    <s v="Purple sea urchin (?)"/>
    <n v="2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sdr"/>
    <x v="38"/>
    <s v="Northern sea urchin"/>
    <n v="1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das"/>
    <x v="16"/>
    <s v="Rough keyhole limpet"/>
    <n v="1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jzo"/>
    <x v="48"/>
    <s v="Longfin sculpin"/>
    <n v="2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pmi"/>
    <x v="7"/>
    <s v="Bat star"/>
    <n v="1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2"/>
    <n v="1"/>
    <s v="dmo"/>
    <x v="67"/>
    <s v="Monterey sea lemon"/>
    <n v="1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3"/>
    <n v="1"/>
    <s v="dsa"/>
    <x v="55"/>
    <s v="Ringed doris"/>
    <n v="1"/>
  </r>
  <r>
    <s v="Isabelle Cote"/>
    <s v="Em Lim"/>
    <x v="16"/>
    <s v="Dodger Channel"/>
    <n v="48.828948974609297"/>
    <n v="-125.19757080078099"/>
    <x v="6"/>
    <n v="1"/>
    <n v="150"/>
    <d v="1899-12-30T12:18:00"/>
    <s v="EGL"/>
    <x v="1"/>
    <x v="3"/>
    <n v="1"/>
    <s v="DEZ"/>
    <x v="83"/>
    <s v="No Debris found"/>
    <n v="0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1"/>
    <n v="1"/>
    <s v="hde"/>
    <x v="2"/>
    <s v="Kelp greenling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mfra"/>
    <x v="5"/>
    <s v="Red sea urchin"/>
    <n v="31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pgi"/>
    <x v="9"/>
    <s v="Red turban shell"/>
    <n v="17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jzo"/>
    <x v="48"/>
    <s v="Longfin sculpin"/>
    <n v="2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oko"/>
    <x v="17"/>
    <s v="Rainbow star"/>
    <n v="6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rni"/>
    <x v="1"/>
    <s v="Blackeye goby"/>
    <n v="23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dir"/>
    <x v="84"/>
    <s v="Giant frond-aeolis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tca"/>
    <x v="62"/>
    <s v="Sea-clown triopha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phem"/>
    <x v="44"/>
    <s v="Maroon hermit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henricia"/>
    <x v="80"/>
    <s v="Unidentified blood star"/>
    <n v="4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hka"/>
    <x v="8"/>
    <s v="Pinto abalone"/>
    <n v="1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cgi"/>
    <x v="20"/>
    <s v="Purple-hinged rock scallop"/>
    <n v="7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aca"/>
    <x v="11"/>
    <s v="California sea cucumber"/>
    <n v="1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dim"/>
    <x v="6"/>
    <s v="Leather star"/>
    <n v="7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sac"/>
    <x v="26"/>
    <s v="Sharpnose crab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hcr"/>
    <x v="46"/>
    <s v="Opalescent nudibranch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ami"/>
    <x v="23"/>
    <s v="Whitecap limpet"/>
    <n v="2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pno"/>
    <x v="35"/>
    <s v="Noble sea lemon"/>
    <n v="2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3"/>
    <n v="1"/>
    <s v="sca"/>
    <x v="4"/>
    <s v="Copper rockfish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cfo"/>
    <x v="30"/>
    <s v="Leafy hornmouth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sfo"/>
    <x v="45"/>
    <s v="Velcro seastar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phe"/>
    <x v="34"/>
    <s v="Sunflower star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dal"/>
    <x v="22"/>
    <s v="White-line dirona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3"/>
    <n v="1"/>
    <s v="tfe"/>
    <x v="85"/>
    <s v="Diamondback tritonia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bch"/>
    <x v="86"/>
    <s v="White berthella nudibranch"/>
    <n v="1"/>
  </r>
  <r>
    <s v="Isabelle Cote"/>
    <s v="Em Lim"/>
    <x v="17"/>
    <s v="Wizard Island South"/>
    <n v="48.857467651367102"/>
    <n v="-125.158233642578"/>
    <x v="10"/>
    <n v="2"/>
    <n v="210"/>
    <d v="1899-12-30T10:07:00"/>
    <s v="EGL"/>
    <x v="7"/>
    <x v="2"/>
    <n v="1"/>
    <s v="DEZ"/>
    <x v="83"/>
    <s v="No Debris found"/>
    <n v="0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1"/>
    <n v="1"/>
    <s v="hde"/>
    <x v="2"/>
    <s v="Kelp greenling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3"/>
    <n v="1"/>
    <s v="tfe"/>
    <x v="85"/>
    <s v="Diamondback tritonia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3"/>
    <n v="1"/>
    <s v="phe"/>
    <x v="34"/>
    <s v="Sunflower star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mfra"/>
    <x v="5"/>
    <s v="Red sea urchin"/>
    <n v="129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aca"/>
    <x v="11"/>
    <s v="California sea cucumber"/>
    <n v="36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oko"/>
    <x v="17"/>
    <s v="Rainbow star"/>
    <n v="10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rni"/>
    <x v="1"/>
    <s v="Blackeye goby"/>
    <n v="24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etr"/>
    <x v="15"/>
    <s v="Mottled starfish"/>
    <n v="2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pgi"/>
    <x v="9"/>
    <s v="Red turban shell"/>
    <n v="14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ami"/>
    <x v="23"/>
    <s v="Whitecap limpet"/>
    <n v="4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cgi"/>
    <x v="20"/>
    <s v="Purple-hinged rock scallop"/>
    <n v="10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henricia"/>
    <x v="80"/>
    <s v="Unidentified blood star"/>
    <n v="5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cfo"/>
    <x v="30"/>
    <s v="Leafy hornmouth"/>
    <n v="5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oko"/>
    <x v="17"/>
    <s v="Rainbow star"/>
    <n v="3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pmi"/>
    <x v="7"/>
    <s v="Bat star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phe"/>
    <x v="34"/>
    <s v="Sunflower star"/>
    <n v="2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hka"/>
    <x v="8"/>
    <s v="Pinto abalone"/>
    <n v="5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dim"/>
    <x v="6"/>
    <s v="Leather star"/>
    <n v="5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hcr"/>
    <x v="46"/>
    <s v="Opalescent nudibranch"/>
    <n v="6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aha"/>
    <x v="21"/>
    <s v="Scalyhead sculpin"/>
    <n v="3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lcoc"/>
    <x v="87"/>
    <s v="Cockerell's dorid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sac"/>
    <x v="26"/>
    <s v="Sharpnose crab"/>
    <n v="2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pno"/>
    <x v="35"/>
    <s v="Noble sea lemon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cli"/>
    <x v="79"/>
    <s v="Blue top shell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pda"/>
    <x v="47"/>
    <s v="Dock shrimp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dir"/>
    <x v="84"/>
    <s v="Giant frond-aeolis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sfo"/>
    <x v="45"/>
    <s v="Velcro seastar"/>
    <n v="1"/>
  </r>
  <r>
    <s v="Isabelle Cote"/>
    <s v="Em Lim"/>
    <x v="18"/>
    <s v="Wizard Island North"/>
    <n v="48.858283996582003"/>
    <n v="-125.160919189453"/>
    <x v="10"/>
    <n v="1.5"/>
    <n v="210"/>
    <d v="1899-12-30T12:50:00"/>
    <s v="EGL"/>
    <x v="10"/>
    <x v="2"/>
    <n v="1"/>
    <s v="DEZ"/>
    <x v="83"/>
    <s v="No Debris found"/>
    <n v="0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1"/>
    <n v="1"/>
    <s v="hde"/>
    <x v="2"/>
    <s v="Kelp greenling"/>
    <n v="9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1"/>
    <n v="1"/>
    <s v="sma"/>
    <x v="57"/>
    <s v="Quillback rockfish"/>
    <n v="3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mfra"/>
    <x v="5"/>
    <s v="Red sea urchin"/>
    <n v="185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aca"/>
    <x v="11"/>
    <s v="California sea cucumber"/>
    <n v="9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ami"/>
    <x v="23"/>
    <s v="Whitecap limpet"/>
    <n v="16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pmi"/>
    <x v="7"/>
    <s v="Bat star"/>
    <n v="83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cli"/>
    <x v="79"/>
    <s v="Blue top shell"/>
    <n v="2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sac"/>
    <x v="26"/>
    <s v="Sharpnose crab"/>
    <n v="3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rni"/>
    <x v="1"/>
    <s v="Blackeye goby"/>
    <n v="5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jzo"/>
    <x v="48"/>
    <s v="Longfin sculpin"/>
    <n v="8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oko"/>
    <x v="17"/>
    <s v="Rainbow star"/>
    <n v="29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spu"/>
    <x v="50"/>
    <s v="Purple sea urchin (?)"/>
    <n v="6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phem"/>
    <x v="44"/>
    <s v="Maroon hermit"/>
    <n v="8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poc"/>
    <x v="13"/>
    <s v="Purple sea star"/>
    <n v="2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cgi"/>
    <x v="20"/>
    <s v="Purple-hinged rock scallop"/>
    <n v="4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dim"/>
    <x v="6"/>
    <s v="Leather star"/>
    <n v="4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cfo"/>
    <x v="30"/>
    <s v="Leafy hornmouth"/>
    <n v="3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3"/>
    <n v="1"/>
    <s v="sme"/>
    <x v="28"/>
    <s v="Black rockfish"/>
    <n v="1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pbe"/>
    <x v="51"/>
    <s v="Bering hermit crab"/>
    <n v="1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hka"/>
    <x v="8"/>
    <s v="Pinto abalone"/>
    <n v="6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aha"/>
    <x v="21"/>
    <s v="Scalyhead sculpin"/>
    <n v="3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3"/>
    <n v="1"/>
    <s v="oel"/>
    <x v="49"/>
    <s v="Lingcod"/>
    <n v="1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2"/>
    <n v="1"/>
    <s v="henricia"/>
    <x v="80"/>
    <s v="Unidentified blood star"/>
    <n v="1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3"/>
    <n v="1"/>
    <s v="opi"/>
    <x v="3"/>
    <s v="Painted greenling"/>
    <n v="1"/>
  </r>
  <r>
    <s v="Isabelle Cote"/>
    <s v="Em Lim"/>
    <x v="12"/>
    <s v="Baeria Rocks South Island"/>
    <n v="48.950233459472599"/>
    <n v="-125.155548095703"/>
    <x v="7"/>
    <n v="5"/>
    <n v="240"/>
    <d v="1899-12-30T10:25:00"/>
    <s v="EGL"/>
    <x v="9"/>
    <x v="3"/>
    <n v="1"/>
    <s v="DEZ"/>
    <x v="83"/>
    <s v="No Debris found"/>
    <n v="0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1"/>
    <n v="1"/>
    <s v="hde"/>
    <x v="2"/>
    <s v="Kelp greenling"/>
    <n v="3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1"/>
    <n v="1"/>
    <s v="oel"/>
    <x v="49"/>
    <s v="Lingcod"/>
    <n v="2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mfra"/>
    <x v="5"/>
    <s v="Red sea urchin"/>
    <n v="257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tfu"/>
    <x v="88"/>
    <s v="Black top shell"/>
    <n v="185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pmi"/>
    <x v="7"/>
    <s v="Bat star"/>
    <n v="55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hka"/>
    <x v="8"/>
    <s v="Pinto abalone"/>
    <n v="12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ami"/>
    <x v="23"/>
    <s v="Whitecap limpet"/>
    <n v="29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cfo"/>
    <x v="30"/>
    <s v="Leafy hornmouth"/>
    <n v="5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phem"/>
    <x v="44"/>
    <s v="Maroon hermit"/>
    <n v="19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aha"/>
    <x v="21"/>
    <s v="Scalyhead sculpin"/>
    <n v="8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oko"/>
    <x v="17"/>
    <s v="Rainbow star"/>
    <n v="12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etr"/>
    <x v="15"/>
    <s v="Mottled starfish"/>
    <n v="1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tli"/>
    <x v="89"/>
    <s v="Lined chiton"/>
    <n v="2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jzo"/>
    <x v="48"/>
    <s v="Longfin sculpin"/>
    <n v="2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pbe"/>
    <x v="51"/>
    <s v="Bering hermit crab"/>
    <n v="1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aca"/>
    <x v="11"/>
    <s v="California sea cucumber"/>
    <n v="6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spu"/>
    <x v="50"/>
    <s v="Purple sea urchin (?)"/>
    <n v="5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cli"/>
    <x v="79"/>
    <s v="Blue top shell"/>
    <n v="2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dim"/>
    <x v="6"/>
    <s v="Leather star"/>
    <n v="4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rni"/>
    <x v="1"/>
    <s v="Blackeye goby"/>
    <n v="2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sac"/>
    <x v="26"/>
    <s v="Sharpnose crab"/>
    <n v="1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3"/>
    <n v="1"/>
    <s v="oel"/>
    <x v="49"/>
    <s v="Lingcod"/>
    <n v="1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ahu"/>
    <x v="90"/>
    <n v="0"/>
    <n v="1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2"/>
    <n v="1"/>
    <s v="owr"/>
    <x v="91"/>
    <s v="Wroblewski's Wentletrap"/>
    <n v="1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3"/>
    <n v="1"/>
    <s v="hde"/>
    <x v="2"/>
    <s v="Kelp greenling"/>
    <n v="1"/>
  </r>
  <r>
    <s v="Isabelle Cote"/>
    <s v="Em Lim"/>
    <x v="13"/>
    <s v="Baeria Rocks North Island Northside"/>
    <n v="48.955081939697202"/>
    <n v="-125.15337371826099"/>
    <x v="7"/>
    <n v="5"/>
    <n v="150"/>
    <d v="1899-12-30T13:02:00"/>
    <s v="EGL"/>
    <x v="10"/>
    <x v="3"/>
    <n v="1"/>
    <s v="DEZ"/>
    <x v="83"/>
    <s v="No Debris found"/>
    <n v="0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1"/>
    <n v="1"/>
    <s v="hde"/>
    <x v="2"/>
    <s v="Kelp greenling"/>
    <n v="4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1"/>
    <n v="1"/>
    <s v="oel"/>
    <x v="49"/>
    <s v="Lingcod"/>
    <n v="2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1"/>
    <n v="1"/>
    <s v="sfl"/>
    <x v="56"/>
    <s v="Yellowtail rockfish"/>
    <n v="9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1"/>
    <n v="1"/>
    <s v="sme"/>
    <x v="28"/>
    <s v="Black rockfish"/>
    <n v="16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1"/>
    <n v="1"/>
    <s v="sne"/>
    <x v="52"/>
    <s v="China rockfish"/>
    <n v="1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1"/>
    <n v="1"/>
    <s v="sca"/>
    <x v="4"/>
    <s v="Copper rockfish"/>
    <n v="1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mfra"/>
    <x v="5"/>
    <s v="Red sea urchin"/>
    <n v="142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ami"/>
    <x v="23"/>
    <s v="Whitecap limpet"/>
    <n v="5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hka"/>
    <x v="8"/>
    <s v="Pinto abalone"/>
    <n v="34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cfo"/>
    <x v="30"/>
    <s v="Leafy hornmouth"/>
    <n v="20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aha"/>
    <x v="21"/>
    <s v="Scalyhead sculpin"/>
    <n v="3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cgi"/>
    <x v="20"/>
    <s v="Purple-hinged rock scallop"/>
    <n v="3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pmi"/>
    <x v="7"/>
    <s v="Bat star"/>
    <n v="17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dim"/>
    <x v="6"/>
    <s v="Leather star"/>
    <n v="5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oko"/>
    <x v="17"/>
    <s v="Rainbow star"/>
    <n v="6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3"/>
    <n v="1"/>
    <s v="sne"/>
    <x v="52"/>
    <s v="China rockfish"/>
    <n v="3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sdr"/>
    <x v="38"/>
    <s v="Northern sea urchin"/>
    <n v="3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pgi"/>
    <x v="9"/>
    <s v="Red turban shell"/>
    <n v="9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aca"/>
    <x v="11"/>
    <s v="California sea cucumber"/>
    <n v="15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sac"/>
    <x v="26"/>
    <s v="Sharpnose crab"/>
    <n v="4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3"/>
    <n v="1"/>
    <s v="opi"/>
    <x v="3"/>
    <s v="Painted greenling"/>
    <n v="1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henricia"/>
    <x v="80"/>
    <s v="Unidentified blood star"/>
    <n v="1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cli"/>
    <x v="79"/>
    <s v="Blue top shell"/>
    <n v="2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3"/>
    <n v="1"/>
    <s v="jzo"/>
    <x v="48"/>
    <s v="Longfin sculpin"/>
    <n v="7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3"/>
    <n v="1"/>
    <s v="sme"/>
    <x v="28"/>
    <s v="Black rockfish"/>
    <n v="1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3"/>
    <n v="1"/>
    <s v="sfl"/>
    <x v="56"/>
    <s v="Yellowtail rockfish"/>
    <n v="2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phem"/>
    <x v="44"/>
    <s v="Maroon hermit"/>
    <n v="9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das"/>
    <x v="16"/>
    <s v="Rough keyhole limpet"/>
    <n v="1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2"/>
    <n v="1"/>
    <s v="rni"/>
    <x v="1"/>
    <s v="Blackeye goby"/>
    <n v="1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3"/>
    <n v="1"/>
    <s v="hde"/>
    <x v="2"/>
    <s v="Kelp greenling"/>
    <n v="2"/>
  </r>
  <r>
    <s v="Isabelle Cote"/>
    <s v="Em Lim"/>
    <x v="14"/>
    <s v="Swiss Boy"/>
    <n v="48.916072999999997"/>
    <n v="-125.131174"/>
    <x v="8"/>
    <n v="6"/>
    <n v="40"/>
    <d v="1899-12-30T10:27:00"/>
    <s v="EGL"/>
    <x v="11"/>
    <x v="3"/>
    <n v="1"/>
    <s v="DEZ"/>
    <x v="83"/>
    <s v="No Debris found"/>
    <n v="0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1"/>
    <n v="1"/>
    <s v="sme"/>
    <x v="28"/>
    <s v="Black rockfish"/>
    <n v="12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1"/>
    <n v="1"/>
    <s v="sca"/>
    <x v="4"/>
    <s v="Copper rockfish"/>
    <n v="3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1"/>
    <n v="1"/>
    <s v="sfl"/>
    <x v="56"/>
    <s v="Yellowtail rockfish"/>
    <n v="43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1"/>
    <n v="1"/>
    <s v="hde"/>
    <x v="2"/>
    <s v="Kelp greenling"/>
    <n v="14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1"/>
    <n v="1"/>
    <s v="opi"/>
    <x v="3"/>
    <s v="Painted greenling"/>
    <n v="1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1"/>
    <n v="1"/>
    <s v="sma"/>
    <x v="57"/>
    <s v="Quillback rockfish"/>
    <n v="2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mfra"/>
    <x v="5"/>
    <s v="Red sea urchin"/>
    <n v="105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pmi"/>
    <x v="7"/>
    <s v="Bat star"/>
    <n v="35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rni"/>
    <x v="1"/>
    <s v="Blackeye goby"/>
    <n v="127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hka"/>
    <x v="8"/>
    <s v="Pinto abalone"/>
    <n v="13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phem"/>
    <x v="44"/>
    <s v="Maroon hermit"/>
    <n v="3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cgi"/>
    <x v="20"/>
    <s v="Purple-hinged rock scallop"/>
    <n v="7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cfo"/>
    <x v="30"/>
    <s v="Leafy hornmouth"/>
    <n v="8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ami"/>
    <x v="23"/>
    <s v="Whitecap limpet"/>
    <n v="25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etr"/>
    <x v="15"/>
    <s v="Mottled starfish"/>
    <n v="4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dim"/>
    <x v="6"/>
    <s v="Leather star"/>
    <n v="5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cpr"/>
    <x v="14"/>
    <s v="Red rock crab"/>
    <n v="1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aca"/>
    <x v="11"/>
    <s v="California sea cucumber"/>
    <n v="16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henricia"/>
    <x v="80"/>
    <s v="Unidentified blood star"/>
    <n v="2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hhe"/>
    <x v="59"/>
    <s v="Red Irish lord"/>
    <n v="2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3"/>
    <n v="1"/>
    <s v="phe"/>
    <x v="34"/>
    <s v="Sunflower star"/>
    <n v="1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3"/>
    <n v="1"/>
    <s v="hde"/>
    <x v="2"/>
    <s v="Kelp greenling"/>
    <n v="1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3"/>
    <n v="1"/>
    <s v="opi"/>
    <x v="3"/>
    <s v="Painted greenling"/>
    <n v="2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oko"/>
    <x v="17"/>
    <s v="Rainbow star"/>
    <n v="7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pla"/>
    <x v="41"/>
    <s v="Crescent gunnel"/>
    <n v="1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tmo"/>
    <x v="25"/>
    <s v="Sea clown"/>
    <n v="1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3"/>
    <n v="1"/>
    <s v="sca"/>
    <x v="4"/>
    <s v="Copper rockfish"/>
    <n v="2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3"/>
    <n v="1"/>
    <s v="sfl"/>
    <x v="56"/>
    <s v="Yellowtail rockfish"/>
    <n v="1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3"/>
    <n v="1"/>
    <s v="das"/>
    <x v="16"/>
    <s v="Rough keyhole limpet"/>
    <n v="1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pgi"/>
    <x v="9"/>
    <s v="Red turban shell"/>
    <n v="7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spu"/>
    <x v="50"/>
    <s v="Purple sea urchin (?)"/>
    <n v="2"/>
  </r>
  <r>
    <s v="Isabelle Cote"/>
    <s v="Em Lim"/>
    <x v="19"/>
    <s v="Goby Town"/>
    <n v="48.838594999999998"/>
    <n v="-125.135015"/>
    <x v="8"/>
    <n v="4"/>
    <n v="330"/>
    <d v="1899-12-30T13:20:00"/>
    <s v="EGL"/>
    <x v="12"/>
    <x v="2"/>
    <n v="1"/>
    <s v="DEG"/>
    <x v="60"/>
    <s v="Any glass debris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3"/>
    <n v="1"/>
    <s v="dir"/>
    <x v="84"/>
    <s v="Giant frond-aeolis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1"/>
    <n v="1"/>
    <s v="hde"/>
    <x v="2"/>
    <s v="Kelp greenling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3"/>
    <n v="1"/>
    <s v="phe"/>
    <x v="34"/>
    <s v="Sunflower star"/>
    <n v="2"/>
  </r>
  <r>
    <s v="Isabelle Cote"/>
    <s v="Jasmin Schuster"/>
    <x v="15"/>
    <s v="Hosie South"/>
    <n v="0"/>
    <n v="0"/>
    <x v="9"/>
    <n v="3"/>
    <n v="40"/>
    <d v="1899-12-30T10:17:00"/>
    <s v="JMS"/>
    <x v="9"/>
    <x v="1"/>
    <n v="1"/>
    <s v="afl"/>
    <x v="72"/>
    <s v="Tube-snout"/>
    <n v="20"/>
  </r>
  <r>
    <s v="Isabelle Cote"/>
    <s v="Jasmin Schuster"/>
    <x v="15"/>
    <s v="Hosie South"/>
    <n v="0"/>
    <n v="0"/>
    <x v="9"/>
    <n v="3"/>
    <n v="40"/>
    <d v="1899-12-30T10:17:00"/>
    <s v="JMS"/>
    <x v="9"/>
    <x v="1"/>
    <n v="1"/>
    <s v="sme"/>
    <x v="28"/>
    <s v="Black rockfish"/>
    <n v="6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mfra"/>
    <x v="5"/>
    <s v="Red sea urchin"/>
    <n v="2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rni"/>
    <x v="1"/>
    <s v="Blackeye goby"/>
    <n v="23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dim"/>
    <x v="6"/>
    <s v="Leather star"/>
    <n v="1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oko"/>
    <x v="17"/>
    <s v="Rainbow star"/>
    <n v="5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etr"/>
    <x v="15"/>
    <s v="Mottled starfish"/>
    <n v="2"/>
  </r>
  <r>
    <s v="Isabelle Cote"/>
    <s v="Jasmin Schuster"/>
    <x v="15"/>
    <s v="Hosie South"/>
    <n v="0"/>
    <n v="0"/>
    <x v="9"/>
    <n v="3"/>
    <n v="40"/>
    <d v="1899-12-30T10:17:00"/>
    <s v="JMS"/>
    <x v="9"/>
    <x v="3"/>
    <n v="1"/>
    <s v="sme"/>
    <x v="28"/>
    <s v="Black rockfish"/>
    <n v="2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phem"/>
    <x v="44"/>
    <s v="Maroon hermit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sdr"/>
    <x v="38"/>
    <s v="Northern sea urchin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ogr"/>
    <x v="76"/>
    <s v="Graceful decorator crab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mae"/>
    <x v="24"/>
    <s v="Vermillion sea star"/>
    <n v="5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cgi"/>
    <x v="20"/>
    <s v="Purple-hinged rock scallop"/>
    <n v="13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pno"/>
    <x v="35"/>
    <s v="Noble sea lemon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hcr"/>
    <x v="46"/>
    <s v="Opalescent nudibranch"/>
    <n v="2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pbe"/>
    <x v="51"/>
    <s v="Bering hermit crab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clo"/>
    <x v="81"/>
    <s v="Longhorn decorator crab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pgi"/>
    <x v="9"/>
    <s v="Red turban shell"/>
    <n v="5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tli"/>
    <x v="89"/>
    <s v="Lined chiton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sfo"/>
    <x v="45"/>
    <s v="Velcro seastar"/>
    <n v="4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ptr"/>
    <x v="74"/>
    <s v="Tricolour nudibranch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jzo"/>
    <x v="48"/>
    <s v="Longfin sculpin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sac"/>
    <x v="26"/>
    <s v="Sharpnose crab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lcoc"/>
    <x v="87"/>
    <s v="Cockerell's dorid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phe"/>
    <x v="34"/>
    <s v="Sunflower star"/>
    <n v="5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cpr"/>
    <x v="14"/>
    <s v="Red rock crab"/>
    <n v="2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aha"/>
    <x v="21"/>
    <s v="Scalyhead sculpin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acali"/>
    <x v="92"/>
    <s v="Striped nudibranch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pmi"/>
    <x v="7"/>
    <s v="Bat star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aca"/>
    <x v="11"/>
    <s v="California sea cucumber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pte"/>
    <x v="93"/>
    <s v="Slime star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dir"/>
    <x v="84"/>
    <s v="Giant frond-aeolis"/>
    <n v="1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shrimp"/>
    <x v="94"/>
    <n v="0"/>
    <n v="2"/>
  </r>
  <r>
    <s v="Isabelle Cote"/>
    <s v="Jasmin Schuster"/>
    <x v="15"/>
    <s v="Hosie South"/>
    <n v="0"/>
    <n v="0"/>
    <x v="9"/>
    <n v="3"/>
    <n v="40"/>
    <d v="1899-12-30T10:17:00"/>
    <s v="JMS"/>
    <x v="9"/>
    <x v="2"/>
    <n v="1"/>
    <s v="DEZ"/>
    <x v="83"/>
    <s v="No Debris found"/>
    <n v="0"/>
  </r>
  <r>
    <s v="Isabelle Cote"/>
    <s v="Em Lim"/>
    <x v="20"/>
    <s v="San Jose North"/>
    <n v="0"/>
    <n v="0"/>
    <x v="9"/>
    <n v="3"/>
    <n v="340"/>
    <d v="1899-12-30T13:24:00"/>
    <s v="IMC"/>
    <x v="10"/>
    <x v="1"/>
    <n v="1"/>
    <s v="hde"/>
    <x v="2"/>
    <s v="Kelp greenling"/>
    <n v="8"/>
  </r>
  <r>
    <s v="Isabelle Cote"/>
    <s v="Em Lim"/>
    <x v="20"/>
    <s v="San Jose North"/>
    <n v="0"/>
    <n v="0"/>
    <x v="9"/>
    <n v="3"/>
    <n v="340"/>
    <d v="1899-12-30T13:24:00"/>
    <s v="IMC"/>
    <x v="10"/>
    <x v="1"/>
    <n v="1"/>
    <s v="sca"/>
    <x v="4"/>
    <s v="Copper rockfish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mfra"/>
    <x v="5"/>
    <s v="Red sea urchin"/>
    <n v="44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aca"/>
    <x v="11"/>
    <s v="California sea cucumber"/>
    <n v="33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cgi"/>
    <x v="20"/>
    <s v="Purple-hinged rock scallop"/>
    <n v="7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pgi"/>
    <x v="9"/>
    <s v="Red turban shell"/>
    <n v="2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dim"/>
    <x v="6"/>
    <s v="Leather star"/>
    <n v="5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dodo"/>
    <x v="29"/>
    <s v="Spotted dorid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das"/>
    <x v="16"/>
    <s v="Rough keyhole limpet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ami"/>
    <x v="23"/>
    <s v="Whitecap limpet"/>
    <n v="3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phe"/>
    <x v="34"/>
    <s v="Sunflower star"/>
    <n v="2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cfo"/>
    <x v="30"/>
    <s v="Leafy hornmouth"/>
    <n v="2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phem"/>
    <x v="44"/>
    <s v="Maroon hermit"/>
    <n v="2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rni"/>
    <x v="1"/>
    <s v="Blackeye goby"/>
    <n v="28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dir"/>
    <x v="84"/>
    <s v="Giant frond-aeolis"/>
    <n v="7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sdr"/>
    <x v="38"/>
    <s v="Northern sea urchin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spu"/>
    <x v="50"/>
    <s v="Purple sea urchin (?)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dmo"/>
    <x v="67"/>
    <s v="Monterey sea lemon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mae"/>
    <x v="24"/>
    <s v="Vermillion sea star"/>
    <n v="2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sfo"/>
    <x v="45"/>
    <s v="Velcro seastar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etr"/>
    <x v="15"/>
    <s v="Mottled starfish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pmi"/>
    <x v="7"/>
    <s v="Bat star"/>
    <n v="2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henricia"/>
    <x v="80"/>
    <s v="Unidentified blood star"/>
    <n v="2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hcr"/>
    <x v="46"/>
    <s v="Opalescent nudibranch"/>
    <n v="5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aha"/>
    <x v="21"/>
    <s v="Scalyhead sculpin"/>
    <n v="2"/>
  </r>
  <r>
    <s v="Isabelle Cote"/>
    <s v="Em Lim"/>
    <x v="20"/>
    <s v="San Jose North"/>
    <n v="0"/>
    <n v="0"/>
    <x v="9"/>
    <n v="3"/>
    <n v="340"/>
    <d v="1899-12-30T13:24:00"/>
    <s v="IMC"/>
    <x v="10"/>
    <x v="3"/>
    <n v="1"/>
    <s v="hde"/>
    <x v="2"/>
    <s v="Kelp greenling"/>
    <n v="2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tli"/>
    <x v="89"/>
    <s v="Lined chiton"/>
    <n v="1"/>
  </r>
  <r>
    <s v="Isabelle Cote"/>
    <s v="Em Lim"/>
    <x v="20"/>
    <s v="San Jose North"/>
    <n v="0"/>
    <n v="0"/>
    <x v="9"/>
    <n v="3"/>
    <n v="340"/>
    <d v="1899-12-30T13:24:00"/>
    <s v="IMC"/>
    <x v="10"/>
    <x v="2"/>
    <n v="1"/>
    <s v="DEM"/>
    <x v="95"/>
    <s v="Any metal debris"/>
    <n v="1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1"/>
    <n v="2"/>
    <s v="hde"/>
    <x v="2"/>
    <s v="Kelp greenling"/>
    <n v="4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1"/>
    <n v="2"/>
    <s v="sca"/>
    <x v="4"/>
    <s v="Copper rockfish"/>
    <n v="1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etr"/>
    <x v="15"/>
    <s v="Mottled starfish"/>
    <n v="11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mfra"/>
    <x v="5"/>
    <s v="Red sea urchin"/>
    <n v="76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hcr"/>
    <x v="46"/>
    <s v="Opalescent nudibranch"/>
    <n v="18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pgi"/>
    <x v="9"/>
    <s v="Red turban shell"/>
    <n v="33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dim"/>
    <x v="6"/>
    <s v="Leather star"/>
    <n v="5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hka"/>
    <x v="8"/>
    <s v="Pinto abalone"/>
    <n v="10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ami"/>
    <x v="23"/>
    <s v="Whitecap limpet"/>
    <n v="19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pmi"/>
    <x v="7"/>
    <s v="Bat star"/>
    <n v="21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tli"/>
    <x v="89"/>
    <s v="Lined Chiton"/>
    <n v="3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cfo"/>
    <x v="30"/>
    <s v="Leafy hornmouth"/>
    <n v="15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phe"/>
    <x v="34"/>
    <s v="Sunflower star"/>
    <n v="4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hle"/>
    <x v="96"/>
    <s v="Pacific blood star"/>
    <n v="4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sdr"/>
    <x v="38"/>
    <s v="Northern sea urchin"/>
    <n v="1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sac"/>
    <x v="26"/>
    <s v="Sharpnose crab"/>
    <n v="1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dmo"/>
    <x v="67"/>
    <s v="Monterey sea lemon"/>
    <n v="1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aha"/>
    <x v="21"/>
    <s v="Scalyhead sculpin"/>
    <n v="2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oko"/>
    <x v="17"/>
    <s v="Rainbow star"/>
    <n v="7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dod"/>
    <x v="18"/>
    <s v="White night doris"/>
    <n v="1"/>
  </r>
  <r>
    <s v="Andrew Bickell"/>
    <s v="Valesca de Groot"/>
    <x v="16"/>
    <s v="Dodger Channel"/>
    <n v="48.828948974609297"/>
    <n v="-125.19757080078099"/>
    <x v="11"/>
    <n v="1"/>
    <n v="30"/>
    <d v="1899-12-30T09:54:00"/>
    <s v="VDG"/>
    <x v="8"/>
    <x v="2"/>
    <n v="2"/>
    <s v="aca"/>
    <x v="11"/>
    <s v="California sea cucumber"/>
    <n v="3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1"/>
    <n v="1"/>
    <s v="hde"/>
    <x v="2"/>
    <s v="Kelp greenling"/>
    <n v="1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3"/>
    <n v="1"/>
    <s v="pte"/>
    <x v="93"/>
    <s v="Cushion star"/>
    <n v="1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mfra"/>
    <x v="5"/>
    <s v="Red sea urchin"/>
    <n v="329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oko"/>
    <x v="17"/>
    <s v="Rainbow star"/>
    <n v="6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pda"/>
    <x v="47"/>
    <s v="Dock shrimp"/>
    <n v="2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pgi"/>
    <x v="9"/>
    <s v="Red turban shell"/>
    <n v="59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hcr"/>
    <x v="46"/>
    <s v="Opalescent nudibranch"/>
    <n v="11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sdr"/>
    <x v="38"/>
    <s v="Northern sea urchin"/>
    <n v="3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hle"/>
    <x v="96"/>
    <s v="Pacific blood star"/>
    <n v="7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aha"/>
    <x v="21"/>
    <s v="Scalyhead sculpin"/>
    <n v="7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dsa"/>
    <x v="55"/>
    <s v="Ringed doris"/>
    <n v="1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cfo"/>
    <x v="30"/>
    <s v="Leafy hornmouth"/>
    <n v="11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cpr"/>
    <x v="14"/>
    <s v="Red rock crab"/>
    <n v="1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tli"/>
    <x v="89"/>
    <s v="Lined Chiton"/>
    <n v="6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sac"/>
    <x v="26"/>
    <s v="Sharpnose crab"/>
    <n v="4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ppr"/>
    <x v="39"/>
    <s v="Northern kelp crab"/>
    <n v="2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hka"/>
    <x v="8"/>
    <s v="Pinto abalone"/>
    <n v="13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cgi"/>
    <x v="20"/>
    <s v="Purple-hinged rock scallop"/>
    <n v="3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dim"/>
    <x v="6"/>
    <s v="Leather star"/>
    <n v="10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gunnel"/>
    <x v="71"/>
    <s v="Unidentified gunnel"/>
    <n v="1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ami"/>
    <x v="23"/>
    <s v="Whitecap limpet"/>
    <n v="3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phe"/>
    <x v="34"/>
    <s v="Sunflower star"/>
    <n v="1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hermit"/>
    <x v="97"/>
    <s v="Unidentified hermit crab"/>
    <n v="0"/>
  </r>
  <r>
    <s v="Andrew Bickell"/>
    <s v="Valesca de Groot"/>
    <x v="17"/>
    <s v="Wizard Island South"/>
    <n v="48.857467651367102"/>
    <n v="-125.158233642578"/>
    <x v="12"/>
    <n v="1"/>
    <n v="210"/>
    <d v="1899-12-30T10:12:00"/>
    <s v="VDG"/>
    <x v="1"/>
    <x v="2"/>
    <n v="1"/>
    <s v="dodo"/>
    <x v="29"/>
    <s v="Spotted dorid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1"/>
    <n v="1"/>
    <s v="hde"/>
    <x v="2"/>
    <s v="Kelp greenling"/>
    <n v="2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3"/>
    <n v="1"/>
    <s v="ebi"/>
    <x v="98"/>
    <s v="Buffalo sculpin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mfra"/>
    <x v="5"/>
    <s v="Red sea urchin"/>
    <n v="39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tli"/>
    <x v="89"/>
    <s v="Lined Chiton"/>
    <n v="6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hcr"/>
    <x v="46"/>
    <s v="Opalescent nudibranch"/>
    <n v="24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cfo"/>
    <x v="30"/>
    <s v="Leafy hornmouth"/>
    <n v="13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hle"/>
    <x v="96"/>
    <s v="Pacific blood star"/>
    <n v="5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ami"/>
    <x v="23"/>
    <s v="Whitecap limpet"/>
    <n v="4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cgi"/>
    <x v="20"/>
    <s v="Purple-hinged rock scallop"/>
    <n v="3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hka"/>
    <x v="8"/>
    <s v="Pinto abalone"/>
    <n v="18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afu"/>
    <x v="65"/>
    <s v="White-and-orange-tipped nudibranch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pco"/>
    <x v="99"/>
    <s v="C-o sole"/>
    <n v="2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pgi"/>
    <x v="9"/>
    <s v="Red turban shell"/>
    <n v="7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spu"/>
    <x v="50"/>
    <s v="Purple sea urchin (?)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oko"/>
    <x v="17"/>
    <s v="Rainbow star"/>
    <n v="4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aha"/>
    <x v="21"/>
    <s v="Scalyhead sculpin"/>
    <n v="6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sfo"/>
    <x v="45"/>
    <s v="Velcro seastar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sdr"/>
    <x v="38"/>
    <s v="Northern sea urchin"/>
    <n v="3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rni"/>
    <x v="1"/>
    <s v="Blackeye goby"/>
    <n v="9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mcr"/>
    <x v="100"/>
    <s v="Giant keyhole limpet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dal"/>
    <x v="22"/>
    <s v="Frosted nudibranch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pmi"/>
    <x v="7"/>
    <s v="Bat star"/>
    <n v="2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phe"/>
    <x v="34"/>
    <s v="Sunflower star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2"/>
    <n v="1"/>
    <s v="pno"/>
    <x v="35"/>
    <s v="Noble sea lemon"/>
    <n v="1"/>
  </r>
  <r>
    <s v="Andrew Bickell"/>
    <s v="Valesca de Groot"/>
    <x v="18"/>
    <s v="Wizard Island North"/>
    <n v="48.858283996582003"/>
    <n v="-125.160919189453"/>
    <x v="12"/>
    <n v="1"/>
    <n v="30"/>
    <d v="1899-12-30T12:54:00"/>
    <s v="VDG"/>
    <x v="5"/>
    <x v="3"/>
    <n v="1"/>
    <s v="oel"/>
    <x v="49"/>
    <s v="Lingcod"/>
    <n v="1"/>
  </r>
  <r>
    <s v="Andrew Bickell"/>
    <s v="Valesca de Groot"/>
    <x v="14"/>
    <s v="Swiss Boy"/>
    <n v="48.916072999999997"/>
    <n v="-125.131174"/>
    <x v="12"/>
    <n v="6"/>
    <n v="40"/>
    <d v="1899-12-30T10:27:00"/>
    <s v="JMS"/>
    <x v="7"/>
    <x v="1"/>
    <n v="1"/>
    <s v="hde"/>
    <x v="2"/>
    <s v="Kelp greenling"/>
    <n v="17"/>
  </r>
  <r>
    <s v="Andrew Bickell"/>
    <s v="Valesca de Groot"/>
    <x v="14"/>
    <s v="Swiss Boy"/>
    <n v="48.916072999999997"/>
    <n v="-125.131174"/>
    <x v="12"/>
    <n v="6"/>
    <n v="40"/>
    <d v="1899-12-30T10:27:00"/>
    <s v="JMS"/>
    <x v="7"/>
    <x v="1"/>
    <n v="1"/>
    <s v="oel"/>
    <x v="49"/>
    <s v="Lingcod"/>
    <n v="2"/>
  </r>
  <r>
    <s v="Andrew Bickell"/>
    <s v="Valesca de Groot"/>
    <x v="14"/>
    <s v="Swiss Boy"/>
    <n v="48.916072999999997"/>
    <n v="-125.131174"/>
    <x v="12"/>
    <n v="6"/>
    <n v="40"/>
    <d v="1899-12-30T10:27:00"/>
    <s v="JMS"/>
    <x v="7"/>
    <x v="1"/>
    <n v="1"/>
    <s v="sme"/>
    <x v="28"/>
    <s v="Black rockfish"/>
    <n v="9"/>
  </r>
  <r>
    <s v="Andrew Bickell"/>
    <s v="Valesca de Groot"/>
    <x v="14"/>
    <s v="Swiss Boy"/>
    <n v="48.916072999999997"/>
    <n v="-125.131174"/>
    <x v="12"/>
    <n v="6"/>
    <n v="40"/>
    <d v="1899-12-30T10:27:00"/>
    <s v="JMS"/>
    <x v="7"/>
    <x v="2"/>
    <n v="1"/>
    <s v="mfra"/>
    <x v="5"/>
    <s v="Red sea urchin"/>
    <n v="241"/>
  </r>
  <r>
    <s v="Andrew Bickell"/>
    <s v="Valesca de Groot"/>
    <x v="14"/>
    <s v="Swiss Boy"/>
    <n v="48.916072999999997"/>
    <n v="-125.131174"/>
    <x v="12"/>
    <n v="6"/>
    <n v="40"/>
    <d v="1899-12-30T10:27:00"/>
    <s v="JMS"/>
    <x v="7"/>
    <x v="2"/>
    <n v="1"/>
    <s v="ami"/>
    <x v="23"/>
    <s v="Whitecap limpet"/>
    <n v="9"/>
  </r>
  <r>
    <s v="Andrew Bickell"/>
    <s v="Valesca de Groot"/>
    <x v="14"/>
    <s v="Swiss Boy"/>
    <n v="48.916072999999997"/>
    <n v="-125.131174"/>
    <x v="12"/>
    <n v="6"/>
    <n v="40"/>
    <d v="1899-12-30T10:27:00"/>
    <s v="JMS"/>
    <x v="7"/>
    <x v="2"/>
    <n v="1"/>
    <s v="hle"/>
    <x v="96"/>
    <s v="Pacific blood star"/>
    <n v="3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pmi"/>
    <x v="7"/>
    <s v="Bat star"/>
    <n v="16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hka"/>
    <x v="8"/>
    <s v="Pinto abalone"/>
    <n v="45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dim"/>
    <x v="6"/>
    <s v="Leather star"/>
    <n v="15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spu"/>
    <x v="50"/>
    <s v="Purple sea urchin (?)"/>
    <n v="19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hermit"/>
    <x v="97"/>
    <s v="Unidentified hermit crab"/>
    <n v="9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sac"/>
    <x v="26"/>
    <s v="Sharpnose crab"/>
    <n v="5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aha"/>
    <x v="21"/>
    <s v="Scalyhead sculpin"/>
    <n v="15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dod"/>
    <x v="18"/>
    <s v="White night doris"/>
    <n v="1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tli"/>
    <x v="89"/>
    <s v="Lined Chiton"/>
    <n v="5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oko"/>
    <x v="17"/>
    <s v="Rainbow star"/>
    <n v="7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sdr"/>
    <x v="38"/>
    <s v="Northern sea urchin"/>
    <n v="7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cfo"/>
    <x v="30"/>
    <s v="Leafy hornmouth"/>
    <n v="10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pgi"/>
    <x v="9"/>
    <s v="Red turban shell"/>
    <n v="2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etr"/>
    <x v="15"/>
    <s v="Mottled starfish"/>
    <n v="2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poc"/>
    <x v="13"/>
    <s v="Purple sea star"/>
    <n v="47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hcr"/>
    <x v="46"/>
    <s v="Opalescent nudibranch"/>
    <n v="7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mcr"/>
    <x v="100"/>
    <s v="Giant keyhole limpet"/>
    <n v="4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aca"/>
    <x v="11"/>
    <s v="California sea cucumber"/>
    <n v="26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cgi"/>
    <x v="20"/>
    <s v="Purple-hinged rock scallop"/>
    <n v="2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dsa"/>
    <x v="55"/>
    <s v="Ringed doris"/>
    <n v="2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jzo"/>
    <x v="48"/>
    <s v="Longfin sculpin"/>
    <n v="2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tmo"/>
    <x v="25"/>
    <s v="Sea clown"/>
    <n v="1"/>
  </r>
  <r>
    <s v="Andrew Bickell"/>
    <s v="Valesca de Groot"/>
    <x v="14"/>
    <s v="Swiss Boy"/>
    <n v="48.916072999999997"/>
    <n v="-125.131174"/>
    <x v="13"/>
    <n v="6"/>
    <n v="40"/>
    <d v="1899-12-30T10:27:00"/>
    <s v="JMS"/>
    <x v="7"/>
    <x v="2"/>
    <n v="1"/>
    <s v="dal"/>
    <x v="22"/>
    <s v="Frosted nudibranch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1"/>
    <n v="1"/>
    <s v="sfl"/>
    <x v="56"/>
    <s v="Yellowtail rockfish"/>
    <n v="44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1"/>
    <n v="1"/>
    <s v="hde"/>
    <x v="2"/>
    <s v="Kelp greenling"/>
    <n v="18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1"/>
    <n v="1"/>
    <s v="sma"/>
    <x v="57"/>
    <s v="Quillback rockfish"/>
    <n v="8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1"/>
    <n v="1"/>
    <s v="sca"/>
    <x v="4"/>
    <s v="Copper rockfish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1"/>
    <n v="1"/>
    <s v="rni"/>
    <x v="1"/>
    <s v="Blackeye goby"/>
    <n v="1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1"/>
    <n v="1"/>
    <s v="sme"/>
    <x v="28"/>
    <s v="Black rockfish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mfra"/>
    <x v="5"/>
    <s v="Red sea urchin"/>
    <n v="83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cfo"/>
    <x v="30"/>
    <s v="Leafy hornmouth"/>
    <n v="5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aca"/>
    <x v="11"/>
    <s v="California sea cucumber"/>
    <n v="7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rni"/>
    <x v="1"/>
    <s v="Blackeye goby"/>
    <n v="96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hka"/>
    <x v="8"/>
    <s v="Pinto abalone"/>
    <n v="32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pmi"/>
    <x v="7"/>
    <s v="Bat star"/>
    <n v="32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opi"/>
    <x v="3"/>
    <s v="Painted greenling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sfo"/>
    <x v="45"/>
    <s v="Velcro seastar"/>
    <n v="2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tli"/>
    <x v="89"/>
    <s v="Lined Chiton"/>
    <n v="9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ami"/>
    <x v="23"/>
    <s v="Whitecap limpet"/>
    <n v="26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aha"/>
    <x v="21"/>
    <s v="Scalyhead sculpin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oko"/>
    <x v="17"/>
    <s v="Rainbow star"/>
    <n v="3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hermit"/>
    <x v="97"/>
    <s v="Unidentified hermit crab"/>
    <n v="5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hle"/>
    <x v="96"/>
    <s v="Pacific blood star"/>
    <n v="4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dim"/>
    <x v="6"/>
    <s v="Leather star"/>
    <n v="1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cst"/>
    <x v="101"/>
    <s v="Speckled sand dab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mmu"/>
    <x v="102"/>
    <s v="Mossy chiton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cgi"/>
    <x v="20"/>
    <s v="Purple-hinged rock scallop"/>
    <n v="4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pgi"/>
    <x v="9"/>
    <s v="Red turban shell"/>
    <n v="6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mcr"/>
    <x v="100"/>
    <s v="Giant keyhole limpet"/>
    <n v="10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poc"/>
    <x v="13"/>
    <s v="Purple sea star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dsa"/>
    <x v="55"/>
    <s v="Ringed doris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etr"/>
    <x v="15"/>
    <s v="Mottled starfish"/>
    <n v="3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sac"/>
    <x v="26"/>
    <s v="Sharpnose crab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tmo"/>
    <x v="25"/>
    <s v="Sea clown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2"/>
    <n v="1"/>
    <s v="spu"/>
    <x v="50"/>
    <s v="Purple sea urchin (?)"/>
    <n v="1"/>
  </r>
  <r>
    <s v="Andrew Bickell"/>
    <s v="Valesca de Groot"/>
    <x v="19"/>
    <s v="Gobey Town"/>
    <n v="48.838594999999998"/>
    <n v="-125.135015"/>
    <x v="13"/>
    <n v="4"/>
    <n v="180"/>
    <d v="1899-12-30T13:20:00"/>
    <s v="VDG"/>
    <x v="1"/>
    <x v="3"/>
    <n v="1"/>
    <s v="aoc"/>
    <x v="103"/>
    <s v="Wolf-eel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1"/>
    <n v="2"/>
    <s v="rni"/>
    <x v="1"/>
    <s v="Blackeye goby"/>
    <n v="2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1"/>
    <n v="2"/>
    <s v="hde"/>
    <x v="2"/>
    <s v="Kelp greenling"/>
    <n v="2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1"/>
    <n v="2"/>
    <s v="sca"/>
    <x v="4"/>
    <s v="Copper rockfish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1"/>
    <n v="2"/>
    <s v="sme"/>
    <x v="28"/>
    <s v="Black rockfish"/>
    <n v="9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1"/>
    <n v="2"/>
    <s v="bfr"/>
    <x v="77"/>
    <s v="Kelp perch"/>
    <n v="3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sfo"/>
    <x v="45"/>
    <s v="Velcro seastar"/>
    <n v="2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mae"/>
    <x v="24"/>
    <s v="Vermillion sea star"/>
    <n v="4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dmo"/>
    <x v="67"/>
    <s v="Monterey sea lemon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ptr"/>
    <x v="74"/>
    <s v="Tricolour nudibranch"/>
    <n v="6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rni"/>
    <x v="1"/>
    <s v="Blackeye goby"/>
    <n v="12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hle"/>
    <x v="96"/>
    <s v="Pacific blood star"/>
    <n v="13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hcr"/>
    <x v="46"/>
    <s v="Opalescent nudibranch"/>
    <n v="6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hermit"/>
    <x v="97"/>
    <s v="Unidentified hermit crab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oko"/>
    <x v="17"/>
    <s v="Rainbow star"/>
    <n v="2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dim"/>
    <x v="6"/>
    <s v="Leather star"/>
    <n v="15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aca"/>
    <x v="11"/>
    <s v="California sea cucumber"/>
    <n v="3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dal"/>
    <x v="22"/>
    <s v="Frosted nudibranch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cgi"/>
    <x v="20"/>
    <s v="Purple-hinged rock scallop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opi"/>
    <x v="3"/>
    <s v="Painted greenling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phe"/>
    <x v="34"/>
    <s v="Sunflower star"/>
    <n v="3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pgi"/>
    <x v="9"/>
    <s v="Red turban shell"/>
    <n v="8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ebi"/>
    <x v="98"/>
    <s v="Buffalo sculpin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pte"/>
    <x v="93"/>
    <s v="Cushion star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hka"/>
    <x v="8"/>
    <s v="Pinto abalone"/>
    <n v="0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tli"/>
    <x v="89"/>
    <s v="Lined Chiton"/>
    <n v="2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pno"/>
    <x v="35"/>
    <s v="Noble sea lemon"/>
    <n v="2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ppr"/>
    <x v="39"/>
    <s v="Northern kelp crab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cpr"/>
    <x v="14"/>
    <s v="Red rock crab"/>
    <n v="1"/>
  </r>
  <r>
    <s v="Andrew Bickell"/>
    <s v="Valesca de Groot"/>
    <x v="15"/>
    <s v="Hosie South"/>
    <n v="48.9071"/>
    <n v="-125.03701700000001"/>
    <x v="14"/>
    <n v="4"/>
    <n v="240"/>
    <d v="1899-12-30T10:22:00"/>
    <s v="VDG"/>
    <x v="13"/>
    <x v="2"/>
    <n v="2"/>
    <s v="cmo"/>
    <x v="104"/>
    <s v="Modest cadlina nudibranch"/>
    <n v="1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1"/>
    <n v="1"/>
    <s v="rni"/>
    <x v="1"/>
    <s v="Blackeye goby"/>
    <n v="17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1"/>
    <n v="1"/>
    <s v="hde"/>
    <x v="2"/>
    <s v="Kelp greenling"/>
    <n v="8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3"/>
    <n v="1"/>
    <s v="oel"/>
    <x v="49"/>
    <s v="Lingcod"/>
    <n v="1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mfra"/>
    <x v="5"/>
    <s v="Red sea urchin"/>
    <n v="143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hermit"/>
    <x v="97"/>
    <s v="Unidentified hermit crab"/>
    <n v="5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pgi"/>
    <x v="9"/>
    <s v="Red turban shell"/>
    <n v="25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hcr"/>
    <x v="46"/>
    <s v="Opalescent nudibranch"/>
    <n v="9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aha"/>
    <x v="21"/>
    <s v="Scalyhead sculpin"/>
    <n v="7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phe"/>
    <x v="34"/>
    <s v="Sunflower star"/>
    <n v="1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oko"/>
    <x v="17"/>
    <s v="Rainbow star"/>
    <n v="7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cfo"/>
    <x v="30"/>
    <s v="Leafy hornmouth"/>
    <n v="9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cgi"/>
    <x v="20"/>
    <s v="Purple-hinged rock scallop"/>
    <n v="4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dsa"/>
    <x v="55"/>
    <s v="Ringed doris"/>
    <n v="2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pno"/>
    <x v="35"/>
    <s v="Noble sea lemon"/>
    <n v="2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tli"/>
    <x v="89"/>
    <s v="Lined Chiton"/>
    <n v="4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ami"/>
    <x v="23"/>
    <s v="Whitecap limpet"/>
    <n v="1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ptr"/>
    <x v="74"/>
    <s v="Tricolour nudibranch"/>
    <n v="3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aca"/>
    <x v="11"/>
    <s v="California sea cucumber"/>
    <n v="13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sac"/>
    <x v="26"/>
    <s v="Sharpnose crab"/>
    <n v="3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dal"/>
    <x v="22"/>
    <s v="Frosted nudibranch"/>
    <n v="6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rni"/>
    <x v="1"/>
    <s v="Blackeye goby"/>
    <n v="33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dim"/>
    <x v="6"/>
    <s v="Leather star"/>
    <n v="12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pmi"/>
    <x v="7"/>
    <s v="Bat star"/>
    <n v="5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hka"/>
    <x v="8"/>
    <s v="Pinto abalone"/>
    <n v="4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sfo"/>
    <x v="45"/>
    <s v="Velcro seastar"/>
    <n v="1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hle"/>
    <x v="96"/>
    <s v="Pacific blood star"/>
    <n v="2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jzo"/>
    <x v="48"/>
    <s v="Longfin sculpin"/>
    <n v="2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etr"/>
    <x v="15"/>
    <s v="Mottled starfish"/>
    <n v="1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pte"/>
    <x v="93"/>
    <s v="Cushion star"/>
    <n v="1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mae"/>
    <x v="24"/>
    <s v="Vermillion sea star"/>
    <n v="1"/>
  </r>
  <r>
    <s v="Andrew Bickell"/>
    <s v="Valesca de Groot"/>
    <x v="20"/>
    <s v="San Jose North Island"/>
    <n v="48.901183000000003"/>
    <n v="-125.060433"/>
    <x v="14"/>
    <n v="3"/>
    <n v="320"/>
    <d v="1899-12-30T13:24:00"/>
    <s v="VDG"/>
    <x v="4"/>
    <x v="2"/>
    <n v="1"/>
    <s v="sst"/>
    <x v="105"/>
    <s v="Striped sun star"/>
    <n v="1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1"/>
    <n v="1"/>
    <s v="hde"/>
    <x v="2"/>
    <s v="Kelp greenling"/>
    <n v="1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mfra"/>
    <x v="5"/>
    <s v="Red sea urchin"/>
    <n v="160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pgi"/>
    <x v="9"/>
    <s v="Red turban shell"/>
    <n v="85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ami"/>
    <x v="23"/>
    <s v="Whitecap limpet"/>
    <n v="28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hermit"/>
    <x v="97"/>
    <s v="Unidentified hermit crab"/>
    <n v="17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oko"/>
    <x v="17"/>
    <s v="Rainbow star"/>
    <n v="8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sfo"/>
    <x v="45"/>
    <s v="Velcro seastar"/>
    <n v="12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hcr"/>
    <x v="46"/>
    <s v="Opalescent nudibranch"/>
    <n v="11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pmi"/>
    <x v="7"/>
    <s v="Bat star"/>
    <n v="35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etr"/>
    <x v="15"/>
    <s v="Mottled starfish"/>
    <n v="2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dim"/>
    <x v="6"/>
    <s v="Leather star"/>
    <n v="5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cfo"/>
    <x v="30"/>
    <s v="Leafy hornmouth"/>
    <n v="13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hka"/>
    <x v="8"/>
    <s v="Pinto abalone"/>
    <n v="7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rni"/>
    <x v="1"/>
    <s v="Blackeye goby"/>
    <n v="2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pca"/>
    <x v="106"/>
    <s v="Californian sea cucumber"/>
    <n v="8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mcr"/>
    <x v="100"/>
    <s v="Giant keyhole limpet"/>
    <n v="1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aha"/>
    <x v="21"/>
    <s v="Scalyhead sculpin"/>
    <n v="7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cgi"/>
    <x v="20"/>
    <s v="Purple-hinged rock scallop"/>
    <n v="2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blood star"/>
    <x v="107"/>
    <s v="Unidentified blood star"/>
    <n v="2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dal"/>
    <x v="22"/>
    <s v="Frosted dirona"/>
    <n v="3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2"/>
    <n v="1"/>
    <s v="phe"/>
    <x v="34"/>
    <s v="Sunflower star"/>
    <n v="3"/>
  </r>
  <r>
    <s v="Valesca de Groot"/>
    <s v="Andrew Bickell"/>
    <x v="16"/>
    <s v="Dodger Channel"/>
    <n v="48.828948974609297"/>
    <n v="-125.19757080078099"/>
    <x v="6"/>
    <n v="0.5"/>
    <n v="30"/>
    <d v="1899-12-30T09:54:00"/>
    <s v="VDG"/>
    <x v="8"/>
    <x v="3"/>
    <n v="1"/>
    <s v="oel"/>
    <x v="49"/>
    <s v="Lingcod"/>
    <n v="1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1"/>
    <n v="2"/>
    <s v="hde"/>
    <x v="2"/>
    <s v="Kelp greenling"/>
    <n v="2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1"/>
    <n v="2"/>
    <s v="aha"/>
    <x v="21"/>
    <s v="Scalyhead sculpin"/>
    <n v="1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mfra"/>
    <x v="5"/>
    <s v="Red sea urchin"/>
    <n v="194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aca"/>
    <x v="11"/>
    <s v="California sea cucumber"/>
    <n v="13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phe"/>
    <x v="34"/>
    <s v="Sunflower star"/>
    <n v="13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oko"/>
    <x v="17"/>
    <s v="Rainbow star"/>
    <n v="7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pgi"/>
    <x v="9"/>
    <s v="Red turban shell"/>
    <n v="65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ami"/>
    <x v="23"/>
    <s v="Whitecap limpet"/>
    <n v="9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cgi"/>
    <x v="20"/>
    <s v="Purple-hinged rock scallop"/>
    <n v="1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hcr"/>
    <x v="46"/>
    <s v="Opalescent nudibranch"/>
    <n v="2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mcr"/>
    <x v="100"/>
    <s v="Giant keyhole limpet"/>
    <n v="4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rni"/>
    <x v="1"/>
    <s v="Blackeye goby"/>
    <n v="10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chiton"/>
    <x v="108"/>
    <s v="Unidentified chiton"/>
    <n v="2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hka"/>
    <x v="8"/>
    <s v="Pinto abalone"/>
    <n v="14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blood star"/>
    <x v="107"/>
    <s v="Unidentified blood star"/>
    <n v="1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aha"/>
    <x v="21"/>
    <s v="Scalyhead sculpin"/>
    <n v="5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cfo"/>
    <x v="30"/>
    <s v="Leafy hornmouth"/>
    <n v="6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hermit"/>
    <x v="97"/>
    <s v="Unidentified hermit crab"/>
    <n v="1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dim"/>
    <x v="6"/>
    <s v="Leather star"/>
    <n v="6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pmi"/>
    <x v="7"/>
    <s v="Bat star"/>
    <n v="9"/>
  </r>
  <r>
    <s v="Valesca de Groot"/>
    <s v="Andrew Bickell"/>
    <x v="11"/>
    <s v="Taylor Rock"/>
    <n v="48.8273315429687"/>
    <n v="-125.196601867675"/>
    <x v="6"/>
    <n v="0.5"/>
    <n v="270"/>
    <d v="1899-12-30T12:18:00"/>
    <s v="VDG"/>
    <x v="8"/>
    <x v="2"/>
    <n v="2"/>
    <s v="dal"/>
    <x v="22"/>
    <s v="Frosted dirona"/>
    <n v="2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1"/>
    <n v="2"/>
    <s v="hde"/>
    <x v="2"/>
    <s v="Kelp greenling"/>
    <n v="5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1"/>
    <n v="2"/>
    <s v="perch"/>
    <x v="109"/>
    <s v="Unidentified perch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dim"/>
    <x v="6"/>
    <s v="Leather star"/>
    <n v="10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mfra"/>
    <x v="5"/>
    <s v="Red sea urchin"/>
    <n v="273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pgi"/>
    <x v="9"/>
    <s v="Red turban shell"/>
    <n v="85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rni"/>
    <x v="1"/>
    <s v="Blackeye goby"/>
    <n v="26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pca"/>
    <x v="106"/>
    <s v="Californian sea cucumber"/>
    <n v="9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blood star"/>
    <x v="107"/>
    <s v="Unidentified blood star"/>
    <n v="5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hcr"/>
    <x v="46"/>
    <s v="Opalescent nudibranch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sdr"/>
    <x v="38"/>
    <s v="Northern sea urchin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aha"/>
    <x v="21"/>
    <s v="Scalyhead sculpin"/>
    <n v="5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pmi"/>
    <x v="7"/>
    <s v="Bat star"/>
    <n v="2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sac"/>
    <x v="26"/>
    <s v="Sharpnose crab"/>
    <n v="2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hka"/>
    <x v="8"/>
    <s v="Pinto abalone"/>
    <n v="9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cfo"/>
    <x v="30"/>
    <s v="Leafy hornmouth"/>
    <n v="9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oko"/>
    <x v="17"/>
    <s v="Rainbow star"/>
    <n v="10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pno"/>
    <x v="35"/>
    <s v="Noble sea lemon"/>
    <n v="2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cgi"/>
    <x v="20"/>
    <s v="Purple-hinged rock scallop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dal"/>
    <x v="22"/>
    <s v="Frosted dirona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tli"/>
    <x v="89"/>
    <s v="Lined chiton"/>
    <n v="2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gor"/>
    <x v="64"/>
    <s v="Pygmy rock crab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hermit"/>
    <x v="97"/>
    <s v="Unidentified hermit crab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hde"/>
    <x v="2"/>
    <s v="Kelp greenling"/>
    <n v="2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phe"/>
    <x v="34"/>
    <s v="Sunflower star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2"/>
    <n v="2"/>
    <s v="etr"/>
    <x v="15"/>
    <s v="Mottled starfish"/>
    <n v="1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3"/>
    <n v="2"/>
    <s v="pvi"/>
    <x v="110"/>
    <s v="harbour seal"/>
    <n v="14"/>
  </r>
  <r>
    <s v="Valesca de Groot"/>
    <s v="Andrew Bickell"/>
    <x v="17"/>
    <s v="Wizard Island South"/>
    <n v="48.857467651367102"/>
    <n v="-125.158233642578"/>
    <x v="10"/>
    <n v="1"/>
    <n v="210"/>
    <d v="1899-12-30T10:12:00"/>
    <s v="VDG"/>
    <x v="1"/>
    <x v="3"/>
    <n v="2"/>
    <s v="ahu"/>
    <x v="90"/>
    <s v="Hudson's dorid"/>
    <n v="1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1"/>
    <n v="2"/>
    <s v="hde"/>
    <x v="2"/>
    <s v="Kelp greenling"/>
    <n v="3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1"/>
    <n v="2"/>
    <s v="oel"/>
    <x v="49"/>
    <s v="Lingcod"/>
    <n v="1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1"/>
    <n v="2"/>
    <s v="sca"/>
    <x v="4"/>
    <s v="Copper rockfish"/>
    <n v="1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mfra"/>
    <x v="5"/>
    <s v="Red sea urchin"/>
    <n v="492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oko"/>
    <x v="17"/>
    <s v="Rainbow star"/>
    <n v="10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pca"/>
    <x v="106"/>
    <s v="Californian sea cucumber"/>
    <n v="72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hcr"/>
    <x v="46"/>
    <s v="Opalescent nudibranch"/>
    <n v="14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hka"/>
    <x v="8"/>
    <s v="Pinto abalone"/>
    <n v="20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dim"/>
    <x v="6"/>
    <s v="Leather star"/>
    <n v="17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aha"/>
    <x v="21"/>
    <s v="Scalyhead sculpin"/>
    <n v="11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tli"/>
    <x v="89"/>
    <s v="Lined chiton"/>
    <n v="1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pgi"/>
    <x v="9"/>
    <s v="Red turban shell"/>
    <n v="6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sfo"/>
    <x v="45"/>
    <s v="Velcro seastar"/>
    <n v="3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blood star"/>
    <x v="107"/>
    <s v="Unidentified blood star"/>
    <n v="6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sdr"/>
    <x v="38"/>
    <s v="Northern sea urchin"/>
    <n v="5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cfo"/>
    <x v="30"/>
    <s v="Leafy hornmouth"/>
    <n v="10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cgi"/>
    <x v="20"/>
    <s v="Purple-hinged rock scallop"/>
    <n v="3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sac"/>
    <x v="26"/>
    <s v="Sharpnose crab"/>
    <n v="5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pmi"/>
    <x v="7"/>
    <s v="Bat star"/>
    <n v="7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phe"/>
    <x v="34"/>
    <s v="Sunflower star"/>
    <n v="2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ahu"/>
    <x v="90"/>
    <s v="Hudson's dorid"/>
    <n v="2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rni"/>
    <x v="1"/>
    <s v="Blackeye goby"/>
    <n v="7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dal"/>
    <x v="22"/>
    <s v="Frosted dirona"/>
    <n v="1"/>
  </r>
  <r>
    <s v="Valesca de Groot"/>
    <s v="Andrew Bickell"/>
    <x v="18"/>
    <s v="Wizard Island North"/>
    <n v="48.858283996582003"/>
    <n v="-125.160919189453"/>
    <x v="10"/>
    <n v="1"/>
    <n v="30"/>
    <d v="1899-12-30T12:54:00"/>
    <s v="VDG"/>
    <x v="5"/>
    <x v="2"/>
    <n v="2"/>
    <s v="ami"/>
    <x v="23"/>
    <s v="Whitecap limpet"/>
    <n v="2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1"/>
    <n v="2"/>
    <s v="hde"/>
    <x v="2"/>
    <s v="Kelp greenling"/>
    <n v="1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1"/>
    <n v="2"/>
    <s v="pvi"/>
    <x v="110"/>
    <s v="harbour seal"/>
    <n v="1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mfra"/>
    <x v="5"/>
    <s v="Red sea urchin"/>
    <n v="527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dim"/>
    <x v="6"/>
    <s v="Leather star"/>
    <n v="7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spu"/>
    <x v="50"/>
    <s v="Purple sea urchin (?)"/>
    <n v="14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jzo"/>
    <x v="48"/>
    <s v="Longfin sculpin"/>
    <n v="3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ami"/>
    <x v="23"/>
    <s v="Whitecap limpet"/>
    <n v="22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aca"/>
    <x v="11"/>
    <s v="California sea cucumber"/>
    <n v="4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hka"/>
    <x v="8"/>
    <s v="Pinto abalone"/>
    <n v="7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pmi"/>
    <x v="7"/>
    <s v="Bat star"/>
    <n v="30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oko"/>
    <x v="17"/>
    <s v="Rainbow star"/>
    <n v="9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pgi"/>
    <x v="9"/>
    <s v="Red turban shell"/>
    <n v="35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rni"/>
    <x v="1"/>
    <s v="Blackeye goby"/>
    <n v="6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hermit"/>
    <x v="97"/>
    <s v="Unidentified hermit crab"/>
    <n v="6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sma"/>
    <x v="111"/>
    <s v="Cabezon"/>
    <n v="1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cgi"/>
    <x v="20"/>
    <s v="Purple-hinged rock scallop"/>
    <n v="2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poc"/>
    <x v="13"/>
    <s v="Purple sea star"/>
    <n v="8"/>
  </r>
  <r>
    <s v="Valesca de Groot"/>
    <s v="Andrew Bickell"/>
    <x v="12"/>
    <s v="Baeria Rocks South Island"/>
    <n v="48.950233459472599"/>
    <n v="-125.155548095703"/>
    <x v="7"/>
    <n v="5"/>
    <n v="240"/>
    <d v="1899-12-30T10:20:00"/>
    <s v="VDG"/>
    <x v="1"/>
    <x v="2"/>
    <n v="2"/>
    <s v="aha"/>
    <x v="21"/>
    <s v="Scalyhead sculpin"/>
    <n v="3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1"/>
    <n v="2"/>
    <s v="rni"/>
    <x v="1"/>
    <s v="Blackeye goby"/>
    <n v="2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1"/>
    <n v="2"/>
    <s v="sca"/>
    <x v="4"/>
    <s v="Copper rockfish"/>
    <n v="1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1"/>
    <n v="2"/>
    <s v="hde"/>
    <x v="2"/>
    <s v="Kelp greenling"/>
    <n v="3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mfra"/>
    <x v="5"/>
    <s v="Red sea urchin"/>
    <n v="189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pmi"/>
    <x v="7"/>
    <s v="Bat star"/>
    <n v="101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pgi"/>
    <x v="9"/>
    <s v="Red turban shell"/>
    <n v="39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hermit"/>
    <x v="97"/>
    <s v="Unidentified hermit crab"/>
    <n v="13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dim"/>
    <x v="6"/>
    <s v="Leather star"/>
    <n v="2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oko"/>
    <x v="17"/>
    <s v="Rainbow star"/>
    <n v="13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cfo"/>
    <x v="30"/>
    <s v="Leafy hornmouth"/>
    <n v="6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hcr"/>
    <x v="46"/>
    <s v="Opalescent nudibranch"/>
    <n v="1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ami"/>
    <x v="23"/>
    <s v="Whitecap limpet"/>
    <n v="14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lcoc"/>
    <x v="87"/>
    <s v="Cockerell's dorid"/>
    <n v="1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aha"/>
    <x v="21"/>
    <s v="Scalyhead sculpin"/>
    <n v="6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hka"/>
    <x v="8"/>
    <s v="Pinto abalone"/>
    <n v="5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tli"/>
    <x v="89"/>
    <s v="Lined chiton"/>
    <n v="1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jzo"/>
    <x v="48"/>
    <s v="Longfin sculpin"/>
    <n v="1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rni"/>
    <x v="1"/>
    <s v="Blackeye goby"/>
    <n v="3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aca"/>
    <x v="11"/>
    <s v="California sea cucumber"/>
    <n v="6"/>
  </r>
  <r>
    <s v="Valesca de Groot"/>
    <s v="Andrew Bickell"/>
    <x v="13"/>
    <s v="Baeria Rocks North Island Northside"/>
    <n v="48.955081939697202"/>
    <n v="-125.15337371826099"/>
    <x v="7"/>
    <n v="5"/>
    <n v="150"/>
    <d v="1899-12-30T13:00:00"/>
    <s v="VDG"/>
    <x v="7"/>
    <x v="2"/>
    <n v="2"/>
    <s v="cpr"/>
    <x v="14"/>
    <s v="Red rock crab"/>
    <n v="1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1"/>
    <n v="2"/>
    <s v="sfl"/>
    <x v="56"/>
    <s v="Yellowtail rockfish"/>
    <n v="23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1"/>
    <n v="2"/>
    <s v="rni"/>
    <x v="1"/>
    <s v="Blackeye goby"/>
    <n v="39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1"/>
    <n v="2"/>
    <s v="sme"/>
    <x v="28"/>
    <s v="Black rockfish"/>
    <n v="2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1"/>
    <n v="2"/>
    <s v="sma"/>
    <x v="57"/>
    <s v="Quillback rockfish"/>
    <n v="4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1"/>
    <n v="2"/>
    <s v="opi"/>
    <x v="3"/>
    <s v="Painted greenling"/>
    <n v="4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1"/>
    <n v="2"/>
    <s v="hde"/>
    <x v="2"/>
    <s v="Kelp greenling"/>
    <n v="7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1"/>
    <n v="2"/>
    <s v="aoc"/>
    <x v="103"/>
    <s v="Wolf-eel"/>
    <n v="1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1"/>
    <n v="2"/>
    <s v="sca"/>
    <x v="4"/>
    <s v="Copper rockfish"/>
    <n v="11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oko"/>
    <x v="17"/>
    <s v="Rainbow star"/>
    <n v="7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mfra"/>
    <x v="5"/>
    <s v="Red sea urchin"/>
    <n v="67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hka"/>
    <x v="8"/>
    <s v="Pinto abalone"/>
    <n v="22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rni"/>
    <x v="1"/>
    <s v="Blackeye goby"/>
    <n v="187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pmi"/>
    <x v="7"/>
    <s v="Bat star"/>
    <n v="43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tli"/>
    <x v="89"/>
    <s v="Lined chiton"/>
    <n v="2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pgi"/>
    <x v="9"/>
    <s v="Red turban shell"/>
    <n v="6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ami"/>
    <x v="23"/>
    <s v="Whitecap limpet"/>
    <n v="12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mcr"/>
    <x v="100"/>
    <s v="Giant keyhole limpet"/>
    <n v="19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cfo"/>
    <x v="30"/>
    <s v="Leafy hornmouth"/>
    <n v="8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aca"/>
    <x v="11"/>
    <s v="California sea cucumber"/>
    <n v="8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dim"/>
    <x v="6"/>
    <s v="Leather star"/>
    <n v="7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sac"/>
    <x v="26"/>
    <s v="Sharpnose crab"/>
    <n v="3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hermit"/>
    <x v="97"/>
    <s v="Unidentified hermit crab"/>
    <n v="2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pno"/>
    <x v="35"/>
    <s v="Noble sea lemon"/>
    <n v="2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spu"/>
    <x v="50"/>
    <s v="Purple sea urchin (?)"/>
    <n v="1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opi"/>
    <x v="3"/>
    <s v="Painted greenling"/>
    <n v="1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cgi"/>
    <x v="20"/>
    <s v="Purple-hinged rock scallop"/>
    <n v="5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pla"/>
    <x v="41"/>
    <s v="Crescent gunnel"/>
    <n v="5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etr"/>
    <x v="15"/>
    <s v="Mottled starfish"/>
    <n v="4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lcoc"/>
    <x v="87"/>
    <s v="Cockerell's dorid"/>
    <n v="3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dodo"/>
    <x v="29"/>
    <s v="Spotted dorid"/>
    <n v="1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dem"/>
    <x v="95"/>
    <s v="Any metal debris"/>
    <n v="1"/>
  </r>
  <r>
    <s v="Valesca de Groot"/>
    <s v="Andrew Bickell"/>
    <x v="19"/>
    <s v="Goby Town"/>
    <n v="48.838594999999998"/>
    <n v="-125.135015"/>
    <x v="8"/>
    <n v="4"/>
    <n v="180"/>
    <d v="1899-12-30T13:20:00"/>
    <s v="VDG"/>
    <x v="1"/>
    <x v="2"/>
    <n v="2"/>
    <s v="dep"/>
    <x v="32"/>
    <s v="Any plastic debris"/>
    <n v="1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1"/>
    <n v="1"/>
    <s v="rni"/>
    <x v="1"/>
    <s v="Blackeye goby"/>
    <n v="1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1"/>
    <n v="1"/>
    <s v="hde"/>
    <x v="2"/>
    <s v="Kelp greenling"/>
    <n v="1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oko"/>
    <x v="17"/>
    <s v="Rainbow star"/>
    <n v="2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mfra"/>
    <x v="5"/>
    <s v="Red sea urchin"/>
    <n v="3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aca"/>
    <x v="11"/>
    <s v="California sea cucumber"/>
    <n v="4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mcr"/>
    <x v="100"/>
    <s v="Giant keyhole limpet"/>
    <n v="2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cfo"/>
    <x v="30"/>
    <s v="Leafy hornmouth"/>
    <n v="2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dim"/>
    <x v="6"/>
    <s v="Leather star"/>
    <n v="14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sfo"/>
    <x v="45"/>
    <s v="Velcro seastar"/>
    <n v="3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pgi"/>
    <x v="9"/>
    <s v="Red turban shell"/>
    <n v="7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pgi"/>
    <x v="9"/>
    <s v="Red turban shell"/>
    <n v="18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pmi"/>
    <x v="7"/>
    <s v="Bat star"/>
    <n v="1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tli"/>
    <x v="89"/>
    <s v="Lined chiton"/>
    <n v="2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phe"/>
    <x v="34"/>
    <s v="Sunflower star"/>
    <n v="14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mae"/>
    <x v="24"/>
    <s v="Vermillion sea star"/>
    <n v="6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cgi"/>
    <x v="20"/>
    <s v="Purple-hinged rock scallop"/>
    <n v="4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blood star"/>
    <x v="107"/>
    <s v="Unidentified blood star"/>
    <n v="7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etr"/>
    <x v="15"/>
    <s v="Mottled starfish"/>
    <n v="5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aha"/>
    <x v="21"/>
    <s v="Scalyhead sculpin"/>
    <n v="4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ogr"/>
    <x v="76"/>
    <s v="Graceful decorator crab"/>
    <n v="1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2"/>
    <n v="1"/>
    <s v="scyra"/>
    <x v="112"/>
    <s v="Scyra spp."/>
    <n v="1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3"/>
    <n v="1"/>
    <s v="phe"/>
    <x v="34"/>
    <s v="Sunflower star"/>
    <n v="1"/>
  </r>
  <r>
    <s v="Valesca de Groot"/>
    <s v="Andrew Bickell"/>
    <x v="15"/>
    <s v="Hosie South"/>
    <n v="48.9071"/>
    <n v="-125.03701700000001"/>
    <x v="9"/>
    <n v="3"/>
    <n v="240"/>
    <d v="1899-12-30T10:22:00"/>
    <s v="VDG"/>
    <x v="13"/>
    <x v="3"/>
    <n v="1"/>
    <s v="sme"/>
    <x v="28"/>
    <s v="Black rockfish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1"/>
    <n v="2"/>
    <s v="rni"/>
    <x v="1"/>
    <s v="Blackeye goby"/>
    <n v="14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1"/>
    <n v="2"/>
    <s v="aha"/>
    <x v="21"/>
    <s v="Scalyhead sculpin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1"/>
    <n v="2"/>
    <s v="oel"/>
    <x v="49"/>
    <s v="Lingcod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dsa"/>
    <x v="55"/>
    <s v="Ringed doris"/>
    <n v="2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ogr"/>
    <x v="76"/>
    <s v="Graceful decorator crab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dir"/>
    <x v="84"/>
    <s v="Giant frond-aeolis"/>
    <n v="2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aca"/>
    <x v="11"/>
    <s v="California sea cucumber"/>
    <n v="8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mfra"/>
    <x v="5"/>
    <s v="Red sea urchin"/>
    <n v="154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hcr"/>
    <x v="46"/>
    <s v="Opalescent nudibranch"/>
    <n v="20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rni"/>
    <x v="1"/>
    <s v="Blackeye goby"/>
    <n v="33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aha"/>
    <x v="21"/>
    <s v="Scalyhead sculpin"/>
    <n v="16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cgi"/>
    <x v="20"/>
    <s v="Purple-hinged rock scallop"/>
    <n v="8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dim"/>
    <x v="6"/>
    <s v="Leather star"/>
    <n v="12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sdr"/>
    <x v="38"/>
    <s v="Northern sea urchin"/>
    <n v="2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hermit"/>
    <x v="97"/>
    <s v="Unidentified hermit crab"/>
    <n v="8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pno"/>
    <x v="35"/>
    <s v="Noble sea lemon"/>
    <n v="3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pgi"/>
    <x v="9"/>
    <s v="Red turban shell"/>
    <n v="67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oko"/>
    <x v="17"/>
    <s v="Rainbow star"/>
    <n v="12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chiton"/>
    <x v="108"/>
    <s v="Unidentified chiton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jzo"/>
    <x v="48"/>
    <s v="Longfin sculpin"/>
    <n v="6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dal"/>
    <x v="22"/>
    <s v="Frosted dirona"/>
    <n v="4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sfo"/>
    <x v="45"/>
    <s v="Velcro seastar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hka"/>
    <x v="8"/>
    <s v="Pinto abalone"/>
    <n v="6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cfo"/>
    <x v="30"/>
    <s v="Leafy hornmouth"/>
    <n v="4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scyra"/>
    <x v="112"/>
    <s v="Scyra spp."/>
    <n v="2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gor"/>
    <x v="64"/>
    <s v="Pygmy rock crab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opi"/>
    <x v="3"/>
    <s v="Painted greenling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ami"/>
    <x v="23"/>
    <s v="Whitecap limpet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hhe"/>
    <x v="59"/>
    <s v="Red Irish lord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blood star"/>
    <x v="107"/>
    <s v="Unidentified blood star"/>
    <n v="1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pmi"/>
    <x v="7"/>
    <s v="Bat star"/>
    <n v="3"/>
  </r>
  <r>
    <s v="Valesca de Groot"/>
    <s v="Andrew Bickell"/>
    <x v="20"/>
    <s v="San Jose North Island"/>
    <n v="48.901183000000003"/>
    <n v="-125.060433"/>
    <x v="9"/>
    <n v="3"/>
    <n v="320"/>
    <d v="1899-12-30T13:24:00"/>
    <s v="VDG"/>
    <x v="4"/>
    <x v="2"/>
    <n v="2"/>
    <s v="tmo"/>
    <x v="25"/>
    <s v="Sea clown"/>
    <n v="2"/>
  </r>
  <r>
    <m/>
    <m/>
    <x v="0"/>
    <m/>
    <m/>
    <m/>
    <x v="0"/>
    <m/>
    <m/>
    <m/>
    <m/>
    <x v="0"/>
    <x v="4"/>
    <m/>
    <m/>
    <x v="11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9">
  <r>
    <m/>
    <x v="0"/>
    <m/>
    <x v="0"/>
    <x v="0"/>
    <m/>
    <m/>
    <x v="0"/>
    <m/>
    <m/>
    <d v="1899-12-30T12:00:00"/>
    <m/>
    <x v="0"/>
    <x v="0"/>
    <x v="0"/>
    <m/>
    <n v="2"/>
    <n v="3"/>
    <n v="28022"/>
    <n v="23322"/>
    <n v="1"/>
    <n v="2"/>
    <n v="3"/>
    <n v="4"/>
    <n v="5"/>
    <n v="6"/>
    <n v="8"/>
    <n v="10"/>
    <n v="12"/>
    <n v="14"/>
    <n v="16"/>
    <n v="20"/>
    <n v="25"/>
    <n v="30"/>
    <n v="35"/>
    <n v="40"/>
    <n v="45"/>
    <n v="50"/>
    <n v="55"/>
    <n v="60"/>
    <n v="65"/>
    <n v="70"/>
    <n v="75"/>
    <n v="80"/>
    <n v="100"/>
    <n v="120"/>
    <n v="140"/>
    <n v="160"/>
  </r>
  <r>
    <n v="1"/>
    <x v="1"/>
    <s v="Em Lim"/>
    <x v="1"/>
    <x v="1"/>
    <n v="48.8542671203613"/>
    <n v="-125.11703491210901"/>
    <x v="1"/>
    <n v="3"/>
    <n v="90"/>
    <d v="1899-12-30T10:14:00"/>
    <s v="EGL"/>
    <x v="1"/>
    <x v="1"/>
    <x v="1"/>
    <s v="Rni"/>
    <s v="Rhinogobiops nicholsii"/>
    <s v="Blackeye goby"/>
    <n v="50"/>
    <n v="0"/>
    <m/>
    <n v="12"/>
    <n v="15"/>
    <n v="15"/>
    <n v="8"/>
    <m/>
    <m/>
    <m/>
    <m/>
    <m/>
    <m/>
    <m/>
    <m/>
    <m/>
    <m/>
    <m/>
    <m/>
    <m/>
    <m/>
    <m/>
    <m/>
    <m/>
    <m/>
    <m/>
    <m/>
    <m/>
    <m/>
    <m/>
  </r>
  <r>
    <n v="2"/>
    <x v="1"/>
    <s v="Em Lim"/>
    <x v="1"/>
    <x v="1"/>
    <n v="48.8542671203613"/>
    <n v="-125.11703491210901"/>
    <x v="1"/>
    <n v="3"/>
    <n v="90"/>
    <d v="1899-12-30T10:14:00"/>
    <s v="EGL"/>
    <x v="1"/>
    <x v="1"/>
    <x v="1"/>
    <s v="Hde"/>
    <s v="Hexagrammos decagrammus"/>
    <s v="Kelp greenling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3"/>
    <x v="1"/>
    <s v="Em Lim"/>
    <x v="1"/>
    <x v="1"/>
    <n v="48.8542671203613"/>
    <n v="-125.11703491210901"/>
    <x v="1"/>
    <n v="3"/>
    <n v="90"/>
    <d v="1899-12-30T10:14:00"/>
    <s v="EGL"/>
    <x v="1"/>
    <x v="1"/>
    <x v="1"/>
    <s v="Opi"/>
    <s v="Oxylebius pictus"/>
    <s v="Painted greenling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4"/>
    <x v="1"/>
    <s v="Em Lim"/>
    <x v="1"/>
    <x v="1"/>
    <n v="48.8542671203613"/>
    <n v="-125.11703491210901"/>
    <x v="1"/>
    <n v="3"/>
    <n v="90"/>
    <d v="1899-12-30T10:14:00"/>
    <s v="EGL"/>
    <x v="1"/>
    <x v="1"/>
    <x v="1"/>
    <s v="Sca"/>
    <s v="Sebastes caurinus"/>
    <s v="Copper rockfish"/>
    <n v="2"/>
    <n v="0"/>
    <m/>
    <m/>
    <m/>
    <n v="1"/>
    <n v="1"/>
    <m/>
    <m/>
    <m/>
    <m/>
    <m/>
    <m/>
    <m/>
    <m/>
    <m/>
    <m/>
    <m/>
    <m/>
    <m/>
    <m/>
    <m/>
    <m/>
    <m/>
    <m/>
    <m/>
    <m/>
    <m/>
    <m/>
    <m/>
  </r>
  <r>
    <n v="5"/>
    <x v="1"/>
    <s v="Em Lim"/>
    <x v="1"/>
    <x v="1"/>
    <n v="48.8542671203613"/>
    <n v="-125.11703491210901"/>
    <x v="1"/>
    <n v="3"/>
    <n v="90"/>
    <d v="1899-12-30T10:14:00"/>
    <s v="EGL"/>
    <x v="1"/>
    <x v="1"/>
    <x v="1"/>
    <s v="Sca"/>
    <s v="Sebastes caurinus"/>
    <s v="Unidentified ctenophore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Mfra"/>
    <s v="Mesocentrotus franciscanus"/>
    <s v="Red sea urchin"/>
    <n v="52"/>
    <n v="5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Dim"/>
    <s v="Dermasterias imbricata"/>
    <s v="Leather star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Pmi"/>
    <s v="Patiria miniata"/>
    <s v="Bat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Rni"/>
    <s v="Rhinogobiops nicholsii"/>
    <s v="Blackeye goby"/>
    <n v="117"/>
    <n v="0"/>
    <n v="23"/>
    <n v="44"/>
    <n v="40"/>
    <n v="10"/>
    <m/>
    <m/>
    <m/>
    <m/>
    <m/>
    <m/>
    <m/>
    <m/>
    <m/>
    <m/>
    <m/>
    <m/>
    <m/>
    <m/>
    <m/>
    <m/>
    <m/>
    <m/>
    <m/>
    <m/>
    <m/>
    <m/>
    <m/>
    <m/>
  </r>
  <r>
    <n v="10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Hka"/>
    <s v="Haliotis kamtschatkana"/>
    <s v="Pinto abalone"/>
    <n v="5"/>
    <n v="0"/>
    <m/>
    <n v="2"/>
    <n v="3"/>
    <m/>
    <m/>
    <m/>
    <m/>
    <m/>
    <m/>
    <m/>
    <m/>
    <m/>
    <m/>
    <m/>
    <m/>
    <m/>
    <m/>
    <m/>
    <m/>
    <m/>
    <m/>
    <m/>
    <m/>
    <m/>
    <m/>
    <m/>
    <m/>
    <m/>
  </r>
  <r>
    <n v="11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Pgi"/>
    <s v="Pomaulax gibberosus"/>
    <s v="Red turban shell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Hsp."/>
    <s v="Henricia sp."/>
    <s v="Unidentified blood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Aca"/>
    <s v="Apostichopus californicus"/>
    <s v="California sea cucumber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Tsp."/>
    <s v="Tonicella sp."/>
    <s v="Unidentifi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Poc"/>
    <s v="Pisaster ochraceus"/>
    <s v="Ochr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Das"/>
    <s v="Diodora aspera"/>
    <s v="Rough keyhole limpet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Dod"/>
    <s v="Doris odhneri"/>
    <s v="Giant white dor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Clu"/>
    <s v="Cadlina luteomarginata"/>
    <s v="Yellow-edge cadli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Cgi"/>
    <s v="Crassadoma gigantea"/>
    <s v="Purple-hinged rock scallop"/>
    <n v="4"/>
    <n v="0"/>
    <m/>
    <m/>
    <m/>
    <m/>
    <n v="3"/>
    <n v="1"/>
    <m/>
    <m/>
    <m/>
    <m/>
    <m/>
    <m/>
    <m/>
    <m/>
    <m/>
    <m/>
    <m/>
    <m/>
    <m/>
    <m/>
    <m/>
    <m/>
    <m/>
    <m/>
    <m/>
    <m/>
    <m/>
    <m/>
  </r>
  <r>
    <n v="23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Aha"/>
    <s v="Artedius harringtoni"/>
    <s v="Scalyhead sculpi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24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"/>
    <x v="1"/>
    <s v="Em Lim"/>
    <x v="1"/>
    <x v="1"/>
    <n v="48.8542671203613"/>
    <n v="-125.11703491210901"/>
    <x v="1"/>
    <n v="3"/>
    <n v="90"/>
    <d v="1899-12-30T10:14:00"/>
    <s v="EGL"/>
    <x v="1"/>
    <x v="3"/>
    <x v="1"/>
    <s v="Hde"/>
    <s v="Hexagrammos decagrammus"/>
    <s v="Kelp greenling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6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Ami"/>
    <s v="Acmaea mitra"/>
    <s v="Whitecap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Mae"/>
    <s v="Mediaster aequalis"/>
    <s v="Vermillion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"/>
    <x v="1"/>
    <s v="Em Lim"/>
    <x v="1"/>
    <x v="1"/>
    <n v="48.8542671203613"/>
    <n v="-125.11703491210901"/>
    <x v="1"/>
    <n v="3"/>
    <n v="90"/>
    <d v="1899-12-30T10:14:00"/>
    <s v="EGL"/>
    <x v="1"/>
    <x v="2"/>
    <x v="1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"/>
    <x v="1"/>
    <s v="Em Lim"/>
    <x v="2"/>
    <x v="2"/>
    <n v="48.85205078125"/>
    <n v="-125.123565673828"/>
    <x v="1"/>
    <n v="2"/>
    <n v="90"/>
    <d v="1899-12-30T13:00:00"/>
    <s v="EGL"/>
    <x v="2"/>
    <x v="1"/>
    <x v="2"/>
    <s v="Rni"/>
    <s v="Rhinogobiops nicholsii"/>
    <s v="Blackeye goby"/>
    <n v="9"/>
    <n v="0"/>
    <m/>
    <n v="1"/>
    <n v="2"/>
    <n v="5"/>
    <n v="1"/>
    <m/>
    <m/>
    <m/>
    <m/>
    <m/>
    <m/>
    <m/>
    <m/>
    <m/>
    <m/>
    <m/>
    <m/>
    <m/>
    <m/>
    <m/>
    <m/>
    <m/>
    <m/>
    <m/>
    <m/>
    <m/>
    <m/>
    <m/>
  </r>
  <r>
    <n v="31"/>
    <x v="1"/>
    <s v="Em Lim"/>
    <x v="2"/>
    <x v="2"/>
    <n v="48.85205078125"/>
    <n v="-125.123565673828"/>
    <x v="1"/>
    <n v="2"/>
    <n v="90"/>
    <d v="1899-12-30T13:00:00"/>
    <s v="EGL"/>
    <x v="2"/>
    <x v="1"/>
    <x v="2"/>
    <s v="Hde"/>
    <s v="Hexagrammos decagrammus"/>
    <s v="Kelp greenling"/>
    <n v="10"/>
    <n v="0"/>
    <m/>
    <m/>
    <m/>
    <n v="1"/>
    <m/>
    <n v="2"/>
    <n v="3"/>
    <n v="3"/>
    <n v="1"/>
    <m/>
    <m/>
    <m/>
    <m/>
    <m/>
    <m/>
    <m/>
    <m/>
    <m/>
    <m/>
    <m/>
    <m/>
    <m/>
    <m/>
    <m/>
    <m/>
    <m/>
    <m/>
    <m/>
  </r>
  <r>
    <n v="32"/>
    <x v="1"/>
    <s v="Em Lim"/>
    <x v="2"/>
    <x v="2"/>
    <n v="48.85205078125"/>
    <n v="-125.123565673828"/>
    <x v="1"/>
    <n v="2"/>
    <n v="90"/>
    <d v="1899-12-30T13:00:00"/>
    <s v="EGL"/>
    <x v="2"/>
    <x v="1"/>
    <x v="2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3"/>
    <x v="1"/>
    <s v="Em Lim"/>
    <x v="2"/>
    <x v="2"/>
    <n v="48.85205078125"/>
    <n v="-125.123565673828"/>
    <x v="1"/>
    <n v="2"/>
    <n v="90"/>
    <d v="1899-12-30T13:00:00"/>
    <s v="EGL"/>
    <x v="2"/>
    <x v="1"/>
    <x v="2"/>
    <s v="Bin"/>
    <s v="Bolinopsis infundibulum"/>
    <s v="Northern comb jelly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"/>
    <x v="1"/>
    <s v="Em Lim"/>
    <x v="2"/>
    <x v="2"/>
    <n v="48.85205078125"/>
    <n v="-125.123565673828"/>
    <x v="1"/>
    <n v="2"/>
    <n v="90"/>
    <d v="1899-12-30T13:00:00"/>
    <s v="EGL"/>
    <x v="2"/>
    <x v="1"/>
    <x v="2"/>
    <s v="Sme"/>
    <s v="Sebastes melanops"/>
    <s v="Black rockfish"/>
    <n v="5"/>
    <n v="0"/>
    <m/>
    <m/>
    <m/>
    <m/>
    <n v="2"/>
    <n v="3"/>
    <m/>
    <m/>
    <m/>
    <m/>
    <m/>
    <m/>
    <m/>
    <m/>
    <m/>
    <m/>
    <m/>
    <m/>
    <m/>
    <m/>
    <m/>
    <m/>
    <m/>
    <m/>
    <m/>
    <m/>
    <m/>
    <m/>
  </r>
  <r>
    <n v="35"/>
    <x v="1"/>
    <s v="Em Lim"/>
    <x v="2"/>
    <x v="2"/>
    <n v="48.85205078125"/>
    <n v="-125.123565673828"/>
    <x v="1"/>
    <n v="2"/>
    <n v="90"/>
    <d v="1899-12-30T13:00:00"/>
    <s v="EGL"/>
    <x v="2"/>
    <x v="2"/>
    <x v="2"/>
    <s v="Mfra"/>
    <s v="Mesocentrotus franciscanus"/>
    <s v="Red sea urchin"/>
    <n v="373"/>
    <n v="37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"/>
    <x v="1"/>
    <s v="Em Lim"/>
    <x v="2"/>
    <x v="2"/>
    <n v="48.85205078125"/>
    <n v="-125.123565673828"/>
    <x v="1"/>
    <n v="2"/>
    <n v="90"/>
    <d v="1899-12-30T13:00:00"/>
    <s v="EGL"/>
    <x v="2"/>
    <x v="2"/>
    <x v="2"/>
    <s v="Oko"/>
    <s v="Orthasterias koehleri"/>
    <s v="Rainbow star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"/>
    <x v="1"/>
    <s v="Em Lim"/>
    <x v="2"/>
    <x v="2"/>
    <n v="48.85205078125"/>
    <n v="-125.123565673828"/>
    <x v="1"/>
    <n v="2"/>
    <n v="90"/>
    <d v="1899-12-30T13:00:00"/>
    <s v="EGL"/>
    <x v="2"/>
    <x v="2"/>
    <x v="2"/>
    <s v="Hka"/>
    <s v="Haliotis kamtschatkana"/>
    <s v="Pinto abalone"/>
    <n v="59"/>
    <n v="0"/>
    <n v="16"/>
    <n v="25"/>
    <n v="17"/>
    <n v="1"/>
    <m/>
    <m/>
    <m/>
    <m/>
    <m/>
    <m/>
    <m/>
    <m/>
    <m/>
    <m/>
    <m/>
    <m/>
    <m/>
    <m/>
    <m/>
    <m/>
    <m/>
    <m/>
    <m/>
    <m/>
    <m/>
    <m/>
    <m/>
    <m/>
  </r>
  <r>
    <n v="38"/>
    <x v="1"/>
    <s v="Em Lim"/>
    <x v="2"/>
    <x v="2"/>
    <n v="48.85205078125"/>
    <n v="-125.123565673828"/>
    <x v="1"/>
    <n v="2"/>
    <n v="90"/>
    <d v="1899-12-30T13:00:00"/>
    <s v="EGL"/>
    <x v="2"/>
    <x v="2"/>
    <x v="2"/>
    <s v="Rni"/>
    <s v="Rhinogobiops nicholsii"/>
    <s v="Blackeye goby"/>
    <n v="25"/>
    <n v="0"/>
    <n v="9"/>
    <n v="8"/>
    <n v="7"/>
    <n v="1"/>
    <m/>
    <m/>
    <m/>
    <m/>
    <m/>
    <m/>
    <m/>
    <m/>
    <m/>
    <m/>
    <m/>
    <m/>
    <m/>
    <m/>
    <m/>
    <m/>
    <m/>
    <m/>
    <m/>
    <m/>
    <m/>
    <m/>
    <m/>
    <m/>
  </r>
  <r>
    <n v="39"/>
    <x v="1"/>
    <s v="Em Lim"/>
    <x v="2"/>
    <x v="2"/>
    <n v="48.85205078125"/>
    <n v="-125.123565673828"/>
    <x v="1"/>
    <n v="2"/>
    <n v="90"/>
    <d v="1899-12-30T13:00:00"/>
    <s v="EGL"/>
    <x v="2"/>
    <x v="2"/>
    <x v="2"/>
    <s v="Aca"/>
    <s v="Apostichopus californicus"/>
    <s v="California sea cucumber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"/>
    <x v="1"/>
    <s v="Em Lim"/>
    <x v="2"/>
    <x v="2"/>
    <n v="48.85205078125"/>
    <n v="-125.123565673828"/>
    <x v="1"/>
    <n v="2"/>
    <n v="90"/>
    <d v="1899-12-30T13:00:00"/>
    <s v="EGL"/>
    <x v="2"/>
    <x v="2"/>
    <x v="2"/>
    <s v="Dim"/>
    <s v="Dermasterias imbricata"/>
    <s v="Leather sta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"/>
    <x v="1"/>
    <s v="Em Lim"/>
    <x v="2"/>
    <x v="2"/>
    <n v="48.85205078125"/>
    <n v="-125.123565673828"/>
    <x v="1"/>
    <n v="2"/>
    <n v="90"/>
    <d v="1899-12-30T13:00:00"/>
    <s v="EGL"/>
    <x v="2"/>
    <x v="2"/>
    <x v="2"/>
    <s v="Pmi"/>
    <s v="Patiria miniata"/>
    <s v="Bat star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"/>
    <x v="1"/>
    <s v="Em Lim"/>
    <x v="2"/>
    <x v="2"/>
    <n v="48.85205078125"/>
    <n v="-125.123565673828"/>
    <x v="1"/>
    <n v="2"/>
    <n v="90"/>
    <d v="1899-12-30T13:00:00"/>
    <s v="EGL"/>
    <x v="2"/>
    <x v="2"/>
    <x v="2"/>
    <s v="Cgi"/>
    <s v="Crassadoma gigantea"/>
    <s v="Purple-hinged rock scallop"/>
    <n v="11"/>
    <n v="0"/>
    <m/>
    <n v="2"/>
    <n v="5"/>
    <n v="4"/>
    <m/>
    <m/>
    <m/>
    <m/>
    <m/>
    <m/>
    <m/>
    <m/>
    <m/>
    <m/>
    <m/>
    <m/>
    <m/>
    <m/>
    <m/>
    <m/>
    <m/>
    <m/>
    <m/>
    <m/>
    <m/>
    <m/>
    <m/>
    <m/>
  </r>
  <r>
    <n v="43"/>
    <x v="1"/>
    <s v="Em Lim"/>
    <x v="2"/>
    <x v="2"/>
    <n v="48.85205078125"/>
    <n v="-125.123565673828"/>
    <x v="1"/>
    <n v="2"/>
    <n v="90"/>
    <d v="1899-12-30T13:00:00"/>
    <s v="EGL"/>
    <x v="2"/>
    <x v="2"/>
    <x v="2"/>
    <s v="Dodo"/>
    <s v="Diaulula odonoghuei"/>
    <s v="Spotted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"/>
    <x v="1"/>
    <s v="Em Lim"/>
    <x v="2"/>
    <x v="2"/>
    <n v="48.85205078125"/>
    <n v="-125.123565673828"/>
    <x v="1"/>
    <n v="2"/>
    <n v="90"/>
    <d v="1899-12-30T13:00:00"/>
    <s v="EGL"/>
    <x v="2"/>
    <x v="2"/>
    <x v="2"/>
    <s v="Poc"/>
    <s v="Pisaster ochraceus"/>
    <s v="Ochr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"/>
    <x v="1"/>
    <s v="Em Lim"/>
    <x v="2"/>
    <x v="2"/>
    <n v="48.85205078125"/>
    <n v="-125.123565673828"/>
    <x v="1"/>
    <n v="2"/>
    <n v="90"/>
    <d v="1899-12-30T13:00:00"/>
    <s v="EGL"/>
    <x v="2"/>
    <x v="2"/>
    <x v="2"/>
    <s v="Pgi"/>
    <s v="Pomaulax gibberosus"/>
    <s v="Red turban shell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"/>
    <x v="1"/>
    <s v="Em Lim"/>
    <x v="2"/>
    <x v="2"/>
    <n v="48.85205078125"/>
    <n v="-125.123565673828"/>
    <x v="1"/>
    <n v="2"/>
    <n v="90"/>
    <d v="1899-12-30T13:00:00"/>
    <s v="EGL"/>
    <x v="2"/>
    <x v="2"/>
    <x v="2"/>
    <s v="Cfo"/>
    <s v="Ceratostoma foliatum"/>
    <s v="Leafy hornmout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"/>
    <x v="1"/>
    <s v="Em Lim"/>
    <x v="2"/>
    <x v="2"/>
    <n v="48.85205078125"/>
    <n v="-125.123565673828"/>
    <x v="1"/>
    <n v="2"/>
    <n v="90"/>
    <d v="1899-12-30T13:00:00"/>
    <s v="EGL"/>
    <x v="2"/>
    <x v="2"/>
    <x v="2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"/>
    <x v="1"/>
    <s v="Em Lim"/>
    <x v="2"/>
    <x v="2"/>
    <n v="48.85205078125"/>
    <n v="-125.123565673828"/>
    <x v="1"/>
    <n v="2"/>
    <n v="90"/>
    <d v="1899-12-30T13:00:00"/>
    <s v="EGL"/>
    <x v="2"/>
    <x v="2"/>
    <x v="2"/>
    <s v="Aha"/>
    <s v="Artedius harringtoni"/>
    <s v="Scalyhead sculpin"/>
    <n v="4"/>
    <n v="0"/>
    <n v="4"/>
    <m/>
    <m/>
    <m/>
    <m/>
    <m/>
    <m/>
    <m/>
    <m/>
    <m/>
    <m/>
    <m/>
    <m/>
    <m/>
    <m/>
    <m/>
    <m/>
    <m/>
    <m/>
    <m/>
    <m/>
    <m/>
    <m/>
    <m/>
    <m/>
    <m/>
    <m/>
    <m/>
  </r>
  <r>
    <n v="49"/>
    <x v="1"/>
    <s v="Em Lim"/>
    <x v="2"/>
    <x v="2"/>
    <n v="48.85205078125"/>
    <n v="-125.123565673828"/>
    <x v="1"/>
    <n v="2"/>
    <n v="90"/>
    <d v="1899-12-30T13:00:00"/>
    <s v="EGL"/>
    <x v="2"/>
    <x v="2"/>
    <x v="2"/>
    <s v="Ami"/>
    <s v="Acmaea mitra"/>
    <s v="Whitecap limpe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"/>
    <x v="1"/>
    <s v="Em Lim"/>
    <x v="2"/>
    <x v="2"/>
    <n v="48.85205078125"/>
    <n v="-125.123565673828"/>
    <x v="1"/>
    <n v="2"/>
    <n v="90"/>
    <d v="1899-12-30T13:00:00"/>
    <s v="EGL"/>
    <x v="2"/>
    <x v="2"/>
    <x v="2"/>
    <s v="R+K52"/>
    <s v="NOT PRESENT"/>
    <s v="NOT PRESEN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"/>
    <x v="1"/>
    <s v="Em Lim"/>
    <x v="2"/>
    <x v="2"/>
    <n v="48.85205078125"/>
    <n v="-125.123565673828"/>
    <x v="1"/>
    <n v="2"/>
    <n v="90"/>
    <d v="1899-12-30T13:00:00"/>
    <s v="EGL"/>
    <x v="2"/>
    <x v="2"/>
    <x v="2"/>
    <s v="dep"/>
    <s v="Debris - Plastic"/>
    <s v="Any plastic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"/>
    <x v="1"/>
    <s v="Em Lim"/>
    <x v="2"/>
    <x v="2"/>
    <n v="48.85205078125"/>
    <n v="-125.123565673828"/>
    <x v="1"/>
    <n v="2"/>
    <n v="90"/>
    <d v="1899-12-30T13:00:00"/>
    <s v="EGL"/>
    <x v="2"/>
    <x v="2"/>
    <x v="2"/>
    <s v="def"/>
    <s v="Debris - Fishing Gear"/>
    <s v="Any fishing ge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"/>
    <x v="1"/>
    <s v="Em Lim"/>
    <x v="2"/>
    <x v="2"/>
    <n v="48.85205078125"/>
    <n v="-125.123565673828"/>
    <x v="1"/>
    <n v="2"/>
    <n v="90"/>
    <d v="1899-12-30T13:00:00"/>
    <s v="EGL"/>
    <x v="2"/>
    <x v="2"/>
    <x v="2"/>
    <s v="Phe"/>
    <s v="Pycnopodia helianthoides"/>
    <s v="Sunflower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54"/>
    <x v="1"/>
    <s v="Em Lim"/>
    <x v="2"/>
    <x v="2"/>
    <n v="48.85205078125"/>
    <n v="-125.123565673828"/>
    <x v="1"/>
    <n v="2"/>
    <n v="90"/>
    <d v="1899-12-30T13:00:00"/>
    <s v="EGL"/>
    <x v="2"/>
    <x v="3"/>
    <x v="2"/>
    <s v="Opi"/>
    <s v="Oxylebius pictus"/>
    <s v="Painted greenling"/>
    <n v="2"/>
    <n v="0"/>
    <m/>
    <m/>
    <m/>
    <n v="1"/>
    <n v="1"/>
    <m/>
    <m/>
    <m/>
    <m/>
    <m/>
    <m/>
    <m/>
    <m/>
    <m/>
    <m/>
    <m/>
    <m/>
    <m/>
    <m/>
    <m/>
    <m/>
    <m/>
    <m/>
    <m/>
    <m/>
    <m/>
    <m/>
    <m/>
  </r>
  <r>
    <n v="55"/>
    <x v="1"/>
    <s v="Em Lim"/>
    <x v="2"/>
    <x v="2"/>
    <n v="48.85205078125"/>
    <n v="-125.123565673828"/>
    <x v="1"/>
    <n v="2"/>
    <n v="90"/>
    <d v="1899-12-30T13:00:00"/>
    <s v="EGL"/>
    <x v="2"/>
    <x v="2"/>
    <x v="2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"/>
    <x v="1"/>
    <s v="Em Lim"/>
    <x v="2"/>
    <x v="2"/>
    <n v="48.85205078125"/>
    <n v="-125.123565673828"/>
    <x v="1"/>
    <n v="2"/>
    <n v="90"/>
    <d v="1899-12-30T13:00:00"/>
    <s v="EGL"/>
    <x v="2"/>
    <x v="3"/>
    <x v="3"/>
    <s v="Hst"/>
    <s v="Hexagrammos stelleri"/>
    <s v="Whitespotted greenling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57"/>
    <x v="1"/>
    <s v="Em Lim"/>
    <x v="2"/>
    <x v="2"/>
    <n v="48.85205078125"/>
    <n v="-125.123565673828"/>
    <x v="1"/>
    <n v="2"/>
    <n v="90"/>
    <d v="1899-12-30T13:00:00"/>
    <s v="EGL"/>
    <x v="2"/>
    <x v="3"/>
    <x v="3"/>
    <s v="Phe"/>
    <s v="Pycnopodia helianthoides"/>
    <s v="Sunflower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58"/>
    <x v="1"/>
    <s v="Em Lim"/>
    <x v="3"/>
    <x v="3"/>
    <n v="48.870517730712798"/>
    <n v="-125.160346984863"/>
    <x v="2"/>
    <n v="1.5"/>
    <n v="270"/>
    <d v="1899-12-30T10:23:00"/>
    <s v="EGL"/>
    <x v="3"/>
    <x v="1"/>
    <x v="2"/>
    <s v="Rni"/>
    <s v="Rhinogobiops nicholsii"/>
    <s v="Blackeye goby"/>
    <n v="23"/>
    <n v="0"/>
    <n v="1"/>
    <n v="9"/>
    <n v="9"/>
    <n v="4"/>
    <m/>
    <m/>
    <m/>
    <m/>
    <m/>
    <m/>
    <m/>
    <m/>
    <m/>
    <m/>
    <m/>
    <m/>
    <m/>
    <m/>
    <m/>
    <m/>
    <m/>
    <m/>
    <m/>
    <m/>
    <m/>
    <m/>
    <m/>
    <m/>
  </r>
  <r>
    <n v="59"/>
    <x v="1"/>
    <s v="Em Lim"/>
    <x v="3"/>
    <x v="3"/>
    <n v="48.870517730712798"/>
    <n v="-125.160346984863"/>
    <x v="2"/>
    <n v="1.5"/>
    <n v="270"/>
    <d v="1899-12-30T10:23:00"/>
    <s v="EGL"/>
    <x v="3"/>
    <x v="1"/>
    <x v="2"/>
    <s v="Bin"/>
    <s v="Bolinopsis infundibulum"/>
    <s v="Northern comb jelly"/>
    <n v="9"/>
    <n v="0"/>
    <n v="9"/>
    <m/>
    <m/>
    <m/>
    <m/>
    <m/>
    <m/>
    <m/>
    <m/>
    <m/>
    <m/>
    <m/>
    <m/>
    <m/>
    <m/>
    <m/>
    <m/>
    <m/>
    <m/>
    <m/>
    <m/>
    <m/>
    <m/>
    <m/>
    <m/>
    <m/>
    <m/>
    <m/>
  </r>
  <r>
    <n v="60"/>
    <x v="1"/>
    <s v="Em Lim"/>
    <x v="3"/>
    <x v="3"/>
    <n v="48.870517730712798"/>
    <n v="-125.160346984863"/>
    <x v="2"/>
    <n v="1.5"/>
    <n v="270"/>
    <d v="1899-12-30T10:23:00"/>
    <s v="EGL"/>
    <x v="3"/>
    <x v="1"/>
    <x v="2"/>
    <s v="Syoy"/>
    <s v="Sebastes YOY"/>
    <s v="Rockfish YOY"/>
    <n v="3"/>
    <n v="0"/>
    <n v="1"/>
    <n v="2"/>
    <m/>
    <m/>
    <m/>
    <m/>
    <m/>
    <m/>
    <m/>
    <m/>
    <m/>
    <m/>
    <m/>
    <m/>
    <m/>
    <m/>
    <m/>
    <m/>
    <m/>
    <m/>
    <m/>
    <m/>
    <m/>
    <m/>
    <m/>
    <m/>
    <m/>
    <m/>
  </r>
  <r>
    <n v="61"/>
    <x v="1"/>
    <s v="Em Lim"/>
    <x v="3"/>
    <x v="3"/>
    <n v="48.870517730712798"/>
    <n v="-125.160346984863"/>
    <x v="2"/>
    <n v="1.5"/>
    <n v="270"/>
    <d v="1899-12-30T10:23:00"/>
    <s v="EGL"/>
    <x v="3"/>
    <x v="1"/>
    <x v="2"/>
    <s v="Hde"/>
    <s v="Hexagrammos decagrammus"/>
    <s v="Kelp greenling"/>
    <n v="3"/>
    <n v="0"/>
    <m/>
    <m/>
    <m/>
    <m/>
    <m/>
    <n v="1"/>
    <n v="1"/>
    <n v="1"/>
    <m/>
    <m/>
    <m/>
    <m/>
    <m/>
    <m/>
    <m/>
    <m/>
    <m/>
    <m/>
    <m/>
    <m/>
    <m/>
    <m/>
    <m/>
    <m/>
    <m/>
    <m/>
    <m/>
    <m/>
  </r>
  <r>
    <n v="62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Mfra"/>
    <s v="Mesocentrotus franciscanus"/>
    <s v="Red sea urchin"/>
    <n v="91"/>
    <n v="9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3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Oko"/>
    <s v="Orthasterias koehleri"/>
    <s v="Rainbow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4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Rni"/>
    <s v="Rhinogobiops nicholsii"/>
    <s v="Blackeye goby"/>
    <n v="68"/>
    <n v="0"/>
    <n v="1"/>
    <n v="19"/>
    <n v="22"/>
    <n v="24"/>
    <n v="2"/>
    <m/>
    <m/>
    <m/>
    <m/>
    <m/>
    <m/>
    <m/>
    <m/>
    <m/>
    <m/>
    <m/>
    <m/>
    <m/>
    <m/>
    <m/>
    <m/>
    <m/>
    <m/>
    <m/>
    <m/>
    <m/>
    <m/>
    <m/>
  </r>
  <r>
    <n v="65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Cfo"/>
    <s v="Ceratostoma foliatum"/>
    <s v="Leafy hornmout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Aca"/>
    <s v="Apostichopus californicus"/>
    <s v="California sea cucumber"/>
    <n v="50"/>
    <n v="5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Pmi"/>
    <s v="Patiria miniata"/>
    <s v="Bat star"/>
    <n v="33"/>
    <n v="3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"/>
    <x v="1"/>
    <s v="Em Lim"/>
    <x v="3"/>
    <x v="3"/>
    <n v="48.870517730712798"/>
    <n v="-125.160346984863"/>
    <x v="2"/>
    <n v="1.5"/>
    <n v="270"/>
    <d v="1899-12-30T10:23:00"/>
    <s v="EGL"/>
    <x v="3"/>
    <x v="3"/>
    <x v="2"/>
    <s v="Syoy"/>
    <s v="Sebastes YOY"/>
    <s v="Rockfish YOY"/>
    <n v="2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</r>
  <r>
    <n v="71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Cgi"/>
    <s v="Crassadoma gigantea"/>
    <s v="Purple-hinged rock scallop"/>
    <n v="2"/>
    <n v="0"/>
    <m/>
    <m/>
    <m/>
    <n v="1"/>
    <n v="1"/>
    <m/>
    <m/>
    <m/>
    <m/>
    <m/>
    <m/>
    <m/>
    <m/>
    <m/>
    <m/>
    <m/>
    <m/>
    <m/>
    <m/>
    <m/>
    <m/>
    <m/>
    <m/>
    <m/>
    <m/>
    <m/>
    <m/>
    <m/>
  </r>
  <r>
    <n v="73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Pgi"/>
    <s v="Pomaulax gibberosus"/>
    <s v="Red turban shell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Phe"/>
    <s v="Pycnopodia helianthoides"/>
    <s v="Sunflower star"/>
    <n v="15"/>
    <m/>
    <n v="11"/>
    <n v="3"/>
    <m/>
    <n v="1"/>
    <m/>
    <m/>
    <m/>
    <m/>
    <m/>
    <m/>
    <m/>
    <m/>
    <m/>
    <m/>
    <m/>
    <m/>
    <m/>
    <m/>
    <m/>
    <m/>
    <m/>
    <m/>
    <m/>
    <m/>
    <m/>
    <m/>
    <m/>
    <m/>
  </r>
  <r>
    <n v="75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Ppr"/>
    <s v="Pugettia producta"/>
    <s v="Northern kelp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Pgr"/>
    <s v="Pugettia gracilis"/>
    <s v="Graceful kelp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Poc"/>
    <s v="Pisaster ochraceus"/>
    <s v="Ochr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Pla"/>
    <s v="Pholis laeta"/>
    <s v="Crescent gunnel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81"/>
    <x v="1"/>
    <s v="Em Lim"/>
    <x v="3"/>
    <x v="3"/>
    <n v="48.870517730712798"/>
    <n v="-125.160346984863"/>
    <x v="2"/>
    <n v="1.5"/>
    <n v="270"/>
    <d v="1899-12-30T10:23:00"/>
    <s v="EGL"/>
    <x v="3"/>
    <x v="2"/>
    <x v="2"/>
    <s v="Hka"/>
    <s v="Haliotis kamtschatkana"/>
    <s v="Pinto abalone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82"/>
    <x v="1"/>
    <s v="Em Lim"/>
    <x v="3"/>
    <x v="3"/>
    <n v="48.870517730712798"/>
    <n v="-125.160346984863"/>
    <x v="2"/>
    <n v="1.5"/>
    <n v="270"/>
    <d v="1899-12-30T10:23:00"/>
    <s v="EGL"/>
    <x v="3"/>
    <x v="3"/>
    <x v="2"/>
    <s v="Phe"/>
    <s v="Pycnopodia helianthoides"/>
    <s v="Sunflower star"/>
    <n v="8"/>
    <n v="0"/>
    <m/>
    <n v="8"/>
    <m/>
    <m/>
    <m/>
    <m/>
    <m/>
    <m/>
    <m/>
    <m/>
    <m/>
    <m/>
    <m/>
    <m/>
    <m/>
    <m/>
    <m/>
    <m/>
    <m/>
    <m/>
    <m/>
    <m/>
    <m/>
    <m/>
    <m/>
    <m/>
    <m/>
    <m/>
  </r>
  <r>
    <n v="83"/>
    <x v="1"/>
    <s v="Em Lim"/>
    <x v="3"/>
    <x v="3"/>
    <n v="48.870517730712798"/>
    <n v="-125.160346984863"/>
    <x v="2"/>
    <n v="1.5"/>
    <n v="270"/>
    <d v="1899-12-30T10:23:00"/>
    <s v="EGL"/>
    <x v="3"/>
    <x v="3"/>
    <x v="3"/>
    <s v="Pbr"/>
    <s v="Pisaster brevispinus"/>
    <s v="Giant pink sea star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84"/>
    <x v="1"/>
    <s v="Em Lim"/>
    <x v="3"/>
    <x v="3"/>
    <n v="48.870517730712798"/>
    <n v="-125.160346984863"/>
    <x v="2"/>
    <n v="1.5"/>
    <n v="270"/>
    <d v="1899-12-30T10:23:00"/>
    <s v="EGL"/>
    <x v="3"/>
    <x v="3"/>
    <x v="3"/>
    <m/>
    <s v="NOT PRESENT"/>
    <s v="Unidentified sculpin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85"/>
    <x v="1"/>
    <s v="Em Lim"/>
    <x v="4"/>
    <x v="4"/>
    <n v="48.850399017333899"/>
    <n v="-125.198768615722"/>
    <x v="2"/>
    <n v="1.5"/>
    <n v="60"/>
    <d v="1899-12-30T13:30:00"/>
    <s v="EGL"/>
    <x v="4"/>
    <x v="1"/>
    <x v="2"/>
    <s v="Hde"/>
    <s v="Hexagrammos decagrammus"/>
    <s v="Kelp greenling"/>
    <n v="5"/>
    <n v="0"/>
    <m/>
    <m/>
    <m/>
    <m/>
    <m/>
    <m/>
    <n v="2"/>
    <n v="3"/>
    <m/>
    <m/>
    <m/>
    <m/>
    <m/>
    <m/>
    <m/>
    <m/>
    <m/>
    <m/>
    <m/>
    <m/>
    <m/>
    <m/>
    <m/>
    <m/>
    <m/>
    <m/>
    <m/>
    <m/>
  </r>
  <r>
    <n v="86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Mfra"/>
    <s v="Mesocentrotus franciscanus"/>
    <s v="Red sea urchin"/>
    <n v="500"/>
    <n v="50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Cfo"/>
    <s v="Ceratostoma foliatum"/>
    <s v="Leafy hornmouth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Aca"/>
    <s v="Apostichopus californicus"/>
    <s v="California sea cucumber"/>
    <n v="39"/>
    <n v="3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Hka"/>
    <s v="Haliotis kamtschatkana"/>
    <s v="Pinto abalone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Pgi"/>
    <s v="Pomaulax gibberosus"/>
    <s v="Red turban shell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Cgi"/>
    <s v="Crassadoma gigantea"/>
    <s v="Purple-hinged rock scallop"/>
    <n v="2"/>
    <n v="0"/>
    <n v="1"/>
    <m/>
    <m/>
    <n v="1"/>
    <m/>
    <m/>
    <m/>
    <m/>
    <m/>
    <m/>
    <m/>
    <m/>
    <m/>
    <m/>
    <m/>
    <m/>
    <m/>
    <m/>
    <m/>
    <m/>
    <m/>
    <m/>
    <m/>
    <m/>
    <m/>
    <m/>
    <m/>
    <m/>
  </r>
  <r>
    <n v="94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Dim"/>
    <s v="Dermasterias imbricata"/>
    <s v="Leather star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Oko"/>
    <s v="Orthasterias koehleri"/>
    <s v="Rainbow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Nla"/>
    <s v="Nucella lamellosa"/>
    <s v="Frilled dogwinkle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Aha"/>
    <s v="Artedius harringtoni"/>
    <s v="Scalyhead sculpin"/>
    <n v="3"/>
    <n v="0"/>
    <n v="3"/>
    <m/>
    <m/>
    <m/>
    <m/>
    <m/>
    <m/>
    <m/>
    <m/>
    <m/>
    <m/>
    <m/>
    <m/>
    <m/>
    <m/>
    <m/>
    <m/>
    <m/>
    <m/>
    <m/>
    <m/>
    <m/>
    <m/>
    <m/>
    <m/>
    <m/>
    <m/>
    <m/>
  </r>
  <r>
    <n v="98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Phem"/>
    <s v="Pagurus hemphilli"/>
    <s v="Maroon hermi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Tsp."/>
    <s v="Tonicella sp."/>
    <s v="Unidentifi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Poc"/>
    <s v="Pisaster ochraceus"/>
    <s v="Ochre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Hsp."/>
    <s v="Henricia s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Phe"/>
    <s v="Pycnopodia helianthoides"/>
    <s v="Sunflower star"/>
    <n v="2"/>
    <n v="0"/>
    <m/>
    <m/>
    <m/>
    <m/>
    <m/>
    <n v="2"/>
    <m/>
    <m/>
    <m/>
    <m/>
    <m/>
    <m/>
    <m/>
    <m/>
    <m/>
    <m/>
    <m/>
    <m/>
    <m/>
    <m/>
    <m/>
    <m/>
    <m/>
    <m/>
    <m/>
    <m/>
    <m/>
    <m/>
  </r>
  <r>
    <n v="105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Rni"/>
    <s v="Rhinogobiops nicholsii"/>
    <s v="Blackeye goby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07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Pda"/>
    <s v="Pandalus danae"/>
    <s v="Dock shrimp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Jzo"/>
    <s v="Jordania zonope"/>
    <s v="Longfin sculpin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109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Ami"/>
    <s v="Acmaea mitra"/>
    <s v="Whitecap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1"/>
    <x v="1"/>
    <s v="Em Lim"/>
    <x v="4"/>
    <x v="4"/>
    <n v="48.850399017333899"/>
    <n v="-125.198768615722"/>
    <x v="2"/>
    <n v="1.5"/>
    <n v="60"/>
    <d v="1899-12-30T13:30:00"/>
    <s v="EGL"/>
    <x v="4"/>
    <x v="2"/>
    <x v="2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"/>
    <x v="1"/>
    <s v="Em Lim"/>
    <x v="4"/>
    <x v="4"/>
    <n v="48.850399017333899"/>
    <n v="-125.198768615722"/>
    <x v="2"/>
    <n v="1.5"/>
    <n v="60"/>
    <d v="1899-12-30T13:30:00"/>
    <s v="EGL"/>
    <x v="4"/>
    <x v="3"/>
    <x v="3"/>
    <s v="Phe"/>
    <s v="Pycnopodia helianthoides"/>
    <s v="Sunflower star"/>
    <n v="2"/>
    <n v="0"/>
    <m/>
    <m/>
    <m/>
    <m/>
    <n v="2"/>
    <m/>
    <m/>
    <m/>
    <m/>
    <m/>
    <m/>
    <m/>
    <m/>
    <m/>
    <m/>
    <m/>
    <m/>
    <m/>
    <m/>
    <m/>
    <m/>
    <m/>
    <m/>
    <m/>
    <m/>
    <m/>
    <m/>
    <m/>
  </r>
  <r>
    <n v="113"/>
    <x v="1"/>
    <s v="Em Lim"/>
    <x v="4"/>
    <x v="4"/>
    <n v="48.850399017333899"/>
    <n v="-125.198768615722"/>
    <x v="2"/>
    <n v="1.5"/>
    <n v="60"/>
    <d v="1899-12-30T13:30:00"/>
    <s v="EGL"/>
    <x v="4"/>
    <x v="3"/>
    <x v="3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14"/>
    <x v="1"/>
    <s v="Em Lim"/>
    <x v="5"/>
    <x v="5"/>
    <n v="48.828601837158203"/>
    <n v="-125.221298217773"/>
    <x v="3"/>
    <n v="1.5"/>
    <n v="270"/>
    <d v="1899-12-30T11:15:00"/>
    <s v="EGL"/>
    <x v="5"/>
    <x v="1"/>
    <x v="2"/>
    <s v="Hde"/>
    <s v="Hexagrammos decagrammus"/>
    <s v="Kelp greenling"/>
    <n v="10"/>
    <n v="0"/>
    <m/>
    <m/>
    <m/>
    <m/>
    <m/>
    <n v="1"/>
    <n v="2"/>
    <n v="4"/>
    <n v="2"/>
    <n v="1"/>
    <m/>
    <m/>
    <m/>
    <m/>
    <m/>
    <m/>
    <m/>
    <m/>
    <m/>
    <m/>
    <m/>
    <m/>
    <m/>
    <m/>
    <m/>
    <m/>
    <m/>
    <m/>
  </r>
  <r>
    <n v="115"/>
    <x v="1"/>
    <s v="Em Lim"/>
    <x v="5"/>
    <x v="5"/>
    <n v="48.828601837158203"/>
    <n v="-125.221298217773"/>
    <x v="3"/>
    <n v="1.5"/>
    <n v="270"/>
    <d v="1899-12-30T11:15:00"/>
    <s v="EGL"/>
    <x v="5"/>
    <x v="1"/>
    <x v="2"/>
    <s v="Aha"/>
    <s v="Artedius harringtoni"/>
    <s v="Scalyhead sculpi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116"/>
    <x v="1"/>
    <s v="Em Lim"/>
    <x v="5"/>
    <x v="5"/>
    <n v="48.828601837158203"/>
    <n v="-125.221298217773"/>
    <x v="3"/>
    <n v="1.5"/>
    <n v="270"/>
    <d v="1899-12-30T11:15:00"/>
    <s v="EGL"/>
    <x v="5"/>
    <x v="1"/>
    <x v="2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117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Mfra"/>
    <s v="Mesocentrotus franciscanus"/>
    <s v="Red sea urchin"/>
    <n v="372"/>
    <n v="37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Poc"/>
    <s v="Pisaster ochraceus"/>
    <s v="Ochre sea sta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Hka"/>
    <s v="Haliotis kamtschatkana"/>
    <s v="Pinto abalone"/>
    <n v="40"/>
    <n v="4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0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Pmi"/>
    <s v="Patiria miniata"/>
    <s v="Bat star"/>
    <n v="27"/>
    <n v="2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1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Oko"/>
    <s v="Orthasterias koehleri"/>
    <s v="Rainbow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Ami"/>
    <s v="Acmaea mitra"/>
    <s v="Whitecap limpet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Phem"/>
    <s v="Pagurus hemphilli"/>
    <s v="Maroon hermit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4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Aca"/>
    <s v="Apostichopus californicus"/>
    <s v="California sea cucumbe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Spu"/>
    <s v="Strongylocentrotus purpuratus"/>
    <s v="Purple sea urchin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Hsp."/>
    <s v="Henricia s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Cfo"/>
    <s v="Ceratostoma foliatum"/>
    <s v="Leafy hornmouth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9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0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Pgi"/>
    <s v="Pomaulax gibberosus"/>
    <s v="Red turban shel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Aha"/>
    <s v="Artedius harringtoni"/>
    <s v="Scalyhead sculpin"/>
    <n v="5"/>
    <n v="0"/>
    <n v="3"/>
    <n v="2"/>
    <m/>
    <m/>
    <m/>
    <m/>
    <m/>
    <m/>
    <m/>
    <m/>
    <m/>
    <m/>
    <m/>
    <m/>
    <m/>
    <m/>
    <m/>
    <m/>
    <m/>
    <m/>
    <m/>
    <m/>
    <m/>
    <m/>
    <m/>
    <m/>
    <m/>
    <m/>
  </r>
  <r>
    <n v="132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Pbe"/>
    <s v="Pagurus beringanus"/>
    <s v="Bering hermit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3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4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Hka"/>
    <s v="Haliotis kamtschatkana"/>
    <s v="Pinto abalone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"/>
    <x v="1"/>
    <s v="Em Lim"/>
    <x v="5"/>
    <x v="5"/>
    <n v="48.828601837158203"/>
    <n v="-125.221298217773"/>
    <x v="3"/>
    <n v="1.5"/>
    <n v="270"/>
    <d v="1899-12-30T11:15:00"/>
    <s v="EGL"/>
    <x v="5"/>
    <x v="2"/>
    <x v="2"/>
    <s v="Tsp."/>
    <s v="Tonicella sp."/>
    <s v="Unidentifi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"/>
    <x v="1"/>
    <s v="Em Lim"/>
    <x v="5"/>
    <x v="5"/>
    <n v="48.828601837158203"/>
    <n v="-125.221298217773"/>
    <x v="3"/>
    <n v="1.5"/>
    <n v="270"/>
    <d v="1899-12-30T11:15:00"/>
    <s v="EGL"/>
    <x v="5"/>
    <x v="3"/>
    <x v="3"/>
    <s v="Jzo"/>
    <s v="Jordania zonope"/>
    <s v="Longfin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38"/>
    <x v="1"/>
    <s v="Em Lim"/>
    <x v="5"/>
    <x v="5"/>
    <n v="48.828601837158203"/>
    <n v="-125.221298217773"/>
    <x v="3"/>
    <n v="1.5"/>
    <n v="270"/>
    <d v="1899-12-30T11:15:00"/>
    <s v="EGL"/>
    <x v="5"/>
    <x v="3"/>
    <x v="3"/>
    <s v="Sme"/>
    <s v="Sebastes melanops"/>
    <s v="Black rockfish"/>
    <n v="18"/>
    <n v="0"/>
    <m/>
    <m/>
    <m/>
    <m/>
    <m/>
    <n v="5"/>
    <n v="10"/>
    <n v="3"/>
    <m/>
    <m/>
    <m/>
    <m/>
    <m/>
    <m/>
    <m/>
    <m/>
    <m/>
    <m/>
    <m/>
    <m/>
    <m/>
    <m/>
    <m/>
    <m/>
    <m/>
    <m/>
    <m/>
    <m/>
  </r>
  <r>
    <n v="139"/>
    <x v="1"/>
    <s v="Em Lim"/>
    <x v="6"/>
    <x v="6"/>
    <n v="48.835666656494098"/>
    <n v="-125.214797973632"/>
    <x v="3"/>
    <n v="2.5"/>
    <n v="300"/>
    <d v="1899-12-30T12:35:00"/>
    <s v="EGL"/>
    <x v="5"/>
    <x v="1"/>
    <x v="2"/>
    <s v="Hde"/>
    <s v="Hexagrammos decagrammus"/>
    <s v="Kelp greenling"/>
    <n v="6"/>
    <n v="0"/>
    <m/>
    <m/>
    <m/>
    <m/>
    <m/>
    <m/>
    <m/>
    <m/>
    <n v="3"/>
    <n v="2"/>
    <n v="1"/>
    <m/>
    <m/>
    <m/>
    <m/>
    <m/>
    <m/>
    <m/>
    <m/>
    <m/>
    <m/>
    <m/>
    <m/>
    <m/>
    <m/>
    <m/>
    <m/>
    <m/>
  </r>
  <r>
    <n v="140"/>
    <x v="1"/>
    <s v="Em Lim"/>
    <x v="6"/>
    <x v="6"/>
    <n v="48.835666656494098"/>
    <n v="-125.214797973632"/>
    <x v="3"/>
    <n v="2.5"/>
    <n v="300"/>
    <d v="1899-12-30T12:35:00"/>
    <s v="EGL"/>
    <x v="5"/>
    <x v="1"/>
    <x v="2"/>
    <s v="Sne"/>
    <s v="Sebastes nebulosus"/>
    <s v="China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41"/>
    <x v="1"/>
    <s v="Em Lim"/>
    <x v="6"/>
    <x v="6"/>
    <n v="48.835666656494098"/>
    <n v="-125.214797973632"/>
    <x v="3"/>
    <n v="2.5"/>
    <n v="300"/>
    <d v="1899-12-30T12:35:00"/>
    <s v="EGL"/>
    <x v="5"/>
    <x v="1"/>
    <x v="2"/>
    <s v="Sme"/>
    <s v="Sebastes melanops"/>
    <s v="Black rockfish"/>
    <n v="16"/>
    <n v="0"/>
    <m/>
    <m/>
    <m/>
    <m/>
    <m/>
    <n v="3"/>
    <n v="6"/>
    <n v="4"/>
    <n v="3"/>
    <m/>
    <m/>
    <m/>
    <m/>
    <m/>
    <m/>
    <m/>
    <m/>
    <m/>
    <m/>
    <m/>
    <m/>
    <m/>
    <m/>
    <m/>
    <m/>
    <m/>
    <m/>
    <m/>
  </r>
  <r>
    <n v="142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Mfra"/>
    <s v="Mesocentrotus franciscanus"/>
    <s v="Red sea urchin"/>
    <n v="422"/>
    <n v="4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3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Spu"/>
    <s v="Strongylocentrotus purpuratus"/>
    <s v="Purple sea urchin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Ami"/>
    <s v="Acmaea mitra"/>
    <s v="Whitecap limpet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Pmi"/>
    <s v="Patiria miniata"/>
    <s v="Bat star"/>
    <n v="45"/>
    <n v="4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Phem"/>
    <s v="Pagurus hemphilli"/>
    <s v="Maroon hermit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7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Oko"/>
    <s v="Orthasterias koehleri"/>
    <s v="Rainbow star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8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Cfo"/>
    <s v="Ceratostoma foliatum"/>
    <s v="Leafy hornmout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Aca"/>
    <s v="Apostichopus californicus"/>
    <s v="California sea cucumbe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Cgi"/>
    <s v="Crassadoma gigantea"/>
    <s v="Purple-hinged rock scallop"/>
    <n v="2"/>
    <m/>
    <m/>
    <n v="1"/>
    <m/>
    <m/>
    <n v="1"/>
    <m/>
    <m/>
    <m/>
    <m/>
    <m/>
    <m/>
    <m/>
    <m/>
    <m/>
    <m/>
    <m/>
    <m/>
    <m/>
    <m/>
    <m/>
    <m/>
    <m/>
    <m/>
    <m/>
    <m/>
    <m/>
    <m/>
    <m/>
  </r>
  <r>
    <n v="151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Aha"/>
    <s v="Artedius harringtoni"/>
    <s v="Scalyhead sculpin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152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Jzo"/>
    <s v="Jordania zonope"/>
    <s v="Longfin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53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Hsp."/>
    <s v="Henricia sp."/>
    <s v="Unidentified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4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Tsp."/>
    <s v="Tonicella sp."/>
    <s v="Unidentifi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Hka"/>
    <s v="Haliotis kamtschatkana"/>
    <s v="Pinto abalone"/>
    <n v="1"/>
    <m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156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Rni"/>
    <s v="Rhinogobiops nicholsii"/>
    <s v="Blackeye goby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157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Das"/>
    <s v="Diodora aspera"/>
    <s v="Rough keyhole limpet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158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Lsp."/>
    <s v="Lottia sp."/>
    <s v="Unidentified plat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0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Bca"/>
    <s v="Berthella californica"/>
    <s v="California sidegill slug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Opi"/>
    <s v="Oxylebius pictus"/>
    <s v="Painted greenling"/>
    <n v="2"/>
    <n v="0"/>
    <m/>
    <m/>
    <m/>
    <n v="1"/>
    <m/>
    <n v="1"/>
    <m/>
    <m/>
    <m/>
    <m/>
    <m/>
    <m/>
    <m/>
    <m/>
    <m/>
    <m/>
    <m/>
    <m/>
    <m/>
    <m/>
    <m/>
    <m/>
    <m/>
    <m/>
    <m/>
    <m/>
    <m/>
    <m/>
  </r>
  <r>
    <n v="162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3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Dsa"/>
    <s v="Diaulula sandiegensis"/>
    <s v="Ringed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4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Dim"/>
    <s v="Dermasterias imbricata"/>
    <s v="Leather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"/>
    <x v="1"/>
    <s v="Em Lim"/>
    <x v="6"/>
    <x v="6"/>
    <n v="48.835666656494098"/>
    <n v="-125.214797973632"/>
    <x v="3"/>
    <n v="2.5"/>
    <n v="300"/>
    <d v="1899-12-30T12:35:00"/>
    <s v="EGL"/>
    <x v="5"/>
    <x v="2"/>
    <x v="2"/>
    <s v="Phe"/>
    <s v="Pycnopodia helianthoides"/>
    <s v="Sunflower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166"/>
    <x v="1"/>
    <s v="Em Lim"/>
    <x v="7"/>
    <x v="7"/>
    <n v="48.834789276122997"/>
    <n v="-125.14702606201099"/>
    <x v="4"/>
    <n v="2"/>
    <n v="220"/>
    <d v="1899-12-30T10:00:00"/>
    <s v="EGL"/>
    <x v="2"/>
    <x v="1"/>
    <x v="2"/>
    <s v="rni"/>
    <s v="Rhinogobiops nicholsii"/>
    <s v="Blackeye goby"/>
    <n v="11"/>
    <n v="0"/>
    <m/>
    <n v="3"/>
    <n v="5"/>
    <n v="3"/>
    <m/>
    <m/>
    <m/>
    <m/>
    <m/>
    <m/>
    <m/>
    <m/>
    <m/>
    <m/>
    <m/>
    <m/>
    <m/>
    <m/>
    <m/>
    <m/>
    <m/>
    <m/>
    <m/>
    <m/>
    <m/>
    <m/>
    <m/>
    <m/>
  </r>
  <r>
    <n v="167"/>
    <x v="1"/>
    <s v="Em Lim"/>
    <x v="7"/>
    <x v="7"/>
    <n v="48.834789276122997"/>
    <n v="-125.14702606201099"/>
    <x v="4"/>
    <n v="2"/>
    <n v="220"/>
    <d v="1899-12-30T10:00:00"/>
    <s v="EGL"/>
    <x v="2"/>
    <x v="1"/>
    <x v="2"/>
    <s v="sme"/>
    <s v="Sebastes melanops"/>
    <s v="Black rockfish"/>
    <n v="12"/>
    <n v="0"/>
    <m/>
    <m/>
    <m/>
    <m/>
    <m/>
    <n v="4"/>
    <n v="5"/>
    <n v="3"/>
    <m/>
    <m/>
    <m/>
    <m/>
    <m/>
    <m/>
    <m/>
    <m/>
    <m/>
    <m/>
    <m/>
    <m/>
    <m/>
    <m/>
    <m/>
    <m/>
    <m/>
    <m/>
    <m/>
    <m/>
  </r>
  <r>
    <n v="168"/>
    <x v="1"/>
    <s v="Em Lim"/>
    <x v="7"/>
    <x v="7"/>
    <n v="48.834789276122997"/>
    <n v="-125.14702606201099"/>
    <x v="4"/>
    <n v="2"/>
    <n v="220"/>
    <d v="1899-12-30T10:00:00"/>
    <s v="EGL"/>
    <x v="2"/>
    <x v="1"/>
    <x v="2"/>
    <s v="hde"/>
    <s v="Hexagrammos decagrammus"/>
    <s v="Kelp greenling"/>
    <n v="7"/>
    <n v="0"/>
    <m/>
    <m/>
    <m/>
    <m/>
    <m/>
    <m/>
    <n v="1"/>
    <n v="1"/>
    <n v="3"/>
    <n v="2"/>
    <m/>
    <m/>
    <m/>
    <m/>
    <m/>
    <m/>
    <m/>
    <m/>
    <m/>
    <m/>
    <m/>
    <m/>
    <m/>
    <m/>
    <m/>
    <m/>
    <m/>
    <m/>
  </r>
  <r>
    <n v="169"/>
    <x v="1"/>
    <s v="Em Lim"/>
    <x v="7"/>
    <x v="7"/>
    <n v="48.834789276122997"/>
    <n v="-125.14702606201099"/>
    <x v="4"/>
    <n v="2"/>
    <n v="220"/>
    <d v="1899-12-30T10:00:00"/>
    <s v="EGL"/>
    <x v="2"/>
    <x v="1"/>
    <x v="2"/>
    <s v="sfl"/>
    <s v="Sebastes flavidus"/>
    <s v="Yellowtail rockfish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70"/>
    <x v="1"/>
    <s v="Em Lim"/>
    <x v="7"/>
    <x v="7"/>
    <n v="48.834789276122997"/>
    <n v="-125.14702606201099"/>
    <x v="4"/>
    <n v="2"/>
    <n v="220"/>
    <d v="1899-12-30T10:00:00"/>
    <s v="EGL"/>
    <x v="2"/>
    <x v="1"/>
    <x v="2"/>
    <s v="sca"/>
    <s v="Sebastes caurinus"/>
    <s v="Copper rockfish"/>
    <n v="8"/>
    <n v="0"/>
    <m/>
    <m/>
    <m/>
    <m/>
    <m/>
    <n v="2"/>
    <n v="4"/>
    <n v="2"/>
    <m/>
    <m/>
    <m/>
    <m/>
    <m/>
    <m/>
    <m/>
    <m/>
    <m/>
    <m/>
    <m/>
    <m/>
    <m/>
    <m/>
    <m/>
    <m/>
    <m/>
    <m/>
    <m/>
    <m/>
  </r>
  <r>
    <n v="171"/>
    <x v="1"/>
    <s v="Em Lim"/>
    <x v="7"/>
    <x v="7"/>
    <n v="48.834789276122997"/>
    <n v="-125.14702606201099"/>
    <x v="4"/>
    <n v="2"/>
    <n v="220"/>
    <d v="1899-12-30T10:00:00"/>
    <s v="EGL"/>
    <x v="2"/>
    <x v="1"/>
    <x v="2"/>
    <s v="sma"/>
    <s v="Sebastes maliger"/>
    <s v="Quillback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72"/>
    <x v="1"/>
    <s v="Em Lim"/>
    <x v="7"/>
    <x v="7"/>
    <n v="48.834789276122997"/>
    <n v="-125.14702606201099"/>
    <x v="4"/>
    <n v="2"/>
    <n v="220"/>
    <d v="1899-12-30T10:00:00"/>
    <s v="EGL"/>
    <x v="2"/>
    <x v="1"/>
    <x v="2"/>
    <s v="opi"/>
    <s v="Oxylebius pictus"/>
    <s v="Painted greenling"/>
    <n v="2"/>
    <n v="0"/>
    <m/>
    <m/>
    <m/>
    <m/>
    <n v="2"/>
    <m/>
    <m/>
    <m/>
    <m/>
    <m/>
    <m/>
    <m/>
    <m/>
    <m/>
    <m/>
    <m/>
    <m/>
    <m/>
    <m/>
    <m/>
    <m/>
    <m/>
    <m/>
    <m/>
    <m/>
    <m/>
    <m/>
    <m/>
  </r>
  <r>
    <n v="173"/>
    <x v="1"/>
    <s v="Em Lim"/>
    <x v="7"/>
    <x v="7"/>
    <n v="48.834789276122997"/>
    <n v="-125.14702606201099"/>
    <x v="4"/>
    <n v="2"/>
    <n v="220"/>
    <d v="1899-12-30T10:00:00"/>
    <s v="EGL"/>
    <x v="2"/>
    <x v="1"/>
    <x v="2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174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aca"/>
    <s v="Apostichopus californicus"/>
    <s v="California sea cucumbe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5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ami"/>
    <s v="Acmaea mitra"/>
    <s v="Whitecap limpet"/>
    <n v="45"/>
    <n v="4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6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das"/>
    <s v="Diodora aspera"/>
    <s v="Rough keyhole limpet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7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rni"/>
    <s v="Rhinogobiops nicholsii"/>
    <s v="Blackeye goby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8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mfra"/>
    <s v="Mesocentrotus franciscanus"/>
    <s v="Red sea urchin"/>
    <n v="155"/>
    <n v="15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9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pda"/>
    <s v="Pandalus danae"/>
    <s v="Dock shrimp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0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cfo"/>
    <s v="Ceratostoma foliatum"/>
    <s v="Leafy hornmouth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1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pmi"/>
    <s v="Patiria miniata"/>
    <s v="Bat star"/>
    <n v="34"/>
    <n v="3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2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opi"/>
    <s v="Oxylebius pictus"/>
    <s v="Painted greenling"/>
    <n v="5"/>
    <n v="0"/>
    <m/>
    <n v="1"/>
    <n v="1"/>
    <n v="1"/>
    <n v="1"/>
    <n v="1"/>
    <m/>
    <m/>
    <m/>
    <m/>
    <m/>
    <m/>
    <m/>
    <m/>
    <m/>
    <m/>
    <m/>
    <m/>
    <m/>
    <m/>
    <m/>
    <m/>
    <m/>
    <m/>
    <m/>
    <m/>
    <m/>
    <m/>
  </r>
  <r>
    <n v="183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hsp."/>
    <s v="Henricia sp."/>
    <s v="Unidentified blood star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4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hka"/>
    <s v="Haliotis kamtschatkana"/>
    <s v="Pinto abalone"/>
    <n v="28"/>
    <n v="0"/>
    <n v="17"/>
    <n v="8"/>
    <n v="2"/>
    <n v="1"/>
    <m/>
    <m/>
    <m/>
    <m/>
    <m/>
    <m/>
    <m/>
    <m/>
    <m/>
    <m/>
    <m/>
    <m/>
    <m/>
    <m/>
    <m/>
    <m/>
    <m/>
    <m/>
    <m/>
    <m/>
    <m/>
    <m/>
    <m/>
    <m/>
  </r>
  <r>
    <n v="185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dim"/>
    <s v="Dermasterias imbricata"/>
    <s v="Leather star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6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cgi"/>
    <s v="Crassadoma gigantea"/>
    <s v="Purple-hinged rock scallop"/>
    <n v="20"/>
    <n v="0"/>
    <n v="1"/>
    <n v="7"/>
    <n v="6"/>
    <n v="4"/>
    <n v="2"/>
    <m/>
    <m/>
    <m/>
    <m/>
    <m/>
    <m/>
    <m/>
    <m/>
    <m/>
    <m/>
    <m/>
    <m/>
    <m/>
    <m/>
    <m/>
    <m/>
    <m/>
    <m/>
    <m/>
    <m/>
    <m/>
    <m/>
    <m/>
  </r>
  <r>
    <n v="187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8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pno"/>
    <s v="Peltodoris nobilis"/>
    <s v="noble sea lemon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9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aha"/>
    <s v="Artedius harringtoni"/>
    <s v="Scalyhead sculpin"/>
    <n v="4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</r>
  <r>
    <n v="190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etr"/>
    <s v="Evasterias troschelii"/>
    <s v="Mottled starfis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1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dod"/>
    <s v="Doris odhneri"/>
    <s v="Giant white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2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Tsp."/>
    <s v="Tonicella sp."/>
    <s v="Unidentified chito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3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Edo"/>
    <s v="Enteroctopus dofleini"/>
    <s v="Giant pacific octopu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4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hhe"/>
    <s v="Hemilepidotus hemilepidotus"/>
    <s v="Red Irish lord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95"/>
    <x v="1"/>
    <s v="Em Lim"/>
    <x v="7"/>
    <x v="7"/>
    <n v="48.834789276122997"/>
    <n v="-125.14702606201099"/>
    <x v="4"/>
    <n v="2"/>
    <n v="220"/>
    <d v="1899-12-30T10:00:00"/>
    <s v="EGL"/>
    <x v="2"/>
    <x v="3"/>
    <x v="2"/>
    <s v="Sne"/>
    <s v="Sebastes nebulosus"/>
    <s v="China rockfish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96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Poc"/>
    <s v="Pisaster ochraceus"/>
    <s v="Ochre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7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8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Oko"/>
    <s v="Orthasterias koehleri"/>
    <s v="Rainbow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9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Spu"/>
    <s v="Strongylocentrotus purpuratus"/>
    <s v="Purple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0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1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Phem"/>
    <s v="Pagurus hemphilli"/>
    <s v="Maroon hermi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2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Deg"/>
    <s v="Debris - Glass"/>
    <s v="Any glass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3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Def"/>
    <s v="Debris - Fishing Gear"/>
    <s v="Any fishing ge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4"/>
    <x v="1"/>
    <s v="Em Lim"/>
    <x v="7"/>
    <x v="7"/>
    <n v="48.834789276122997"/>
    <n v="-125.14702606201099"/>
    <x v="4"/>
    <n v="2"/>
    <n v="220"/>
    <d v="1899-12-30T10:00:00"/>
    <s v="EGL"/>
    <x v="2"/>
    <x v="3"/>
    <x v="2"/>
    <s v="Sfl"/>
    <s v="Sebastes flavidus"/>
    <s v="Yellowtail rockfish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05"/>
    <x v="1"/>
    <s v="Em Lim"/>
    <x v="7"/>
    <x v="7"/>
    <n v="48.834789276122997"/>
    <n v="-125.14702606201099"/>
    <x v="4"/>
    <n v="2"/>
    <n v="220"/>
    <d v="1899-12-30T10:00:00"/>
    <s v="EGL"/>
    <x v="2"/>
    <x v="2"/>
    <x v="2"/>
    <s v="dsa"/>
    <s v="Diaulula sandiegensis"/>
    <s v="Ringed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6"/>
    <x v="1"/>
    <s v="Em Lim"/>
    <x v="7"/>
    <x v="7"/>
    <n v="48.834789276122997"/>
    <n v="-125.14702606201099"/>
    <x v="4"/>
    <n v="2"/>
    <n v="220"/>
    <d v="1899-12-30T10:00:00"/>
    <s v="EGL"/>
    <x v="2"/>
    <x v="3"/>
    <x v="2"/>
    <s v="Oel"/>
    <s v="Ophiodon elongatus"/>
    <s v="Lingcod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207"/>
    <x v="1"/>
    <s v="Em Lim"/>
    <x v="7"/>
    <x v="7"/>
    <n v="48.834789276122997"/>
    <n v="-125.14702606201099"/>
    <x v="4"/>
    <n v="2"/>
    <n v="220"/>
    <d v="1899-12-30T10:00:00"/>
    <s v="EGL"/>
    <x v="2"/>
    <x v="3"/>
    <x v="2"/>
    <s v="Sma"/>
    <s v="Sebastes maliger"/>
    <s v="Quillback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08"/>
    <x v="1"/>
    <s v="Em Lim"/>
    <x v="7"/>
    <x v="7"/>
    <n v="48.834789276122997"/>
    <n v="-125.14702606201099"/>
    <x v="4"/>
    <n v="2"/>
    <n v="220"/>
    <d v="1899-12-30T10:00:00"/>
    <s v="EGL"/>
    <x v="2"/>
    <x v="3"/>
    <x v="2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09"/>
    <x v="1"/>
    <s v="Em Lim"/>
    <x v="8"/>
    <x v="8"/>
    <n v="48.837589000000001"/>
    <n v="-125.14414499999999"/>
    <x v="4"/>
    <n v="3"/>
    <n v="30"/>
    <d v="1899-12-30T12:20:00"/>
    <s v="EGL"/>
    <x v="4"/>
    <x v="1"/>
    <x v="2"/>
    <s v="Rni"/>
    <s v="Rhinogobiops nicholsii"/>
    <s v="Blackeye goby"/>
    <n v="9"/>
    <n v="0"/>
    <m/>
    <n v="3"/>
    <n v="5"/>
    <n v="1"/>
    <m/>
    <m/>
    <m/>
    <m/>
    <m/>
    <m/>
    <m/>
    <m/>
    <m/>
    <m/>
    <m/>
    <m/>
    <m/>
    <m/>
    <m/>
    <m/>
    <m/>
    <m/>
    <m/>
    <m/>
    <m/>
    <m/>
    <m/>
    <m/>
  </r>
  <r>
    <n v="210"/>
    <x v="1"/>
    <s v="Em Lim"/>
    <x v="8"/>
    <x v="8"/>
    <n v="48.837589000000001"/>
    <n v="-125.14414499999999"/>
    <x v="4"/>
    <n v="3"/>
    <n v="30"/>
    <d v="1899-12-30T12:20:00"/>
    <s v="EGL"/>
    <x v="4"/>
    <x v="1"/>
    <x v="2"/>
    <s v="Hde"/>
    <s v="Hexagrammos decagrammus"/>
    <s v="Kelp greenling"/>
    <n v="2"/>
    <n v="0"/>
    <m/>
    <m/>
    <m/>
    <m/>
    <m/>
    <m/>
    <n v="1"/>
    <n v="1"/>
    <m/>
    <m/>
    <m/>
    <m/>
    <m/>
    <m/>
    <m/>
    <m/>
    <m/>
    <m/>
    <m/>
    <m/>
    <m/>
    <m/>
    <m/>
    <m/>
    <m/>
    <m/>
    <m/>
    <m/>
  </r>
  <r>
    <n v="211"/>
    <x v="1"/>
    <s v="Em Lim"/>
    <x v="8"/>
    <x v="8"/>
    <n v="48.837589000000001"/>
    <n v="-125.14414499999999"/>
    <x v="4"/>
    <n v="3"/>
    <n v="30"/>
    <d v="1899-12-30T12:20:00"/>
    <s v="EGL"/>
    <x v="4"/>
    <x v="1"/>
    <x v="2"/>
    <s v="Spi"/>
    <s v="Sebastes pinniger"/>
    <s v="Canary rockfish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12"/>
    <x v="1"/>
    <s v="Em Lim"/>
    <x v="8"/>
    <x v="8"/>
    <n v="48.837589000000001"/>
    <n v="-125.14414499999999"/>
    <x v="4"/>
    <n v="3"/>
    <n v="30"/>
    <d v="1899-12-30T12:20:00"/>
    <s v="EGL"/>
    <x v="4"/>
    <x v="1"/>
    <x v="2"/>
    <s v="Sfl"/>
    <s v="Sebastes flavidus"/>
    <s v="Yellowtail rockfish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13"/>
    <x v="1"/>
    <s v="Em Lim"/>
    <x v="8"/>
    <x v="8"/>
    <n v="48.837589000000001"/>
    <n v="-125.14414499999999"/>
    <x v="4"/>
    <n v="3"/>
    <n v="30"/>
    <d v="1899-12-30T12:20:00"/>
    <s v="EGL"/>
    <x v="4"/>
    <x v="1"/>
    <x v="2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14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Mfra"/>
    <s v="Mesocentrotus franciscanus"/>
    <s v="Red sea urchin"/>
    <n v="203"/>
    <n v="20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5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Hsp."/>
    <s v="Henricia sp."/>
    <s v="Unidentified blood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6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Cfo"/>
    <s v="Ceratostoma foliatum"/>
    <s v="Leafy hornmouth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7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Ami"/>
    <s v="Acmaea mitra"/>
    <s v="Whitecap limpet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8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Tca"/>
    <s v="Triopha catalinae"/>
    <s v="Sea-clown triopha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9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Aca"/>
    <s v="Apostichopus californicus"/>
    <s v="California sea cucumber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0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Etr"/>
    <s v="Evasterias troschelii"/>
    <s v="Mottled starfis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1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Hka"/>
    <s v="Haliotis kamtschatkana"/>
    <s v="Pinto abalone"/>
    <n v="20"/>
    <n v="0"/>
    <n v="13"/>
    <n v="5"/>
    <n v="2"/>
    <m/>
    <m/>
    <m/>
    <m/>
    <m/>
    <m/>
    <m/>
    <m/>
    <m/>
    <m/>
    <m/>
    <m/>
    <m/>
    <m/>
    <m/>
    <m/>
    <m/>
    <m/>
    <m/>
    <m/>
    <m/>
    <m/>
    <m/>
    <m/>
    <m/>
  </r>
  <r>
    <n v="222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Rni"/>
    <s v="Rhinogobiops nicholsii"/>
    <s v="Blackeye goby"/>
    <n v="39"/>
    <n v="0"/>
    <n v="12"/>
    <n v="12"/>
    <n v="10"/>
    <n v="5"/>
    <m/>
    <m/>
    <m/>
    <m/>
    <m/>
    <m/>
    <m/>
    <m/>
    <m/>
    <m/>
    <m/>
    <m/>
    <m/>
    <m/>
    <m/>
    <m/>
    <m/>
    <m/>
    <m/>
    <m/>
    <m/>
    <m/>
    <m/>
    <m/>
  </r>
  <r>
    <n v="223"/>
    <x v="1"/>
    <s v="Em Lim"/>
    <x v="8"/>
    <x v="8"/>
    <n v="48.837589000000001"/>
    <n v="-125.14414499999999"/>
    <x v="4"/>
    <n v="3"/>
    <n v="30"/>
    <d v="1899-12-30T12:20:00"/>
    <s v="EGL"/>
    <x v="4"/>
    <x v="3"/>
    <x v="2"/>
    <s v="Sca"/>
    <s v="Sebastes caurinus"/>
    <s v="Copper rockfish"/>
    <n v="2"/>
    <n v="0"/>
    <m/>
    <m/>
    <m/>
    <m/>
    <m/>
    <n v="2"/>
    <m/>
    <m/>
    <m/>
    <m/>
    <m/>
    <m/>
    <m/>
    <m/>
    <m/>
    <m/>
    <m/>
    <m/>
    <m/>
    <m/>
    <m/>
    <m/>
    <m/>
    <m/>
    <m/>
    <m/>
    <m/>
    <m/>
  </r>
  <r>
    <n v="224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Das"/>
    <s v="Diodora aspera"/>
    <s v="Rough keyhole limpet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5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Oko"/>
    <s v="Orthasterias koehleri"/>
    <s v="Rainbow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6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Cgi"/>
    <s v="Crassadoma gigantea"/>
    <s v="Purple-hinged rock scallop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7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Pmi"/>
    <s v="Patiria miniata"/>
    <s v="Bat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8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9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Tsp."/>
    <s v="Tonicella sp."/>
    <s v="Unidentifi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0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Aha"/>
    <s v="Artedius harringtoni"/>
    <s v="Scalyhead sculpin"/>
    <n v="7"/>
    <n v="0"/>
    <n v="6"/>
    <n v="1"/>
    <m/>
    <m/>
    <m/>
    <m/>
    <m/>
    <m/>
    <m/>
    <m/>
    <m/>
    <m/>
    <m/>
    <m/>
    <m/>
    <m/>
    <m/>
    <m/>
    <m/>
    <m/>
    <m/>
    <m/>
    <m/>
    <m/>
    <m/>
    <m/>
    <m/>
    <m/>
  </r>
  <r>
    <n v="231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2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Phem"/>
    <s v="Pagurus hemphilli"/>
    <s v="Maroon hermi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3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4"/>
    <x v="1"/>
    <s v="Em Lim"/>
    <x v="8"/>
    <x v="8"/>
    <n v="48.837589000000001"/>
    <n v="-125.14414499999999"/>
    <x v="4"/>
    <n v="3"/>
    <n v="30"/>
    <d v="1899-12-30T12:20:00"/>
    <s v="EGL"/>
    <x v="4"/>
    <x v="3"/>
    <x v="2"/>
    <s v="Syoy"/>
    <s v="Sebastes YOY"/>
    <s v="Rockfish YOY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35"/>
    <x v="1"/>
    <s v="Em Lim"/>
    <x v="8"/>
    <x v="8"/>
    <n v="48.837589000000001"/>
    <n v="-125.14414499999999"/>
    <x v="4"/>
    <n v="3"/>
    <n v="30"/>
    <d v="1899-12-30T12:20:00"/>
    <s v="EGL"/>
    <x v="4"/>
    <x v="2"/>
    <x v="2"/>
    <s v="Jzo"/>
    <s v="Jordania zonope"/>
    <s v="Longfin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236"/>
    <x v="1"/>
    <s v="Em Lim"/>
    <x v="8"/>
    <x v="8"/>
    <n v="48.837589000000001"/>
    <n v="-125.14414499999999"/>
    <x v="4"/>
    <n v="3"/>
    <n v="30"/>
    <d v="1899-12-30T12:20:00"/>
    <s v="EGL"/>
    <x v="4"/>
    <x v="3"/>
    <x v="3"/>
    <s v="Phe"/>
    <s v="Pycnopodia helianthoides"/>
    <s v="Sunflower star"/>
    <n v="3"/>
    <n v="0"/>
    <m/>
    <m/>
    <m/>
    <m/>
    <m/>
    <m/>
    <n v="2"/>
    <n v="1"/>
    <m/>
    <m/>
    <m/>
    <m/>
    <m/>
    <m/>
    <m/>
    <m/>
    <m/>
    <m/>
    <m/>
    <m/>
    <m/>
    <m/>
    <m/>
    <m/>
    <m/>
    <m/>
    <m/>
    <m/>
  </r>
  <r>
    <n v="237"/>
    <x v="1"/>
    <s v="Em Lim"/>
    <x v="8"/>
    <x v="8"/>
    <n v="48.837589000000001"/>
    <n v="-125.14414499999999"/>
    <x v="4"/>
    <n v="3"/>
    <n v="30"/>
    <d v="1899-12-30T12:20:00"/>
    <s v="EGL"/>
    <x v="4"/>
    <x v="3"/>
    <x v="3"/>
    <s v="Sma"/>
    <s v="Sebastes maliger"/>
    <s v="Quillback rockfish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38"/>
    <x v="1"/>
    <s v="Em Lim"/>
    <x v="8"/>
    <x v="8"/>
    <n v="48.837589000000001"/>
    <n v="-125.14414499999999"/>
    <x v="4"/>
    <n v="3"/>
    <n v="30"/>
    <d v="1899-12-30T12:20:00"/>
    <s v="EGL"/>
    <x v="4"/>
    <x v="3"/>
    <x v="3"/>
    <s v="Nle"/>
    <s v="Neverita lewisii"/>
    <s v="Lewis' Moon snail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9"/>
    <x v="1"/>
    <s v="Em Lim"/>
    <x v="8"/>
    <x v="8"/>
    <n v="48.837589000000001"/>
    <n v="-125.14414499999999"/>
    <x v="4"/>
    <n v="3"/>
    <n v="30"/>
    <d v="1899-12-30T12:20:00"/>
    <s v="EGL"/>
    <x v="4"/>
    <x v="3"/>
    <x v="3"/>
    <s v="Oel"/>
    <s v="Ophiodon elongatus"/>
    <s v="Lingcod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240"/>
    <x v="1"/>
    <s v="Em Lim"/>
    <x v="8"/>
    <x v="8"/>
    <n v="48.837589000000001"/>
    <n v="-125.14414499999999"/>
    <x v="4"/>
    <n v="3"/>
    <n v="30"/>
    <d v="1899-12-30T12:20:00"/>
    <s v="EGL"/>
    <x v="4"/>
    <x v="3"/>
    <x v="3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41"/>
    <x v="1"/>
    <s v="Em Lim"/>
    <x v="9"/>
    <x v="9"/>
    <n v="48.815116882324197"/>
    <n v="-125.175331115722"/>
    <x v="5"/>
    <n v="1.5"/>
    <n v="30"/>
    <d v="1899-12-30T10:07:00"/>
    <s v="EGL"/>
    <x v="6"/>
    <x v="1"/>
    <x v="2"/>
    <s v="Hde"/>
    <s v="Hexagrammos decagrammus"/>
    <s v="Kelp greenling"/>
    <n v="4"/>
    <n v="0"/>
    <m/>
    <m/>
    <m/>
    <m/>
    <n v="1"/>
    <m/>
    <n v="1"/>
    <n v="1"/>
    <m/>
    <n v="1"/>
    <m/>
    <m/>
    <m/>
    <m/>
    <m/>
    <m/>
    <m/>
    <m/>
    <m/>
    <m/>
    <m/>
    <m/>
    <m/>
    <m/>
    <m/>
    <m/>
    <m/>
    <m/>
  </r>
  <r>
    <n v="242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Mfra"/>
    <s v="Mesocentrotus franciscanus"/>
    <s v="Red sea urchin"/>
    <n v="159"/>
    <n v="15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3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4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Aha"/>
    <s v="Artedius harringtoni"/>
    <s v="Scalyhead sculpin"/>
    <n v="5"/>
    <m/>
    <n v="5"/>
    <m/>
    <m/>
    <m/>
    <m/>
    <m/>
    <m/>
    <m/>
    <m/>
    <m/>
    <m/>
    <m/>
    <m/>
    <m/>
    <m/>
    <m/>
    <m/>
    <m/>
    <m/>
    <m/>
    <m/>
    <m/>
    <m/>
    <m/>
    <m/>
    <m/>
    <m/>
    <m/>
  </r>
  <r>
    <n v="245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Dim"/>
    <s v="Dermasterias imbricata"/>
    <s v="Leather star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6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7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Aca"/>
    <s v="Apostichopus californicus"/>
    <s v="California sea cucumber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8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Hka"/>
    <s v="Haliotis kamtschatkana"/>
    <s v="Pinto abalone"/>
    <n v="8"/>
    <n v="0"/>
    <n v="4"/>
    <n v="2"/>
    <n v="1"/>
    <n v="1"/>
    <m/>
    <m/>
    <m/>
    <m/>
    <m/>
    <m/>
    <m/>
    <m/>
    <m/>
    <m/>
    <m/>
    <m/>
    <m/>
    <m/>
    <m/>
    <m/>
    <m/>
    <m/>
    <m/>
    <m/>
    <m/>
    <m/>
    <m/>
    <m/>
  </r>
  <r>
    <n v="249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Oko"/>
    <s v="Orthasterias koehleri"/>
    <s v="Rainbow star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0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Phem"/>
    <s v="Pagurus hemphilli"/>
    <s v="Maroon hermit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1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2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Nla"/>
    <s v="Nucella lamellosa"/>
    <s v="Frilled dogwinkle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3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Gor"/>
    <s v="Glebocarcinus oregonensis"/>
    <s v="Pygmy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4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5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Cfo"/>
    <s v="Ceratostoma foliatum"/>
    <s v="Leafy hornmouth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6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7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Cgi"/>
    <s v="Crassadoma gigantea"/>
    <s v="Purple-hinged rock scallop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258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Afu"/>
    <s v="Antiopella fusca"/>
    <s v="White-and-Orange-Tipped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9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Hsp."/>
    <s v="Henricia sp."/>
    <s v="Unidentified blood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0"/>
    <x v="1"/>
    <s v="Em Lim"/>
    <x v="9"/>
    <x v="9"/>
    <n v="48.815116882324197"/>
    <n v="-125.175331115722"/>
    <x v="5"/>
    <n v="1.5"/>
    <n v="30"/>
    <d v="1899-12-30T10:07:00"/>
    <s v="EGL"/>
    <x v="6"/>
    <x v="2"/>
    <x v="2"/>
    <s v="Ami"/>
    <s v="Acmaea mitra"/>
    <s v="Whitecap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1"/>
    <x v="1"/>
    <s v="Em Lim"/>
    <x v="9"/>
    <x v="9"/>
    <n v="48.815116882324197"/>
    <n v="-125.175331115722"/>
    <x v="5"/>
    <n v="1.5"/>
    <n v="30"/>
    <d v="1899-12-30T10:07:00"/>
    <s v="EGL"/>
    <x v="6"/>
    <x v="3"/>
    <x v="2"/>
    <s v="Poc"/>
    <s v="Pisaster ochraceus"/>
    <s v="Ochr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2"/>
    <x v="1"/>
    <s v="Em Lim"/>
    <x v="9"/>
    <x v="9"/>
    <n v="48.815116882324197"/>
    <n v="-125.175331115722"/>
    <x v="5"/>
    <n v="1.5"/>
    <n v="30"/>
    <d v="1899-12-30T10:07:00"/>
    <s v="EGL"/>
    <x v="6"/>
    <x v="3"/>
    <x v="3"/>
    <s v="Eju"/>
    <s v="Eumetopias jubatus"/>
    <s v="Steller sea li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3"/>
    <x v="1"/>
    <s v="Em Lim"/>
    <x v="10"/>
    <x v="10"/>
    <n v="48.855583190917898"/>
    <n v="-125.183799743652"/>
    <x v="5"/>
    <n v="1"/>
    <n v="270"/>
    <d v="1899-12-30T12:40:00"/>
    <s v="EGL"/>
    <x v="7"/>
    <x v="1"/>
    <x v="2"/>
    <s v="Sme"/>
    <s v="Sebastes melanops"/>
    <s v="Black rockfish"/>
    <n v="3"/>
    <n v="0"/>
    <m/>
    <m/>
    <m/>
    <m/>
    <m/>
    <n v="1"/>
    <n v="1"/>
    <n v="1"/>
    <m/>
    <m/>
    <m/>
    <m/>
    <m/>
    <m/>
    <m/>
    <m/>
    <m/>
    <m/>
    <m/>
    <m/>
    <m/>
    <m/>
    <m/>
    <m/>
    <m/>
    <m/>
    <m/>
    <m/>
  </r>
  <r>
    <n v="264"/>
    <x v="1"/>
    <s v="Em Lim"/>
    <x v="10"/>
    <x v="10"/>
    <n v="48.855583190917898"/>
    <n v="-125.183799743652"/>
    <x v="5"/>
    <n v="1"/>
    <n v="270"/>
    <d v="1899-12-30T12:40:00"/>
    <s v="EGL"/>
    <x v="7"/>
    <x v="1"/>
    <x v="2"/>
    <s v="Hde"/>
    <s v="Hexagrammos decagrammus"/>
    <s v="Kelp greenling"/>
    <n v="6"/>
    <n v="0"/>
    <m/>
    <m/>
    <m/>
    <m/>
    <m/>
    <m/>
    <m/>
    <n v="1"/>
    <n v="3"/>
    <n v="2"/>
    <m/>
    <m/>
    <m/>
    <m/>
    <m/>
    <m/>
    <m/>
    <m/>
    <m/>
    <m/>
    <m/>
    <m/>
    <m/>
    <m/>
    <m/>
    <m/>
    <m/>
    <m/>
  </r>
  <r>
    <n v="265"/>
    <x v="1"/>
    <s v="Em Lim"/>
    <x v="10"/>
    <x v="10"/>
    <n v="48.855583190917898"/>
    <n v="-125.183799743652"/>
    <x v="5"/>
    <n v="1"/>
    <n v="270"/>
    <d v="1899-12-30T12:40:00"/>
    <s v="EGL"/>
    <x v="7"/>
    <x v="1"/>
    <x v="2"/>
    <s v="Rni"/>
    <s v="Rhinogobiops nicholsii"/>
    <s v="Blackeye goby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66"/>
    <x v="1"/>
    <s v="Em Lim"/>
    <x v="10"/>
    <x v="10"/>
    <n v="48.855583190917898"/>
    <n v="-125.183799743652"/>
    <x v="5"/>
    <n v="1"/>
    <n v="270"/>
    <d v="1899-12-30T12:40:00"/>
    <s v="EGL"/>
    <x v="7"/>
    <x v="1"/>
    <x v="2"/>
    <s v="Oel"/>
    <s v="Ophiodon elongatus"/>
    <s v="Lingcod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267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Sac"/>
    <s v="Scyra acutifrons"/>
    <s v="Sharpnose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8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Aha"/>
    <s v="Artedius harringtoni"/>
    <s v="Scalyhead sculpin"/>
    <n v="10"/>
    <n v="0"/>
    <n v="9"/>
    <n v="1"/>
    <m/>
    <m/>
    <m/>
    <m/>
    <m/>
    <m/>
    <m/>
    <m/>
    <m/>
    <m/>
    <m/>
    <m/>
    <m/>
    <m/>
    <m/>
    <m/>
    <m/>
    <m/>
    <m/>
    <m/>
    <m/>
    <m/>
    <m/>
    <m/>
    <m/>
    <m/>
  </r>
  <r>
    <n v="269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Mfra"/>
    <s v="Mesocentrotus franciscanus"/>
    <s v="Red sea urchin"/>
    <n v="460"/>
    <n v="46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0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Hka"/>
    <s v="Haliotis kamtschatkana"/>
    <s v="Pinto abalone"/>
    <n v="39"/>
    <n v="0"/>
    <n v="30"/>
    <n v="8"/>
    <n v="1"/>
    <m/>
    <m/>
    <m/>
    <m/>
    <m/>
    <m/>
    <m/>
    <m/>
    <m/>
    <m/>
    <m/>
    <m/>
    <m/>
    <m/>
    <m/>
    <m/>
    <m/>
    <m/>
    <m/>
    <m/>
    <m/>
    <m/>
    <m/>
    <m/>
    <m/>
  </r>
  <r>
    <n v="271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Cgi"/>
    <s v="Crassadoma gigantea"/>
    <s v="Purple-hinged rock scallop"/>
    <n v="36"/>
    <n v="0"/>
    <n v="1"/>
    <n v="13"/>
    <n v="11"/>
    <n v="8"/>
    <n v="3"/>
    <m/>
    <m/>
    <m/>
    <m/>
    <m/>
    <m/>
    <m/>
    <m/>
    <m/>
    <m/>
    <m/>
    <m/>
    <m/>
    <m/>
    <m/>
    <m/>
    <m/>
    <m/>
    <m/>
    <m/>
    <m/>
    <m/>
    <m/>
  </r>
  <r>
    <n v="272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Rni"/>
    <s v="Rhinogobiops nicholsii"/>
    <s v="Blackeye goby"/>
    <n v="14"/>
    <n v="0"/>
    <n v="4"/>
    <n v="5"/>
    <n v="4"/>
    <n v="1"/>
    <m/>
    <m/>
    <m/>
    <m/>
    <m/>
    <m/>
    <m/>
    <m/>
    <m/>
    <m/>
    <m/>
    <m/>
    <m/>
    <m/>
    <m/>
    <m/>
    <m/>
    <m/>
    <m/>
    <m/>
    <m/>
    <m/>
    <m/>
    <m/>
  </r>
  <r>
    <n v="273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Dim"/>
    <s v="Dermasterias imbricata"/>
    <s v="Leather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4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Hcr"/>
    <s v="Hermissenda crassicornis"/>
    <s v="Opalescent nudibranc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5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6"/>
    <x v="1"/>
    <s v="Em Lim"/>
    <x v="10"/>
    <x v="10"/>
    <n v="48.855583190917898"/>
    <n v="-125.183799743652"/>
    <x v="5"/>
    <n v="1"/>
    <n v="270"/>
    <d v="1899-12-30T12:40:00"/>
    <s v="EGL"/>
    <x v="7"/>
    <x v="3"/>
    <x v="2"/>
    <s v="Sne"/>
    <s v="Sebastes nebulosus"/>
    <s v="China rockfish"/>
    <n v="2"/>
    <n v="0"/>
    <m/>
    <m/>
    <m/>
    <m/>
    <m/>
    <n v="1"/>
    <n v="1"/>
    <m/>
    <m/>
    <m/>
    <m/>
    <m/>
    <m/>
    <m/>
    <m/>
    <m/>
    <m/>
    <m/>
    <m/>
    <m/>
    <m/>
    <m/>
    <m/>
    <m/>
    <m/>
    <m/>
    <m/>
    <m/>
  </r>
  <r>
    <n v="277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Lma"/>
    <s v="Lopholithodes mandtii"/>
    <s v="Puget sound king crab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278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Oko"/>
    <s v="Orthasterias koehleri"/>
    <s v="Rainbow star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9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Hsp."/>
    <s v="Henricia s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0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Aca"/>
    <s v="Apostichopus californicus"/>
    <s v="California sea cucumber"/>
    <n v="28"/>
    <n v="2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1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Ami"/>
    <s v="Acmaea mitra"/>
    <s v="Whitecap limpet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2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Pgi"/>
    <s v="Pomaulax gibberosus"/>
    <s v="Red turban shell"/>
    <n v="41"/>
    <n v="4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3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Jzo"/>
    <s v="Jordania zonope"/>
    <s v="Longfin sculpin"/>
    <n v="4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</r>
  <r>
    <n v="284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Cfo"/>
    <s v="Ceratostoma foliatum"/>
    <s v="Leafy hornmouth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5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Pmi"/>
    <s v="Patiria miniata"/>
    <s v="Bat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6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Ppr"/>
    <s v="Pugettia producta"/>
    <s v="Northern kelp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7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Phem"/>
    <s v="Pagurus hemphilli"/>
    <s v="Maroon hermi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8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Spu"/>
    <s v="Strongylocentrotus purpuratus"/>
    <s v="Purple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9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0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Dod"/>
    <s v="Doris odhneri"/>
    <s v="Giant white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1"/>
    <x v="1"/>
    <s v="Em Lim"/>
    <x v="10"/>
    <x v="10"/>
    <n v="48.855583190917898"/>
    <n v="-125.183799743652"/>
    <x v="5"/>
    <n v="1"/>
    <n v="270"/>
    <d v="1899-12-30T12:40:00"/>
    <s v="EGL"/>
    <x v="7"/>
    <x v="2"/>
    <x v="2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2"/>
    <x v="1"/>
    <s v="Em Lim"/>
    <x v="10"/>
    <x v="10"/>
    <n v="48.855583190917898"/>
    <n v="-125.183799743652"/>
    <x v="5"/>
    <n v="1"/>
    <n v="270"/>
    <d v="1899-12-30T12:40:00"/>
    <s v="EGL"/>
    <x v="7"/>
    <x v="3"/>
    <x v="3"/>
    <s v="Sme"/>
    <s v="Sebastes melanops"/>
    <s v="Black rockfish"/>
    <n v="3"/>
    <n v="0"/>
    <m/>
    <m/>
    <m/>
    <m/>
    <m/>
    <n v="1"/>
    <n v="2"/>
    <m/>
    <m/>
    <m/>
    <m/>
    <m/>
    <m/>
    <m/>
    <m/>
    <m/>
    <m/>
    <m/>
    <m/>
    <m/>
    <m/>
    <m/>
    <m/>
    <m/>
    <m/>
    <m/>
    <m/>
    <m/>
  </r>
  <r>
    <n v="293"/>
    <x v="1"/>
    <s v="Valesca de Groot"/>
    <x v="11"/>
    <x v="11"/>
    <n v="48.8273315429687"/>
    <n v="-125.196601867675"/>
    <x v="6"/>
    <n v="0.5"/>
    <n v="270"/>
    <d v="1899-12-30T12:18:00"/>
    <s v="VDG"/>
    <x v="8"/>
    <x v="1"/>
    <x v="2"/>
    <s v="Rni"/>
    <s v="Rhinogobiops nicholsii"/>
    <s v="Blackeye goby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294"/>
    <x v="1"/>
    <s v="Valesca de Groot"/>
    <x v="11"/>
    <x v="11"/>
    <n v="48.8273315429687"/>
    <n v="-125.196601867675"/>
    <x v="6"/>
    <n v="0.5"/>
    <n v="270"/>
    <d v="1899-12-30T12:18:00"/>
    <s v="VDG"/>
    <x v="8"/>
    <x v="1"/>
    <x v="2"/>
    <s v="Hst"/>
    <s v="Hexagrammos stelleri"/>
    <s v="Whitespot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295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Mfra"/>
    <s v="Mesocentrotus franciscanus"/>
    <s v="Red sea urchin"/>
    <n v="218"/>
    <n v="2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6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Phe"/>
    <s v="Pycnopodia helianthoides"/>
    <s v="Sunflower star"/>
    <n v="21"/>
    <n v="0"/>
    <n v="17"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297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Aca"/>
    <s v="Apostichopus californicus"/>
    <s v="California sea cucumber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8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Pgi"/>
    <s v="Pomaulax gibberosus"/>
    <s v="Red turban shell"/>
    <n v="103"/>
    <n v="10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9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Nle"/>
    <s v="Neverita lewisii"/>
    <s v="Lewis' Moon snai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0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Das"/>
    <s v="Diodora aspera"/>
    <s v="Rough keyhole limpe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1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Tsp."/>
    <s v="Tonicella sp."/>
    <s v="Unidentified chito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2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Hka"/>
    <s v="Haliotis kamtschatkana"/>
    <s v="Pinto abalone"/>
    <n v="12"/>
    <n v="0"/>
    <n v="3"/>
    <n v="5"/>
    <n v="2"/>
    <n v="2"/>
    <m/>
    <m/>
    <m/>
    <m/>
    <m/>
    <m/>
    <m/>
    <m/>
    <m/>
    <m/>
    <m/>
    <m/>
    <m/>
    <m/>
    <m/>
    <m/>
    <m/>
    <m/>
    <m/>
    <m/>
    <m/>
    <m/>
    <m/>
    <m/>
  </r>
  <r>
    <n v="303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Ami"/>
    <s v="Acmaea mitra"/>
    <s v="Whitecap limpe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4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Aha"/>
    <s v="Artedius harringtoni"/>
    <s v="Scalyhead sculpin"/>
    <n v="7"/>
    <n v="0"/>
    <n v="6"/>
    <n v="1"/>
    <m/>
    <m/>
    <m/>
    <m/>
    <m/>
    <m/>
    <m/>
    <m/>
    <m/>
    <m/>
    <m/>
    <m/>
    <m/>
    <m/>
    <m/>
    <m/>
    <m/>
    <m/>
    <m/>
    <m/>
    <m/>
    <m/>
    <m/>
    <m/>
    <m/>
    <m/>
  </r>
  <r>
    <n v="305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Cfo"/>
    <s v="Ceratostoma foliatum"/>
    <s v="Leafy hornmouth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6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Oko"/>
    <s v="Orthasterias koehleri"/>
    <s v="Rainbow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7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Rni"/>
    <s v="Rhinogobiops nicholsii"/>
    <s v="Blackeye goby"/>
    <n v="9"/>
    <n v="0"/>
    <n v="4"/>
    <n v="4"/>
    <n v="1"/>
    <m/>
    <m/>
    <m/>
    <m/>
    <m/>
    <m/>
    <m/>
    <m/>
    <m/>
    <m/>
    <m/>
    <m/>
    <m/>
    <m/>
    <m/>
    <m/>
    <m/>
    <m/>
    <m/>
    <m/>
    <m/>
    <m/>
    <m/>
    <m/>
    <m/>
  </r>
  <r>
    <n v="308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Dim"/>
    <s v="Dermasterias imbricata"/>
    <s v="Leather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9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Phem"/>
    <s v="Pagurus hemphilli"/>
    <s v="Maroon hermi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0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Poc"/>
    <s v="Pisaster ochraceus"/>
    <s v="Ochre sea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1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Pmi"/>
    <s v="Patiria miniata"/>
    <s v="Bat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2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Cgi"/>
    <s v="Crassadoma gigantea"/>
    <s v="Purple-hinged rock scallop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13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Hsp."/>
    <s v="Henricia sp."/>
    <s v="Unidentified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4"/>
    <x v="1"/>
    <s v="Valesca de Groot"/>
    <x v="11"/>
    <x v="11"/>
    <n v="48.8273315429687"/>
    <n v="-125.196601867675"/>
    <x v="6"/>
    <n v="0.5"/>
    <n v="270"/>
    <d v="1899-12-30T12:18:00"/>
    <s v="VDG"/>
    <x v="8"/>
    <x v="2"/>
    <x v="2"/>
    <s v="dodo"/>
    <s v="Diaulula odonoghuei"/>
    <s v="Spotted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5"/>
    <x v="1"/>
    <s v="Valesca de Groot"/>
    <x v="12"/>
    <x v="12"/>
    <n v="48.950233459472599"/>
    <n v="-125.155548095703"/>
    <x v="7"/>
    <n v="5"/>
    <n v="240"/>
    <d v="1899-12-30T10:20:00"/>
    <s v="VDG"/>
    <x v="1"/>
    <x v="1"/>
    <x v="2"/>
    <s v="Hde"/>
    <s v="Hexagrammos decagrammus"/>
    <s v="Kelp greenling"/>
    <n v="4"/>
    <n v="0"/>
    <m/>
    <m/>
    <m/>
    <m/>
    <m/>
    <m/>
    <n v="1"/>
    <m/>
    <n v="1"/>
    <n v="1"/>
    <n v="1"/>
    <m/>
    <m/>
    <m/>
    <m/>
    <m/>
    <m/>
    <m/>
    <m/>
    <m/>
    <m/>
    <m/>
    <m/>
    <m/>
    <m/>
    <m/>
    <m/>
    <m/>
  </r>
  <r>
    <n v="316"/>
    <x v="1"/>
    <s v="Valesca de Groot"/>
    <x v="12"/>
    <x v="12"/>
    <n v="48.950233459472599"/>
    <n v="-125.155548095703"/>
    <x v="7"/>
    <n v="5"/>
    <n v="240"/>
    <d v="1899-12-30T10:20:00"/>
    <s v="VDG"/>
    <x v="1"/>
    <x v="1"/>
    <x v="2"/>
    <s v="Opi"/>
    <s v="Oxylebius pictus"/>
    <s v="Painted greenling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17"/>
    <x v="1"/>
    <s v="Valesca de Groot"/>
    <x v="12"/>
    <x v="12"/>
    <n v="48.950233459472599"/>
    <n v="-125.155548095703"/>
    <x v="7"/>
    <n v="5"/>
    <n v="240"/>
    <d v="1899-12-30T10:20:00"/>
    <s v="VDG"/>
    <x v="1"/>
    <x v="1"/>
    <x v="2"/>
    <s v="Oel"/>
    <s v="Ophiodon elongatus"/>
    <s v="Lingcod"/>
    <n v="1"/>
    <n v="0"/>
    <m/>
    <m/>
    <m/>
    <m/>
    <m/>
    <m/>
    <m/>
    <m/>
    <m/>
    <m/>
    <m/>
    <m/>
    <m/>
    <m/>
    <m/>
    <n v="1"/>
    <m/>
    <m/>
    <m/>
    <m/>
    <m/>
    <m/>
    <m/>
    <m/>
    <m/>
    <m/>
    <m/>
    <m/>
  </r>
  <r>
    <n v="318"/>
    <x v="1"/>
    <s v="Valesca de Groot"/>
    <x v="12"/>
    <x v="12"/>
    <n v="48.950233459472599"/>
    <n v="-125.155548095703"/>
    <x v="7"/>
    <n v="5"/>
    <n v="240"/>
    <d v="1899-12-30T10:20:00"/>
    <s v="VDG"/>
    <x v="1"/>
    <x v="3"/>
    <x v="2"/>
    <s v="Ela"/>
    <s v="Embiotoca lateralis"/>
    <s v="Striped seaperch"/>
    <n v="2"/>
    <n v="0"/>
    <m/>
    <m/>
    <m/>
    <m/>
    <m/>
    <n v="2"/>
    <m/>
    <m/>
    <m/>
    <m/>
    <m/>
    <m/>
    <m/>
    <m/>
    <m/>
    <m/>
    <m/>
    <m/>
    <m/>
    <m/>
    <m/>
    <m/>
    <m/>
    <m/>
    <m/>
    <m/>
    <m/>
    <m/>
  </r>
  <r>
    <n v="319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Mfra"/>
    <s v="Mesocentrotus franciscanus"/>
    <s v="Red sea urchin"/>
    <n v="650"/>
    <n v="65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0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Oko"/>
    <s v="Orthasterias koehleri"/>
    <s v="Rainbow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1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Ami"/>
    <s v="Acmaea mitra"/>
    <s v="Whitecap limpet"/>
    <n v="43"/>
    <n v="4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2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Pgi"/>
    <s v="Pomaulax gibberosus"/>
    <s v="Red turban shell"/>
    <n v="45"/>
    <n v="4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3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Pmi"/>
    <s v="Patiria miniata"/>
    <s v="Bat star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4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Phem"/>
    <s v="Pagurus hemphilli"/>
    <s v="Maroon hermit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5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Poc"/>
    <s v="Pisaster ochraceus"/>
    <s v="Ochre sea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6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Hsp."/>
    <s v="Henricia sp."/>
    <s v="Unidentified blood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7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Tsp."/>
    <s v="Tonicella sp."/>
    <s v="Unidentifi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8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Spu"/>
    <s v="Strongylocentrotus purpuratus"/>
    <s v="Purple sea urchin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9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Aha"/>
    <s v="Artedius harringtoni"/>
    <s v="Scalyhead sculpin"/>
    <n v="3"/>
    <n v="0"/>
    <n v="2"/>
    <n v="1"/>
    <m/>
    <m/>
    <m/>
    <m/>
    <m/>
    <m/>
    <m/>
    <m/>
    <m/>
    <m/>
    <m/>
    <m/>
    <m/>
    <m/>
    <m/>
    <m/>
    <m/>
    <m/>
    <m/>
    <m/>
    <m/>
    <m/>
    <m/>
    <m/>
    <m/>
    <m/>
  </r>
  <r>
    <n v="330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Hka"/>
    <s v="Haliotis kamtschatkana"/>
    <s v="Pinto abalone"/>
    <n v="5"/>
    <n v="0"/>
    <n v="4"/>
    <n v="1"/>
    <m/>
    <m/>
    <m/>
    <m/>
    <m/>
    <m/>
    <m/>
    <m/>
    <m/>
    <m/>
    <m/>
    <m/>
    <m/>
    <m/>
    <m/>
    <m/>
    <m/>
    <m/>
    <m/>
    <m/>
    <m/>
    <m/>
    <m/>
    <m/>
    <m/>
    <m/>
  </r>
  <r>
    <n v="331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2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Dim"/>
    <s v="Dermasterias imbricata"/>
    <s v="Leather sta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3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Sac"/>
    <s v="Scyra acutifrons"/>
    <s v="Sharpnose crab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4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Cgi"/>
    <s v="Crassadoma gigantea"/>
    <s v="Purple-hinged rock scallop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335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Jzo"/>
    <s v="Jordania zonope"/>
    <s v="Longfin sculpin"/>
    <n v="3"/>
    <n v="0"/>
    <n v="1"/>
    <n v="2"/>
    <m/>
    <m/>
    <m/>
    <m/>
    <m/>
    <m/>
    <m/>
    <m/>
    <m/>
    <m/>
    <m/>
    <m/>
    <m/>
    <m/>
    <m/>
    <m/>
    <m/>
    <m/>
    <m/>
    <m/>
    <m/>
    <m/>
    <m/>
    <m/>
    <m/>
    <m/>
  </r>
  <r>
    <n v="336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337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Oel"/>
    <s v="Ophiodon elongatus"/>
    <s v="Grubby sculpin??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338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Rni"/>
    <s v="Rhinogobiops nicholsii"/>
    <s v="Blackeye goby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39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Phe"/>
    <s v="Pycnopodia helianthoides"/>
    <s v="Sunflower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340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Cfo"/>
    <s v="Ceratostoma foliatum"/>
    <s v="Leafy hornmout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1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Pbe"/>
    <s v="Pagurus beringanus"/>
    <s v="Bering hermit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2"/>
    <x v="1"/>
    <s v="Valesca de Groot"/>
    <x v="12"/>
    <x v="12"/>
    <n v="48.950233459472599"/>
    <n v="-125.155548095703"/>
    <x v="7"/>
    <n v="5"/>
    <n v="240"/>
    <d v="1899-12-30T10:20:00"/>
    <s v="VDG"/>
    <x v="1"/>
    <x v="2"/>
    <x v="2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3"/>
    <x v="1"/>
    <s v="Valesca de Groot"/>
    <x v="13"/>
    <x v="13"/>
    <n v="48.955081939697202"/>
    <n v="-125.15337371826099"/>
    <x v="7"/>
    <n v="5"/>
    <n v="300"/>
    <d v="1899-12-30T13:00:00"/>
    <s v="VDG"/>
    <x v="7"/>
    <x v="1"/>
    <x v="2"/>
    <s v="Bin"/>
    <s v="Bolinopsis infundibulum"/>
    <s v="Northern comb jelly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4"/>
    <x v="1"/>
    <s v="Valesca de Groot"/>
    <x v="13"/>
    <x v="13"/>
    <n v="48.955081939697202"/>
    <n v="-125.15337371826099"/>
    <x v="7"/>
    <n v="5"/>
    <n v="300"/>
    <d v="1899-12-30T13:00:00"/>
    <s v="VDG"/>
    <x v="7"/>
    <x v="1"/>
    <x v="2"/>
    <s v="Hde"/>
    <s v="Hexagrammos decagrammus"/>
    <s v="Kelp greenling"/>
    <n v="1"/>
    <n v="0"/>
    <m/>
    <m/>
    <m/>
    <m/>
    <m/>
    <m/>
    <m/>
    <m/>
    <m/>
    <n v="1"/>
    <m/>
    <m/>
    <m/>
    <m/>
    <m/>
    <m/>
    <m/>
    <m/>
    <m/>
    <m/>
    <m/>
    <m/>
    <m/>
    <m/>
    <m/>
    <m/>
    <m/>
    <m/>
  </r>
  <r>
    <n v="345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Mfra"/>
    <s v="Mesocentrotus franciscanus"/>
    <s v="Red sea urchin"/>
    <n v="262"/>
    <n v="26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6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Pgib"/>
    <s v="NOT PRESENT"/>
    <s v="NOT PRESENT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7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Ami"/>
    <s v="Acmaea mitra"/>
    <s v="Whitecap limpet"/>
    <n v="35"/>
    <n v="3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8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Pmi"/>
    <s v="Patiria miniata"/>
    <s v="Bat star"/>
    <n v="106"/>
    <n v="10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9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Oko"/>
    <s v="Orthasterias koehleri"/>
    <s v="Rainbow sta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0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Phem"/>
    <s v="Pagurus hemphilli"/>
    <s v="Maroon hermi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1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Hka"/>
    <s v="Haliotis kamtschatkana"/>
    <s v="Pinto abalone"/>
    <n v="8"/>
    <n v="0"/>
    <n v="7"/>
    <n v="1"/>
    <m/>
    <m/>
    <m/>
    <m/>
    <m/>
    <m/>
    <m/>
    <m/>
    <m/>
    <m/>
    <m/>
    <m/>
    <m/>
    <m/>
    <m/>
    <m/>
    <m/>
    <m/>
    <m/>
    <m/>
    <m/>
    <m/>
    <m/>
    <m/>
    <m/>
    <m/>
  </r>
  <r>
    <n v="352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Aha"/>
    <s v="Artedius harringtoni"/>
    <s v="Scalyhead sculpin"/>
    <n v="3"/>
    <n v="0"/>
    <n v="1"/>
    <n v="2"/>
    <m/>
    <m/>
    <m/>
    <m/>
    <m/>
    <m/>
    <m/>
    <m/>
    <m/>
    <m/>
    <m/>
    <m/>
    <m/>
    <m/>
    <m/>
    <m/>
    <m/>
    <m/>
    <m/>
    <m/>
    <m/>
    <m/>
    <m/>
    <m/>
    <m/>
    <m/>
  </r>
  <r>
    <n v="353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Cfo"/>
    <s v="Ceratostoma foliatum"/>
    <s v="Leafy hornmout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4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Rni"/>
    <s v="Rhinogobiops nicholsii"/>
    <s v="Blackeye goby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355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Aca"/>
    <s v="Apostichopus californicus"/>
    <s v="California sea cucumbe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6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Mae"/>
    <s v="Mediaster aequalis"/>
    <s v="Vermillion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7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8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Poc"/>
    <s v="Pisaster ochraceus"/>
    <s v="Ochre sea star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359"/>
    <x v="1"/>
    <s v="Valesca de Groot"/>
    <x v="13"/>
    <x v="13"/>
    <n v="48.955081939697202"/>
    <n v="-125.15337371826099"/>
    <x v="7"/>
    <n v="5"/>
    <n v="300"/>
    <d v="1899-12-30T13:00:00"/>
    <s v="VDG"/>
    <x v="7"/>
    <x v="2"/>
    <x v="2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0"/>
    <x v="1"/>
    <s v="Valesca de Groot"/>
    <x v="14"/>
    <x v="14"/>
    <n v="48.916072999999997"/>
    <n v="-125.131174"/>
    <x v="8"/>
    <n v="6"/>
    <n v="40"/>
    <d v="1899-12-30T10:30:00"/>
    <s v="VDG"/>
    <x v="7"/>
    <x v="1"/>
    <x v="1"/>
    <s v="Hde"/>
    <s v="Hexagrammos decagrammus"/>
    <s v="Kelp greenling"/>
    <n v="8"/>
    <n v="0"/>
    <m/>
    <m/>
    <m/>
    <m/>
    <m/>
    <m/>
    <n v="2"/>
    <n v="1"/>
    <n v="3"/>
    <n v="2"/>
    <m/>
    <m/>
    <m/>
    <m/>
    <m/>
    <m/>
    <m/>
    <m/>
    <m/>
    <m/>
    <m/>
    <m/>
    <m/>
    <m/>
    <m/>
    <m/>
    <m/>
    <m/>
  </r>
  <r>
    <n v="361"/>
    <x v="1"/>
    <s v="Valesca de Groot"/>
    <x v="14"/>
    <x v="14"/>
    <n v="48.916072999999997"/>
    <n v="-125.131174"/>
    <x v="8"/>
    <n v="6"/>
    <n v="40"/>
    <d v="1899-12-30T10:30:00"/>
    <s v="VDG"/>
    <x v="7"/>
    <x v="1"/>
    <x v="1"/>
    <s v="Rva"/>
    <s v="Rhacochilus vacca"/>
    <s v="Pile perch"/>
    <n v="12"/>
    <n v="0"/>
    <m/>
    <m/>
    <m/>
    <m/>
    <m/>
    <n v="7"/>
    <n v="5"/>
    <m/>
    <m/>
    <m/>
    <m/>
    <m/>
    <m/>
    <m/>
    <m/>
    <m/>
    <m/>
    <m/>
    <m/>
    <m/>
    <m/>
    <m/>
    <m/>
    <m/>
    <m/>
    <m/>
    <m/>
    <m/>
  </r>
  <r>
    <n v="362"/>
    <x v="1"/>
    <s v="Valesca de Groot"/>
    <x v="14"/>
    <x v="14"/>
    <n v="48.916072999999997"/>
    <n v="-125.131174"/>
    <x v="8"/>
    <n v="6"/>
    <n v="40"/>
    <d v="1899-12-30T10:30:00"/>
    <s v="VDG"/>
    <x v="7"/>
    <x v="1"/>
    <x v="1"/>
    <s v="Ela"/>
    <s v="Embiotoca lateralis"/>
    <s v="Striped seaperch"/>
    <n v="23"/>
    <n v="0"/>
    <m/>
    <m/>
    <m/>
    <n v="5"/>
    <n v="2"/>
    <n v="11"/>
    <n v="5"/>
    <m/>
    <m/>
    <m/>
    <m/>
    <m/>
    <m/>
    <m/>
    <m/>
    <m/>
    <m/>
    <m/>
    <m/>
    <m/>
    <m/>
    <m/>
    <m/>
    <m/>
    <m/>
    <m/>
    <m/>
    <m/>
  </r>
  <r>
    <n v="363"/>
    <x v="1"/>
    <s v="Valesca de Groot"/>
    <x v="14"/>
    <x v="14"/>
    <n v="48.916072999999997"/>
    <n v="-125.131174"/>
    <x v="8"/>
    <n v="6"/>
    <n v="40"/>
    <d v="1899-12-30T10:30:00"/>
    <s v="VDG"/>
    <x v="7"/>
    <x v="1"/>
    <x v="1"/>
    <s v="Bin"/>
    <s v="Bolinopsis infundibulum"/>
    <s v="Northern comb jelly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4"/>
    <x v="1"/>
    <s v="Valesca de Groot"/>
    <x v="14"/>
    <x v="14"/>
    <n v="48.916072999999997"/>
    <n v="-125.131174"/>
    <x v="8"/>
    <n v="6"/>
    <n v="40"/>
    <d v="1899-12-30T10:30:00"/>
    <s v="VDG"/>
    <x v="7"/>
    <x v="1"/>
    <x v="1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365"/>
    <x v="1"/>
    <s v="Valesca de Groot"/>
    <x v="14"/>
    <x v="14"/>
    <n v="48.916072999999997"/>
    <n v="-125.131174"/>
    <x v="8"/>
    <n v="6"/>
    <n v="40"/>
    <d v="1899-12-30T10:30:00"/>
    <s v="VDG"/>
    <x v="7"/>
    <x v="3"/>
    <x v="1"/>
    <s v="Sme"/>
    <s v="Sebastes melanops"/>
    <s v="Black rockfish"/>
    <n v="30"/>
    <n v="0"/>
    <m/>
    <m/>
    <m/>
    <m/>
    <m/>
    <n v="10"/>
    <n v="10"/>
    <n v="10"/>
    <m/>
    <m/>
    <m/>
    <m/>
    <m/>
    <m/>
    <m/>
    <m/>
    <m/>
    <m/>
    <m/>
    <m/>
    <m/>
    <m/>
    <m/>
    <m/>
    <m/>
    <m/>
    <m/>
    <m/>
  </r>
  <r>
    <n v="366"/>
    <x v="1"/>
    <s v="Valesca de Groot"/>
    <x v="14"/>
    <x v="14"/>
    <n v="48.916072999999997"/>
    <n v="-125.131174"/>
    <x v="8"/>
    <n v="6"/>
    <n v="40"/>
    <d v="1899-12-30T10:30:00"/>
    <s v="VDG"/>
    <x v="7"/>
    <x v="3"/>
    <x v="1"/>
    <s v="Sfl"/>
    <s v="Sebastes flavidus"/>
    <s v="Yellowtail rockfish"/>
    <n v="60"/>
    <n v="0"/>
    <m/>
    <m/>
    <m/>
    <m/>
    <m/>
    <n v="20"/>
    <n v="20"/>
    <n v="20"/>
    <m/>
    <m/>
    <m/>
    <m/>
    <m/>
    <m/>
    <m/>
    <m/>
    <m/>
    <m/>
    <m/>
    <m/>
    <m/>
    <m/>
    <m/>
    <m/>
    <m/>
    <m/>
    <m/>
    <m/>
  </r>
  <r>
    <n v="367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Mfra"/>
    <s v="Mesocentrotus franciscanus"/>
    <s v="Red sea urchin"/>
    <n v="386"/>
    <n v="38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8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Dim"/>
    <s v="Dermasterias imbricata"/>
    <s v="Leather star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9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Poc"/>
    <s v="Pisaster ochraceus"/>
    <s v="Ochre sea star"/>
    <n v="57"/>
    <n v="5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0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Hka"/>
    <s v="Haliotis kamtschatkana"/>
    <s v="Pinto abalone"/>
    <n v="79"/>
    <n v="0"/>
    <n v="33"/>
    <n v="37"/>
    <n v="6"/>
    <n v="3"/>
    <m/>
    <m/>
    <m/>
    <m/>
    <m/>
    <m/>
    <m/>
    <m/>
    <m/>
    <m/>
    <m/>
    <m/>
    <m/>
    <m/>
    <m/>
    <m/>
    <m/>
    <m/>
    <m/>
    <m/>
    <m/>
    <m/>
    <m/>
    <m/>
  </r>
  <r>
    <n v="371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Ami"/>
    <s v="Acmaea mitra"/>
    <s v="Whitecap limpet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2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Jzo"/>
    <s v="Jordania zonope"/>
    <s v="Longfin sculpin"/>
    <n v="13"/>
    <n v="0"/>
    <n v="7"/>
    <n v="4"/>
    <n v="2"/>
    <m/>
    <m/>
    <m/>
    <m/>
    <m/>
    <m/>
    <m/>
    <m/>
    <m/>
    <m/>
    <m/>
    <m/>
    <m/>
    <m/>
    <m/>
    <m/>
    <m/>
    <m/>
    <m/>
    <m/>
    <m/>
    <m/>
    <m/>
    <m/>
    <m/>
  </r>
  <r>
    <n v="373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Hsp."/>
    <s v="Henricia sp."/>
    <s v="Unidentified blood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4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Oko"/>
    <s v="Orthasterias koehleri"/>
    <s v="Rainbow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5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Aha"/>
    <s v="Artedius harringtoni"/>
    <s v="Scalyhead sculpin"/>
    <n v="11"/>
    <n v="0"/>
    <n v="6"/>
    <n v="5"/>
    <m/>
    <m/>
    <m/>
    <m/>
    <m/>
    <m/>
    <m/>
    <m/>
    <m/>
    <m/>
    <m/>
    <m/>
    <m/>
    <m/>
    <m/>
    <m/>
    <m/>
    <m/>
    <m/>
    <m/>
    <m/>
    <m/>
    <m/>
    <m/>
    <m/>
    <m/>
  </r>
  <r>
    <n v="376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Sac"/>
    <s v="Scyra acutifrons"/>
    <s v="Sharpnose crab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7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Spu"/>
    <s v="Strongylocentrotus purpuratus"/>
    <s v="Purple sea urchin"/>
    <n v="25"/>
    <n v="2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8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Opi"/>
    <s v="Oxylebius pictus"/>
    <s v="Painted greenling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79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Tsp."/>
    <s v="Tonicella sp."/>
    <s v="Unidentified chiton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0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Aca"/>
    <s v="Apostichopus californicus"/>
    <s v="California sea cucumber"/>
    <n v="39"/>
    <n v="3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1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Sdr"/>
    <s v="Strongylocentrotus droebachiensis"/>
    <s v="Northern sea urchin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2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Pmi"/>
    <s v="Patiria miniata"/>
    <s v="Bat star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3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Phem"/>
    <s v="Pagurus hemphilli"/>
    <s v="Maroon hermi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4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Cfo"/>
    <s v="Ceratostoma foliatum"/>
    <s v="Leafy hornmout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5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Pgi"/>
    <s v="Pomaulax gibberosus"/>
    <s v="Red turban shell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6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Das"/>
    <s v="Diodora aspera"/>
    <s v="Rough keyhole limpe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7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pholis"/>
    <s v="Pholis spp."/>
    <n v="0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88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Cgi"/>
    <s v="Crassadoma gigantea"/>
    <s v="Purple-hinged rock scallop"/>
    <n v="6"/>
    <n v="0"/>
    <m/>
    <m/>
    <n v="1"/>
    <n v="2"/>
    <n v="1"/>
    <n v="2"/>
    <m/>
    <m/>
    <m/>
    <m/>
    <m/>
    <m/>
    <m/>
    <m/>
    <m/>
    <m/>
    <m/>
    <m/>
    <m/>
    <m/>
    <m/>
    <m/>
    <m/>
    <m/>
    <m/>
    <m/>
    <m/>
    <m/>
  </r>
  <r>
    <n v="389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Clu"/>
    <s v="Cadlina luteomarginata"/>
    <s v="Yellow-edge cadli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0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Hcr"/>
    <s v="Hermissenda crassicornis"/>
    <s v="Opalescent nudibranch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1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Etr"/>
    <s v="Evasterias troschelii"/>
    <s v="Mottled starfis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2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Gor"/>
    <s v="Glebocarcinus oregonensis"/>
    <s v="Pygmy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3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4"/>
    <x v="1"/>
    <s v="Valesca de Groot"/>
    <x v="14"/>
    <x v="14"/>
    <n v="48.916072999999997"/>
    <n v="-125.131174"/>
    <x v="8"/>
    <n v="6"/>
    <n v="40"/>
    <d v="1899-12-30T10:30:00"/>
    <s v="VDG"/>
    <x v="7"/>
    <x v="2"/>
    <x v="1"/>
    <s v="Rni"/>
    <s v="Rhinogobiops nicholsii"/>
    <s v="Blackeye goby"/>
    <n v="2"/>
    <n v="0"/>
    <m/>
    <m/>
    <m/>
    <n v="2"/>
    <m/>
    <m/>
    <m/>
    <m/>
    <m/>
    <m/>
    <m/>
    <m/>
    <m/>
    <m/>
    <m/>
    <m/>
    <m/>
    <m/>
    <m/>
    <m/>
    <m/>
    <m/>
    <m/>
    <m/>
    <m/>
    <m/>
    <m/>
    <m/>
  </r>
  <r>
    <n v="395"/>
    <x v="1"/>
    <s v="Isabelle Cote"/>
    <x v="15"/>
    <x v="15"/>
    <n v="48.9071"/>
    <n v="-125.03701700000001"/>
    <x v="9"/>
    <n v="3"/>
    <n v="40"/>
    <d v="1899-12-30T10:17:00"/>
    <s v="JMS"/>
    <x v="9"/>
    <x v="1"/>
    <x v="1"/>
    <s v="Hde"/>
    <s v="Hexagrammos decagrammus"/>
    <s v="Kelp greenling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396"/>
    <x v="1"/>
    <s v="Isabelle Cote"/>
    <x v="15"/>
    <x v="15"/>
    <n v="48.9071"/>
    <n v="-125.03701700000001"/>
    <x v="9"/>
    <n v="3"/>
    <n v="40"/>
    <d v="1899-12-30T10:17:00"/>
    <s v="JMS"/>
    <x v="9"/>
    <x v="1"/>
    <x v="1"/>
    <s v="Rni"/>
    <s v="Rhinogobiops nicholsii"/>
    <s v="Blackeye goby"/>
    <n v="3"/>
    <n v="0"/>
    <m/>
    <m/>
    <n v="1"/>
    <n v="2"/>
    <m/>
    <m/>
    <m/>
    <m/>
    <m/>
    <m/>
    <m/>
    <m/>
    <m/>
    <m/>
    <m/>
    <m/>
    <m/>
    <m/>
    <m/>
    <m/>
    <m/>
    <m/>
    <m/>
    <m/>
    <m/>
    <m/>
    <m/>
    <m/>
  </r>
  <r>
    <n v="397"/>
    <x v="1"/>
    <s v="Isabelle Cote"/>
    <x v="15"/>
    <x v="15"/>
    <n v="48.9071"/>
    <n v="-125.03701700000001"/>
    <x v="9"/>
    <n v="3"/>
    <n v="40"/>
    <d v="1899-12-30T10:17:00"/>
    <s v="JMS"/>
    <x v="9"/>
    <x v="1"/>
    <x v="1"/>
    <s v="Rva"/>
    <s v="Rhacochilus vacca"/>
    <s v="Pile perch"/>
    <n v="4"/>
    <n v="0"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</r>
  <r>
    <n v="398"/>
    <x v="1"/>
    <s v="Isabelle Cote"/>
    <x v="15"/>
    <x v="15"/>
    <n v="48.9071"/>
    <n v="-125.03701700000001"/>
    <x v="9"/>
    <n v="3"/>
    <n v="40"/>
    <d v="1899-12-30T10:17:00"/>
    <s v="JMS"/>
    <x v="9"/>
    <x v="1"/>
    <x v="1"/>
    <s v="Afl"/>
    <s v="Aulorhynchus flavidus"/>
    <s v="Tube-snout"/>
    <n v="2"/>
    <n v="0"/>
    <m/>
    <m/>
    <m/>
    <n v="2"/>
    <m/>
    <m/>
    <m/>
    <m/>
    <m/>
    <m/>
    <m/>
    <m/>
    <m/>
    <m/>
    <m/>
    <m/>
    <m/>
    <m/>
    <m/>
    <m/>
    <m/>
    <m/>
    <m/>
    <m/>
    <m/>
    <m/>
    <m/>
    <m/>
  </r>
  <r>
    <n v="399"/>
    <x v="1"/>
    <s v="Isabelle Cote"/>
    <x v="15"/>
    <x v="15"/>
    <n v="48.9071"/>
    <n v="-125.03701700000001"/>
    <x v="9"/>
    <n v="3"/>
    <n v="40"/>
    <d v="1899-12-30T10:17:00"/>
    <s v="JMS"/>
    <x v="9"/>
    <x v="1"/>
    <x v="1"/>
    <s v="Bin"/>
    <s v="Bolinopsis infundibulum"/>
    <s v="Northern comb jelly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0"/>
    <x v="1"/>
    <s v="Isabelle Cote"/>
    <x v="15"/>
    <x v="15"/>
    <n v="48.9071"/>
    <n v="-125.03701700000001"/>
    <x v="9"/>
    <n v="3"/>
    <n v="40"/>
    <d v="1899-12-30T10:17:00"/>
    <s v="JMS"/>
    <x v="9"/>
    <x v="1"/>
    <x v="1"/>
    <s v="Ela"/>
    <s v="Embiotoca lateralis"/>
    <s v="Striped seaperc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401"/>
    <x v="1"/>
    <s v="Isabelle Cote"/>
    <x v="15"/>
    <x v="15"/>
    <n v="48.9071"/>
    <n v="-125.03701700000001"/>
    <x v="9"/>
    <n v="3"/>
    <n v="40"/>
    <d v="1899-12-30T10:17:00"/>
    <s v="JMS"/>
    <x v="9"/>
    <x v="1"/>
    <x v="1"/>
    <s v="Sme"/>
    <s v="Sebastes melanops"/>
    <s v="Black rockfish"/>
    <n v="18"/>
    <n v="0"/>
    <m/>
    <m/>
    <m/>
    <m/>
    <n v="2"/>
    <n v="8"/>
    <n v="7"/>
    <n v="1"/>
    <m/>
    <m/>
    <m/>
    <m/>
    <m/>
    <m/>
    <m/>
    <m/>
    <m/>
    <m/>
    <m/>
    <m/>
    <m/>
    <m/>
    <m/>
    <m/>
    <m/>
    <m/>
    <m/>
    <m/>
  </r>
  <r>
    <n v="402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Dim"/>
    <s v="Dermasterias imbricata"/>
    <s v="Leather star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3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Rni"/>
    <s v="Rhinogobiops nicholsii"/>
    <s v="Blackeye goby"/>
    <n v="16"/>
    <n v="0"/>
    <n v="1"/>
    <n v="6"/>
    <n v="5"/>
    <n v="3"/>
    <n v="1"/>
    <m/>
    <m/>
    <m/>
    <m/>
    <m/>
    <m/>
    <m/>
    <m/>
    <m/>
    <m/>
    <m/>
    <m/>
    <m/>
    <m/>
    <m/>
    <m/>
    <m/>
    <m/>
    <m/>
    <m/>
    <m/>
    <m/>
    <m/>
  </r>
  <r>
    <n v="404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Sdr"/>
    <s v="Strongylocentrotus droebachiensis"/>
    <s v="Northern sea urchin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5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Sfo"/>
    <s v="Stylasterias forreri"/>
    <s v="Velcro sea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6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Hsp."/>
    <s v="Henricia sp."/>
    <s v="Unidentified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7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Aca"/>
    <s v="Apostichopus californicus"/>
    <s v="California sea cucumbe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8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Mae"/>
    <s v="Mediaster aequalis"/>
    <s v="Vermillion sea star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9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Phem"/>
    <s v="Pagurus hemphilli"/>
    <s v="Maroon hermi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0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Csy"/>
    <s v="Cadlina sylviaearleae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1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Lma"/>
    <s v="Lopholithodes mandtii"/>
    <s v="Puget sound king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2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3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Sac"/>
    <s v="Scyra acutifrons"/>
    <s v="Unidentified shrimp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4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Hka"/>
    <s v="Haliotis kamtschatkana"/>
    <s v="Pinto abalone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415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6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Pgi"/>
    <s v="Pomaulax gibberosus"/>
    <s v="Red turban shell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7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Oko"/>
    <s v="Orthasterias koehleri"/>
    <s v="Rainbow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8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Ptr"/>
    <s v="Polycera tricolor"/>
    <s v="Tricolour nudibranch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9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Phe"/>
    <s v="Pycnopodia helianthoides"/>
    <s v="Sunflower star"/>
    <n v="8"/>
    <n v="0"/>
    <n v="1"/>
    <n v="1"/>
    <n v="3"/>
    <n v="3"/>
    <m/>
    <m/>
    <m/>
    <m/>
    <m/>
    <m/>
    <m/>
    <m/>
    <m/>
    <m/>
    <m/>
    <m/>
    <m/>
    <m/>
    <m/>
    <m/>
    <m/>
    <m/>
    <m/>
    <m/>
    <m/>
    <m/>
    <m/>
    <m/>
  </r>
  <r>
    <n v="420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Etr"/>
    <s v="Evasterias troschelii"/>
    <s v="Mottled starfis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Etr"/>
    <s v="Evasterias troschelii"/>
    <s v="unidentified flatworm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2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Cgi"/>
    <s v="Crassadoma gigantea"/>
    <s v="Purple-hinged rock scallop"/>
    <n v="2"/>
    <m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423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Cpr"/>
    <s v="Cancer productus"/>
    <s v="Red rock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4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Pbr"/>
    <s v="Pisaster brevispinus"/>
    <s v="Giant pink sea star"/>
    <n v="2"/>
    <m/>
    <m/>
    <m/>
    <m/>
    <n v="1"/>
    <m/>
    <m/>
    <m/>
    <m/>
    <m/>
    <n v="1"/>
    <m/>
    <m/>
    <m/>
    <m/>
    <m/>
    <m/>
    <m/>
    <m/>
    <m/>
    <m/>
    <m/>
    <m/>
    <m/>
    <m/>
    <m/>
    <m/>
    <m/>
    <m/>
  </r>
  <r>
    <n v="425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Pcle"/>
    <s v="Pholis clemensi"/>
    <s v="Longfin gunnel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426"/>
    <x v="1"/>
    <s v="Isabelle Cote"/>
    <x v="15"/>
    <x v="15"/>
    <n v="48.9071"/>
    <n v="-125.03701700000001"/>
    <x v="9"/>
    <n v="3"/>
    <n v="40"/>
    <d v="1899-12-30T10:17:00"/>
    <s v="JMS"/>
    <x v="9"/>
    <x v="2"/>
    <x v="1"/>
    <s v="Ppr"/>
    <s v="Pugettia producta"/>
    <s v="Northern kelp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7"/>
    <x v="1"/>
    <s v="Isabelle Cote"/>
    <x v="15"/>
    <x v="15"/>
    <n v="48.9071"/>
    <n v="-125.03701700000001"/>
    <x v="9"/>
    <n v="3"/>
    <n v="40"/>
    <d v="1899-12-30T10:17:00"/>
    <s v="JMS"/>
    <x v="9"/>
    <x v="3"/>
    <x v="1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428"/>
    <x v="1"/>
    <s v="Isabelle Cote"/>
    <x v="15"/>
    <x v="15"/>
    <n v="48.9071"/>
    <n v="-125.03701700000001"/>
    <x v="9"/>
    <n v="3"/>
    <n v="40"/>
    <d v="1899-12-30T10:17:00"/>
    <s v="JMS"/>
    <x v="9"/>
    <x v="3"/>
    <x v="1"/>
    <s v="Hde"/>
    <s v="Hexagrammos decagrammus"/>
    <s v="Kelp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429"/>
    <x v="1"/>
    <s v="Isabelle Cote"/>
    <x v="15"/>
    <x v="15"/>
    <n v="48.9071"/>
    <n v="-125.03701700000001"/>
    <x v="9"/>
    <n v="3"/>
    <n v="40"/>
    <d v="1899-12-30T10:17:00"/>
    <s v="JMS"/>
    <x v="9"/>
    <x v="3"/>
    <x v="1"/>
    <s v="Hka"/>
    <s v="Haliotis kamtschatkana"/>
    <s v="Pinto abalone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430"/>
    <x v="1"/>
    <s v="Isabelle Cote"/>
    <x v="15"/>
    <x v="15"/>
    <n v="48.9071"/>
    <n v="-125.03701700000001"/>
    <x v="9"/>
    <n v="3"/>
    <n v="40"/>
    <d v="1899-12-30T10:17:00"/>
    <s v="JMS"/>
    <x v="9"/>
    <x v="3"/>
    <x v="1"/>
    <s v="hhe"/>
    <s v="Hemilepidotus hemilepidotus"/>
    <s v="Red Irish lord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431"/>
    <x v="1"/>
    <s v="Isabelle Cote"/>
    <x v="15"/>
    <x v="15"/>
    <n v="48.9071"/>
    <n v="-125.03701700000001"/>
    <x v="9"/>
    <n v="3"/>
    <n v="40"/>
    <d v="1899-12-30T10:17:00"/>
    <s v="JMS"/>
    <x v="9"/>
    <x v="3"/>
    <x v="1"/>
    <s v="Ogr"/>
    <s v="Oregonia gracilis"/>
    <s v="Graceful decorator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2"/>
    <x v="2"/>
    <s v="Em Lim"/>
    <x v="16"/>
    <x v="16"/>
    <n v="48.828948974609297"/>
    <n v="-125.19757080078099"/>
    <x v="6"/>
    <n v="1"/>
    <n v="210"/>
    <d v="1899-12-30T09:54:00"/>
    <s v="EGL"/>
    <x v="1"/>
    <x v="1"/>
    <x v="1"/>
    <s v="bfr"/>
    <s v="Brachyistius frenatus"/>
    <s v="Kelp perch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433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4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mfra"/>
    <s v="Mesocentrotus franciscanus"/>
    <s v="Red sea urchin"/>
    <n v="159"/>
    <n v="15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5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aha"/>
    <s v="Artedius harringtoni"/>
    <s v="Scalyhead sculpin"/>
    <n v="5"/>
    <n v="0"/>
    <m/>
    <n v="4"/>
    <n v="1"/>
    <m/>
    <m/>
    <m/>
    <m/>
    <m/>
    <m/>
    <m/>
    <m/>
    <m/>
    <m/>
    <m/>
    <m/>
    <m/>
    <m/>
    <m/>
    <m/>
    <m/>
    <m/>
    <m/>
    <m/>
    <m/>
    <m/>
    <m/>
    <m/>
    <m/>
  </r>
  <r>
    <n v="436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oko"/>
    <s v="Orthasterias koehleri"/>
    <s v="Rainbow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7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hcr"/>
    <s v="Hermissenda crassicornis"/>
    <s v="Opalescent nudibranc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8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ami"/>
    <s v="Acmaea mitra"/>
    <s v="Whitecap limpet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9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phem"/>
    <s v="Pagurus hemphilli"/>
    <s v="Maroon hermi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0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mopelia"/>
    <s v="Mopalia"/>
    <s v="Mopalia sp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1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phe"/>
    <s v="Pycnopodia helianthoides"/>
    <s v="Sunflower star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442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pmi"/>
    <s v="Patiria miniata"/>
    <s v="Bat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3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cli"/>
    <s v="Calliostoma ligatum"/>
    <s v="Blue top shell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4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5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cfo"/>
    <s v="Ceratostoma foliatum"/>
    <s v="Leafy hornmout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6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aca"/>
    <s v="Apostichopus californicus"/>
    <s v="California sea cucumbe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7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poc"/>
    <s v="Pisaster ochraceus"/>
    <s v="Purple sea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8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9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hka"/>
    <s v="Haliotis kamtschatkana"/>
    <s v="Pinto abalone"/>
    <n v="7"/>
    <n v="0"/>
    <m/>
    <n v="1"/>
    <n v="4"/>
    <n v="2"/>
    <m/>
    <m/>
    <m/>
    <m/>
    <m/>
    <m/>
    <m/>
    <m/>
    <m/>
    <m/>
    <m/>
    <m/>
    <m/>
    <m/>
    <m/>
    <m/>
    <m/>
    <m/>
    <m/>
    <m/>
    <m/>
    <m/>
    <m/>
    <m/>
  </r>
  <r>
    <n v="450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ogr"/>
    <s v="Oregonia gracilis"/>
    <s v="Graceful decorator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1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rni"/>
    <s v="Rhinogobiops nicholsii"/>
    <s v="Blackeye goby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452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clo"/>
    <s v="Chorilia longipes"/>
    <s v="Longhorn decorator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3"/>
    <x v="2"/>
    <s v="Em Lim"/>
    <x v="16"/>
    <x v="16"/>
    <n v="48.828948974609297"/>
    <n v="-125.19757080078099"/>
    <x v="6"/>
    <n v="1"/>
    <n v="210"/>
    <d v="1899-12-30T09:54:00"/>
    <s v="EGL"/>
    <x v="1"/>
    <x v="3"/>
    <x v="1"/>
    <s v="hde"/>
    <s v="Hexagrammos decagrammus"/>
    <s v="Kelp greenling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454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5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cste"/>
    <s v="Cryptochiton stelleri"/>
    <s v="Gumboot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6"/>
    <x v="2"/>
    <s v="Em Lim"/>
    <x v="16"/>
    <x v="16"/>
    <n v="48.828948974609297"/>
    <n v="-125.19757080078099"/>
    <x v="6"/>
    <n v="1"/>
    <n v="210"/>
    <d v="1899-12-30T09:54:00"/>
    <s v="EGL"/>
    <x v="1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7"/>
    <x v="2"/>
    <s v="Em Lim"/>
    <x v="16"/>
    <x v="16"/>
    <n v="48.828948974609297"/>
    <n v="-125.19757080078099"/>
    <x v="6"/>
    <n v="1"/>
    <n v="150"/>
    <d v="1899-12-30T12:18:00"/>
    <s v="EGL"/>
    <x v="1"/>
    <x v="1"/>
    <x v="2"/>
    <s v="hde"/>
    <s v="Hexagrammos decagrammus"/>
    <s v="Kelp greenling"/>
    <n v="3"/>
    <n v="0"/>
    <m/>
    <m/>
    <m/>
    <m/>
    <m/>
    <m/>
    <n v="2"/>
    <n v="1"/>
    <m/>
    <m/>
    <m/>
    <m/>
    <m/>
    <m/>
    <m/>
    <m/>
    <m/>
    <m/>
    <m/>
    <m/>
    <m/>
    <m/>
    <m/>
    <m/>
    <m/>
    <m/>
    <m/>
    <m/>
  </r>
  <r>
    <n v="458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mfra"/>
    <s v="Mesocentrotus franciscanus"/>
    <s v="Red sea urchin"/>
    <n v="437"/>
    <n v="43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9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aca"/>
    <s v="Apostichopus californicus"/>
    <s v="California sea cucumber"/>
    <n v="25"/>
    <n v="2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0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cfo"/>
    <s v="Ceratostoma foliatum"/>
    <s v="Leafy hornmouth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1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hka"/>
    <s v="Haliotis kamtschatkana"/>
    <s v="Pinto abalone"/>
    <n v="13"/>
    <n v="0"/>
    <n v="4"/>
    <n v="6"/>
    <n v="3"/>
    <m/>
    <m/>
    <m/>
    <m/>
    <m/>
    <m/>
    <m/>
    <m/>
    <m/>
    <m/>
    <m/>
    <m/>
    <m/>
    <m/>
    <m/>
    <m/>
    <m/>
    <m/>
    <m/>
    <m/>
    <m/>
    <m/>
    <m/>
    <m/>
    <m/>
  </r>
  <r>
    <n v="462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pgi"/>
    <s v="Pomaulax gibberosus"/>
    <s v="Red turban shell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3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rni"/>
    <s v="Rhinogobiops nicholsii"/>
    <s v="Blackeye goby"/>
    <n v="6"/>
    <n v="0"/>
    <n v="1"/>
    <n v="5"/>
    <m/>
    <m/>
    <m/>
    <m/>
    <m/>
    <m/>
    <m/>
    <m/>
    <m/>
    <m/>
    <m/>
    <m/>
    <m/>
    <m/>
    <m/>
    <m/>
    <m/>
    <m/>
    <m/>
    <m/>
    <m/>
    <m/>
    <m/>
    <m/>
    <m/>
    <m/>
  </r>
  <r>
    <n v="464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ami"/>
    <s v="Acmaea mitra"/>
    <s v="Whitecap limpet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5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oko"/>
    <s v="Orthasterias koehleri"/>
    <s v="Rainbow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6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cli"/>
    <s v="Calliostoma ligatum"/>
    <s v="Blue top shell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7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dim"/>
    <s v="Dermasterias imbricata"/>
    <s v="Leather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8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phe"/>
    <s v="Pycnopodia helianthoides"/>
    <s v="Sunflower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469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aha"/>
    <s v="Artedius harringtoni"/>
    <s v="Scalyhead sculpin"/>
    <n v="6"/>
    <n v="0"/>
    <n v="2"/>
    <n v="4"/>
    <m/>
    <m/>
    <m/>
    <m/>
    <m/>
    <m/>
    <m/>
    <m/>
    <m/>
    <m/>
    <m/>
    <m/>
    <m/>
    <m/>
    <m/>
    <m/>
    <m/>
    <m/>
    <m/>
    <m/>
    <m/>
    <m/>
    <m/>
    <m/>
    <m/>
    <m/>
  </r>
  <r>
    <n v="470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spu"/>
    <s v="Strongylocentrotus purpuratus"/>
    <s v="Purple sea urchin (?)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1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2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3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jzo"/>
    <s v="Jordania zonope"/>
    <s v="Longfin sculpin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474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pmi"/>
    <s v="Patiria miniata"/>
    <s v="Bat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475"/>
    <x v="2"/>
    <s v="Em Lim"/>
    <x v="16"/>
    <x v="16"/>
    <n v="48.828948974609297"/>
    <n v="-125.19757080078099"/>
    <x v="6"/>
    <n v="1"/>
    <n v="150"/>
    <d v="1899-12-30T12:18:00"/>
    <s v="EGL"/>
    <x v="1"/>
    <x v="2"/>
    <x v="2"/>
    <s v="dmo"/>
    <s v="Doris montereyensis"/>
    <s v="Monterey sea lemo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476"/>
    <x v="2"/>
    <s v="Em Lim"/>
    <x v="16"/>
    <x v="16"/>
    <n v="48.828948974609297"/>
    <n v="-125.19757080078099"/>
    <x v="6"/>
    <n v="1"/>
    <n v="150"/>
    <d v="1899-12-30T12:18:00"/>
    <s v="EGL"/>
    <x v="1"/>
    <x v="3"/>
    <x v="2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7"/>
    <x v="2"/>
    <s v="Em Lim"/>
    <x v="16"/>
    <x v="16"/>
    <n v="48.828948974609297"/>
    <n v="-125.19757080078099"/>
    <x v="6"/>
    <n v="1"/>
    <n v="150"/>
    <d v="1899-12-30T12:18:00"/>
    <s v="EGL"/>
    <x v="1"/>
    <x v="3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8"/>
    <x v="2"/>
    <s v="Em Lim"/>
    <x v="11"/>
    <x v="11"/>
    <n v="48.8273315429687"/>
    <n v="-125.196601867675"/>
    <x v="6"/>
    <n v="1"/>
    <n v="150"/>
    <d v="1899-12-30T12:18:00"/>
    <s v="EGL"/>
    <x v="1"/>
    <x v="1"/>
    <x v="2"/>
    <s v="hde"/>
    <s v="Hexagrammos decagrammus"/>
    <s v="Kelp greenling"/>
    <n v="3"/>
    <m/>
    <m/>
    <m/>
    <m/>
    <m/>
    <m/>
    <m/>
    <n v="2"/>
    <n v="1"/>
    <m/>
    <m/>
    <m/>
    <m/>
    <m/>
    <m/>
    <m/>
    <m/>
    <m/>
    <m/>
    <m/>
    <m/>
    <m/>
    <m/>
    <m/>
    <m/>
    <m/>
    <m/>
    <m/>
    <m/>
  </r>
  <r>
    <n v="479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mfra"/>
    <s v="Mesocentrotus franciscanus"/>
    <s v="Red sea urchin"/>
    <n v="437"/>
    <n v="43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0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aca"/>
    <s v="Apostichopus californicus"/>
    <s v="California sea cucumber"/>
    <n v="25"/>
    <n v="2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1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cfo"/>
    <s v="Ceratostoma foliatum"/>
    <s v="Leafy hornmouth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2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hka"/>
    <s v="Haliotis kamtschatkana"/>
    <s v="Pinto abalone"/>
    <n v="13"/>
    <n v="0"/>
    <n v="4"/>
    <n v="6"/>
    <n v="3"/>
    <m/>
    <m/>
    <m/>
    <m/>
    <m/>
    <m/>
    <m/>
    <m/>
    <m/>
    <m/>
    <m/>
    <m/>
    <m/>
    <m/>
    <m/>
    <m/>
    <m/>
    <m/>
    <m/>
    <m/>
    <m/>
    <m/>
    <m/>
    <m/>
    <m/>
  </r>
  <r>
    <n v="483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pgi"/>
    <s v="Pomaulax gibberosus"/>
    <s v="Red turban shell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4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rni"/>
    <s v="Rhinogobiops nicholsii"/>
    <s v="Blackeye goby"/>
    <n v="6"/>
    <n v="0"/>
    <n v="1"/>
    <n v="5"/>
    <m/>
    <m/>
    <m/>
    <m/>
    <m/>
    <m/>
    <m/>
    <m/>
    <m/>
    <m/>
    <m/>
    <m/>
    <m/>
    <m/>
    <m/>
    <m/>
    <m/>
    <m/>
    <m/>
    <m/>
    <m/>
    <m/>
    <m/>
    <m/>
    <m/>
    <m/>
  </r>
  <r>
    <n v="485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ami"/>
    <s v="Acmaea mitra"/>
    <s v="Whitecap limpet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6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oko"/>
    <s v="Orthasterias koehleri"/>
    <s v="Rainbow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7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cli"/>
    <s v="Calliostoma ligatum"/>
    <s v="Blue top shell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8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dim"/>
    <s v="Dermasterias imbricata"/>
    <s v="Leather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9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phe"/>
    <s v="Pycnopodia helianthoides"/>
    <s v="Sunflower star"/>
    <n v="1"/>
    <n v="1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490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aha"/>
    <s v="Artedius harringtoni"/>
    <s v="Scalyhead sculpin"/>
    <n v="6"/>
    <n v="0"/>
    <n v="2"/>
    <n v="4"/>
    <m/>
    <m/>
    <m/>
    <m/>
    <m/>
    <m/>
    <m/>
    <m/>
    <m/>
    <m/>
    <m/>
    <m/>
    <m/>
    <m/>
    <m/>
    <m/>
    <m/>
    <m/>
    <m/>
    <m/>
    <m/>
    <m/>
    <m/>
    <m/>
    <m/>
    <m/>
  </r>
  <r>
    <n v="491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spu"/>
    <s v="Strongylocentrotus purpuratus"/>
    <s v="Purple sea urchi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92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93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94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jzo"/>
    <s v="Jordania zonope"/>
    <s v="Longfin sculpin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495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96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97"/>
    <x v="2"/>
    <s v="Em Lim"/>
    <x v="11"/>
    <x v="11"/>
    <n v="48.8273315429687"/>
    <n v="-125.196601867675"/>
    <x v="6"/>
    <n v="1"/>
    <n v="150"/>
    <d v="1899-12-30T12:18:00"/>
    <s v="EGL"/>
    <x v="1"/>
    <x v="2"/>
    <x v="2"/>
    <s v="dez"/>
    <s v="Debris - Zero"/>
    <s v="No Debris foun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98"/>
    <x v="2"/>
    <s v="Em Lim"/>
    <x v="11"/>
    <x v="11"/>
    <n v="48.8273315429687"/>
    <n v="-125.196601867675"/>
    <x v="6"/>
    <n v="1"/>
    <n v="150"/>
    <d v="1899-12-30T12:18:00"/>
    <s v="EGL"/>
    <x v="1"/>
    <x v="3"/>
    <x v="3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99"/>
    <x v="2"/>
    <s v="Em Lim"/>
    <x v="17"/>
    <x v="17"/>
    <n v="48.857467651367102"/>
    <n v="-125.158233642578"/>
    <x v="10"/>
    <n v="2"/>
    <n v="210"/>
    <d v="1899-12-30T10:07:00"/>
    <s v="EGL"/>
    <x v="7"/>
    <x v="1"/>
    <x v="2"/>
    <s v="hde"/>
    <s v="Hexagrammos decagrammus"/>
    <s v="Kelp greenling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500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mfra"/>
    <s v="Mesocentrotus franciscanus"/>
    <s v="Red sea urchin"/>
    <n v="311"/>
    <n v="3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1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pgi"/>
    <s v="Pomaulax gibberosus"/>
    <s v="Red turban shell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2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jzo"/>
    <s v="Jordania zonope"/>
    <s v="Longfin sculpin"/>
    <n v="2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</r>
  <r>
    <n v="503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oko"/>
    <s v="Orthasterias koehleri"/>
    <s v="Rainbow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4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rni"/>
    <s v="Rhinogobiops nicholsii"/>
    <s v="Blackeye goby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5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dir"/>
    <s v="Dendronotus iris"/>
    <s v="Giant frond-aeol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6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tca"/>
    <s v="Triopha catalinae"/>
    <s v="Sea-clown trioph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7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phem"/>
    <s v="Pagurus hemphilli"/>
    <s v="Maroon hermi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8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henricia"/>
    <s v="Henricia spp."/>
    <s v="Unidentified blood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9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hka"/>
    <s v="Haliotis kamtschatkana"/>
    <s v="Pinto abalone"/>
    <n v="11"/>
    <n v="0"/>
    <n v="1"/>
    <n v="4"/>
    <n v="4"/>
    <n v="1"/>
    <n v="1"/>
    <m/>
    <m/>
    <m/>
    <m/>
    <m/>
    <m/>
    <m/>
    <m/>
    <m/>
    <m/>
    <m/>
    <m/>
    <m/>
    <m/>
    <m/>
    <m/>
    <m/>
    <m/>
    <m/>
    <m/>
    <m/>
    <m/>
    <m/>
  </r>
  <r>
    <n v="510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cgi"/>
    <s v="Crassadoma gigantea"/>
    <s v="Purple-hinged rock scallop"/>
    <n v="7"/>
    <n v="0"/>
    <m/>
    <m/>
    <n v="1"/>
    <n v="1"/>
    <n v="3"/>
    <n v="2"/>
    <m/>
    <m/>
    <m/>
    <m/>
    <m/>
    <m/>
    <m/>
    <m/>
    <m/>
    <m/>
    <m/>
    <m/>
    <m/>
    <m/>
    <m/>
    <m/>
    <m/>
    <m/>
    <m/>
    <m/>
    <m/>
    <m/>
  </r>
  <r>
    <n v="511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aca"/>
    <s v="Apostichopus californicus"/>
    <s v="California sea cucumber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2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dim"/>
    <s v="Dermasterias imbricata"/>
    <s v="Leather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3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4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5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ami"/>
    <s v="Acmaea mitra"/>
    <s v="Whitecap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6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7"/>
    <x v="2"/>
    <s v="Em Lim"/>
    <x v="17"/>
    <x v="17"/>
    <n v="48.857467651367102"/>
    <n v="-125.158233642578"/>
    <x v="10"/>
    <n v="2"/>
    <n v="210"/>
    <d v="1899-12-30T10:07:00"/>
    <s v="EGL"/>
    <x v="7"/>
    <x v="3"/>
    <x v="2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518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cfo"/>
    <s v="Ceratostoma foliatum"/>
    <s v="Leafy hornmout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9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0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phe"/>
    <s v="Pycnopodia helianthoides"/>
    <s v="Sunflower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521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2"/>
    <x v="2"/>
    <s v="Em Lim"/>
    <x v="17"/>
    <x v="17"/>
    <n v="48.857467651367102"/>
    <n v="-125.158233642578"/>
    <x v="10"/>
    <n v="2"/>
    <n v="210"/>
    <d v="1899-12-30T10:07:00"/>
    <s v="EGL"/>
    <x v="7"/>
    <x v="3"/>
    <x v="2"/>
    <s v="tfe"/>
    <s v="Tritonia festiva"/>
    <s v="Diamondback tritoni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3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bch"/>
    <s v="Berthella chacei"/>
    <s v="White berthella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4"/>
    <x v="2"/>
    <s v="Em Lim"/>
    <x v="17"/>
    <x v="17"/>
    <n v="48.857467651367102"/>
    <n v="-125.158233642578"/>
    <x v="10"/>
    <n v="2"/>
    <n v="210"/>
    <d v="1899-12-30T10:07:00"/>
    <s v="EGL"/>
    <x v="7"/>
    <x v="2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5"/>
    <x v="2"/>
    <s v="Em Lim"/>
    <x v="18"/>
    <x v="18"/>
    <n v="48.858283996582003"/>
    <n v="-125.160919189453"/>
    <x v="10"/>
    <n v="1.5"/>
    <n v="210"/>
    <d v="1899-12-30T12:50:00"/>
    <s v="EGL"/>
    <x v="10"/>
    <x v="1"/>
    <x v="2"/>
    <s v="hde"/>
    <s v="Hexagrammos decagrammus"/>
    <s v="Kelp greenling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526"/>
    <x v="2"/>
    <s v="Em Lim"/>
    <x v="18"/>
    <x v="18"/>
    <n v="48.858283996582003"/>
    <n v="-125.160919189453"/>
    <x v="10"/>
    <n v="1.5"/>
    <n v="210"/>
    <d v="1899-12-30T12:50:00"/>
    <s v="EGL"/>
    <x v="10"/>
    <x v="3"/>
    <x v="2"/>
    <s v="tfe"/>
    <s v="Tritonia festiva"/>
    <s v="Diamondback tritoni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7"/>
    <x v="2"/>
    <s v="Em Lim"/>
    <x v="18"/>
    <x v="18"/>
    <n v="48.858283996582003"/>
    <n v="-125.160919189453"/>
    <x v="10"/>
    <n v="1.5"/>
    <n v="210"/>
    <d v="1899-12-30T12:50:00"/>
    <s v="EGL"/>
    <x v="10"/>
    <x v="3"/>
    <x v="2"/>
    <s v="phe"/>
    <s v="Pycnopodia helianthoides"/>
    <s v="Sunflower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528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mfra"/>
    <s v="Mesocentrotus franciscanus"/>
    <s v="Red sea urchin"/>
    <n v="129"/>
    <n v="12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9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aca"/>
    <s v="Apostichopus californicus"/>
    <s v="California sea cucumber"/>
    <n v="36"/>
    <n v="3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0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oko"/>
    <s v="Orthasterias koehleri"/>
    <s v="Rainbow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1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rni"/>
    <s v="Rhinogobiops nicholsii"/>
    <s v="Blackeye goby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2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3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pgi"/>
    <s v="Pomaulax gibberosus"/>
    <s v="Red turban shell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4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ami"/>
    <s v="Acmaea mitra"/>
    <s v="Whitecap limpe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5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cgi"/>
    <s v="Crassadoma gigantea"/>
    <s v="Purple-hinged rock scallop"/>
    <n v="10"/>
    <n v="0"/>
    <m/>
    <m/>
    <n v="1"/>
    <n v="3"/>
    <n v="2"/>
    <n v="3"/>
    <n v="1"/>
    <m/>
    <m/>
    <m/>
    <m/>
    <m/>
    <m/>
    <m/>
    <m/>
    <m/>
    <m/>
    <m/>
    <m/>
    <m/>
    <m/>
    <m/>
    <m/>
    <m/>
    <m/>
    <m/>
    <m/>
    <m/>
  </r>
  <r>
    <n v="536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henricia"/>
    <s v="Henricia spp."/>
    <s v="Unidentified blood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7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cfo"/>
    <s v="Ceratostoma foliatum"/>
    <s v="Leafy hornmout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8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oko"/>
    <s v="Orthasterias koehleri"/>
    <s v="Rainbow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39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0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phe"/>
    <s v="Pycnopodia helianthoides"/>
    <s v="Sunflower star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541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hka"/>
    <s v="Haliotis kamtschatkana"/>
    <s v="Pinto abalone"/>
    <n v="5"/>
    <n v="0"/>
    <m/>
    <n v="3"/>
    <n v="2"/>
    <m/>
    <m/>
    <m/>
    <m/>
    <m/>
    <m/>
    <m/>
    <m/>
    <m/>
    <m/>
    <m/>
    <m/>
    <m/>
    <m/>
    <m/>
    <m/>
    <m/>
    <m/>
    <m/>
    <m/>
    <m/>
    <m/>
    <m/>
    <m/>
    <m/>
  </r>
  <r>
    <n v="542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dim"/>
    <s v="Dermasterias imbricata"/>
    <s v="Leather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3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hcr"/>
    <s v="Hermissenda crassicornis"/>
    <s v="Opalescent nudibranc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4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aha"/>
    <s v="Artedius harringtoni"/>
    <s v="Scalyhead sculpin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545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lcoc"/>
    <s v="Limacia cockerelli"/>
    <s v="Cockerell's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6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7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8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cli"/>
    <s v="Calliostoma ligatum"/>
    <s v="Blue top shel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9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pda"/>
    <s v="Pandalus danae"/>
    <s v="Dock shrimp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0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dir"/>
    <s v="Dendronotus iris"/>
    <s v="Giant frond-aeol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1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2"/>
    <x v="2"/>
    <s v="Em Lim"/>
    <x v="18"/>
    <x v="18"/>
    <n v="48.858283996582003"/>
    <n v="-125.160919189453"/>
    <x v="10"/>
    <n v="1.5"/>
    <n v="210"/>
    <d v="1899-12-30T12:50:00"/>
    <s v="EGL"/>
    <x v="10"/>
    <x v="2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3"/>
    <x v="2"/>
    <s v="Em Lim"/>
    <x v="12"/>
    <x v="12"/>
    <n v="48.950233459472599"/>
    <n v="-125.155548095703"/>
    <x v="7"/>
    <n v="5"/>
    <n v="240"/>
    <d v="1899-12-30T10:25:00"/>
    <s v="EGL"/>
    <x v="9"/>
    <x v="1"/>
    <x v="2"/>
    <s v="hde"/>
    <s v="Hexagrammos decagrammus"/>
    <s v="Kelp greenling"/>
    <n v="9"/>
    <n v="0"/>
    <m/>
    <m/>
    <m/>
    <m/>
    <m/>
    <m/>
    <n v="1"/>
    <n v="3"/>
    <n v="3"/>
    <n v="2"/>
    <m/>
    <m/>
    <m/>
    <m/>
    <m/>
    <m/>
    <m/>
    <m/>
    <m/>
    <m/>
    <m/>
    <m/>
    <m/>
    <m/>
    <m/>
    <m/>
    <m/>
    <m/>
  </r>
  <r>
    <n v="554"/>
    <x v="2"/>
    <s v="Em Lim"/>
    <x v="12"/>
    <x v="12"/>
    <n v="48.950233459472599"/>
    <n v="-125.155548095703"/>
    <x v="7"/>
    <n v="5"/>
    <n v="240"/>
    <d v="1899-12-30T10:25:00"/>
    <s v="EGL"/>
    <x v="9"/>
    <x v="1"/>
    <x v="2"/>
    <s v="sma"/>
    <s v="Sebastes maliger"/>
    <s v="Quillback rockfish"/>
    <n v="3"/>
    <n v="0"/>
    <m/>
    <m/>
    <m/>
    <m/>
    <m/>
    <m/>
    <m/>
    <m/>
    <n v="1"/>
    <n v="2"/>
    <m/>
    <m/>
    <m/>
    <m/>
    <m/>
    <m/>
    <m/>
    <m/>
    <m/>
    <m/>
    <m/>
    <m/>
    <m/>
    <m/>
    <m/>
    <m/>
    <m/>
    <m/>
  </r>
  <r>
    <n v="555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mfra"/>
    <s v="Mesocentrotus franciscanus"/>
    <s v="Red sea urchin"/>
    <n v="185"/>
    <n v="18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6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aca"/>
    <s v="Apostichopus californicus"/>
    <s v="California sea cucumbe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7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ami"/>
    <s v="Acmaea mitra"/>
    <s v="Whitecap limpet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8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pmi"/>
    <s v="Patiria miniata"/>
    <s v="Bat star"/>
    <n v="83"/>
    <n v="8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9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cli"/>
    <s v="Calliostoma ligatum"/>
    <s v="Blue top shell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0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1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rni"/>
    <s v="Rhinogobiops nicholsii"/>
    <s v="Blackeye goby"/>
    <n v="5"/>
    <n v="0"/>
    <m/>
    <m/>
    <n v="3"/>
    <n v="2"/>
    <m/>
    <m/>
    <m/>
    <m/>
    <m/>
    <m/>
    <m/>
    <m/>
    <m/>
    <m/>
    <m/>
    <m/>
    <m/>
    <m/>
    <m/>
    <m/>
    <m/>
    <m/>
    <m/>
    <m/>
    <m/>
    <m/>
    <m/>
    <m/>
  </r>
  <r>
    <n v="562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jzo"/>
    <s v="Jordania zonope"/>
    <s v="Longfin sculpin"/>
    <n v="8"/>
    <n v="0"/>
    <n v="3"/>
    <n v="5"/>
    <m/>
    <m/>
    <m/>
    <m/>
    <m/>
    <m/>
    <m/>
    <m/>
    <m/>
    <m/>
    <m/>
    <m/>
    <m/>
    <m/>
    <m/>
    <m/>
    <m/>
    <m/>
    <m/>
    <m/>
    <m/>
    <m/>
    <m/>
    <m/>
    <m/>
    <m/>
  </r>
  <r>
    <n v="563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oko"/>
    <s v="Orthasterias koehleri"/>
    <s v="Rainbow star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4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spu"/>
    <s v="Strongylocentrotus purpuratus"/>
    <s v="Purple sea urchin (?)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5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phem"/>
    <s v="Pagurus hemphilli"/>
    <s v="Maroon hermit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6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poc"/>
    <s v="Pisaster ochraceus"/>
    <s v="Purple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7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cgi"/>
    <s v="Crassadoma gigantea"/>
    <s v="Purple-hinged rock scallop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8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9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cfo"/>
    <s v="Ceratostoma foliatum"/>
    <s v="Leafy hornmout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0"/>
    <x v="2"/>
    <s v="Em Lim"/>
    <x v="12"/>
    <x v="12"/>
    <n v="48.950233459472599"/>
    <n v="-125.155548095703"/>
    <x v="7"/>
    <n v="5"/>
    <n v="240"/>
    <d v="1899-12-30T10:25:00"/>
    <s v="EGL"/>
    <x v="9"/>
    <x v="3"/>
    <x v="2"/>
    <s v="sme"/>
    <s v="Sebastes melanops"/>
    <s v="Black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571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pbe"/>
    <s v="Pagurus beringanus"/>
    <s v="Bering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2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hka"/>
    <s v="Haliotis kamtschatkana"/>
    <s v="Pinto abalone"/>
    <n v="6"/>
    <n v="0"/>
    <n v="2"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573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aha"/>
    <s v="Artedius harringtoni"/>
    <s v="Scalyhead sculpin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574"/>
    <x v="2"/>
    <s v="Em Lim"/>
    <x v="12"/>
    <x v="12"/>
    <n v="48.950233459472599"/>
    <n v="-125.155548095703"/>
    <x v="7"/>
    <n v="5"/>
    <n v="240"/>
    <d v="1899-12-30T10:25:00"/>
    <s v="EGL"/>
    <x v="9"/>
    <x v="3"/>
    <x v="2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575"/>
    <x v="2"/>
    <s v="Em Lim"/>
    <x v="12"/>
    <x v="12"/>
    <n v="48.950233459472599"/>
    <n v="-125.155548095703"/>
    <x v="7"/>
    <n v="5"/>
    <n v="240"/>
    <d v="1899-12-30T10:25:00"/>
    <s v="EGL"/>
    <x v="9"/>
    <x v="2"/>
    <x v="2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6"/>
    <x v="2"/>
    <s v="Em Lim"/>
    <x v="12"/>
    <x v="12"/>
    <n v="48.950233459472599"/>
    <n v="-125.155548095703"/>
    <x v="7"/>
    <n v="5"/>
    <n v="240"/>
    <d v="1899-12-30T10:25:00"/>
    <s v="EGL"/>
    <x v="9"/>
    <x v="3"/>
    <x v="2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577"/>
    <x v="2"/>
    <s v="Em Lim"/>
    <x v="12"/>
    <x v="12"/>
    <n v="48.950233459472599"/>
    <n v="-125.155548095703"/>
    <x v="7"/>
    <n v="5"/>
    <n v="240"/>
    <d v="1899-12-30T10:25:00"/>
    <s v="EGL"/>
    <x v="9"/>
    <x v="3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8"/>
    <x v="2"/>
    <s v="Em Lim"/>
    <x v="13"/>
    <x v="13"/>
    <n v="48.955081939697202"/>
    <n v="-125.15337371826099"/>
    <x v="7"/>
    <n v="5"/>
    <n v="150"/>
    <d v="1899-12-30T13:02:00"/>
    <s v="EGL"/>
    <x v="10"/>
    <x v="1"/>
    <x v="2"/>
    <s v="hde"/>
    <s v="Hexagrammos decagrammus"/>
    <s v="Kelp greenling"/>
    <n v="3"/>
    <n v="0"/>
    <m/>
    <m/>
    <m/>
    <m/>
    <m/>
    <m/>
    <m/>
    <m/>
    <n v="2"/>
    <n v="1"/>
    <m/>
    <m/>
    <m/>
    <m/>
    <m/>
    <m/>
    <m/>
    <m/>
    <m/>
    <m/>
    <m/>
    <m/>
    <m/>
    <m/>
    <m/>
    <m/>
    <m/>
    <m/>
  </r>
  <r>
    <n v="579"/>
    <x v="2"/>
    <s v="Em Lim"/>
    <x v="13"/>
    <x v="13"/>
    <n v="48.955081939697202"/>
    <n v="-125.15337371826099"/>
    <x v="7"/>
    <n v="5"/>
    <n v="150"/>
    <d v="1899-12-30T13:02:00"/>
    <s v="EGL"/>
    <x v="10"/>
    <x v="1"/>
    <x v="2"/>
    <s v="oel"/>
    <s v="Ophiodon elongatus"/>
    <s v="Lingcod"/>
    <n v="2"/>
    <n v="0"/>
    <m/>
    <m/>
    <m/>
    <m/>
    <m/>
    <m/>
    <m/>
    <m/>
    <m/>
    <n v="1"/>
    <n v="1"/>
    <m/>
    <m/>
    <m/>
    <m/>
    <m/>
    <m/>
    <m/>
    <m/>
    <m/>
    <m/>
    <m/>
    <m/>
    <m/>
    <m/>
    <m/>
    <m/>
    <m/>
  </r>
  <r>
    <n v="580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mfra"/>
    <s v="Mesocentrotus franciscanus"/>
    <s v="Red sea urchin"/>
    <n v="257"/>
    <n v="25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1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tfu"/>
    <s v="Tegula funebralis"/>
    <s v="Black top shell"/>
    <n v="185"/>
    <n v="18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2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pmi"/>
    <s v="Patiria miniata"/>
    <s v="Bat star"/>
    <n v="55"/>
    <n v="5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3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hka"/>
    <s v="Haliotis kamtschatkana"/>
    <s v="Pinto abalone"/>
    <n v="12"/>
    <n v="0"/>
    <n v="3"/>
    <n v="5"/>
    <n v="4"/>
    <m/>
    <m/>
    <m/>
    <m/>
    <m/>
    <m/>
    <m/>
    <m/>
    <m/>
    <m/>
    <m/>
    <m/>
    <m/>
    <m/>
    <m/>
    <m/>
    <m/>
    <m/>
    <m/>
    <m/>
    <m/>
    <m/>
    <m/>
    <m/>
    <m/>
  </r>
  <r>
    <n v="584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ami"/>
    <s v="Acmaea mitra"/>
    <s v="Whitecap limpet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5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cfo"/>
    <s v="Ceratostoma foliatum"/>
    <s v="Leafy hornmout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6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phem"/>
    <s v="Pagurus hemphilli"/>
    <s v="Maroon hermit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7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aha"/>
    <s v="Artedius harringtoni"/>
    <s v="Scalyhead sculpin"/>
    <n v="8"/>
    <n v="0"/>
    <m/>
    <n v="4"/>
    <n v="4"/>
    <m/>
    <m/>
    <m/>
    <m/>
    <m/>
    <m/>
    <m/>
    <m/>
    <m/>
    <m/>
    <m/>
    <m/>
    <m/>
    <m/>
    <m/>
    <m/>
    <m/>
    <m/>
    <m/>
    <m/>
    <m/>
    <m/>
    <m/>
    <m/>
    <m/>
  </r>
  <r>
    <n v="588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oko"/>
    <s v="Orthasterias koehleri"/>
    <s v="Rainbow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9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0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tli"/>
    <s v="Tonicella lineata"/>
    <s v="Lin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1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jzo"/>
    <s v="Jordania zonope"/>
    <s v="Longfin sculpin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592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pbe"/>
    <s v="Pagurus beringanus"/>
    <s v="Bering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3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aca"/>
    <s v="Apostichopus californicus"/>
    <s v="California sea cucumbe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4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spu"/>
    <s v="Strongylocentrotus purpuratus"/>
    <s v="Purple sea urchin (?)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5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cli"/>
    <s v="Calliostoma ligatum"/>
    <s v="Blue top shell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6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7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rni"/>
    <s v="Rhinogobiops nicholsii"/>
    <s v="Blackeye goby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598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9"/>
    <x v="2"/>
    <s v="Em Lim"/>
    <x v="13"/>
    <x v="13"/>
    <n v="48.955081939697202"/>
    <n v="-125.15337371826099"/>
    <x v="7"/>
    <n v="5"/>
    <n v="150"/>
    <d v="1899-12-30T13:02:00"/>
    <s v="EGL"/>
    <x v="10"/>
    <x v="3"/>
    <x v="2"/>
    <s v="oel"/>
    <s v="Ophiodon elongatus"/>
    <s v="Lingcod"/>
    <n v="1"/>
    <n v="0"/>
    <m/>
    <m/>
    <m/>
    <m/>
    <m/>
    <m/>
    <m/>
    <m/>
    <m/>
    <n v="1"/>
    <m/>
    <m/>
    <m/>
    <m/>
    <m/>
    <m/>
    <m/>
    <m/>
    <m/>
    <m/>
    <m/>
    <m/>
    <m/>
    <m/>
    <m/>
    <m/>
    <m/>
    <m/>
  </r>
  <r>
    <n v="600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ahu"/>
    <s v="Acanthodoris hudsoni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01"/>
    <x v="2"/>
    <s v="Em Lim"/>
    <x v="13"/>
    <x v="13"/>
    <n v="48.955081939697202"/>
    <n v="-125.15337371826099"/>
    <x v="7"/>
    <n v="5"/>
    <n v="150"/>
    <d v="1899-12-30T13:02:00"/>
    <s v="EGL"/>
    <x v="10"/>
    <x v="2"/>
    <x v="2"/>
    <s v="owr"/>
    <s v="Opalia wroblewskyi"/>
    <s v="Wroblewski's Wentletrap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02"/>
    <x v="2"/>
    <s v="Em Lim"/>
    <x v="13"/>
    <x v="13"/>
    <n v="48.955081939697202"/>
    <n v="-125.15337371826099"/>
    <x v="7"/>
    <n v="5"/>
    <n v="150"/>
    <d v="1899-12-30T13:02:00"/>
    <s v="EGL"/>
    <x v="10"/>
    <x v="3"/>
    <x v="2"/>
    <s v="hde"/>
    <s v="Hexagrammos decagrammus"/>
    <s v="Kelp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603"/>
    <x v="2"/>
    <s v="Em Lim"/>
    <x v="13"/>
    <x v="13"/>
    <n v="48.955081939697202"/>
    <n v="-125.15337371826099"/>
    <x v="7"/>
    <n v="5"/>
    <n v="150"/>
    <d v="1899-12-30T13:02:00"/>
    <s v="EGL"/>
    <x v="10"/>
    <x v="3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04"/>
    <x v="2"/>
    <s v="Em Lim"/>
    <x v="14"/>
    <x v="14"/>
    <n v="48.916072999999997"/>
    <n v="-125.131174"/>
    <x v="8"/>
    <n v="6"/>
    <n v="40"/>
    <d v="1899-12-30T10:27:00"/>
    <s v="EGL"/>
    <x v="11"/>
    <x v="1"/>
    <x v="2"/>
    <s v="hde"/>
    <s v="Hexagrammos decagrammus"/>
    <s v="Kelp greenling"/>
    <n v="4"/>
    <n v="0"/>
    <m/>
    <m/>
    <m/>
    <m/>
    <m/>
    <m/>
    <n v="1"/>
    <n v="1"/>
    <n v="2"/>
    <m/>
    <m/>
    <m/>
    <m/>
    <m/>
    <m/>
    <m/>
    <m/>
    <m/>
    <m/>
    <m/>
    <m/>
    <m/>
    <m/>
    <m/>
    <m/>
    <m/>
    <m/>
    <m/>
  </r>
  <r>
    <n v="605"/>
    <x v="2"/>
    <s v="Em Lim"/>
    <x v="14"/>
    <x v="14"/>
    <n v="48.916072999999997"/>
    <n v="-125.131174"/>
    <x v="8"/>
    <n v="6"/>
    <n v="40"/>
    <d v="1899-12-30T10:27:00"/>
    <s v="EGL"/>
    <x v="11"/>
    <x v="1"/>
    <x v="2"/>
    <s v="oel"/>
    <s v="Ophiodon elongatus"/>
    <s v="Lingcod"/>
    <n v="2"/>
    <n v="0"/>
    <m/>
    <m/>
    <m/>
    <m/>
    <m/>
    <m/>
    <m/>
    <m/>
    <m/>
    <n v="1"/>
    <m/>
    <m/>
    <m/>
    <m/>
    <n v="1"/>
    <m/>
    <m/>
    <m/>
    <m/>
    <m/>
    <m/>
    <m/>
    <m/>
    <m/>
    <m/>
    <m/>
    <m/>
    <m/>
  </r>
  <r>
    <n v="606"/>
    <x v="2"/>
    <s v="Em Lim"/>
    <x v="14"/>
    <x v="14"/>
    <n v="48.916072999999997"/>
    <n v="-125.131174"/>
    <x v="8"/>
    <n v="6"/>
    <n v="40"/>
    <d v="1899-12-30T10:27:00"/>
    <s v="EGL"/>
    <x v="11"/>
    <x v="1"/>
    <x v="2"/>
    <s v="sfl"/>
    <s v="Sebastes flavidus"/>
    <s v="Yellowtail rockfish"/>
    <n v="9"/>
    <n v="0"/>
    <m/>
    <m/>
    <m/>
    <m/>
    <m/>
    <m/>
    <n v="5"/>
    <n v="4"/>
    <m/>
    <m/>
    <m/>
    <m/>
    <m/>
    <m/>
    <m/>
    <m/>
    <m/>
    <m/>
    <m/>
    <m/>
    <m/>
    <m/>
    <m/>
    <m/>
    <m/>
    <m/>
    <m/>
    <m/>
  </r>
  <r>
    <n v="607"/>
    <x v="2"/>
    <s v="Em Lim"/>
    <x v="14"/>
    <x v="14"/>
    <n v="48.916072999999997"/>
    <n v="-125.131174"/>
    <x v="8"/>
    <n v="6"/>
    <n v="40"/>
    <d v="1899-12-30T10:27:00"/>
    <s v="EGL"/>
    <x v="11"/>
    <x v="1"/>
    <x v="2"/>
    <s v="sme"/>
    <s v="Sebastes melanops"/>
    <s v="Black rockfish"/>
    <n v="16"/>
    <n v="0"/>
    <m/>
    <m/>
    <m/>
    <m/>
    <m/>
    <n v="1"/>
    <n v="12"/>
    <m/>
    <n v="3"/>
    <m/>
    <m/>
    <m/>
    <m/>
    <m/>
    <m/>
    <m/>
    <m/>
    <m/>
    <m/>
    <m/>
    <m/>
    <m/>
    <m/>
    <m/>
    <m/>
    <m/>
    <m/>
    <m/>
  </r>
  <r>
    <n v="608"/>
    <x v="2"/>
    <s v="Em Lim"/>
    <x v="14"/>
    <x v="14"/>
    <n v="48.916072999999997"/>
    <n v="-125.131174"/>
    <x v="8"/>
    <n v="6"/>
    <n v="40"/>
    <d v="1899-12-30T10:27:00"/>
    <s v="EGL"/>
    <x v="11"/>
    <x v="1"/>
    <x v="2"/>
    <s v="sne"/>
    <s v="Sebastes nebulosus"/>
    <s v="China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609"/>
    <x v="2"/>
    <s v="Em Lim"/>
    <x v="14"/>
    <x v="14"/>
    <n v="48.916072999999997"/>
    <n v="-125.131174"/>
    <x v="8"/>
    <n v="6"/>
    <n v="40"/>
    <d v="1899-12-30T10:27:00"/>
    <s v="EGL"/>
    <x v="11"/>
    <x v="1"/>
    <x v="2"/>
    <s v="sca"/>
    <s v="Sebastes caurinus"/>
    <s v="Copper rockfish"/>
    <n v="1"/>
    <n v="0"/>
    <m/>
    <m/>
    <m/>
    <m/>
    <m/>
    <m/>
    <m/>
    <m/>
    <m/>
    <n v="1"/>
    <m/>
    <m/>
    <m/>
    <m/>
    <m/>
    <m/>
    <m/>
    <m/>
    <m/>
    <m/>
    <m/>
    <m/>
    <m/>
    <m/>
    <m/>
    <m/>
    <m/>
    <m/>
  </r>
  <r>
    <n v="610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mfra"/>
    <s v="Mesocentrotus franciscanus"/>
    <s v="Red sea urchin"/>
    <n v="142"/>
    <n v="14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11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ami"/>
    <s v="Acmaea mitra"/>
    <s v="Whitecap limpet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12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hka"/>
    <s v="Haliotis kamtschatkana"/>
    <s v="Pinto abalone"/>
    <n v="34"/>
    <n v="0"/>
    <n v="17"/>
    <n v="14"/>
    <n v="3"/>
    <m/>
    <m/>
    <m/>
    <m/>
    <m/>
    <m/>
    <m/>
    <m/>
    <m/>
    <m/>
    <m/>
    <m/>
    <m/>
    <m/>
    <m/>
    <m/>
    <m/>
    <m/>
    <m/>
    <m/>
    <m/>
    <m/>
    <m/>
    <m/>
    <m/>
  </r>
  <r>
    <n v="613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cfo"/>
    <s v="Ceratostoma foliatum"/>
    <s v="Leafy hornmouth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14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aha"/>
    <s v="Artedius harringtoni"/>
    <s v="Scalyhead sculpin"/>
    <n v="3"/>
    <n v="0"/>
    <n v="1"/>
    <n v="2"/>
    <m/>
    <m/>
    <m/>
    <m/>
    <m/>
    <m/>
    <m/>
    <m/>
    <m/>
    <m/>
    <m/>
    <m/>
    <m/>
    <m/>
    <m/>
    <m/>
    <m/>
    <m/>
    <m/>
    <m/>
    <m/>
    <m/>
    <m/>
    <m/>
    <m/>
    <m/>
  </r>
  <r>
    <n v="615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cgi"/>
    <s v="Crassadoma gigantea"/>
    <s v="Purple-hinged rock scallop"/>
    <n v="3"/>
    <n v="0"/>
    <m/>
    <m/>
    <n v="2"/>
    <m/>
    <m/>
    <n v="1"/>
    <m/>
    <m/>
    <m/>
    <m/>
    <m/>
    <m/>
    <m/>
    <m/>
    <m/>
    <m/>
    <m/>
    <m/>
    <m/>
    <m/>
    <m/>
    <m/>
    <m/>
    <m/>
    <m/>
    <m/>
    <m/>
    <m/>
  </r>
  <r>
    <n v="616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pmi"/>
    <s v="Patiria miniata"/>
    <s v="Bat star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17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dim"/>
    <s v="Dermasterias imbricata"/>
    <s v="Leather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18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oko"/>
    <s v="Orthasterias koehleri"/>
    <s v="Rainbow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19"/>
    <x v="2"/>
    <s v="Em Lim"/>
    <x v="14"/>
    <x v="14"/>
    <n v="48.916072999999997"/>
    <n v="-125.131174"/>
    <x v="8"/>
    <n v="6"/>
    <n v="40"/>
    <d v="1899-12-30T10:27:00"/>
    <s v="EGL"/>
    <x v="11"/>
    <x v="3"/>
    <x v="2"/>
    <s v="sne"/>
    <s v="Sebastes nebulosus"/>
    <s v="China rockfish"/>
    <n v="3"/>
    <n v="0"/>
    <m/>
    <m/>
    <m/>
    <m/>
    <m/>
    <m/>
    <n v="1"/>
    <n v="2"/>
    <m/>
    <m/>
    <m/>
    <m/>
    <m/>
    <m/>
    <m/>
    <m/>
    <m/>
    <m/>
    <m/>
    <m/>
    <m/>
    <m/>
    <m/>
    <m/>
    <m/>
    <m/>
    <m/>
    <m/>
  </r>
  <r>
    <n v="620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sdr"/>
    <s v="Strongylocentrotus droebachiensis"/>
    <s v="Northern sea urchi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21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pgi"/>
    <s v="Pomaulax gibberosus"/>
    <s v="Red turban shell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22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aca"/>
    <s v="Apostichopus californicus"/>
    <s v="California sea cucumbe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23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sac"/>
    <s v="Scyra acutifrons"/>
    <s v="Sharpnose crab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24"/>
    <x v="2"/>
    <s v="Em Lim"/>
    <x v="14"/>
    <x v="14"/>
    <n v="48.916072999999997"/>
    <n v="-125.131174"/>
    <x v="8"/>
    <n v="6"/>
    <n v="40"/>
    <d v="1899-12-30T10:27:00"/>
    <s v="EGL"/>
    <x v="11"/>
    <x v="3"/>
    <x v="2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625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26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cli"/>
    <s v="Calliostoma ligatum"/>
    <s v="Blue top shell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27"/>
    <x v="2"/>
    <s v="Em Lim"/>
    <x v="14"/>
    <x v="14"/>
    <n v="48.916072999999997"/>
    <n v="-125.131174"/>
    <x v="8"/>
    <n v="6"/>
    <n v="40"/>
    <d v="1899-12-30T10:27:00"/>
    <s v="EGL"/>
    <x v="11"/>
    <x v="3"/>
    <x v="2"/>
    <s v="jzo"/>
    <s v="Jordania zonope"/>
    <s v="Longfin sculpin"/>
    <n v="7"/>
    <n v="0"/>
    <n v="5"/>
    <n v="2"/>
    <m/>
    <m/>
    <m/>
    <m/>
    <m/>
    <m/>
    <m/>
    <m/>
    <m/>
    <m/>
    <m/>
    <m/>
    <m/>
    <m/>
    <m/>
    <m/>
    <m/>
    <m/>
    <m/>
    <m/>
    <m/>
    <m/>
    <m/>
    <m/>
    <m/>
    <m/>
  </r>
  <r>
    <n v="628"/>
    <x v="2"/>
    <s v="Em Lim"/>
    <x v="14"/>
    <x v="14"/>
    <n v="48.916072999999997"/>
    <n v="-125.131174"/>
    <x v="8"/>
    <n v="6"/>
    <n v="40"/>
    <d v="1899-12-30T10:27:00"/>
    <s v="EGL"/>
    <x v="11"/>
    <x v="3"/>
    <x v="2"/>
    <s v="sme"/>
    <s v="Sebastes melanops"/>
    <s v="Black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629"/>
    <x v="2"/>
    <s v="Em Lim"/>
    <x v="14"/>
    <x v="14"/>
    <n v="48.916072999999997"/>
    <n v="-125.131174"/>
    <x v="8"/>
    <n v="6"/>
    <n v="40"/>
    <d v="1899-12-30T10:27:00"/>
    <s v="EGL"/>
    <x v="11"/>
    <x v="3"/>
    <x v="2"/>
    <s v="sfl"/>
    <s v="Sebastes flavidus"/>
    <s v="Yellowtail rockfish"/>
    <n v="2"/>
    <n v="0"/>
    <m/>
    <m/>
    <m/>
    <m/>
    <n v="1"/>
    <m/>
    <n v="1"/>
    <m/>
    <m/>
    <m/>
    <m/>
    <m/>
    <m/>
    <m/>
    <m/>
    <m/>
    <m/>
    <m/>
    <m/>
    <m/>
    <m/>
    <m/>
    <m/>
    <m/>
    <m/>
    <m/>
    <m/>
    <m/>
  </r>
  <r>
    <n v="630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phem"/>
    <s v="Pagurus hemphilli"/>
    <s v="Maroon hermit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31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32"/>
    <x v="2"/>
    <s v="Em Lim"/>
    <x v="14"/>
    <x v="14"/>
    <n v="48.916072999999997"/>
    <n v="-125.131174"/>
    <x v="8"/>
    <n v="6"/>
    <n v="40"/>
    <d v="1899-12-30T10:27:00"/>
    <s v="EGL"/>
    <x v="11"/>
    <x v="2"/>
    <x v="2"/>
    <s v="rni"/>
    <s v="Rhinogobiops nicholsii"/>
    <s v="Blackeye goby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633"/>
    <x v="2"/>
    <s v="Em Lim"/>
    <x v="14"/>
    <x v="14"/>
    <n v="48.916072999999997"/>
    <n v="-125.131174"/>
    <x v="8"/>
    <n v="6"/>
    <n v="40"/>
    <d v="1899-12-30T10:27:00"/>
    <s v="EGL"/>
    <x v="11"/>
    <x v="3"/>
    <x v="2"/>
    <s v="hde"/>
    <s v="Hexagrammos decagrammus"/>
    <s v="Kelp greenling"/>
    <n v="2"/>
    <n v="0"/>
    <m/>
    <m/>
    <m/>
    <m/>
    <m/>
    <m/>
    <m/>
    <n v="2"/>
    <m/>
    <m/>
    <m/>
    <m/>
    <m/>
    <m/>
    <m/>
    <m/>
    <m/>
    <m/>
    <m/>
    <m/>
    <m/>
    <m/>
    <m/>
    <m/>
    <m/>
    <m/>
    <m/>
    <m/>
  </r>
  <r>
    <n v="634"/>
    <x v="2"/>
    <s v="Em Lim"/>
    <x v="14"/>
    <x v="14"/>
    <n v="48.916072999999997"/>
    <n v="-125.131174"/>
    <x v="8"/>
    <n v="6"/>
    <n v="40"/>
    <d v="1899-12-30T10:27:00"/>
    <s v="EGL"/>
    <x v="11"/>
    <x v="3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35"/>
    <x v="2"/>
    <s v="Em Lim"/>
    <x v="19"/>
    <x v="19"/>
    <n v="48.838594999999998"/>
    <n v="-125.135015"/>
    <x v="8"/>
    <n v="4"/>
    <n v="330"/>
    <d v="1899-12-30T13:20:00"/>
    <s v="EGL"/>
    <x v="12"/>
    <x v="1"/>
    <x v="2"/>
    <s v="sme"/>
    <s v="Sebastes melanops"/>
    <s v="Black rockfish"/>
    <n v="12"/>
    <n v="0"/>
    <m/>
    <m/>
    <m/>
    <m/>
    <n v="3"/>
    <n v="8"/>
    <n v="1"/>
    <m/>
    <m/>
    <m/>
    <m/>
    <m/>
    <m/>
    <m/>
    <m/>
    <m/>
    <m/>
    <m/>
    <m/>
    <m/>
    <m/>
    <m/>
    <m/>
    <m/>
    <m/>
    <m/>
    <m/>
    <m/>
  </r>
  <r>
    <n v="636"/>
    <x v="2"/>
    <s v="Em Lim"/>
    <x v="19"/>
    <x v="19"/>
    <n v="48.838594999999998"/>
    <n v="-125.135015"/>
    <x v="8"/>
    <n v="4"/>
    <n v="330"/>
    <d v="1899-12-30T13:20:00"/>
    <s v="EGL"/>
    <x v="12"/>
    <x v="1"/>
    <x v="2"/>
    <s v="sca"/>
    <s v="Sebastes caurinus"/>
    <s v="Copper rockfish"/>
    <n v="3"/>
    <n v="0"/>
    <m/>
    <m/>
    <m/>
    <m/>
    <n v="3"/>
    <m/>
    <m/>
    <m/>
    <m/>
    <m/>
    <m/>
    <m/>
    <m/>
    <m/>
    <m/>
    <m/>
    <m/>
    <m/>
    <m/>
    <m/>
    <m/>
    <m/>
    <m/>
    <m/>
    <m/>
    <m/>
    <m/>
    <m/>
  </r>
  <r>
    <n v="637"/>
    <x v="2"/>
    <s v="Em Lim"/>
    <x v="19"/>
    <x v="19"/>
    <n v="48.838594999999998"/>
    <n v="-125.135015"/>
    <x v="8"/>
    <n v="4"/>
    <n v="330"/>
    <d v="1899-12-30T13:20:00"/>
    <s v="EGL"/>
    <x v="12"/>
    <x v="1"/>
    <x v="2"/>
    <s v="sfl"/>
    <s v="Sebastes flavidus"/>
    <s v="Yellowtail rockfish"/>
    <n v="43"/>
    <n v="0"/>
    <m/>
    <m/>
    <n v="3"/>
    <n v="13"/>
    <n v="27"/>
    <m/>
    <m/>
    <m/>
    <m/>
    <m/>
    <m/>
    <m/>
    <m/>
    <m/>
    <m/>
    <m/>
    <m/>
    <m/>
    <m/>
    <m/>
    <m/>
    <m/>
    <m/>
    <m/>
    <m/>
    <m/>
    <m/>
    <m/>
  </r>
  <r>
    <n v="638"/>
    <x v="2"/>
    <s v="Em Lim"/>
    <x v="19"/>
    <x v="19"/>
    <n v="48.838594999999998"/>
    <n v="-125.135015"/>
    <x v="8"/>
    <n v="4"/>
    <n v="330"/>
    <d v="1899-12-30T13:20:00"/>
    <s v="EGL"/>
    <x v="12"/>
    <x v="1"/>
    <x v="2"/>
    <s v="hde"/>
    <s v="Hexagrammos decagrammus"/>
    <s v="Kelp greenling"/>
    <n v="14"/>
    <n v="0"/>
    <m/>
    <m/>
    <m/>
    <m/>
    <n v="4"/>
    <n v="2"/>
    <n v="5"/>
    <n v="3"/>
    <m/>
    <m/>
    <m/>
    <m/>
    <m/>
    <m/>
    <m/>
    <m/>
    <m/>
    <m/>
    <m/>
    <m/>
    <m/>
    <m/>
    <m/>
    <m/>
    <m/>
    <m/>
    <m/>
    <m/>
  </r>
  <r>
    <n v="639"/>
    <x v="2"/>
    <s v="Em Lim"/>
    <x v="19"/>
    <x v="19"/>
    <n v="48.838594999999998"/>
    <n v="-125.135015"/>
    <x v="8"/>
    <n v="4"/>
    <n v="330"/>
    <d v="1899-12-30T13:20:00"/>
    <s v="EGL"/>
    <x v="12"/>
    <x v="1"/>
    <x v="2"/>
    <s v="opi"/>
    <s v="Oxylebius pictus"/>
    <s v="Painted greenling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640"/>
    <x v="2"/>
    <s v="Em Lim"/>
    <x v="19"/>
    <x v="19"/>
    <n v="48.838594999999998"/>
    <n v="-125.135015"/>
    <x v="8"/>
    <n v="4"/>
    <n v="330"/>
    <d v="1899-12-30T13:20:00"/>
    <s v="EGL"/>
    <x v="12"/>
    <x v="1"/>
    <x v="2"/>
    <s v="sma"/>
    <s v="Sebastes maliger"/>
    <s v="Quillback rockfish"/>
    <n v="2"/>
    <n v="0"/>
    <m/>
    <m/>
    <m/>
    <m/>
    <m/>
    <n v="2"/>
    <m/>
    <m/>
    <m/>
    <m/>
    <m/>
    <m/>
    <m/>
    <m/>
    <m/>
    <m/>
    <m/>
    <m/>
    <m/>
    <m/>
    <m/>
    <m/>
    <m/>
    <m/>
    <m/>
    <m/>
    <m/>
    <m/>
  </r>
  <r>
    <n v="641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mfra"/>
    <s v="Mesocentrotus franciscanus"/>
    <s v="Red sea urchin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42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pmi"/>
    <s v="Patiria miniata"/>
    <s v="Bat star"/>
    <n v="35"/>
    <n v="3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43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rni"/>
    <s v="Rhinogobiops nicholsii"/>
    <s v="Blackeye goby"/>
    <n v="127"/>
    <n v="12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44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hka"/>
    <s v="Haliotis kamtschatkana"/>
    <s v="Pinto abalone"/>
    <n v="13"/>
    <n v="0"/>
    <m/>
    <n v="3"/>
    <n v="6"/>
    <n v="3"/>
    <n v="1"/>
    <m/>
    <m/>
    <m/>
    <m/>
    <m/>
    <m/>
    <m/>
    <m/>
    <m/>
    <m/>
    <m/>
    <m/>
    <m/>
    <m/>
    <m/>
    <m/>
    <m/>
    <m/>
    <m/>
    <m/>
    <m/>
    <m/>
    <m/>
  </r>
  <r>
    <n v="645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phem"/>
    <s v="Pagurus hemphilli"/>
    <s v="Maroon hermi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46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cgi"/>
    <s v="Crassadoma gigantea"/>
    <s v="Purple-hinged rock scallop"/>
    <n v="7"/>
    <n v="0"/>
    <m/>
    <m/>
    <n v="2"/>
    <n v="3"/>
    <m/>
    <n v="2"/>
    <m/>
    <m/>
    <m/>
    <m/>
    <m/>
    <m/>
    <m/>
    <m/>
    <m/>
    <m/>
    <m/>
    <m/>
    <m/>
    <m/>
    <m/>
    <m/>
    <m/>
    <m/>
    <m/>
    <m/>
    <m/>
    <m/>
  </r>
  <r>
    <n v="647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cfo"/>
    <s v="Ceratostoma foliatum"/>
    <s v="Leafy hornmouth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48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ami"/>
    <s v="Acmaea mitra"/>
    <s v="Whitecap limpet"/>
    <n v="25"/>
    <n v="2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49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etr"/>
    <s v="Evasterias troschelii"/>
    <s v="Mottled starfish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50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dim"/>
    <s v="Dermasterias imbricata"/>
    <s v="Leather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51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52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aca"/>
    <s v="Apostichopus californicus"/>
    <s v="California sea cucumber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53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henricia"/>
    <s v="Henri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54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hhe"/>
    <s v="Hemilepidotus hemilepidotus"/>
    <s v="Red Irish lord"/>
    <n v="2"/>
    <n v="0"/>
    <m/>
    <m/>
    <m/>
    <m/>
    <m/>
    <n v="1"/>
    <n v="1"/>
    <m/>
    <m/>
    <m/>
    <m/>
    <m/>
    <m/>
    <m/>
    <m/>
    <m/>
    <m/>
    <m/>
    <m/>
    <m/>
    <m/>
    <m/>
    <m/>
    <m/>
    <m/>
    <m/>
    <m/>
    <m/>
  </r>
  <r>
    <n v="655"/>
    <x v="2"/>
    <s v="Em Lim"/>
    <x v="19"/>
    <x v="19"/>
    <n v="48.838594999999998"/>
    <n v="-125.135015"/>
    <x v="8"/>
    <n v="4"/>
    <n v="330"/>
    <d v="1899-12-30T13:20:00"/>
    <s v="EGL"/>
    <x v="12"/>
    <x v="3"/>
    <x v="2"/>
    <s v="phe"/>
    <s v="Pycnopodia helianthoides"/>
    <s v="Sunflow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656"/>
    <x v="2"/>
    <s v="Em Lim"/>
    <x v="19"/>
    <x v="19"/>
    <n v="48.838594999999998"/>
    <n v="-125.135015"/>
    <x v="8"/>
    <n v="4"/>
    <n v="330"/>
    <d v="1899-12-30T13:20:00"/>
    <s v="EGL"/>
    <x v="12"/>
    <x v="3"/>
    <x v="2"/>
    <s v="hde"/>
    <s v="Hexagrammos decagrammus"/>
    <s v="Kelp greenling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657"/>
    <x v="2"/>
    <s v="Em Lim"/>
    <x v="19"/>
    <x v="19"/>
    <n v="48.838594999999998"/>
    <n v="-125.135015"/>
    <x v="8"/>
    <n v="4"/>
    <n v="330"/>
    <d v="1899-12-30T13:20:00"/>
    <s v="EGL"/>
    <x v="12"/>
    <x v="3"/>
    <x v="2"/>
    <s v="opi"/>
    <s v="Oxylebius pictus"/>
    <s v="Painted greenling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658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59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pla"/>
    <s v="Pholis laeta"/>
    <s v="Crescent gunnel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660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1"/>
    <x v="2"/>
    <s v="Em Lim"/>
    <x v="19"/>
    <x v="19"/>
    <n v="48.838594999999998"/>
    <n v="-125.135015"/>
    <x v="8"/>
    <n v="4"/>
    <n v="330"/>
    <d v="1899-12-30T13:20:00"/>
    <s v="EGL"/>
    <x v="12"/>
    <x v="3"/>
    <x v="2"/>
    <s v="sca"/>
    <s v="Sebastes caurinus"/>
    <s v="Copper rockfish"/>
    <n v="2"/>
    <n v="0"/>
    <m/>
    <m/>
    <m/>
    <m/>
    <n v="2"/>
    <m/>
    <m/>
    <m/>
    <m/>
    <m/>
    <m/>
    <m/>
    <m/>
    <m/>
    <m/>
    <m/>
    <m/>
    <m/>
    <m/>
    <m/>
    <m/>
    <m/>
    <m/>
    <m/>
    <m/>
    <m/>
    <m/>
    <m/>
  </r>
  <r>
    <n v="662"/>
    <x v="2"/>
    <s v="Em Lim"/>
    <x v="19"/>
    <x v="19"/>
    <n v="48.838594999999998"/>
    <n v="-125.135015"/>
    <x v="8"/>
    <n v="4"/>
    <n v="330"/>
    <d v="1899-12-30T13:20:00"/>
    <s v="EGL"/>
    <x v="12"/>
    <x v="3"/>
    <x v="2"/>
    <s v="sfl"/>
    <s v="Sebastes flavidus"/>
    <s v="Yellowtail rockfish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663"/>
    <x v="2"/>
    <s v="Em Lim"/>
    <x v="19"/>
    <x v="19"/>
    <n v="48.838594999999998"/>
    <n v="-125.135015"/>
    <x v="8"/>
    <n v="4"/>
    <n v="330"/>
    <d v="1899-12-30T13:20:00"/>
    <s v="EGL"/>
    <x v="12"/>
    <x v="3"/>
    <x v="2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4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pgi"/>
    <s v="Pomaulax gibberosus"/>
    <s v="Red turban shell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5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spu"/>
    <s v="Strongylocentrotus purpuratus"/>
    <s v="Purple sea urchin (?)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6"/>
    <x v="2"/>
    <s v="Em Lim"/>
    <x v="19"/>
    <x v="19"/>
    <n v="48.838594999999998"/>
    <n v="-125.135015"/>
    <x v="8"/>
    <n v="4"/>
    <n v="330"/>
    <d v="1899-12-30T13:20:00"/>
    <s v="EGL"/>
    <x v="12"/>
    <x v="2"/>
    <x v="2"/>
    <s v="DEG"/>
    <s v="Debris - Glass"/>
    <s v="Any glass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7"/>
    <x v="2"/>
    <s v="Jasmin Schuster"/>
    <x v="15"/>
    <x v="15"/>
    <n v="48.9071"/>
    <n v="-125.03701700000001"/>
    <x v="9"/>
    <n v="3"/>
    <n v="40"/>
    <d v="1899-12-30T10:17:00"/>
    <s v="JMS"/>
    <x v="9"/>
    <x v="3"/>
    <x v="2"/>
    <s v="dir"/>
    <s v="Dendronotus iris"/>
    <s v="Giant frond-aeol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8"/>
    <x v="2"/>
    <s v="Jasmin Schuster"/>
    <x v="15"/>
    <x v="15"/>
    <n v="48.9071"/>
    <n v="-125.03701700000001"/>
    <x v="9"/>
    <n v="3"/>
    <n v="40"/>
    <d v="1899-12-30T10:17:00"/>
    <s v="JMS"/>
    <x v="9"/>
    <x v="1"/>
    <x v="2"/>
    <s v="hde"/>
    <s v="Hexagrammos decagrammus"/>
    <s v="Kelp greenling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669"/>
    <x v="2"/>
    <s v="Jasmin Schuster"/>
    <x v="15"/>
    <x v="15"/>
    <n v="48.9071"/>
    <n v="-125.03701700000001"/>
    <x v="9"/>
    <n v="3"/>
    <n v="40"/>
    <d v="1899-12-30T10:17:00"/>
    <s v="JMS"/>
    <x v="9"/>
    <x v="3"/>
    <x v="2"/>
    <s v="phe"/>
    <s v="Pycnopodia helianthoides"/>
    <s v="Sunflower star"/>
    <n v="2"/>
    <n v="0"/>
    <n v="1"/>
    <m/>
    <m/>
    <m/>
    <m/>
    <n v="1"/>
    <m/>
    <m/>
    <m/>
    <m/>
    <m/>
    <m/>
    <m/>
    <m/>
    <m/>
    <m/>
    <m/>
    <m/>
    <m/>
    <m/>
    <m/>
    <m/>
    <m/>
    <m/>
    <m/>
    <m/>
    <m/>
    <m/>
  </r>
  <r>
    <n v="670"/>
    <x v="2"/>
    <s v="Jasmin Schuster"/>
    <x v="15"/>
    <x v="15"/>
    <n v="48.9071"/>
    <n v="-125.03701700000001"/>
    <x v="9"/>
    <n v="3"/>
    <n v="40"/>
    <d v="1899-12-30T10:17:00"/>
    <s v="JMS"/>
    <x v="9"/>
    <x v="1"/>
    <x v="2"/>
    <s v="afl"/>
    <s v="Aulorhynchus flavidus"/>
    <s v="Tube-snout"/>
    <n v="20"/>
    <n v="0"/>
    <m/>
    <m/>
    <m/>
    <m/>
    <n v="20"/>
    <m/>
    <m/>
    <m/>
    <m/>
    <m/>
    <m/>
    <m/>
    <m/>
    <m/>
    <m/>
    <m/>
    <m/>
    <m/>
    <m/>
    <m/>
    <m/>
    <m/>
    <m/>
    <m/>
    <m/>
    <m/>
    <m/>
    <m/>
  </r>
  <r>
    <n v="671"/>
    <x v="2"/>
    <s v="Jasmin Schuster"/>
    <x v="15"/>
    <x v="15"/>
    <n v="48.9071"/>
    <n v="-125.03701700000001"/>
    <x v="9"/>
    <n v="3"/>
    <n v="40"/>
    <d v="1899-12-30T10:17:00"/>
    <s v="JMS"/>
    <x v="9"/>
    <x v="1"/>
    <x v="2"/>
    <s v="sme"/>
    <s v="Sebastes melanops"/>
    <s v="Black rockfish"/>
    <n v="6"/>
    <n v="0"/>
    <m/>
    <m/>
    <m/>
    <m/>
    <m/>
    <n v="3"/>
    <n v="3"/>
    <m/>
    <m/>
    <m/>
    <m/>
    <m/>
    <m/>
    <m/>
    <m/>
    <m/>
    <m/>
    <m/>
    <m/>
    <m/>
    <m/>
    <m/>
    <m/>
    <m/>
    <m/>
    <m/>
    <m/>
    <m/>
  </r>
  <r>
    <n v="672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mfra"/>
    <s v="Mesocentrotus franciscanus"/>
    <s v="Red sea urchi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3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rni"/>
    <s v="Rhinogobiops nicholsii"/>
    <s v="Blackeye goby"/>
    <n v="23"/>
    <n v="0"/>
    <n v="11"/>
    <n v="9"/>
    <n v="3"/>
    <m/>
    <m/>
    <m/>
    <m/>
    <m/>
    <m/>
    <m/>
    <m/>
    <m/>
    <m/>
    <m/>
    <m/>
    <m/>
    <m/>
    <m/>
    <m/>
    <m/>
    <m/>
    <m/>
    <m/>
    <m/>
    <m/>
    <m/>
    <m/>
    <m/>
  </r>
  <r>
    <n v="674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dim"/>
    <s v="Dermasterias imbricata"/>
    <s v="Leather star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5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oko"/>
    <s v="Orthasterias koehleri"/>
    <s v="Rainbow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6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7"/>
    <x v="2"/>
    <s v="Jasmin Schuster"/>
    <x v="15"/>
    <x v="15"/>
    <n v="48.9071"/>
    <n v="-125.03701700000001"/>
    <x v="9"/>
    <n v="3"/>
    <n v="40"/>
    <d v="1899-12-30T10:17:00"/>
    <s v="JMS"/>
    <x v="9"/>
    <x v="3"/>
    <x v="2"/>
    <s v="sme"/>
    <s v="Sebastes melanops"/>
    <s v="Black rockfish"/>
    <n v="2"/>
    <n v="0"/>
    <m/>
    <m/>
    <m/>
    <m/>
    <m/>
    <n v="2"/>
    <m/>
    <m/>
    <m/>
    <m/>
    <m/>
    <m/>
    <m/>
    <m/>
    <m/>
    <m/>
    <m/>
    <m/>
    <m/>
    <m/>
    <m/>
    <m/>
    <m/>
    <m/>
    <m/>
    <m/>
    <m/>
    <m/>
  </r>
  <r>
    <n v="678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phem"/>
    <s v="Pagurus hemphilli"/>
    <s v="Maroon hermi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9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0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ogr"/>
    <s v="Oregonia gracilis"/>
    <s v="Graceful decorator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1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mae"/>
    <s v="Mediaster aequalis"/>
    <s v="Vermillion sea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2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cgi"/>
    <s v="Crassadoma gigantea"/>
    <s v="Purple-hinged rock scallop"/>
    <n v="13"/>
    <m/>
    <m/>
    <n v="1"/>
    <n v="5"/>
    <n v="5"/>
    <n v="2"/>
    <m/>
    <m/>
    <m/>
    <m/>
    <m/>
    <m/>
    <m/>
    <m/>
    <m/>
    <m/>
    <m/>
    <m/>
    <m/>
    <m/>
    <m/>
    <m/>
    <m/>
    <m/>
    <m/>
    <m/>
    <m/>
    <m/>
    <m/>
  </r>
  <r>
    <n v="683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4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hcr"/>
    <s v="Hermissenda crassicornis"/>
    <s v="Opalescent nudibranc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5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pbe"/>
    <s v="Pagurus beringanus"/>
    <s v="Bering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6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clo"/>
    <s v="Chorilia longipes"/>
    <s v="Longhorn decorator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7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pgi"/>
    <s v="Pomaulax gibberosus"/>
    <s v="Red turban shell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8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tli"/>
    <s v="Tonicella lineata"/>
    <s v="Lin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9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sfo"/>
    <s v="Stylasterias forreri"/>
    <s v="Velcro sea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0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ptr"/>
    <s v="Polycera tricolor"/>
    <s v="Tricolour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1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jzo"/>
    <s v="Jordania zonope"/>
    <s v="Longfin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692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3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lcoc"/>
    <s v="Limacia cockerelli"/>
    <s v="Cockerell's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4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phe"/>
    <s v="Pycnopodia helianthoides"/>
    <s v="Sunflower star"/>
    <n v="5"/>
    <n v="0"/>
    <n v="2"/>
    <m/>
    <n v="1"/>
    <m/>
    <n v="2"/>
    <m/>
    <m/>
    <m/>
    <m/>
    <m/>
    <m/>
    <m/>
    <m/>
    <m/>
    <m/>
    <m/>
    <m/>
    <m/>
    <m/>
    <m/>
    <m/>
    <m/>
    <m/>
    <m/>
    <m/>
    <m/>
    <m/>
    <m/>
  </r>
  <r>
    <n v="695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cpr"/>
    <s v="Cancer productus"/>
    <s v="Red rock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6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aha"/>
    <s v="Artedius harringtoni"/>
    <s v="Scalyhead sculpin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697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acali"/>
    <s v="Armina californica"/>
    <s v="Striped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8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9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aca"/>
    <s v="Apostichopus californicus"/>
    <s v="California sea cucumbe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0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pte"/>
    <s v="Pteraster tesselatus"/>
    <s v="Slime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1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dir"/>
    <s v="Dendronotus iris"/>
    <s v="Giant frond-aeol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2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shrimp"/>
    <s v="Unidentified shrimp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3"/>
    <x v="2"/>
    <s v="Jasmin Schuster"/>
    <x v="15"/>
    <x v="15"/>
    <n v="48.9071"/>
    <n v="-125.03701700000001"/>
    <x v="9"/>
    <n v="3"/>
    <n v="40"/>
    <d v="1899-12-30T10:17:00"/>
    <s v="JMS"/>
    <x v="9"/>
    <x v="2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4"/>
    <x v="2"/>
    <s v="Em Lim"/>
    <x v="20"/>
    <x v="20"/>
    <n v="48.901183000000003"/>
    <n v="-125.060433"/>
    <x v="9"/>
    <n v="3"/>
    <n v="340"/>
    <d v="1899-12-30T13:24:00"/>
    <s v="IMC"/>
    <x v="10"/>
    <x v="1"/>
    <x v="2"/>
    <s v="hde"/>
    <s v="Hexagrammos decagrammus"/>
    <s v="Kelp greenling"/>
    <n v="8"/>
    <n v="0"/>
    <m/>
    <m/>
    <m/>
    <m/>
    <n v="3"/>
    <n v="2"/>
    <n v="2"/>
    <n v="1"/>
    <m/>
    <m/>
    <m/>
    <m/>
    <m/>
    <m/>
    <m/>
    <m/>
    <m/>
    <m/>
    <m/>
    <m/>
    <m/>
    <m/>
    <m/>
    <m/>
    <m/>
    <m/>
    <m/>
    <m/>
  </r>
  <r>
    <n v="705"/>
    <x v="2"/>
    <s v="Em Lim"/>
    <x v="20"/>
    <x v="20"/>
    <n v="48.901183000000003"/>
    <n v="-125.060433"/>
    <x v="9"/>
    <n v="3"/>
    <n v="340"/>
    <d v="1899-12-30T13:24:00"/>
    <s v="IMC"/>
    <x v="10"/>
    <x v="1"/>
    <x v="2"/>
    <s v="sca"/>
    <s v="Sebastes caurinus"/>
    <s v="Copper rockfish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706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mfra"/>
    <s v="Mesocentrotus franciscanus"/>
    <s v="Red sea urchin"/>
    <n v="44"/>
    <n v="4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7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aca"/>
    <s v="Apostichopus californicus"/>
    <s v="California sea cucumber"/>
    <n v="33"/>
    <n v="3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8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cgi"/>
    <s v="Crassadoma gigantea"/>
    <s v="Purple-hinged rock scallop"/>
    <n v="7"/>
    <n v="0"/>
    <m/>
    <n v="1"/>
    <n v="2"/>
    <n v="3"/>
    <n v="1"/>
    <m/>
    <m/>
    <m/>
    <m/>
    <m/>
    <m/>
    <m/>
    <m/>
    <m/>
    <m/>
    <m/>
    <m/>
    <m/>
    <m/>
    <m/>
    <m/>
    <m/>
    <m/>
    <m/>
    <m/>
    <m/>
    <m/>
    <m/>
  </r>
  <r>
    <n v="709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pgi"/>
    <s v="Pomaulax gibberosus"/>
    <s v="Red turban shell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0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dim"/>
    <s v="Dermasterias imbricata"/>
    <s v="Leather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1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dodo"/>
    <s v="Diaulula odonoghuei"/>
    <s v="Spotted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2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3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ami"/>
    <s v="Acmaea mitra"/>
    <s v="Whitecap limpe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4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phe"/>
    <s v="Pycnopodia helianthoides"/>
    <s v="Sunflower star"/>
    <n v="2"/>
    <n v="0"/>
    <m/>
    <n v="1"/>
    <m/>
    <m/>
    <m/>
    <n v="1"/>
    <m/>
    <m/>
    <m/>
    <m/>
    <m/>
    <m/>
    <m/>
    <m/>
    <m/>
    <m/>
    <m/>
    <m/>
    <m/>
    <m/>
    <m/>
    <m/>
    <m/>
    <m/>
    <m/>
    <m/>
    <m/>
    <m/>
  </r>
  <r>
    <n v="715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cfo"/>
    <s v="Ceratostoma foliatum"/>
    <s v="Leafy hornmout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6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phem"/>
    <s v="Pagurus hemphilli"/>
    <s v="Maroon hermi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7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rni"/>
    <s v="Rhinogobiops nicholsii"/>
    <s v="Blackeye goby"/>
    <n v="28"/>
    <n v="0"/>
    <n v="2"/>
    <n v="15"/>
    <n v="10"/>
    <n v="1"/>
    <m/>
    <m/>
    <m/>
    <m/>
    <m/>
    <m/>
    <m/>
    <m/>
    <m/>
    <m/>
    <m/>
    <m/>
    <m/>
    <m/>
    <m/>
    <m/>
    <m/>
    <m/>
    <m/>
    <m/>
    <m/>
    <m/>
    <m/>
    <m/>
  </r>
  <r>
    <n v="718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dir"/>
    <s v="Dendronotus iris"/>
    <s v="Giant frond-aeolis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9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0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1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2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mae"/>
    <s v="Mediaster aequalis"/>
    <s v="Vermillion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3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4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5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pmi"/>
    <s v="Patiria miniata"/>
    <s v="Bat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6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henricia"/>
    <s v="Henri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7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hcr"/>
    <s v="Hermissenda crassicornis"/>
    <s v="Opalescent nudibranc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8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aha"/>
    <s v="Artedius harringtoni"/>
    <s v="Scalyhead sculpin"/>
    <n v="2"/>
    <m/>
    <n v="1"/>
    <n v="1"/>
    <m/>
    <m/>
    <m/>
    <m/>
    <m/>
    <m/>
    <m/>
    <m/>
    <m/>
    <m/>
    <m/>
    <m/>
    <m/>
    <m/>
    <m/>
    <m/>
    <m/>
    <m/>
    <m/>
    <m/>
    <m/>
    <m/>
    <m/>
    <m/>
    <m/>
    <m/>
  </r>
  <r>
    <n v="729"/>
    <x v="2"/>
    <s v="Em Lim"/>
    <x v="20"/>
    <x v="20"/>
    <n v="48.901183000000003"/>
    <n v="-125.060433"/>
    <x v="9"/>
    <n v="3"/>
    <n v="340"/>
    <d v="1899-12-30T13:24:00"/>
    <s v="IMC"/>
    <x v="10"/>
    <x v="3"/>
    <x v="2"/>
    <s v="hde"/>
    <s v="Hexagrammos decagrammus"/>
    <s v="Kelp greenling"/>
    <n v="2"/>
    <n v="0"/>
    <m/>
    <m/>
    <n v="1"/>
    <m/>
    <n v="1"/>
    <m/>
    <m/>
    <m/>
    <m/>
    <m/>
    <m/>
    <m/>
    <m/>
    <m/>
    <m/>
    <m/>
    <m/>
    <m/>
    <m/>
    <m/>
    <m/>
    <m/>
    <m/>
    <m/>
    <m/>
    <m/>
    <m/>
    <m/>
  </r>
  <r>
    <n v="730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tli"/>
    <s v="Tonicella lineata"/>
    <s v="Lin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1"/>
    <x v="2"/>
    <s v="Em Lim"/>
    <x v="20"/>
    <x v="20"/>
    <n v="48.901183000000003"/>
    <n v="-125.060433"/>
    <x v="9"/>
    <n v="3"/>
    <n v="340"/>
    <d v="1899-12-30T13:24:00"/>
    <s v="IMC"/>
    <x v="10"/>
    <x v="2"/>
    <x v="2"/>
    <s v="DEM"/>
    <s v="Debris - Metal"/>
    <s v="Any metal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2"/>
    <x v="3"/>
    <s v="Valesca de Groot"/>
    <x v="16"/>
    <x v="16"/>
    <n v="48.828948974609297"/>
    <n v="-125.19757080078099"/>
    <x v="6"/>
    <n v="1"/>
    <n v="30"/>
    <d v="1899-12-30T09:54:00"/>
    <s v="VDG"/>
    <x v="8"/>
    <x v="1"/>
    <x v="1"/>
    <s v="hde"/>
    <s v="Hexagrammos decagrammus"/>
    <s v="Kelp greenling"/>
    <n v="4"/>
    <n v="0"/>
    <m/>
    <m/>
    <m/>
    <m/>
    <m/>
    <n v="2"/>
    <n v="1"/>
    <m/>
    <n v="1"/>
    <m/>
    <m/>
    <m/>
    <m/>
    <m/>
    <m/>
    <m/>
    <m/>
    <m/>
    <m/>
    <m/>
    <m/>
    <m/>
    <m/>
    <m/>
    <m/>
    <m/>
    <m/>
    <m/>
  </r>
  <r>
    <n v="733"/>
    <x v="3"/>
    <s v="Valesca de Groot"/>
    <x v="16"/>
    <x v="16"/>
    <n v="48.828948974609297"/>
    <n v="-125.19757080078099"/>
    <x v="6"/>
    <n v="1"/>
    <n v="30"/>
    <d v="1899-12-30T09:54:00"/>
    <s v="VDG"/>
    <x v="8"/>
    <x v="1"/>
    <x v="1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734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etr"/>
    <s v="Evasterias troschelii"/>
    <s v="Mottled starfis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5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mfra"/>
    <s v="Mesocentrotus franciscanus"/>
    <s v="Red sea urchin"/>
    <n v="76"/>
    <n v="75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736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hcr"/>
    <s v="Hermissenda crassicornis"/>
    <s v="Opalescent nudibranch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7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pgi"/>
    <s v="Pomaulax gibberosus"/>
    <s v="Red turban shell"/>
    <n v="33"/>
    <n v="3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8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dim"/>
    <s v="Dermasterias imbricata"/>
    <s v="Leather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9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hka"/>
    <s v="Haliotis kamtschatkana"/>
    <s v="Pinto abalone"/>
    <n v="10"/>
    <n v="0"/>
    <m/>
    <m/>
    <m/>
    <n v="5"/>
    <n v="5"/>
    <m/>
    <m/>
    <m/>
    <m/>
    <m/>
    <m/>
    <m/>
    <m/>
    <m/>
    <m/>
    <m/>
    <m/>
    <m/>
    <m/>
    <m/>
    <m/>
    <m/>
    <m/>
    <m/>
    <m/>
    <m/>
    <m/>
    <m/>
  </r>
  <r>
    <n v="740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ami"/>
    <s v="Acmaea mitra"/>
    <s v="Whitecap limpet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1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pmi"/>
    <s v="Patiria miniata"/>
    <s v="Bat star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tli"/>
    <s v="Tonicella lineata"/>
    <s v="Lined Chito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cfo"/>
    <s v="Ceratostoma foliatum"/>
    <s v="Leafy hornmouth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phe"/>
    <s v="Pycnopodia helianthoides"/>
    <s v="Sunflower star"/>
    <n v="4"/>
    <n v="0"/>
    <m/>
    <n v="4"/>
    <m/>
    <m/>
    <m/>
    <m/>
    <m/>
    <m/>
    <m/>
    <m/>
    <m/>
    <m/>
    <m/>
    <m/>
    <m/>
    <m/>
    <m/>
    <m/>
    <m/>
    <m/>
    <m/>
    <m/>
    <m/>
    <m/>
    <m/>
    <m/>
    <m/>
    <m/>
  </r>
  <r>
    <n v="745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hle"/>
    <s v="Henricia leviuscula"/>
    <s v="Pacific blood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6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7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8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9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aha"/>
    <s v="Artedius harringtoni"/>
    <s v="Scalyhead sculpin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750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1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dod"/>
    <s v="Doris odhneri"/>
    <s v="White night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2"/>
    <x v="3"/>
    <s v="Valesca de Groot"/>
    <x v="16"/>
    <x v="16"/>
    <n v="48.828948974609297"/>
    <n v="-125.19757080078099"/>
    <x v="6"/>
    <n v="1"/>
    <n v="30"/>
    <d v="1899-12-30T09:54:00"/>
    <s v="VDG"/>
    <x v="8"/>
    <x v="2"/>
    <x v="1"/>
    <s v="aca"/>
    <s v="Apostichopus californicus"/>
    <s v="California sea cucumbe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3"/>
    <x v="3"/>
    <s v="Valesca de Groot"/>
    <x v="17"/>
    <x v="17"/>
    <n v="48.857467651367102"/>
    <n v="-125.158233642578"/>
    <x v="10"/>
    <n v="1"/>
    <n v="210"/>
    <d v="1899-12-30T10:12:00"/>
    <s v="VDG"/>
    <x v="1"/>
    <x v="1"/>
    <x v="2"/>
    <s v="hde"/>
    <s v="Hexagrammos decagrammus"/>
    <s v="Kelp greenling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754"/>
    <x v="3"/>
    <s v="Valesca de Groot"/>
    <x v="17"/>
    <x v="17"/>
    <n v="48.857467651367102"/>
    <n v="-125.158233642578"/>
    <x v="10"/>
    <n v="1"/>
    <n v="210"/>
    <d v="1899-12-30T10:12:00"/>
    <s v="VDG"/>
    <x v="1"/>
    <x v="3"/>
    <x v="2"/>
    <s v="pte"/>
    <s v="Pteraster tesselatus"/>
    <s v="Cushion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5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mfra"/>
    <s v="Mesocentrotus franciscanus"/>
    <s v="Red sea urchin"/>
    <n v="329"/>
    <n v="32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6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oko"/>
    <s v="Orthasterias koehleri"/>
    <s v="Rainbow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7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pda"/>
    <s v="Pandalus danae"/>
    <s v="Dock shrimp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8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pgi"/>
    <s v="Pomaulax gibberosus"/>
    <s v="Red turban shell"/>
    <n v="59"/>
    <n v="5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9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hcr"/>
    <s v="Hermissenda crassicornis"/>
    <s v="Opalescent nudibranc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0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sdr"/>
    <s v="Strongylocentrotus droebachiensis"/>
    <s v="Northern sea urchi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1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hle"/>
    <s v="Henricia leviuscula"/>
    <s v="Pacific blood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2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aha"/>
    <s v="Artedius harringtoni"/>
    <s v="Scalyhead sculpin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3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4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cfo"/>
    <s v="Ceratostoma foliatum"/>
    <s v="Leafy hornmout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5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6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tli"/>
    <s v="Tonicella lineata"/>
    <s v="Lined Chiton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7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sac"/>
    <s v="Scyra acutifrons"/>
    <s v="Sharpnose crab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8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ppr"/>
    <s v="Pugettia producta"/>
    <s v="Northern kelp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9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hka"/>
    <s v="Haliotis kamtschatkana"/>
    <s v="Pinto abalone"/>
    <n v="13"/>
    <n v="0"/>
    <m/>
    <n v="3"/>
    <n v="3"/>
    <n v="2"/>
    <n v="4"/>
    <n v="1"/>
    <m/>
    <m/>
    <m/>
    <m/>
    <m/>
    <m/>
    <m/>
    <m/>
    <m/>
    <m/>
    <m/>
    <m/>
    <m/>
    <m/>
    <m/>
    <m/>
    <m/>
    <m/>
    <m/>
    <m/>
    <m/>
    <m/>
  </r>
  <r>
    <n v="770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cgi"/>
    <s v="Crassadoma gigantea"/>
    <s v="Purple-hinged rock scallop"/>
    <n v="3"/>
    <n v="0"/>
    <m/>
    <m/>
    <m/>
    <m/>
    <m/>
    <n v="3"/>
    <m/>
    <m/>
    <m/>
    <m/>
    <m/>
    <m/>
    <m/>
    <m/>
    <m/>
    <m/>
    <m/>
    <m/>
    <m/>
    <m/>
    <m/>
    <m/>
    <m/>
    <m/>
    <m/>
    <m/>
    <m/>
    <m/>
  </r>
  <r>
    <n v="771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dim"/>
    <s v="Dermasterias imbricata"/>
    <s v="Leather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2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gunnel"/>
    <s v="Pholis spp."/>
    <s v="Unidentified gunne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3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ami"/>
    <s v="Acmaea mitra"/>
    <s v="Whitecap limpe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4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phe"/>
    <s v="Pycnopodia helianthoides"/>
    <s v="Sunflower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775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hermit"/>
    <s v="Paguroidea spp."/>
    <s v="Unidentified hermit crab"/>
    <n v="0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6"/>
    <x v="3"/>
    <s v="Valesca de Groot"/>
    <x v="17"/>
    <x v="17"/>
    <n v="48.857467651367102"/>
    <n v="-125.158233642578"/>
    <x v="10"/>
    <n v="1"/>
    <n v="210"/>
    <d v="1899-12-30T10:12:00"/>
    <s v="VDG"/>
    <x v="1"/>
    <x v="2"/>
    <x v="2"/>
    <s v="dodo"/>
    <s v="Diaulula odonoghuei"/>
    <s v="Spotted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7"/>
    <x v="3"/>
    <s v="Valesca de Groot"/>
    <x v="18"/>
    <x v="18"/>
    <n v="48.858283996582003"/>
    <n v="-125.160919189453"/>
    <x v="10"/>
    <n v="1"/>
    <n v="30"/>
    <d v="1899-12-30T12:54:00"/>
    <s v="VDG"/>
    <x v="5"/>
    <x v="1"/>
    <x v="2"/>
    <s v="hde"/>
    <s v="Hexagrammos decagrammus"/>
    <s v="Kelp greenling"/>
    <n v="2"/>
    <n v="0"/>
    <m/>
    <m/>
    <m/>
    <m/>
    <n v="1"/>
    <m/>
    <n v="1"/>
    <m/>
    <m/>
    <m/>
    <m/>
    <m/>
    <m/>
    <m/>
    <m/>
    <m/>
    <m/>
    <m/>
    <m/>
    <m/>
    <m/>
    <m/>
    <m/>
    <m/>
    <m/>
    <m/>
    <m/>
    <m/>
  </r>
  <r>
    <n v="778"/>
    <x v="3"/>
    <s v="Valesca de Groot"/>
    <x v="18"/>
    <x v="18"/>
    <n v="48.858283996582003"/>
    <n v="-125.160919189453"/>
    <x v="10"/>
    <n v="1"/>
    <n v="30"/>
    <d v="1899-12-30T12:54:00"/>
    <s v="VDG"/>
    <x v="5"/>
    <x v="3"/>
    <x v="2"/>
    <s v="ebi"/>
    <s v="Enophrys bison"/>
    <s v="Buffalo sculpin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779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mfra"/>
    <s v="Mesocentrotus franciscanus"/>
    <s v="Red sea urchin"/>
    <n v="391"/>
    <n v="39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0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tli"/>
    <s v="Tonicella lineata"/>
    <s v="Lined Chiton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1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hcr"/>
    <s v="Hermissenda crassicornis"/>
    <s v="Opalescent nudibranch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2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cfo"/>
    <s v="Ceratostoma foliatum"/>
    <s v="Leafy hornmouth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3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hle"/>
    <s v="Henricia leviuscula"/>
    <s v="Pacific blood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4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ami"/>
    <s v="Acmaea mitra"/>
    <s v="Whitecap limpe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5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cgi"/>
    <s v="Crassadoma gigantea"/>
    <s v="Purple-hinged rock scallop"/>
    <n v="3"/>
    <n v="0"/>
    <m/>
    <m/>
    <m/>
    <n v="2"/>
    <m/>
    <n v="1"/>
    <m/>
    <m/>
    <m/>
    <m/>
    <m/>
    <m/>
    <m/>
    <m/>
    <m/>
    <m/>
    <m/>
    <m/>
    <m/>
    <m/>
    <m/>
    <m/>
    <m/>
    <m/>
    <m/>
    <m/>
    <m/>
    <m/>
  </r>
  <r>
    <n v="786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hka"/>
    <s v="Haliotis kamtschatkana"/>
    <s v="Pinto abalone"/>
    <n v="18"/>
    <n v="0"/>
    <m/>
    <m/>
    <n v="6"/>
    <n v="10"/>
    <n v="2"/>
    <m/>
    <m/>
    <m/>
    <m/>
    <m/>
    <m/>
    <m/>
    <m/>
    <m/>
    <m/>
    <m/>
    <m/>
    <m/>
    <m/>
    <m/>
    <m/>
    <m/>
    <m/>
    <m/>
    <m/>
    <m/>
    <m/>
    <m/>
  </r>
  <r>
    <n v="787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afu"/>
    <s v="Antiopella fusca"/>
    <s v="White-and-orange-tipped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8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pco"/>
    <s v="Pleuronichthys coenosus"/>
    <s v="C-o sole"/>
    <n v="2"/>
    <n v="0"/>
    <m/>
    <m/>
    <m/>
    <m/>
    <m/>
    <m/>
    <n v="1"/>
    <n v="1"/>
    <m/>
    <m/>
    <m/>
    <m/>
    <m/>
    <m/>
    <m/>
    <m/>
    <m/>
    <m/>
    <m/>
    <m/>
    <m/>
    <m/>
    <m/>
    <m/>
    <m/>
    <m/>
    <m/>
    <m/>
  </r>
  <r>
    <n v="789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pgi"/>
    <s v="Pomaulax gibberosus"/>
    <s v="Red turban shell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0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1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oko"/>
    <s v="Orthasterias koehleri"/>
    <s v="Rainbow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2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aha"/>
    <s v="Artedius harringtoni"/>
    <s v="Scalyhead sculpin"/>
    <n v="6"/>
    <n v="0"/>
    <n v="1"/>
    <n v="5"/>
    <m/>
    <m/>
    <m/>
    <m/>
    <m/>
    <m/>
    <m/>
    <m/>
    <m/>
    <m/>
    <m/>
    <m/>
    <m/>
    <m/>
    <m/>
    <m/>
    <m/>
    <m/>
    <m/>
    <m/>
    <m/>
    <m/>
    <m/>
    <m/>
    <m/>
    <m/>
  </r>
  <r>
    <n v="793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4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sdr"/>
    <s v="Strongylocentrotus droebachiensis"/>
    <s v="Northern sea urchi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5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rni"/>
    <s v="Rhinogobiops nicholsii"/>
    <s v="Blackeye goby"/>
    <n v="9"/>
    <n v="0"/>
    <n v="3"/>
    <n v="6"/>
    <m/>
    <m/>
    <m/>
    <m/>
    <m/>
    <m/>
    <m/>
    <m/>
    <m/>
    <m/>
    <m/>
    <m/>
    <m/>
    <m/>
    <m/>
    <m/>
    <m/>
    <m/>
    <m/>
    <m/>
    <m/>
    <m/>
    <m/>
    <m/>
    <m/>
    <m/>
  </r>
  <r>
    <n v="796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mcr"/>
    <s v="Megathura crenulata"/>
    <s v="Giant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7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dal"/>
    <s v="Dirona albolineata"/>
    <s v="Frosted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8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pmi"/>
    <s v="Patiria miniata"/>
    <s v="Bat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9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phe"/>
    <s v="Pycnopodia helianthoides"/>
    <s v="Sunflower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800"/>
    <x v="3"/>
    <s v="Valesca de Groot"/>
    <x v="18"/>
    <x v="18"/>
    <n v="48.858283996582003"/>
    <n v="-125.160919189453"/>
    <x v="10"/>
    <n v="1"/>
    <n v="30"/>
    <d v="1899-12-30T12:54:00"/>
    <s v="VDG"/>
    <x v="5"/>
    <x v="2"/>
    <x v="2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1"/>
    <x v="3"/>
    <s v="Valesca de Groot"/>
    <x v="18"/>
    <x v="18"/>
    <n v="48.858283996582003"/>
    <n v="-125.160919189453"/>
    <x v="10"/>
    <n v="1"/>
    <n v="30"/>
    <d v="1899-12-30T12:54:00"/>
    <s v="VDG"/>
    <x v="5"/>
    <x v="3"/>
    <x v="2"/>
    <s v="oel"/>
    <s v="Ophiodon elongatus"/>
    <s v="Lingcod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802"/>
    <x v="3"/>
    <s v="Valesca de Groot"/>
    <x v="14"/>
    <x v="14"/>
    <n v="48.916072999999997"/>
    <n v="-125.131174"/>
    <x v="8"/>
    <n v="6"/>
    <n v="40"/>
    <d v="1899-12-30T10:27:00"/>
    <s v="JMS"/>
    <x v="7"/>
    <x v="1"/>
    <x v="2"/>
    <s v="hde"/>
    <s v="Hexagrammos decagrammus"/>
    <s v="Kelp greenling"/>
    <n v="17"/>
    <n v="0"/>
    <m/>
    <m/>
    <m/>
    <m/>
    <m/>
    <n v="4"/>
    <n v="2"/>
    <n v="5"/>
    <n v="6"/>
    <m/>
    <m/>
    <m/>
    <m/>
    <m/>
    <m/>
    <m/>
    <m/>
    <m/>
    <m/>
    <m/>
    <m/>
    <m/>
    <m/>
    <m/>
    <m/>
    <m/>
    <m/>
    <m/>
  </r>
  <r>
    <n v="803"/>
    <x v="3"/>
    <s v="Valesca de Groot"/>
    <x v="14"/>
    <x v="14"/>
    <n v="48.916072999999997"/>
    <n v="-125.131174"/>
    <x v="8"/>
    <n v="6"/>
    <n v="40"/>
    <d v="1899-12-30T10:27:00"/>
    <s v="JMS"/>
    <x v="7"/>
    <x v="1"/>
    <x v="2"/>
    <s v="oel"/>
    <s v="Ophiodon elongatus"/>
    <s v="Lingcod"/>
    <n v="2"/>
    <n v="0"/>
    <m/>
    <m/>
    <m/>
    <m/>
    <m/>
    <m/>
    <m/>
    <m/>
    <m/>
    <m/>
    <n v="2"/>
    <m/>
    <m/>
    <m/>
    <m/>
    <m/>
    <m/>
    <m/>
    <m/>
    <m/>
    <m/>
    <m/>
    <m/>
    <m/>
    <m/>
    <m/>
    <m/>
    <m/>
  </r>
  <r>
    <n v="804"/>
    <x v="3"/>
    <s v="Valesca de Groot"/>
    <x v="14"/>
    <x v="14"/>
    <n v="48.916072999999997"/>
    <n v="-125.131174"/>
    <x v="8"/>
    <n v="6"/>
    <n v="40"/>
    <d v="1899-12-30T10:27:00"/>
    <s v="JMS"/>
    <x v="7"/>
    <x v="1"/>
    <x v="2"/>
    <s v="sme"/>
    <s v="Sebastes melanops"/>
    <s v="Black rockfish"/>
    <n v="9"/>
    <n v="0"/>
    <m/>
    <m/>
    <m/>
    <m/>
    <m/>
    <n v="7"/>
    <n v="2"/>
    <m/>
    <m/>
    <m/>
    <m/>
    <m/>
    <m/>
    <m/>
    <m/>
    <m/>
    <m/>
    <m/>
    <m/>
    <m/>
    <m/>
    <m/>
    <m/>
    <m/>
    <m/>
    <m/>
    <m/>
    <m/>
  </r>
  <r>
    <n v="805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mfra"/>
    <s v="Mesocentrotus franciscanus"/>
    <s v="Red sea urchin"/>
    <n v="241"/>
    <n v="24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6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ami"/>
    <s v="Acmaea mitra"/>
    <s v="Whitecap limpet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7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hle"/>
    <s v="Henricia leviuscula"/>
    <s v="Pacific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8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pmi"/>
    <s v="Patiria miniata"/>
    <s v="Bat star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9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hka"/>
    <s v="Haliotis kamtschatkana"/>
    <s v="Pinto abalone"/>
    <n v="45"/>
    <n v="0"/>
    <m/>
    <n v="15"/>
    <n v="16"/>
    <n v="11"/>
    <n v="3"/>
    <m/>
    <m/>
    <m/>
    <m/>
    <m/>
    <m/>
    <m/>
    <m/>
    <m/>
    <m/>
    <m/>
    <m/>
    <m/>
    <m/>
    <m/>
    <m/>
    <m/>
    <m/>
    <m/>
    <m/>
    <m/>
    <m/>
    <m/>
  </r>
  <r>
    <n v="810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dim"/>
    <s v="Dermasterias imbricata"/>
    <s v="Leather sta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1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spu"/>
    <s v="Strongylocentrotus purpuratus"/>
    <s v="Purple sea urchin (?)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2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hermit"/>
    <s v="Paguroidea spp."/>
    <s v="Unidentified hermit crab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3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sac"/>
    <s v="Scyra acutifrons"/>
    <s v="Sharpnose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4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aha"/>
    <s v="Artedius harringtoni"/>
    <s v="Scalyhead sculpin"/>
    <n v="15"/>
    <n v="0"/>
    <n v="2"/>
    <n v="11"/>
    <n v="2"/>
    <m/>
    <m/>
    <m/>
    <m/>
    <m/>
    <m/>
    <m/>
    <m/>
    <m/>
    <m/>
    <m/>
    <m/>
    <m/>
    <m/>
    <m/>
    <m/>
    <m/>
    <m/>
    <m/>
    <m/>
    <m/>
    <m/>
    <m/>
    <m/>
    <m/>
  </r>
  <r>
    <n v="815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dod"/>
    <s v="Doris odhneri"/>
    <s v="White night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6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tli"/>
    <s v="Tonicella lineata"/>
    <s v="Lined Chiton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7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8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sdr"/>
    <s v="Strongylocentrotus droebachiensis"/>
    <s v="Northern sea urchin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9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cfo"/>
    <s v="Ceratostoma foliatum"/>
    <s v="Leafy hornmouth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0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pgi"/>
    <s v="Pomaulax gibberosus"/>
    <s v="Red turban shell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1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2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poc"/>
    <s v="Pisaster ochraceus"/>
    <s v="Purple sea star"/>
    <n v="47"/>
    <n v="4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3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hcr"/>
    <s v="Hermissenda crassicornis"/>
    <s v="Opalescent nudibranch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4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mcr"/>
    <s v="Megathura crenulata"/>
    <s v="Giant keyhole limpe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5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aca"/>
    <s v="Apostichopus californicus"/>
    <s v="California sea cucumber"/>
    <n v="26"/>
    <n v="2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6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cgi"/>
    <s v="Crassadoma gigantea"/>
    <s v="Purple-hinged rock scallop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7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dsa"/>
    <s v="Diaulula sandiegensis"/>
    <s v="Ringed dor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8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jzo"/>
    <s v="Jordania zonope"/>
    <s v="Longfin sculpin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829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30"/>
    <x v="3"/>
    <s v="Valesca de Groot"/>
    <x v="14"/>
    <x v="14"/>
    <n v="48.916072999999997"/>
    <n v="-125.131174"/>
    <x v="8"/>
    <n v="6"/>
    <n v="40"/>
    <d v="1899-12-30T10:27:00"/>
    <s v="JMS"/>
    <x v="7"/>
    <x v="2"/>
    <x v="2"/>
    <s v="dal"/>
    <s v="Dirona albolineata"/>
    <s v="Frosted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31"/>
    <x v="3"/>
    <s v="Valesca de Groot"/>
    <x v="19"/>
    <x v="19"/>
    <n v="48.838594999999998"/>
    <n v="-125.135015"/>
    <x v="8"/>
    <n v="4"/>
    <n v="180"/>
    <d v="1899-12-30T13:20:00"/>
    <s v="VDG"/>
    <x v="1"/>
    <x v="1"/>
    <x v="2"/>
    <s v="sfl"/>
    <s v="Sebastes flavidus"/>
    <s v="Yellowtail rockfish"/>
    <n v="44"/>
    <n v="0"/>
    <m/>
    <m/>
    <n v="7"/>
    <n v="20"/>
    <n v="12"/>
    <n v="5"/>
    <m/>
    <m/>
    <m/>
    <m/>
    <m/>
    <m/>
    <m/>
    <m/>
    <m/>
    <m/>
    <m/>
    <m/>
    <m/>
    <m/>
    <m/>
    <m/>
    <m/>
    <m/>
    <m/>
    <m/>
    <m/>
    <m/>
  </r>
  <r>
    <n v="832"/>
    <x v="3"/>
    <s v="Valesca de Groot"/>
    <x v="19"/>
    <x v="19"/>
    <n v="48.838594999999998"/>
    <n v="-125.135015"/>
    <x v="8"/>
    <n v="4"/>
    <n v="180"/>
    <d v="1899-12-30T13:20:00"/>
    <s v="VDG"/>
    <x v="1"/>
    <x v="1"/>
    <x v="2"/>
    <s v="hde"/>
    <s v="Hexagrammos decagrammus"/>
    <s v="Kelp greenling"/>
    <n v="18"/>
    <n v="0"/>
    <m/>
    <m/>
    <m/>
    <m/>
    <m/>
    <n v="8"/>
    <n v="5"/>
    <n v="4"/>
    <n v="1"/>
    <m/>
    <m/>
    <m/>
    <m/>
    <m/>
    <m/>
    <m/>
    <m/>
    <m/>
    <m/>
    <m/>
    <m/>
    <m/>
    <m/>
    <m/>
    <m/>
    <m/>
    <m/>
    <m/>
  </r>
  <r>
    <n v="833"/>
    <x v="3"/>
    <s v="Valesca de Groot"/>
    <x v="19"/>
    <x v="19"/>
    <n v="48.838594999999998"/>
    <n v="-125.135015"/>
    <x v="8"/>
    <n v="4"/>
    <n v="180"/>
    <d v="1899-12-30T13:20:00"/>
    <s v="VDG"/>
    <x v="1"/>
    <x v="1"/>
    <x v="2"/>
    <s v="sma"/>
    <s v="Sebastes maliger"/>
    <s v="Quillback rockfish"/>
    <n v="8"/>
    <n v="0"/>
    <m/>
    <m/>
    <m/>
    <m/>
    <n v="1"/>
    <n v="6"/>
    <n v="1"/>
    <m/>
    <m/>
    <m/>
    <m/>
    <m/>
    <m/>
    <m/>
    <m/>
    <m/>
    <m/>
    <m/>
    <m/>
    <m/>
    <m/>
    <m/>
    <m/>
    <m/>
    <m/>
    <m/>
    <m/>
    <m/>
  </r>
  <r>
    <n v="834"/>
    <x v="3"/>
    <s v="Valesca de Groot"/>
    <x v="19"/>
    <x v="19"/>
    <n v="48.838594999999998"/>
    <n v="-125.135015"/>
    <x v="8"/>
    <n v="4"/>
    <n v="180"/>
    <d v="1899-12-30T13:20:00"/>
    <s v="VDG"/>
    <x v="1"/>
    <x v="1"/>
    <x v="2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835"/>
    <x v="3"/>
    <s v="Valesca de Groot"/>
    <x v="19"/>
    <x v="19"/>
    <n v="48.838594999999998"/>
    <n v="-125.135015"/>
    <x v="8"/>
    <n v="4"/>
    <n v="180"/>
    <d v="1899-12-30T13:20:00"/>
    <s v="VDG"/>
    <x v="1"/>
    <x v="1"/>
    <x v="2"/>
    <s v="rni"/>
    <s v="Rhinogobiops nicholsii"/>
    <s v="Blackeye goby"/>
    <n v="11"/>
    <n v="0"/>
    <m/>
    <m/>
    <n v="7"/>
    <n v="4"/>
    <m/>
    <m/>
    <m/>
    <m/>
    <m/>
    <m/>
    <m/>
    <m/>
    <m/>
    <m/>
    <m/>
    <m/>
    <m/>
    <m/>
    <m/>
    <m/>
    <m/>
    <m/>
    <m/>
    <m/>
    <m/>
    <m/>
    <m/>
    <m/>
  </r>
  <r>
    <n v="836"/>
    <x v="3"/>
    <s v="Valesca de Groot"/>
    <x v="19"/>
    <x v="19"/>
    <n v="48.838594999999998"/>
    <n v="-125.135015"/>
    <x v="8"/>
    <n v="4"/>
    <n v="180"/>
    <d v="1899-12-30T13:20:00"/>
    <s v="VDG"/>
    <x v="1"/>
    <x v="1"/>
    <x v="2"/>
    <s v="sme"/>
    <s v="Sebastes melanops"/>
    <s v="Black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837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mfra"/>
    <s v="Mesocentrotus franciscanus"/>
    <s v="Red sea urchin"/>
    <n v="83"/>
    <n v="8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38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cfo"/>
    <s v="Ceratostoma foliatum"/>
    <s v="Leafy hornmout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39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aca"/>
    <s v="Apostichopus californicus"/>
    <s v="California sea cucumbe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0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rni"/>
    <s v="Rhinogobiops nicholsii"/>
    <s v="Blackeye goby"/>
    <n v="96"/>
    <n v="0"/>
    <m/>
    <n v="24"/>
    <n v="29"/>
    <n v="29"/>
    <n v="13"/>
    <n v="1"/>
    <m/>
    <m/>
    <m/>
    <m/>
    <m/>
    <m/>
    <m/>
    <m/>
    <m/>
    <m/>
    <m/>
    <m/>
    <m/>
    <m/>
    <m/>
    <m/>
    <m/>
    <m/>
    <m/>
    <m/>
    <m/>
    <m/>
  </r>
  <r>
    <n v="841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hka"/>
    <s v="Haliotis kamtschatkana"/>
    <s v="Pinto abalone"/>
    <n v="32"/>
    <n v="0"/>
    <m/>
    <n v="2"/>
    <n v="9"/>
    <n v="12"/>
    <n v="8"/>
    <n v="1"/>
    <m/>
    <m/>
    <m/>
    <m/>
    <m/>
    <m/>
    <m/>
    <m/>
    <m/>
    <m/>
    <m/>
    <m/>
    <m/>
    <m/>
    <m/>
    <m/>
    <m/>
    <m/>
    <m/>
    <m/>
    <m/>
    <m/>
  </r>
  <r>
    <n v="842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pmi"/>
    <s v="Patiria miniata"/>
    <s v="Bat star"/>
    <n v="32"/>
    <n v="3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3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opi"/>
    <s v="Oxylebius pictus"/>
    <s v="Painted greenling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844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sfo"/>
    <s v="Stylasterias forreri"/>
    <s v="Velcro sea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5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tli"/>
    <s v="Tonicella lineata"/>
    <s v="Lined Chiton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6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ami"/>
    <s v="Acmaea mitra"/>
    <s v="Whitecap limpet"/>
    <n v="26"/>
    <n v="2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7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848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oko"/>
    <s v="Orthasterias koehleri"/>
    <s v="Rainbow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9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hermit"/>
    <s v="Paguroidea spp."/>
    <s v="Unidentified hermit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0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hle"/>
    <s v="Henricia leviuscula"/>
    <s v="Pacific blood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1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dim"/>
    <s v="Dermasterias imbricata"/>
    <s v="Leather star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2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cst"/>
    <s v="Citharichthys stigmaeus"/>
    <s v="Speckled sand d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3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mmu"/>
    <s v="Mopalia muscosa"/>
    <s v="Mossy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4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cgi"/>
    <s v="Crassadoma gigantea"/>
    <s v="Purple-hinged rock scallop"/>
    <n v="4"/>
    <n v="0"/>
    <m/>
    <m/>
    <m/>
    <n v="2"/>
    <n v="1"/>
    <n v="1"/>
    <m/>
    <m/>
    <m/>
    <m/>
    <m/>
    <m/>
    <m/>
    <m/>
    <m/>
    <m/>
    <m/>
    <m/>
    <m/>
    <m/>
    <m/>
    <m/>
    <m/>
    <m/>
    <m/>
    <m/>
    <m/>
    <m/>
  </r>
  <r>
    <n v="855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pgi"/>
    <s v="Pomaulax gibberosus"/>
    <s v="Red turban shell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6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mcr"/>
    <s v="Megathura crenulata"/>
    <s v="Giant keyhole limpet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7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poc"/>
    <s v="Pisaster ochraceus"/>
    <s v="Purpl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8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59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etr"/>
    <s v="Evasterias troschelii"/>
    <s v="Mottled starfis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0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1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2"/>
    <x v="3"/>
    <s v="Valesca de Groot"/>
    <x v="19"/>
    <x v="19"/>
    <n v="48.838594999999998"/>
    <n v="-125.135015"/>
    <x v="8"/>
    <n v="4"/>
    <n v="180"/>
    <d v="1899-12-30T13:20:00"/>
    <s v="VDG"/>
    <x v="1"/>
    <x v="2"/>
    <x v="2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3"/>
    <x v="3"/>
    <s v="Valesca de Groot"/>
    <x v="19"/>
    <x v="19"/>
    <n v="48.838594999999998"/>
    <n v="-125.135015"/>
    <x v="8"/>
    <n v="4"/>
    <n v="180"/>
    <d v="1899-12-30T13:20:00"/>
    <s v="VDG"/>
    <x v="1"/>
    <x v="3"/>
    <x v="2"/>
    <s v="aoc"/>
    <s v="Anarrhichthys ocellatus"/>
    <s v="Wolf-eel"/>
    <n v="1"/>
    <n v="0"/>
    <m/>
    <m/>
    <m/>
    <m/>
    <m/>
    <m/>
    <m/>
    <m/>
    <m/>
    <m/>
    <m/>
    <m/>
    <n v="1"/>
    <m/>
    <m/>
    <m/>
    <m/>
    <m/>
    <m/>
    <m/>
    <m/>
    <m/>
    <m/>
    <m/>
    <m/>
    <m/>
    <m/>
    <m/>
  </r>
  <r>
    <n v="864"/>
    <x v="3"/>
    <s v="Valesca de Groot"/>
    <x v="15"/>
    <x v="15"/>
    <n v="48.9071"/>
    <n v="-125.03701700000001"/>
    <x v="9"/>
    <n v="4"/>
    <n v="240"/>
    <d v="1899-12-30T10:22:00"/>
    <s v="VDG"/>
    <x v="13"/>
    <x v="1"/>
    <x v="1"/>
    <s v="rni"/>
    <s v="Rhinogobiops nicholsii"/>
    <s v="Blackeye goby"/>
    <n v="2"/>
    <n v="0"/>
    <m/>
    <m/>
    <m/>
    <n v="2"/>
    <m/>
    <m/>
    <m/>
    <m/>
    <m/>
    <m/>
    <m/>
    <m/>
    <m/>
    <m/>
    <m/>
    <m/>
    <m/>
    <m/>
    <m/>
    <m/>
    <m/>
    <m/>
    <m/>
    <m/>
    <m/>
    <m/>
    <m/>
    <m/>
  </r>
  <r>
    <n v="865"/>
    <x v="3"/>
    <s v="Valesca de Groot"/>
    <x v="15"/>
    <x v="15"/>
    <n v="48.9071"/>
    <n v="-125.03701700000001"/>
    <x v="9"/>
    <n v="4"/>
    <n v="240"/>
    <d v="1899-12-30T10:22:00"/>
    <s v="VDG"/>
    <x v="13"/>
    <x v="1"/>
    <x v="1"/>
    <s v="hde"/>
    <s v="Hexagrammos decagrammus"/>
    <s v="Kelp greenling"/>
    <n v="2"/>
    <n v="0"/>
    <m/>
    <m/>
    <m/>
    <m/>
    <m/>
    <m/>
    <m/>
    <n v="2"/>
    <m/>
    <m/>
    <m/>
    <m/>
    <m/>
    <m/>
    <m/>
    <m/>
    <m/>
    <m/>
    <m/>
    <m/>
    <m/>
    <m/>
    <m/>
    <m/>
    <m/>
    <m/>
    <m/>
    <m/>
  </r>
  <r>
    <n v="866"/>
    <x v="3"/>
    <s v="Valesca de Groot"/>
    <x v="15"/>
    <x v="15"/>
    <n v="48.9071"/>
    <n v="-125.03701700000001"/>
    <x v="9"/>
    <n v="4"/>
    <n v="240"/>
    <d v="1899-12-30T10:22:00"/>
    <s v="VDG"/>
    <x v="13"/>
    <x v="1"/>
    <x v="1"/>
    <s v="sca"/>
    <s v="Sebastes caurinus"/>
    <s v="Copper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867"/>
    <x v="3"/>
    <s v="Valesca de Groot"/>
    <x v="15"/>
    <x v="15"/>
    <n v="48.9071"/>
    <n v="-125.03701700000001"/>
    <x v="9"/>
    <n v="4"/>
    <n v="240"/>
    <d v="1899-12-30T10:22:00"/>
    <s v="VDG"/>
    <x v="13"/>
    <x v="1"/>
    <x v="1"/>
    <s v="sme"/>
    <s v="Sebastes melanops"/>
    <s v="Black rockfish"/>
    <n v="9"/>
    <n v="0"/>
    <m/>
    <m/>
    <m/>
    <m/>
    <n v="1"/>
    <n v="5"/>
    <n v="3"/>
    <m/>
    <m/>
    <m/>
    <m/>
    <m/>
    <m/>
    <m/>
    <m/>
    <m/>
    <m/>
    <m/>
    <m/>
    <m/>
    <m/>
    <m/>
    <m/>
    <m/>
    <m/>
    <m/>
    <m/>
    <m/>
  </r>
  <r>
    <n v="868"/>
    <x v="3"/>
    <s v="Valesca de Groot"/>
    <x v="15"/>
    <x v="15"/>
    <n v="48.9071"/>
    <n v="-125.03701700000001"/>
    <x v="9"/>
    <n v="4"/>
    <n v="240"/>
    <d v="1899-12-30T10:22:00"/>
    <s v="VDG"/>
    <x v="13"/>
    <x v="1"/>
    <x v="1"/>
    <s v="bfr"/>
    <s v="Brachyistius frenatus"/>
    <s v="Kelp perch"/>
    <n v="3"/>
    <n v="0"/>
    <m/>
    <m/>
    <n v="2"/>
    <n v="1"/>
    <m/>
    <m/>
    <m/>
    <m/>
    <m/>
    <m/>
    <m/>
    <m/>
    <m/>
    <m/>
    <m/>
    <m/>
    <m/>
    <m/>
    <m/>
    <m/>
    <m/>
    <m/>
    <m/>
    <m/>
    <m/>
    <m/>
    <m/>
    <m/>
  </r>
  <r>
    <n v="869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sfo"/>
    <s v="Stylasterias forreri"/>
    <s v="Velcro sea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0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mae"/>
    <s v="Mediaster aequalis"/>
    <s v="Vermillion sea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1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2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ptr"/>
    <s v="Polycera tricolor"/>
    <s v="Tricolour nudibranc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3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rni"/>
    <s v="Rhinogobiops nicholsii"/>
    <s v="Blackeye goby"/>
    <n v="12"/>
    <n v="0"/>
    <m/>
    <n v="2"/>
    <n v="4"/>
    <n v="6"/>
    <m/>
    <m/>
    <m/>
    <m/>
    <m/>
    <m/>
    <m/>
    <m/>
    <m/>
    <m/>
    <m/>
    <m/>
    <m/>
    <m/>
    <m/>
    <m/>
    <m/>
    <m/>
    <m/>
    <m/>
    <m/>
    <m/>
    <m/>
    <m/>
  </r>
  <r>
    <n v="874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hle"/>
    <s v="Henricia leviuscula"/>
    <s v="Pacific blood sta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5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hcr"/>
    <s v="Hermissenda crassicornis"/>
    <s v="Opalescent nudibranc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6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7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oko"/>
    <s v="Orthasterias koehleri"/>
    <s v="Rainbow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8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dim"/>
    <s v="Dermasterias imbricata"/>
    <s v="Leather sta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9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aca"/>
    <s v="Apostichopus californicus"/>
    <s v="California sea cucumbe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0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dal"/>
    <s v="Dirona albolineata"/>
    <s v="Frosted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1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cgi"/>
    <s v="Crassadoma gigantea"/>
    <s v="Purple-hinged rock scallop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882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opi"/>
    <s v="Oxylebius pictus"/>
    <s v="Painted greenling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883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phe"/>
    <s v="Pycnopodia helianthoides"/>
    <s v="Sunflower star"/>
    <n v="3"/>
    <n v="0"/>
    <m/>
    <n v="2"/>
    <m/>
    <n v="1"/>
    <m/>
    <m/>
    <m/>
    <m/>
    <m/>
    <m/>
    <m/>
    <m/>
    <m/>
    <m/>
    <m/>
    <m/>
    <m/>
    <m/>
    <m/>
    <m/>
    <m/>
    <m/>
    <m/>
    <m/>
    <m/>
    <m/>
    <m/>
    <m/>
  </r>
  <r>
    <n v="884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pgi"/>
    <s v="Pomaulax gibberosus"/>
    <s v="Red turban shell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5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ebi"/>
    <s v="Enophrys bison"/>
    <s v="Buffalo sculpin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886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pte"/>
    <s v="Pteraster tesselatus"/>
    <s v="Cushion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7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hka"/>
    <s v="Haliotis kamtschatkana"/>
    <s v="Pinto abalone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8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tli"/>
    <s v="Tonicella lineata"/>
    <s v="Lined Chiton"/>
    <n v="2"/>
    <n v="1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889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0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ppr"/>
    <s v="Pugettia producta"/>
    <s v="Northern kelp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1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2"/>
    <x v="3"/>
    <s v="Valesca de Groot"/>
    <x v="15"/>
    <x v="15"/>
    <n v="48.9071"/>
    <n v="-125.03701700000001"/>
    <x v="9"/>
    <n v="4"/>
    <n v="240"/>
    <d v="1899-12-30T10:22:00"/>
    <s v="VDG"/>
    <x v="13"/>
    <x v="2"/>
    <x v="1"/>
    <s v="cmo"/>
    <s v="Cadlina modesta"/>
    <s v="Modest cadlina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3"/>
    <x v="3"/>
    <s v="Valesca de Groot"/>
    <x v="20"/>
    <x v="20"/>
    <n v="48.901183000000003"/>
    <n v="-125.060433"/>
    <x v="9"/>
    <n v="3"/>
    <n v="320"/>
    <d v="1899-12-30T13:24:00"/>
    <s v="VDG"/>
    <x v="4"/>
    <x v="1"/>
    <x v="2"/>
    <s v="rni"/>
    <s v="Rhinogobiops nicholsii"/>
    <s v="Blackeye goby"/>
    <n v="17"/>
    <n v="0"/>
    <m/>
    <n v="6"/>
    <n v="9"/>
    <n v="2"/>
    <m/>
    <m/>
    <m/>
    <m/>
    <m/>
    <m/>
    <m/>
    <m/>
    <m/>
    <m/>
    <m/>
    <m/>
    <m/>
    <m/>
    <m/>
    <m/>
    <m/>
    <m/>
    <m/>
    <m/>
    <m/>
    <m/>
    <m/>
    <m/>
  </r>
  <r>
    <n v="894"/>
    <x v="3"/>
    <s v="Valesca de Groot"/>
    <x v="20"/>
    <x v="20"/>
    <n v="48.901183000000003"/>
    <n v="-125.060433"/>
    <x v="9"/>
    <n v="3"/>
    <n v="320"/>
    <d v="1899-12-30T13:24:00"/>
    <s v="VDG"/>
    <x v="4"/>
    <x v="1"/>
    <x v="2"/>
    <s v="hde"/>
    <s v="Hexagrammos decagrammus"/>
    <s v="Kelp greenling"/>
    <n v="8"/>
    <n v="0"/>
    <m/>
    <m/>
    <m/>
    <m/>
    <m/>
    <n v="1"/>
    <n v="1"/>
    <n v="4"/>
    <n v="2"/>
    <m/>
    <m/>
    <m/>
    <m/>
    <m/>
    <m/>
    <m/>
    <m/>
    <m/>
    <m/>
    <m/>
    <m/>
    <m/>
    <m/>
    <m/>
    <m/>
    <m/>
    <m/>
    <m/>
  </r>
  <r>
    <n v="895"/>
    <x v="3"/>
    <s v="Valesca de Groot"/>
    <x v="20"/>
    <x v="20"/>
    <n v="48.901183000000003"/>
    <n v="-125.060433"/>
    <x v="9"/>
    <n v="3"/>
    <n v="320"/>
    <d v="1899-12-30T13:24:00"/>
    <s v="VDG"/>
    <x v="4"/>
    <x v="3"/>
    <x v="2"/>
    <s v="oel"/>
    <s v="Ophiodon elongatus"/>
    <s v="Lingcod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896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mfra"/>
    <s v="Mesocentrotus franciscanus"/>
    <s v="Red sea urchin"/>
    <n v="143"/>
    <n v="14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7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hermit"/>
    <s v="Paguroidea spp."/>
    <s v="Unidentified hermit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8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pgi"/>
    <s v="Pomaulax gibberosus"/>
    <s v="Red turban shell"/>
    <n v="25"/>
    <n v="2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9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hcr"/>
    <s v="Hermissenda crassicornis"/>
    <s v="Opalescent nudibranch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0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aha"/>
    <s v="Artedius harringtoni"/>
    <s v="Scalyhead sculpin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1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phe"/>
    <s v="Pycnopodia helianthoides"/>
    <s v="Sunflow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902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3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cfo"/>
    <s v="Ceratostoma foliatum"/>
    <s v="Leafy hornmouth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4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cgi"/>
    <s v="Crassadoma gigantea"/>
    <s v="Purple-hinged rock scallop"/>
    <n v="4"/>
    <n v="0"/>
    <m/>
    <m/>
    <m/>
    <m/>
    <m/>
    <n v="2"/>
    <n v="1"/>
    <m/>
    <n v="1"/>
    <m/>
    <m/>
    <m/>
    <m/>
    <m/>
    <m/>
    <m/>
    <m/>
    <m/>
    <m/>
    <m/>
    <m/>
    <m/>
    <m/>
    <m/>
    <m/>
    <m/>
    <m/>
    <m/>
  </r>
  <r>
    <n v="905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dsa"/>
    <s v="Diaulula sandiegensis"/>
    <s v="Ringed dor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6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7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tli"/>
    <s v="Tonicella lineata"/>
    <s v="Lined Chiton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8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ami"/>
    <s v="Acmaea mitra"/>
    <s v="Whitecap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9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ptr"/>
    <s v="Polycera tricolor"/>
    <s v="Tricolour nudibranc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0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aca"/>
    <s v="Apostichopus californicus"/>
    <s v="California sea cucumbe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1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2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dal"/>
    <s v="Dirona albolineata"/>
    <s v="Frosted nudibranc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3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rni"/>
    <s v="Rhinogobiops nicholsii"/>
    <s v="Blackeye goby"/>
    <n v="33"/>
    <n v="0"/>
    <m/>
    <n v="9"/>
    <n v="9"/>
    <n v="15"/>
    <m/>
    <m/>
    <m/>
    <m/>
    <m/>
    <m/>
    <m/>
    <m/>
    <m/>
    <m/>
    <m/>
    <m/>
    <m/>
    <m/>
    <m/>
    <m/>
    <m/>
    <m/>
    <m/>
    <m/>
    <m/>
    <m/>
    <m/>
    <m/>
  </r>
  <r>
    <n v="914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dim"/>
    <s v="Dermasterias imbricata"/>
    <s v="Leather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5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pmi"/>
    <s v="Patiria miniata"/>
    <s v="Bat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6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hka"/>
    <s v="Haliotis kamtschatkana"/>
    <s v="Pinto abalone"/>
    <n v="4"/>
    <n v="0"/>
    <m/>
    <m/>
    <n v="1"/>
    <n v="3"/>
    <m/>
    <m/>
    <m/>
    <m/>
    <m/>
    <m/>
    <m/>
    <m/>
    <m/>
    <m/>
    <m/>
    <m/>
    <m/>
    <m/>
    <m/>
    <m/>
    <m/>
    <m/>
    <m/>
    <m/>
    <m/>
    <m/>
    <m/>
    <m/>
  </r>
  <r>
    <n v="917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8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hle"/>
    <s v="Henricia leviuscula"/>
    <s v="Pacific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9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jzo"/>
    <s v="Jordania zonope"/>
    <s v="Longfin sculpin"/>
    <n v="2"/>
    <n v="0"/>
    <m/>
    <n v="1"/>
    <m/>
    <n v="1"/>
    <m/>
    <m/>
    <m/>
    <m/>
    <m/>
    <m/>
    <m/>
    <m/>
    <m/>
    <m/>
    <m/>
    <m/>
    <m/>
    <m/>
    <m/>
    <m/>
    <m/>
    <m/>
    <m/>
    <m/>
    <m/>
    <m/>
    <m/>
    <m/>
  </r>
  <r>
    <n v="920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1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pte"/>
    <s v="Pteraster tesselatus"/>
    <s v="Cushion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2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mae"/>
    <s v="Mediaster aequalis"/>
    <s v="Vermillion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3"/>
    <x v="3"/>
    <s v="Valesca de Groot"/>
    <x v="20"/>
    <x v="20"/>
    <n v="48.901183000000003"/>
    <n v="-125.060433"/>
    <x v="9"/>
    <n v="3"/>
    <n v="320"/>
    <d v="1899-12-30T13:24:00"/>
    <s v="VDG"/>
    <x v="4"/>
    <x v="2"/>
    <x v="2"/>
    <s v="sst"/>
    <s v="Solaster stimpsoni"/>
    <s v="Striped sun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924"/>
    <x v="4"/>
    <s v="Andrew Bickell"/>
    <x v="16"/>
    <x v="16"/>
    <n v="48.828948974609297"/>
    <n v="-125.19757080078099"/>
    <x v="6"/>
    <n v="0.5"/>
    <n v="30"/>
    <d v="1899-12-30T09:54:00"/>
    <s v="VDG"/>
    <x v="8"/>
    <x v="1"/>
    <x v="2"/>
    <s v="hde"/>
    <s v="Hexagrammos decagrammus"/>
    <s v="Kelp greenling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925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mfra"/>
    <s v="Mesocentrotus franciscanus"/>
    <s v="Red sea urchin"/>
    <n v="160"/>
    <n v="16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6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pgi"/>
    <s v="Pomaulax gibberosus"/>
    <s v="Red turban shell"/>
    <n v="85"/>
    <n v="8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7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ami"/>
    <s v="Acmaea mitra"/>
    <s v="Whitecap limpet"/>
    <n v="28"/>
    <n v="2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8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hermit"/>
    <s v="Paguroidea spp."/>
    <s v="Unidentified hermit crab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9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oko"/>
    <s v="Orthasterias koehleri"/>
    <s v="Rainbow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0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sfo"/>
    <s v="Stylasterias forreri"/>
    <s v="Velcro sea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1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hcr"/>
    <s v="Hermissenda crassicornis"/>
    <s v="Opalescent nudibranc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2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pmi"/>
    <s v="Patiria miniata"/>
    <s v="Bat star"/>
    <n v="35"/>
    <n v="3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3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4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dim"/>
    <s v="Dermasterias imbricata"/>
    <s v="Leather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5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cfo"/>
    <s v="Ceratostoma foliatum"/>
    <s v="Leafy hornmouth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6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hka"/>
    <s v="Haliotis kamtschatkana"/>
    <s v="Pinto abalone"/>
    <n v="7"/>
    <n v="0"/>
    <n v="1"/>
    <n v="1"/>
    <m/>
    <n v="2"/>
    <n v="2"/>
    <n v="1"/>
    <m/>
    <m/>
    <m/>
    <m/>
    <m/>
    <m/>
    <m/>
    <m/>
    <m/>
    <m/>
    <m/>
    <m/>
    <m/>
    <m/>
    <m/>
    <m/>
    <m/>
    <m/>
    <m/>
    <m/>
    <m/>
    <m/>
  </r>
  <r>
    <n v="937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rni"/>
    <s v="Rhinogobiops nicholsii"/>
    <s v="Blackeye goby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938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pca"/>
    <s v="Parastichopus californicus"/>
    <s v="Californian sea cucumbe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39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mcr"/>
    <s v="Megathura crenulata"/>
    <s v="Giant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0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aha"/>
    <s v="Artedius harringtoni"/>
    <s v="Scalyhead sculpin"/>
    <n v="7"/>
    <n v="0"/>
    <n v="4"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941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cgi"/>
    <s v="Crassadoma gigantea"/>
    <s v="Purple-hinged rock scallop"/>
    <n v="2"/>
    <n v="0"/>
    <n v="1"/>
    <m/>
    <m/>
    <m/>
    <n v="1"/>
    <m/>
    <m/>
    <m/>
    <m/>
    <m/>
    <m/>
    <m/>
    <m/>
    <m/>
    <m/>
    <m/>
    <m/>
    <m/>
    <m/>
    <m/>
    <m/>
    <m/>
    <m/>
    <m/>
    <m/>
    <m/>
    <m/>
    <m/>
  </r>
  <r>
    <n v="942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blood star"/>
    <s v="Henre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3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dal"/>
    <s v="Dirona albolineata"/>
    <s v="Frosted dirona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4"/>
    <x v="4"/>
    <s v="Andrew Bickell"/>
    <x v="16"/>
    <x v="16"/>
    <n v="48.828948974609297"/>
    <n v="-125.19757080078099"/>
    <x v="6"/>
    <n v="0.5"/>
    <n v="30"/>
    <d v="1899-12-30T09:54:00"/>
    <s v="VDG"/>
    <x v="8"/>
    <x v="2"/>
    <x v="2"/>
    <s v="phe"/>
    <s v="Pycnopodia helianthoides"/>
    <s v="Sunflower star"/>
    <n v="3"/>
    <n v="0"/>
    <m/>
    <n v="1"/>
    <n v="1"/>
    <m/>
    <m/>
    <m/>
    <n v="1"/>
    <m/>
    <m/>
    <m/>
    <m/>
    <m/>
    <m/>
    <m/>
    <m/>
    <m/>
    <m/>
    <m/>
    <m/>
    <m/>
    <m/>
    <m/>
    <m/>
    <m/>
    <m/>
    <m/>
    <m/>
    <m/>
  </r>
  <r>
    <n v="945"/>
    <x v="4"/>
    <s v="Andrew Bickell"/>
    <x v="16"/>
    <x v="16"/>
    <n v="48.828948974609297"/>
    <n v="-125.19757080078099"/>
    <x v="6"/>
    <n v="0.5"/>
    <n v="30"/>
    <d v="1899-12-30T09:54:00"/>
    <s v="VDG"/>
    <x v="8"/>
    <x v="3"/>
    <x v="2"/>
    <s v="oel"/>
    <s v="Ophiodon elongatus"/>
    <s v="Lingcod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946"/>
    <x v="4"/>
    <s v="Andrew Bickell"/>
    <x v="11"/>
    <x v="11"/>
    <n v="48.8273315429687"/>
    <n v="-125.196601867675"/>
    <x v="6"/>
    <n v="0.5"/>
    <n v="270"/>
    <d v="1899-12-30T12:18:00"/>
    <s v="VDG"/>
    <x v="8"/>
    <x v="1"/>
    <x v="1"/>
    <s v="hde"/>
    <s v="Hexagrammos decagrammus"/>
    <s v="Kelp greenling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947"/>
    <x v="4"/>
    <s v="Andrew Bickell"/>
    <x v="11"/>
    <x v="11"/>
    <n v="48.8273315429687"/>
    <n v="-125.196601867675"/>
    <x v="6"/>
    <n v="0.5"/>
    <n v="270"/>
    <d v="1899-12-30T12:18:00"/>
    <s v="VDG"/>
    <x v="8"/>
    <x v="1"/>
    <x v="1"/>
    <s v="aha"/>
    <s v="Artedius harringtoni"/>
    <s v="Scalyhead sculpin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948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mfra"/>
    <s v="Mesocentrotus franciscanus"/>
    <s v="Red sea urchin"/>
    <n v="194"/>
    <n v="19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9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aca"/>
    <s v="Apostichopus californicus"/>
    <s v="California sea cucumbe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0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phe"/>
    <s v="Pycnopodia helianthoides"/>
    <s v="Sunflower star"/>
    <n v="13"/>
    <n v="0"/>
    <n v="3"/>
    <n v="7"/>
    <n v="2"/>
    <m/>
    <n v="1"/>
    <m/>
    <m/>
    <m/>
    <m/>
    <m/>
    <m/>
    <m/>
    <m/>
    <m/>
    <m/>
    <m/>
    <m/>
    <m/>
    <m/>
    <m/>
    <m/>
    <m/>
    <m/>
    <m/>
    <m/>
    <m/>
    <m/>
    <m/>
  </r>
  <r>
    <n v="951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2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pgi"/>
    <s v="Pomaulax gibberosus"/>
    <s v="Red turban shell"/>
    <n v="65"/>
    <n v="6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3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ami"/>
    <s v="Acmaea mitra"/>
    <s v="Whitecap limpet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4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cgi"/>
    <s v="Crassadoma gigantea"/>
    <s v="Purple-hinged rock scallop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955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hcr"/>
    <s v="Hermissenda crassicornis"/>
    <s v="Opalescent nudibranc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6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mcr"/>
    <s v="Megathura crenulata"/>
    <s v="Giant keyhole limpe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7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rni"/>
    <s v="Rhinogobiops nicholsii"/>
    <s v="Blackeye goby"/>
    <n v="10"/>
    <n v="0"/>
    <m/>
    <m/>
    <n v="4"/>
    <n v="4"/>
    <n v="2"/>
    <m/>
    <m/>
    <m/>
    <m/>
    <m/>
    <m/>
    <m/>
    <m/>
    <m/>
    <m/>
    <m/>
    <m/>
    <m/>
    <m/>
    <m/>
    <m/>
    <m/>
    <m/>
    <m/>
    <m/>
    <m/>
    <m/>
    <m/>
  </r>
  <r>
    <n v="958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chiton"/>
    <s v="Tonicella spp."/>
    <s v="Unidentifi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9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hka"/>
    <s v="Haliotis kamtschatkana"/>
    <s v="Pinto abalone"/>
    <n v="14"/>
    <n v="0"/>
    <n v="3"/>
    <n v="4"/>
    <n v="2"/>
    <n v="5"/>
    <m/>
    <m/>
    <m/>
    <m/>
    <m/>
    <m/>
    <m/>
    <m/>
    <m/>
    <m/>
    <m/>
    <m/>
    <m/>
    <m/>
    <m/>
    <m/>
    <m/>
    <m/>
    <m/>
    <m/>
    <m/>
    <m/>
    <m/>
    <m/>
  </r>
  <r>
    <n v="960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blood star"/>
    <s v="Henre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1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aha"/>
    <s v="Artedius harringtoni"/>
    <s v="Scalyhead sculpin"/>
    <n v="5"/>
    <n v="0"/>
    <n v="1"/>
    <n v="2"/>
    <n v="1"/>
    <n v="1"/>
    <m/>
    <m/>
    <m/>
    <m/>
    <m/>
    <m/>
    <m/>
    <m/>
    <m/>
    <m/>
    <m/>
    <m/>
    <m/>
    <m/>
    <m/>
    <m/>
    <m/>
    <m/>
    <m/>
    <m/>
    <m/>
    <m/>
    <m/>
    <m/>
  </r>
  <r>
    <n v="962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cfo"/>
    <s v="Ceratostoma foliatum"/>
    <s v="Leafy hornmout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3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4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5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pmi"/>
    <s v="Patiria miniata"/>
    <s v="Bat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6"/>
    <x v="4"/>
    <s v="Andrew Bickell"/>
    <x v="11"/>
    <x v="11"/>
    <n v="48.8273315429687"/>
    <n v="-125.196601867675"/>
    <x v="6"/>
    <n v="0.5"/>
    <n v="270"/>
    <d v="1899-12-30T12:18:00"/>
    <s v="VDG"/>
    <x v="8"/>
    <x v="2"/>
    <x v="1"/>
    <s v="dal"/>
    <s v="Dirona albolineata"/>
    <s v="Frosted dirona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7"/>
    <x v="4"/>
    <s v="Andrew Bickell"/>
    <x v="17"/>
    <x v="17"/>
    <n v="48.857467651367102"/>
    <n v="-125.158233642578"/>
    <x v="10"/>
    <n v="1"/>
    <n v="210"/>
    <d v="1899-12-30T10:12:00"/>
    <s v="VDG"/>
    <x v="1"/>
    <x v="1"/>
    <x v="1"/>
    <s v="hde"/>
    <s v="Hexagrammos decagrammus"/>
    <s v="Kelp greenling"/>
    <n v="5"/>
    <n v="0"/>
    <m/>
    <m/>
    <m/>
    <m/>
    <m/>
    <n v="2"/>
    <n v="1"/>
    <m/>
    <n v="1"/>
    <m/>
    <n v="1"/>
    <m/>
    <m/>
    <m/>
    <m/>
    <m/>
    <m/>
    <m/>
    <m/>
    <m/>
    <m/>
    <m/>
    <m/>
    <m/>
    <m/>
    <m/>
    <m/>
    <m/>
  </r>
  <r>
    <n v="968"/>
    <x v="4"/>
    <s v="Andrew Bickell"/>
    <x v="17"/>
    <x v="17"/>
    <n v="48.857467651367102"/>
    <n v="-125.158233642578"/>
    <x v="10"/>
    <n v="1"/>
    <n v="210"/>
    <d v="1899-12-30T10:12:00"/>
    <s v="VDG"/>
    <x v="1"/>
    <x v="1"/>
    <x v="1"/>
    <s v="perch"/>
    <s v="embiotocidae spp"/>
    <s v="Unidentified perch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969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dim"/>
    <s v="Dermasterias imbricata"/>
    <s v="Leather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0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mfra"/>
    <s v="Mesocentrotus franciscanus"/>
    <s v="Red sea urchin"/>
    <n v="273"/>
    <n v="27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1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pgi"/>
    <s v="Pomaulax gibberosus"/>
    <s v="Red turban shell"/>
    <n v="85"/>
    <n v="8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2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rni"/>
    <s v="Rhinogobiops nicholsii"/>
    <s v="Blackeye goby"/>
    <n v="26"/>
    <n v="0"/>
    <n v="1"/>
    <n v="5"/>
    <n v="9"/>
    <n v="9"/>
    <n v="1"/>
    <n v="1"/>
    <m/>
    <m/>
    <m/>
    <m/>
    <m/>
    <m/>
    <m/>
    <m/>
    <m/>
    <m/>
    <m/>
    <m/>
    <m/>
    <m/>
    <m/>
    <m/>
    <m/>
    <m/>
    <m/>
    <m/>
    <m/>
    <m/>
  </r>
  <r>
    <n v="973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pca"/>
    <s v="Parastichopus californicus"/>
    <s v="Californian sea cucumbe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4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blood star"/>
    <s v="Henrecia spp."/>
    <s v="Unidentified blood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5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6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7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aha"/>
    <s v="Artedius harringtoni"/>
    <s v="Scalyhead sculpin"/>
    <n v="5"/>
    <n v="0"/>
    <n v="3"/>
    <m/>
    <n v="2"/>
    <m/>
    <m/>
    <m/>
    <m/>
    <m/>
    <m/>
    <m/>
    <m/>
    <m/>
    <m/>
    <m/>
    <m/>
    <m/>
    <m/>
    <m/>
    <m/>
    <m/>
    <m/>
    <m/>
    <m/>
    <m/>
    <m/>
    <m/>
    <m/>
    <m/>
  </r>
  <r>
    <n v="978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pmi"/>
    <s v="Patiria miniata"/>
    <s v="Bat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9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0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hka"/>
    <s v="Haliotis kamtschatkana"/>
    <s v="Pinto abalone"/>
    <n v="9"/>
    <n v="0"/>
    <n v="1"/>
    <m/>
    <n v="3"/>
    <n v="3"/>
    <m/>
    <n v="2"/>
    <m/>
    <m/>
    <m/>
    <m/>
    <m/>
    <m/>
    <m/>
    <m/>
    <m/>
    <m/>
    <m/>
    <m/>
    <m/>
    <m/>
    <m/>
    <m/>
    <m/>
    <m/>
    <m/>
    <m/>
    <m/>
    <m/>
  </r>
  <r>
    <n v="981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cfo"/>
    <s v="Ceratostoma foliatum"/>
    <s v="Leafy hornmouth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2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oko"/>
    <s v="Orthasterias koehleri"/>
    <s v="Rainbow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3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4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cgi"/>
    <s v="Crassadoma gigantea"/>
    <s v="Purple-hinged rock scallop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985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dal"/>
    <s v="Dirona albolineata"/>
    <s v="Frosted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6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tli"/>
    <s v="Tonicella lineata"/>
    <s v="Lin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7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gor"/>
    <s v="Glebocarcinus oregonensis"/>
    <s v="Pygmy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8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9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hde"/>
    <s v="Hexagrammos decagrammus"/>
    <s v="Kelp greenling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990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phe"/>
    <s v="Pycnopodia helianthoides"/>
    <s v="Sunflower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991"/>
    <x v="4"/>
    <s v="Andrew Bickell"/>
    <x v="17"/>
    <x v="17"/>
    <n v="48.857467651367102"/>
    <n v="-125.158233642578"/>
    <x v="10"/>
    <n v="1"/>
    <n v="210"/>
    <d v="1899-12-30T10:12:00"/>
    <s v="VDG"/>
    <x v="1"/>
    <x v="2"/>
    <x v="1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2"/>
    <x v="4"/>
    <s v="Andrew Bickell"/>
    <x v="17"/>
    <x v="17"/>
    <n v="48.857467651367102"/>
    <n v="-125.158233642578"/>
    <x v="10"/>
    <n v="1"/>
    <n v="210"/>
    <d v="1899-12-30T10:12:00"/>
    <s v="VDG"/>
    <x v="1"/>
    <x v="3"/>
    <x v="1"/>
    <s v="pvi"/>
    <s v="Phoca vitulina"/>
    <s v="harbour seal"/>
    <n v="14"/>
    <m/>
    <m/>
    <m/>
    <m/>
    <m/>
    <m/>
    <m/>
    <m/>
    <m/>
    <m/>
    <m/>
    <m/>
    <m/>
    <m/>
    <m/>
    <m/>
    <m/>
    <m/>
    <m/>
    <n v="3"/>
    <m/>
    <m/>
    <n v="7"/>
    <n v="4"/>
    <m/>
    <m/>
    <m/>
    <m/>
    <m/>
  </r>
  <r>
    <n v="993"/>
    <x v="4"/>
    <s v="Andrew Bickell"/>
    <x v="17"/>
    <x v="17"/>
    <n v="48.857467651367102"/>
    <n v="-125.158233642578"/>
    <x v="10"/>
    <n v="1"/>
    <n v="210"/>
    <d v="1899-12-30T10:12:00"/>
    <s v="VDG"/>
    <x v="1"/>
    <x v="3"/>
    <x v="1"/>
    <s v="ahu"/>
    <s v="Acanthodoris hudsoni"/>
    <s v="Hudson's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4"/>
    <x v="4"/>
    <s v="Andrew Bickell"/>
    <x v="18"/>
    <x v="18"/>
    <n v="48.858283996582003"/>
    <n v="-125.160919189453"/>
    <x v="10"/>
    <n v="1"/>
    <n v="30"/>
    <d v="1899-12-30T12:54:00"/>
    <s v="VDG"/>
    <x v="5"/>
    <x v="1"/>
    <x v="1"/>
    <s v="hde"/>
    <s v="Hexagrammos decagrammus"/>
    <s v="Kelp greenling"/>
    <n v="3"/>
    <n v="0"/>
    <m/>
    <m/>
    <m/>
    <m/>
    <m/>
    <m/>
    <m/>
    <n v="1"/>
    <n v="2"/>
    <m/>
    <m/>
    <m/>
    <m/>
    <m/>
    <m/>
    <m/>
    <m/>
    <m/>
    <m/>
    <m/>
    <m/>
    <m/>
    <m/>
    <m/>
    <m/>
    <m/>
    <m/>
    <m/>
  </r>
  <r>
    <n v="995"/>
    <x v="4"/>
    <s v="Andrew Bickell"/>
    <x v="18"/>
    <x v="18"/>
    <n v="48.858283996582003"/>
    <n v="-125.160919189453"/>
    <x v="10"/>
    <n v="1"/>
    <n v="30"/>
    <d v="1899-12-30T12:54:00"/>
    <s v="VDG"/>
    <x v="5"/>
    <x v="1"/>
    <x v="1"/>
    <s v="oel"/>
    <s v="Ophiodon elongatus"/>
    <s v="Lingcod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996"/>
    <x v="4"/>
    <s v="Andrew Bickell"/>
    <x v="18"/>
    <x v="18"/>
    <n v="48.858283996582003"/>
    <n v="-125.160919189453"/>
    <x v="10"/>
    <n v="1"/>
    <n v="30"/>
    <d v="1899-12-30T12:54:00"/>
    <s v="VDG"/>
    <x v="5"/>
    <x v="1"/>
    <x v="1"/>
    <s v="sca"/>
    <s v="Sebastes caurinus"/>
    <s v="Copper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997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mfra"/>
    <s v="Mesocentrotus franciscanus"/>
    <s v="Red sea urchin"/>
    <n v="492"/>
    <n v="49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8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oko"/>
    <s v="Orthasterias koehleri"/>
    <s v="Rainbow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9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pca"/>
    <s v="Parastichopus californicus"/>
    <s v="Californian sea cucumber"/>
    <n v="72"/>
    <n v="7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0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hcr"/>
    <s v="Hermissenda crassicornis"/>
    <s v="Opalescent nudibranch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1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hka"/>
    <s v="Haliotis kamtschatkana"/>
    <s v="Pinto abalone"/>
    <n v="20"/>
    <n v="0"/>
    <n v="4"/>
    <n v="8"/>
    <n v="3"/>
    <n v="5"/>
    <m/>
    <m/>
    <m/>
    <m/>
    <m/>
    <m/>
    <m/>
    <m/>
    <m/>
    <m/>
    <m/>
    <m/>
    <m/>
    <m/>
    <m/>
    <m/>
    <m/>
    <m/>
    <m/>
    <m/>
    <m/>
    <m/>
    <m/>
    <m/>
  </r>
  <r>
    <n v="1002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dim"/>
    <s v="Dermasterias imbricata"/>
    <s v="Leather star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3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aha"/>
    <s v="Artedius harringtoni"/>
    <s v="Scalyhead sculpin"/>
    <n v="11"/>
    <n v="0"/>
    <n v="2"/>
    <n v="3"/>
    <n v="4"/>
    <n v="2"/>
    <m/>
    <m/>
    <m/>
    <m/>
    <m/>
    <m/>
    <m/>
    <m/>
    <m/>
    <m/>
    <m/>
    <m/>
    <m/>
    <m/>
    <m/>
    <m/>
    <m/>
    <m/>
    <m/>
    <m/>
    <m/>
    <m/>
    <m/>
    <m/>
  </r>
  <r>
    <n v="1004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tli"/>
    <s v="Tonicella lineata"/>
    <s v="Lin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5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pgi"/>
    <s v="Pomaulax gibberosus"/>
    <s v="Red turban shell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6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sfo"/>
    <s v="Stylasterias forreri"/>
    <s v="Velcro sea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7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blood star"/>
    <s v="Henrecia spp."/>
    <s v="Unidentified blood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8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sdr"/>
    <s v="Strongylocentrotus droebachiensis"/>
    <s v="Northern sea urchin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9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cfo"/>
    <s v="Ceratostoma foliatum"/>
    <s v="Leafy hornmouth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0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cgi"/>
    <s v="Crassadoma gigantea"/>
    <s v="Purple-hinged rock scallop"/>
    <n v="3"/>
    <n v="0"/>
    <m/>
    <m/>
    <n v="1"/>
    <m/>
    <n v="1"/>
    <n v="1"/>
    <m/>
    <m/>
    <m/>
    <m/>
    <m/>
    <m/>
    <m/>
    <m/>
    <m/>
    <m/>
    <m/>
    <m/>
    <m/>
    <m/>
    <m/>
    <m/>
    <m/>
    <m/>
    <m/>
    <m/>
    <m/>
    <m/>
  </r>
  <r>
    <n v="1011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sac"/>
    <s v="Scyra acutifrons"/>
    <s v="Sharpnose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2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pmi"/>
    <s v="Patiria miniata"/>
    <s v="Bat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3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phe"/>
    <s v="Pycnopodia helianthoides"/>
    <s v="Sunflower star"/>
    <n v="2"/>
    <n v="0"/>
    <m/>
    <m/>
    <m/>
    <n v="1"/>
    <m/>
    <m/>
    <n v="1"/>
    <m/>
    <m/>
    <m/>
    <m/>
    <m/>
    <m/>
    <m/>
    <m/>
    <m/>
    <m/>
    <m/>
    <m/>
    <m/>
    <m/>
    <m/>
    <m/>
    <m/>
    <m/>
    <m/>
    <m/>
    <m/>
  </r>
  <r>
    <n v="1014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ahu"/>
    <s v="Acanthodoris hudsoni"/>
    <s v="Hudson's dorid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5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rni"/>
    <s v="Rhinogobiops nicholsii"/>
    <s v="Blackeye goby"/>
    <n v="7"/>
    <n v="0"/>
    <m/>
    <n v="2"/>
    <n v="2"/>
    <n v="2"/>
    <n v="1"/>
    <m/>
    <m/>
    <m/>
    <m/>
    <m/>
    <m/>
    <m/>
    <m/>
    <m/>
    <m/>
    <m/>
    <m/>
    <m/>
    <m/>
    <m/>
    <m/>
    <m/>
    <m/>
    <m/>
    <m/>
    <m/>
    <m/>
    <m/>
  </r>
  <r>
    <n v="1016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dal"/>
    <s v="Dirona albolineata"/>
    <s v="Frosted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7"/>
    <x v="4"/>
    <s v="Andrew Bickell"/>
    <x v="18"/>
    <x v="18"/>
    <n v="48.858283996582003"/>
    <n v="-125.160919189453"/>
    <x v="10"/>
    <n v="1"/>
    <n v="30"/>
    <d v="1899-12-30T12:54:00"/>
    <s v="VDG"/>
    <x v="5"/>
    <x v="2"/>
    <x v="1"/>
    <s v="ami"/>
    <s v="Acmaea mitra"/>
    <s v="Whitecap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8"/>
    <x v="4"/>
    <s v="Andrew Bickell"/>
    <x v="12"/>
    <x v="12"/>
    <n v="48.950233459472599"/>
    <n v="-125.155548095703"/>
    <x v="7"/>
    <n v="5"/>
    <n v="240"/>
    <d v="1899-12-30T10:20:00"/>
    <s v="VDG"/>
    <x v="1"/>
    <x v="1"/>
    <x v="1"/>
    <s v="hde"/>
    <s v="Hexagrammos decagrammus"/>
    <s v="Kelp greenling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019"/>
    <x v="4"/>
    <s v="Andrew Bickell"/>
    <x v="12"/>
    <x v="12"/>
    <n v="48.950233459472599"/>
    <n v="-125.155548095703"/>
    <x v="7"/>
    <n v="5"/>
    <n v="240"/>
    <d v="1899-12-30T10:20:00"/>
    <s v="VDG"/>
    <x v="1"/>
    <x v="1"/>
    <x v="1"/>
    <s v="pvi"/>
    <s v="Phoca vitulina"/>
    <s v="harbour seal"/>
    <n v="1"/>
    <n v="0"/>
    <m/>
    <m/>
    <m/>
    <m/>
    <m/>
    <m/>
    <m/>
    <m/>
    <m/>
    <m/>
    <m/>
    <m/>
    <m/>
    <m/>
    <m/>
    <m/>
    <m/>
    <m/>
    <m/>
    <n v="1"/>
    <m/>
    <m/>
    <m/>
    <m/>
    <m/>
    <m/>
    <m/>
    <m/>
  </r>
  <r>
    <n v="1020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mfra"/>
    <s v="Mesocentrotus franciscanus"/>
    <s v="Red sea urchin"/>
    <n v="527"/>
    <n v="52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1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dim"/>
    <s v="Dermasterias imbricata"/>
    <s v="Leather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2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spu"/>
    <s v="Strongylocentrotus purpuratus"/>
    <s v="Purple sea urchin (?)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3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jzo"/>
    <s v="Jordania zonope"/>
    <s v="Longfin sculpin"/>
    <n v="3"/>
    <n v="0"/>
    <n v="2"/>
    <m/>
    <n v="1"/>
    <m/>
    <m/>
    <m/>
    <m/>
    <m/>
    <m/>
    <m/>
    <m/>
    <m/>
    <m/>
    <m/>
    <m/>
    <m/>
    <m/>
    <m/>
    <m/>
    <m/>
    <m/>
    <m/>
    <m/>
    <m/>
    <m/>
    <m/>
    <m/>
    <m/>
  </r>
  <r>
    <n v="1024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ami"/>
    <s v="Acmaea mitra"/>
    <s v="Whitecap limpet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5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aca"/>
    <s v="Apostichopus californicus"/>
    <s v="California sea cucumbe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6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hka"/>
    <s v="Haliotis kamtschatkana"/>
    <s v="Pinto abalone"/>
    <n v="7"/>
    <n v="0"/>
    <n v="4"/>
    <n v="2"/>
    <m/>
    <n v="1"/>
    <m/>
    <m/>
    <m/>
    <m/>
    <m/>
    <m/>
    <m/>
    <m/>
    <m/>
    <m/>
    <m/>
    <m/>
    <m/>
    <m/>
    <m/>
    <m/>
    <m/>
    <m/>
    <m/>
    <m/>
    <m/>
    <m/>
    <m/>
    <m/>
  </r>
  <r>
    <n v="1027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pmi"/>
    <s v="Patiria miniata"/>
    <s v="Bat star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8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oko"/>
    <s v="Orthasterias koehleri"/>
    <s v="Rainbow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9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pgi"/>
    <s v="Pomaulax gibberosus"/>
    <s v="Red turban shell"/>
    <n v="35"/>
    <n v="3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0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rni"/>
    <s v="Rhinogobiops nicholsii"/>
    <s v="Blackeye goby"/>
    <n v="6"/>
    <n v="0"/>
    <n v="4"/>
    <n v="2"/>
    <m/>
    <m/>
    <m/>
    <m/>
    <m/>
    <m/>
    <m/>
    <m/>
    <m/>
    <m/>
    <m/>
    <m/>
    <m/>
    <m/>
    <m/>
    <m/>
    <m/>
    <m/>
    <m/>
    <m/>
    <m/>
    <m/>
    <m/>
    <m/>
    <m/>
    <m/>
  </r>
  <r>
    <n v="1031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hermit"/>
    <s v="Paguroidea spp."/>
    <s v="Unidentified hermit crab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2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sma"/>
    <s v="Scorpaenichthys marmoratus"/>
    <s v="Cabezon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1033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cgi"/>
    <s v="Crassadoma gigantea"/>
    <s v="Purple-hinged rock scallop"/>
    <n v="2"/>
    <n v="0"/>
    <m/>
    <m/>
    <m/>
    <n v="1"/>
    <m/>
    <n v="1"/>
    <m/>
    <m/>
    <m/>
    <m/>
    <m/>
    <m/>
    <m/>
    <m/>
    <m/>
    <m/>
    <m/>
    <m/>
    <m/>
    <m/>
    <m/>
    <m/>
    <m/>
    <m/>
    <m/>
    <m/>
    <m/>
    <m/>
  </r>
  <r>
    <n v="1034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poc"/>
    <s v="Pisaster ochraceus"/>
    <s v="Purple sea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5"/>
    <x v="4"/>
    <s v="Andrew Bickell"/>
    <x v="12"/>
    <x v="12"/>
    <n v="48.950233459472599"/>
    <n v="-125.155548095703"/>
    <x v="7"/>
    <n v="5"/>
    <n v="240"/>
    <d v="1899-12-30T10:20:00"/>
    <s v="VDG"/>
    <x v="1"/>
    <x v="2"/>
    <x v="1"/>
    <s v="aha"/>
    <s v="Artedius harringtoni"/>
    <s v="Scalyhead sculpin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1036"/>
    <x v="4"/>
    <s v="Andrew Bickell"/>
    <x v="13"/>
    <x v="13"/>
    <n v="48.955081939697202"/>
    <n v="-125.15337371826099"/>
    <x v="7"/>
    <n v="5"/>
    <n v="150"/>
    <d v="1899-12-30T13:00:00"/>
    <s v="VDG"/>
    <x v="7"/>
    <x v="1"/>
    <x v="1"/>
    <s v="rni"/>
    <s v="Rhinogobiops nicholsii"/>
    <s v="Blackeye goby"/>
    <n v="2"/>
    <n v="0"/>
    <m/>
    <m/>
    <n v="1"/>
    <m/>
    <n v="1"/>
    <m/>
    <m/>
    <m/>
    <m/>
    <m/>
    <m/>
    <m/>
    <m/>
    <m/>
    <m/>
    <m/>
    <m/>
    <m/>
    <m/>
    <m/>
    <m/>
    <m/>
    <m/>
    <m/>
    <m/>
    <m/>
    <m/>
    <m/>
  </r>
  <r>
    <n v="1037"/>
    <x v="4"/>
    <s v="Andrew Bickell"/>
    <x v="13"/>
    <x v="13"/>
    <n v="48.955081939697202"/>
    <n v="-125.15337371826099"/>
    <x v="7"/>
    <n v="5"/>
    <n v="150"/>
    <d v="1899-12-30T13:00:00"/>
    <s v="VDG"/>
    <x v="7"/>
    <x v="1"/>
    <x v="1"/>
    <s v="sca"/>
    <s v="Sebastes caurinus"/>
    <s v="Copper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038"/>
    <x v="4"/>
    <s v="Andrew Bickell"/>
    <x v="13"/>
    <x v="13"/>
    <n v="48.955081939697202"/>
    <n v="-125.15337371826099"/>
    <x v="7"/>
    <n v="5"/>
    <n v="150"/>
    <d v="1899-12-30T13:00:00"/>
    <s v="VDG"/>
    <x v="7"/>
    <x v="1"/>
    <x v="1"/>
    <s v="hde"/>
    <s v="Hexagrammos decagrammus"/>
    <s v="Kelp greenling"/>
    <n v="3"/>
    <n v="0"/>
    <m/>
    <m/>
    <m/>
    <m/>
    <m/>
    <m/>
    <n v="1"/>
    <n v="1"/>
    <n v="1"/>
    <m/>
    <m/>
    <m/>
    <m/>
    <m/>
    <m/>
    <m/>
    <m/>
    <m/>
    <m/>
    <m/>
    <m/>
    <m/>
    <m/>
    <m/>
    <m/>
    <m/>
    <m/>
    <m/>
  </r>
  <r>
    <n v="1039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mfra"/>
    <s v="Mesocentrotus franciscanus"/>
    <s v="Red sea urchin"/>
    <n v="189"/>
    <n v="18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0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pmi"/>
    <s v="Patiria miniata"/>
    <s v="Bat star"/>
    <n v="101"/>
    <n v="10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1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pgi"/>
    <s v="Pomaulax gibberosus"/>
    <s v="Red turban shell"/>
    <n v="39"/>
    <n v="3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2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hermit"/>
    <s v="Paguroidea spp."/>
    <s v="Unidentified hermit crab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3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dim"/>
    <s v="Dermasterias imbricata"/>
    <s v="Leather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4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oko"/>
    <s v="Orthasterias koehleri"/>
    <s v="Rainbow sta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5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cfo"/>
    <s v="Ceratostoma foliatum"/>
    <s v="Leafy hornmout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6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7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ami"/>
    <s v="Acmaea mitra"/>
    <s v="Whitecap limpet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8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lcoc"/>
    <s v="Limacia cockerelli"/>
    <s v="Cockerell's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9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aha"/>
    <s v="Artedius harringtoni"/>
    <s v="Scalyhead sculpin"/>
    <n v="6"/>
    <n v="0"/>
    <m/>
    <n v="1"/>
    <n v="5"/>
    <m/>
    <m/>
    <m/>
    <m/>
    <m/>
    <m/>
    <m/>
    <m/>
    <m/>
    <m/>
    <m/>
    <m/>
    <m/>
    <m/>
    <m/>
    <m/>
    <m/>
    <m/>
    <m/>
    <m/>
    <m/>
    <m/>
    <m/>
    <m/>
    <m/>
  </r>
  <r>
    <n v="1050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hka"/>
    <s v="Haliotis kamtschatkana"/>
    <s v="Pinto abalone"/>
    <n v="5"/>
    <n v="0"/>
    <n v="3"/>
    <n v="2"/>
    <m/>
    <m/>
    <m/>
    <m/>
    <m/>
    <m/>
    <m/>
    <m/>
    <m/>
    <m/>
    <m/>
    <m/>
    <m/>
    <m/>
    <m/>
    <m/>
    <m/>
    <m/>
    <m/>
    <m/>
    <m/>
    <m/>
    <m/>
    <m/>
    <m/>
    <m/>
  </r>
  <r>
    <n v="1051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tli"/>
    <s v="Tonicella lineata"/>
    <s v="Lin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52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jzo"/>
    <s v="Jordania zonope"/>
    <s v="Longfin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053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rni"/>
    <s v="Rhinogobiops nicholsii"/>
    <s v="Blackeye goby"/>
    <n v="3"/>
    <n v="0"/>
    <m/>
    <n v="1"/>
    <n v="1"/>
    <n v="1"/>
    <m/>
    <m/>
    <m/>
    <m/>
    <m/>
    <m/>
    <m/>
    <m/>
    <m/>
    <m/>
    <m/>
    <m/>
    <m/>
    <m/>
    <m/>
    <m/>
    <m/>
    <m/>
    <m/>
    <m/>
    <m/>
    <m/>
    <m/>
    <m/>
  </r>
  <r>
    <n v="1054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aca"/>
    <s v="Apostichopus californicus"/>
    <s v="California sea cucumbe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55"/>
    <x v="4"/>
    <s v="Andrew Bickell"/>
    <x v="13"/>
    <x v="13"/>
    <n v="48.955081939697202"/>
    <n v="-125.15337371826099"/>
    <x v="7"/>
    <n v="5"/>
    <n v="150"/>
    <d v="1899-12-30T13:00:00"/>
    <s v="VDG"/>
    <x v="7"/>
    <x v="2"/>
    <x v="1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56"/>
    <x v="4"/>
    <s v="Andrew Bickell"/>
    <x v="19"/>
    <x v="19"/>
    <n v="48.838594999999998"/>
    <n v="-125.135015"/>
    <x v="8"/>
    <n v="4"/>
    <n v="180"/>
    <d v="1899-12-30T13:20:00"/>
    <s v="VDG"/>
    <x v="1"/>
    <x v="1"/>
    <x v="1"/>
    <s v="sfl"/>
    <s v="Sebastes flavidus"/>
    <s v="Yellowtail rockfish"/>
    <n v="23"/>
    <n v="0"/>
    <m/>
    <n v="2"/>
    <n v="3"/>
    <n v="13"/>
    <n v="4"/>
    <n v="1"/>
    <m/>
    <m/>
    <m/>
    <m/>
    <m/>
    <m/>
    <m/>
    <m/>
    <m/>
    <m/>
    <m/>
    <m/>
    <m/>
    <m/>
    <m/>
    <m/>
    <m/>
    <m/>
    <m/>
    <m/>
    <m/>
    <m/>
  </r>
  <r>
    <n v="1057"/>
    <x v="4"/>
    <s v="Andrew Bickell"/>
    <x v="19"/>
    <x v="19"/>
    <n v="48.838594999999998"/>
    <n v="-125.135015"/>
    <x v="8"/>
    <n v="4"/>
    <n v="180"/>
    <d v="1899-12-30T13:20:00"/>
    <s v="VDG"/>
    <x v="1"/>
    <x v="1"/>
    <x v="1"/>
    <s v="rni"/>
    <s v="Rhinogobiops nicholsii"/>
    <s v="Blackeye goby"/>
    <n v="39"/>
    <n v="0"/>
    <m/>
    <n v="4"/>
    <n v="8"/>
    <n v="7"/>
    <n v="20"/>
    <m/>
    <m/>
    <m/>
    <m/>
    <m/>
    <m/>
    <m/>
    <m/>
    <m/>
    <m/>
    <m/>
    <m/>
    <m/>
    <m/>
    <m/>
    <m/>
    <m/>
    <m/>
    <m/>
    <m/>
    <m/>
    <m/>
    <m/>
  </r>
  <r>
    <n v="1058"/>
    <x v="4"/>
    <s v="Andrew Bickell"/>
    <x v="19"/>
    <x v="19"/>
    <n v="48.838594999999998"/>
    <n v="-125.135015"/>
    <x v="8"/>
    <n v="4"/>
    <n v="180"/>
    <d v="1899-12-30T13:20:00"/>
    <s v="VDG"/>
    <x v="1"/>
    <x v="1"/>
    <x v="1"/>
    <s v="sme"/>
    <s v="Sebastes melanops"/>
    <s v="Black rockfish"/>
    <n v="2"/>
    <n v="0"/>
    <m/>
    <m/>
    <m/>
    <n v="1"/>
    <n v="1"/>
    <m/>
    <m/>
    <m/>
    <m/>
    <m/>
    <m/>
    <m/>
    <m/>
    <m/>
    <m/>
    <m/>
    <m/>
    <m/>
    <m/>
    <m/>
    <m/>
    <m/>
    <m/>
    <m/>
    <m/>
    <m/>
    <m/>
    <m/>
  </r>
  <r>
    <n v="1059"/>
    <x v="4"/>
    <s v="Andrew Bickell"/>
    <x v="19"/>
    <x v="19"/>
    <n v="48.838594999999998"/>
    <n v="-125.135015"/>
    <x v="8"/>
    <n v="4"/>
    <n v="180"/>
    <d v="1899-12-30T13:20:00"/>
    <s v="VDG"/>
    <x v="1"/>
    <x v="1"/>
    <x v="1"/>
    <s v="sma"/>
    <s v="Sebastes maliger"/>
    <s v="Quillback rockfish"/>
    <n v="4"/>
    <n v="0"/>
    <m/>
    <m/>
    <m/>
    <n v="2"/>
    <n v="2"/>
    <m/>
    <m/>
    <m/>
    <m/>
    <m/>
    <m/>
    <m/>
    <m/>
    <m/>
    <m/>
    <m/>
    <m/>
    <m/>
    <m/>
    <m/>
    <m/>
    <m/>
    <m/>
    <m/>
    <m/>
    <m/>
    <m/>
    <m/>
  </r>
  <r>
    <n v="1060"/>
    <x v="4"/>
    <s v="Andrew Bickell"/>
    <x v="19"/>
    <x v="19"/>
    <n v="48.838594999999998"/>
    <n v="-125.135015"/>
    <x v="8"/>
    <n v="4"/>
    <n v="180"/>
    <d v="1899-12-30T13:20:00"/>
    <s v="VDG"/>
    <x v="1"/>
    <x v="1"/>
    <x v="1"/>
    <s v="opi"/>
    <s v="Oxylebius pictus"/>
    <s v="Painted greenling"/>
    <n v="4"/>
    <n v="0"/>
    <m/>
    <m/>
    <m/>
    <m/>
    <n v="2"/>
    <n v="1"/>
    <n v="1"/>
    <m/>
    <m/>
    <m/>
    <m/>
    <m/>
    <m/>
    <m/>
    <m/>
    <m/>
    <m/>
    <m/>
    <m/>
    <m/>
    <m/>
    <m/>
    <m/>
    <m/>
    <m/>
    <m/>
    <m/>
    <m/>
  </r>
  <r>
    <n v="1061"/>
    <x v="4"/>
    <s v="Andrew Bickell"/>
    <x v="19"/>
    <x v="19"/>
    <n v="48.838594999999998"/>
    <n v="-125.135015"/>
    <x v="8"/>
    <n v="4"/>
    <n v="180"/>
    <d v="1899-12-30T13:20:00"/>
    <s v="VDG"/>
    <x v="1"/>
    <x v="1"/>
    <x v="1"/>
    <s v="hde"/>
    <s v="Hexagrammos decagrammus"/>
    <s v="Kelp greenling"/>
    <n v="7"/>
    <n v="0"/>
    <m/>
    <m/>
    <m/>
    <m/>
    <n v="1"/>
    <n v="2"/>
    <n v="4"/>
    <m/>
    <m/>
    <m/>
    <m/>
    <m/>
    <m/>
    <m/>
    <m/>
    <m/>
    <m/>
    <m/>
    <m/>
    <m/>
    <m/>
    <m/>
    <m/>
    <m/>
    <m/>
    <m/>
    <m/>
    <m/>
  </r>
  <r>
    <n v="1062"/>
    <x v="4"/>
    <s v="Andrew Bickell"/>
    <x v="19"/>
    <x v="19"/>
    <n v="48.838594999999998"/>
    <n v="-125.135015"/>
    <x v="8"/>
    <n v="4"/>
    <n v="180"/>
    <d v="1899-12-30T13:20:00"/>
    <s v="VDG"/>
    <x v="1"/>
    <x v="1"/>
    <x v="1"/>
    <s v="aoc"/>
    <s v="Anarrhichthys ocellatus"/>
    <s v="Wolf-eel"/>
    <n v="1"/>
    <n v="0"/>
    <m/>
    <m/>
    <m/>
    <m/>
    <m/>
    <m/>
    <m/>
    <m/>
    <m/>
    <m/>
    <m/>
    <m/>
    <m/>
    <m/>
    <m/>
    <m/>
    <m/>
    <m/>
    <m/>
    <m/>
    <m/>
    <m/>
    <m/>
    <n v="1"/>
    <m/>
    <m/>
    <m/>
    <m/>
  </r>
  <r>
    <n v="1063"/>
    <x v="4"/>
    <s v="Andrew Bickell"/>
    <x v="19"/>
    <x v="19"/>
    <n v="48.838594999999998"/>
    <n v="-125.135015"/>
    <x v="8"/>
    <n v="4"/>
    <n v="180"/>
    <d v="1899-12-30T13:20:00"/>
    <s v="VDG"/>
    <x v="1"/>
    <x v="1"/>
    <x v="1"/>
    <s v="sca"/>
    <s v="Sebastes caurinus"/>
    <s v="Copper rockfish"/>
    <n v="11"/>
    <n v="0"/>
    <m/>
    <m/>
    <n v="2"/>
    <n v="3"/>
    <n v="4"/>
    <n v="2"/>
    <m/>
    <m/>
    <m/>
    <m/>
    <m/>
    <m/>
    <m/>
    <m/>
    <m/>
    <m/>
    <m/>
    <m/>
    <m/>
    <m/>
    <m/>
    <m/>
    <m/>
    <m/>
    <m/>
    <m/>
    <m/>
    <m/>
  </r>
  <r>
    <n v="1064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5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mfra"/>
    <s v="Mesocentrotus franciscanus"/>
    <s v="Red sea urchin"/>
    <n v="67"/>
    <n v="6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6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hka"/>
    <s v="Haliotis kamtschatkana"/>
    <s v="Pinto abalone"/>
    <n v="22"/>
    <n v="0"/>
    <m/>
    <n v="1"/>
    <n v="8"/>
    <n v="7"/>
    <n v="6"/>
    <m/>
    <m/>
    <m/>
    <m/>
    <m/>
    <m/>
    <m/>
    <m/>
    <m/>
    <m/>
    <m/>
    <m/>
    <m/>
    <m/>
    <m/>
    <m/>
    <m/>
    <m/>
    <m/>
    <m/>
    <m/>
    <m/>
    <m/>
  </r>
  <r>
    <n v="1067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rni"/>
    <s v="Rhinogobiops nicholsii"/>
    <s v="Blackeye goby"/>
    <n v="187"/>
    <n v="0"/>
    <n v="23"/>
    <n v="46"/>
    <n v="31"/>
    <n v="43"/>
    <n v="28"/>
    <n v="16"/>
    <m/>
    <m/>
    <m/>
    <m/>
    <m/>
    <m/>
    <m/>
    <m/>
    <m/>
    <m/>
    <m/>
    <m/>
    <m/>
    <m/>
    <m/>
    <m/>
    <m/>
    <m/>
    <m/>
    <m/>
    <m/>
    <m/>
  </r>
  <r>
    <n v="1068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pmi"/>
    <s v="Patiria miniata"/>
    <s v="Bat star"/>
    <n v="43"/>
    <n v="4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9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tli"/>
    <s v="Tonicella lineata"/>
    <s v="Lin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0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pgi"/>
    <s v="Pomaulax gibberosus"/>
    <s v="Red turban shell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1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ami"/>
    <s v="Acmaea mitra"/>
    <s v="Whitecap limpet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2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mcr"/>
    <s v="Megathura crenulata"/>
    <s v="Giant keyhole limpet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3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cfo"/>
    <s v="Ceratostoma foliatum"/>
    <s v="Leafy hornmouth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4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aca"/>
    <s v="Apostichopus californicus"/>
    <s v="California sea cucumbe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5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dim"/>
    <s v="Dermasterias imbricata"/>
    <s v="Leather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6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7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hermit"/>
    <s v="Paguroidea spp."/>
    <s v="Unidentified hermit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8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9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0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opi"/>
    <s v="Oxylebius pictus"/>
    <s v="Painted greenling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081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cgi"/>
    <s v="Crassadoma gigantea"/>
    <s v="Purple-hinged rock scallop"/>
    <n v="5"/>
    <n v="0"/>
    <n v="1"/>
    <n v="1"/>
    <m/>
    <n v="1"/>
    <n v="2"/>
    <m/>
    <m/>
    <m/>
    <m/>
    <m/>
    <m/>
    <m/>
    <m/>
    <m/>
    <m/>
    <m/>
    <m/>
    <m/>
    <m/>
    <m/>
    <m/>
    <m/>
    <m/>
    <m/>
    <m/>
    <m/>
    <m/>
    <m/>
  </r>
  <r>
    <n v="1082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pla"/>
    <s v="Pholis laeta"/>
    <s v="Crescent gunnel"/>
    <n v="5"/>
    <n v="0"/>
    <n v="2"/>
    <m/>
    <m/>
    <n v="1"/>
    <n v="2"/>
    <m/>
    <m/>
    <m/>
    <m/>
    <m/>
    <m/>
    <m/>
    <m/>
    <m/>
    <m/>
    <m/>
    <m/>
    <m/>
    <m/>
    <m/>
    <m/>
    <m/>
    <m/>
    <m/>
    <m/>
    <m/>
    <m/>
    <m/>
  </r>
  <r>
    <n v="1083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etr"/>
    <s v="Evasterias troschelii"/>
    <s v="Mottled starfish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4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lcoc"/>
    <s v="Limacia cockerelli"/>
    <s v="Cockerell's dorid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5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dodo"/>
    <s v="Diaulula odonoghuei"/>
    <s v="Spotted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6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dem"/>
    <s v="Debris - Metal"/>
    <s v="Any metal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7"/>
    <x v="4"/>
    <s v="Andrew Bickell"/>
    <x v="19"/>
    <x v="19"/>
    <n v="48.838594999999998"/>
    <n v="-125.135015"/>
    <x v="8"/>
    <n v="4"/>
    <n v="180"/>
    <d v="1899-12-30T13:20:00"/>
    <s v="VDG"/>
    <x v="1"/>
    <x v="2"/>
    <x v="1"/>
    <s v="dep"/>
    <s v="Debris - Plastic"/>
    <s v="Any plastic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8"/>
    <x v="4"/>
    <s v="Andrew Bickell"/>
    <x v="15"/>
    <x v="15"/>
    <n v="48.9071"/>
    <n v="-125.03701700000001"/>
    <x v="9"/>
    <n v="3"/>
    <n v="240"/>
    <d v="1899-12-30T10:22:00"/>
    <s v="VDG"/>
    <x v="13"/>
    <x v="1"/>
    <x v="2"/>
    <s v="rni"/>
    <s v="Rhinogobiops nicholsii"/>
    <s v="Blackeye goby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089"/>
    <x v="4"/>
    <s v="Andrew Bickell"/>
    <x v="15"/>
    <x v="15"/>
    <n v="48.9071"/>
    <n v="-125.03701700000001"/>
    <x v="9"/>
    <n v="3"/>
    <n v="240"/>
    <d v="1899-12-30T10:22:00"/>
    <s v="VDG"/>
    <x v="13"/>
    <x v="1"/>
    <x v="2"/>
    <s v="hde"/>
    <s v="Hexagrammos decagrammus"/>
    <s v="Kelp greenling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090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oko"/>
    <s v="Orthasterias koehleri"/>
    <s v="Rainbow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1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mfra"/>
    <s v="Mesocentrotus franciscanus"/>
    <s v="Red sea urchi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2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aca"/>
    <s v="Apostichopus californicus"/>
    <s v="California sea cucumbe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3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mcr"/>
    <s v="Megathura crenulata"/>
    <s v="Giant keyhole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4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cfo"/>
    <s v="Ceratostoma foliatum"/>
    <s v="Leafy hornmout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5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dim"/>
    <s v="Dermasterias imbricata"/>
    <s v="Leather star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6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sfo"/>
    <s v="Stylasterias forreri"/>
    <s v="Velcro sea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7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pgi"/>
    <s v="Pomaulax gibberosus"/>
    <s v="Red turban shell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8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pgi"/>
    <s v="Pomaulax gibberosus"/>
    <s v="Red turban shell"/>
    <n v="18"/>
    <n v="0"/>
    <n v="1"/>
    <n v="5"/>
    <n v="7"/>
    <n v="2"/>
    <n v="3"/>
    <m/>
    <m/>
    <m/>
    <m/>
    <m/>
    <m/>
    <m/>
    <m/>
    <m/>
    <m/>
    <m/>
    <m/>
    <m/>
    <m/>
    <m/>
    <m/>
    <m/>
    <m/>
    <m/>
    <m/>
    <m/>
    <m/>
    <m/>
  </r>
  <r>
    <n v="1099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0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tli"/>
    <s v="Tonicella lineata"/>
    <s v="Lin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1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phe"/>
    <s v="Pycnopodia helianthoides"/>
    <s v="Sunflower star"/>
    <n v="14"/>
    <n v="0"/>
    <n v="6"/>
    <n v="3"/>
    <n v="3"/>
    <n v="1"/>
    <m/>
    <n v="1"/>
    <m/>
    <m/>
    <m/>
    <m/>
    <m/>
    <m/>
    <m/>
    <m/>
    <m/>
    <m/>
    <m/>
    <m/>
    <m/>
    <m/>
    <m/>
    <m/>
    <m/>
    <m/>
    <m/>
    <m/>
    <m/>
    <m/>
  </r>
  <r>
    <n v="1102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mae"/>
    <s v="Mediaster aequalis"/>
    <s v="Vermillion sea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3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cgi"/>
    <s v="Crassadoma gigantea"/>
    <s v="Purple-hinged rock scallop"/>
    <n v="4"/>
    <n v="0"/>
    <n v="1"/>
    <m/>
    <n v="1"/>
    <m/>
    <n v="1"/>
    <n v="1"/>
    <m/>
    <m/>
    <m/>
    <m/>
    <m/>
    <m/>
    <m/>
    <m/>
    <m/>
    <m/>
    <m/>
    <m/>
    <m/>
    <m/>
    <m/>
    <m/>
    <m/>
    <m/>
    <m/>
    <m/>
    <m/>
    <m/>
  </r>
  <r>
    <n v="1104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blood star"/>
    <s v="Henrecia spp."/>
    <s v="Unidentified blood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5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etr"/>
    <s v="Evasterias troschelii"/>
    <s v="Mottled starfis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6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aha"/>
    <s v="Artedius harringtoni"/>
    <s v="Scalyhead sculpin"/>
    <n v="4"/>
    <n v="0"/>
    <m/>
    <n v="1"/>
    <n v="3"/>
    <m/>
    <m/>
    <m/>
    <m/>
    <m/>
    <m/>
    <m/>
    <m/>
    <m/>
    <m/>
    <m/>
    <m/>
    <m/>
    <m/>
    <m/>
    <m/>
    <m/>
    <m/>
    <m/>
    <m/>
    <m/>
    <m/>
    <m/>
    <m/>
    <m/>
  </r>
  <r>
    <n v="1107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ogr"/>
    <s v="Oregonia gracilis"/>
    <s v="Graceful decorator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8"/>
    <x v="4"/>
    <s v="Andrew Bickell"/>
    <x v="15"/>
    <x v="15"/>
    <n v="48.9071"/>
    <n v="-125.03701700000001"/>
    <x v="9"/>
    <n v="3"/>
    <n v="240"/>
    <d v="1899-12-30T10:22:00"/>
    <s v="VDG"/>
    <x v="13"/>
    <x v="2"/>
    <x v="2"/>
    <s v="scyra"/>
    <s v="Scyra species"/>
    <s v="Scyra spp.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9"/>
    <x v="4"/>
    <s v="Andrew Bickell"/>
    <x v="15"/>
    <x v="15"/>
    <n v="48.9071"/>
    <n v="-125.03701700000001"/>
    <x v="9"/>
    <n v="3"/>
    <n v="240"/>
    <d v="1899-12-30T10:22:00"/>
    <s v="VDG"/>
    <x v="13"/>
    <x v="3"/>
    <x v="2"/>
    <s v="phe"/>
    <s v="Pycnopodia helianthoides"/>
    <s v="Sunflower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110"/>
    <x v="4"/>
    <s v="Andrew Bickell"/>
    <x v="15"/>
    <x v="15"/>
    <n v="48.9071"/>
    <n v="-125.03701700000001"/>
    <x v="9"/>
    <n v="3"/>
    <n v="240"/>
    <d v="1899-12-30T10:22:00"/>
    <s v="VDG"/>
    <x v="13"/>
    <x v="3"/>
    <x v="2"/>
    <s v="sme"/>
    <s v="Sebastes melanops"/>
    <s v="Black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111"/>
    <x v="4"/>
    <s v="Andrew Bickell"/>
    <x v="20"/>
    <x v="20"/>
    <n v="48.901183000000003"/>
    <n v="-125.060433"/>
    <x v="9"/>
    <n v="3"/>
    <n v="320"/>
    <d v="1899-12-30T13:24:00"/>
    <s v="VDG"/>
    <x v="4"/>
    <x v="1"/>
    <x v="1"/>
    <s v="rni"/>
    <s v="Rhinogobiops nicholsii"/>
    <s v="Blackeye goby"/>
    <n v="14"/>
    <n v="0"/>
    <m/>
    <m/>
    <n v="3"/>
    <n v="9"/>
    <n v="2"/>
    <m/>
    <m/>
    <m/>
    <m/>
    <m/>
    <m/>
    <m/>
    <m/>
    <m/>
    <m/>
    <m/>
    <m/>
    <m/>
    <m/>
    <m/>
    <m/>
    <m/>
    <m/>
    <m/>
    <m/>
    <m/>
    <m/>
    <m/>
  </r>
  <r>
    <n v="1112"/>
    <x v="4"/>
    <s v="Andrew Bickell"/>
    <x v="20"/>
    <x v="20"/>
    <n v="48.901183000000003"/>
    <n v="-125.060433"/>
    <x v="9"/>
    <n v="3"/>
    <n v="320"/>
    <d v="1899-12-30T13:24:00"/>
    <s v="VDG"/>
    <x v="4"/>
    <x v="1"/>
    <x v="1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113"/>
    <x v="4"/>
    <s v="Andrew Bickell"/>
    <x v="20"/>
    <x v="20"/>
    <n v="48.901183000000003"/>
    <n v="-125.060433"/>
    <x v="9"/>
    <n v="3"/>
    <n v="320"/>
    <d v="1899-12-30T13:24:00"/>
    <s v="VDG"/>
    <x v="4"/>
    <x v="1"/>
    <x v="1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1114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dsa"/>
    <s v="Diaulula sandiegensis"/>
    <s v="Ringed dor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15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ogr"/>
    <s v="Oregonia gracilis"/>
    <s v="Graceful decorator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16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dir"/>
    <s v="Dendronotus iris"/>
    <s v="Giant frond-aeol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17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aca"/>
    <s v="Apostichopus californicus"/>
    <s v="California sea cucumbe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18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mfra"/>
    <s v="Mesocentrotus franciscanus"/>
    <s v="Red sea urchin"/>
    <n v="154"/>
    <n v="15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19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hcr"/>
    <s v="Hermissenda crassicornis"/>
    <s v="Opalescent nudibranch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0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rni"/>
    <s v="Rhinogobiops nicholsii"/>
    <s v="Blackeye goby"/>
    <n v="33"/>
    <n v="0"/>
    <m/>
    <n v="6"/>
    <n v="5"/>
    <n v="10"/>
    <n v="8"/>
    <n v="4"/>
    <m/>
    <m/>
    <m/>
    <m/>
    <m/>
    <m/>
    <m/>
    <m/>
    <m/>
    <m/>
    <m/>
    <m/>
    <m/>
    <m/>
    <m/>
    <m/>
    <m/>
    <m/>
    <m/>
    <m/>
    <m/>
    <m/>
  </r>
  <r>
    <n v="1121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aha"/>
    <s v="Artedius harringtoni"/>
    <s v="Scalyhead sculpin"/>
    <n v="16"/>
    <n v="0"/>
    <m/>
    <m/>
    <n v="1"/>
    <n v="6"/>
    <n v="9"/>
    <m/>
    <m/>
    <m/>
    <m/>
    <m/>
    <m/>
    <m/>
    <m/>
    <m/>
    <m/>
    <m/>
    <m/>
    <m/>
    <m/>
    <m/>
    <m/>
    <m/>
    <m/>
    <m/>
    <m/>
    <m/>
    <m/>
    <m/>
  </r>
  <r>
    <n v="1122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cgi"/>
    <s v="Crassadoma gigantea"/>
    <s v="Purple-hinged rock scallop"/>
    <n v="8"/>
    <n v="0"/>
    <m/>
    <m/>
    <n v="1"/>
    <n v="1"/>
    <n v="3"/>
    <n v="3"/>
    <m/>
    <m/>
    <m/>
    <m/>
    <m/>
    <m/>
    <m/>
    <m/>
    <m/>
    <m/>
    <m/>
    <m/>
    <m/>
    <m/>
    <m/>
    <m/>
    <m/>
    <m/>
    <m/>
    <m/>
    <m/>
    <m/>
  </r>
  <r>
    <n v="1123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dim"/>
    <s v="Dermasterias imbricata"/>
    <s v="Leather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4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sdr"/>
    <s v="Strongylocentrotus droebachiensis"/>
    <s v="Northern sea urchi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5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hermit"/>
    <s v="Paguroidea spp."/>
    <s v="Unidentified hermit crab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6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pno"/>
    <s v="Peltodoris nobilis"/>
    <s v="Noble sea lemo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7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pgi"/>
    <s v="Pomaulax gibberosus"/>
    <s v="Red turban shell"/>
    <n v="67"/>
    <n v="6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8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oko"/>
    <s v="Orthasterias koehleri"/>
    <s v="Rainbow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9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chiton"/>
    <s v="Tonicella spp."/>
    <s v="Unidentifi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0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jzo"/>
    <s v="Jordania zonope"/>
    <s v="Longfin sculpin"/>
    <n v="6"/>
    <n v="0"/>
    <m/>
    <n v="1"/>
    <n v="3"/>
    <n v="2"/>
    <m/>
    <m/>
    <m/>
    <m/>
    <m/>
    <m/>
    <m/>
    <m/>
    <m/>
    <m/>
    <m/>
    <m/>
    <m/>
    <m/>
    <m/>
    <m/>
    <m/>
    <m/>
    <m/>
    <m/>
    <m/>
    <m/>
    <m/>
    <m/>
  </r>
  <r>
    <n v="1131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dal"/>
    <s v="Dirona albolineata"/>
    <s v="Frosted dirona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2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3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hka"/>
    <s v="Haliotis kamtschatkana"/>
    <s v="Pinto abalone"/>
    <n v="6"/>
    <n v="0"/>
    <n v="1"/>
    <m/>
    <n v="3"/>
    <n v="2"/>
    <m/>
    <m/>
    <m/>
    <m/>
    <m/>
    <m/>
    <m/>
    <m/>
    <m/>
    <m/>
    <m/>
    <m/>
    <m/>
    <m/>
    <m/>
    <m/>
    <m/>
    <m/>
    <m/>
    <m/>
    <m/>
    <m/>
    <m/>
    <m/>
  </r>
  <r>
    <n v="1134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cfo"/>
    <s v="Ceratostoma foliatum"/>
    <s v="Leafy hornmouth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5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scyra"/>
    <s v="Scyra species"/>
    <s v="Scyra spp.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6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gor"/>
    <s v="Glebocarcinus oregonensis"/>
    <s v="Pygmy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7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138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ami"/>
    <s v="Acmaea mitra"/>
    <s v="Whitecap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9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hhe"/>
    <s v="Hemilepidotus hemilepidotus"/>
    <s v="Red Irish lord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140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blood star"/>
    <s v="Henre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1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pmi"/>
    <s v="Patiria miniata"/>
    <s v="Bat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2"/>
    <x v="4"/>
    <s v="Andrew Bickell"/>
    <x v="20"/>
    <x v="20"/>
    <n v="48.901183000000003"/>
    <n v="-125.060433"/>
    <x v="9"/>
    <n v="3"/>
    <n v="320"/>
    <d v="1899-12-30T13:24:00"/>
    <s v="VDG"/>
    <x v="4"/>
    <x v="2"/>
    <x v="1"/>
    <s v="tmo"/>
    <s v="Triopha modesta"/>
    <s v="Sea clow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3"/>
    <x v="5"/>
    <s v="Jasmin Schuster"/>
    <x v="1"/>
    <x v="1"/>
    <n v="48.8542671203613"/>
    <n v="-125.11703491210901"/>
    <x v="1"/>
    <n v="3"/>
    <s v="E"/>
    <d v="1899-12-30T10:15:00"/>
    <s v="EGL"/>
    <x v="1"/>
    <x v="1"/>
    <x v="2"/>
    <s v="rni"/>
    <s v="Rhinogobiops nicholsii"/>
    <s v="Blackeye goby"/>
    <n v="39"/>
    <n v="0"/>
    <m/>
    <m/>
    <n v="34"/>
    <n v="5"/>
    <m/>
    <m/>
    <m/>
    <m/>
    <m/>
    <m/>
    <m/>
    <m/>
    <m/>
    <m/>
    <m/>
    <m/>
    <m/>
    <m/>
    <m/>
    <m/>
    <m/>
    <m/>
    <m/>
    <m/>
    <m/>
    <m/>
    <m/>
    <m/>
  </r>
  <r>
    <n v="1144"/>
    <x v="5"/>
    <s v="Jasmin Schuster"/>
    <x v="1"/>
    <x v="1"/>
    <n v="48.8542671203613"/>
    <n v="-125.11703491210901"/>
    <x v="1"/>
    <n v="3"/>
    <s v="E"/>
    <d v="1899-12-30T10:15:00"/>
    <s v="EGL"/>
    <x v="1"/>
    <x v="1"/>
    <x v="2"/>
    <s v="hde"/>
    <s v="Hexagrammos decagrammus"/>
    <s v="Kelp greenling"/>
    <n v="3"/>
    <n v="0"/>
    <m/>
    <m/>
    <m/>
    <m/>
    <n v="1"/>
    <n v="1"/>
    <n v="1"/>
    <m/>
    <m/>
    <m/>
    <m/>
    <m/>
    <m/>
    <m/>
    <m/>
    <m/>
    <m/>
    <m/>
    <m/>
    <m/>
    <m/>
    <m/>
    <m/>
    <m/>
    <m/>
    <m/>
    <m/>
    <m/>
  </r>
  <r>
    <n v="1145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rni"/>
    <s v="Rhinogobiops nicholsii"/>
    <s v="Blackeye goby"/>
    <n v="148"/>
    <n v="0"/>
    <n v="5"/>
    <n v="59"/>
    <n v="52"/>
    <n v="28"/>
    <n v="4"/>
    <m/>
    <m/>
    <m/>
    <m/>
    <m/>
    <m/>
    <m/>
    <m/>
    <m/>
    <m/>
    <m/>
    <m/>
    <m/>
    <m/>
    <m/>
    <m/>
    <m/>
    <m/>
    <m/>
    <m/>
    <m/>
    <m/>
    <m/>
  </r>
  <r>
    <n v="1146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henricia"/>
    <s v="Henricia spp."/>
    <s v="Unidentified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7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mfra"/>
    <s v="Mesocentrotus franciscanus"/>
    <s v="Red sea urchin"/>
    <n v="50"/>
    <n v="5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8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aca"/>
    <s v="Apostichopus californicus"/>
    <s v="California sea cucumber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9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pgi"/>
    <s v="Pomaulax gibberosus"/>
    <s v="Red turban shell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0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pmi"/>
    <s v="Patiria miniata"/>
    <s v="Bat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1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2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3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ami"/>
    <s v="Acmaea mitra"/>
    <s v="Whitecap limpet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4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hka"/>
    <s v="Haliotis kamtschatkana"/>
    <s v="Pinto abalone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1155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6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das"/>
    <s v="Diodora aspera"/>
    <s v="Keyhole limpet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7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8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9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cgi"/>
    <s v="Crassadoma gigantea"/>
    <s v="Purple-hinged rock scallop"/>
    <n v="2"/>
    <n v="0"/>
    <m/>
    <m/>
    <m/>
    <n v="1"/>
    <n v="1"/>
    <m/>
    <m/>
    <m/>
    <m/>
    <m/>
    <m/>
    <m/>
    <m/>
    <m/>
    <m/>
    <m/>
    <m/>
    <m/>
    <m/>
    <m/>
    <m/>
    <m/>
    <m/>
    <m/>
    <m/>
    <m/>
    <m/>
    <m/>
  </r>
  <r>
    <n v="1160"/>
    <x v="5"/>
    <s v="Jasmin Schuster"/>
    <x v="1"/>
    <x v="1"/>
    <n v="48.8542671203613"/>
    <n v="-125.11703491210901"/>
    <x v="1"/>
    <n v="3"/>
    <s v="E"/>
    <d v="1899-12-30T10:15:00"/>
    <s v="EGL"/>
    <x v="1"/>
    <x v="2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61"/>
    <x v="5"/>
    <s v="Jasmin Schuster"/>
    <x v="1"/>
    <x v="1"/>
    <n v="48.8542671203613"/>
    <n v="-125.11703491210901"/>
    <x v="1"/>
    <n v="3"/>
    <s v="E"/>
    <d v="1899-12-30T10:15:00"/>
    <s v="EGL"/>
    <x v="1"/>
    <x v="3"/>
    <x v="2"/>
    <s v="opi"/>
    <s v="Oxylebius pictus"/>
    <s v="Painted greenling"/>
    <n v="3"/>
    <n v="0"/>
    <m/>
    <m/>
    <m/>
    <n v="1"/>
    <n v="1"/>
    <n v="1"/>
    <m/>
    <m/>
    <m/>
    <m/>
    <m/>
    <m/>
    <m/>
    <m/>
    <m/>
    <m/>
    <m/>
    <m/>
    <m/>
    <m/>
    <m/>
    <m/>
    <m/>
    <m/>
    <m/>
    <m/>
    <m/>
    <m/>
  </r>
  <r>
    <n v="1162"/>
    <x v="5"/>
    <s v="Jasmin Schuster"/>
    <x v="1"/>
    <x v="1"/>
    <n v="48.8542671203613"/>
    <n v="-125.11703491210901"/>
    <x v="1"/>
    <n v="3"/>
    <s v="E"/>
    <d v="1899-12-30T10:15:00"/>
    <s v="EGL"/>
    <x v="1"/>
    <x v="3"/>
    <x v="2"/>
    <s v="sca"/>
    <s v="Sebastes caurinus"/>
    <s v="Copper rockfish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1163"/>
    <x v="5"/>
    <s v="Jasmin Schuster"/>
    <x v="1"/>
    <x v="1"/>
    <n v="48.8542671203613"/>
    <n v="-125.11703491210901"/>
    <x v="1"/>
    <n v="3"/>
    <s v="E"/>
    <d v="1899-12-30T10:15:00"/>
    <s v="EGL"/>
    <x v="1"/>
    <x v="3"/>
    <x v="2"/>
    <s v="sma"/>
    <s v="Sebastes maliger"/>
    <s v="Quillback rockfish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164"/>
    <x v="5"/>
    <s v="Jasmin Schuster"/>
    <x v="2"/>
    <x v="2"/>
    <n v="48.85205078125"/>
    <n v="-125.123565673828"/>
    <x v="1"/>
    <n v="2"/>
    <s v="E"/>
    <d v="1899-12-30T12:59:00"/>
    <s v="EGL"/>
    <x v="2"/>
    <x v="1"/>
    <x v="1"/>
    <s v="rni"/>
    <s v="Rhinogobiops nicholsii"/>
    <s v="Blackeye goby"/>
    <n v="6"/>
    <n v="0"/>
    <m/>
    <n v="1"/>
    <n v="3"/>
    <n v="2"/>
    <m/>
    <m/>
    <m/>
    <m/>
    <m/>
    <m/>
    <m/>
    <m/>
    <m/>
    <m/>
    <m/>
    <m/>
    <m/>
    <m/>
    <m/>
    <m/>
    <m/>
    <m/>
    <m/>
    <m/>
    <m/>
    <m/>
    <m/>
    <m/>
  </r>
  <r>
    <n v="1165"/>
    <x v="5"/>
    <s v="Jasmin Schuster"/>
    <x v="2"/>
    <x v="2"/>
    <n v="48.85205078125"/>
    <n v="-125.123565673828"/>
    <x v="1"/>
    <n v="2"/>
    <s v="E"/>
    <d v="1899-12-30T12:59:00"/>
    <s v="EGL"/>
    <x v="2"/>
    <x v="1"/>
    <x v="1"/>
    <s v="hde"/>
    <s v="Hexagrammos decagrammus"/>
    <s v="Kelp greenling"/>
    <n v="7"/>
    <n v="0"/>
    <m/>
    <m/>
    <m/>
    <m/>
    <m/>
    <n v="1"/>
    <n v="1"/>
    <n v="2"/>
    <n v="3"/>
    <m/>
    <m/>
    <m/>
    <m/>
    <m/>
    <m/>
    <m/>
    <m/>
    <m/>
    <m/>
    <m/>
    <m/>
    <m/>
    <m/>
    <m/>
    <m/>
    <m/>
    <m/>
    <m/>
  </r>
  <r>
    <n v="1166"/>
    <x v="5"/>
    <s v="Jasmin Schuster"/>
    <x v="2"/>
    <x v="2"/>
    <n v="48.85205078125"/>
    <n v="-125.123565673828"/>
    <x v="1"/>
    <n v="2"/>
    <s v="E"/>
    <d v="1899-12-30T12:59:00"/>
    <s v="EGL"/>
    <x v="2"/>
    <x v="1"/>
    <x v="1"/>
    <s v="oel"/>
    <s v="Ophiodon elongatus"/>
    <s v="Lingcod"/>
    <n v="3"/>
    <n v="0"/>
    <m/>
    <m/>
    <m/>
    <m/>
    <m/>
    <m/>
    <m/>
    <m/>
    <m/>
    <n v="1"/>
    <n v="1"/>
    <n v="1"/>
    <m/>
    <m/>
    <m/>
    <m/>
    <m/>
    <m/>
    <m/>
    <m/>
    <m/>
    <m/>
    <m/>
    <m/>
    <m/>
    <m/>
    <m/>
    <m/>
  </r>
  <r>
    <n v="1167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mfra"/>
    <s v="Mesocentrotus franciscanus"/>
    <s v="Red sea urchin"/>
    <n v="244"/>
    <n v="24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68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hka"/>
    <s v="Haliotis kamtschatkana"/>
    <s v="Pinto abalone"/>
    <n v="82"/>
    <n v="8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69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pgi"/>
    <s v="Pomaulax gibberosus"/>
    <s v="Red turban shell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0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dim"/>
    <s v="Dermasterias imbricata"/>
    <s v="Leather star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1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cfo"/>
    <s v="Ceratostoma foliatum"/>
    <s v="Leafy hornmout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2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aca"/>
    <s v="Apostichopus californicus"/>
    <s v="California sea cucumber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3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cgi"/>
    <s v="Crassadoma gigantea"/>
    <s v="Purple-hinged rock scallop"/>
    <n v="5"/>
    <n v="0"/>
    <m/>
    <n v="2"/>
    <n v="1"/>
    <n v="1"/>
    <m/>
    <n v="1"/>
    <m/>
    <m/>
    <m/>
    <m/>
    <m/>
    <m/>
    <m/>
    <m/>
    <m/>
    <m/>
    <m/>
    <m/>
    <m/>
    <m/>
    <m/>
    <m/>
    <m/>
    <m/>
    <m/>
    <m/>
    <m/>
    <m/>
  </r>
  <r>
    <n v="1174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oko"/>
    <s v="Orthasterias koehleri"/>
    <s v="Rainbow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5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ami"/>
    <s v="Acmaea mitra"/>
    <s v="Whitecap limpe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6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henricia"/>
    <s v="Henri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7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poc"/>
    <s v="Pisaster ochraceus"/>
    <s v="Purple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8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hcr"/>
    <s v="Hermissenda crassicornis"/>
    <s v="Opalescent nudibranc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9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pmi"/>
    <s v="Patiria miniata"/>
    <s v="Bat star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0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rni"/>
    <s v="Rhinogobiops nicholsii"/>
    <s v="Blackeye goby"/>
    <n v="12"/>
    <n v="0"/>
    <n v="1"/>
    <n v="7"/>
    <n v="3"/>
    <n v="1"/>
    <m/>
    <m/>
    <m/>
    <m/>
    <m/>
    <m/>
    <m/>
    <m/>
    <m/>
    <m/>
    <m/>
    <m/>
    <m/>
    <m/>
    <m/>
    <m/>
    <m/>
    <m/>
    <m/>
    <m/>
    <m/>
    <m/>
    <m/>
    <m/>
  </r>
  <r>
    <n v="1181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2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aha"/>
    <s v="Artedius harringtoni"/>
    <s v="Scalyhead sculpin"/>
    <n v="7"/>
    <n v="0"/>
    <n v="1"/>
    <n v="5"/>
    <n v="1"/>
    <m/>
    <m/>
    <m/>
    <m/>
    <m/>
    <m/>
    <m/>
    <m/>
    <m/>
    <m/>
    <m/>
    <m/>
    <m/>
    <m/>
    <m/>
    <m/>
    <m/>
    <m/>
    <m/>
    <m/>
    <m/>
    <m/>
    <m/>
    <m/>
    <m/>
  </r>
  <r>
    <n v="1183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dfi"/>
    <s v="Debris - Fishing"/>
    <s v="Any fishing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4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das"/>
    <s v="Diodora aspera"/>
    <s v="Keyhole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5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6"/>
    <x v="5"/>
    <s v="Jasmin Schuster"/>
    <x v="2"/>
    <x v="2"/>
    <n v="48.85205078125"/>
    <n v="-125.123565673828"/>
    <x v="1"/>
    <n v="2"/>
    <s v="E"/>
    <d v="1899-12-30T12:59:00"/>
    <s v="EGL"/>
    <x v="2"/>
    <x v="2"/>
    <x v="1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7"/>
    <x v="5"/>
    <s v="Jasmin Schuster"/>
    <x v="2"/>
    <x v="2"/>
    <n v="48.85205078125"/>
    <n v="-125.123565673828"/>
    <x v="1"/>
    <n v="2"/>
    <s v="E"/>
    <d v="1899-12-30T12:59:00"/>
    <s v="EGL"/>
    <x v="2"/>
    <x v="3"/>
    <x v="1"/>
    <s v="dod"/>
    <s v="Doris odhneri"/>
    <s v="White night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8"/>
    <x v="5"/>
    <s v="Jasmin Schuster"/>
    <x v="2"/>
    <x v="2"/>
    <n v="48.85205078125"/>
    <n v="-125.123565673828"/>
    <x v="1"/>
    <n v="2"/>
    <s v="E"/>
    <d v="1899-12-30T12:59:00"/>
    <s v="EGL"/>
    <x v="2"/>
    <x v="3"/>
    <x v="1"/>
    <s v="tfe"/>
    <s v="Tritonia festiva"/>
    <s v="Diamondback tritoni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9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bfr"/>
    <s v="Brachyistius frenatus"/>
    <s v="Kelp perch"/>
    <n v="10"/>
    <n v="0"/>
    <m/>
    <m/>
    <n v="5"/>
    <n v="4"/>
    <n v="1"/>
    <m/>
    <m/>
    <m/>
    <m/>
    <m/>
    <m/>
    <m/>
    <m/>
    <m/>
    <m/>
    <m/>
    <m/>
    <m/>
    <m/>
    <m/>
    <m/>
    <m/>
    <m/>
    <m/>
    <m/>
    <m/>
    <m/>
    <m/>
  </r>
  <r>
    <n v="1190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hde"/>
    <s v="Hexagrammos decagrammus"/>
    <s v="Kelp greenling"/>
    <n v="3"/>
    <n v="0"/>
    <m/>
    <m/>
    <m/>
    <m/>
    <n v="1"/>
    <n v="1"/>
    <n v="1"/>
    <m/>
    <m/>
    <m/>
    <m/>
    <m/>
    <m/>
    <m/>
    <m/>
    <m/>
    <m/>
    <m/>
    <m/>
    <m/>
    <m/>
    <m/>
    <m/>
    <m/>
    <m/>
    <m/>
    <m/>
    <m/>
  </r>
  <r>
    <n v="1191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rni"/>
    <s v="Rhinogobiops nicholsii"/>
    <s v="Blackeye goby"/>
    <n v="5"/>
    <n v="0"/>
    <m/>
    <m/>
    <n v="5"/>
    <m/>
    <m/>
    <m/>
    <m/>
    <m/>
    <m/>
    <m/>
    <m/>
    <m/>
    <m/>
    <m/>
    <m/>
    <m/>
    <m/>
    <m/>
    <m/>
    <m/>
    <m/>
    <m/>
    <m/>
    <m/>
    <m/>
    <m/>
    <m/>
    <m/>
  </r>
  <r>
    <n v="1192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afl"/>
    <s v="Aulorhynchus flavidus"/>
    <s v="Tube-snout"/>
    <n v="80"/>
    <n v="0"/>
    <m/>
    <m/>
    <n v="80"/>
    <m/>
    <m/>
    <m/>
    <m/>
    <m/>
    <m/>
    <m/>
    <m/>
    <m/>
    <m/>
    <m/>
    <m/>
    <m/>
    <m/>
    <m/>
    <m/>
    <m/>
    <m/>
    <m/>
    <m/>
    <m/>
    <m/>
    <m/>
    <m/>
    <m/>
  </r>
  <r>
    <n v="1193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cag"/>
    <s v="Cymatogaster aggregata"/>
    <s v="Shiner perch"/>
    <n v="23"/>
    <n v="0"/>
    <m/>
    <m/>
    <n v="23"/>
    <m/>
    <m/>
    <m/>
    <m/>
    <m/>
    <m/>
    <m/>
    <m/>
    <m/>
    <m/>
    <m/>
    <m/>
    <m/>
    <m/>
    <m/>
    <m/>
    <m/>
    <m/>
    <m/>
    <m/>
    <m/>
    <m/>
    <m/>
    <m/>
    <m/>
  </r>
  <r>
    <n v="1194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sebastes"/>
    <s v="Sebastes spp."/>
    <s v="Unidentified rockfish"/>
    <n v="12"/>
    <n v="0"/>
    <m/>
    <m/>
    <n v="7"/>
    <n v="5"/>
    <m/>
    <m/>
    <m/>
    <m/>
    <m/>
    <m/>
    <m/>
    <m/>
    <m/>
    <m/>
    <m/>
    <m/>
    <m/>
    <m/>
    <m/>
    <m/>
    <m/>
    <m/>
    <m/>
    <m/>
    <m/>
    <m/>
    <m/>
    <m/>
  </r>
  <r>
    <n v="1195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sca"/>
    <s v="Sebastes caurinus"/>
    <s v="Copper rockfish"/>
    <n v="2"/>
    <n v="0"/>
    <m/>
    <m/>
    <m/>
    <m/>
    <n v="2"/>
    <m/>
    <m/>
    <m/>
    <m/>
    <m/>
    <m/>
    <m/>
    <m/>
    <m/>
    <m/>
    <m/>
    <m/>
    <m/>
    <m/>
    <m/>
    <m/>
    <m/>
    <m/>
    <m/>
    <m/>
    <m/>
    <m/>
    <m/>
  </r>
  <r>
    <n v="1196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rva"/>
    <s v="Rhacochilus vacca"/>
    <s v="Pile perc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197"/>
    <x v="5"/>
    <s v="Jasmin Schuster"/>
    <x v="3"/>
    <x v="3"/>
    <n v="48.870517730712798"/>
    <n v="-125.160346984863"/>
    <x v="2"/>
    <n v="1.5"/>
    <n v="270"/>
    <d v="1899-12-30T10:23:00"/>
    <s v="EGL"/>
    <x v="3"/>
    <x v="1"/>
    <x v="1"/>
    <s v="sme"/>
    <s v="Sebastes melanops"/>
    <s v="Black rockfish"/>
    <n v="3"/>
    <n v="0"/>
    <m/>
    <m/>
    <m/>
    <m/>
    <m/>
    <n v="3"/>
    <m/>
    <m/>
    <m/>
    <m/>
    <m/>
    <m/>
    <m/>
    <m/>
    <m/>
    <m/>
    <m/>
    <m/>
    <m/>
    <m/>
    <m/>
    <m/>
    <m/>
    <m/>
    <m/>
    <m/>
    <m/>
    <m/>
  </r>
  <r>
    <n v="1198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mfra"/>
    <s v="Mesocentrotus franciscanus"/>
    <s v="Red sea urchin"/>
    <n v="110"/>
    <n v="1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9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aca"/>
    <s v="Apostichopus californicus"/>
    <s v="California sea cucumber"/>
    <n v="56"/>
    <n v="5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00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das"/>
    <s v="Diodora aspera"/>
    <s v="Keyhole limpe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01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oko"/>
    <s v="Orthasterias koehleri"/>
    <s v="Rainbow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02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pmi"/>
    <s v="Patiria miniata"/>
    <s v="Bat star"/>
    <n v="37"/>
    <n v="3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03"/>
    <x v="5"/>
    <s v="Jasmin Schuster"/>
    <x v="3"/>
    <x v="3"/>
    <n v="48.870517730712798"/>
    <n v="-125.160346984863"/>
    <x v="2"/>
    <n v="1.5"/>
    <n v="270"/>
    <d v="1899-12-30T10:23:00"/>
    <s v="EGL"/>
    <x v="3"/>
    <x v="3"/>
    <x v="1"/>
    <s v="sma"/>
    <s v="Sebastes maliger"/>
    <s v="Quillback rockfish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204"/>
    <x v="5"/>
    <s v="Jasmin Schuster"/>
    <x v="3"/>
    <x v="3"/>
    <n v="48.870517730712798"/>
    <n v="-125.160346984863"/>
    <x v="2"/>
    <n v="1.5"/>
    <n v="270"/>
    <d v="1899-12-30T10:23:00"/>
    <s v="EGL"/>
    <x v="3"/>
    <x v="3"/>
    <x v="1"/>
    <s v="sca"/>
    <s v="Sebastes caurinus"/>
    <s v="Copper rockfish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205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rni"/>
    <s v="Rhinogobiops nicholsii"/>
    <s v="Blackeye goby"/>
    <n v="58"/>
    <n v="0"/>
    <n v="4"/>
    <n v="14"/>
    <n v="20"/>
    <n v="18"/>
    <n v="2"/>
    <m/>
    <m/>
    <m/>
    <m/>
    <m/>
    <m/>
    <m/>
    <m/>
    <m/>
    <m/>
    <m/>
    <m/>
    <m/>
    <m/>
    <m/>
    <m/>
    <m/>
    <m/>
    <m/>
    <m/>
    <m/>
    <m/>
    <m/>
  </r>
  <r>
    <n v="1206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pgi"/>
    <s v="Pomaulax gibberosus"/>
    <s v="Red turban shell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07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hka"/>
    <s v="Haliotis kamtschatkana"/>
    <s v="Pinto abalone"/>
    <n v="7"/>
    <n v="0"/>
    <m/>
    <n v="1"/>
    <n v="3"/>
    <n v="2"/>
    <n v="1"/>
    <m/>
    <m/>
    <m/>
    <m/>
    <m/>
    <m/>
    <m/>
    <m/>
    <m/>
    <m/>
    <m/>
    <m/>
    <m/>
    <m/>
    <m/>
    <m/>
    <m/>
    <m/>
    <m/>
    <m/>
    <m/>
    <m/>
    <m/>
  </r>
  <r>
    <n v="1208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ami"/>
    <s v="Acmaea mitra"/>
    <s v="Whitecap limpet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09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sac"/>
    <s v="Scyra acutifrons"/>
    <s v="Sharpnose crab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10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cfo"/>
    <s v="Ceratostoma foliatum"/>
    <s v="Leafy hornmouth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11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pri"/>
    <s v="Pugettia richii"/>
    <s v="Cryptic kelp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12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13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poc"/>
    <s v="Pisaster ochraceus"/>
    <s v="Purple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14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phe"/>
    <s v="Pycnopodia helianthoides"/>
    <s v="Sunflower star"/>
    <n v="3"/>
    <n v="0"/>
    <n v="3"/>
    <m/>
    <m/>
    <m/>
    <m/>
    <m/>
    <m/>
    <m/>
    <m/>
    <m/>
    <m/>
    <m/>
    <m/>
    <m/>
    <m/>
    <m/>
    <m/>
    <m/>
    <m/>
    <m/>
    <m/>
    <m/>
    <m/>
    <m/>
    <m/>
    <m/>
    <m/>
    <m/>
  </r>
  <r>
    <n v="1215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16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jzo"/>
    <s v="Jordania zonope"/>
    <s v="Longfin sculpin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217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cgi"/>
    <s v="Crassadoma gigantea"/>
    <s v="Purple-hinged rock scallop"/>
    <n v="2"/>
    <n v="0"/>
    <m/>
    <n v="1"/>
    <m/>
    <n v="1"/>
    <m/>
    <m/>
    <m/>
    <m/>
    <m/>
    <m/>
    <m/>
    <m/>
    <m/>
    <m/>
    <m/>
    <m/>
    <m/>
    <m/>
    <m/>
    <m/>
    <m/>
    <m/>
    <m/>
    <m/>
    <m/>
    <m/>
    <m/>
    <m/>
  </r>
  <r>
    <n v="1218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afl"/>
    <s v="Apodichthys flavidus"/>
    <s v="Penpoint gunnel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219"/>
    <x v="5"/>
    <s v="Jasmin Schuster"/>
    <x v="3"/>
    <x v="3"/>
    <n v="48.870517730712798"/>
    <n v="-125.160346984863"/>
    <x v="2"/>
    <n v="1.5"/>
    <n v="270"/>
    <d v="1899-12-30T10:23:00"/>
    <s v="EGL"/>
    <x v="3"/>
    <x v="3"/>
    <x v="3"/>
    <s v="dod"/>
    <s v="Doris odhneri"/>
    <s v="White night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0"/>
    <x v="5"/>
    <s v="Jasmin Schuster"/>
    <x v="3"/>
    <x v="3"/>
    <n v="48.870517730712798"/>
    <n v="-125.160346984863"/>
    <x v="2"/>
    <n v="1.5"/>
    <n v="270"/>
    <d v="1899-12-30T10:23:00"/>
    <s v="EGL"/>
    <x v="3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1"/>
    <x v="5"/>
    <s v="Jasmin Schuster"/>
    <x v="4"/>
    <x v="4"/>
    <n v="48.850399017333899"/>
    <n v="-125.198768615722"/>
    <x v="2"/>
    <n v="1.5"/>
    <n v="0"/>
    <d v="1899-12-30T13:30:00"/>
    <s v="EGL"/>
    <x v="4"/>
    <x v="1"/>
    <x v="1"/>
    <s v="hde"/>
    <s v="Hexagrammos decagrammus"/>
    <s v="Kelp greenling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222"/>
    <x v="5"/>
    <s v="Jasmin Schuster"/>
    <x v="4"/>
    <x v="4"/>
    <n v="48.850399017333899"/>
    <n v="-125.198768615722"/>
    <x v="2"/>
    <n v="1.5"/>
    <n v="0"/>
    <d v="1899-12-30T13:30:00"/>
    <s v="EGL"/>
    <x v="4"/>
    <x v="1"/>
    <x v="1"/>
    <s v="teleostei"/>
    <s v="Teleostei"/>
    <s v="Unidentified larval fish"/>
    <n v="80"/>
    <n v="0"/>
    <n v="80"/>
    <m/>
    <m/>
    <m/>
    <m/>
    <m/>
    <m/>
    <m/>
    <m/>
    <m/>
    <m/>
    <m/>
    <m/>
    <m/>
    <m/>
    <m/>
    <m/>
    <m/>
    <m/>
    <m/>
    <m/>
    <m/>
    <m/>
    <m/>
    <m/>
    <m/>
    <m/>
    <m/>
  </r>
  <r>
    <n v="1223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mfra"/>
    <s v="Mesocentrotus franciscanus"/>
    <s v="Red sea urchin"/>
    <n v="381"/>
    <n v="38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4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5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oko"/>
    <s v="Orthasterias koehleri"/>
    <s v="Rainbow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6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hka"/>
    <s v="Haliotis kamtschatkana"/>
    <s v="Pinto abalone"/>
    <n v="14"/>
    <n v="0"/>
    <n v="1"/>
    <n v="7"/>
    <n v="5"/>
    <n v="1"/>
    <m/>
    <m/>
    <m/>
    <m/>
    <m/>
    <m/>
    <m/>
    <m/>
    <m/>
    <m/>
    <m/>
    <m/>
    <m/>
    <m/>
    <m/>
    <m/>
    <m/>
    <m/>
    <m/>
    <m/>
    <m/>
    <m/>
    <m/>
    <m/>
  </r>
  <r>
    <n v="1227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pgi"/>
    <s v="Pomaulax gibberosus"/>
    <s v="Red turban shell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8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cfo"/>
    <s v="Ceratostoma foliatum"/>
    <s v="Leafy hornmouth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9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aha"/>
    <s v="Artedius harringtoni"/>
    <s v="Scalyhead sculpin"/>
    <n v="6"/>
    <n v="0"/>
    <n v="2"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1230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aca"/>
    <s v="Apostichopus californicus"/>
    <s v="California sea cucumber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1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poc"/>
    <s v="Pisaster ochraceus"/>
    <s v="Purpl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2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3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phe"/>
    <s v="Pycnopodia helianthoides"/>
    <s v="Sunflower star"/>
    <n v="2"/>
    <n v="0"/>
    <m/>
    <m/>
    <n v="1"/>
    <m/>
    <m/>
    <n v="1"/>
    <m/>
    <m/>
    <m/>
    <m/>
    <m/>
    <m/>
    <m/>
    <m/>
    <m/>
    <m/>
    <m/>
    <m/>
    <m/>
    <m/>
    <m/>
    <m/>
    <m/>
    <m/>
    <m/>
    <m/>
    <m/>
    <m/>
  </r>
  <r>
    <n v="1234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spu"/>
    <s v="Strongylocentrotus purpuratus"/>
    <s v="Purple sea urchin (?)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5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hcr"/>
    <s v="Hermissenda crassicornis"/>
    <s v="Opalescent nudibranc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6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7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8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39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cgi"/>
    <s v="Crassadoma gigantea"/>
    <s v="Purple-hinged rock scallop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40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ami"/>
    <s v="Acmaea mitra"/>
    <s v="Whitecap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41"/>
    <x v="5"/>
    <s v="Jasmin Schuster"/>
    <x v="4"/>
    <x v="4"/>
    <n v="48.850399017333899"/>
    <n v="-125.198768615722"/>
    <x v="2"/>
    <n v="1.5"/>
    <n v="0"/>
    <d v="1899-12-30T13:30:00"/>
    <s v="EGL"/>
    <x v="4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42"/>
    <x v="5"/>
    <s v="Jasmin Schuster"/>
    <x v="4"/>
    <x v="4"/>
    <n v="48.850399017333899"/>
    <n v="-125.198768615722"/>
    <x v="2"/>
    <n v="1.5"/>
    <n v="0"/>
    <d v="1899-12-30T13:30:00"/>
    <s v="EGL"/>
    <x v="4"/>
    <x v="3"/>
    <x v="1"/>
    <s v="phe"/>
    <s v="Pycnopodia helianthoides"/>
    <s v="Sunflower star"/>
    <n v="2"/>
    <n v="0"/>
    <m/>
    <m/>
    <m/>
    <m/>
    <n v="1"/>
    <m/>
    <n v="1"/>
    <m/>
    <m/>
    <m/>
    <m/>
    <m/>
    <m/>
    <m/>
    <m/>
    <m/>
    <m/>
    <m/>
    <m/>
    <m/>
    <m/>
    <m/>
    <m/>
    <m/>
    <m/>
    <m/>
    <m/>
    <m/>
  </r>
  <r>
    <n v="1243"/>
    <x v="5"/>
    <s v="Jasmin Schuster"/>
    <x v="4"/>
    <x v="4"/>
    <n v="48.850399017333899"/>
    <n v="-125.198768615722"/>
    <x v="2"/>
    <n v="1.5"/>
    <n v="0"/>
    <d v="1899-12-30T13:30:00"/>
    <s v="EGL"/>
    <x v="4"/>
    <x v="3"/>
    <x v="1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44"/>
    <x v="5"/>
    <s v="Jasmin Schuster"/>
    <x v="5"/>
    <x v="5"/>
    <n v="48.828601837158203"/>
    <n v="-125.221298217773"/>
    <x v="3"/>
    <n v="2"/>
    <n v="270"/>
    <d v="1899-12-30T10:15:00"/>
    <s v="EGL"/>
    <x v="5"/>
    <x v="1"/>
    <x v="1"/>
    <s v="hde"/>
    <s v="Hexagrammos decagrammus"/>
    <s v="Kelp greenling"/>
    <n v="5"/>
    <n v="0"/>
    <m/>
    <m/>
    <m/>
    <m/>
    <m/>
    <m/>
    <m/>
    <m/>
    <m/>
    <n v="4"/>
    <n v="1"/>
    <m/>
    <m/>
    <m/>
    <m/>
    <m/>
    <m/>
    <m/>
    <m/>
    <m/>
    <m/>
    <m/>
    <m/>
    <m/>
    <m/>
    <m/>
    <m/>
    <m/>
  </r>
  <r>
    <n v="1245"/>
    <x v="5"/>
    <s v="Jasmin Schuster"/>
    <x v="5"/>
    <x v="5"/>
    <n v="48.828601837158203"/>
    <n v="-125.221298217773"/>
    <x v="3"/>
    <n v="2"/>
    <n v="270"/>
    <d v="1899-12-30T10:15:00"/>
    <s v="EGL"/>
    <x v="5"/>
    <x v="1"/>
    <x v="1"/>
    <s v="sne"/>
    <s v="Sebastes nebulosus"/>
    <s v="China rockfish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246"/>
    <x v="5"/>
    <s v="Jasmin Schuster"/>
    <x v="5"/>
    <x v="5"/>
    <n v="48.828601837158203"/>
    <n v="-125.221298217773"/>
    <x v="3"/>
    <n v="2"/>
    <n v="270"/>
    <d v="1899-12-30T10:15:00"/>
    <s v="EGL"/>
    <x v="5"/>
    <x v="1"/>
    <x v="1"/>
    <s v="jzo"/>
    <s v="Jordania zonope"/>
    <s v="Longfin sculpin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247"/>
    <x v="5"/>
    <s v="Jasmin Schuster"/>
    <x v="5"/>
    <x v="5"/>
    <n v="48.828601837158203"/>
    <n v="-125.221298217773"/>
    <x v="3"/>
    <n v="2"/>
    <n v="270"/>
    <d v="1899-12-30T10:15:00"/>
    <s v="EGL"/>
    <x v="5"/>
    <x v="1"/>
    <x v="1"/>
    <s v="sme"/>
    <s v="Sebastes melanops"/>
    <s v="Black rockfish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248"/>
    <x v="5"/>
    <s v="Jasmin Schuster"/>
    <x v="5"/>
    <x v="5"/>
    <n v="48.828601837158203"/>
    <n v="-125.221298217773"/>
    <x v="3"/>
    <n v="2"/>
    <n v="270"/>
    <d v="1899-12-30T10:15:00"/>
    <s v="EGL"/>
    <x v="5"/>
    <x v="1"/>
    <x v="1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1249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mfra"/>
    <s v="Mesocentrotus franciscanus"/>
    <s v="Red sea urchin"/>
    <n v="356"/>
    <n v="35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0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hka"/>
    <s v="Haliotis kamtschatkana"/>
    <s v="Pinto abalone"/>
    <n v="26"/>
    <n v="0"/>
    <n v="1"/>
    <n v="9"/>
    <n v="7"/>
    <n v="8"/>
    <n v="1"/>
    <m/>
    <m/>
    <m/>
    <m/>
    <m/>
    <m/>
    <m/>
    <m/>
    <m/>
    <m/>
    <m/>
    <m/>
    <m/>
    <m/>
    <m/>
    <m/>
    <m/>
    <m/>
    <m/>
    <m/>
    <m/>
    <m/>
    <m/>
  </r>
  <r>
    <n v="1251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poc"/>
    <s v="Pisaster ochraceus"/>
    <s v="Purple sea star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2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tonicella"/>
    <s v="Tonicella spp."/>
    <s v="Unidentified lined chiton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3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ami"/>
    <s v="Acmaea mitra"/>
    <s v="Whitecap limpet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4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spu"/>
    <s v="Strongylocentrotus purpuratus"/>
    <s v="Purple sea urchin (?)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5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aca"/>
    <s v="Apostichopus californicus"/>
    <s v="California sea cucumbe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6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pmi"/>
    <s v="Patiria miniata"/>
    <s v="Bat star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7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8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dim"/>
    <s v="Dermasterias imbricata"/>
    <s v="Leather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9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cfo"/>
    <s v="Ceratostoma foliatum"/>
    <s v="Leafy hornmouth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0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hermit"/>
    <s v="Paguroidea spp."/>
    <s v="Unidentified hermit crab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1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aha"/>
    <s v="Artedius harringtoni"/>
    <s v="Scalyhead sculpin"/>
    <n v="3"/>
    <m/>
    <m/>
    <n v="3"/>
    <m/>
    <m/>
    <m/>
    <m/>
    <m/>
    <m/>
    <m/>
    <m/>
    <m/>
    <m/>
    <m/>
    <m/>
    <m/>
    <m/>
    <m/>
    <m/>
    <m/>
    <m/>
    <m/>
    <m/>
    <m/>
    <m/>
    <m/>
    <m/>
    <m/>
    <m/>
  </r>
  <r>
    <n v="1262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sdr"/>
    <s v="Strongylocentrotus droebachiensis"/>
    <s v="Northern sea urchin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3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jzo"/>
    <s v="Jordania zonope"/>
    <s v="Longfin sculpin"/>
    <n v="5"/>
    <m/>
    <m/>
    <n v="2"/>
    <n v="2"/>
    <n v="1"/>
    <m/>
    <m/>
    <m/>
    <m/>
    <m/>
    <m/>
    <m/>
    <m/>
    <m/>
    <m/>
    <m/>
    <m/>
    <m/>
    <m/>
    <m/>
    <m/>
    <m/>
    <m/>
    <m/>
    <m/>
    <m/>
    <m/>
    <m/>
    <m/>
  </r>
  <r>
    <n v="1264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cgi"/>
    <s v="Crassadoma gigantea"/>
    <s v="Purple-hinged rock scallop"/>
    <n v="1"/>
    <m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265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das"/>
    <s v="Diodora aspera"/>
    <s v="Keyhole limpe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6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oko"/>
    <s v="Orthasterias koehleri"/>
    <s v="Rainbow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7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mae"/>
    <s v="Mediaster aequalis"/>
    <s v="Vermillion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8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pgi"/>
    <s v="Pomaulax gibberosus"/>
    <s v="Red turban shel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9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0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1"/>
    <x v="5"/>
    <s v="Jasmin Schuster"/>
    <x v="5"/>
    <x v="5"/>
    <n v="48.828601837158203"/>
    <n v="-125.221298217773"/>
    <x v="3"/>
    <n v="2"/>
    <n v="270"/>
    <d v="1899-12-30T10:15:00"/>
    <s v="EGL"/>
    <x v="5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2"/>
    <x v="5"/>
    <s v="Jasmin Schuster"/>
    <x v="5"/>
    <x v="5"/>
    <n v="48.828601837158203"/>
    <n v="-125.221298217773"/>
    <x v="3"/>
    <n v="2"/>
    <n v="270"/>
    <d v="1899-12-30T10:15:00"/>
    <s v="EGL"/>
    <x v="5"/>
    <x v="3"/>
    <x v="3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3"/>
    <x v="5"/>
    <s v="Jasmin Schuster"/>
    <x v="6"/>
    <x v="6"/>
    <n v="48.835666656494098"/>
    <n v="-125.214797973632"/>
    <x v="3"/>
    <n v="2.5"/>
    <n v="320"/>
    <d v="1899-12-30T12:35:00"/>
    <s v="EGL"/>
    <x v="5"/>
    <x v="1"/>
    <x v="1"/>
    <s v="hde"/>
    <s v="Hexagrammos decagrammus"/>
    <s v="Kelp greenling"/>
    <n v="11"/>
    <n v="0"/>
    <m/>
    <m/>
    <m/>
    <m/>
    <m/>
    <m/>
    <n v="2"/>
    <n v="4"/>
    <n v="3"/>
    <n v="1"/>
    <n v="1"/>
    <m/>
    <m/>
    <m/>
    <m/>
    <m/>
    <m/>
    <m/>
    <m/>
    <m/>
    <m/>
    <m/>
    <m/>
    <m/>
    <m/>
    <m/>
    <m/>
    <m/>
  </r>
  <r>
    <n v="1274"/>
    <x v="5"/>
    <s v="Jasmin Schuster"/>
    <x v="6"/>
    <x v="6"/>
    <n v="48.835666656494098"/>
    <n v="-125.214797973632"/>
    <x v="3"/>
    <n v="2.5"/>
    <n v="320"/>
    <d v="1899-12-30T12:35:00"/>
    <s v="EGL"/>
    <x v="5"/>
    <x v="1"/>
    <x v="1"/>
    <s v="sme"/>
    <s v="Sebastes melanops"/>
    <s v="Black rockfish"/>
    <n v="11"/>
    <n v="0"/>
    <m/>
    <m/>
    <m/>
    <m/>
    <m/>
    <m/>
    <n v="1"/>
    <n v="6"/>
    <n v="3"/>
    <n v="1"/>
    <m/>
    <m/>
    <m/>
    <m/>
    <m/>
    <m/>
    <m/>
    <m/>
    <m/>
    <m/>
    <m/>
    <m/>
    <m/>
    <m/>
    <m/>
    <m/>
    <m/>
    <m/>
  </r>
  <r>
    <n v="1275"/>
    <x v="5"/>
    <s v="Jasmin Schuster"/>
    <x v="6"/>
    <x v="6"/>
    <n v="48.835666656494098"/>
    <n v="-125.214797973632"/>
    <x v="3"/>
    <n v="2.5"/>
    <n v="320"/>
    <d v="1899-12-30T12:35:00"/>
    <s v="EGL"/>
    <x v="5"/>
    <x v="1"/>
    <x v="1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1276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mfra"/>
    <s v="Mesocentrotus franciscanus"/>
    <s v="Red sea urchin"/>
    <n v="367"/>
    <n v="36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7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ami"/>
    <s v="Acmaea mitra"/>
    <s v="Whitecap limpet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8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pmi"/>
    <s v="Patiria miniata"/>
    <s v="Bat star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9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0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poc"/>
    <s v="Pisaster ochraceus"/>
    <s v="Purple sea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1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dod"/>
    <s v="Doris odhneri"/>
    <s v="White night dor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2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oko"/>
    <s v="Orthasterias koehleri"/>
    <s v="Rainbow star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3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spu"/>
    <s v="Strongylocentrotus purpuratus"/>
    <s v="Purple sea urchin (?)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4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aha"/>
    <s v="Artedius harringtoni"/>
    <s v="Scalyhead sculpin"/>
    <n v="4"/>
    <n v="0"/>
    <n v="1"/>
    <n v="3"/>
    <m/>
    <m/>
    <m/>
    <m/>
    <m/>
    <m/>
    <m/>
    <m/>
    <m/>
    <m/>
    <m/>
    <m/>
    <m/>
    <m/>
    <m/>
    <m/>
    <m/>
    <m/>
    <m/>
    <m/>
    <m/>
    <m/>
    <m/>
    <m/>
    <m/>
    <m/>
  </r>
  <r>
    <n v="1285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hermit"/>
    <s v="Paguroidea spp."/>
    <s v="Unidentified hermit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6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cfo"/>
    <s v="Ceratostoma foliatum"/>
    <s v="Leafy hornmouth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7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aca"/>
    <s v="Apostichopus californicus"/>
    <s v="California sea cucumbe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8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cgi"/>
    <s v="Crassadoma gigantea"/>
    <s v="Purple-hinged rock scallop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1289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tonicella"/>
    <s v="Tonicella spp."/>
    <s v="Unidentified lin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90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91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92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hka"/>
    <s v="Haliotis kamtschatkana"/>
    <s v="Pinto abalone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1293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94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jzo"/>
    <s v="Jordania zonope"/>
    <s v="Longfin sculpin"/>
    <n v="2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</r>
  <r>
    <n v="1295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phe"/>
    <s v="Pycnopodia helianthoides"/>
    <s v="Sunflower star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296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rni"/>
    <s v="Rhinogobiops nicholsii"/>
    <s v="Blackeye goby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297"/>
    <x v="5"/>
    <s v="Jasmin Schuster"/>
    <x v="6"/>
    <x v="6"/>
    <n v="48.835666656494098"/>
    <n v="-125.214797973632"/>
    <x v="3"/>
    <n v="2.5"/>
    <n v="320"/>
    <d v="1899-12-30T12:35:00"/>
    <s v="EGL"/>
    <x v="5"/>
    <x v="3"/>
    <x v="1"/>
    <s v="sme"/>
    <s v="Sebastes melanops"/>
    <s v="Black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298"/>
    <x v="5"/>
    <s v="Jasmin Schuster"/>
    <x v="6"/>
    <x v="6"/>
    <n v="48.835666656494098"/>
    <n v="-125.214797973632"/>
    <x v="3"/>
    <n v="2.5"/>
    <n v="320"/>
    <d v="1899-12-30T12:35:00"/>
    <s v="EGL"/>
    <x v="5"/>
    <x v="3"/>
    <x v="1"/>
    <s v="hde"/>
    <s v="Hexagrammos decagrammus"/>
    <s v="Kelp greenling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299"/>
    <x v="5"/>
    <s v="Jasmin Schuster"/>
    <x v="6"/>
    <x v="6"/>
    <n v="48.835666656494098"/>
    <n v="-125.214797973632"/>
    <x v="3"/>
    <n v="2.5"/>
    <n v="320"/>
    <d v="1899-12-30T12:35:00"/>
    <s v="EGL"/>
    <x v="5"/>
    <x v="3"/>
    <x v="1"/>
    <s v="sne"/>
    <s v="Sebastes nebulosus"/>
    <s v="China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300"/>
    <x v="5"/>
    <s v="Jasmin Schuster"/>
    <x v="6"/>
    <x v="6"/>
    <n v="48.835666656494098"/>
    <n v="-125.214797973632"/>
    <x v="3"/>
    <n v="2.5"/>
    <n v="320"/>
    <d v="1899-12-30T12:35:00"/>
    <s v="EGL"/>
    <x v="5"/>
    <x v="3"/>
    <x v="1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01"/>
    <x v="5"/>
    <s v="Jasmin Schuster"/>
    <x v="6"/>
    <x v="6"/>
    <n v="48.835666656494098"/>
    <n v="-125.214797973632"/>
    <x v="3"/>
    <n v="2.5"/>
    <n v="320"/>
    <d v="1899-12-30T12:35:00"/>
    <s v="EGL"/>
    <x v="5"/>
    <x v="3"/>
    <x v="3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02"/>
    <x v="5"/>
    <s v="Jasmin Schuster"/>
    <x v="6"/>
    <x v="6"/>
    <n v="48.835666656494098"/>
    <n v="-125.214797973632"/>
    <x v="3"/>
    <n v="2.5"/>
    <n v="320"/>
    <d v="1899-12-30T12:35:00"/>
    <s v="EGL"/>
    <x v="5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03"/>
    <x v="5"/>
    <s v="Jasmin Schuster"/>
    <x v="7"/>
    <x v="7"/>
    <n v="48.834789276122997"/>
    <n v="-125.14702606201099"/>
    <x v="4"/>
    <n v="2.5"/>
    <n v="220"/>
    <d v="1899-12-30T09:38:00"/>
    <s v="EGL"/>
    <x v="2"/>
    <x v="1"/>
    <x v="1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304"/>
    <x v="5"/>
    <s v="Jasmin Schuster"/>
    <x v="7"/>
    <x v="7"/>
    <n v="48.834789276122997"/>
    <n v="-125.14702606201099"/>
    <x v="4"/>
    <n v="2.5"/>
    <n v="220"/>
    <d v="1899-12-30T09:38:00"/>
    <s v="EGL"/>
    <x v="2"/>
    <x v="1"/>
    <x v="1"/>
    <s v="sme"/>
    <s v="Sebastes melanops"/>
    <s v="Black rockfish"/>
    <n v="81"/>
    <n v="0"/>
    <m/>
    <m/>
    <m/>
    <m/>
    <n v="5"/>
    <n v="27"/>
    <n v="43"/>
    <n v="6"/>
    <m/>
    <m/>
    <m/>
    <m/>
    <m/>
    <m/>
    <m/>
    <m/>
    <m/>
    <m/>
    <m/>
    <m/>
    <m/>
    <m/>
    <m/>
    <m/>
    <m/>
    <m/>
    <m/>
    <m/>
  </r>
  <r>
    <n v="1305"/>
    <x v="5"/>
    <s v="Jasmin Schuster"/>
    <x v="7"/>
    <x v="7"/>
    <n v="48.834789276122997"/>
    <n v="-125.14702606201099"/>
    <x v="4"/>
    <n v="2.5"/>
    <n v="220"/>
    <d v="1899-12-30T09:38:00"/>
    <s v="EGL"/>
    <x v="2"/>
    <x v="1"/>
    <x v="1"/>
    <s v="hde"/>
    <s v="Hexagrammos decagrammus"/>
    <s v="Kelp greenling"/>
    <n v="9"/>
    <n v="0"/>
    <m/>
    <m/>
    <m/>
    <m/>
    <m/>
    <n v="1"/>
    <n v="1"/>
    <n v="5"/>
    <n v="2"/>
    <m/>
    <m/>
    <m/>
    <m/>
    <m/>
    <m/>
    <m/>
    <m/>
    <m/>
    <m/>
    <m/>
    <m/>
    <m/>
    <m/>
    <m/>
    <m/>
    <m/>
    <m/>
    <m/>
  </r>
  <r>
    <n v="1306"/>
    <x v="5"/>
    <s v="Jasmin Schuster"/>
    <x v="7"/>
    <x v="7"/>
    <n v="48.834789276122997"/>
    <n v="-125.14702606201099"/>
    <x v="4"/>
    <n v="2.5"/>
    <n v="220"/>
    <d v="1899-12-30T09:38:00"/>
    <s v="EGL"/>
    <x v="2"/>
    <x v="1"/>
    <x v="1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307"/>
    <x v="5"/>
    <s v="Jasmin Schuster"/>
    <x v="7"/>
    <x v="7"/>
    <n v="48.834789276122997"/>
    <n v="-125.14702606201099"/>
    <x v="4"/>
    <n v="2.5"/>
    <n v="220"/>
    <d v="1899-12-30T09:38:00"/>
    <s v="EGL"/>
    <x v="2"/>
    <x v="1"/>
    <x v="1"/>
    <s v="rni"/>
    <s v="Rhinogobiops nicholsii"/>
    <s v="Blackeye goby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1308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mfra"/>
    <s v="Mesocentrotus franciscanus"/>
    <s v="Red sea urchin"/>
    <n v="136"/>
    <n v="13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09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pmi"/>
    <s v="Patiria miniata"/>
    <s v="Bat star"/>
    <n v="37"/>
    <n v="3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0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cgi"/>
    <s v="Crassadoma gigantea"/>
    <s v="Purple-hinged rock scallop"/>
    <n v="30"/>
    <n v="0"/>
    <m/>
    <n v="8"/>
    <n v="10"/>
    <n v="9"/>
    <n v="1"/>
    <n v="2"/>
    <m/>
    <m/>
    <m/>
    <m/>
    <m/>
    <m/>
    <m/>
    <m/>
    <m/>
    <m/>
    <m/>
    <m/>
    <m/>
    <m/>
    <m/>
    <m/>
    <m/>
    <m/>
    <m/>
    <m/>
    <m/>
    <m/>
  </r>
  <r>
    <n v="1311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hka"/>
    <s v="Haliotis kamtschatkana"/>
    <s v="Pinto abalone"/>
    <n v="39"/>
    <n v="0"/>
    <n v="16"/>
    <n v="19"/>
    <n v="3"/>
    <n v="1"/>
    <m/>
    <m/>
    <m/>
    <m/>
    <m/>
    <m/>
    <m/>
    <m/>
    <m/>
    <m/>
    <m/>
    <m/>
    <m/>
    <m/>
    <m/>
    <m/>
    <m/>
    <m/>
    <m/>
    <m/>
    <m/>
    <m/>
    <m/>
    <m/>
  </r>
  <r>
    <n v="1312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oko"/>
    <s v="Orthasterias koehleri"/>
    <s v="Rainbow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3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cfo"/>
    <s v="Ceratostoma foliatum"/>
    <s v="Leafy hornmouth"/>
    <n v="32"/>
    <n v="3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4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das"/>
    <s v="Diodora aspera"/>
    <s v="Keyhole limpet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5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dfi"/>
    <s v="Debris - Fishing"/>
    <s v="Any fishing debris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6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sac"/>
    <s v="Scyra acutifrons"/>
    <s v="Sharpnose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7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8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etr"/>
    <s v="Evasterias troschelii"/>
    <s v="Mottled starfish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19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aha"/>
    <s v="Artedius harringtoni"/>
    <s v="Scalyhead sculpin"/>
    <n v="3"/>
    <n v="0"/>
    <n v="3"/>
    <m/>
    <m/>
    <m/>
    <m/>
    <m/>
    <m/>
    <m/>
    <m/>
    <m/>
    <m/>
    <m/>
    <m/>
    <m/>
    <m/>
    <m/>
    <m/>
    <m/>
    <m/>
    <m/>
    <m/>
    <m/>
    <m/>
    <m/>
    <m/>
    <m/>
    <m/>
    <m/>
  </r>
  <r>
    <n v="1320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henricia"/>
    <s v="Henricia spp."/>
    <s v="Unidentified blood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1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dod"/>
    <s v="Doris odhneri"/>
    <s v="White night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2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deg"/>
    <s v="Debris - Glass"/>
    <s v="Any glass debris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3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sdr"/>
    <s v="Strongylocentrotus droebachiensis"/>
    <s v="Northern sea urchi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4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dsa"/>
    <s v="Diaulula sandiegensis"/>
    <s v="Ringed doris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5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6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tonicella"/>
    <s v="Tonicella spp."/>
    <s v="Unidentified lined chito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7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dodo"/>
    <s v="Diaulula odonoghuei"/>
    <s v="Spotted dorid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8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9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30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pte"/>
    <s v="Pteraster tesselatus"/>
    <s v="Slime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31"/>
    <x v="5"/>
    <s v="Jasmin Schuster"/>
    <x v="7"/>
    <x v="7"/>
    <n v="48.834789276122997"/>
    <n v="-125.14702606201099"/>
    <x v="4"/>
    <n v="2.5"/>
    <n v="220"/>
    <d v="1899-12-30T09:38:00"/>
    <s v="EGL"/>
    <x v="2"/>
    <x v="2"/>
    <x v="1"/>
    <s v="spu"/>
    <s v="Strongylocentrotus purpuratus"/>
    <s v="Purple sea urchin (?)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32"/>
    <x v="5"/>
    <s v="Jasmin Schuster"/>
    <x v="7"/>
    <x v="7"/>
    <n v="48.834789276122997"/>
    <n v="-125.14702606201099"/>
    <x v="4"/>
    <n v="2.5"/>
    <n v="220"/>
    <d v="1899-12-30T09:38:00"/>
    <s v="EGL"/>
    <x v="2"/>
    <x v="3"/>
    <x v="1"/>
    <s v="sme"/>
    <s v="Sebastes melanops"/>
    <s v="Black rockfish"/>
    <n v="4"/>
    <n v="0"/>
    <m/>
    <m/>
    <m/>
    <m/>
    <n v="4"/>
    <m/>
    <m/>
    <m/>
    <m/>
    <m/>
    <m/>
    <m/>
    <m/>
    <m/>
    <m/>
    <m/>
    <m/>
    <m/>
    <m/>
    <m/>
    <m/>
    <m/>
    <m/>
    <m/>
    <m/>
    <m/>
    <m/>
    <m/>
  </r>
  <r>
    <n v="1333"/>
    <x v="5"/>
    <s v="Jasmin Schuster"/>
    <x v="7"/>
    <x v="7"/>
    <n v="48.834789276122997"/>
    <n v="-125.14702606201099"/>
    <x v="4"/>
    <n v="2.5"/>
    <n v="220"/>
    <d v="1899-12-30T09:38:00"/>
    <s v="EGL"/>
    <x v="2"/>
    <x v="3"/>
    <x v="1"/>
    <s v="oel"/>
    <s v="Ophiodon elongatus"/>
    <s v="Lingcod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1334"/>
    <x v="5"/>
    <s v="Jasmin Schuster"/>
    <x v="7"/>
    <x v="7"/>
    <n v="48.834789276122997"/>
    <n v="-125.14702606201099"/>
    <x v="4"/>
    <n v="2.5"/>
    <n v="220"/>
    <d v="1899-12-30T09:38:00"/>
    <s v="EGL"/>
    <x v="2"/>
    <x v="3"/>
    <x v="3"/>
    <s v="sma"/>
    <s v="Sebastes maliger"/>
    <s v="Quillback rock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35"/>
    <x v="5"/>
    <s v="Jasmin Schuster"/>
    <x v="7"/>
    <x v="7"/>
    <n v="48.834789276122997"/>
    <n v="-125.14702606201099"/>
    <x v="4"/>
    <n v="2.5"/>
    <n v="220"/>
    <d v="1899-12-30T09:38:00"/>
    <s v="EGL"/>
    <x v="2"/>
    <x v="3"/>
    <x v="3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36"/>
    <x v="5"/>
    <s v="Jasmin Schuster"/>
    <x v="7"/>
    <x v="7"/>
    <n v="48.834789276122997"/>
    <n v="-125.14702606201099"/>
    <x v="4"/>
    <n v="2.5"/>
    <n v="220"/>
    <d v="1899-12-30T09:38:00"/>
    <s v="EGL"/>
    <x v="2"/>
    <x v="3"/>
    <x v="3"/>
    <s v="sne"/>
    <s v="Sebastes nebulosus"/>
    <s v="China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337"/>
    <x v="5"/>
    <s v="Jasmin Schuster"/>
    <x v="7"/>
    <x v="7"/>
    <n v="48.834789276122997"/>
    <n v="-125.14702606201099"/>
    <x v="4"/>
    <n v="2.5"/>
    <n v="220"/>
    <d v="1899-12-30T09:38:00"/>
    <s v="EGL"/>
    <x v="2"/>
    <x v="3"/>
    <x v="3"/>
    <s v="sebastes"/>
    <s v="Sebastes spp."/>
    <s v="Unidentified rockfish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338"/>
    <x v="5"/>
    <s v="Jasmin Schuster"/>
    <x v="7"/>
    <x v="7"/>
    <n v="48.834789276122997"/>
    <n v="-125.14702606201099"/>
    <x v="4"/>
    <n v="2.5"/>
    <n v="220"/>
    <d v="1899-12-30T09:38:00"/>
    <s v="EGL"/>
    <x v="2"/>
    <x v="3"/>
    <x v="3"/>
    <s v="jzo"/>
    <s v="Jordania zonope"/>
    <s v="Longfin sculpin"/>
    <n v="2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</r>
  <r>
    <n v="1339"/>
    <x v="5"/>
    <s v="Jasmin Schuster"/>
    <x v="8"/>
    <x v="8"/>
    <n v="48.837589000000001"/>
    <n v="-125.14414499999999"/>
    <x v="4"/>
    <n v="3"/>
    <n v="30"/>
    <d v="1899-12-30T12:22:00"/>
    <s v="EGL"/>
    <x v="4"/>
    <x v="1"/>
    <x v="1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340"/>
    <x v="5"/>
    <s v="Jasmin Schuster"/>
    <x v="8"/>
    <x v="8"/>
    <n v="48.837589000000001"/>
    <n v="-125.14414499999999"/>
    <x v="4"/>
    <n v="3"/>
    <n v="30"/>
    <d v="1899-12-30T12:22:00"/>
    <s v="EGL"/>
    <x v="4"/>
    <x v="1"/>
    <x v="1"/>
    <s v="hde"/>
    <s v="Hexagrammos decagrammus"/>
    <s v="Kelp greenling"/>
    <n v="7"/>
    <n v="0"/>
    <m/>
    <m/>
    <m/>
    <m/>
    <m/>
    <m/>
    <n v="1"/>
    <n v="4"/>
    <n v="2"/>
    <m/>
    <m/>
    <m/>
    <m/>
    <m/>
    <m/>
    <m/>
    <m/>
    <m/>
    <m/>
    <m/>
    <m/>
    <m/>
    <m/>
    <m/>
    <m/>
    <m/>
    <m/>
    <m/>
  </r>
  <r>
    <n v="1341"/>
    <x v="5"/>
    <s v="Jasmin Schuster"/>
    <x v="8"/>
    <x v="8"/>
    <n v="48.837589000000001"/>
    <n v="-125.14414499999999"/>
    <x v="4"/>
    <n v="3"/>
    <n v="30"/>
    <d v="1899-12-30T12:22:00"/>
    <s v="EGL"/>
    <x v="4"/>
    <x v="1"/>
    <x v="1"/>
    <s v="rni"/>
    <s v="Rhinogobiops nicholsii"/>
    <s v="Blackeye goby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1342"/>
    <x v="5"/>
    <s v="Jasmin Schuster"/>
    <x v="8"/>
    <x v="8"/>
    <n v="48.837589000000001"/>
    <n v="-125.14414499999999"/>
    <x v="4"/>
    <n v="3"/>
    <n v="30"/>
    <d v="1899-12-30T12:22:00"/>
    <s v="EGL"/>
    <x v="4"/>
    <x v="1"/>
    <x v="1"/>
    <s v="sme"/>
    <s v="Sebastes melanops"/>
    <s v="Black rockfish"/>
    <n v="21"/>
    <n v="0"/>
    <m/>
    <m/>
    <m/>
    <m/>
    <m/>
    <m/>
    <n v="21"/>
    <m/>
    <m/>
    <m/>
    <m/>
    <m/>
    <m/>
    <m/>
    <m/>
    <m/>
    <m/>
    <m/>
    <m/>
    <m/>
    <m/>
    <m/>
    <m/>
    <m/>
    <m/>
    <m/>
    <m/>
    <m/>
  </r>
  <r>
    <n v="1343"/>
    <x v="5"/>
    <s v="Jasmin Schuster"/>
    <x v="8"/>
    <x v="8"/>
    <n v="48.837589000000001"/>
    <n v="-125.14414499999999"/>
    <x v="4"/>
    <n v="3"/>
    <n v="30"/>
    <d v="1899-12-30T12:22:00"/>
    <s v="EGL"/>
    <x v="4"/>
    <x v="1"/>
    <x v="1"/>
    <s v="oel"/>
    <s v="Ophiodon elongatus"/>
    <s v="Lingcod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1344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mfra"/>
    <s v="Mesocentrotus franciscanus"/>
    <s v="Red sea urchin"/>
    <n v="241"/>
    <n v="24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45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46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dim"/>
    <s v="Dermasterias imbricata"/>
    <s v="Leather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47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aca"/>
    <s v="Apostichopus californicus"/>
    <s v="California sea cucumbe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48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rni"/>
    <s v="Rhinogobiops nicholsii"/>
    <s v="Blackeye goby"/>
    <n v="31"/>
    <n v="0"/>
    <n v="1"/>
    <n v="16"/>
    <n v="12"/>
    <n v="2"/>
    <m/>
    <m/>
    <m/>
    <m/>
    <m/>
    <m/>
    <m/>
    <m/>
    <m/>
    <m/>
    <m/>
    <m/>
    <m/>
    <m/>
    <m/>
    <m/>
    <m/>
    <m/>
    <m/>
    <m/>
    <m/>
    <m/>
    <m/>
    <m/>
  </r>
  <r>
    <n v="1349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cgi"/>
    <s v="Crassadoma gigantea"/>
    <s v="Purple-hinged rock scallop"/>
    <n v="6"/>
    <n v="0"/>
    <m/>
    <n v="2"/>
    <n v="3"/>
    <n v="1"/>
    <m/>
    <m/>
    <m/>
    <m/>
    <m/>
    <m/>
    <m/>
    <m/>
    <m/>
    <m/>
    <m/>
    <m/>
    <m/>
    <m/>
    <m/>
    <m/>
    <m/>
    <m/>
    <m/>
    <m/>
    <m/>
    <m/>
    <m/>
    <m/>
  </r>
  <r>
    <n v="1350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das"/>
    <s v="Diodora aspera"/>
    <s v="Keyhole limpet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1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cfo"/>
    <s v="Ceratostoma foliatum"/>
    <s v="Leafy hornmouth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2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henricia"/>
    <s v="Henricia spp."/>
    <s v="Unidentified blood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3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ami"/>
    <s v="Acmaea mitra"/>
    <s v="Whitecap limpet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4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355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pmi"/>
    <s v="Patiria miniata"/>
    <s v="Bat sta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6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hka"/>
    <s v="Haliotis kamtschatkana"/>
    <s v="Pinto abalone"/>
    <n v="26"/>
    <n v="0"/>
    <n v="7"/>
    <n v="11"/>
    <n v="7"/>
    <n v="1"/>
    <m/>
    <m/>
    <m/>
    <m/>
    <m/>
    <m/>
    <m/>
    <m/>
    <m/>
    <m/>
    <m/>
    <m/>
    <m/>
    <m/>
    <m/>
    <m/>
    <m/>
    <m/>
    <m/>
    <m/>
    <m/>
    <m/>
    <m/>
    <m/>
  </r>
  <r>
    <n v="1357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pgi"/>
    <s v="Pomaulax gibberosus"/>
    <s v="Red turban shell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8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aha"/>
    <s v="Artedius harringtoni"/>
    <s v="Scalyhead sculpin"/>
    <n v="6"/>
    <n v="0"/>
    <n v="2"/>
    <n v="2"/>
    <n v="1"/>
    <n v="1"/>
    <m/>
    <m/>
    <m/>
    <m/>
    <m/>
    <m/>
    <m/>
    <m/>
    <m/>
    <m/>
    <m/>
    <m/>
    <m/>
    <m/>
    <m/>
    <m/>
    <m/>
    <m/>
    <m/>
    <m/>
    <m/>
    <m/>
    <m/>
    <m/>
  </r>
  <r>
    <n v="1359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0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1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deo"/>
    <s v="Debris - Other"/>
    <s v="Any debris OTHER THAN fishing gear, made of plastic, cloth, metal, glass or timbe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2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3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tonicella"/>
    <s v="Tonicella spp."/>
    <s v="Unidentified lin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4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5"/>
    <x v="5"/>
    <s v="Jasmin Schuster"/>
    <x v="8"/>
    <x v="8"/>
    <n v="48.837589000000001"/>
    <n v="-125.14414499999999"/>
    <x v="4"/>
    <n v="3"/>
    <n v="30"/>
    <d v="1899-12-30T12:22:00"/>
    <s v="EGL"/>
    <x v="4"/>
    <x v="3"/>
    <x v="1"/>
    <s v="sma"/>
    <s v="Sebastes maliger"/>
    <s v="Quillback rockfish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366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7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jzo"/>
    <s v="Jordania zonope"/>
    <s v="Longfin sculpin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368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dem"/>
    <s v="Debris - Metal"/>
    <s v="Any metal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9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deg"/>
    <s v="Debris - Glass"/>
    <s v="Any glass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0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clu"/>
    <s v="Cadlina luteomarginata"/>
    <s v="Yellow-edge cadli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1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dod"/>
    <s v="Doris odhneri"/>
    <s v="White night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2"/>
    <x v="5"/>
    <s v="Jasmin Schuster"/>
    <x v="8"/>
    <x v="8"/>
    <n v="48.837589000000001"/>
    <n v="-125.14414499999999"/>
    <x v="4"/>
    <n v="3"/>
    <n v="30"/>
    <d v="1899-12-30T12:22:00"/>
    <s v="EGL"/>
    <x v="4"/>
    <x v="2"/>
    <x v="1"/>
    <s v="phe"/>
    <s v="Pycnopodia helianthoides"/>
    <s v="Sunflower star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373"/>
    <x v="5"/>
    <s v="Jasmin Schuster"/>
    <x v="9"/>
    <x v="9"/>
    <n v="48.815116882324197"/>
    <n v="-125.175331115722"/>
    <x v="5"/>
    <n v="1.5"/>
    <n v="30"/>
    <d v="1899-12-30T10:07:00"/>
    <s v="EGL"/>
    <x v="6"/>
    <x v="1"/>
    <x v="1"/>
    <s v="hde"/>
    <s v="Hexagrammos decagrammus"/>
    <s v="Kelp greenling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374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mfra"/>
    <s v="Mesocentrotus franciscanus"/>
    <s v="Red sea urchin"/>
    <n v="261"/>
    <n v="26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5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aca"/>
    <s v="Apostichopus californicus"/>
    <s v="California sea cucumbe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6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7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poc"/>
    <s v="Pisaster ochraceus"/>
    <s v="Purple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8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henricia"/>
    <s v="Henricia spp."/>
    <s v="Unidentified blood star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79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oko"/>
    <s v="Orthasterias koehleri"/>
    <s v="Rainbow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0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cfo"/>
    <s v="Ceratostoma foliatum"/>
    <s v="Leafy hornmouth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1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etr"/>
    <s v="Evasterias troschelii"/>
    <s v="Mottled starfis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2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hka"/>
    <s v="Haliotis kamtschatkana"/>
    <s v="Pinto abalone"/>
    <n v="8"/>
    <n v="0"/>
    <m/>
    <n v="4"/>
    <n v="3"/>
    <n v="1"/>
    <m/>
    <m/>
    <m/>
    <m/>
    <m/>
    <m/>
    <m/>
    <m/>
    <m/>
    <m/>
    <m/>
    <m/>
    <m/>
    <m/>
    <m/>
    <m/>
    <m/>
    <m/>
    <m/>
    <m/>
    <m/>
    <m/>
    <m/>
    <m/>
  </r>
  <r>
    <n v="1383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nla"/>
    <s v="Nucella lamellosa"/>
    <s v="Frilled dogwinkle"/>
    <n v="32"/>
    <n v="3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4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aha"/>
    <s v="Artedius harringtoni"/>
    <s v="Scalyhead sculpin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5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gor"/>
    <s v="Glebocarcinus oregonensis"/>
    <s v="Pygmy rock crab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6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hermit"/>
    <s v="Paguroidea spp."/>
    <s v="Unidentified hermit crab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7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dim"/>
    <s v="Dermasterias imbricata"/>
    <s v="Leather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8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9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das"/>
    <s v="Diodora aspera"/>
    <s v="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90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cgi"/>
    <s v="Crassadoma gigantea"/>
    <s v="Purple-hinged rock scallop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1391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dodo"/>
    <s v="Diaulula odonoghuei"/>
    <s v="Spotted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92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93"/>
    <x v="5"/>
    <s v="Jasmin Schuster"/>
    <x v="9"/>
    <x v="9"/>
    <n v="48.815116882324197"/>
    <n v="-125.175331115722"/>
    <x v="5"/>
    <n v="1.5"/>
    <n v="30"/>
    <d v="1899-12-30T10:07:00"/>
    <s v="EGL"/>
    <x v="6"/>
    <x v="3"/>
    <x v="3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94"/>
    <x v="5"/>
    <s v="Jasmin Schuster"/>
    <x v="9"/>
    <x v="9"/>
    <n v="48.815116882324197"/>
    <n v="-125.175331115722"/>
    <x v="5"/>
    <n v="1.5"/>
    <n v="30"/>
    <d v="1899-12-30T10:07:00"/>
    <s v="EGL"/>
    <x v="6"/>
    <x v="3"/>
    <x v="3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95"/>
    <x v="5"/>
    <s v="Jasmin Schuster"/>
    <x v="9"/>
    <x v="9"/>
    <n v="48.815116882324197"/>
    <n v="-125.175331115722"/>
    <x v="5"/>
    <n v="1.5"/>
    <n v="30"/>
    <d v="1899-12-30T10:07:00"/>
    <s v="EGL"/>
    <x v="6"/>
    <x v="3"/>
    <x v="3"/>
    <s v="ami"/>
    <s v="Acmaea mitra"/>
    <s v="Whitecap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96"/>
    <x v="5"/>
    <s v="Jasmin Schuster"/>
    <x v="9"/>
    <x v="9"/>
    <n v="48.815116882324197"/>
    <n v="-125.175331115722"/>
    <x v="5"/>
    <n v="1.5"/>
    <n v="30"/>
    <d v="1899-12-30T10:07:00"/>
    <s v="EGL"/>
    <x v="6"/>
    <x v="3"/>
    <x v="3"/>
    <s v="rni"/>
    <s v="Rhinogobiops nicholsii"/>
    <s v="Blackeye goby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97"/>
    <x v="5"/>
    <s v="Jasmin Schuster"/>
    <x v="9"/>
    <x v="9"/>
    <n v="48.815116882324197"/>
    <n v="-125.175331115722"/>
    <x v="5"/>
    <n v="1.5"/>
    <n v="30"/>
    <d v="1899-12-30T10:07:00"/>
    <s v="EGL"/>
    <x v="6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98"/>
    <x v="5"/>
    <s v="Jasmin Schuster"/>
    <x v="10"/>
    <x v="10"/>
    <n v="48.855583190917898"/>
    <n v="-125.183799743652"/>
    <x v="5"/>
    <n v="1"/>
    <n v="270"/>
    <d v="1899-12-30T12:37:00"/>
    <s v="EGL"/>
    <x v="7"/>
    <x v="1"/>
    <x v="1"/>
    <s v="sme"/>
    <s v="Sebastes melanops"/>
    <s v="Black rockfish"/>
    <n v="17"/>
    <n v="0"/>
    <m/>
    <m/>
    <m/>
    <m/>
    <m/>
    <n v="4"/>
    <n v="10"/>
    <n v="2"/>
    <n v="1"/>
    <m/>
    <m/>
    <m/>
    <m/>
    <m/>
    <m/>
    <m/>
    <m/>
    <m/>
    <m/>
    <m/>
    <m/>
    <m/>
    <m/>
    <m/>
    <m/>
    <m/>
    <m/>
    <m/>
  </r>
  <r>
    <n v="1399"/>
    <x v="5"/>
    <s v="Jasmin Schuster"/>
    <x v="10"/>
    <x v="10"/>
    <n v="48.855583190917898"/>
    <n v="-125.183799743652"/>
    <x v="5"/>
    <n v="1"/>
    <n v="270"/>
    <d v="1899-12-30T12:37:00"/>
    <s v="EGL"/>
    <x v="7"/>
    <x v="1"/>
    <x v="1"/>
    <s v="hde"/>
    <s v="Hexagrammos decagrammus"/>
    <s v="Kelp greenling"/>
    <n v="4"/>
    <n v="0"/>
    <m/>
    <m/>
    <m/>
    <m/>
    <m/>
    <m/>
    <n v="1"/>
    <n v="1"/>
    <n v="2"/>
    <m/>
    <m/>
    <m/>
    <m/>
    <m/>
    <m/>
    <m/>
    <m/>
    <m/>
    <m/>
    <m/>
    <m/>
    <m/>
    <m/>
    <m/>
    <m/>
    <m/>
    <m/>
    <m/>
  </r>
  <r>
    <n v="1400"/>
    <x v="5"/>
    <s v="Jasmin Schuster"/>
    <x v="10"/>
    <x v="10"/>
    <n v="48.855583190917898"/>
    <n v="-125.183799743652"/>
    <x v="5"/>
    <n v="1"/>
    <n v="270"/>
    <d v="1899-12-30T12:37:00"/>
    <s v="EGL"/>
    <x v="7"/>
    <x v="1"/>
    <x v="1"/>
    <s v="rni"/>
    <s v="Rhinogobiops nicholsii"/>
    <s v="Blackeye goby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1401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mfra"/>
    <s v="Mesocentrotus franciscanus"/>
    <s v="Red sea urchin"/>
    <n v="418"/>
    <n v="4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02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hka"/>
    <s v="Haliotis kamtschatkana"/>
    <s v="Pinto abalone"/>
    <n v="32"/>
    <n v="3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03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cfo"/>
    <s v="Ceratostoma foliatum"/>
    <s v="Leafy hornmouth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04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cgi"/>
    <s v="Crassadoma gigantea"/>
    <s v="Purple-hinged rock scallop"/>
    <n v="30"/>
    <n v="0"/>
    <m/>
    <n v="7"/>
    <n v="12"/>
    <n v="7"/>
    <n v="3"/>
    <n v="1"/>
    <m/>
    <m/>
    <m/>
    <m/>
    <m/>
    <m/>
    <m/>
    <m/>
    <m/>
    <m/>
    <m/>
    <m/>
    <m/>
    <m/>
    <m/>
    <m/>
    <m/>
    <m/>
    <m/>
    <m/>
    <m/>
    <m/>
  </r>
  <r>
    <n v="1405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dim"/>
    <s v="Dermasterias imbricata"/>
    <s v="Leather sta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06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rni"/>
    <s v="Rhinogobiops nicholsii"/>
    <s v="Blackeye goby"/>
    <n v="10"/>
    <n v="0"/>
    <n v="2"/>
    <n v="6"/>
    <n v="2"/>
    <m/>
    <m/>
    <m/>
    <m/>
    <m/>
    <m/>
    <m/>
    <m/>
    <m/>
    <m/>
    <m/>
    <m/>
    <m/>
    <m/>
    <m/>
    <m/>
    <m/>
    <m/>
    <m/>
    <m/>
    <m/>
    <m/>
    <m/>
    <m/>
    <m/>
  </r>
  <r>
    <n v="1407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aha"/>
    <s v="Artedius harringtoni"/>
    <s v="Scalyhead sculpin"/>
    <n v="8"/>
    <n v="0"/>
    <n v="3"/>
    <n v="5"/>
    <m/>
    <m/>
    <m/>
    <m/>
    <m/>
    <m/>
    <m/>
    <m/>
    <m/>
    <m/>
    <m/>
    <m/>
    <m/>
    <m/>
    <m/>
    <m/>
    <m/>
    <m/>
    <m/>
    <m/>
    <m/>
    <m/>
    <m/>
    <m/>
    <m/>
    <m/>
  </r>
  <r>
    <n v="1408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09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gor"/>
    <s v="Glebocarcinus oregonensis"/>
    <s v="Pygmy rock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0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hhe"/>
    <s v="Hemilepidotus hemilepidotus"/>
    <s v="Red Irish lord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411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dodo"/>
    <s v="Diaulula odonoghuei"/>
    <s v="Spotted dorid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2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ami"/>
    <s v="Acmaea mitra"/>
    <s v="Whitecap limpet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3"/>
    <x v="5"/>
    <s v="Jasmin Schuster"/>
    <x v="10"/>
    <x v="10"/>
    <n v="48.855583190917898"/>
    <n v="-125.183799743652"/>
    <x v="5"/>
    <n v="1"/>
    <n v="270"/>
    <d v="1899-12-30T12:37:00"/>
    <s v="EGL"/>
    <x v="7"/>
    <x v="3"/>
    <x v="1"/>
    <s v="sne"/>
    <s v="Sebastes nebulosus"/>
    <s v="China rockfish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414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aca"/>
    <s v="Apostichopus californicus"/>
    <s v="California sea cucumber"/>
    <n v="27"/>
    <n v="2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5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hcr"/>
    <s v="Hermissenda crassicornis"/>
    <s v="Opalescent nudibranch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6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pgi"/>
    <s v="Pomaulax gibberosus"/>
    <s v="Red turban shell"/>
    <n v="33"/>
    <n v="3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7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oko"/>
    <s v="Orthasterias koehleri"/>
    <s v="Rainbow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8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das"/>
    <s v="Diodora aspera"/>
    <s v="Keyhole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9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ppu"/>
    <s v="Pachycheles pubescens"/>
    <s v="Pubescent Porcelain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0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hermit"/>
    <s v="Paguroidea spp."/>
    <s v="Unidentified hermit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1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pno"/>
    <s v="Peltodoris nobilis"/>
    <s v="Noble sea lem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2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3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pmi"/>
    <s v="Patiria miniata"/>
    <s v="Bat star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4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5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jzo"/>
    <s v="Jordania zonope"/>
    <s v="Longfin sculpin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1426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henricia"/>
    <s v="Henricia spp."/>
    <s v="Unidentified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7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tonicella"/>
    <s v="Tonicella spp."/>
    <s v="Unidentified lined chito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8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9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cnu"/>
    <s v="Chirolophis nugator"/>
    <s v="Mosshead warbonnet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430"/>
    <x v="5"/>
    <s v="Jasmin Schuster"/>
    <x v="10"/>
    <x v="10"/>
    <n v="48.855583190917898"/>
    <n v="-125.183799743652"/>
    <x v="5"/>
    <n v="1"/>
    <n v="270"/>
    <d v="1899-12-30T12:37:00"/>
    <s v="EGL"/>
    <x v="7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31"/>
    <x v="5"/>
    <s v="Isabelle Côté"/>
    <x v="16"/>
    <x v="16"/>
    <n v="48.828948974609297"/>
    <n v="-125.19757080078099"/>
    <x v="6"/>
    <n v="1"/>
    <n v="210"/>
    <d v="1899-12-30T09:54:00"/>
    <s v="EGL"/>
    <x v="1"/>
    <x v="1"/>
    <x v="2"/>
    <s v="hde"/>
    <s v="Hexagrammos decagrammus"/>
    <s v="Kelp greenling"/>
    <n v="2"/>
    <n v="0"/>
    <m/>
    <m/>
    <m/>
    <m/>
    <m/>
    <m/>
    <n v="2"/>
    <m/>
    <m/>
    <m/>
    <m/>
    <m/>
    <m/>
    <m/>
    <m/>
    <m/>
    <m/>
    <m/>
    <m/>
    <m/>
    <m/>
    <m/>
    <m/>
    <m/>
    <m/>
    <m/>
    <m/>
    <m/>
  </r>
  <r>
    <n v="1432"/>
    <x v="5"/>
    <s v="Isabelle Côté"/>
    <x v="16"/>
    <x v="16"/>
    <n v="48.828948974609297"/>
    <n v="-125.19757080078099"/>
    <x v="6"/>
    <n v="1"/>
    <n v="210"/>
    <d v="1899-12-30T09:54:00"/>
    <s v="EGL"/>
    <x v="1"/>
    <x v="1"/>
    <x v="2"/>
    <s v="rni"/>
    <s v="Rhinogobiops nicholsii"/>
    <s v="Blackeye goby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433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pgi"/>
    <s v="Pomaulax gibberosus"/>
    <s v="Red turban shell"/>
    <n v="134"/>
    <n v="13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34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ami"/>
    <s v="Acmaea mitra"/>
    <s v="Whitecap limpet"/>
    <n v="27"/>
    <n v="2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35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mli"/>
    <s v="Mopalia lignosa"/>
    <s v="Woody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36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mfra"/>
    <s v="Mesocentrotus franciscanus"/>
    <s v="Red sea urchin"/>
    <n v="246"/>
    <n v="24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37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aha"/>
    <s v="Artedius harringtoni"/>
    <s v="Scalyhead sculpin"/>
    <n v="10"/>
    <n v="0"/>
    <n v="3"/>
    <n v="6"/>
    <n v="1"/>
    <m/>
    <m/>
    <m/>
    <m/>
    <m/>
    <m/>
    <m/>
    <m/>
    <m/>
    <m/>
    <m/>
    <m/>
    <m/>
    <m/>
    <m/>
    <m/>
    <m/>
    <m/>
    <m/>
    <m/>
    <m/>
    <m/>
    <m/>
    <m/>
    <m/>
  </r>
  <r>
    <n v="1438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phe"/>
    <s v="Pycnopodia helianthoides"/>
    <s v="Sunflower star"/>
    <n v="8"/>
    <n v="0"/>
    <n v="3"/>
    <n v="1"/>
    <n v="1"/>
    <n v="1"/>
    <n v="1"/>
    <n v="1"/>
    <m/>
    <m/>
    <m/>
    <m/>
    <m/>
    <m/>
    <m/>
    <m/>
    <m/>
    <m/>
    <m/>
    <m/>
    <m/>
    <m/>
    <m/>
    <m/>
    <m/>
    <m/>
    <m/>
    <m/>
    <m/>
    <m/>
  </r>
  <r>
    <n v="1439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hermit"/>
    <s v="Paguroidea spp."/>
    <s v="Unidentified hermit crab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0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hcr"/>
    <s v="Hermissenda crassicornis"/>
    <s v="Opalescent nudibranch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1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dim"/>
    <s v="Dermasterias imbricata"/>
    <s v="Leather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2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cfo"/>
    <s v="Ceratostoma foliatum"/>
    <s v="Leafy hornmouth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3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sfo"/>
    <s v="Stylasterias forreri"/>
    <s v="Velcro sea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4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ahu"/>
    <s v="Acanthodoris hudsoni"/>
    <s v="Hudson's dorid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5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oko"/>
    <s v="Orthasterias koehleri"/>
    <s v="Rainbow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6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7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aca"/>
    <s v="Apostichopus californicus"/>
    <s v="California sea cucumbe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8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etr"/>
    <s v="Evasterias troschelii"/>
    <s v="Mottled starfis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49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0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das"/>
    <s v="Diodora aspera"/>
    <s v="Keyhole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1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2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hka"/>
    <s v="Haliotis kamtschatkana"/>
    <s v="Pinto abalone"/>
    <n v="11"/>
    <n v="0"/>
    <m/>
    <n v="2"/>
    <n v="6"/>
    <n v="1"/>
    <n v="2"/>
    <m/>
    <m/>
    <m/>
    <m/>
    <m/>
    <m/>
    <m/>
    <m/>
    <m/>
    <m/>
    <m/>
    <m/>
    <m/>
    <m/>
    <m/>
    <m/>
    <m/>
    <m/>
    <m/>
    <m/>
    <m/>
    <m/>
    <m/>
  </r>
  <r>
    <n v="1453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4"/>
    <x v="5"/>
    <s v="Isabelle Côté"/>
    <x v="16"/>
    <x v="16"/>
    <n v="48.828948974609297"/>
    <n v="-125.19757080078099"/>
    <x v="6"/>
    <n v="1"/>
    <n v="210"/>
    <d v="1899-12-30T09:54:00"/>
    <s v="EGL"/>
    <x v="1"/>
    <x v="3"/>
    <x v="2"/>
    <s v="hexagrammos"/>
    <s v="Hexagrammos spp."/>
    <s v="Unidentified greenling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5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rni"/>
    <s v="Rhinogobiops nicholsii"/>
    <s v="Blackeye goby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456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7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poc"/>
    <s v="Pisaster ochraceus"/>
    <s v="Purple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8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9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0"/>
    <x v="5"/>
    <s v="Isabelle Côté"/>
    <x v="16"/>
    <x v="16"/>
    <n v="48.828948974609297"/>
    <n v="-125.19757080078099"/>
    <x v="6"/>
    <n v="1"/>
    <n v="210"/>
    <d v="1899-12-30T09:54:00"/>
    <s v="EGL"/>
    <x v="1"/>
    <x v="2"/>
    <x v="2"/>
    <s v="jzo"/>
    <s v="Jordania zonope"/>
    <s v="Longfin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461"/>
    <x v="5"/>
    <s v="Isabelle Côté"/>
    <x v="11"/>
    <x v="11"/>
    <n v="48.8273315429687"/>
    <n v="-125.196601867675"/>
    <x v="6"/>
    <n v="1"/>
    <n v="150"/>
    <d v="1899-12-30T12:18:00"/>
    <s v="EGL"/>
    <x v="1"/>
    <x v="1"/>
    <x v="1"/>
    <s v="hde"/>
    <s v="Hexagrammos decagrammus"/>
    <s v="Kelp greenling"/>
    <n v="10"/>
    <n v="0"/>
    <m/>
    <m/>
    <m/>
    <m/>
    <m/>
    <n v="4"/>
    <n v="2"/>
    <n v="3"/>
    <n v="1"/>
    <m/>
    <m/>
    <m/>
    <m/>
    <m/>
    <m/>
    <m/>
    <m/>
    <m/>
    <m/>
    <m/>
    <m/>
    <m/>
    <m/>
    <m/>
    <m/>
    <m/>
    <m/>
    <m/>
  </r>
  <r>
    <n v="1462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mfra"/>
    <s v="Mesocentrotus franciscanus"/>
    <s v="Red sea urchin"/>
    <n v="416"/>
    <n v="4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3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hka"/>
    <s v="Haliotis kamtschatkana"/>
    <s v="Pinto abalone"/>
    <n v="22"/>
    <n v="0"/>
    <n v="7"/>
    <n v="10"/>
    <n v="5"/>
    <m/>
    <m/>
    <m/>
    <m/>
    <m/>
    <m/>
    <m/>
    <m/>
    <m/>
    <m/>
    <m/>
    <m/>
    <m/>
    <m/>
    <m/>
    <m/>
    <m/>
    <m/>
    <m/>
    <m/>
    <m/>
    <m/>
    <m/>
    <m/>
    <m/>
  </r>
  <r>
    <n v="1464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aca"/>
    <s v="Apostichopus californicus"/>
    <s v="California sea cucumber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5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rni"/>
    <s v="Rhinogobiops nicholsii"/>
    <s v="Blackeye goby"/>
    <n v="6"/>
    <n v="0"/>
    <n v="1"/>
    <n v="3"/>
    <n v="2"/>
    <m/>
    <m/>
    <m/>
    <m/>
    <m/>
    <m/>
    <m/>
    <m/>
    <m/>
    <m/>
    <m/>
    <m/>
    <m/>
    <m/>
    <m/>
    <m/>
    <m/>
    <m/>
    <m/>
    <m/>
    <m/>
    <m/>
    <m/>
    <m/>
    <m/>
  </r>
  <r>
    <n v="1466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pgi"/>
    <s v="Pomaulax gibberosus"/>
    <s v="Red turban shell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7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oko"/>
    <s v="Orthasterias koehleri"/>
    <s v="Rainbow sta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8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ami"/>
    <s v="Acmaea mitra"/>
    <s v="Whitecap limpet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9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cfo"/>
    <s v="Ceratostoma foliatum"/>
    <s v="Leafy hornmouth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70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cgi"/>
    <s v="Crassadoma gigantea"/>
    <s v="Purple-hinged rock scallop"/>
    <n v="4"/>
    <n v="0"/>
    <m/>
    <n v="2"/>
    <n v="2"/>
    <m/>
    <m/>
    <m/>
    <m/>
    <m/>
    <m/>
    <m/>
    <m/>
    <m/>
    <m/>
    <m/>
    <m/>
    <m/>
    <m/>
    <m/>
    <m/>
    <m/>
    <m/>
    <m/>
    <m/>
    <m/>
    <m/>
    <m/>
    <m/>
    <m/>
  </r>
  <r>
    <n v="1471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das"/>
    <s v="Diodora aspera"/>
    <s v="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72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tonicella"/>
    <s v="Tonicella spp."/>
    <s v="Unidentified lined chit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73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dim"/>
    <s v="Dermasterias imbricata"/>
    <s v="Leather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74"/>
    <x v="5"/>
    <s v="Isabelle Côté"/>
    <x v="11"/>
    <x v="11"/>
    <n v="48.8273315429687"/>
    <n v="-125.196601867675"/>
    <x v="6"/>
    <n v="1"/>
    <n v="150"/>
    <d v="1899-12-30T12:18:00"/>
    <s v="EGL"/>
    <x v="1"/>
    <x v="3"/>
    <x v="1"/>
    <s v="sme"/>
    <s v="Sebastes melanops"/>
    <s v="Black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475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76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aha"/>
    <s v="Artedius harringtoni"/>
    <s v="Scalyhead sculpin"/>
    <n v="7"/>
    <n v="0"/>
    <n v="1"/>
    <n v="5"/>
    <n v="1"/>
    <m/>
    <m/>
    <m/>
    <m/>
    <m/>
    <m/>
    <m/>
    <m/>
    <m/>
    <m/>
    <m/>
    <m/>
    <m/>
    <m/>
    <m/>
    <m/>
    <m/>
    <m/>
    <m/>
    <m/>
    <m/>
    <m/>
    <m/>
    <m/>
    <m/>
  </r>
  <r>
    <n v="1477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78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poc"/>
    <s v="Pisaster ochraceus"/>
    <s v="Purple sea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79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henricia"/>
    <s v="Henri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80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81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phe"/>
    <s v="Pycnopodia helianthoides"/>
    <s v="Sunflower star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482"/>
    <x v="5"/>
    <s v="Isabelle Côté"/>
    <x v="11"/>
    <x v="11"/>
    <n v="48.8273315429687"/>
    <n v="-125.196601867675"/>
    <x v="6"/>
    <n v="1"/>
    <n v="150"/>
    <d v="1899-12-30T12:18:00"/>
    <s v="EGL"/>
    <x v="1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83"/>
    <x v="5"/>
    <s v="Isabelle Côté"/>
    <x v="11"/>
    <x v="11"/>
    <n v="48.8273315429687"/>
    <n v="-125.196601867675"/>
    <x v="6"/>
    <n v="1"/>
    <n v="150"/>
    <d v="1899-12-30T12:18:00"/>
    <s v="EGL"/>
    <x v="1"/>
    <x v="3"/>
    <x v="3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84"/>
    <x v="5"/>
    <s v="Isabelle Côté"/>
    <x v="17"/>
    <x v="17"/>
    <n v="48.857467651367102"/>
    <n v="-125.158233642578"/>
    <x v="10"/>
    <n v="2"/>
    <n v="210"/>
    <d v="1899-12-30T10:12:00"/>
    <s v="EGL"/>
    <x v="7"/>
    <x v="1"/>
    <x v="1"/>
    <s v="sme"/>
    <s v="Sebastes melanops"/>
    <s v="Black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485"/>
    <x v="5"/>
    <s v="Isabelle Côté"/>
    <x v="17"/>
    <x v="17"/>
    <n v="48.857467651367102"/>
    <n v="-125.158233642578"/>
    <x v="10"/>
    <n v="2"/>
    <n v="210"/>
    <d v="1899-12-30T10:12:00"/>
    <s v="EGL"/>
    <x v="7"/>
    <x v="1"/>
    <x v="1"/>
    <s v="rni"/>
    <s v="Rhinogobiops nicholsii"/>
    <s v="Blackeye goby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1486"/>
    <x v="5"/>
    <s v="Isabelle Côté"/>
    <x v="17"/>
    <x v="17"/>
    <n v="48.857467651367102"/>
    <n v="-125.158233642578"/>
    <x v="10"/>
    <n v="2"/>
    <n v="210"/>
    <d v="1899-12-30T10:12:00"/>
    <s v="EGL"/>
    <x v="7"/>
    <x v="1"/>
    <x v="1"/>
    <s v="hde"/>
    <s v="Hexagrammos decagrammus"/>
    <s v="Kelp greenling"/>
    <n v="2"/>
    <n v="0"/>
    <m/>
    <m/>
    <m/>
    <m/>
    <m/>
    <m/>
    <m/>
    <n v="1"/>
    <n v="1"/>
    <m/>
    <m/>
    <m/>
    <m/>
    <m/>
    <m/>
    <m/>
    <m/>
    <m/>
    <m/>
    <m/>
    <m/>
    <m/>
    <m/>
    <m/>
    <m/>
    <m/>
    <m/>
    <m/>
  </r>
  <r>
    <n v="1487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mfra"/>
    <s v="Mesocentrotus franciscanus"/>
    <s v="Red sea urchin"/>
    <n v="441"/>
    <n v="44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88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rni"/>
    <s v="Rhinogobiops nicholsii"/>
    <s v="Blackeye goby"/>
    <n v="41"/>
    <n v="0"/>
    <n v="12"/>
    <n v="19"/>
    <n v="9"/>
    <n v="1"/>
    <m/>
    <m/>
    <m/>
    <m/>
    <m/>
    <m/>
    <m/>
    <m/>
    <m/>
    <m/>
    <m/>
    <m/>
    <m/>
    <m/>
    <m/>
    <m/>
    <m/>
    <m/>
    <m/>
    <m/>
    <m/>
    <m/>
    <m/>
    <m/>
  </r>
  <r>
    <n v="1489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pgi"/>
    <s v="Pomaulax gibberosus"/>
    <s v="Red turban shell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0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hcr"/>
    <s v="Hermissenda crassicornis"/>
    <s v="Opalescent nudibranch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1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aha"/>
    <s v="Artedius harringtoni"/>
    <s v="Scalyhead sculpin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1492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dir"/>
    <s v="Dendronotus iris"/>
    <s v="Giant frond-aeolis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3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cgi"/>
    <s v="Crassadoma gigantea"/>
    <s v="Purple-hinged rock scallop"/>
    <n v="8"/>
    <n v="0"/>
    <m/>
    <n v="3"/>
    <n v="3"/>
    <n v="1"/>
    <n v="1"/>
    <m/>
    <m/>
    <m/>
    <m/>
    <m/>
    <m/>
    <m/>
    <m/>
    <m/>
    <m/>
    <m/>
    <m/>
    <m/>
    <m/>
    <m/>
    <m/>
    <m/>
    <m/>
    <m/>
    <m/>
    <m/>
    <m/>
    <m/>
  </r>
  <r>
    <n v="1494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aca"/>
    <s v="Apostichopus californicus"/>
    <s v="California sea cucumbe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5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bch"/>
    <s v="Berthella chacei"/>
    <s v="White berthella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6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sdr"/>
    <s v="Strongylocentrotus droebachiensis"/>
    <s v="Northern sea urchi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7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hka"/>
    <s v="Haliotis kamtschatkana"/>
    <s v="Pinto abalone"/>
    <n v="8"/>
    <n v="0"/>
    <n v="1"/>
    <n v="6"/>
    <n v="1"/>
    <m/>
    <m/>
    <m/>
    <m/>
    <m/>
    <m/>
    <m/>
    <m/>
    <m/>
    <m/>
    <m/>
    <m/>
    <m/>
    <m/>
    <m/>
    <m/>
    <m/>
    <m/>
    <m/>
    <m/>
    <m/>
    <m/>
    <m/>
    <m/>
    <m/>
  </r>
  <r>
    <n v="1498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9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phem"/>
    <s v="Pagurus hemphilli"/>
    <s v="Maroon hermi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0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ami"/>
    <s v="Acmaea mitra"/>
    <s v="Whitecap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1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mopalia"/>
    <s v="Mopalia spp."/>
    <s v="Unidentifi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2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henricia"/>
    <s v="Henri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3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oko"/>
    <s v="Orthasterias koehleri"/>
    <s v="Rainbow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4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gor"/>
    <s v="Glebocarcinus oregonensis"/>
    <s v="Pygmy rock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5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6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7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cfo"/>
    <s v="Ceratostoma foliatum"/>
    <s v="Leafy hornmout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8"/>
    <x v="5"/>
    <s v="Isabelle Côté"/>
    <x v="17"/>
    <x v="17"/>
    <n v="48.857467651367102"/>
    <n v="-125.158233642578"/>
    <x v="10"/>
    <n v="2"/>
    <n v="210"/>
    <d v="1899-12-30T10:12:00"/>
    <s v="EGL"/>
    <x v="7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09"/>
    <x v="5"/>
    <s v="Isabelle Côté"/>
    <x v="17"/>
    <x v="17"/>
    <n v="48.857467651367102"/>
    <n v="-125.158233642578"/>
    <x v="10"/>
    <n v="2"/>
    <n v="210"/>
    <d v="1899-12-30T10:12:00"/>
    <s v="EGL"/>
    <x v="7"/>
    <x v="3"/>
    <x v="3"/>
    <s v="sma"/>
    <s v="Sebastes maliger"/>
    <s v="Quillback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510"/>
    <x v="5"/>
    <s v="Isabelle Côté"/>
    <x v="17"/>
    <x v="17"/>
    <n v="48.857467651367102"/>
    <n v="-125.158233642578"/>
    <x v="10"/>
    <n v="2"/>
    <n v="210"/>
    <d v="1899-12-30T10:12:00"/>
    <s v="EGL"/>
    <x v="7"/>
    <x v="3"/>
    <x v="3"/>
    <s v="sst"/>
    <s v="Solaster stimpsoni"/>
    <s v="Striped sun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511"/>
    <x v="5"/>
    <s v="Isabelle Côté"/>
    <x v="17"/>
    <x v="17"/>
    <n v="48.857467651367102"/>
    <n v="-125.158233642578"/>
    <x v="10"/>
    <n v="2"/>
    <n v="210"/>
    <d v="1899-12-30T10:12:00"/>
    <s v="EGL"/>
    <x v="7"/>
    <x v="3"/>
    <x v="3"/>
    <s v="dsa"/>
    <s v="Diaulula sandiegensis"/>
    <s v="Ringed doris"/>
    <n v="2"/>
    <n v="0"/>
    <m/>
    <m/>
    <m/>
    <m/>
    <m/>
    <n v="2"/>
    <m/>
    <m/>
    <m/>
    <m/>
    <m/>
    <m/>
    <m/>
    <m/>
    <m/>
    <m/>
    <m/>
    <m/>
    <m/>
    <m/>
    <m/>
    <m/>
    <m/>
    <m/>
    <m/>
    <m/>
    <m/>
    <m/>
  </r>
  <r>
    <n v="1512"/>
    <x v="5"/>
    <s v="Isabelle Côté"/>
    <x v="17"/>
    <x v="17"/>
    <n v="48.857467651367102"/>
    <n v="-125.158233642578"/>
    <x v="10"/>
    <n v="2"/>
    <n v="210"/>
    <d v="1899-12-30T10:12:00"/>
    <s v="EGL"/>
    <x v="7"/>
    <x v="3"/>
    <x v="3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513"/>
    <x v="5"/>
    <s v="Isabelle Côté"/>
    <x v="18"/>
    <x v="18"/>
    <n v="48.858283996582003"/>
    <n v="-125.160919189453"/>
    <x v="10"/>
    <n v="1.5"/>
    <n v="210"/>
    <d v="1899-12-30T12:54:00"/>
    <s v="EGL"/>
    <x v="10"/>
    <x v="1"/>
    <x v="1"/>
    <s v="rni"/>
    <s v="Rhinogobiops nicholsii"/>
    <s v="Blackeye goby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1514"/>
    <x v="5"/>
    <s v="Isabelle Côté"/>
    <x v="18"/>
    <x v="18"/>
    <n v="48.858283996582003"/>
    <n v="-125.160919189453"/>
    <x v="10"/>
    <n v="1.5"/>
    <n v="210"/>
    <d v="1899-12-30T12:54:00"/>
    <s v="EGL"/>
    <x v="10"/>
    <x v="1"/>
    <x v="1"/>
    <s v="hde"/>
    <s v="Hexagrammos decagrammus"/>
    <s v="Kelp greenling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515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mfra"/>
    <s v="Mesocentrotus franciscanus"/>
    <s v="Red sea urchin"/>
    <n v="224"/>
    <n v="2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16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aca"/>
    <s v="Apostichopus californicus"/>
    <s v="California sea cucumber"/>
    <n v="48"/>
    <n v="4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17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phe"/>
    <s v="Pycnopodia helianthoides"/>
    <s v="Sunflower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1518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rni"/>
    <s v="Rhinogobiops nicholsii"/>
    <s v="Blackeye goby"/>
    <n v="19"/>
    <n v="0"/>
    <n v="5"/>
    <n v="11"/>
    <n v="3"/>
    <m/>
    <m/>
    <m/>
    <m/>
    <m/>
    <m/>
    <m/>
    <m/>
    <m/>
    <m/>
    <m/>
    <m/>
    <m/>
    <m/>
    <m/>
    <m/>
    <m/>
    <m/>
    <m/>
    <m/>
    <m/>
    <m/>
    <m/>
    <m/>
    <m/>
  </r>
  <r>
    <n v="1519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aha"/>
    <s v="Artedius harringtoni"/>
    <s v="Scalyhead sculpin"/>
    <n v="9"/>
    <n v="0"/>
    <n v="4"/>
    <n v="4"/>
    <n v="1"/>
    <m/>
    <m/>
    <m/>
    <m/>
    <m/>
    <m/>
    <m/>
    <m/>
    <m/>
    <m/>
    <m/>
    <m/>
    <m/>
    <m/>
    <m/>
    <m/>
    <m/>
    <m/>
    <m/>
    <m/>
    <m/>
    <m/>
    <m/>
    <m/>
    <m/>
  </r>
  <r>
    <n v="1520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sfo"/>
    <s v="Stylasterias forreri"/>
    <s v="Velcro seastar"/>
    <n v="3"/>
    <n v="0"/>
    <n v="3"/>
    <m/>
    <m/>
    <m/>
    <m/>
    <m/>
    <m/>
    <m/>
    <m/>
    <m/>
    <m/>
    <m/>
    <m/>
    <m/>
    <m/>
    <m/>
    <m/>
    <m/>
    <m/>
    <m/>
    <m/>
    <m/>
    <m/>
    <m/>
    <m/>
    <m/>
    <m/>
    <m/>
  </r>
  <r>
    <n v="1521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gor"/>
    <s v="Glebocarcinus oregonensis"/>
    <s v="Pygmy rock crab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1522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hka"/>
    <s v="Haliotis kamtschatkana"/>
    <s v="Pinto abalone"/>
    <n v="12"/>
    <n v="0"/>
    <m/>
    <n v="2"/>
    <n v="7"/>
    <n v="3"/>
    <m/>
    <m/>
    <m/>
    <m/>
    <m/>
    <m/>
    <m/>
    <m/>
    <m/>
    <m/>
    <m/>
    <m/>
    <m/>
    <m/>
    <m/>
    <m/>
    <m/>
    <m/>
    <m/>
    <m/>
    <m/>
    <m/>
    <m/>
    <m/>
  </r>
  <r>
    <n v="1523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pgi"/>
    <s v="Pomaulax gibberosus"/>
    <s v="Red turban shell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24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das"/>
    <s v="Diodora aspera"/>
    <s v="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25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26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27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oko"/>
    <s v="Orthasterias koehleri"/>
    <s v="Rainbow star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28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hcr"/>
    <s v="Hermissenda crassicornis"/>
    <s v="Opalescent nudibranch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29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phem"/>
    <s v="Pagurus hemphilli"/>
    <s v="Maroon hermi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0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dal"/>
    <s v="Dirona albolineata"/>
    <s v="White-line dirona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1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cfo"/>
    <s v="Ceratostoma foliatum"/>
    <s v="Leafy hornmouth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2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cgi"/>
    <s v="Crassadoma gigantea"/>
    <s v="Purple-hinged rock scallop"/>
    <n v="10"/>
    <n v="0"/>
    <m/>
    <n v="4"/>
    <n v="3"/>
    <n v="1"/>
    <m/>
    <n v="2"/>
    <m/>
    <m/>
    <m/>
    <m/>
    <m/>
    <m/>
    <m/>
    <m/>
    <m/>
    <m/>
    <m/>
    <m/>
    <m/>
    <m/>
    <m/>
    <m/>
    <m/>
    <m/>
    <m/>
    <m/>
    <m/>
    <m/>
  </r>
  <r>
    <n v="1533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henricia"/>
    <s v="Henricia spp."/>
    <s v="Unidentified blood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4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dsa"/>
    <s v="Diaulula sandiegensis"/>
    <s v="Ringed dor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5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mopalia"/>
    <s v="Mopalia spp."/>
    <s v="Unidentified chiton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6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dir"/>
    <s v="Dendronotus iris"/>
    <s v="Giant frond-aeolis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7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8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pmi"/>
    <s v="Patiria miniata"/>
    <s v="Bat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9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ami"/>
    <s v="Acmaea mitra"/>
    <s v="Whitecap limpet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40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deg"/>
    <s v="Debris - Glass"/>
    <s v="Any glass deb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41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sac"/>
    <s v="Scyra acutifrons"/>
    <s v="Sharpnose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42"/>
    <x v="5"/>
    <s v="Isabelle Côté"/>
    <x v="18"/>
    <x v="18"/>
    <n v="48.858283996582003"/>
    <n v="-125.160919189453"/>
    <x v="10"/>
    <n v="1.5"/>
    <n v="210"/>
    <d v="1899-12-30T12:54:00"/>
    <s v="EGL"/>
    <x v="10"/>
    <x v="2"/>
    <x v="1"/>
    <s v="lma"/>
    <s v="Lopholithodes mandtii"/>
    <s v="Puget sound king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43"/>
    <x v="5"/>
    <s v="Isabelle Côté"/>
    <x v="12"/>
    <x v="12"/>
    <n v="48.950233459472599"/>
    <n v="-125.155548095703"/>
    <x v="7"/>
    <n v="5"/>
    <n v="240"/>
    <d v="1899-12-30T10:25:00"/>
    <s v="EGL"/>
    <x v="9"/>
    <x v="1"/>
    <x v="1"/>
    <s v="oel"/>
    <s v="Ophiodon elongatus"/>
    <s v="Lingcod"/>
    <n v="1"/>
    <n v="0"/>
    <m/>
    <m/>
    <m/>
    <m/>
    <m/>
    <m/>
    <m/>
    <m/>
    <m/>
    <m/>
    <m/>
    <m/>
    <n v="1"/>
    <m/>
    <m/>
    <m/>
    <m/>
    <m/>
    <m/>
    <m/>
    <m/>
    <m/>
    <m/>
    <m/>
    <m/>
    <m/>
    <m/>
    <m/>
  </r>
  <r>
    <n v="1544"/>
    <x v="5"/>
    <s v="Isabelle Côté"/>
    <x v="12"/>
    <x v="12"/>
    <n v="48.950233459472599"/>
    <n v="-125.155548095703"/>
    <x v="7"/>
    <n v="5"/>
    <n v="240"/>
    <d v="1899-12-30T10:25:00"/>
    <s v="EGL"/>
    <x v="9"/>
    <x v="1"/>
    <x v="1"/>
    <s v="hde"/>
    <s v="Hexagrammos decagrammus"/>
    <s v="Kelp greenling"/>
    <n v="12"/>
    <n v="0"/>
    <m/>
    <m/>
    <m/>
    <m/>
    <m/>
    <m/>
    <n v="3"/>
    <n v="3"/>
    <n v="5"/>
    <n v="1"/>
    <m/>
    <m/>
    <m/>
    <m/>
    <m/>
    <m/>
    <m/>
    <m/>
    <m/>
    <m/>
    <m/>
    <m/>
    <m/>
    <m/>
    <m/>
    <m/>
    <m/>
    <m/>
  </r>
  <r>
    <n v="1545"/>
    <x v="5"/>
    <s v="Isabelle Côté"/>
    <x v="12"/>
    <x v="12"/>
    <n v="48.950233459472599"/>
    <n v="-125.155548095703"/>
    <x v="7"/>
    <n v="5"/>
    <n v="240"/>
    <d v="1899-12-30T10:25:00"/>
    <s v="EGL"/>
    <x v="9"/>
    <x v="1"/>
    <x v="1"/>
    <s v="smar"/>
    <s v="Scorpaenichthys marmoratus"/>
    <s v="Cabezon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1546"/>
    <x v="5"/>
    <s v="Isabelle Côté"/>
    <x v="12"/>
    <x v="12"/>
    <n v="48.950233459472599"/>
    <n v="-125.155548095703"/>
    <x v="7"/>
    <n v="5"/>
    <n v="240"/>
    <d v="1899-12-30T10:25:00"/>
    <s v="EGL"/>
    <x v="9"/>
    <x v="1"/>
    <x v="1"/>
    <s v="sca"/>
    <s v="Sebastes caurinus"/>
    <s v="Copper rockfish"/>
    <n v="2"/>
    <n v="0"/>
    <m/>
    <m/>
    <m/>
    <m/>
    <m/>
    <m/>
    <n v="1"/>
    <n v="1"/>
    <m/>
    <m/>
    <m/>
    <m/>
    <m/>
    <m/>
    <m/>
    <m/>
    <m/>
    <m/>
    <m/>
    <m/>
    <m/>
    <m/>
    <m/>
    <m/>
    <m/>
    <m/>
    <m/>
    <m/>
  </r>
  <r>
    <n v="1547"/>
    <x v="5"/>
    <s v="Isabelle Côté"/>
    <x v="12"/>
    <x v="12"/>
    <n v="48.950233459472599"/>
    <n v="-125.155548095703"/>
    <x v="7"/>
    <n v="5"/>
    <n v="240"/>
    <d v="1899-12-30T10:25:00"/>
    <s v="EGL"/>
    <x v="9"/>
    <x v="1"/>
    <x v="1"/>
    <s v="opi"/>
    <s v="Oxylebius pictus"/>
    <s v="Painted greenling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548"/>
    <x v="5"/>
    <s v="Isabelle Côté"/>
    <x v="12"/>
    <x v="12"/>
    <n v="48.950233459472599"/>
    <n v="-125.155548095703"/>
    <x v="7"/>
    <n v="5"/>
    <n v="240"/>
    <d v="1899-12-30T10:25:00"/>
    <s v="EGL"/>
    <x v="9"/>
    <x v="1"/>
    <x v="1"/>
    <s v="sme"/>
    <s v="Sebastes melanops"/>
    <s v="Black rockfish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549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mfra"/>
    <s v="Mesocentrotus franciscanus"/>
    <s v="Red sea urchin"/>
    <n v="241"/>
    <n v="24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0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dim"/>
    <s v="Dermasterias imbricata"/>
    <s v="Leather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1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ami"/>
    <s v="Acmaea mitra"/>
    <s v="Whitecap limpet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2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aca"/>
    <s v="Apostichopus californicus"/>
    <s v="California sea cucumbe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3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pmi"/>
    <s v="Patiria miniata"/>
    <s v="Bat star"/>
    <n v="95"/>
    <n v="9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4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cgi"/>
    <s v="Crassadoma gigantea"/>
    <s v="Purple-hinged rock scallop"/>
    <n v="9"/>
    <n v="0"/>
    <m/>
    <n v="1"/>
    <n v="1"/>
    <n v="4"/>
    <n v="3"/>
    <m/>
    <m/>
    <m/>
    <m/>
    <m/>
    <m/>
    <m/>
    <m/>
    <m/>
    <m/>
    <m/>
    <m/>
    <m/>
    <m/>
    <m/>
    <m/>
    <m/>
    <m/>
    <m/>
    <m/>
    <m/>
    <m/>
    <m/>
  </r>
  <r>
    <n v="1555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oko"/>
    <s v="Orthasterias koehleri"/>
    <s v="Rainbow star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6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aha"/>
    <s v="Artedius harringtoni"/>
    <s v="Scalyhead sculpin"/>
    <n v="8"/>
    <n v="0"/>
    <n v="2"/>
    <n v="5"/>
    <n v="1"/>
    <m/>
    <m/>
    <m/>
    <m/>
    <m/>
    <m/>
    <m/>
    <m/>
    <m/>
    <m/>
    <m/>
    <m/>
    <m/>
    <m/>
    <m/>
    <m/>
    <m/>
    <m/>
    <m/>
    <m/>
    <m/>
    <m/>
    <m/>
    <m/>
    <m/>
  </r>
  <r>
    <n v="1557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jzo"/>
    <s v="Jordania zonope"/>
    <s v="Longfin sculpin"/>
    <n v="10"/>
    <n v="0"/>
    <n v="3"/>
    <n v="6"/>
    <n v="1"/>
    <m/>
    <m/>
    <m/>
    <m/>
    <m/>
    <m/>
    <m/>
    <m/>
    <m/>
    <m/>
    <m/>
    <m/>
    <m/>
    <m/>
    <m/>
    <m/>
    <m/>
    <m/>
    <m/>
    <m/>
    <m/>
    <m/>
    <m/>
    <m/>
    <m/>
  </r>
  <r>
    <n v="1558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cfo"/>
    <s v="Ceratostoma foliatum"/>
    <s v="Leafy hornmouth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9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rni"/>
    <s v="Rhinogobiops nicholsii"/>
    <s v="Blackeye goby"/>
    <n v="5"/>
    <n v="0"/>
    <n v="1"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1560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1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henricia"/>
    <s v="Henricia spp."/>
    <s v="Unidentified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2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hka"/>
    <s v="Haliotis kamtschatkana"/>
    <s v="Pinto abalone"/>
    <n v="12"/>
    <n v="0"/>
    <n v="8"/>
    <n v="4"/>
    <m/>
    <m/>
    <m/>
    <m/>
    <m/>
    <m/>
    <m/>
    <m/>
    <m/>
    <m/>
    <m/>
    <m/>
    <m/>
    <m/>
    <m/>
    <m/>
    <m/>
    <m/>
    <m/>
    <m/>
    <m/>
    <m/>
    <m/>
    <m/>
    <m/>
    <m/>
  </r>
  <r>
    <n v="1563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pgi"/>
    <s v="Pomaulax gibberosus"/>
    <s v="Red turban shell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4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mopalia"/>
    <s v="Mopalia spp."/>
    <s v="Unidentifi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5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aoc"/>
    <s v="Anarrhichthys ocellatus"/>
    <s v="Wolf-eel"/>
    <n v="1"/>
    <n v="0"/>
    <m/>
    <m/>
    <m/>
    <m/>
    <m/>
    <m/>
    <m/>
    <m/>
    <m/>
    <m/>
    <m/>
    <n v="1"/>
    <m/>
    <m/>
    <m/>
    <m/>
    <m/>
    <m/>
    <m/>
    <m/>
    <m/>
    <m/>
    <m/>
    <m/>
    <m/>
    <m/>
    <m/>
    <m/>
  </r>
  <r>
    <n v="1566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phem"/>
    <s v="Pagurus hemphilli"/>
    <s v="Maroon hermit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7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spu"/>
    <s v="Strongylocentrotus purpuratus"/>
    <s v="Purple sea urchin (?)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8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9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poc"/>
    <s v="Pisaster ochraceus"/>
    <s v="Purpl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70"/>
    <x v="5"/>
    <s v="Isabelle Côté"/>
    <x v="12"/>
    <x v="12"/>
    <n v="48.950233459472599"/>
    <n v="-125.155548095703"/>
    <x v="7"/>
    <n v="5"/>
    <n v="240"/>
    <d v="1899-12-30T10:25:00"/>
    <s v="EGL"/>
    <x v="9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71"/>
    <x v="5"/>
    <s v="Isabelle Côté"/>
    <x v="12"/>
    <x v="12"/>
    <n v="48.950233459472599"/>
    <n v="-125.155548095703"/>
    <x v="7"/>
    <n v="5"/>
    <n v="240"/>
    <d v="1899-12-30T10:25:00"/>
    <s v="EGL"/>
    <x v="9"/>
    <x v="3"/>
    <x v="3"/>
    <s v="sma"/>
    <s v="Sebastes maliger"/>
    <s v="Quillback rockfish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572"/>
    <x v="5"/>
    <s v="Isabelle Côté"/>
    <x v="12"/>
    <x v="12"/>
    <n v="48.950233459472599"/>
    <n v="-125.155548095703"/>
    <x v="7"/>
    <n v="5"/>
    <n v="240"/>
    <d v="1899-12-30T10:25:00"/>
    <s v="EGL"/>
    <x v="9"/>
    <x v="3"/>
    <x v="3"/>
    <s v="oel"/>
    <s v="Ophiodon elongatus"/>
    <s v="Lingcod"/>
    <n v="1"/>
    <n v="0"/>
    <m/>
    <m/>
    <m/>
    <m/>
    <m/>
    <m/>
    <m/>
    <m/>
    <m/>
    <m/>
    <m/>
    <m/>
    <n v="1"/>
    <m/>
    <m/>
    <m/>
    <m/>
    <m/>
    <m/>
    <m/>
    <m/>
    <m/>
    <m/>
    <m/>
    <m/>
    <m/>
    <m/>
    <m/>
  </r>
  <r>
    <n v="1573"/>
    <x v="5"/>
    <s v="Isabelle Côté"/>
    <x v="12"/>
    <x v="12"/>
    <n v="48.950233459472599"/>
    <n v="-125.155548095703"/>
    <x v="7"/>
    <n v="5"/>
    <n v="240"/>
    <d v="1899-12-30T10:25:00"/>
    <s v="EGL"/>
    <x v="9"/>
    <x v="3"/>
    <x v="3"/>
    <s v="sne"/>
    <s v="Sebastes nebulosus"/>
    <s v="China rockfish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574"/>
    <x v="5"/>
    <s v="Isabelle Côté"/>
    <x v="13"/>
    <x v="13"/>
    <n v="48.955081939697202"/>
    <n v="-125.15337371826099"/>
    <x v="7"/>
    <n v="5"/>
    <n v="150"/>
    <d v="1899-12-30T13:02:00"/>
    <s v="EGL"/>
    <x v="10"/>
    <x v="1"/>
    <x v="1"/>
    <s v="hde"/>
    <s v="Hexagrammos decagrammus"/>
    <s v="Kelp greenling"/>
    <n v="7"/>
    <n v="0"/>
    <m/>
    <m/>
    <m/>
    <m/>
    <n v="1"/>
    <m/>
    <m/>
    <n v="2"/>
    <n v="3"/>
    <n v="1"/>
    <m/>
    <m/>
    <m/>
    <m/>
    <m/>
    <m/>
    <m/>
    <m/>
    <m/>
    <m/>
    <m/>
    <m/>
    <m/>
    <m/>
    <m/>
    <m/>
    <m/>
    <m/>
  </r>
  <r>
    <n v="1575"/>
    <x v="5"/>
    <s v="Isabelle Côté"/>
    <x v="13"/>
    <x v="13"/>
    <n v="48.955081939697202"/>
    <n v="-125.15337371826099"/>
    <x v="7"/>
    <n v="5"/>
    <n v="150"/>
    <d v="1899-12-30T13:02:00"/>
    <s v="EGL"/>
    <x v="10"/>
    <x v="1"/>
    <x v="1"/>
    <s v="hexagrammos"/>
    <s v="Hexagrammos spp."/>
    <s v="Unidentified greenling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576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mfra"/>
    <s v="Mesocentrotus franciscanus"/>
    <s v="Red sea urchin"/>
    <n v="344"/>
    <n v="34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77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pgi"/>
    <s v="Pomaulax gibberosus"/>
    <s v="Red turban shell"/>
    <n v="100"/>
    <n v="10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78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ami"/>
    <s v="Acmaea mitra"/>
    <s v="Whitecap limpet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79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pmi"/>
    <s v="Patiria miniata"/>
    <s v="Bat star"/>
    <n v="67"/>
    <n v="6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80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spu"/>
    <s v="Strongylocentrotus purpuratus"/>
    <s v="Purple sea urchin (?)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81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phem"/>
    <s v="Pagurus hemphilli"/>
    <s v="Maroon hermit"/>
    <n v="27"/>
    <n v="2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82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aha"/>
    <s v="Artedius harringtoni"/>
    <s v="Scalyhead sculpin"/>
    <n v="15"/>
    <n v="0"/>
    <n v="2"/>
    <n v="11"/>
    <n v="2"/>
    <m/>
    <m/>
    <m/>
    <m/>
    <m/>
    <m/>
    <m/>
    <m/>
    <m/>
    <m/>
    <m/>
    <m/>
    <m/>
    <m/>
    <m/>
    <m/>
    <m/>
    <m/>
    <m/>
    <m/>
    <m/>
    <m/>
    <m/>
    <m/>
    <m/>
  </r>
  <r>
    <n v="1583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cfo"/>
    <s v="Ceratostoma foliatum"/>
    <s v="Leafy hornmouth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84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rni"/>
    <s v="Rhinogobiops nicholsii"/>
    <s v="Blackeye goby"/>
    <n v="8"/>
    <n v="0"/>
    <n v="1"/>
    <n v="3"/>
    <n v="4"/>
    <m/>
    <m/>
    <m/>
    <m/>
    <m/>
    <m/>
    <m/>
    <m/>
    <m/>
    <m/>
    <m/>
    <m/>
    <m/>
    <m/>
    <m/>
    <m/>
    <m/>
    <m/>
    <m/>
    <m/>
    <m/>
    <m/>
    <m/>
    <m/>
    <m/>
  </r>
  <r>
    <n v="1585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oko"/>
    <s v="Orthasterias koehleri"/>
    <s v="Rainbow star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86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lcoc"/>
    <s v="Limacia cockerelli"/>
    <s v="Cockerell's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87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hka"/>
    <s v="Haliotis kamtschatkana"/>
    <s v="Pinto abalone"/>
    <n v="11"/>
    <n v="0"/>
    <n v="7"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1588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89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jzo"/>
    <s v="Jordania zonope"/>
    <s v="Longfin sculpin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1590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mae"/>
    <s v="Mediaster aequalis"/>
    <s v="Vermillion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1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aca"/>
    <s v="Apostichopus californicus"/>
    <s v="California sea cucumbe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2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3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dim"/>
    <s v="Dermasterias imbricata"/>
    <s v="Leather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4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5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das"/>
    <s v="Diodora aspera"/>
    <s v="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6"/>
    <x v="5"/>
    <s v="Isabelle Côté"/>
    <x v="13"/>
    <x v="13"/>
    <n v="48.955081939697202"/>
    <n v="-125.15337371826099"/>
    <x v="7"/>
    <n v="5"/>
    <n v="150"/>
    <d v="1899-12-30T13:02:00"/>
    <s v="EGL"/>
    <x v="10"/>
    <x v="3"/>
    <x v="3"/>
    <s v="oel"/>
    <s v="Ophiodon elongatus"/>
    <s v="Lingco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7"/>
    <x v="5"/>
    <s v="Isabelle Côté"/>
    <x v="13"/>
    <x v="13"/>
    <n v="48.955081939697202"/>
    <n v="-125.15337371826099"/>
    <x v="7"/>
    <n v="5"/>
    <n v="150"/>
    <d v="1899-12-30T13:02:00"/>
    <s v="EGL"/>
    <x v="10"/>
    <x v="3"/>
    <x v="3"/>
    <s v="pco"/>
    <s v="Pleuronichthys coenosus"/>
    <s v="C-o sole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8"/>
    <x v="5"/>
    <s v="Isabelle Côté"/>
    <x v="13"/>
    <x v="13"/>
    <n v="48.955081939697202"/>
    <n v="-125.15337371826099"/>
    <x v="7"/>
    <n v="5"/>
    <n v="150"/>
    <d v="1899-12-30T13:02:00"/>
    <s v="EGL"/>
    <x v="10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9"/>
    <x v="5"/>
    <s v="Isabelle Côté"/>
    <x v="14"/>
    <x v="14"/>
    <n v="48.916072999999997"/>
    <n v="-125.131174"/>
    <x v="8"/>
    <n v="6"/>
    <n v="40"/>
    <d v="1899-12-30T10:27:00"/>
    <s v="EGL"/>
    <x v="11"/>
    <x v="1"/>
    <x v="1"/>
    <s v="jzo"/>
    <s v="Jordania zonope"/>
    <s v="Longfin sculpin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1600"/>
    <x v="5"/>
    <s v="Isabelle Côté"/>
    <x v="14"/>
    <x v="14"/>
    <n v="48.916072999999997"/>
    <n v="-125.131174"/>
    <x v="8"/>
    <n v="6"/>
    <n v="40"/>
    <d v="1899-12-30T10:27:00"/>
    <s v="EGL"/>
    <x v="11"/>
    <x v="1"/>
    <x v="1"/>
    <s v="aha"/>
    <s v="Artedius harringtoni"/>
    <s v="Scalyhead sculpi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1601"/>
    <x v="5"/>
    <s v="Isabelle Côté"/>
    <x v="14"/>
    <x v="14"/>
    <n v="48.916072999999997"/>
    <n v="-125.131174"/>
    <x v="8"/>
    <n v="6"/>
    <n v="40"/>
    <d v="1899-12-30T10:27:00"/>
    <s v="EGL"/>
    <x v="11"/>
    <x v="1"/>
    <x v="1"/>
    <s v="hde"/>
    <s v="Hexagrammos decagrammus"/>
    <s v="Kelp greenling"/>
    <n v="7"/>
    <n v="0"/>
    <m/>
    <m/>
    <m/>
    <m/>
    <m/>
    <m/>
    <n v="1"/>
    <n v="2"/>
    <n v="3"/>
    <n v="1"/>
    <m/>
    <m/>
    <m/>
    <m/>
    <m/>
    <m/>
    <m/>
    <m/>
    <m/>
    <m/>
    <m/>
    <m/>
    <m/>
    <m/>
    <m/>
    <m/>
    <m/>
    <m/>
  </r>
  <r>
    <n v="1602"/>
    <x v="5"/>
    <s v="Isabelle Côté"/>
    <x v="14"/>
    <x v="14"/>
    <n v="48.916072999999997"/>
    <n v="-125.131174"/>
    <x v="8"/>
    <n v="6"/>
    <n v="40"/>
    <d v="1899-12-30T10:27:00"/>
    <s v="EGL"/>
    <x v="11"/>
    <x v="1"/>
    <x v="1"/>
    <s v="oel"/>
    <s v="Ophiodon elongatus"/>
    <s v="Lingcod"/>
    <n v="3"/>
    <n v="0"/>
    <m/>
    <m/>
    <m/>
    <m/>
    <m/>
    <m/>
    <m/>
    <m/>
    <m/>
    <m/>
    <n v="1"/>
    <n v="2"/>
    <m/>
    <m/>
    <m/>
    <m/>
    <m/>
    <m/>
    <m/>
    <m/>
    <m/>
    <m/>
    <m/>
    <m/>
    <m/>
    <m/>
    <m/>
    <m/>
  </r>
  <r>
    <n v="1603"/>
    <x v="5"/>
    <s v="Isabelle Côté"/>
    <x v="14"/>
    <x v="14"/>
    <n v="48.916072999999997"/>
    <n v="-125.131174"/>
    <x v="8"/>
    <n v="6"/>
    <n v="40"/>
    <d v="1899-12-30T10:27:00"/>
    <s v="EGL"/>
    <x v="11"/>
    <x v="1"/>
    <x v="1"/>
    <s v="sne"/>
    <s v="Sebastes nebulosus"/>
    <s v="China rockfish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604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mfra"/>
    <s v="Mesocentrotus franciscanus"/>
    <s v="Red sea urchin"/>
    <n v="205"/>
    <n v="20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05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hka"/>
    <s v="Haliotis kamtschatkana"/>
    <s v="Pinto abalone"/>
    <n v="37"/>
    <n v="0"/>
    <n v="25"/>
    <n v="10"/>
    <n v="2"/>
    <m/>
    <m/>
    <m/>
    <m/>
    <m/>
    <m/>
    <m/>
    <m/>
    <m/>
    <m/>
    <m/>
    <m/>
    <m/>
    <m/>
    <m/>
    <m/>
    <m/>
    <m/>
    <m/>
    <m/>
    <m/>
    <m/>
    <m/>
    <m/>
    <m/>
  </r>
  <r>
    <n v="1606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dim"/>
    <s v="Dermasterias imbricata"/>
    <s v="Leather star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07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ami"/>
    <s v="Acmaea mitra"/>
    <s v="Whitecap limpet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08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jzo"/>
    <s v="Jordania zonope"/>
    <s v="Longfin sculpin"/>
    <n v="10"/>
    <n v="0"/>
    <n v="4"/>
    <n v="5"/>
    <n v="1"/>
    <m/>
    <m/>
    <m/>
    <m/>
    <m/>
    <m/>
    <m/>
    <m/>
    <m/>
    <m/>
    <m/>
    <m/>
    <m/>
    <m/>
    <m/>
    <m/>
    <m/>
    <m/>
    <m/>
    <m/>
    <m/>
    <m/>
    <m/>
    <m/>
    <m/>
  </r>
  <r>
    <n v="1609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hme"/>
    <s v="Hapalogaster mertensii"/>
    <s v="Hairy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0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spu"/>
    <s v="Strongylocentrotus purpuratus"/>
    <s v="Purple sea urchin (?)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1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sdr"/>
    <s v="Strongylocentrotus droebachiensis"/>
    <s v="Northern sea urchi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2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cfo"/>
    <s v="Ceratostoma foliatum"/>
    <s v="Leafy hornmouth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3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pmi"/>
    <s v="Patiria miniata"/>
    <s v="Bat star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4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cgi"/>
    <s v="Crassadoma gigantea"/>
    <s v="Purple-hinged rock scallop"/>
    <n v="5"/>
    <n v="0"/>
    <m/>
    <m/>
    <n v="2"/>
    <n v="3"/>
    <m/>
    <m/>
    <m/>
    <m/>
    <m/>
    <m/>
    <m/>
    <m/>
    <m/>
    <m/>
    <m/>
    <m/>
    <m/>
    <m/>
    <m/>
    <m/>
    <m/>
    <m/>
    <m/>
    <m/>
    <m/>
    <m/>
    <m/>
    <m/>
  </r>
  <r>
    <n v="1615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6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oko"/>
    <s v="Orthasterias koehleri"/>
    <s v="Rainbow star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7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8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aha"/>
    <s v="Artedius harringtoni"/>
    <s v="Scalyhead sculpin"/>
    <n v="3"/>
    <n v="0"/>
    <n v="1"/>
    <n v="2"/>
    <m/>
    <m/>
    <m/>
    <m/>
    <m/>
    <m/>
    <m/>
    <m/>
    <m/>
    <m/>
    <m/>
    <m/>
    <m/>
    <m/>
    <m/>
    <m/>
    <m/>
    <m/>
    <m/>
    <m/>
    <m/>
    <m/>
    <m/>
    <m/>
    <m/>
    <m/>
  </r>
  <r>
    <n v="1619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phem"/>
    <s v="Pagurus hemphilli"/>
    <s v="Maroon hermi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0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pgi"/>
    <s v="Pomaulax gibberosus"/>
    <s v="Red turban shell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1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mae"/>
    <s v="Mediaster aequalis"/>
    <s v="Vermillion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2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aca"/>
    <s v="Apostichopus californicus"/>
    <s v="California sea cucumbe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3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4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rni"/>
    <s v="Rhinogobiops nicholsii"/>
    <s v="Blackeye goby"/>
    <n v="4"/>
    <n v="0"/>
    <m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1625"/>
    <x v="5"/>
    <s v="Isabelle Côté"/>
    <x v="14"/>
    <x v="14"/>
    <n v="48.916072999999997"/>
    <n v="-125.131174"/>
    <x v="8"/>
    <n v="6"/>
    <n v="40"/>
    <d v="1899-12-30T10:27:00"/>
    <s v="EGL"/>
    <x v="11"/>
    <x v="3"/>
    <x v="1"/>
    <s v="sni"/>
    <s v="Sebastes nigrocinctus"/>
    <s v="Tiger rockfish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626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7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das"/>
    <s v="Diodora aspera"/>
    <s v="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8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dodo"/>
    <s v="Diaulula odonoghuei"/>
    <s v="Spotted dorid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9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aha"/>
    <s v="Artedius harringtoni"/>
    <s v="Scalyhead sculp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30"/>
    <x v="5"/>
    <s v="Isabelle Côté"/>
    <x v="14"/>
    <x v="14"/>
    <n v="48.916072999999997"/>
    <n v="-125.131174"/>
    <x v="8"/>
    <n v="6"/>
    <n v="40"/>
    <d v="1899-12-30T10:27:00"/>
    <s v="EGL"/>
    <x v="11"/>
    <x v="3"/>
    <x v="1"/>
    <s v="tmo"/>
    <s v="Triopha modesta"/>
    <s v="Sea clow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31"/>
    <x v="5"/>
    <s v="Isabelle Côté"/>
    <x v="14"/>
    <x v="14"/>
    <n v="48.916072999999997"/>
    <n v="-125.131174"/>
    <x v="8"/>
    <n v="6"/>
    <n v="40"/>
    <d v="1899-12-30T10:27:00"/>
    <s v="EGL"/>
    <x v="11"/>
    <x v="3"/>
    <x v="1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632"/>
    <x v="5"/>
    <s v="Isabelle Côté"/>
    <x v="14"/>
    <x v="14"/>
    <n v="48.916072999999997"/>
    <n v="-125.131174"/>
    <x v="8"/>
    <n v="6"/>
    <n v="40"/>
    <d v="1899-12-30T10:27:00"/>
    <s v="EGL"/>
    <x v="11"/>
    <x v="3"/>
    <x v="1"/>
    <s v="sca"/>
    <s v="Sebastes caurinus"/>
    <s v="Copper rockfish"/>
    <n v="1"/>
    <n v="0"/>
    <m/>
    <m/>
    <m/>
    <m/>
    <m/>
    <m/>
    <m/>
    <m/>
    <m/>
    <n v="1"/>
    <m/>
    <m/>
    <m/>
    <m/>
    <m/>
    <m/>
    <m/>
    <m/>
    <m/>
    <m/>
    <m/>
    <m/>
    <m/>
    <m/>
    <m/>
    <m/>
    <m/>
    <m/>
  </r>
  <r>
    <n v="1633"/>
    <x v="5"/>
    <s v="Isabelle Côté"/>
    <x v="14"/>
    <x v="14"/>
    <n v="48.916072999999997"/>
    <n v="-125.131174"/>
    <x v="8"/>
    <n v="6"/>
    <n v="40"/>
    <d v="1899-12-30T10:27:00"/>
    <s v="EGL"/>
    <x v="11"/>
    <x v="3"/>
    <x v="1"/>
    <s v="sme"/>
    <s v="Sebastes melanops"/>
    <s v="Black rockfish"/>
    <n v="50"/>
    <n v="0"/>
    <m/>
    <m/>
    <m/>
    <m/>
    <m/>
    <m/>
    <n v="10"/>
    <n v="30"/>
    <n v="10"/>
    <m/>
    <m/>
    <m/>
    <m/>
    <m/>
    <m/>
    <m/>
    <m/>
    <m/>
    <m/>
    <m/>
    <m/>
    <m/>
    <m/>
    <m/>
    <m/>
    <m/>
    <m/>
    <m/>
  </r>
  <r>
    <n v="1634"/>
    <x v="5"/>
    <s v="Isabelle Côté"/>
    <x v="14"/>
    <x v="14"/>
    <n v="48.916072999999997"/>
    <n v="-125.131174"/>
    <x v="8"/>
    <n v="6"/>
    <n v="40"/>
    <d v="1899-12-30T10:27:00"/>
    <s v="EGL"/>
    <x v="11"/>
    <x v="3"/>
    <x v="1"/>
    <s v="sfl"/>
    <s v="Sebastes flavidus"/>
    <s v="Yellowtail rockfish"/>
    <n v="50"/>
    <n v="0"/>
    <m/>
    <m/>
    <m/>
    <m/>
    <m/>
    <n v="5"/>
    <n v="20"/>
    <n v="20"/>
    <n v="5"/>
    <m/>
    <m/>
    <m/>
    <m/>
    <m/>
    <m/>
    <m/>
    <m/>
    <m/>
    <m/>
    <m/>
    <m/>
    <m/>
    <m/>
    <m/>
    <m/>
    <m/>
    <m/>
    <m/>
  </r>
  <r>
    <n v="1635"/>
    <x v="5"/>
    <s v="Isabelle Côté"/>
    <x v="14"/>
    <x v="14"/>
    <n v="48.916072999999997"/>
    <n v="-125.131174"/>
    <x v="8"/>
    <n v="6"/>
    <n v="40"/>
    <d v="1899-12-30T10:27:00"/>
    <s v="EGL"/>
    <x v="11"/>
    <x v="3"/>
    <x v="1"/>
    <s v="smi"/>
    <s v="Sebastes miniatus"/>
    <s v="Vermilion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636"/>
    <x v="5"/>
    <s v="Isabelle Côté"/>
    <x v="14"/>
    <x v="14"/>
    <n v="48.916072999999997"/>
    <n v="-125.131174"/>
    <x v="8"/>
    <n v="6"/>
    <n v="40"/>
    <d v="1899-12-30T10:27:00"/>
    <s v="EGL"/>
    <x v="11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37"/>
    <x v="5"/>
    <s v="Isabelle Côté"/>
    <x v="19"/>
    <x v="19"/>
    <n v="48.838594999999998"/>
    <n v="-125.135015"/>
    <x v="8"/>
    <n v="4"/>
    <n v="330"/>
    <d v="1899-12-30T13:20:00"/>
    <s v="EGL"/>
    <x v="12"/>
    <x v="1"/>
    <x v="1"/>
    <s v="sme"/>
    <s v="Sebastes melanops"/>
    <s v="Black rockfish"/>
    <n v="29"/>
    <n v="0"/>
    <m/>
    <m/>
    <m/>
    <n v="2"/>
    <n v="9"/>
    <n v="14"/>
    <n v="4"/>
    <m/>
    <m/>
    <m/>
    <m/>
    <m/>
    <m/>
    <m/>
    <m/>
    <m/>
    <m/>
    <m/>
    <m/>
    <m/>
    <m/>
    <m/>
    <m/>
    <m/>
    <m/>
    <m/>
    <m/>
    <m/>
  </r>
  <r>
    <n v="1638"/>
    <x v="5"/>
    <s v="Isabelle Côté"/>
    <x v="19"/>
    <x v="19"/>
    <n v="48.838594999999998"/>
    <n v="-125.135015"/>
    <x v="8"/>
    <n v="4"/>
    <n v="330"/>
    <d v="1899-12-30T13:20:00"/>
    <s v="EGL"/>
    <x v="12"/>
    <x v="1"/>
    <x v="1"/>
    <s v="sca"/>
    <s v="Sebastes caurinus"/>
    <s v="Copper rockfish"/>
    <n v="7"/>
    <n v="0"/>
    <m/>
    <m/>
    <m/>
    <n v="2"/>
    <n v="4"/>
    <n v="1"/>
    <m/>
    <m/>
    <m/>
    <m/>
    <m/>
    <m/>
    <m/>
    <m/>
    <m/>
    <m/>
    <m/>
    <m/>
    <m/>
    <m/>
    <m/>
    <m/>
    <m/>
    <m/>
    <m/>
    <m/>
    <m/>
    <m/>
  </r>
  <r>
    <n v="1639"/>
    <x v="5"/>
    <s v="Isabelle Côté"/>
    <x v="19"/>
    <x v="19"/>
    <n v="48.838594999999998"/>
    <n v="-125.135015"/>
    <x v="8"/>
    <n v="4"/>
    <n v="330"/>
    <d v="1899-12-30T13:20:00"/>
    <s v="EGL"/>
    <x v="12"/>
    <x v="1"/>
    <x v="1"/>
    <s v="sfl"/>
    <s v="Sebastes flavidus"/>
    <s v="Yellowtail rockfish"/>
    <n v="11"/>
    <n v="0"/>
    <m/>
    <m/>
    <m/>
    <n v="2"/>
    <n v="8"/>
    <n v="1"/>
    <m/>
    <m/>
    <m/>
    <m/>
    <m/>
    <m/>
    <m/>
    <m/>
    <m/>
    <m/>
    <m/>
    <m/>
    <m/>
    <m/>
    <m/>
    <m/>
    <m/>
    <m/>
    <m/>
    <m/>
    <m/>
    <m/>
  </r>
  <r>
    <n v="1640"/>
    <x v="5"/>
    <s v="Isabelle Côté"/>
    <x v="19"/>
    <x v="19"/>
    <n v="48.838594999999998"/>
    <n v="-125.135015"/>
    <x v="8"/>
    <n v="4"/>
    <n v="330"/>
    <d v="1899-12-30T13:20:00"/>
    <s v="EGL"/>
    <x v="12"/>
    <x v="1"/>
    <x v="1"/>
    <s v="rni"/>
    <s v="Rhinogobiops nicholsii"/>
    <s v="Blackeye goby"/>
    <n v="10"/>
    <n v="0"/>
    <m/>
    <n v="3"/>
    <n v="5"/>
    <n v="2"/>
    <m/>
    <m/>
    <m/>
    <m/>
    <m/>
    <m/>
    <m/>
    <m/>
    <m/>
    <m/>
    <m/>
    <m/>
    <m/>
    <m/>
    <m/>
    <m/>
    <m/>
    <m/>
    <m/>
    <m/>
    <m/>
    <m/>
    <m/>
    <m/>
  </r>
  <r>
    <n v="1641"/>
    <x v="5"/>
    <s v="Isabelle Côté"/>
    <x v="19"/>
    <x v="19"/>
    <n v="48.838594999999998"/>
    <n v="-125.135015"/>
    <x v="8"/>
    <n v="4"/>
    <n v="330"/>
    <d v="1899-12-30T13:20:00"/>
    <s v="EGL"/>
    <x v="12"/>
    <x v="1"/>
    <x v="1"/>
    <s v="hde"/>
    <s v="Hexagrammos decagrammus"/>
    <s v="Kelp greenling"/>
    <n v="11"/>
    <n v="0"/>
    <m/>
    <m/>
    <m/>
    <m/>
    <n v="3"/>
    <n v="2"/>
    <n v="3"/>
    <n v="3"/>
    <m/>
    <m/>
    <m/>
    <m/>
    <m/>
    <m/>
    <m/>
    <m/>
    <m/>
    <m/>
    <m/>
    <m/>
    <m/>
    <m/>
    <m/>
    <m/>
    <m/>
    <m/>
    <m/>
    <m/>
  </r>
  <r>
    <n v="1642"/>
    <x v="5"/>
    <s v="Isabelle Côté"/>
    <x v="19"/>
    <x v="19"/>
    <n v="48.838594999999998"/>
    <n v="-125.135015"/>
    <x v="8"/>
    <n v="4"/>
    <n v="330"/>
    <d v="1899-12-30T13:20:00"/>
    <s v="EGL"/>
    <x v="12"/>
    <x v="1"/>
    <x v="1"/>
    <s v="sma"/>
    <s v="Sebastes maliger"/>
    <s v="Quillback rockfish"/>
    <n v="2"/>
    <n v="0"/>
    <m/>
    <m/>
    <m/>
    <m/>
    <n v="1"/>
    <n v="1"/>
    <m/>
    <m/>
    <m/>
    <m/>
    <m/>
    <m/>
    <m/>
    <m/>
    <m/>
    <m/>
    <m/>
    <m/>
    <m/>
    <m/>
    <m/>
    <m/>
    <m/>
    <m/>
    <m/>
    <m/>
    <m/>
    <m/>
  </r>
  <r>
    <n v="1643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rni"/>
    <s v="Rhinogobiops nicholsii"/>
    <s v="Blackeye goby"/>
    <n v="67"/>
    <n v="0"/>
    <n v="9"/>
    <n v="18"/>
    <n v="25"/>
    <n v="13"/>
    <n v="2"/>
    <m/>
    <m/>
    <m/>
    <m/>
    <m/>
    <m/>
    <m/>
    <m/>
    <m/>
    <m/>
    <m/>
    <m/>
    <m/>
    <m/>
    <m/>
    <m/>
    <m/>
    <m/>
    <m/>
    <m/>
    <m/>
    <m/>
    <m/>
  </r>
  <r>
    <n v="1644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pmi"/>
    <s v="Patiria miniata"/>
    <s v="Bat star"/>
    <n v="31"/>
    <n v="3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45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mfra"/>
    <s v="Mesocentrotus franciscanus"/>
    <s v="Red sea urchin"/>
    <n v="91"/>
    <n v="9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46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hka"/>
    <s v="Haliotis kamtschatkana"/>
    <s v="Pinto abalone"/>
    <n v="23"/>
    <n v="0"/>
    <n v="4"/>
    <n v="7"/>
    <n v="10"/>
    <n v="2"/>
    <m/>
    <m/>
    <m/>
    <m/>
    <m/>
    <m/>
    <m/>
    <m/>
    <m/>
    <m/>
    <m/>
    <m/>
    <m/>
    <m/>
    <m/>
    <m/>
    <m/>
    <m/>
    <m/>
    <m/>
    <m/>
    <m/>
    <m/>
    <m/>
  </r>
  <r>
    <n v="1647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aca"/>
    <s v="Apostichopus californicus"/>
    <s v="California sea cucumber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48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cgi"/>
    <s v="Crassadoma gigantea"/>
    <s v="Purple-hinged rock scallop"/>
    <n v="10"/>
    <n v="0"/>
    <m/>
    <n v="3"/>
    <n v="1"/>
    <n v="1"/>
    <n v="3"/>
    <n v="2"/>
    <m/>
    <m/>
    <m/>
    <m/>
    <m/>
    <m/>
    <m/>
    <m/>
    <m/>
    <m/>
    <m/>
    <m/>
    <m/>
    <m/>
    <m/>
    <m/>
    <m/>
    <m/>
    <m/>
    <m/>
    <m/>
    <m/>
  </r>
  <r>
    <n v="1649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dim"/>
    <s v="Dermasterias imbricata"/>
    <s v="Leather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0"/>
    <x v="5"/>
    <s v="Isabelle Côté"/>
    <x v="19"/>
    <x v="19"/>
    <n v="48.838594999999998"/>
    <n v="-125.135015"/>
    <x v="8"/>
    <n v="4"/>
    <n v="330"/>
    <d v="1899-12-30T13:20:00"/>
    <s v="EGL"/>
    <x v="12"/>
    <x v="3"/>
    <x v="1"/>
    <s v="sne"/>
    <s v="Sebastes nebulosus"/>
    <s v="China rockfish"/>
    <n v="2"/>
    <n v="0"/>
    <m/>
    <m/>
    <m/>
    <n v="1"/>
    <n v="1"/>
    <m/>
    <m/>
    <m/>
    <m/>
    <m/>
    <m/>
    <m/>
    <m/>
    <m/>
    <m/>
    <m/>
    <m/>
    <m/>
    <m/>
    <m/>
    <m/>
    <m/>
    <m/>
    <m/>
    <m/>
    <m/>
    <m/>
    <m/>
  </r>
  <r>
    <n v="1651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cfo"/>
    <s v="Ceratostoma foliatum"/>
    <s v="Leafy hornmouth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2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3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das"/>
    <s v="Diodora aspera"/>
    <s v="Keyhole limpet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4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5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ami"/>
    <s v="Acmaea mitra"/>
    <s v="Whitecap limpet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6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pgi"/>
    <s v="Pomaulax gibberosus"/>
    <s v="Red turban shell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7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8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tca"/>
    <s v="Triopha catalinae"/>
    <s v="Sea-clown trioph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9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hhe"/>
    <s v="Hemilepidotus hemilepidotus"/>
    <s v="Red Irish lord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660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phem"/>
    <s v="Pagurus hemphilli"/>
    <s v="Maroon hermi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61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henricia"/>
    <s v="Henri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62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pla"/>
    <s v="Pholis laeta"/>
    <s v="Crescent gunnel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663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64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opi"/>
    <s v="Oxylebius pictus"/>
    <s v="Painted greenling"/>
    <n v="3"/>
    <n v="0"/>
    <m/>
    <m/>
    <m/>
    <n v="1"/>
    <n v="2"/>
    <m/>
    <m/>
    <m/>
    <m/>
    <m/>
    <m/>
    <m/>
    <m/>
    <m/>
    <m/>
    <m/>
    <m/>
    <m/>
    <m/>
    <m/>
    <m/>
    <m/>
    <m/>
    <m/>
    <m/>
    <m/>
    <m/>
    <m/>
  </r>
  <r>
    <n v="1665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dodo"/>
    <s v="Diaulula odonoghuei"/>
    <s v="Spotted dorid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66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67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jzo"/>
    <s v="Jordania zonope"/>
    <s v="Longfin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668"/>
    <x v="5"/>
    <s v="Isabelle Côté"/>
    <x v="19"/>
    <x v="19"/>
    <n v="48.838594999999998"/>
    <n v="-125.135015"/>
    <x v="8"/>
    <n v="4"/>
    <n v="330"/>
    <d v="1899-12-30T13:20:00"/>
    <s v="EGL"/>
    <x v="12"/>
    <x v="2"/>
    <x v="1"/>
    <s v="dez"/>
    <s v="Debris - Zero"/>
    <s v="No Debris found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69"/>
    <x v="5"/>
    <s v="Isabelle Côté"/>
    <x v="19"/>
    <x v="19"/>
    <n v="48.838594999999998"/>
    <n v="-125.135015"/>
    <x v="8"/>
    <n v="4"/>
    <n v="330"/>
    <d v="1899-12-30T13:20:00"/>
    <s v="EGL"/>
    <x v="12"/>
    <x v="3"/>
    <x v="3"/>
    <s v="ppa"/>
    <s v="Phyllolithodes papillosus"/>
    <s v="Hear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70"/>
    <x v="5"/>
    <s v="Isabelle Côté"/>
    <x v="20"/>
    <x v="20"/>
    <n v="48.901183000000003"/>
    <n v="-125.060433"/>
    <x v="9"/>
    <n v="3"/>
    <n v="340"/>
    <d v="1899-12-30T13:24:00"/>
    <s v="EGL"/>
    <x v="10"/>
    <x v="1"/>
    <x v="1"/>
    <s v="hde"/>
    <s v="Hexagrammos decagrammus"/>
    <s v="Kelp greenling"/>
    <n v="9"/>
    <n v="0"/>
    <m/>
    <m/>
    <m/>
    <m/>
    <n v="1"/>
    <n v="2"/>
    <n v="4"/>
    <n v="1"/>
    <n v="1"/>
    <m/>
    <m/>
    <m/>
    <m/>
    <m/>
    <m/>
    <m/>
    <m/>
    <m/>
    <m/>
    <m/>
    <m/>
    <m/>
    <m/>
    <m/>
    <m/>
    <m/>
    <m/>
    <m/>
  </r>
  <r>
    <n v="1671"/>
    <x v="5"/>
    <s v="Isabelle Côté"/>
    <x v="20"/>
    <x v="20"/>
    <n v="48.901183000000003"/>
    <n v="-125.060433"/>
    <x v="9"/>
    <n v="3"/>
    <n v="340"/>
    <d v="1899-12-30T13:24:00"/>
    <s v="EGL"/>
    <x v="10"/>
    <x v="1"/>
    <x v="1"/>
    <s v="oel"/>
    <s v="Ophiodon elongatus"/>
    <s v="Lingcod"/>
    <n v="1"/>
    <n v="0"/>
    <m/>
    <m/>
    <m/>
    <m/>
    <m/>
    <m/>
    <m/>
    <m/>
    <m/>
    <m/>
    <m/>
    <m/>
    <n v="1"/>
    <m/>
    <m/>
    <m/>
    <m/>
    <m/>
    <m/>
    <m/>
    <m/>
    <m/>
    <m/>
    <m/>
    <m/>
    <m/>
    <m/>
    <m/>
  </r>
  <r>
    <n v="1672"/>
    <x v="5"/>
    <s v="Isabelle Côté"/>
    <x v="20"/>
    <x v="20"/>
    <n v="48.901183000000003"/>
    <n v="-125.060433"/>
    <x v="9"/>
    <n v="3"/>
    <n v="340"/>
    <d v="1899-12-30T13:24:00"/>
    <s v="EGL"/>
    <x v="10"/>
    <x v="1"/>
    <x v="1"/>
    <s v="rni"/>
    <s v="Rhinogobiops nicholsii"/>
    <s v="Blackeye goby"/>
    <n v="6"/>
    <n v="0"/>
    <m/>
    <n v="1"/>
    <n v="5"/>
    <m/>
    <m/>
    <m/>
    <m/>
    <m/>
    <m/>
    <m/>
    <m/>
    <m/>
    <m/>
    <m/>
    <m/>
    <m/>
    <m/>
    <m/>
    <m/>
    <m/>
    <m/>
    <m/>
    <m/>
    <m/>
    <m/>
    <m/>
    <m/>
    <m/>
  </r>
  <r>
    <n v="1673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phe"/>
    <s v="Pycnopodia helianthoides"/>
    <s v="Sunflower star"/>
    <n v="2"/>
    <n v="0"/>
    <n v="1"/>
    <m/>
    <m/>
    <n v="1"/>
    <m/>
    <m/>
    <m/>
    <m/>
    <m/>
    <m/>
    <m/>
    <m/>
    <m/>
    <m/>
    <m/>
    <m/>
    <m/>
    <m/>
    <m/>
    <m/>
    <m/>
    <m/>
    <m/>
    <m/>
    <m/>
    <m/>
    <m/>
    <m/>
  </r>
  <r>
    <n v="1674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mfra"/>
    <s v="Mesocentrotus franciscanus"/>
    <s v="Red sea urchin"/>
    <n v="45"/>
    <n v="4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75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aca"/>
    <s v="Apostichopus californicus"/>
    <s v="California sea cucumber"/>
    <n v="33"/>
    <n v="3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76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sdr"/>
    <s v="Strongylocentrotus droebachiensis"/>
    <s v="Northern sea urchin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77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dim"/>
    <s v="Dermasterias imbricata"/>
    <s v="Leather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78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mopalia"/>
    <s v="Mopalia spp."/>
    <s v="Unidentified chito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79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rni"/>
    <s v="Rhinogobiops nicholsii"/>
    <s v="Blackeye goby"/>
    <n v="29"/>
    <n v="0"/>
    <n v="2"/>
    <n v="14"/>
    <n v="11"/>
    <n v="2"/>
    <m/>
    <m/>
    <m/>
    <m/>
    <m/>
    <m/>
    <m/>
    <m/>
    <m/>
    <m/>
    <m/>
    <m/>
    <m/>
    <m/>
    <m/>
    <m/>
    <m/>
    <m/>
    <m/>
    <m/>
    <m/>
    <m/>
    <m/>
    <m/>
  </r>
  <r>
    <n v="1680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pgi"/>
    <s v="Pomaulax gibberosus"/>
    <s v="Red turban shell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1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phem"/>
    <s v="Pagurus hemphilli"/>
    <s v="Maroon hermit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2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cgi"/>
    <s v="Crassadoma gigantea"/>
    <s v="Purple-hinged rock scallop"/>
    <n v="8"/>
    <n v="0"/>
    <m/>
    <m/>
    <n v="3"/>
    <n v="2"/>
    <n v="2"/>
    <n v="1"/>
    <m/>
    <m/>
    <m/>
    <m/>
    <m/>
    <m/>
    <m/>
    <m/>
    <m/>
    <m/>
    <m/>
    <m/>
    <m/>
    <m/>
    <m/>
    <m/>
    <m/>
    <m/>
    <m/>
    <m/>
    <m/>
    <m/>
  </r>
  <r>
    <n v="1683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684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oko"/>
    <s v="Orthasterias koehleri"/>
    <s v="Rainbow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5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6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dir"/>
    <s v="Dendronotus iris"/>
    <s v="Giant frond-aeolis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7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pbe"/>
    <s v="Pagurus beringanus"/>
    <s v="Bering hermit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8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henricia"/>
    <s v="Henricia spp."/>
    <s v="Unidentified blood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9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0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cfo"/>
    <s v="Ceratostoma foliatum"/>
    <s v="Leafy hornmout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1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pte"/>
    <s v="Pteraster tesselatus"/>
    <s v="Slime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2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3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hka"/>
    <s v="Haliotis kamtschatkana"/>
    <s v="Pinto abalone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694"/>
    <x v="5"/>
    <s v="Isabelle Côté"/>
    <x v="20"/>
    <x v="20"/>
    <n v="48.901183000000003"/>
    <n v="-125.060433"/>
    <x v="9"/>
    <n v="3"/>
    <n v="340"/>
    <d v="1899-12-30T13:24:00"/>
    <s v="EGL"/>
    <x v="10"/>
    <x v="2"/>
    <x v="1"/>
    <s v="pbr"/>
    <s v="Pisaster brevispinus"/>
    <s v="Giant pink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5"/>
    <x v="5"/>
    <s v="Isabelle Côté"/>
    <x v="20"/>
    <x v="20"/>
    <n v="48.901183000000003"/>
    <n v="-125.060433"/>
    <x v="9"/>
    <n v="3"/>
    <n v="340"/>
    <d v="1899-12-30T13:24:00"/>
    <s v="EGL"/>
    <x v="10"/>
    <x v="3"/>
    <x v="3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6"/>
    <x v="5"/>
    <s v="Isabelle Côté"/>
    <x v="20"/>
    <x v="20"/>
    <n v="48.901183000000003"/>
    <n v="-125.060433"/>
    <x v="9"/>
    <n v="3"/>
    <n v="340"/>
    <d v="1899-12-30T13:24:00"/>
    <s v="EGL"/>
    <x v="10"/>
    <x v="3"/>
    <x v="3"/>
    <s v="mae"/>
    <s v="Mediaster aequalis"/>
    <s v="Vermillion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7"/>
    <x v="5"/>
    <s v="Isabelle Côté"/>
    <x v="20"/>
    <x v="20"/>
    <n v="48.901183000000003"/>
    <n v="-125.060433"/>
    <x v="9"/>
    <n v="3"/>
    <n v="340"/>
    <d v="1899-12-30T13:24:00"/>
    <s v="EGL"/>
    <x v="10"/>
    <x v="3"/>
    <x v="3"/>
    <s v="phe"/>
    <s v="Pycnopodia helianthoides"/>
    <s v="Sunflower star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698"/>
    <x v="5"/>
    <s v="Isabelle Côté"/>
    <x v="20"/>
    <x v="20"/>
    <n v="48.901183000000003"/>
    <n v="-125.060433"/>
    <x v="9"/>
    <n v="3"/>
    <n v="340"/>
    <d v="1899-12-30T13:24:00"/>
    <s v="EGL"/>
    <x v="10"/>
    <x v="3"/>
    <x v="3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60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6" indent="0" compact="0" compactData="0" gridDropZones="1">
  <location ref="A3:AO156" firstHeaderRow="1" firstDataRow="4" firstDataCol="2"/>
  <pivotFields count="18"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 defaultSubtotal="0">
      <items count="22"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 defaultSubtotal="0">
      <items count="16">
        <item m="1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15">
        <item x="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t="default"/>
      </items>
    </pivotField>
    <pivotField axis="axisRow" compact="0" outline="0" subtotalTop="0" showAll="0" includeNewItemsInFilter="1" defaultSubtotal="0">
      <items count="5">
        <item x="1"/>
        <item x="2"/>
        <item x="4"/>
        <item x="0"/>
        <item x="3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150">
        <item m="1" x="141"/>
        <item m="1" x="118"/>
        <item m="1" x="117"/>
        <item m="1" x="125"/>
        <item m="1" x="143"/>
        <item m="1" x="124"/>
        <item m="1" x="135"/>
        <item m="1" x="132"/>
        <item m="1" x="137"/>
        <item m="1" x="119"/>
        <item m="1" x="123"/>
        <item m="1" x="138"/>
        <item m="1" x="146"/>
        <item m="1" x="122"/>
        <item m="1" x="147"/>
        <item m="1" x="134"/>
        <item m="1" x="136"/>
        <item m="1" x="133"/>
        <item m="1" x="127"/>
        <item m="1" x="130"/>
        <item m="1" x="129"/>
        <item m="1" x="144"/>
        <item m="1" x="115"/>
        <item m="1" x="121"/>
        <item m="1" x="116"/>
        <item m="1" x="120"/>
        <item m="1" x="140"/>
        <item m="1" x="139"/>
        <item m="1" x="128"/>
        <item m="1" x="142"/>
        <item m="1" x="131"/>
        <item m="1" x="126"/>
        <item m="1" x="145"/>
        <item m="1" x="148"/>
        <item m="1" x="114"/>
        <item x="1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compact="0" outline="0" subtotalTop="0" showAll="0" includeNewItemsInFilter="1"/>
    <pivotField dataField="1" compact="0" outline="0" subtotalTop="0" showAll="0" includeNewItemsInFilter="1"/>
  </pivotFields>
  <rowFields count="2">
    <field x="12"/>
    <field x="15"/>
  </rowFields>
  <rowItems count="150">
    <i>
      <x/>
      <x v="37"/>
    </i>
    <i r="1">
      <x v="38"/>
    </i>
    <i r="1">
      <x v="39"/>
    </i>
    <i r="1">
      <x v="40"/>
    </i>
    <i r="1">
      <x v="57"/>
    </i>
    <i r="1">
      <x v="63"/>
    </i>
    <i r="1">
      <x v="64"/>
    </i>
    <i r="1">
      <x v="72"/>
    </i>
    <i r="1">
      <x v="73"/>
    </i>
    <i r="1">
      <x v="85"/>
    </i>
    <i r="1">
      <x v="88"/>
    </i>
    <i r="1">
      <x v="92"/>
    </i>
    <i r="1">
      <x v="93"/>
    </i>
    <i r="1">
      <x v="97"/>
    </i>
    <i r="1">
      <x v="105"/>
    </i>
    <i r="1">
      <x v="106"/>
    </i>
    <i r="1">
      <x v="108"/>
    </i>
    <i r="1">
      <x v="113"/>
    </i>
    <i r="1">
      <x v="139"/>
    </i>
    <i r="1">
      <x v="145"/>
    </i>
    <i r="1">
      <x v="146"/>
    </i>
    <i>
      <x v="1"/>
      <x v="37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4"/>
    </i>
    <i r="1">
      <x v="95"/>
    </i>
    <i r="1">
      <x v="96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7"/>
    </i>
    <i r="1">
      <x v="109"/>
    </i>
    <i r="1">
      <x v="110"/>
    </i>
    <i r="1">
      <x v="111"/>
    </i>
    <i r="1">
      <x v="112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40"/>
    </i>
    <i r="1">
      <x v="141"/>
    </i>
    <i r="1">
      <x v="142"/>
    </i>
    <i r="1">
      <x v="143"/>
    </i>
    <i r="1">
      <x v="144"/>
    </i>
    <i r="1">
      <x v="147"/>
    </i>
    <i r="1">
      <x v="148"/>
    </i>
    <i>
      <x v="2"/>
      <x v="35"/>
    </i>
    <i>
      <x v="3"/>
      <x v="36"/>
    </i>
    <i>
      <x v="4"/>
      <x v="38"/>
    </i>
    <i r="1">
      <x v="39"/>
    </i>
    <i r="1">
      <x v="40"/>
    </i>
    <i r="1">
      <x v="44"/>
    </i>
    <i r="1">
      <x v="49"/>
    </i>
    <i r="1">
      <x v="52"/>
    </i>
    <i r="1">
      <x v="57"/>
    </i>
    <i r="1">
      <x v="64"/>
    </i>
    <i r="1">
      <x v="67"/>
    </i>
    <i r="1">
      <x v="70"/>
    </i>
    <i r="1">
      <x v="72"/>
    </i>
    <i r="1">
      <x v="73"/>
    </i>
    <i r="1">
      <x v="78"/>
    </i>
    <i r="1">
      <x v="84"/>
    </i>
    <i r="1">
      <x v="85"/>
    </i>
    <i r="1">
      <x v="88"/>
    </i>
    <i r="1">
      <x v="91"/>
    </i>
    <i r="1">
      <x v="92"/>
    </i>
    <i r="1">
      <x v="93"/>
    </i>
    <i r="1">
      <x v="95"/>
    </i>
    <i r="1">
      <x v="99"/>
    </i>
    <i r="1">
      <x v="102"/>
    </i>
    <i r="1">
      <x v="105"/>
    </i>
    <i r="1">
      <x v="112"/>
    </i>
    <i r="1">
      <x v="119"/>
    </i>
    <i r="1">
      <x v="120"/>
    </i>
    <i r="1">
      <x v="121"/>
    </i>
    <i r="1">
      <x v="126"/>
    </i>
    <i r="1">
      <x v="129"/>
    </i>
    <i r="1">
      <x v="134"/>
    </i>
    <i r="1">
      <x v="139"/>
    </i>
    <i r="1">
      <x v="146"/>
    </i>
    <i t="grand">
      <x/>
    </i>
  </rowItems>
  <colFields count="3">
    <field x="6"/>
    <field x="2"/>
    <field x="11"/>
  </colFields>
  <colItems count="39">
    <i>
      <x v="1"/>
      <x v="1"/>
      <x v="1"/>
    </i>
    <i>
      <x v="2"/>
      <x v="2"/>
      <x v="2"/>
    </i>
    <i r="1">
      <x v="3"/>
      <x v="3"/>
    </i>
    <i>
      <x v="3"/>
      <x v="4"/>
      <x v="4"/>
    </i>
    <i r="1">
      <x v="5"/>
      <x v="5"/>
    </i>
    <i>
      <x v="4"/>
      <x v="6"/>
      <x v="6"/>
    </i>
    <i r="1">
      <x v="7"/>
      <x v="6"/>
    </i>
    <i>
      <x v="5"/>
      <x v="8"/>
      <x v="3"/>
    </i>
    <i r="1">
      <x v="9"/>
      <x v="5"/>
    </i>
    <i>
      <x v="6"/>
      <x v="10"/>
      <x v="7"/>
    </i>
    <i r="1">
      <x v="11"/>
      <x v="8"/>
    </i>
    <i>
      <x v="7"/>
      <x v="12"/>
      <x/>
    </i>
    <i r="1">
      <x v="17"/>
      <x/>
    </i>
    <i r="2">
      <x v="2"/>
    </i>
    <i>
      <x v="8"/>
      <x v="13"/>
      <x v="2"/>
    </i>
    <i r="2">
      <x v="9"/>
    </i>
    <i r="1">
      <x v="14"/>
      <x v="8"/>
    </i>
    <i r="2">
      <x v="10"/>
    </i>
    <i>
      <x v="9"/>
      <x v="15"/>
      <x v="8"/>
    </i>
    <i r="2">
      <x v="11"/>
    </i>
    <i r="1">
      <x v="20"/>
      <x v="2"/>
    </i>
    <i r="2">
      <x v="12"/>
    </i>
    <i>
      <x v="10"/>
      <x v="16"/>
      <x v="9"/>
    </i>
    <i r="2">
      <x v="13"/>
    </i>
    <i r="1">
      <x v="21"/>
      <x v="5"/>
    </i>
    <i r="2">
      <x v="10"/>
    </i>
    <i>
      <x v="11"/>
      <x v="18"/>
      <x v="2"/>
    </i>
    <i r="2">
      <x v="8"/>
    </i>
    <i r="1">
      <x v="19"/>
      <x v="6"/>
    </i>
    <i r="2">
      <x v="10"/>
    </i>
    <i>
      <x v="12"/>
      <x v="17"/>
      <x/>
    </i>
    <i>
      <x v="13"/>
      <x v="15"/>
      <x v="8"/>
    </i>
    <i r="1">
      <x v="18"/>
      <x v="2"/>
    </i>
    <i r="1">
      <x v="19"/>
      <x v="6"/>
    </i>
    <i>
      <x v="14"/>
      <x v="15"/>
      <x v="8"/>
    </i>
    <i r="1">
      <x v="20"/>
      <x v="2"/>
    </i>
    <i>
      <x v="15"/>
      <x v="16"/>
      <x v="13"/>
    </i>
    <i r="1">
      <x v="21"/>
      <x v="5"/>
    </i>
    <i t="grand">
      <x/>
    </i>
  </colItems>
  <dataFields count="1">
    <dataField name="Sum of Total" fld="17" baseField="15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E3069-B3D8-D745-BE17-4811F7159A72}" name="PivotTable2" cacheId="161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6" indent="0" compact="0" compactData="0" gridDropZones="1">
  <location ref="A3:M179" firstHeaderRow="1" firstDataRow="2" firstDataCol="6"/>
  <pivotFields count="48">
    <pivotField compact="0" outline="0" subtotalTop="0" showAll="0" includeNewItemsInFilter="1"/>
    <pivotField axis="axisCol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outline="0" subtotalTop="0" showAll="0" includeNewItemsInFilter="1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22"/>
        <item x="20"/>
        <item m="1" x="21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includeNewItemsInFilter="1" defaultSubtotal="0">
      <items count="4">
        <item x="1"/>
        <item x="2"/>
        <item x="0"/>
        <item x="3"/>
      </items>
    </pivotField>
    <pivotField axis="axisRow" compact="0" outline="0" subtotalTop="0" showAll="0" includeNewItemsInFilter="1" defaultSubtotal="0">
      <items count="4">
        <item x="0"/>
        <item x="1"/>
        <item x="2"/>
        <item x="3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6">
    <field x="3"/>
    <field x="4"/>
    <field x="7"/>
    <field x="12"/>
    <field x="13"/>
    <field x="14"/>
  </rowFields>
  <rowItems count="175">
    <i>
      <x/>
      <x/>
      <x/>
      <x/>
      <x v="2"/>
      <x/>
    </i>
    <i>
      <x v="1"/>
      <x v="1"/>
      <x v="1"/>
      <x v="1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>
      <x v="2"/>
      <x v="2"/>
      <x v="1"/>
      <x v="2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5">
      <x v="3"/>
    </i>
    <i>
      <x v="3"/>
      <x v="3"/>
      <x v="2"/>
      <x v="3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5">
      <x v="3"/>
    </i>
    <i>
      <x v="4"/>
      <x v="4"/>
      <x v="2"/>
      <x v="4"/>
      <x/>
      <x v="1"/>
    </i>
    <i r="5">
      <x v="2"/>
    </i>
    <i r="4">
      <x v="1"/>
      <x v="1"/>
    </i>
    <i r="5">
      <x v="2"/>
    </i>
    <i r="4">
      <x v="3"/>
      <x v="1"/>
    </i>
    <i r="5">
      <x v="3"/>
    </i>
    <i>
      <x v="5"/>
      <x v="5"/>
      <x v="3"/>
      <x v="5"/>
      <x/>
      <x v="1"/>
    </i>
    <i r="5">
      <x v="2"/>
    </i>
    <i r="4">
      <x v="1"/>
      <x v="1"/>
    </i>
    <i r="5">
      <x v="2"/>
    </i>
    <i r="4">
      <x v="3"/>
      <x v="3"/>
    </i>
    <i>
      <x v="6"/>
      <x v="6"/>
      <x v="3"/>
      <x v="5"/>
      <x/>
      <x v="1"/>
    </i>
    <i r="5">
      <x v="2"/>
    </i>
    <i r="4">
      <x v="1"/>
      <x v="1"/>
    </i>
    <i r="5">
      <x v="2"/>
    </i>
    <i r="4">
      <x v="3"/>
      <x v="1"/>
    </i>
    <i r="5">
      <x v="3"/>
    </i>
    <i>
      <x v="7"/>
      <x v="7"/>
      <x v="4"/>
      <x v="2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5">
      <x v="3"/>
    </i>
    <i>
      <x v="8"/>
      <x v="8"/>
      <x v="4"/>
      <x v="4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5">
      <x v="3"/>
    </i>
    <i>
      <x v="9"/>
      <x v="9"/>
      <x v="5"/>
      <x v="6"/>
      <x/>
      <x v="1"/>
    </i>
    <i r="5">
      <x v="2"/>
    </i>
    <i r="4">
      <x v="1"/>
      <x v="1"/>
    </i>
    <i r="5">
      <x v="2"/>
    </i>
    <i r="4">
      <x v="3"/>
      <x v="2"/>
    </i>
    <i r="5">
      <x v="3"/>
    </i>
    <i>
      <x v="10"/>
      <x v="10"/>
      <x v="5"/>
      <x v="7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5">
      <x v="3"/>
    </i>
    <i>
      <x v="11"/>
      <x v="11"/>
      <x v="6"/>
      <x v="1"/>
      <x/>
      <x v="1"/>
    </i>
    <i r="5">
      <x v="2"/>
    </i>
    <i r="4">
      <x v="1"/>
      <x v="1"/>
    </i>
    <i r="5">
      <x v="2"/>
    </i>
    <i r="4">
      <x v="3"/>
      <x v="1"/>
    </i>
    <i r="5">
      <x v="3"/>
    </i>
    <i r="3">
      <x v="8"/>
      <x/>
      <x v="1"/>
    </i>
    <i r="5">
      <x v="2"/>
    </i>
    <i r="4">
      <x v="1"/>
      <x v="1"/>
    </i>
    <i r="5">
      <x v="2"/>
    </i>
    <i>
      <x v="12"/>
      <x v="12"/>
      <x v="7"/>
      <x v="1"/>
      <x/>
      <x v="1"/>
    </i>
    <i r="5">
      <x v="2"/>
    </i>
    <i r="4">
      <x v="1"/>
      <x v="1"/>
    </i>
    <i r="5">
      <x v="2"/>
    </i>
    <i r="4">
      <x v="3"/>
      <x v="2"/>
    </i>
    <i r="3">
      <x v="9"/>
      <x/>
      <x v="1"/>
    </i>
    <i r="5">
      <x v="2"/>
    </i>
    <i r="4">
      <x v="1"/>
      <x v="1"/>
    </i>
    <i r="5">
      <x v="2"/>
    </i>
    <i r="4">
      <x v="3"/>
      <x v="2"/>
    </i>
    <i r="5">
      <x v="3"/>
    </i>
    <i>
      <x v="13"/>
      <x v="13"/>
      <x v="7"/>
      <x v="7"/>
      <x/>
      <x v="1"/>
    </i>
    <i r="5">
      <x v="2"/>
    </i>
    <i r="4">
      <x v="1"/>
      <x v="1"/>
    </i>
    <i r="5">
      <x v="2"/>
    </i>
    <i r="3">
      <x v="10"/>
      <x/>
      <x v="1"/>
    </i>
    <i r="5">
      <x v="2"/>
    </i>
    <i r="4">
      <x v="1"/>
      <x v="1"/>
    </i>
    <i r="5">
      <x v="2"/>
    </i>
    <i r="4">
      <x v="3"/>
      <x v="2"/>
    </i>
    <i r="5">
      <x v="3"/>
    </i>
    <i>
      <x v="14"/>
      <x v="14"/>
      <x v="8"/>
      <x v="7"/>
      <x/>
      <x v="1"/>
    </i>
    <i r="5">
      <x v="2"/>
    </i>
    <i r="4">
      <x v="1"/>
      <x v="1"/>
    </i>
    <i r="5">
      <x v="2"/>
    </i>
    <i r="4">
      <x v="3"/>
      <x v="1"/>
    </i>
    <i r="3">
      <x v="11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>
      <x v="15"/>
      <x v="15"/>
      <x v="9"/>
      <x v="9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3">
      <x v="13"/>
      <x/>
      <x v="1"/>
    </i>
    <i r="5">
      <x v="2"/>
    </i>
    <i r="4">
      <x v="1"/>
      <x v="1"/>
    </i>
    <i r="5">
      <x v="2"/>
    </i>
    <i r="4">
      <x v="3"/>
      <x v="2"/>
    </i>
    <i>
      <x v="16"/>
      <x v="16"/>
      <x v="6"/>
      <x v="1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3">
      <x v="8"/>
      <x/>
      <x v="1"/>
    </i>
    <i r="5">
      <x v="2"/>
    </i>
    <i r="4">
      <x v="1"/>
      <x v="1"/>
    </i>
    <i r="5">
      <x v="2"/>
    </i>
    <i r="4">
      <x v="3"/>
      <x v="2"/>
    </i>
    <i>
      <x v="17"/>
      <x v="17"/>
      <x v="10"/>
      <x v="1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3">
      <x v="7"/>
      <x/>
      <x v="1"/>
    </i>
    <i r="5">
      <x v="2"/>
    </i>
    <i r="4">
      <x v="1"/>
      <x v="1"/>
    </i>
    <i r="5">
      <x v="2"/>
    </i>
    <i r="4">
      <x v="3"/>
      <x v="2"/>
    </i>
    <i r="5">
      <x v="3"/>
    </i>
    <i>
      <x v="18"/>
      <x v="18"/>
      <x v="10"/>
      <x v="5"/>
      <x/>
      <x v="1"/>
    </i>
    <i r="5">
      <x v="2"/>
    </i>
    <i r="4">
      <x v="1"/>
      <x v="1"/>
    </i>
    <i r="5">
      <x v="2"/>
    </i>
    <i r="4">
      <x v="3"/>
      <x v="2"/>
    </i>
    <i r="3">
      <x v="10"/>
      <x/>
      <x v="1"/>
    </i>
    <i r="5">
      <x v="2"/>
    </i>
    <i r="4">
      <x v="1"/>
      <x v="1"/>
    </i>
    <i r="5">
      <x v="2"/>
    </i>
    <i r="4">
      <x v="3"/>
      <x v="2"/>
    </i>
    <i>
      <x v="19"/>
      <x v="19"/>
      <x v="8"/>
      <x v="1"/>
      <x/>
      <x v="1"/>
    </i>
    <i r="5">
      <x v="2"/>
    </i>
    <i r="4">
      <x v="1"/>
      <x v="1"/>
    </i>
    <i r="5">
      <x v="2"/>
    </i>
    <i r="4">
      <x v="3"/>
      <x v="2"/>
    </i>
    <i r="3">
      <x v="12"/>
      <x/>
      <x v="1"/>
    </i>
    <i r="5">
      <x v="2"/>
    </i>
    <i r="4">
      <x v="1"/>
      <x v="1"/>
    </i>
    <i r="5">
      <x v="2"/>
    </i>
    <i r="4">
      <x v="3"/>
      <x v="1"/>
    </i>
    <i r="5">
      <x v="2"/>
    </i>
    <i r="5">
      <x v="3"/>
    </i>
    <i>
      <x v="20"/>
      <x v="21"/>
      <x v="9"/>
      <x v="4"/>
      <x/>
      <x v="1"/>
    </i>
    <i r="5">
      <x v="2"/>
    </i>
    <i r="4">
      <x v="1"/>
      <x v="1"/>
    </i>
    <i r="5">
      <x v="2"/>
    </i>
    <i r="4">
      <x v="3"/>
      <x v="2"/>
    </i>
    <i r="3">
      <x v="10"/>
      <x/>
      <x v="1"/>
    </i>
    <i r="5">
      <x v="2"/>
    </i>
    <i r="4">
      <x v="1"/>
      <x v="1"/>
    </i>
    <i r="5">
      <x v="2"/>
    </i>
    <i r="4">
      <x v="3"/>
      <x v="2"/>
    </i>
    <i r="5"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pecies" fld="16" subtotal="count" baseField="14" baseItem="1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O156"/>
  <sheetViews>
    <sheetView workbookViewId="0">
      <selection activeCell="H5" sqref="H5"/>
    </sheetView>
  </sheetViews>
  <sheetFormatPr baseColWidth="10" defaultColWidth="8.83203125" defaultRowHeight="13"/>
  <cols>
    <col min="1" max="1" width="25.1640625" bestFit="1" customWidth="1"/>
    <col min="2" max="2" width="28.33203125" bestFit="1" customWidth="1"/>
    <col min="3" max="40" width="12" bestFit="1" customWidth="1"/>
    <col min="41" max="41" width="10.33203125" bestFit="1" customWidth="1"/>
  </cols>
  <sheetData>
    <row r="3" spans="1:41">
      <c r="A3" s="32" t="s">
        <v>0</v>
      </c>
      <c r="B3" s="33"/>
      <c r="C3" s="32" t="s">
        <v>1</v>
      </c>
      <c r="D3" s="45" t="s">
        <v>2</v>
      </c>
      <c r="E3" s="45" t="s">
        <v>3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4"/>
    </row>
    <row r="4" spans="1:41">
      <c r="A4" s="38"/>
      <c r="B4" s="15"/>
      <c r="C4" s="35" t="s">
        <v>4</v>
      </c>
      <c r="D4" s="35" t="s">
        <v>5</v>
      </c>
      <c r="E4" s="33"/>
      <c r="F4" s="35" t="s">
        <v>6</v>
      </c>
      <c r="G4" s="33"/>
      <c r="H4" s="35" t="s">
        <v>7</v>
      </c>
      <c r="I4" s="33"/>
      <c r="J4" s="35" t="s">
        <v>8</v>
      </c>
      <c r="K4" s="33"/>
      <c r="L4" s="35" t="s">
        <v>9</v>
      </c>
      <c r="M4" s="33"/>
      <c r="N4" s="35" t="s">
        <v>10</v>
      </c>
      <c r="O4" s="33"/>
      <c r="P4" s="33"/>
      <c r="Q4" s="35" t="s">
        <v>11</v>
      </c>
      <c r="R4" s="33"/>
      <c r="S4" s="33"/>
      <c r="T4" s="33"/>
      <c r="U4" s="35" t="s">
        <v>12</v>
      </c>
      <c r="V4" s="33"/>
      <c r="W4" s="33"/>
      <c r="X4" s="33"/>
      <c r="Y4" s="35" t="s">
        <v>13</v>
      </c>
      <c r="Z4" s="33"/>
      <c r="AA4" s="33"/>
      <c r="AB4" s="33"/>
      <c r="AC4" s="35" t="s">
        <v>14</v>
      </c>
      <c r="AD4" s="33"/>
      <c r="AE4" s="33"/>
      <c r="AF4" s="33"/>
      <c r="AG4" s="35" t="s">
        <v>15</v>
      </c>
      <c r="AH4" s="35" t="s">
        <v>16</v>
      </c>
      <c r="AI4" s="33"/>
      <c r="AJ4" s="33"/>
      <c r="AK4" s="35" t="s">
        <v>17</v>
      </c>
      <c r="AL4" s="33"/>
      <c r="AM4" s="35" t="s">
        <v>18</v>
      </c>
      <c r="AN4" s="33"/>
      <c r="AO4" s="37" t="s">
        <v>19</v>
      </c>
    </row>
    <row r="5" spans="1:41">
      <c r="A5" s="38"/>
      <c r="B5" s="15"/>
      <c r="C5" s="35" t="s">
        <v>4</v>
      </c>
      <c r="D5" s="35" t="s">
        <v>20</v>
      </c>
      <c r="E5" s="35" t="s">
        <v>21</v>
      </c>
      <c r="F5" s="35" t="s">
        <v>22</v>
      </c>
      <c r="G5" s="35" t="s">
        <v>23</v>
      </c>
      <c r="H5" s="35" t="s">
        <v>24</v>
      </c>
      <c r="I5" s="35" t="s">
        <v>25</v>
      </c>
      <c r="J5" s="35" t="s">
        <v>26</v>
      </c>
      <c r="K5" s="35" t="s">
        <v>27</v>
      </c>
      <c r="L5" s="35" t="s">
        <v>28</v>
      </c>
      <c r="M5" s="35" t="s">
        <v>29</v>
      </c>
      <c r="N5" s="35" t="s">
        <v>30</v>
      </c>
      <c r="O5" s="35" t="s">
        <v>31</v>
      </c>
      <c r="P5" s="33"/>
      <c r="Q5" s="35" t="s">
        <v>32</v>
      </c>
      <c r="R5" s="33"/>
      <c r="S5" s="35" t="s">
        <v>33</v>
      </c>
      <c r="T5" s="33"/>
      <c r="U5" s="35" t="s">
        <v>34</v>
      </c>
      <c r="V5" s="33"/>
      <c r="W5" s="35" t="s">
        <v>35</v>
      </c>
      <c r="X5" s="33"/>
      <c r="Y5" s="35" t="s">
        <v>36</v>
      </c>
      <c r="Z5" s="33"/>
      <c r="AA5" s="35" t="s">
        <v>37</v>
      </c>
      <c r="AB5" s="33"/>
      <c r="AC5" s="35" t="s">
        <v>38</v>
      </c>
      <c r="AD5" s="33"/>
      <c r="AE5" s="35" t="s">
        <v>39</v>
      </c>
      <c r="AF5" s="33"/>
      <c r="AG5" s="35" t="s">
        <v>31</v>
      </c>
      <c r="AH5" s="35" t="s">
        <v>34</v>
      </c>
      <c r="AI5" s="35" t="s">
        <v>38</v>
      </c>
      <c r="AJ5" s="35" t="s">
        <v>39</v>
      </c>
      <c r="AK5" s="35" t="s">
        <v>34</v>
      </c>
      <c r="AL5" s="35" t="s">
        <v>35</v>
      </c>
      <c r="AM5" s="35" t="s">
        <v>36</v>
      </c>
      <c r="AN5" s="35" t="s">
        <v>37</v>
      </c>
      <c r="AO5" s="46"/>
    </row>
    <row r="6" spans="1:41">
      <c r="A6" s="32" t="s">
        <v>40</v>
      </c>
      <c r="B6" s="32" t="s">
        <v>41</v>
      </c>
      <c r="C6" s="35" t="s">
        <v>4</v>
      </c>
      <c r="D6" s="35">
        <v>5.5</v>
      </c>
      <c r="E6" s="35">
        <v>6</v>
      </c>
      <c r="F6" s="35">
        <v>4</v>
      </c>
      <c r="G6" s="35">
        <v>7</v>
      </c>
      <c r="H6" s="35">
        <v>6.5</v>
      </c>
      <c r="I6" s="35">
        <v>6.5</v>
      </c>
      <c r="J6" s="35">
        <v>6</v>
      </c>
      <c r="K6" s="35">
        <v>7</v>
      </c>
      <c r="L6" s="35">
        <v>8.5</v>
      </c>
      <c r="M6" s="35">
        <v>7.5</v>
      </c>
      <c r="N6" s="35">
        <v>8</v>
      </c>
      <c r="O6" s="35">
        <v>8</v>
      </c>
      <c r="P6" s="36">
        <v>5.5</v>
      </c>
      <c r="Q6" s="35">
        <v>5.5</v>
      </c>
      <c r="R6" s="36">
        <v>10</v>
      </c>
      <c r="S6" s="35">
        <v>7.5</v>
      </c>
      <c r="T6" s="36">
        <v>9</v>
      </c>
      <c r="U6" s="35">
        <v>7.5</v>
      </c>
      <c r="V6" s="36">
        <v>11</v>
      </c>
      <c r="W6" s="35">
        <v>5.5</v>
      </c>
      <c r="X6" s="36">
        <v>5.7</v>
      </c>
      <c r="Y6" s="35">
        <v>10</v>
      </c>
      <c r="Z6" s="36">
        <v>9.5</v>
      </c>
      <c r="AA6" s="35">
        <v>7</v>
      </c>
      <c r="AB6" s="36">
        <v>9</v>
      </c>
      <c r="AC6" s="35">
        <v>5.5</v>
      </c>
      <c r="AD6" s="36">
        <v>7.5</v>
      </c>
      <c r="AE6" s="35">
        <v>6.5</v>
      </c>
      <c r="AF6" s="36">
        <v>9</v>
      </c>
      <c r="AG6" s="35">
        <v>8</v>
      </c>
      <c r="AH6" s="35">
        <v>7.5</v>
      </c>
      <c r="AI6" s="35">
        <v>5.5</v>
      </c>
      <c r="AJ6" s="35">
        <v>6.5</v>
      </c>
      <c r="AK6" s="35">
        <v>7.5</v>
      </c>
      <c r="AL6" s="35">
        <v>5.5</v>
      </c>
      <c r="AM6" s="35">
        <v>9.5</v>
      </c>
      <c r="AN6" s="35">
        <v>7</v>
      </c>
      <c r="AO6" s="46"/>
    </row>
    <row r="7" spans="1:41">
      <c r="A7" s="35">
        <v>1</v>
      </c>
      <c r="B7" s="35" t="s">
        <v>42</v>
      </c>
      <c r="C7" s="35"/>
      <c r="D7" s="35">
        <v>50</v>
      </c>
      <c r="E7" s="35">
        <v>9</v>
      </c>
      <c r="F7" s="35">
        <v>23</v>
      </c>
      <c r="G7" s="35"/>
      <c r="H7" s="35"/>
      <c r="I7" s="35"/>
      <c r="J7" s="35">
        <v>11</v>
      </c>
      <c r="K7" s="35">
        <v>9</v>
      </c>
      <c r="L7" s="35"/>
      <c r="M7" s="35">
        <v>1</v>
      </c>
      <c r="N7" s="35">
        <v>2</v>
      </c>
      <c r="O7" s="35"/>
      <c r="P7" s="36"/>
      <c r="Q7" s="35"/>
      <c r="R7" s="36"/>
      <c r="S7" s="35">
        <v>2</v>
      </c>
      <c r="T7" s="36"/>
      <c r="U7" s="35"/>
      <c r="V7" s="36"/>
      <c r="W7" s="35">
        <v>39</v>
      </c>
      <c r="X7" s="36"/>
      <c r="Y7" s="35">
        <v>3</v>
      </c>
      <c r="Z7" s="36">
        <v>1</v>
      </c>
      <c r="AA7" s="35">
        <v>14</v>
      </c>
      <c r="AB7" s="36"/>
      <c r="AC7" s="35"/>
      <c r="AD7" s="36"/>
      <c r="AE7" s="35"/>
      <c r="AF7" s="36"/>
      <c r="AG7" s="35"/>
      <c r="AH7" s="35"/>
      <c r="AI7" s="35"/>
      <c r="AJ7" s="35"/>
      <c r="AK7" s="35"/>
      <c r="AL7" s="35">
        <v>11</v>
      </c>
      <c r="AM7" s="35">
        <v>2</v>
      </c>
      <c r="AN7" s="35">
        <v>17</v>
      </c>
      <c r="AO7" s="37">
        <v>194</v>
      </c>
    </row>
    <row r="8" spans="1:41">
      <c r="A8" s="38"/>
      <c r="B8" s="39" t="s">
        <v>43</v>
      </c>
      <c r="C8" s="39"/>
      <c r="D8" s="39">
        <v>1</v>
      </c>
      <c r="E8" s="39">
        <v>10</v>
      </c>
      <c r="F8" s="39">
        <v>3</v>
      </c>
      <c r="G8" s="39">
        <v>5</v>
      </c>
      <c r="H8" s="39">
        <v>10</v>
      </c>
      <c r="I8" s="39">
        <v>6</v>
      </c>
      <c r="J8" s="39">
        <v>7</v>
      </c>
      <c r="K8" s="39">
        <v>2</v>
      </c>
      <c r="L8" s="39">
        <v>4</v>
      </c>
      <c r="M8" s="39">
        <v>6</v>
      </c>
      <c r="N8" s="39">
        <v>2</v>
      </c>
      <c r="O8" s="39">
        <v>1</v>
      </c>
      <c r="P8">
        <v>3</v>
      </c>
      <c r="Q8" s="39">
        <v>5</v>
      </c>
      <c r="R8">
        <v>9</v>
      </c>
      <c r="S8" s="39">
        <v>4</v>
      </c>
      <c r="T8">
        <v>3</v>
      </c>
      <c r="U8" s="39">
        <v>8</v>
      </c>
      <c r="V8">
        <v>4</v>
      </c>
      <c r="W8" s="39">
        <v>7</v>
      </c>
      <c r="X8">
        <v>14</v>
      </c>
      <c r="Y8" s="39">
        <v>2</v>
      </c>
      <c r="Z8">
        <v>1</v>
      </c>
      <c r="AA8" s="39"/>
      <c r="AB8">
        <v>8</v>
      </c>
      <c r="AC8" s="39">
        <v>5</v>
      </c>
      <c r="AD8">
        <v>1</v>
      </c>
      <c r="AE8" s="39">
        <v>3</v>
      </c>
      <c r="AF8">
        <v>1</v>
      </c>
      <c r="AG8" s="39">
        <v>4</v>
      </c>
      <c r="AH8" s="39">
        <v>17</v>
      </c>
      <c r="AI8" s="39">
        <v>1</v>
      </c>
      <c r="AJ8" s="39">
        <v>2</v>
      </c>
      <c r="AK8" s="39"/>
      <c r="AL8" s="39">
        <v>18</v>
      </c>
      <c r="AM8" s="39">
        <v>2</v>
      </c>
      <c r="AN8" s="39">
        <v>8</v>
      </c>
      <c r="AO8" s="40">
        <v>187</v>
      </c>
    </row>
    <row r="9" spans="1:41">
      <c r="A9" s="38"/>
      <c r="B9" s="39" t="s">
        <v>44</v>
      </c>
      <c r="C9" s="39"/>
      <c r="D9" s="39">
        <v>1</v>
      </c>
      <c r="E9" s="39"/>
      <c r="F9" s="39"/>
      <c r="G9" s="39"/>
      <c r="H9" s="39"/>
      <c r="I9" s="39"/>
      <c r="J9" s="39">
        <v>2</v>
      </c>
      <c r="K9" s="39"/>
      <c r="L9" s="39"/>
      <c r="M9" s="39"/>
      <c r="N9" s="39"/>
      <c r="O9" s="39"/>
      <c r="Q9" s="39">
        <v>1</v>
      </c>
      <c r="S9" s="39"/>
      <c r="U9" s="39"/>
      <c r="W9" s="39">
        <v>4</v>
      </c>
      <c r="X9">
        <v>1</v>
      </c>
      <c r="Y9" s="39"/>
      <c r="AA9" s="39"/>
      <c r="AC9" s="39"/>
      <c r="AE9" s="39"/>
      <c r="AG9" s="39"/>
      <c r="AH9" s="39"/>
      <c r="AI9" s="39"/>
      <c r="AJ9" s="39"/>
      <c r="AK9" s="39"/>
      <c r="AL9" s="39"/>
      <c r="AM9" s="39"/>
      <c r="AN9" s="39"/>
      <c r="AO9" s="40">
        <v>9</v>
      </c>
    </row>
    <row r="10" spans="1:41">
      <c r="A10" s="38"/>
      <c r="B10" s="39" t="s">
        <v>45</v>
      </c>
      <c r="C10" s="39"/>
      <c r="D10" s="39">
        <v>3</v>
      </c>
      <c r="E10" s="39"/>
      <c r="F10" s="39"/>
      <c r="G10" s="39"/>
      <c r="H10" s="39"/>
      <c r="I10" s="39"/>
      <c r="J10" s="39">
        <v>8</v>
      </c>
      <c r="K10" s="39">
        <v>1</v>
      </c>
      <c r="L10" s="39"/>
      <c r="M10" s="39"/>
      <c r="N10" s="39"/>
      <c r="O10" s="39"/>
      <c r="Q10" s="39"/>
      <c r="S10" s="39">
        <v>1</v>
      </c>
      <c r="U10" s="39"/>
      <c r="V10">
        <v>1</v>
      </c>
      <c r="W10" s="39">
        <v>11</v>
      </c>
      <c r="X10">
        <v>3</v>
      </c>
      <c r="Y10" s="39"/>
      <c r="AA10" s="39"/>
      <c r="AB10">
        <v>1</v>
      </c>
      <c r="AC10" s="39"/>
      <c r="AE10" s="39">
        <v>1</v>
      </c>
      <c r="AG10" s="39">
        <v>1</v>
      </c>
      <c r="AH10" s="39"/>
      <c r="AI10" s="39"/>
      <c r="AJ10" s="39"/>
      <c r="AK10" s="39"/>
      <c r="AL10" s="39">
        <v>1</v>
      </c>
      <c r="AM10" s="39">
        <v>1</v>
      </c>
      <c r="AN10" s="39"/>
      <c r="AO10" s="40">
        <v>33</v>
      </c>
    </row>
    <row r="11" spans="1:41">
      <c r="A11" s="38"/>
      <c r="B11" s="39" t="s">
        <v>46</v>
      </c>
      <c r="C11" s="39"/>
      <c r="D11" s="39"/>
      <c r="E11" s="39">
        <v>1</v>
      </c>
      <c r="F11" s="39"/>
      <c r="G11" s="39"/>
      <c r="H11" s="39">
        <v>1</v>
      </c>
      <c r="I11" s="39"/>
      <c r="J11" s="39"/>
      <c r="K11" s="39"/>
      <c r="L11" s="39"/>
      <c r="M11" s="39"/>
      <c r="N11" s="39">
        <v>1</v>
      </c>
      <c r="O11" s="39"/>
      <c r="Q11" s="39"/>
      <c r="S11" s="39"/>
      <c r="U11" s="39"/>
      <c r="W11" s="39"/>
      <c r="Y11" s="39"/>
      <c r="AA11" s="39">
        <v>1</v>
      </c>
      <c r="AC11" s="39"/>
      <c r="AE11" s="39"/>
      <c r="AG11" s="39"/>
      <c r="AH11" s="39"/>
      <c r="AI11" s="39"/>
      <c r="AJ11" s="39"/>
      <c r="AK11" s="39"/>
      <c r="AL11" s="39"/>
      <c r="AM11" s="39"/>
      <c r="AN11" s="39"/>
      <c r="AO11" s="40">
        <v>4</v>
      </c>
    </row>
    <row r="12" spans="1:41">
      <c r="A12" s="38"/>
      <c r="B12" s="39" t="s">
        <v>47</v>
      </c>
      <c r="C12" s="39"/>
      <c r="D12" s="39"/>
      <c r="E12" s="39">
        <v>1</v>
      </c>
      <c r="F12" s="39">
        <v>9</v>
      </c>
      <c r="G12" s="39"/>
      <c r="H12" s="39"/>
      <c r="I12" s="39"/>
      <c r="J12" s="39"/>
      <c r="K12" s="39"/>
      <c r="L12" s="39"/>
      <c r="M12" s="39"/>
      <c r="N12" s="39"/>
      <c r="O12" s="39"/>
      <c r="Q12" s="39"/>
      <c r="S12" s="39">
        <v>2</v>
      </c>
      <c r="U12" s="39">
        <v>1</v>
      </c>
      <c r="W12" s="39"/>
      <c r="Y12" s="39">
        <v>1</v>
      </c>
      <c r="AA12" s="39"/>
      <c r="AC12" s="39"/>
      <c r="AE12" s="39"/>
      <c r="AG12" s="39"/>
      <c r="AH12" s="39"/>
      <c r="AI12" s="39"/>
      <c r="AJ12" s="39"/>
      <c r="AK12" s="39"/>
      <c r="AL12" s="39"/>
      <c r="AM12" s="39"/>
      <c r="AN12" s="39"/>
      <c r="AO12" s="40">
        <v>14</v>
      </c>
    </row>
    <row r="13" spans="1:41">
      <c r="A13" s="38"/>
      <c r="B13" s="39" t="s">
        <v>48</v>
      </c>
      <c r="C13" s="39"/>
      <c r="D13" s="39"/>
      <c r="E13" s="39">
        <v>5</v>
      </c>
      <c r="F13" s="39"/>
      <c r="G13" s="39"/>
      <c r="H13" s="39"/>
      <c r="I13" s="39">
        <v>16</v>
      </c>
      <c r="J13" s="39">
        <v>12</v>
      </c>
      <c r="K13" s="39"/>
      <c r="L13" s="39"/>
      <c r="M13" s="39">
        <v>3</v>
      </c>
      <c r="N13" s="39"/>
      <c r="O13" s="39"/>
      <c r="Q13" s="39"/>
      <c r="S13" s="39"/>
      <c r="U13" s="39"/>
      <c r="V13">
        <v>16</v>
      </c>
      <c r="W13" s="39">
        <v>2</v>
      </c>
      <c r="X13">
        <v>12</v>
      </c>
      <c r="Y13" s="39">
        <v>24</v>
      </c>
      <c r="AA13" s="39"/>
      <c r="AC13" s="39"/>
      <c r="AE13" s="39"/>
      <c r="AG13" s="39"/>
      <c r="AH13" s="39">
        <v>9</v>
      </c>
      <c r="AI13" s="39"/>
      <c r="AJ13" s="39"/>
      <c r="AK13" s="39"/>
      <c r="AL13" s="39">
        <v>1</v>
      </c>
      <c r="AM13" s="39">
        <v>9</v>
      </c>
      <c r="AN13" s="39"/>
      <c r="AO13" s="40">
        <v>109</v>
      </c>
    </row>
    <row r="14" spans="1:41">
      <c r="A14" s="38"/>
      <c r="B14" s="39" t="s">
        <v>49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>
        <v>1</v>
      </c>
      <c r="O14" s="39"/>
      <c r="Q14" s="39"/>
      <c r="S14" s="39"/>
      <c r="U14" s="39"/>
      <c r="W14" s="39"/>
      <c r="Y14" s="39"/>
      <c r="AA14" s="39"/>
      <c r="AC14" s="39"/>
      <c r="AE14" s="39"/>
      <c r="AG14" s="39"/>
      <c r="AH14" s="39"/>
      <c r="AI14" s="39"/>
      <c r="AJ14" s="39"/>
      <c r="AK14" s="39"/>
      <c r="AL14" s="39"/>
      <c r="AM14" s="39"/>
      <c r="AN14" s="39"/>
      <c r="AO14" s="40">
        <v>1</v>
      </c>
    </row>
    <row r="15" spans="1:41">
      <c r="A15" s="38"/>
      <c r="B15" s="39" t="s">
        <v>50</v>
      </c>
      <c r="C15" s="39"/>
      <c r="D15" s="39"/>
      <c r="E15" s="39"/>
      <c r="F15" s="39">
        <v>3</v>
      </c>
      <c r="G15" s="39"/>
      <c r="H15" s="39"/>
      <c r="I15" s="39"/>
      <c r="J15" s="39"/>
      <c r="K15" s="39"/>
      <c r="L15" s="39"/>
      <c r="M15" s="39"/>
      <c r="N15" s="39"/>
      <c r="O15" s="39"/>
      <c r="Q15" s="39"/>
      <c r="S15" s="39"/>
      <c r="U15" s="39"/>
      <c r="W15" s="39"/>
      <c r="Y15" s="39"/>
      <c r="AA15" s="39"/>
      <c r="AC15" s="39"/>
      <c r="AE15" s="39"/>
      <c r="AG15" s="39"/>
      <c r="AH15" s="39"/>
      <c r="AI15" s="39"/>
      <c r="AJ15" s="39"/>
      <c r="AK15" s="39"/>
      <c r="AL15" s="39"/>
      <c r="AM15" s="39"/>
      <c r="AN15" s="39"/>
      <c r="AO15" s="40">
        <v>3</v>
      </c>
    </row>
    <row r="16" spans="1:41">
      <c r="A16" s="38"/>
      <c r="B16" s="39" t="s">
        <v>51</v>
      </c>
      <c r="C16" s="39"/>
      <c r="D16" s="39"/>
      <c r="E16" s="39"/>
      <c r="F16" s="39"/>
      <c r="G16" s="39"/>
      <c r="H16" s="39">
        <v>1</v>
      </c>
      <c r="I16" s="39"/>
      <c r="J16" s="39">
        <v>1</v>
      </c>
      <c r="K16" s="39"/>
      <c r="L16" s="39"/>
      <c r="M16" s="39">
        <v>1</v>
      </c>
      <c r="N16" s="39"/>
      <c r="O16" s="39"/>
      <c r="Q16" s="39">
        <v>1</v>
      </c>
      <c r="S16" s="39"/>
      <c r="T16">
        <v>2</v>
      </c>
      <c r="U16" s="39">
        <v>1</v>
      </c>
      <c r="V16">
        <v>2</v>
      </c>
      <c r="W16" s="39"/>
      <c r="Y16" s="39"/>
      <c r="AA16" s="39">
        <v>1</v>
      </c>
      <c r="AC16" s="39"/>
      <c r="AE16" s="39">
        <v>1</v>
      </c>
      <c r="AG16" s="39"/>
      <c r="AH16" s="39">
        <v>2</v>
      </c>
      <c r="AI16" s="39"/>
      <c r="AJ16" s="39"/>
      <c r="AK16" s="39"/>
      <c r="AL16" s="39"/>
      <c r="AM16" s="39"/>
      <c r="AN16" s="39"/>
      <c r="AO16" s="40">
        <v>13</v>
      </c>
    </row>
    <row r="17" spans="1:41">
      <c r="A17" s="38"/>
      <c r="B17" s="39" t="s">
        <v>52</v>
      </c>
      <c r="C17" s="39"/>
      <c r="D17" s="39"/>
      <c r="E17" s="39"/>
      <c r="F17" s="39"/>
      <c r="G17" s="39"/>
      <c r="H17" s="39"/>
      <c r="I17" s="39">
        <v>1</v>
      </c>
      <c r="J17" s="39"/>
      <c r="K17" s="39"/>
      <c r="L17" s="39"/>
      <c r="M17" s="39"/>
      <c r="N17" s="39"/>
      <c r="O17" s="39"/>
      <c r="Q17" s="39"/>
      <c r="S17" s="39"/>
      <c r="U17" s="39"/>
      <c r="V17">
        <v>1</v>
      </c>
      <c r="W17" s="39"/>
      <c r="Y17" s="39"/>
      <c r="AA17" s="39"/>
      <c r="AC17" s="39"/>
      <c r="AE17" s="39"/>
      <c r="AG17" s="39"/>
      <c r="AH17" s="39"/>
      <c r="AI17" s="39"/>
      <c r="AJ17" s="39"/>
      <c r="AK17" s="39"/>
      <c r="AL17" s="39"/>
      <c r="AM17" s="39"/>
      <c r="AN17" s="39"/>
      <c r="AO17" s="40">
        <v>2</v>
      </c>
    </row>
    <row r="18" spans="1:41">
      <c r="A18" s="38"/>
      <c r="B18" s="39" t="s">
        <v>53</v>
      </c>
      <c r="C18" s="39"/>
      <c r="D18" s="39"/>
      <c r="E18" s="39"/>
      <c r="F18" s="39"/>
      <c r="G18" s="39"/>
      <c r="H18" s="39"/>
      <c r="I18" s="39"/>
      <c r="J18" s="39">
        <v>1</v>
      </c>
      <c r="K18" s="39">
        <v>1</v>
      </c>
      <c r="L18" s="39"/>
      <c r="M18" s="39"/>
      <c r="N18" s="39"/>
      <c r="O18" s="39"/>
      <c r="Q18" s="39"/>
      <c r="S18" s="39"/>
      <c r="U18" s="39"/>
      <c r="V18">
        <v>9</v>
      </c>
      <c r="W18" s="39">
        <v>23</v>
      </c>
      <c r="X18">
        <v>43</v>
      </c>
      <c r="Y18" s="39"/>
      <c r="AA18" s="39"/>
      <c r="AC18" s="39"/>
      <c r="AE18" s="39"/>
      <c r="AG18" s="39"/>
      <c r="AH18" s="39"/>
      <c r="AI18" s="39"/>
      <c r="AJ18" s="39"/>
      <c r="AK18" s="39"/>
      <c r="AL18" s="39">
        <v>44</v>
      </c>
      <c r="AM18" s="39"/>
      <c r="AN18" s="39"/>
      <c r="AO18" s="40">
        <v>121</v>
      </c>
    </row>
    <row r="19" spans="1:41">
      <c r="A19" s="38"/>
      <c r="B19" s="39" t="s">
        <v>54</v>
      </c>
      <c r="C19" s="39"/>
      <c r="D19" s="39"/>
      <c r="E19" s="39"/>
      <c r="F19" s="39"/>
      <c r="G19" s="39"/>
      <c r="H19" s="39"/>
      <c r="I19" s="39"/>
      <c r="J19" s="39">
        <v>1</v>
      </c>
      <c r="K19" s="39"/>
      <c r="L19" s="39"/>
      <c r="M19" s="39"/>
      <c r="N19" s="39"/>
      <c r="O19" s="39"/>
      <c r="Q19" s="39"/>
      <c r="R19">
        <v>3</v>
      </c>
      <c r="S19" s="39"/>
      <c r="U19" s="39"/>
      <c r="W19" s="39">
        <v>4</v>
      </c>
      <c r="X19">
        <v>2</v>
      </c>
      <c r="Y19" s="39"/>
      <c r="AA19" s="39"/>
      <c r="AC19" s="39"/>
      <c r="AE19" s="39"/>
      <c r="AG19" s="39"/>
      <c r="AH19" s="39"/>
      <c r="AI19" s="39"/>
      <c r="AJ19" s="39"/>
      <c r="AK19" s="39"/>
      <c r="AL19" s="39">
        <v>8</v>
      </c>
      <c r="AM19" s="39"/>
      <c r="AN19" s="39"/>
      <c r="AO19" s="40">
        <v>18</v>
      </c>
    </row>
    <row r="20" spans="1:41">
      <c r="A20" s="38"/>
      <c r="B20" s="39" t="s">
        <v>55</v>
      </c>
      <c r="C20" s="39"/>
      <c r="D20" s="39"/>
      <c r="E20" s="39"/>
      <c r="F20" s="39"/>
      <c r="G20" s="39"/>
      <c r="H20" s="39"/>
      <c r="I20" s="39"/>
      <c r="J20" s="39"/>
      <c r="K20" s="39">
        <v>1</v>
      </c>
      <c r="L20" s="39"/>
      <c r="M20" s="39"/>
      <c r="N20" s="39"/>
      <c r="O20" s="39"/>
      <c r="Q20" s="39"/>
      <c r="S20" s="39"/>
      <c r="U20" s="39"/>
      <c r="W20" s="39"/>
      <c r="Y20" s="39"/>
      <c r="AA20" s="39"/>
      <c r="AC20" s="39"/>
      <c r="AE20" s="39"/>
      <c r="AG20" s="39"/>
      <c r="AH20" s="39"/>
      <c r="AI20" s="39"/>
      <c r="AJ20" s="39"/>
      <c r="AK20" s="39"/>
      <c r="AL20" s="39"/>
      <c r="AM20" s="39"/>
      <c r="AN20" s="39"/>
      <c r="AO20" s="40">
        <v>1</v>
      </c>
    </row>
    <row r="21" spans="1:41">
      <c r="A21" s="38"/>
      <c r="B21" s="39" t="s">
        <v>56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Q21" s="39"/>
      <c r="S21" s="39"/>
      <c r="U21" s="39">
        <v>23</v>
      </c>
      <c r="W21" s="39"/>
      <c r="Y21" s="39">
        <v>1</v>
      </c>
      <c r="AA21" s="39"/>
      <c r="AC21" s="39"/>
      <c r="AE21" s="39"/>
      <c r="AG21" s="39"/>
      <c r="AH21" s="39"/>
      <c r="AI21" s="39"/>
      <c r="AJ21" s="39"/>
      <c r="AK21" s="39"/>
      <c r="AL21" s="39"/>
      <c r="AM21" s="39"/>
      <c r="AN21" s="39"/>
      <c r="AO21" s="40">
        <v>24</v>
      </c>
    </row>
    <row r="22" spans="1:41">
      <c r="A22" s="38"/>
      <c r="B22" s="39" t="s">
        <v>57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Q22" s="39"/>
      <c r="S22" s="39"/>
      <c r="U22" s="39">
        <v>12</v>
      </c>
      <c r="W22" s="39"/>
      <c r="Y22" s="39">
        <v>4</v>
      </c>
      <c r="AA22" s="39"/>
      <c r="AC22" s="39"/>
      <c r="AE22" s="39"/>
      <c r="AG22" s="39"/>
      <c r="AH22" s="39"/>
      <c r="AI22" s="39"/>
      <c r="AJ22" s="39"/>
      <c r="AK22" s="39"/>
      <c r="AL22" s="39"/>
      <c r="AM22" s="39"/>
      <c r="AN22" s="39"/>
      <c r="AO22" s="40">
        <v>16</v>
      </c>
    </row>
    <row r="23" spans="1:41">
      <c r="A23" s="38"/>
      <c r="B23" s="39" t="s">
        <v>58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Q23" s="39"/>
      <c r="S23" s="39"/>
      <c r="U23" s="39"/>
      <c r="W23" s="39"/>
      <c r="Y23" s="39">
        <v>22</v>
      </c>
      <c r="AA23" s="39"/>
      <c r="AC23" s="39"/>
      <c r="AE23" s="39"/>
      <c r="AG23" s="39"/>
      <c r="AH23" s="39"/>
      <c r="AI23" s="39"/>
      <c r="AJ23" s="39"/>
      <c r="AK23" s="39"/>
      <c r="AL23" s="39"/>
      <c r="AM23" s="39"/>
      <c r="AN23" s="39"/>
      <c r="AO23" s="40">
        <v>22</v>
      </c>
    </row>
    <row r="24" spans="1:41">
      <c r="A24" s="38"/>
      <c r="B24" s="39" t="s">
        <v>59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>
        <v>2</v>
      </c>
      <c r="Q24" s="39"/>
      <c r="S24" s="39"/>
      <c r="U24" s="39"/>
      <c r="W24" s="39"/>
      <c r="Y24" s="39"/>
      <c r="AA24" s="39"/>
      <c r="AC24" s="39"/>
      <c r="AE24" s="39"/>
      <c r="AG24" s="39"/>
      <c r="AH24" s="39"/>
      <c r="AI24" s="39"/>
      <c r="AJ24" s="39"/>
      <c r="AK24" s="39"/>
      <c r="AL24" s="39"/>
      <c r="AM24" s="39">
        <v>3</v>
      </c>
      <c r="AN24" s="39"/>
      <c r="AO24" s="40">
        <v>5</v>
      </c>
    </row>
    <row r="25" spans="1:41">
      <c r="A25" s="38"/>
      <c r="B25" s="39" t="s">
        <v>60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Q25" s="39"/>
      <c r="S25" s="39"/>
      <c r="U25" s="39"/>
      <c r="W25" s="39">
        <v>1</v>
      </c>
      <c r="Y25" s="39"/>
      <c r="AA25" s="39"/>
      <c r="AC25" s="39"/>
      <c r="AE25" s="39"/>
      <c r="AG25" s="39"/>
      <c r="AH25" s="39"/>
      <c r="AI25" s="39"/>
      <c r="AJ25" s="39"/>
      <c r="AK25" s="39"/>
      <c r="AL25" s="39"/>
      <c r="AM25" s="39"/>
      <c r="AN25" s="39"/>
      <c r="AO25" s="40">
        <v>1</v>
      </c>
    </row>
    <row r="26" spans="1:41">
      <c r="A26" s="38"/>
      <c r="B26" s="39" t="s">
        <v>61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Q26" s="39"/>
      <c r="S26" s="39"/>
      <c r="U26" s="39"/>
      <c r="W26" s="39"/>
      <c r="Y26" s="39"/>
      <c r="AA26" s="39"/>
      <c r="AC26" s="39">
        <v>1</v>
      </c>
      <c r="AE26" s="39"/>
      <c r="AG26" s="39"/>
      <c r="AH26" s="39"/>
      <c r="AI26" s="39"/>
      <c r="AJ26" s="39"/>
      <c r="AK26" s="39"/>
      <c r="AL26" s="39"/>
      <c r="AM26" s="39"/>
      <c r="AN26" s="39"/>
      <c r="AO26" s="40">
        <v>1</v>
      </c>
    </row>
    <row r="27" spans="1:41">
      <c r="A27" s="38"/>
      <c r="B27" s="39" t="s">
        <v>62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Q27" s="39">
        <v>1</v>
      </c>
      <c r="S27" s="39"/>
      <c r="U27" s="39"/>
      <c r="W27" s="39"/>
      <c r="Y27" s="39"/>
      <c r="AA27" s="39"/>
      <c r="AC27" s="39"/>
      <c r="AE27" s="39"/>
      <c r="AG27" s="39"/>
      <c r="AH27" s="39"/>
      <c r="AI27" s="39"/>
      <c r="AJ27" s="39"/>
      <c r="AK27" s="39"/>
      <c r="AL27" s="39"/>
      <c r="AM27" s="39"/>
      <c r="AN27" s="39"/>
      <c r="AO27" s="40">
        <v>1</v>
      </c>
    </row>
    <row r="28" spans="1:41">
      <c r="A28" s="35">
        <v>2</v>
      </c>
      <c r="B28" s="35" t="s">
        <v>42</v>
      </c>
      <c r="C28" s="35"/>
      <c r="D28" s="35">
        <v>117</v>
      </c>
      <c r="E28" s="35">
        <v>25</v>
      </c>
      <c r="F28" s="35">
        <v>68</v>
      </c>
      <c r="G28" s="35">
        <v>1</v>
      </c>
      <c r="H28" s="35"/>
      <c r="I28" s="35">
        <v>2</v>
      </c>
      <c r="J28" s="35">
        <v>42</v>
      </c>
      <c r="K28" s="35">
        <v>39</v>
      </c>
      <c r="L28" s="35"/>
      <c r="M28" s="35">
        <v>14</v>
      </c>
      <c r="N28" s="35">
        <v>19</v>
      </c>
      <c r="O28" s="35">
        <v>2</v>
      </c>
      <c r="P28" s="36">
        <v>7</v>
      </c>
      <c r="Q28" s="35">
        <v>7</v>
      </c>
      <c r="R28" s="36">
        <v>5</v>
      </c>
      <c r="S28" s="35">
        <v>6</v>
      </c>
      <c r="T28" s="36">
        <v>2</v>
      </c>
      <c r="U28" s="35">
        <v>2</v>
      </c>
      <c r="V28" s="36">
        <v>1</v>
      </c>
      <c r="W28" s="35">
        <v>187</v>
      </c>
      <c r="X28" s="36">
        <v>127</v>
      </c>
      <c r="Y28" s="35">
        <v>39</v>
      </c>
      <c r="Z28" s="36"/>
      <c r="AA28" s="35">
        <v>33</v>
      </c>
      <c r="AB28" s="36">
        <v>28</v>
      </c>
      <c r="AC28" s="35">
        <v>26</v>
      </c>
      <c r="AD28" s="36">
        <v>23</v>
      </c>
      <c r="AE28" s="35">
        <v>7</v>
      </c>
      <c r="AF28" s="36">
        <v>24</v>
      </c>
      <c r="AG28" s="35"/>
      <c r="AH28" s="35"/>
      <c r="AI28" s="35"/>
      <c r="AJ28" s="35">
        <v>9</v>
      </c>
      <c r="AK28" s="35"/>
      <c r="AL28" s="35">
        <v>96</v>
      </c>
      <c r="AM28" s="35">
        <v>12</v>
      </c>
      <c r="AN28" s="35">
        <v>33</v>
      </c>
      <c r="AO28" s="37">
        <v>1003</v>
      </c>
    </row>
    <row r="29" spans="1:41">
      <c r="A29" s="38"/>
      <c r="B29" s="39" t="s">
        <v>43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Q29" s="39"/>
      <c r="S29" s="39"/>
      <c r="U29" s="39"/>
      <c r="W29" s="39"/>
      <c r="Y29" s="39"/>
      <c r="AA29" s="39"/>
      <c r="AC29" s="39">
        <v>2</v>
      </c>
      <c r="AE29" s="39"/>
      <c r="AG29" s="39"/>
      <c r="AH29" s="39"/>
      <c r="AI29" s="39"/>
      <c r="AJ29" s="39"/>
      <c r="AK29" s="39"/>
      <c r="AL29" s="39"/>
      <c r="AM29" s="39"/>
      <c r="AN29" s="39"/>
      <c r="AO29" s="40">
        <v>2</v>
      </c>
    </row>
    <row r="30" spans="1:41">
      <c r="A30" s="38"/>
      <c r="B30" s="39" t="s">
        <v>44</v>
      </c>
      <c r="C30" s="39"/>
      <c r="D30" s="39"/>
      <c r="E30" s="39"/>
      <c r="F30" s="39"/>
      <c r="G30" s="39"/>
      <c r="H30" s="39"/>
      <c r="I30" s="39">
        <v>2</v>
      </c>
      <c r="J30" s="39">
        <v>5</v>
      </c>
      <c r="K30" s="39"/>
      <c r="L30" s="39"/>
      <c r="M30" s="39"/>
      <c r="N30" s="39"/>
      <c r="O30" s="39"/>
      <c r="Q30" s="39"/>
      <c r="S30" s="39"/>
      <c r="U30" s="39">
        <v>1</v>
      </c>
      <c r="W30" s="39">
        <v>1</v>
      </c>
      <c r="Y30" s="39"/>
      <c r="AA30" s="39">
        <v>1</v>
      </c>
      <c r="AC30" s="39"/>
      <c r="AE30" s="39"/>
      <c r="AG30" s="39"/>
      <c r="AH30" s="39"/>
      <c r="AI30" s="39"/>
      <c r="AJ30" s="39"/>
      <c r="AK30" s="39"/>
      <c r="AL30" s="39">
        <v>1</v>
      </c>
      <c r="AM30" s="39">
        <v>1</v>
      </c>
      <c r="AN30" s="39"/>
      <c r="AO30" s="40">
        <v>12</v>
      </c>
    </row>
    <row r="31" spans="1:41">
      <c r="A31" s="38"/>
      <c r="B31" s="39" t="s">
        <v>63</v>
      </c>
      <c r="C31" s="39"/>
      <c r="D31" s="39">
        <v>52</v>
      </c>
      <c r="E31" s="39">
        <v>373</v>
      </c>
      <c r="F31" s="39">
        <v>91</v>
      </c>
      <c r="G31" s="39">
        <v>500</v>
      </c>
      <c r="H31" s="39">
        <v>372</v>
      </c>
      <c r="I31" s="39">
        <v>422</v>
      </c>
      <c r="J31" s="39">
        <v>155</v>
      </c>
      <c r="K31" s="39">
        <v>203</v>
      </c>
      <c r="L31" s="39">
        <v>159</v>
      </c>
      <c r="M31" s="39">
        <v>460</v>
      </c>
      <c r="N31" s="39">
        <v>412</v>
      </c>
      <c r="O31" s="39">
        <v>160</v>
      </c>
      <c r="P31">
        <v>596</v>
      </c>
      <c r="Q31" s="39">
        <v>1177</v>
      </c>
      <c r="R31">
        <v>185</v>
      </c>
      <c r="S31" s="39">
        <v>451</v>
      </c>
      <c r="T31">
        <v>257</v>
      </c>
      <c r="U31" s="39">
        <v>386</v>
      </c>
      <c r="V31">
        <v>142</v>
      </c>
      <c r="W31" s="39">
        <v>67</v>
      </c>
      <c r="X31">
        <v>105</v>
      </c>
      <c r="Y31" s="39">
        <v>2</v>
      </c>
      <c r="Z31">
        <v>3</v>
      </c>
      <c r="AA31" s="39">
        <v>154</v>
      </c>
      <c r="AB31">
        <v>44</v>
      </c>
      <c r="AC31" s="39">
        <v>273</v>
      </c>
      <c r="AD31">
        <v>311</v>
      </c>
      <c r="AE31" s="39">
        <v>492</v>
      </c>
      <c r="AF31">
        <v>129</v>
      </c>
      <c r="AG31" s="39">
        <v>76</v>
      </c>
      <c r="AH31" s="39">
        <v>241</v>
      </c>
      <c r="AI31" s="39">
        <v>329</v>
      </c>
      <c r="AJ31" s="39">
        <v>391</v>
      </c>
      <c r="AK31" s="39"/>
      <c r="AL31" s="39">
        <v>83</v>
      </c>
      <c r="AM31" s="39"/>
      <c r="AN31" s="39">
        <v>143</v>
      </c>
      <c r="AO31" s="40">
        <v>9396</v>
      </c>
    </row>
    <row r="32" spans="1:41">
      <c r="A32" s="38"/>
      <c r="B32" s="39" t="s">
        <v>64</v>
      </c>
      <c r="C32" s="39"/>
      <c r="D32" s="39">
        <v>20</v>
      </c>
      <c r="E32" s="39">
        <v>15</v>
      </c>
      <c r="F32" s="39">
        <v>6</v>
      </c>
      <c r="G32" s="39">
        <v>20</v>
      </c>
      <c r="H32" s="39">
        <v>4</v>
      </c>
      <c r="I32" s="39">
        <v>2</v>
      </c>
      <c r="J32" s="39">
        <v>14</v>
      </c>
      <c r="K32" s="39">
        <v>6</v>
      </c>
      <c r="L32" s="39">
        <v>14</v>
      </c>
      <c r="M32" s="39">
        <v>12</v>
      </c>
      <c r="N32" s="39">
        <v>14</v>
      </c>
      <c r="O32" s="39">
        <v>5</v>
      </c>
      <c r="P32">
        <v>14</v>
      </c>
      <c r="Q32" s="39">
        <v>22</v>
      </c>
      <c r="R32">
        <v>4</v>
      </c>
      <c r="S32" s="39">
        <v>2</v>
      </c>
      <c r="T32">
        <v>4</v>
      </c>
      <c r="U32" s="39">
        <v>24</v>
      </c>
      <c r="V32">
        <v>5</v>
      </c>
      <c r="W32" s="39">
        <v>7</v>
      </c>
      <c r="X32">
        <v>5</v>
      </c>
      <c r="Y32" s="39">
        <v>28</v>
      </c>
      <c r="Z32">
        <v>14</v>
      </c>
      <c r="AA32" s="39">
        <v>12</v>
      </c>
      <c r="AB32">
        <v>5</v>
      </c>
      <c r="AC32" s="39">
        <v>10</v>
      </c>
      <c r="AD32">
        <v>7</v>
      </c>
      <c r="AE32" s="39">
        <v>17</v>
      </c>
      <c r="AF32">
        <v>5</v>
      </c>
      <c r="AG32" s="39">
        <v>5</v>
      </c>
      <c r="AH32" s="39"/>
      <c r="AI32" s="39">
        <v>10</v>
      </c>
      <c r="AJ32" s="39"/>
      <c r="AK32" s="39">
        <v>15</v>
      </c>
      <c r="AL32" s="39">
        <v>11</v>
      </c>
      <c r="AM32" s="39">
        <v>15</v>
      </c>
      <c r="AN32" s="39">
        <v>12</v>
      </c>
      <c r="AO32" s="40">
        <v>385</v>
      </c>
    </row>
    <row r="33" spans="1:41">
      <c r="A33" s="38"/>
      <c r="B33" s="39" t="s">
        <v>65</v>
      </c>
      <c r="C33" s="39"/>
      <c r="D33" s="39">
        <v>12</v>
      </c>
      <c r="E33" s="39">
        <v>18</v>
      </c>
      <c r="F33" s="39">
        <v>33</v>
      </c>
      <c r="G33" s="39">
        <v>1</v>
      </c>
      <c r="H33" s="39">
        <v>27</v>
      </c>
      <c r="I33" s="39">
        <v>45</v>
      </c>
      <c r="J33" s="39">
        <v>34</v>
      </c>
      <c r="K33" s="39">
        <v>7</v>
      </c>
      <c r="L33" s="39">
        <v>1</v>
      </c>
      <c r="M33" s="39">
        <v>6</v>
      </c>
      <c r="N33" s="39">
        <v>19</v>
      </c>
      <c r="O33" s="39">
        <v>35</v>
      </c>
      <c r="P33">
        <v>3</v>
      </c>
      <c r="Q33" s="39">
        <v>59</v>
      </c>
      <c r="R33">
        <v>83</v>
      </c>
      <c r="S33" s="39">
        <v>207</v>
      </c>
      <c r="T33">
        <v>55</v>
      </c>
      <c r="U33" s="39">
        <v>22</v>
      </c>
      <c r="V33">
        <v>17</v>
      </c>
      <c r="W33" s="39">
        <v>43</v>
      </c>
      <c r="X33">
        <v>35</v>
      </c>
      <c r="Y33" s="39">
        <v>1</v>
      </c>
      <c r="Z33">
        <v>1</v>
      </c>
      <c r="AA33" s="39">
        <v>3</v>
      </c>
      <c r="AB33">
        <v>2</v>
      </c>
      <c r="AC33" s="39">
        <v>2</v>
      </c>
      <c r="AE33" s="39">
        <v>7</v>
      </c>
      <c r="AF33">
        <v>1</v>
      </c>
      <c r="AG33" s="39">
        <v>21</v>
      </c>
      <c r="AH33" s="39"/>
      <c r="AI33" s="39"/>
      <c r="AJ33" s="39">
        <v>2</v>
      </c>
      <c r="AK33" s="39">
        <v>16</v>
      </c>
      <c r="AL33" s="39">
        <v>32</v>
      </c>
      <c r="AM33" s="39"/>
      <c r="AN33" s="39">
        <v>5</v>
      </c>
      <c r="AO33" s="40">
        <v>855</v>
      </c>
    </row>
    <row r="34" spans="1:41">
      <c r="A34" s="38"/>
      <c r="B34" s="39" t="s">
        <v>66</v>
      </c>
      <c r="C34" s="39"/>
      <c r="D34" s="39">
        <v>5</v>
      </c>
      <c r="E34" s="39">
        <v>59</v>
      </c>
      <c r="F34" s="39">
        <v>1</v>
      </c>
      <c r="G34" s="39">
        <v>22</v>
      </c>
      <c r="H34" s="39">
        <v>50</v>
      </c>
      <c r="I34" s="39">
        <v>1</v>
      </c>
      <c r="J34" s="39">
        <v>28</v>
      </c>
      <c r="K34" s="39">
        <v>20</v>
      </c>
      <c r="L34" s="39">
        <v>8</v>
      </c>
      <c r="M34" s="39">
        <v>39</v>
      </c>
      <c r="N34" s="39">
        <v>26</v>
      </c>
      <c r="O34" s="39">
        <v>7</v>
      </c>
      <c r="P34">
        <v>20</v>
      </c>
      <c r="Q34" s="39">
        <v>12</v>
      </c>
      <c r="R34">
        <v>6</v>
      </c>
      <c r="S34" s="39">
        <v>13</v>
      </c>
      <c r="T34">
        <v>12</v>
      </c>
      <c r="U34" s="39">
        <v>79</v>
      </c>
      <c r="V34">
        <v>34</v>
      </c>
      <c r="W34" s="39">
        <v>22</v>
      </c>
      <c r="X34">
        <v>13</v>
      </c>
      <c r="Y34" s="39">
        <v>1</v>
      </c>
      <c r="AA34" s="39">
        <v>6</v>
      </c>
      <c r="AC34" s="39">
        <v>9</v>
      </c>
      <c r="AD34">
        <v>11</v>
      </c>
      <c r="AE34" s="39">
        <v>20</v>
      </c>
      <c r="AF34">
        <v>5</v>
      </c>
      <c r="AG34" s="39">
        <v>10</v>
      </c>
      <c r="AH34" s="39"/>
      <c r="AI34" s="39">
        <v>13</v>
      </c>
      <c r="AJ34" s="39">
        <v>18</v>
      </c>
      <c r="AK34" s="39">
        <v>45</v>
      </c>
      <c r="AL34" s="39">
        <v>32</v>
      </c>
      <c r="AM34" s="39">
        <v>0</v>
      </c>
      <c r="AN34" s="39">
        <v>4</v>
      </c>
      <c r="AO34" s="40">
        <v>651</v>
      </c>
    </row>
    <row r="35" spans="1:41">
      <c r="A35" s="38"/>
      <c r="B35" s="39" t="s">
        <v>67</v>
      </c>
      <c r="C35" s="39"/>
      <c r="D35" s="39">
        <v>21</v>
      </c>
      <c r="E35" s="39">
        <v>7</v>
      </c>
      <c r="F35" s="39">
        <v>5</v>
      </c>
      <c r="G35" s="39">
        <v>21</v>
      </c>
      <c r="H35" s="39">
        <v>1</v>
      </c>
      <c r="I35" s="39"/>
      <c r="J35" s="39"/>
      <c r="K35" s="39"/>
      <c r="L35" s="39"/>
      <c r="M35" s="39">
        <v>41</v>
      </c>
      <c r="N35" s="39">
        <v>168</v>
      </c>
      <c r="O35" s="39">
        <v>85</v>
      </c>
      <c r="P35">
        <v>4</v>
      </c>
      <c r="Q35" s="39">
        <v>80</v>
      </c>
      <c r="S35" s="39">
        <v>39</v>
      </c>
      <c r="U35" s="39">
        <v>5</v>
      </c>
      <c r="V35">
        <v>9</v>
      </c>
      <c r="W35" s="39">
        <v>6</v>
      </c>
      <c r="X35">
        <v>7</v>
      </c>
      <c r="Y35" s="39">
        <v>13</v>
      </c>
      <c r="Z35">
        <v>25</v>
      </c>
      <c r="AA35" s="39">
        <v>67</v>
      </c>
      <c r="AB35">
        <v>21</v>
      </c>
      <c r="AC35" s="39">
        <v>85</v>
      </c>
      <c r="AD35">
        <v>17</v>
      </c>
      <c r="AE35" s="39">
        <v>6</v>
      </c>
      <c r="AF35">
        <v>14</v>
      </c>
      <c r="AG35" s="39">
        <v>33</v>
      </c>
      <c r="AH35" s="39"/>
      <c r="AI35" s="39">
        <v>59</v>
      </c>
      <c r="AJ35" s="39">
        <v>7</v>
      </c>
      <c r="AK35" s="39">
        <v>2</v>
      </c>
      <c r="AL35" s="39">
        <v>6</v>
      </c>
      <c r="AM35" s="39">
        <v>8</v>
      </c>
      <c r="AN35" s="39">
        <v>25</v>
      </c>
      <c r="AO35" s="40">
        <v>887</v>
      </c>
    </row>
    <row r="36" spans="1:41">
      <c r="A36" s="38"/>
      <c r="B36" s="39" t="s">
        <v>68</v>
      </c>
      <c r="C36" s="39"/>
      <c r="D36" s="39">
        <v>6</v>
      </c>
      <c r="E36" s="39"/>
      <c r="F36" s="39"/>
      <c r="G36" s="39">
        <v>1</v>
      </c>
      <c r="H36" s="39">
        <v>1</v>
      </c>
      <c r="I36" s="39">
        <v>3</v>
      </c>
      <c r="J36" s="39">
        <v>16</v>
      </c>
      <c r="K36" s="39">
        <v>6</v>
      </c>
      <c r="L36" s="39">
        <v>5</v>
      </c>
      <c r="M36" s="39">
        <v>1</v>
      </c>
      <c r="N36" s="39">
        <v>3</v>
      </c>
      <c r="O36" s="39"/>
      <c r="Q36" s="39">
        <v>6</v>
      </c>
      <c r="S36" s="39"/>
      <c r="U36" s="39">
        <v>4</v>
      </c>
      <c r="W36" s="39"/>
      <c r="Y36" s="39">
        <v>3</v>
      </c>
      <c r="AA36" s="39"/>
      <c r="AC36" s="39"/>
      <c r="AE36" s="39"/>
      <c r="AG36" s="39"/>
      <c r="AH36" s="39"/>
      <c r="AI36" s="39"/>
      <c r="AJ36" s="39"/>
      <c r="AK36" s="39"/>
      <c r="AL36" s="39"/>
      <c r="AM36" s="39"/>
      <c r="AN36" s="39"/>
      <c r="AO36" s="40">
        <v>55</v>
      </c>
    </row>
    <row r="37" spans="1:41">
      <c r="A37" s="38"/>
      <c r="B37" s="39" t="s">
        <v>69</v>
      </c>
      <c r="C37" s="39"/>
      <c r="D37" s="39">
        <v>23</v>
      </c>
      <c r="E37" s="39">
        <v>42</v>
      </c>
      <c r="F37" s="39">
        <v>50</v>
      </c>
      <c r="G37" s="39">
        <v>39</v>
      </c>
      <c r="H37" s="39">
        <v>13</v>
      </c>
      <c r="I37" s="39">
        <v>7</v>
      </c>
      <c r="J37" s="39">
        <v>15</v>
      </c>
      <c r="K37" s="39">
        <v>20</v>
      </c>
      <c r="L37" s="39">
        <v>19</v>
      </c>
      <c r="M37" s="39">
        <v>28</v>
      </c>
      <c r="N37" s="39">
        <v>32</v>
      </c>
      <c r="O37" s="39"/>
      <c r="P37">
        <v>31</v>
      </c>
      <c r="Q37" s="39">
        <v>4</v>
      </c>
      <c r="R37">
        <v>9</v>
      </c>
      <c r="S37" s="39">
        <v>11</v>
      </c>
      <c r="T37">
        <v>6</v>
      </c>
      <c r="U37" s="39">
        <v>39</v>
      </c>
      <c r="V37">
        <v>15</v>
      </c>
      <c r="W37" s="39">
        <v>8</v>
      </c>
      <c r="X37">
        <v>16</v>
      </c>
      <c r="Y37" s="39">
        <v>4</v>
      </c>
      <c r="Z37">
        <v>4</v>
      </c>
      <c r="AA37" s="39">
        <v>8</v>
      </c>
      <c r="AB37">
        <v>33</v>
      </c>
      <c r="AC37" s="39"/>
      <c r="AD37">
        <v>11</v>
      </c>
      <c r="AE37" s="39"/>
      <c r="AF37">
        <v>36</v>
      </c>
      <c r="AG37" s="39">
        <v>3</v>
      </c>
      <c r="AH37" s="39"/>
      <c r="AI37" s="39"/>
      <c r="AJ37" s="39"/>
      <c r="AK37" s="39">
        <v>26</v>
      </c>
      <c r="AL37" s="39">
        <v>7</v>
      </c>
      <c r="AM37" s="39">
        <v>3</v>
      </c>
      <c r="AN37" s="39">
        <v>13</v>
      </c>
      <c r="AO37" s="40">
        <v>575</v>
      </c>
    </row>
    <row r="38" spans="1:41">
      <c r="A38" s="38"/>
      <c r="B38" s="39" t="s">
        <v>70</v>
      </c>
      <c r="C38" s="39"/>
      <c r="D38" s="39">
        <v>1</v>
      </c>
      <c r="E38" s="39"/>
      <c r="F38" s="39"/>
      <c r="G38" s="39">
        <v>2</v>
      </c>
      <c r="H38" s="39">
        <v>1</v>
      </c>
      <c r="I38" s="39">
        <v>1</v>
      </c>
      <c r="J38" s="39">
        <v>3</v>
      </c>
      <c r="K38" s="39">
        <v>1</v>
      </c>
      <c r="L38" s="39"/>
      <c r="M38" s="39"/>
      <c r="N38" s="39">
        <v>3</v>
      </c>
      <c r="O38" s="39"/>
      <c r="Q38" s="39">
        <v>1</v>
      </c>
      <c r="S38" s="39"/>
      <c r="U38" s="39">
        <v>4</v>
      </c>
      <c r="W38" s="39"/>
      <c r="Y38" s="39"/>
      <c r="AA38" s="39"/>
      <c r="AC38" s="39"/>
      <c r="AE38" s="39"/>
      <c r="AG38" s="39"/>
      <c r="AH38" s="39"/>
      <c r="AI38" s="39"/>
      <c r="AJ38" s="39"/>
      <c r="AK38" s="39"/>
      <c r="AL38" s="39"/>
      <c r="AM38" s="39"/>
      <c r="AN38" s="39"/>
      <c r="AO38" s="40">
        <v>17</v>
      </c>
    </row>
    <row r="39" spans="1:41">
      <c r="A39" s="38"/>
      <c r="B39" s="39" t="s">
        <v>71</v>
      </c>
      <c r="C39" s="39"/>
      <c r="D39" s="39">
        <v>1</v>
      </c>
      <c r="E39" s="39">
        <v>1</v>
      </c>
      <c r="F39" s="39">
        <v>1</v>
      </c>
      <c r="G39" s="39">
        <v>2</v>
      </c>
      <c r="H39" s="39">
        <v>13</v>
      </c>
      <c r="I39" s="39"/>
      <c r="J39" s="39">
        <v>2</v>
      </c>
      <c r="K39" s="39"/>
      <c r="L39" s="39"/>
      <c r="M39" s="39"/>
      <c r="N39" s="39">
        <v>5</v>
      </c>
      <c r="O39" s="39"/>
      <c r="P39">
        <v>4</v>
      </c>
      <c r="Q39" s="39">
        <v>17</v>
      </c>
      <c r="R39">
        <v>2</v>
      </c>
      <c r="S39" s="39">
        <v>1</v>
      </c>
      <c r="U39" s="39">
        <v>57</v>
      </c>
      <c r="W39" s="39"/>
      <c r="Y39" s="39"/>
      <c r="AA39" s="39"/>
      <c r="AC39" s="39"/>
      <c r="AE39" s="39"/>
      <c r="AG39" s="39"/>
      <c r="AH39" s="39"/>
      <c r="AI39" s="39"/>
      <c r="AJ39" s="39"/>
      <c r="AK39" s="39">
        <v>47</v>
      </c>
      <c r="AL39" s="39">
        <v>1</v>
      </c>
      <c r="AM39" s="39"/>
      <c r="AN39" s="39"/>
      <c r="AO39" s="40">
        <v>154</v>
      </c>
    </row>
    <row r="40" spans="1:41">
      <c r="A40" s="38"/>
      <c r="B40" s="39" t="s">
        <v>72</v>
      </c>
      <c r="C40" s="39"/>
      <c r="D40" s="39">
        <v>1</v>
      </c>
      <c r="E40" s="39"/>
      <c r="F40" s="39"/>
      <c r="G40" s="39"/>
      <c r="H40" s="39">
        <v>1</v>
      </c>
      <c r="I40" s="39"/>
      <c r="J40" s="39"/>
      <c r="K40" s="39"/>
      <c r="L40" s="39">
        <v>1</v>
      </c>
      <c r="M40" s="39"/>
      <c r="N40" s="39"/>
      <c r="O40" s="39"/>
      <c r="Q40" s="39">
        <v>1</v>
      </c>
      <c r="S40" s="39">
        <v>1</v>
      </c>
      <c r="U40" s="39"/>
      <c r="W40" s="39"/>
      <c r="X40">
        <v>1</v>
      </c>
      <c r="Y40" s="39">
        <v>4</v>
      </c>
      <c r="AA40" s="39"/>
      <c r="AC40" s="39"/>
      <c r="AE40" s="39"/>
      <c r="AG40" s="39"/>
      <c r="AH40" s="39"/>
      <c r="AI40" s="39">
        <v>1</v>
      </c>
      <c r="AJ40" s="39"/>
      <c r="AK40" s="39"/>
      <c r="AL40" s="39"/>
      <c r="AM40" s="39">
        <v>1</v>
      </c>
      <c r="AN40" s="39"/>
      <c r="AO40" s="40">
        <v>12</v>
      </c>
    </row>
    <row r="41" spans="1:41">
      <c r="A41" s="38"/>
      <c r="B41" s="39" t="s">
        <v>73</v>
      </c>
      <c r="C41" s="39"/>
      <c r="D41" s="39">
        <v>2</v>
      </c>
      <c r="E41" s="39">
        <v>1</v>
      </c>
      <c r="F41" s="39">
        <v>2</v>
      </c>
      <c r="G41" s="39">
        <v>2</v>
      </c>
      <c r="H41" s="39"/>
      <c r="I41" s="39"/>
      <c r="J41" s="39">
        <v>3</v>
      </c>
      <c r="K41" s="39">
        <v>6</v>
      </c>
      <c r="L41" s="39">
        <v>2</v>
      </c>
      <c r="M41" s="39">
        <v>1</v>
      </c>
      <c r="N41" s="39"/>
      <c r="O41" s="39">
        <v>2</v>
      </c>
      <c r="P41">
        <v>1</v>
      </c>
      <c r="Q41" s="39"/>
      <c r="S41" s="39"/>
      <c r="T41">
        <v>1</v>
      </c>
      <c r="U41" s="39">
        <v>3</v>
      </c>
      <c r="W41" s="39">
        <v>4</v>
      </c>
      <c r="X41">
        <v>4</v>
      </c>
      <c r="Y41" s="39">
        <v>6</v>
      </c>
      <c r="Z41">
        <v>5</v>
      </c>
      <c r="AA41" s="39"/>
      <c r="AB41">
        <v>1</v>
      </c>
      <c r="AC41" s="39">
        <v>1</v>
      </c>
      <c r="AE41" s="39"/>
      <c r="AF41">
        <v>2</v>
      </c>
      <c r="AG41" s="39">
        <v>11</v>
      </c>
      <c r="AH41" s="39"/>
      <c r="AI41" s="39"/>
      <c r="AJ41" s="39"/>
      <c r="AK41" s="39">
        <v>2</v>
      </c>
      <c r="AL41" s="39">
        <v>3</v>
      </c>
      <c r="AM41" s="39"/>
      <c r="AN41" s="39">
        <v>1</v>
      </c>
      <c r="AO41" s="40">
        <v>66</v>
      </c>
    </row>
    <row r="42" spans="1:41">
      <c r="A42" s="38"/>
      <c r="B42" s="39" t="s">
        <v>74</v>
      </c>
      <c r="C42" s="39"/>
      <c r="D42" s="39">
        <v>7</v>
      </c>
      <c r="E42" s="39"/>
      <c r="F42" s="39">
        <v>1</v>
      </c>
      <c r="G42" s="39"/>
      <c r="H42" s="39">
        <v>1</v>
      </c>
      <c r="I42" s="39">
        <v>2</v>
      </c>
      <c r="J42" s="39">
        <v>19</v>
      </c>
      <c r="K42" s="39">
        <v>11</v>
      </c>
      <c r="L42" s="39">
        <v>1</v>
      </c>
      <c r="M42" s="39"/>
      <c r="N42" s="39">
        <v>3</v>
      </c>
      <c r="O42" s="39"/>
      <c r="P42">
        <v>1</v>
      </c>
      <c r="Q42" s="39"/>
      <c r="S42" s="39"/>
      <c r="U42" s="39">
        <v>6</v>
      </c>
      <c r="V42">
        <v>1</v>
      </c>
      <c r="W42" s="39"/>
      <c r="Y42" s="39"/>
      <c r="AA42" s="39"/>
      <c r="AB42">
        <v>1</v>
      </c>
      <c r="AC42" s="39"/>
      <c r="AE42" s="39"/>
      <c r="AG42" s="39"/>
      <c r="AH42" s="39"/>
      <c r="AI42" s="39"/>
      <c r="AJ42" s="39"/>
      <c r="AK42" s="39"/>
      <c r="AL42" s="39"/>
      <c r="AM42" s="39"/>
      <c r="AN42" s="39"/>
      <c r="AO42" s="40">
        <v>54</v>
      </c>
    </row>
    <row r="43" spans="1:41">
      <c r="A43" s="38"/>
      <c r="B43" s="39" t="s">
        <v>75</v>
      </c>
      <c r="C43" s="39"/>
      <c r="D43" s="39">
        <v>7</v>
      </c>
      <c r="E43" s="39">
        <v>17</v>
      </c>
      <c r="F43" s="39">
        <v>8</v>
      </c>
      <c r="G43" s="39">
        <v>9</v>
      </c>
      <c r="H43" s="39">
        <v>4</v>
      </c>
      <c r="I43" s="39">
        <v>21</v>
      </c>
      <c r="J43" s="39">
        <v>1</v>
      </c>
      <c r="K43" s="39">
        <v>8</v>
      </c>
      <c r="L43" s="39">
        <v>17</v>
      </c>
      <c r="M43" s="39">
        <v>21</v>
      </c>
      <c r="N43" s="39">
        <v>12</v>
      </c>
      <c r="O43" s="39">
        <v>8</v>
      </c>
      <c r="P43">
        <v>7</v>
      </c>
      <c r="Q43" s="39">
        <v>14</v>
      </c>
      <c r="R43">
        <v>29</v>
      </c>
      <c r="S43" s="39">
        <v>26</v>
      </c>
      <c r="T43">
        <v>12</v>
      </c>
      <c r="U43" s="39">
        <v>12</v>
      </c>
      <c r="V43">
        <v>6</v>
      </c>
      <c r="W43" s="39">
        <v>7</v>
      </c>
      <c r="X43">
        <v>7</v>
      </c>
      <c r="Y43" s="39">
        <v>9</v>
      </c>
      <c r="Z43">
        <v>2</v>
      </c>
      <c r="AA43" s="39">
        <v>12</v>
      </c>
      <c r="AC43" s="39">
        <v>10</v>
      </c>
      <c r="AD43">
        <v>6</v>
      </c>
      <c r="AE43" s="39">
        <v>10</v>
      </c>
      <c r="AF43">
        <v>13</v>
      </c>
      <c r="AG43" s="39">
        <v>7</v>
      </c>
      <c r="AH43" s="39"/>
      <c r="AI43" s="39">
        <v>6</v>
      </c>
      <c r="AJ43" s="39">
        <v>4</v>
      </c>
      <c r="AK43" s="39">
        <v>7</v>
      </c>
      <c r="AL43" s="39">
        <v>3</v>
      </c>
      <c r="AM43" s="39">
        <v>2</v>
      </c>
      <c r="AN43" s="39">
        <v>7</v>
      </c>
      <c r="AO43" s="40">
        <v>351</v>
      </c>
    </row>
    <row r="44" spans="1:41">
      <c r="A44" s="38"/>
      <c r="B44" s="39" t="s">
        <v>76</v>
      </c>
      <c r="C44" s="39"/>
      <c r="D44" s="39">
        <v>2</v>
      </c>
      <c r="E44" s="39"/>
      <c r="F44" s="39"/>
      <c r="G44" s="39"/>
      <c r="H44" s="39"/>
      <c r="I44" s="39"/>
      <c r="J44" s="39">
        <v>1</v>
      </c>
      <c r="K44" s="39"/>
      <c r="L44" s="39"/>
      <c r="M44" s="39">
        <v>1</v>
      </c>
      <c r="N44" s="39"/>
      <c r="O44" s="39"/>
      <c r="Q44" s="39"/>
      <c r="S44" s="39"/>
      <c r="U44" s="39"/>
      <c r="W44" s="39"/>
      <c r="Y44" s="39"/>
      <c r="AA44" s="39"/>
      <c r="AC44" s="39"/>
      <c r="AE44" s="39"/>
      <c r="AG44" s="39">
        <v>1</v>
      </c>
      <c r="AH44" s="39"/>
      <c r="AI44" s="39"/>
      <c r="AJ44" s="39"/>
      <c r="AK44" s="39">
        <v>1</v>
      </c>
      <c r="AL44" s="39"/>
      <c r="AM44" s="39"/>
      <c r="AN44" s="39"/>
      <c r="AO44" s="40">
        <v>6</v>
      </c>
    </row>
    <row r="45" spans="1:41">
      <c r="A45" s="38"/>
      <c r="B45" s="39" t="s">
        <v>77</v>
      </c>
      <c r="C45" s="39"/>
      <c r="D45" s="39">
        <v>1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Q45" s="39"/>
      <c r="S45" s="39"/>
      <c r="U45" s="39">
        <v>1</v>
      </c>
      <c r="W45" s="39"/>
      <c r="Y45" s="39"/>
      <c r="AA45" s="39"/>
      <c r="AC45" s="39"/>
      <c r="AE45" s="39"/>
      <c r="AG45" s="39"/>
      <c r="AH45" s="39"/>
      <c r="AI45" s="39"/>
      <c r="AJ45" s="39"/>
      <c r="AK45" s="39"/>
      <c r="AL45" s="39"/>
      <c r="AM45" s="39"/>
      <c r="AN45" s="39"/>
      <c r="AO45" s="40">
        <v>2</v>
      </c>
    </row>
    <row r="46" spans="1:41">
      <c r="A46" s="38"/>
      <c r="B46" s="39" t="s">
        <v>78</v>
      </c>
      <c r="C46" s="39"/>
      <c r="D46" s="39">
        <v>4</v>
      </c>
      <c r="E46" s="39">
        <v>11</v>
      </c>
      <c r="F46" s="39">
        <v>2</v>
      </c>
      <c r="G46" s="39">
        <v>2</v>
      </c>
      <c r="H46" s="39"/>
      <c r="I46" s="39">
        <v>2</v>
      </c>
      <c r="J46" s="39">
        <v>20</v>
      </c>
      <c r="K46" s="39">
        <v>4</v>
      </c>
      <c r="L46" s="39">
        <v>2</v>
      </c>
      <c r="M46" s="39">
        <v>36</v>
      </c>
      <c r="N46" s="39">
        <v>2</v>
      </c>
      <c r="O46" s="39">
        <v>2</v>
      </c>
      <c r="Q46" s="39">
        <v>4</v>
      </c>
      <c r="R46">
        <v>4</v>
      </c>
      <c r="S46" s="39"/>
      <c r="U46" s="39">
        <v>6</v>
      </c>
      <c r="V46">
        <v>3</v>
      </c>
      <c r="W46" s="39">
        <v>5</v>
      </c>
      <c r="X46">
        <v>7</v>
      </c>
      <c r="Y46" s="39">
        <v>15</v>
      </c>
      <c r="Z46">
        <v>4</v>
      </c>
      <c r="AA46" s="39">
        <v>8</v>
      </c>
      <c r="AB46">
        <v>7</v>
      </c>
      <c r="AC46" s="39">
        <v>1</v>
      </c>
      <c r="AD46">
        <v>7</v>
      </c>
      <c r="AE46" s="39">
        <v>3</v>
      </c>
      <c r="AF46">
        <v>10</v>
      </c>
      <c r="AG46" s="39"/>
      <c r="AH46" s="39"/>
      <c r="AI46" s="39">
        <v>3</v>
      </c>
      <c r="AJ46" s="39">
        <v>3</v>
      </c>
      <c r="AK46" s="39">
        <v>2</v>
      </c>
      <c r="AL46" s="39">
        <v>4</v>
      </c>
      <c r="AM46" s="39">
        <v>1</v>
      </c>
      <c r="AN46" s="39">
        <v>4</v>
      </c>
      <c r="AO46" s="40">
        <v>188</v>
      </c>
    </row>
    <row r="47" spans="1:41">
      <c r="A47" s="38"/>
      <c r="B47" s="39" t="s">
        <v>46</v>
      </c>
      <c r="C47" s="39"/>
      <c r="D47" s="39">
        <v>1</v>
      </c>
      <c r="E47" s="39">
        <v>4</v>
      </c>
      <c r="F47" s="39"/>
      <c r="G47" s="39">
        <v>3</v>
      </c>
      <c r="H47" s="39">
        <v>5</v>
      </c>
      <c r="I47" s="39">
        <v>2</v>
      </c>
      <c r="J47" s="39">
        <v>4</v>
      </c>
      <c r="K47" s="39">
        <v>7</v>
      </c>
      <c r="L47" s="39">
        <v>5</v>
      </c>
      <c r="M47" s="39">
        <v>10</v>
      </c>
      <c r="N47" s="39">
        <v>12</v>
      </c>
      <c r="O47" s="39">
        <v>7</v>
      </c>
      <c r="P47">
        <v>11</v>
      </c>
      <c r="Q47" s="39">
        <v>6</v>
      </c>
      <c r="R47">
        <v>3</v>
      </c>
      <c r="S47" s="39">
        <v>9</v>
      </c>
      <c r="T47">
        <v>8</v>
      </c>
      <c r="U47" s="39">
        <v>11</v>
      </c>
      <c r="V47">
        <v>3</v>
      </c>
      <c r="W47" s="39"/>
      <c r="Y47" s="39">
        <v>1</v>
      </c>
      <c r="Z47">
        <v>4</v>
      </c>
      <c r="AA47" s="39">
        <v>16</v>
      </c>
      <c r="AB47">
        <v>2</v>
      </c>
      <c r="AC47" s="39">
        <v>5</v>
      </c>
      <c r="AE47" s="39">
        <v>11</v>
      </c>
      <c r="AF47">
        <v>3</v>
      </c>
      <c r="AG47" s="39">
        <v>2</v>
      </c>
      <c r="AH47" s="39"/>
      <c r="AI47" s="39">
        <v>7</v>
      </c>
      <c r="AJ47" s="39">
        <v>6</v>
      </c>
      <c r="AK47" s="39">
        <v>15</v>
      </c>
      <c r="AL47" s="39">
        <v>1</v>
      </c>
      <c r="AM47" s="39"/>
      <c r="AN47" s="39">
        <v>7</v>
      </c>
      <c r="AO47" s="40">
        <v>191</v>
      </c>
    </row>
    <row r="48" spans="1:41">
      <c r="A48" s="38"/>
      <c r="B48" s="39" t="s">
        <v>79</v>
      </c>
      <c r="C48" s="39"/>
      <c r="D48" s="39">
        <v>1</v>
      </c>
      <c r="E48" s="39"/>
      <c r="F48" s="39"/>
      <c r="G48" s="39">
        <v>1</v>
      </c>
      <c r="H48" s="39"/>
      <c r="I48" s="39"/>
      <c r="J48" s="39">
        <v>1</v>
      </c>
      <c r="K48" s="39"/>
      <c r="L48" s="39"/>
      <c r="M48" s="39"/>
      <c r="N48" s="39">
        <v>2</v>
      </c>
      <c r="O48" s="39">
        <v>3</v>
      </c>
      <c r="Q48" s="39"/>
      <c r="S48" s="39"/>
      <c r="U48" s="39"/>
      <c r="W48" s="39"/>
      <c r="Y48" s="39">
        <v>1</v>
      </c>
      <c r="AA48" s="39">
        <v>4</v>
      </c>
      <c r="AC48" s="39">
        <v>1</v>
      </c>
      <c r="AD48">
        <v>1</v>
      </c>
      <c r="AE48" s="39">
        <v>1</v>
      </c>
      <c r="AG48" s="39"/>
      <c r="AH48" s="39"/>
      <c r="AI48" s="39"/>
      <c r="AJ48" s="39">
        <v>1</v>
      </c>
      <c r="AK48" s="39">
        <v>1</v>
      </c>
      <c r="AL48" s="39"/>
      <c r="AM48" s="39">
        <v>1</v>
      </c>
      <c r="AN48" s="39">
        <v>6</v>
      </c>
      <c r="AO48" s="40">
        <v>25</v>
      </c>
    </row>
    <row r="49" spans="1:41">
      <c r="A49" s="38"/>
      <c r="B49" s="39" t="s">
        <v>80</v>
      </c>
      <c r="C49" s="39"/>
      <c r="D49" s="39">
        <v>1</v>
      </c>
      <c r="E49" s="39">
        <v>3</v>
      </c>
      <c r="F49" s="39"/>
      <c r="G49" s="39">
        <v>2</v>
      </c>
      <c r="H49" s="39">
        <v>11</v>
      </c>
      <c r="I49" s="39">
        <v>17</v>
      </c>
      <c r="J49" s="39">
        <v>45</v>
      </c>
      <c r="K49" s="39">
        <v>11</v>
      </c>
      <c r="L49" s="39">
        <v>1</v>
      </c>
      <c r="M49" s="39">
        <v>7</v>
      </c>
      <c r="N49" s="39">
        <v>15</v>
      </c>
      <c r="O49" s="39">
        <v>28</v>
      </c>
      <c r="P49">
        <v>33</v>
      </c>
      <c r="Q49" s="39">
        <v>65</v>
      </c>
      <c r="R49">
        <v>16</v>
      </c>
      <c r="S49" s="39">
        <v>49</v>
      </c>
      <c r="T49">
        <v>29</v>
      </c>
      <c r="U49" s="39">
        <v>9</v>
      </c>
      <c r="V49">
        <v>5</v>
      </c>
      <c r="W49" s="39">
        <v>12</v>
      </c>
      <c r="X49">
        <v>25</v>
      </c>
      <c r="Y49" s="39"/>
      <c r="AA49" s="39">
        <v>1</v>
      </c>
      <c r="AB49">
        <v>3</v>
      </c>
      <c r="AC49" s="39"/>
      <c r="AD49">
        <v>2</v>
      </c>
      <c r="AE49" s="39">
        <v>2</v>
      </c>
      <c r="AF49">
        <v>4</v>
      </c>
      <c r="AG49" s="39">
        <v>19</v>
      </c>
      <c r="AH49" s="39">
        <v>9</v>
      </c>
      <c r="AI49" s="39">
        <v>3</v>
      </c>
      <c r="AJ49" s="39">
        <v>4</v>
      </c>
      <c r="AK49" s="39"/>
      <c r="AL49" s="39">
        <v>26</v>
      </c>
      <c r="AM49" s="39"/>
      <c r="AN49" s="39">
        <v>1</v>
      </c>
      <c r="AO49" s="40">
        <v>458</v>
      </c>
    </row>
    <row r="50" spans="1:41">
      <c r="A50" s="38"/>
      <c r="B50" s="39" t="s">
        <v>81</v>
      </c>
      <c r="C50" s="39"/>
      <c r="D50" s="39">
        <v>1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Q50" s="39"/>
      <c r="S50" s="39">
        <v>1</v>
      </c>
      <c r="U50" s="39"/>
      <c r="W50" s="39"/>
      <c r="Y50" s="39">
        <v>19</v>
      </c>
      <c r="Z50">
        <v>6</v>
      </c>
      <c r="AA50" s="39"/>
      <c r="AB50">
        <v>2</v>
      </c>
      <c r="AC50" s="39"/>
      <c r="AE50" s="39"/>
      <c r="AG50" s="39"/>
      <c r="AH50" s="39"/>
      <c r="AI50" s="39"/>
      <c r="AJ50" s="39"/>
      <c r="AK50" s="39"/>
      <c r="AL50" s="39"/>
      <c r="AM50" s="39">
        <v>4</v>
      </c>
      <c r="AN50" s="39">
        <v>1</v>
      </c>
      <c r="AO50" s="40">
        <v>34</v>
      </c>
    </row>
    <row r="51" spans="1:41">
      <c r="A51" s="38"/>
      <c r="B51" s="39" t="s">
        <v>82</v>
      </c>
      <c r="C51" s="39"/>
      <c r="D51" s="39">
        <v>1</v>
      </c>
      <c r="E51" s="39"/>
      <c r="F51" s="39"/>
      <c r="G51" s="39">
        <v>1</v>
      </c>
      <c r="H51" s="39"/>
      <c r="I51" s="39"/>
      <c r="J51" s="39">
        <v>1</v>
      </c>
      <c r="K51" s="39"/>
      <c r="L51" s="39"/>
      <c r="M51" s="39"/>
      <c r="N51" s="39"/>
      <c r="O51" s="39"/>
      <c r="Q51" s="39"/>
      <c r="S51" s="39"/>
      <c r="U51" s="39"/>
      <c r="W51" s="39"/>
      <c r="X51">
        <v>1</v>
      </c>
      <c r="Y51" s="39"/>
      <c r="AA51" s="39">
        <v>2</v>
      </c>
      <c r="AC51" s="39"/>
      <c r="AE51" s="39"/>
      <c r="AG51" s="39"/>
      <c r="AH51" s="39"/>
      <c r="AI51" s="39"/>
      <c r="AJ51" s="39"/>
      <c r="AK51" s="39">
        <v>1</v>
      </c>
      <c r="AL51" s="39">
        <v>1</v>
      </c>
      <c r="AM51" s="39"/>
      <c r="AN51" s="39"/>
      <c r="AO51" s="40">
        <v>8</v>
      </c>
    </row>
    <row r="52" spans="1:41">
      <c r="A52" s="38"/>
      <c r="B52" s="39" t="s">
        <v>83</v>
      </c>
      <c r="C52" s="39"/>
      <c r="D52" s="39">
        <v>1</v>
      </c>
      <c r="E52" s="39"/>
      <c r="F52" s="39">
        <v>1</v>
      </c>
      <c r="G52" s="39">
        <v>1</v>
      </c>
      <c r="H52" s="39"/>
      <c r="I52" s="39">
        <v>2</v>
      </c>
      <c r="J52" s="39">
        <v>3</v>
      </c>
      <c r="K52" s="39">
        <v>2</v>
      </c>
      <c r="L52" s="39">
        <v>3</v>
      </c>
      <c r="M52" s="39">
        <v>5</v>
      </c>
      <c r="N52" s="39"/>
      <c r="O52" s="39"/>
      <c r="Q52" s="39">
        <v>4</v>
      </c>
      <c r="R52">
        <v>3</v>
      </c>
      <c r="S52" s="39"/>
      <c r="T52">
        <v>1</v>
      </c>
      <c r="U52" s="39">
        <v>8</v>
      </c>
      <c r="V52">
        <v>4</v>
      </c>
      <c r="W52" s="39">
        <v>3</v>
      </c>
      <c r="Y52" s="39">
        <v>6</v>
      </c>
      <c r="AA52" s="39"/>
      <c r="AC52" s="39">
        <v>2</v>
      </c>
      <c r="AD52">
        <v>1</v>
      </c>
      <c r="AE52" s="39">
        <v>5</v>
      </c>
      <c r="AF52">
        <v>2</v>
      </c>
      <c r="AG52" s="39">
        <v>1</v>
      </c>
      <c r="AH52" s="39"/>
      <c r="AI52" s="39">
        <v>4</v>
      </c>
      <c r="AJ52" s="39"/>
      <c r="AK52" s="39">
        <v>5</v>
      </c>
      <c r="AL52" s="39">
        <v>1</v>
      </c>
      <c r="AM52" s="39"/>
      <c r="AN52" s="39">
        <v>3</v>
      </c>
      <c r="AO52" s="40">
        <v>71</v>
      </c>
    </row>
    <row r="53" spans="1:41">
      <c r="A53" s="38"/>
      <c r="B53" s="39" t="s">
        <v>84</v>
      </c>
      <c r="C53" s="39"/>
      <c r="D53" s="39"/>
      <c r="E53" s="39">
        <v>1</v>
      </c>
      <c r="F53" s="39"/>
      <c r="G53" s="39"/>
      <c r="H53" s="39"/>
      <c r="I53" s="39"/>
      <c r="J53" s="39"/>
      <c r="K53" s="39"/>
      <c r="L53" s="39"/>
      <c r="M53" s="39"/>
      <c r="N53" s="39">
        <v>1</v>
      </c>
      <c r="O53" s="39"/>
      <c r="Q53" s="39"/>
      <c r="S53" s="39"/>
      <c r="U53" s="39"/>
      <c r="W53" s="39">
        <v>1</v>
      </c>
      <c r="Y53" s="39"/>
      <c r="AA53" s="39"/>
      <c r="AB53">
        <v>1</v>
      </c>
      <c r="AC53" s="39"/>
      <c r="AE53" s="39"/>
      <c r="AG53" s="39"/>
      <c r="AH53" s="39"/>
      <c r="AI53" s="39">
        <v>1</v>
      </c>
      <c r="AJ53" s="39"/>
      <c r="AK53" s="39"/>
      <c r="AL53" s="39"/>
      <c r="AM53" s="39"/>
      <c r="AN53" s="39"/>
      <c r="AO53" s="40">
        <v>5</v>
      </c>
    </row>
    <row r="54" spans="1:41">
      <c r="A54" s="38"/>
      <c r="B54" s="39" t="s">
        <v>85</v>
      </c>
      <c r="C54" s="39"/>
      <c r="D54" s="39"/>
      <c r="E54" s="39">
        <v>11</v>
      </c>
      <c r="F54" s="39">
        <v>6</v>
      </c>
      <c r="G54" s="39">
        <v>14</v>
      </c>
      <c r="H54" s="39">
        <v>10</v>
      </c>
      <c r="I54" s="39">
        <v>11</v>
      </c>
      <c r="J54" s="39">
        <v>30</v>
      </c>
      <c r="K54" s="39">
        <v>29</v>
      </c>
      <c r="L54" s="39">
        <v>12</v>
      </c>
      <c r="M54" s="39">
        <v>18</v>
      </c>
      <c r="N54" s="39">
        <v>18</v>
      </c>
      <c r="O54" s="39">
        <v>13</v>
      </c>
      <c r="P54">
        <v>23</v>
      </c>
      <c r="Q54" s="39">
        <v>1</v>
      </c>
      <c r="R54">
        <v>3</v>
      </c>
      <c r="S54" s="39">
        <v>9</v>
      </c>
      <c r="T54">
        <v>5</v>
      </c>
      <c r="U54" s="39">
        <v>3</v>
      </c>
      <c r="V54">
        <v>20</v>
      </c>
      <c r="W54" s="39">
        <v>8</v>
      </c>
      <c r="X54">
        <v>8</v>
      </c>
      <c r="Y54" s="39"/>
      <c r="Z54">
        <v>2</v>
      </c>
      <c r="AA54" s="39">
        <v>4</v>
      </c>
      <c r="AB54">
        <v>2</v>
      </c>
      <c r="AC54" s="39">
        <v>9</v>
      </c>
      <c r="AD54">
        <v>1</v>
      </c>
      <c r="AE54" s="39">
        <v>10</v>
      </c>
      <c r="AF54">
        <v>5</v>
      </c>
      <c r="AG54" s="39">
        <v>15</v>
      </c>
      <c r="AH54" s="39"/>
      <c r="AI54" s="39">
        <v>11</v>
      </c>
      <c r="AJ54" s="39">
        <v>13</v>
      </c>
      <c r="AK54" s="39">
        <v>10</v>
      </c>
      <c r="AL54" s="39">
        <v>5</v>
      </c>
      <c r="AM54" s="39"/>
      <c r="AN54" s="39">
        <v>9</v>
      </c>
      <c r="AO54" s="40">
        <v>348</v>
      </c>
    </row>
    <row r="55" spans="1:41">
      <c r="A55" s="38"/>
      <c r="B55" s="39" t="s">
        <v>86</v>
      </c>
      <c r="C55" s="39"/>
      <c r="D55" s="39"/>
      <c r="E55" s="39">
        <v>1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Q55" s="39"/>
      <c r="S55" s="39">
        <v>116</v>
      </c>
      <c r="U55" s="39"/>
      <c r="W55" s="39"/>
      <c r="Y55" s="39"/>
      <c r="AA55" s="39"/>
      <c r="AC55" s="39"/>
      <c r="AE55" s="39"/>
      <c r="AG55" s="39"/>
      <c r="AH55" s="39"/>
      <c r="AI55" s="39"/>
      <c r="AJ55" s="39"/>
      <c r="AK55" s="39"/>
      <c r="AL55" s="39"/>
      <c r="AM55" s="39"/>
      <c r="AN55" s="39"/>
      <c r="AO55" s="40">
        <v>117</v>
      </c>
    </row>
    <row r="56" spans="1:41">
      <c r="A56" s="38"/>
      <c r="B56" s="39" t="s">
        <v>87</v>
      </c>
      <c r="C56" s="39"/>
      <c r="D56" s="39"/>
      <c r="E56" s="39">
        <v>1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Q56" s="39"/>
      <c r="S56" s="39"/>
      <c r="U56" s="39"/>
      <c r="W56" s="39">
        <v>1</v>
      </c>
      <c r="Y56" s="39"/>
      <c r="AA56" s="39"/>
      <c r="AC56" s="39"/>
      <c r="AE56" s="39"/>
      <c r="AG56" s="39"/>
      <c r="AH56" s="39"/>
      <c r="AI56" s="39"/>
      <c r="AJ56" s="39"/>
      <c r="AK56" s="39"/>
      <c r="AL56" s="39"/>
      <c r="AM56" s="39"/>
      <c r="AN56" s="39"/>
      <c r="AO56" s="40">
        <v>2</v>
      </c>
    </row>
    <row r="57" spans="1:41">
      <c r="A57" s="38"/>
      <c r="B57" s="39" t="s">
        <v>88</v>
      </c>
      <c r="C57" s="39"/>
      <c r="D57" s="39"/>
      <c r="E57" s="39">
        <v>1</v>
      </c>
      <c r="F57" s="39"/>
      <c r="G57" s="39"/>
      <c r="H57" s="39"/>
      <c r="I57" s="39"/>
      <c r="J57" s="39">
        <v>1</v>
      </c>
      <c r="K57" s="39"/>
      <c r="L57" s="39"/>
      <c r="M57" s="39"/>
      <c r="N57" s="39"/>
      <c r="O57" s="39"/>
      <c r="Q57" s="39"/>
      <c r="S57" s="39"/>
      <c r="U57" s="39"/>
      <c r="W57" s="39"/>
      <c r="Y57" s="39"/>
      <c r="AA57" s="39"/>
      <c r="AC57" s="39"/>
      <c r="AE57" s="39"/>
      <c r="AG57" s="39"/>
      <c r="AH57" s="39"/>
      <c r="AI57" s="39"/>
      <c r="AJ57" s="39"/>
      <c r="AK57" s="39"/>
      <c r="AL57" s="39"/>
      <c r="AM57" s="39"/>
      <c r="AN57" s="39"/>
      <c r="AO57" s="40">
        <v>2</v>
      </c>
    </row>
    <row r="58" spans="1:41">
      <c r="A58" s="38"/>
      <c r="B58" s="39" t="s">
        <v>89</v>
      </c>
      <c r="C58" s="39"/>
      <c r="D58" s="39"/>
      <c r="E58" s="39">
        <v>1</v>
      </c>
      <c r="F58" s="39">
        <v>15</v>
      </c>
      <c r="G58" s="39">
        <v>2</v>
      </c>
      <c r="H58" s="39"/>
      <c r="I58" s="39">
        <v>1</v>
      </c>
      <c r="J58" s="39"/>
      <c r="K58" s="39"/>
      <c r="L58" s="39"/>
      <c r="M58" s="39"/>
      <c r="N58" s="39">
        <v>34</v>
      </c>
      <c r="O58" s="39">
        <v>3</v>
      </c>
      <c r="P58">
        <v>4</v>
      </c>
      <c r="Q58" s="39">
        <v>1</v>
      </c>
      <c r="S58" s="39"/>
      <c r="U58" s="39"/>
      <c r="W58" s="39"/>
      <c r="Y58" s="39">
        <v>13</v>
      </c>
      <c r="Z58">
        <v>14</v>
      </c>
      <c r="AA58" s="39"/>
      <c r="AB58">
        <v>2</v>
      </c>
      <c r="AC58" s="39">
        <v>1</v>
      </c>
      <c r="AD58">
        <v>1</v>
      </c>
      <c r="AE58" s="39">
        <v>2</v>
      </c>
      <c r="AF58">
        <v>2</v>
      </c>
      <c r="AG58" s="39">
        <v>4</v>
      </c>
      <c r="AH58" s="39"/>
      <c r="AI58" s="39">
        <v>1</v>
      </c>
      <c r="AJ58" s="39">
        <v>1</v>
      </c>
      <c r="AK58" s="39"/>
      <c r="AL58" s="39"/>
      <c r="AM58" s="39">
        <v>3</v>
      </c>
      <c r="AN58" s="39">
        <v>1</v>
      </c>
      <c r="AO58" s="40">
        <v>106</v>
      </c>
    </row>
    <row r="59" spans="1:41">
      <c r="A59" s="38"/>
      <c r="B59" s="39" t="s">
        <v>90</v>
      </c>
      <c r="C59" s="39"/>
      <c r="D59" s="39"/>
      <c r="E59" s="39">
        <v>1</v>
      </c>
      <c r="F59" s="39"/>
      <c r="G59" s="39"/>
      <c r="H59" s="39"/>
      <c r="I59" s="39">
        <v>2</v>
      </c>
      <c r="J59" s="39">
        <v>5</v>
      </c>
      <c r="K59" s="39">
        <v>2</v>
      </c>
      <c r="L59" s="39"/>
      <c r="M59" s="39"/>
      <c r="N59" s="39"/>
      <c r="O59" s="39"/>
      <c r="Q59" s="39"/>
      <c r="S59" s="39"/>
      <c r="U59" s="39">
        <v>1</v>
      </c>
      <c r="W59" s="39">
        <v>2</v>
      </c>
      <c r="Y59" s="39">
        <v>1</v>
      </c>
      <c r="AA59" s="39">
        <v>3</v>
      </c>
      <c r="AC59" s="39">
        <v>2</v>
      </c>
      <c r="AD59">
        <v>2</v>
      </c>
      <c r="AE59" s="39"/>
      <c r="AF59">
        <v>1</v>
      </c>
      <c r="AG59" s="39"/>
      <c r="AH59" s="39"/>
      <c r="AI59" s="39"/>
      <c r="AJ59" s="39">
        <v>1</v>
      </c>
      <c r="AK59" s="39"/>
      <c r="AL59" s="39"/>
      <c r="AM59" s="39">
        <v>2</v>
      </c>
      <c r="AN59" s="39">
        <v>2</v>
      </c>
      <c r="AO59" s="40">
        <v>27</v>
      </c>
    </row>
    <row r="60" spans="1:41">
      <c r="A60" s="38"/>
      <c r="B60" s="39" t="s">
        <v>91</v>
      </c>
      <c r="C60" s="39"/>
      <c r="D60" s="39"/>
      <c r="E60" s="39"/>
      <c r="F60" s="39">
        <v>1</v>
      </c>
      <c r="G60" s="39"/>
      <c r="H60" s="39">
        <v>1</v>
      </c>
      <c r="I60" s="39"/>
      <c r="J60" s="39"/>
      <c r="K60" s="39"/>
      <c r="L60" s="39"/>
      <c r="M60" s="39">
        <v>1</v>
      </c>
      <c r="N60" s="39"/>
      <c r="O60" s="39"/>
      <c r="P60">
        <v>1</v>
      </c>
      <c r="Q60" s="39">
        <v>1</v>
      </c>
      <c r="S60" s="39">
        <v>1</v>
      </c>
      <c r="U60" s="39">
        <v>6</v>
      </c>
      <c r="V60">
        <v>3</v>
      </c>
      <c r="W60" s="39"/>
      <c r="Y60" s="39">
        <v>9</v>
      </c>
      <c r="AA60" s="39">
        <v>2</v>
      </c>
      <c r="AB60">
        <v>1</v>
      </c>
      <c r="AC60" s="39">
        <v>1</v>
      </c>
      <c r="AE60" s="39">
        <v>5</v>
      </c>
      <c r="AG60" s="39">
        <v>1</v>
      </c>
      <c r="AH60" s="39"/>
      <c r="AI60" s="39">
        <v>3</v>
      </c>
      <c r="AJ60" s="39">
        <v>3</v>
      </c>
      <c r="AK60" s="39">
        <v>7</v>
      </c>
      <c r="AL60" s="39"/>
      <c r="AM60" s="39"/>
      <c r="AN60" s="39"/>
      <c r="AO60" s="40">
        <v>47</v>
      </c>
    </row>
    <row r="61" spans="1:41">
      <c r="A61" s="38"/>
      <c r="B61" s="39" t="s">
        <v>92</v>
      </c>
      <c r="C61" s="39"/>
      <c r="D61" s="39"/>
      <c r="E61" s="39"/>
      <c r="F61" s="39">
        <v>2</v>
      </c>
      <c r="G61" s="39"/>
      <c r="H61" s="39"/>
      <c r="I61" s="39"/>
      <c r="J61" s="39"/>
      <c r="K61" s="39"/>
      <c r="L61" s="39"/>
      <c r="M61" s="39">
        <v>1</v>
      </c>
      <c r="N61" s="39"/>
      <c r="O61" s="39"/>
      <c r="Q61" s="39"/>
      <c r="S61" s="39"/>
      <c r="U61" s="39"/>
      <c r="W61" s="39"/>
      <c r="Y61" s="39">
        <v>1</v>
      </c>
      <c r="AA61" s="39"/>
      <c r="AC61" s="39"/>
      <c r="AE61" s="39"/>
      <c r="AG61" s="39"/>
      <c r="AH61" s="39"/>
      <c r="AI61" s="39">
        <v>2</v>
      </c>
      <c r="AJ61" s="39"/>
      <c r="AK61" s="39"/>
      <c r="AL61" s="39"/>
      <c r="AM61" s="39">
        <v>1</v>
      </c>
      <c r="AN61" s="39"/>
      <c r="AO61" s="40">
        <v>7</v>
      </c>
    </row>
    <row r="62" spans="1:41">
      <c r="A62" s="38"/>
      <c r="B62" s="39" t="s">
        <v>93</v>
      </c>
      <c r="C62" s="39"/>
      <c r="D62" s="39"/>
      <c r="E62" s="39"/>
      <c r="F62" s="39">
        <v>3</v>
      </c>
      <c r="G62" s="39"/>
      <c r="H62" s="39"/>
      <c r="I62" s="39"/>
      <c r="J62" s="39"/>
      <c r="K62" s="39"/>
      <c r="L62" s="39"/>
      <c r="M62" s="39"/>
      <c r="N62" s="39"/>
      <c r="O62" s="39"/>
      <c r="Q62" s="39"/>
      <c r="S62" s="39"/>
      <c r="U62" s="39"/>
      <c r="W62" s="39"/>
      <c r="Y62" s="39"/>
      <c r="AA62" s="39"/>
      <c r="AC62" s="39"/>
      <c r="AE62" s="39"/>
      <c r="AG62" s="39"/>
      <c r="AH62" s="39"/>
      <c r="AI62" s="39"/>
      <c r="AJ62" s="39"/>
      <c r="AK62" s="39"/>
      <c r="AL62" s="39"/>
      <c r="AM62" s="39"/>
      <c r="AN62" s="39"/>
      <c r="AO62" s="40">
        <v>3</v>
      </c>
    </row>
    <row r="63" spans="1:41">
      <c r="A63" s="38"/>
      <c r="B63" s="39" t="s">
        <v>94</v>
      </c>
      <c r="C63" s="39"/>
      <c r="D63" s="39"/>
      <c r="E63" s="39"/>
      <c r="F63" s="39">
        <v>1</v>
      </c>
      <c r="G63" s="39"/>
      <c r="H63" s="39"/>
      <c r="I63" s="39"/>
      <c r="J63" s="39"/>
      <c r="K63" s="39"/>
      <c r="L63" s="39"/>
      <c r="M63" s="39"/>
      <c r="N63" s="39"/>
      <c r="O63" s="39"/>
      <c r="Q63" s="39"/>
      <c r="S63" s="39"/>
      <c r="U63" s="39"/>
      <c r="W63" s="39">
        <v>5</v>
      </c>
      <c r="X63">
        <v>1</v>
      </c>
      <c r="Y63" s="39"/>
      <c r="AA63" s="39"/>
      <c r="AC63" s="39"/>
      <c r="AE63" s="39"/>
      <c r="AG63" s="39"/>
      <c r="AH63" s="39"/>
      <c r="AI63" s="39"/>
      <c r="AJ63" s="39"/>
      <c r="AK63" s="39"/>
      <c r="AL63" s="39"/>
      <c r="AM63" s="39"/>
      <c r="AN63" s="39"/>
      <c r="AO63" s="40">
        <v>7</v>
      </c>
    </row>
    <row r="64" spans="1:41">
      <c r="A64" s="38"/>
      <c r="B64" s="39" t="s">
        <v>95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Q64" s="39"/>
      <c r="S64" s="39"/>
      <c r="U64" s="39"/>
      <c r="W64" s="39"/>
      <c r="Y64" s="39">
        <v>2</v>
      </c>
      <c r="AA64" s="39"/>
      <c r="AC64" s="39"/>
      <c r="AE64" s="39"/>
      <c r="AG64" s="39"/>
      <c r="AH64" s="39"/>
      <c r="AI64" s="39"/>
      <c r="AJ64" s="39"/>
      <c r="AK64" s="39"/>
      <c r="AL64" s="39"/>
      <c r="AM64" s="39"/>
      <c r="AN64" s="39"/>
      <c r="AO64" s="40">
        <v>2</v>
      </c>
    </row>
    <row r="65" spans="1:41">
      <c r="A65" s="38"/>
      <c r="B65" s="39" t="s">
        <v>96</v>
      </c>
      <c r="C65" s="39"/>
      <c r="D65" s="39"/>
      <c r="E65" s="39"/>
      <c r="F65" s="39"/>
      <c r="G65" s="39">
        <v>1</v>
      </c>
      <c r="H65" s="39"/>
      <c r="I65" s="39"/>
      <c r="J65" s="39"/>
      <c r="K65" s="39"/>
      <c r="L65" s="39">
        <v>5</v>
      </c>
      <c r="M65" s="39"/>
      <c r="N65" s="39"/>
      <c r="O65" s="39"/>
      <c r="Q65" s="39"/>
      <c r="S65" s="39"/>
      <c r="U65" s="39"/>
      <c r="W65" s="39"/>
      <c r="Y65" s="39"/>
      <c r="AA65" s="39"/>
      <c r="AC65" s="39"/>
      <c r="AE65" s="39"/>
      <c r="AG65" s="39"/>
      <c r="AH65" s="39"/>
      <c r="AI65" s="39"/>
      <c r="AJ65" s="39"/>
      <c r="AK65" s="39"/>
      <c r="AL65" s="39"/>
      <c r="AM65" s="39"/>
      <c r="AN65" s="39"/>
      <c r="AO65" s="40">
        <v>6</v>
      </c>
    </row>
    <row r="66" spans="1:41">
      <c r="A66" s="38"/>
      <c r="B66" s="39" t="s">
        <v>97</v>
      </c>
      <c r="C66" s="39"/>
      <c r="D66" s="39"/>
      <c r="E66" s="39"/>
      <c r="F66" s="39"/>
      <c r="G66" s="39">
        <v>3</v>
      </c>
      <c r="H66" s="39">
        <v>19</v>
      </c>
      <c r="I66" s="39">
        <v>16</v>
      </c>
      <c r="J66" s="39">
        <v>1</v>
      </c>
      <c r="K66" s="39">
        <v>2</v>
      </c>
      <c r="L66" s="39">
        <v>20</v>
      </c>
      <c r="M66" s="39">
        <v>1</v>
      </c>
      <c r="N66" s="39">
        <v>3</v>
      </c>
      <c r="O66" s="39"/>
      <c r="P66">
        <v>6</v>
      </c>
      <c r="Q66" s="39">
        <v>8</v>
      </c>
      <c r="R66">
        <v>8</v>
      </c>
      <c r="S66" s="39">
        <v>4</v>
      </c>
      <c r="T66">
        <v>19</v>
      </c>
      <c r="U66" s="39">
        <v>4</v>
      </c>
      <c r="V66">
        <v>9</v>
      </c>
      <c r="W66" s="39"/>
      <c r="X66">
        <v>3</v>
      </c>
      <c r="Y66" s="39">
        <v>5</v>
      </c>
      <c r="AA66" s="39"/>
      <c r="AB66">
        <v>2</v>
      </c>
      <c r="AC66" s="39"/>
      <c r="AD66">
        <v>1</v>
      </c>
      <c r="AE66" s="39"/>
      <c r="AG66" s="39"/>
      <c r="AH66" s="39"/>
      <c r="AI66" s="39"/>
      <c r="AJ66" s="39"/>
      <c r="AK66" s="39"/>
      <c r="AL66" s="39"/>
      <c r="AM66" s="39"/>
      <c r="AN66" s="39"/>
      <c r="AO66" s="40">
        <v>134</v>
      </c>
    </row>
    <row r="67" spans="1:41">
      <c r="A67" s="38"/>
      <c r="B67" s="39" t="s">
        <v>98</v>
      </c>
      <c r="C67" s="39"/>
      <c r="D67" s="39"/>
      <c r="E67" s="39"/>
      <c r="F67" s="39"/>
      <c r="G67" s="39">
        <v>1</v>
      </c>
      <c r="H67" s="39"/>
      <c r="I67" s="39"/>
      <c r="J67" s="39"/>
      <c r="K67" s="39"/>
      <c r="L67" s="39"/>
      <c r="M67" s="39"/>
      <c r="N67" s="39"/>
      <c r="O67" s="39">
        <v>12</v>
      </c>
      <c r="P67">
        <v>1</v>
      </c>
      <c r="Q67" s="39"/>
      <c r="S67" s="39">
        <v>1</v>
      </c>
      <c r="U67" s="39"/>
      <c r="W67" s="39"/>
      <c r="Y67" s="39">
        <v>10</v>
      </c>
      <c r="Z67">
        <v>3</v>
      </c>
      <c r="AA67" s="39">
        <v>1</v>
      </c>
      <c r="AB67">
        <v>1</v>
      </c>
      <c r="AC67" s="39"/>
      <c r="AD67">
        <v>1</v>
      </c>
      <c r="AE67" s="39">
        <v>3</v>
      </c>
      <c r="AF67">
        <v>1</v>
      </c>
      <c r="AG67" s="39"/>
      <c r="AH67" s="39"/>
      <c r="AI67" s="39"/>
      <c r="AJ67" s="39">
        <v>1</v>
      </c>
      <c r="AK67" s="39"/>
      <c r="AL67" s="39">
        <v>2</v>
      </c>
      <c r="AM67" s="39">
        <v>2</v>
      </c>
      <c r="AN67" s="39">
        <v>1</v>
      </c>
      <c r="AO67" s="40">
        <v>41</v>
      </c>
    </row>
    <row r="68" spans="1:41">
      <c r="A68" s="38"/>
      <c r="B68" s="39" t="s">
        <v>99</v>
      </c>
      <c r="C68" s="39"/>
      <c r="D68" s="39"/>
      <c r="E68" s="39"/>
      <c r="F68" s="39"/>
      <c r="G68" s="39">
        <v>1</v>
      </c>
      <c r="H68" s="39"/>
      <c r="I68" s="39"/>
      <c r="J68" s="39"/>
      <c r="K68" s="39"/>
      <c r="L68" s="39"/>
      <c r="M68" s="39">
        <v>11</v>
      </c>
      <c r="N68" s="39">
        <v>2</v>
      </c>
      <c r="O68" s="39">
        <v>11</v>
      </c>
      <c r="P68">
        <v>5</v>
      </c>
      <c r="Q68" s="39"/>
      <c r="S68" s="39">
        <v>1</v>
      </c>
      <c r="U68" s="39">
        <v>7</v>
      </c>
      <c r="W68" s="39"/>
      <c r="Y68" s="39">
        <v>2</v>
      </c>
      <c r="AA68" s="39">
        <v>20</v>
      </c>
      <c r="AB68">
        <v>5</v>
      </c>
      <c r="AC68" s="39">
        <v>1</v>
      </c>
      <c r="AD68">
        <v>1</v>
      </c>
      <c r="AE68" s="39">
        <v>14</v>
      </c>
      <c r="AF68">
        <v>6</v>
      </c>
      <c r="AG68" s="39">
        <v>18</v>
      </c>
      <c r="AH68" s="39"/>
      <c r="AI68" s="39">
        <v>11</v>
      </c>
      <c r="AJ68" s="39">
        <v>24</v>
      </c>
      <c r="AK68" s="39">
        <v>7</v>
      </c>
      <c r="AL68" s="39"/>
      <c r="AM68" s="39">
        <v>6</v>
      </c>
      <c r="AN68" s="39">
        <v>9</v>
      </c>
      <c r="AO68" s="40">
        <v>162</v>
      </c>
    </row>
    <row r="69" spans="1:41">
      <c r="A69" s="38"/>
      <c r="B69" s="39" t="s">
        <v>100</v>
      </c>
      <c r="C69" s="39"/>
      <c r="D69" s="39"/>
      <c r="E69" s="39"/>
      <c r="F69" s="39"/>
      <c r="G69" s="39">
        <v>1</v>
      </c>
      <c r="H69" s="39"/>
      <c r="I69" s="39"/>
      <c r="J69" s="39">
        <v>1</v>
      </c>
      <c r="K69" s="39"/>
      <c r="L69" s="39"/>
      <c r="M69" s="39"/>
      <c r="N69" s="39"/>
      <c r="O69" s="39"/>
      <c r="Q69" s="39"/>
      <c r="S69" s="39"/>
      <c r="U69" s="39"/>
      <c r="W69" s="39"/>
      <c r="Y69" s="39"/>
      <c r="AA69" s="39"/>
      <c r="AC69" s="39"/>
      <c r="AE69" s="39"/>
      <c r="AF69">
        <v>1</v>
      </c>
      <c r="AG69" s="39"/>
      <c r="AH69" s="39"/>
      <c r="AI69" s="39">
        <v>2</v>
      </c>
      <c r="AJ69" s="39"/>
      <c r="AK69" s="39"/>
      <c r="AL69" s="39"/>
      <c r="AM69" s="39"/>
      <c r="AN69" s="39"/>
      <c r="AO69" s="40">
        <v>5</v>
      </c>
    </row>
    <row r="70" spans="1:41">
      <c r="A70" s="38"/>
      <c r="B70" s="39" t="s">
        <v>101</v>
      </c>
      <c r="C70" s="39"/>
      <c r="D70" s="39"/>
      <c r="E70" s="39"/>
      <c r="F70" s="39"/>
      <c r="G70" s="39">
        <v>2</v>
      </c>
      <c r="H70" s="39"/>
      <c r="I70" s="39">
        <v>1</v>
      </c>
      <c r="J70" s="39"/>
      <c r="K70" s="39">
        <v>1</v>
      </c>
      <c r="L70" s="39"/>
      <c r="M70" s="39">
        <v>4</v>
      </c>
      <c r="N70" s="39"/>
      <c r="O70" s="39"/>
      <c r="P70">
        <v>2</v>
      </c>
      <c r="Q70" s="39">
        <v>6</v>
      </c>
      <c r="R70">
        <v>8</v>
      </c>
      <c r="S70" s="39">
        <v>1</v>
      </c>
      <c r="T70">
        <v>2</v>
      </c>
      <c r="U70" s="39">
        <v>13</v>
      </c>
      <c r="W70" s="39"/>
      <c r="Y70" s="39">
        <v>1</v>
      </c>
      <c r="AA70" s="39">
        <v>6</v>
      </c>
      <c r="AC70" s="39"/>
      <c r="AD70">
        <v>2</v>
      </c>
      <c r="AE70" s="39"/>
      <c r="AG70" s="39"/>
      <c r="AH70" s="39"/>
      <c r="AI70" s="39"/>
      <c r="AJ70" s="39"/>
      <c r="AK70" s="39">
        <v>2</v>
      </c>
      <c r="AL70" s="39"/>
      <c r="AM70" s="39"/>
      <c r="AN70" s="39">
        <v>2</v>
      </c>
      <c r="AO70" s="40">
        <v>53</v>
      </c>
    </row>
    <row r="71" spans="1:41">
      <c r="A71" s="38"/>
      <c r="B71" s="39" t="s">
        <v>51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Q71" s="39">
        <v>2</v>
      </c>
      <c r="S71" s="39"/>
      <c r="U71" s="39"/>
      <c r="W71" s="39"/>
      <c r="Y71" s="39"/>
      <c r="AA71" s="39"/>
      <c r="AC71" s="39"/>
      <c r="AE71" s="39"/>
      <c r="AG71" s="39"/>
      <c r="AH71" s="39"/>
      <c r="AI71" s="39"/>
      <c r="AJ71" s="39"/>
      <c r="AK71" s="39"/>
      <c r="AL71" s="39"/>
      <c r="AM71" s="39"/>
      <c r="AN71" s="39"/>
      <c r="AO71" s="40">
        <v>2</v>
      </c>
    </row>
    <row r="72" spans="1:41">
      <c r="A72" s="38"/>
      <c r="B72" s="39" t="s">
        <v>102</v>
      </c>
      <c r="C72" s="39"/>
      <c r="D72" s="39"/>
      <c r="E72" s="39"/>
      <c r="F72" s="39"/>
      <c r="G72" s="39"/>
      <c r="H72" s="39">
        <v>16</v>
      </c>
      <c r="I72" s="39">
        <v>14</v>
      </c>
      <c r="J72" s="39">
        <v>1</v>
      </c>
      <c r="K72" s="39"/>
      <c r="L72" s="39"/>
      <c r="M72" s="39">
        <v>1</v>
      </c>
      <c r="N72" s="39"/>
      <c r="O72" s="39"/>
      <c r="P72">
        <v>2</v>
      </c>
      <c r="Q72" s="39">
        <v>38</v>
      </c>
      <c r="R72">
        <v>6</v>
      </c>
      <c r="S72" s="39"/>
      <c r="T72">
        <v>5</v>
      </c>
      <c r="U72" s="39">
        <v>25</v>
      </c>
      <c r="W72" s="39">
        <v>1</v>
      </c>
      <c r="X72">
        <v>2</v>
      </c>
      <c r="Y72" s="39"/>
      <c r="AA72" s="39"/>
      <c r="AB72">
        <v>1</v>
      </c>
      <c r="AC72" s="39"/>
      <c r="AE72" s="39"/>
      <c r="AG72" s="39"/>
      <c r="AH72" s="39"/>
      <c r="AI72" s="39"/>
      <c r="AJ72" s="39">
        <v>1</v>
      </c>
      <c r="AK72" s="39">
        <v>19</v>
      </c>
      <c r="AL72" s="39">
        <v>1</v>
      </c>
      <c r="AM72" s="39"/>
      <c r="AN72" s="39"/>
      <c r="AO72" s="40">
        <v>133</v>
      </c>
    </row>
    <row r="73" spans="1:41">
      <c r="A73" s="38"/>
      <c r="B73" s="39" t="s">
        <v>103</v>
      </c>
      <c r="C73" s="39"/>
      <c r="D73" s="39"/>
      <c r="E73" s="39"/>
      <c r="F73" s="39"/>
      <c r="G73" s="39"/>
      <c r="H73" s="39">
        <v>2</v>
      </c>
      <c r="I73" s="39"/>
      <c r="J73" s="39"/>
      <c r="K73" s="39"/>
      <c r="L73" s="39"/>
      <c r="M73" s="39"/>
      <c r="N73" s="39"/>
      <c r="O73" s="39"/>
      <c r="Q73" s="39">
        <v>2</v>
      </c>
      <c r="R73">
        <v>1</v>
      </c>
      <c r="S73" s="39"/>
      <c r="T73">
        <v>1</v>
      </c>
      <c r="U73" s="39"/>
      <c r="W73" s="39"/>
      <c r="Y73" s="39">
        <v>1</v>
      </c>
      <c r="AA73" s="39"/>
      <c r="AC73" s="39"/>
      <c r="AE73" s="39"/>
      <c r="AG73" s="39"/>
      <c r="AH73" s="39"/>
      <c r="AI73" s="39"/>
      <c r="AJ73" s="39"/>
      <c r="AK73" s="39"/>
      <c r="AL73" s="39"/>
      <c r="AM73" s="39"/>
      <c r="AN73" s="39"/>
      <c r="AO73" s="40">
        <v>7</v>
      </c>
    </row>
    <row r="74" spans="1:41">
      <c r="A74" s="38"/>
      <c r="B74" s="39" t="s">
        <v>104</v>
      </c>
      <c r="C74" s="39"/>
      <c r="D74" s="39"/>
      <c r="E74" s="39"/>
      <c r="F74" s="39"/>
      <c r="G74" s="39"/>
      <c r="H74" s="39"/>
      <c r="I74" s="39">
        <v>1</v>
      </c>
      <c r="J74" s="39"/>
      <c r="K74" s="39"/>
      <c r="L74" s="39"/>
      <c r="M74" s="39"/>
      <c r="N74" s="39"/>
      <c r="O74" s="39"/>
      <c r="Q74" s="39"/>
      <c r="S74" s="39"/>
      <c r="U74" s="39"/>
      <c r="W74" s="39"/>
      <c r="Y74" s="39"/>
      <c r="AA74" s="39"/>
      <c r="AC74" s="39"/>
      <c r="AE74" s="39"/>
      <c r="AG74" s="39"/>
      <c r="AH74" s="39"/>
      <c r="AI74" s="39"/>
      <c r="AJ74" s="39"/>
      <c r="AK74" s="39"/>
      <c r="AL74" s="39"/>
      <c r="AM74" s="39"/>
      <c r="AN74" s="39"/>
      <c r="AO74" s="40">
        <v>1</v>
      </c>
    </row>
    <row r="75" spans="1:41">
      <c r="A75" s="38"/>
      <c r="B75" s="39" t="s">
        <v>105</v>
      </c>
      <c r="C75" s="39"/>
      <c r="D75" s="39"/>
      <c r="E75" s="39"/>
      <c r="F75" s="39"/>
      <c r="G75" s="39"/>
      <c r="H75" s="39"/>
      <c r="I75" s="39">
        <v>1</v>
      </c>
      <c r="J75" s="39"/>
      <c r="K75" s="39"/>
      <c r="L75" s="39"/>
      <c r="M75" s="39"/>
      <c r="N75" s="39"/>
      <c r="O75" s="39"/>
      <c r="Q75" s="39"/>
      <c r="S75" s="39"/>
      <c r="U75" s="39"/>
      <c r="W75" s="39"/>
      <c r="Y75" s="39"/>
      <c r="AA75" s="39"/>
      <c r="AC75" s="39"/>
      <c r="AE75" s="39"/>
      <c r="AG75" s="39"/>
      <c r="AH75" s="39"/>
      <c r="AI75" s="39"/>
      <c r="AJ75" s="39"/>
      <c r="AK75" s="39"/>
      <c r="AL75" s="39"/>
      <c r="AM75" s="39"/>
      <c r="AN75" s="39"/>
      <c r="AO75" s="40">
        <v>1</v>
      </c>
    </row>
    <row r="76" spans="1:41">
      <c r="A76" s="38"/>
      <c r="B76" s="39" t="s">
        <v>106</v>
      </c>
      <c r="C76" s="39"/>
      <c r="D76" s="39"/>
      <c r="E76" s="39"/>
      <c r="F76" s="39"/>
      <c r="G76" s="39"/>
      <c r="H76" s="39"/>
      <c r="I76" s="39">
        <v>1</v>
      </c>
      <c r="J76" s="39">
        <v>1</v>
      </c>
      <c r="K76" s="39"/>
      <c r="L76" s="39"/>
      <c r="M76" s="39"/>
      <c r="N76" s="39"/>
      <c r="O76" s="39"/>
      <c r="Q76" s="39"/>
      <c r="S76" s="39"/>
      <c r="U76" s="39"/>
      <c r="W76" s="39"/>
      <c r="Y76" s="39"/>
      <c r="AA76" s="39">
        <v>2</v>
      </c>
      <c r="AC76" s="39"/>
      <c r="AE76" s="39"/>
      <c r="AG76" s="39"/>
      <c r="AH76" s="39"/>
      <c r="AI76" s="39">
        <v>1</v>
      </c>
      <c r="AJ76" s="39"/>
      <c r="AK76" s="39">
        <v>2</v>
      </c>
      <c r="AL76" s="39">
        <v>1</v>
      </c>
      <c r="AM76" s="39"/>
      <c r="AN76" s="39">
        <v>2</v>
      </c>
      <c r="AO76" s="40">
        <v>10</v>
      </c>
    </row>
    <row r="77" spans="1:41">
      <c r="A77" s="38"/>
      <c r="B77" s="39" t="s">
        <v>107</v>
      </c>
      <c r="C77" s="39"/>
      <c r="D77" s="39"/>
      <c r="E77" s="39"/>
      <c r="F77" s="39"/>
      <c r="G77" s="39"/>
      <c r="H77" s="39"/>
      <c r="I77" s="39"/>
      <c r="J77" s="39">
        <v>1</v>
      </c>
      <c r="K77" s="39"/>
      <c r="L77" s="39"/>
      <c r="M77" s="39"/>
      <c r="N77" s="39"/>
      <c r="O77" s="39"/>
      <c r="Q77" s="39"/>
      <c r="S77" s="39"/>
      <c r="U77" s="39"/>
      <c r="W77" s="39"/>
      <c r="Y77" s="39"/>
      <c r="AA77" s="39"/>
      <c r="AC77" s="39"/>
      <c r="AE77" s="39"/>
      <c r="AG77" s="39"/>
      <c r="AH77" s="39"/>
      <c r="AI77" s="39"/>
      <c r="AJ77" s="39"/>
      <c r="AK77" s="39"/>
      <c r="AL77" s="39"/>
      <c r="AM77" s="39"/>
      <c r="AN77" s="39"/>
      <c r="AO77" s="40">
        <v>1</v>
      </c>
    </row>
    <row r="78" spans="1:41">
      <c r="A78" s="38"/>
      <c r="B78" s="39" t="s">
        <v>108</v>
      </c>
      <c r="C78" s="39"/>
      <c r="D78" s="39"/>
      <c r="E78" s="39"/>
      <c r="F78" s="39"/>
      <c r="G78" s="39"/>
      <c r="H78" s="39"/>
      <c r="I78" s="39"/>
      <c r="J78" s="39">
        <v>1</v>
      </c>
      <c r="K78" s="39"/>
      <c r="L78" s="39"/>
      <c r="M78" s="39"/>
      <c r="N78" s="39"/>
      <c r="O78" s="39"/>
      <c r="Q78" s="39"/>
      <c r="S78" s="39"/>
      <c r="U78" s="39"/>
      <c r="W78" s="39"/>
      <c r="X78">
        <v>2</v>
      </c>
      <c r="Y78" s="39"/>
      <c r="AA78" s="39">
        <v>1</v>
      </c>
      <c r="AC78" s="39"/>
      <c r="AE78" s="39"/>
      <c r="AG78" s="39"/>
      <c r="AH78" s="39"/>
      <c r="AI78" s="39"/>
      <c r="AJ78" s="39"/>
      <c r="AK78" s="39"/>
      <c r="AL78" s="39"/>
      <c r="AM78" s="39"/>
      <c r="AN78" s="39"/>
      <c r="AO78" s="40">
        <v>4</v>
      </c>
    </row>
    <row r="79" spans="1:41">
      <c r="A79" s="38"/>
      <c r="B79" s="39" t="s">
        <v>109</v>
      </c>
      <c r="C79" s="39"/>
      <c r="D79" s="39"/>
      <c r="E79" s="39"/>
      <c r="F79" s="39"/>
      <c r="G79" s="39"/>
      <c r="H79" s="39"/>
      <c r="I79" s="39"/>
      <c r="J79" s="39">
        <v>1</v>
      </c>
      <c r="K79" s="39"/>
      <c r="L79" s="39"/>
      <c r="M79" s="39"/>
      <c r="N79" s="39"/>
      <c r="O79" s="39"/>
      <c r="Q79" s="39"/>
      <c r="S79" s="39"/>
      <c r="U79" s="39"/>
      <c r="W79" s="39"/>
      <c r="X79">
        <v>1</v>
      </c>
      <c r="Y79" s="39"/>
      <c r="AA79" s="39"/>
      <c r="AC79" s="39"/>
      <c r="AE79" s="39"/>
      <c r="AG79" s="39"/>
      <c r="AH79" s="39"/>
      <c r="AI79" s="39"/>
      <c r="AJ79" s="39"/>
      <c r="AK79" s="39"/>
      <c r="AL79" s="39"/>
      <c r="AM79" s="39"/>
      <c r="AN79" s="39"/>
      <c r="AO79" s="40">
        <v>2</v>
      </c>
    </row>
    <row r="80" spans="1:41">
      <c r="A80" s="38"/>
      <c r="B80" s="39" t="s">
        <v>110</v>
      </c>
      <c r="C80" s="39"/>
      <c r="D80" s="39"/>
      <c r="E80" s="39"/>
      <c r="F80" s="39"/>
      <c r="G80" s="39"/>
      <c r="H80" s="39"/>
      <c r="I80" s="39"/>
      <c r="J80" s="39"/>
      <c r="K80" s="39">
        <v>2</v>
      </c>
      <c r="L80" s="39"/>
      <c r="M80" s="39"/>
      <c r="N80" s="39"/>
      <c r="O80" s="39"/>
      <c r="Q80" s="39"/>
      <c r="S80" s="39"/>
      <c r="U80" s="39"/>
      <c r="W80" s="39"/>
      <c r="Y80" s="39"/>
      <c r="AA80" s="39"/>
      <c r="AC80" s="39"/>
      <c r="AD80">
        <v>1</v>
      </c>
      <c r="AE80" s="39"/>
      <c r="AG80" s="39"/>
      <c r="AH80" s="39"/>
      <c r="AI80" s="39"/>
      <c r="AJ80" s="39"/>
      <c r="AK80" s="39"/>
      <c r="AL80" s="39"/>
      <c r="AM80" s="39"/>
      <c r="AN80" s="39"/>
      <c r="AO80" s="40">
        <v>3</v>
      </c>
    </row>
    <row r="81" spans="1:41">
      <c r="A81" s="38"/>
      <c r="B81" s="39" t="s">
        <v>111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>
        <v>1</v>
      </c>
      <c r="O81" s="39"/>
      <c r="Q81" s="39"/>
      <c r="S81" s="39"/>
      <c r="U81" s="39"/>
      <c r="W81" s="39"/>
      <c r="Y81" s="39"/>
      <c r="AA81" s="39"/>
      <c r="AC81" s="39"/>
      <c r="AE81" s="39"/>
      <c r="AG81" s="39"/>
      <c r="AH81" s="39"/>
      <c r="AI81" s="39"/>
      <c r="AJ81" s="39"/>
      <c r="AK81" s="39"/>
      <c r="AL81" s="39"/>
      <c r="AM81" s="39"/>
      <c r="AN81" s="39"/>
      <c r="AO81" s="40">
        <v>1</v>
      </c>
    </row>
    <row r="82" spans="1:41">
      <c r="A82" s="38"/>
      <c r="B82" s="39" t="s">
        <v>112</v>
      </c>
      <c r="C82" s="39"/>
      <c r="D82" s="39"/>
      <c r="E82" s="39"/>
      <c r="F82" s="39"/>
      <c r="G82" s="39"/>
      <c r="H82" s="39"/>
      <c r="I82" s="39"/>
      <c r="J82" s="39"/>
      <c r="K82" s="39"/>
      <c r="L82" s="39">
        <v>1</v>
      </c>
      <c r="M82" s="39"/>
      <c r="N82" s="39"/>
      <c r="O82" s="39"/>
      <c r="Q82" s="39"/>
      <c r="S82" s="39"/>
      <c r="U82" s="39">
        <v>1</v>
      </c>
      <c r="W82" s="39"/>
      <c r="Y82" s="39"/>
      <c r="AA82" s="39">
        <v>1</v>
      </c>
      <c r="AC82" s="39">
        <v>1</v>
      </c>
      <c r="AE82" s="39"/>
      <c r="AG82" s="39"/>
      <c r="AH82" s="39"/>
      <c r="AI82" s="39"/>
      <c r="AJ82" s="39"/>
      <c r="AK82" s="39"/>
      <c r="AL82" s="39"/>
      <c r="AM82" s="39"/>
      <c r="AN82" s="39"/>
      <c r="AO82" s="40">
        <v>4</v>
      </c>
    </row>
    <row r="83" spans="1:41">
      <c r="A83" s="38"/>
      <c r="B83" s="39" t="s">
        <v>113</v>
      </c>
      <c r="C83" s="39"/>
      <c r="D83" s="39"/>
      <c r="E83" s="39"/>
      <c r="F83" s="39"/>
      <c r="G83" s="39"/>
      <c r="H83" s="39"/>
      <c r="I83" s="39"/>
      <c r="J83" s="39"/>
      <c r="K83" s="39"/>
      <c r="L83" s="39">
        <v>1</v>
      </c>
      <c r="M83" s="39"/>
      <c r="N83" s="39"/>
      <c r="O83" s="39"/>
      <c r="Q83" s="39"/>
      <c r="S83" s="39"/>
      <c r="U83" s="39"/>
      <c r="W83" s="39"/>
      <c r="Y83" s="39"/>
      <c r="AA83" s="39"/>
      <c r="AC83" s="39"/>
      <c r="AE83" s="39"/>
      <c r="AG83" s="39"/>
      <c r="AH83" s="39"/>
      <c r="AI83" s="39"/>
      <c r="AJ83" s="39">
        <v>1</v>
      </c>
      <c r="AK83" s="39"/>
      <c r="AL83" s="39"/>
      <c r="AM83" s="39"/>
      <c r="AN83" s="39"/>
      <c r="AO83" s="40">
        <v>2</v>
      </c>
    </row>
    <row r="84" spans="1:41">
      <c r="A84" s="38"/>
      <c r="B84" s="39" t="s">
        <v>114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>
        <v>1</v>
      </c>
      <c r="N84" s="39"/>
      <c r="O84" s="39"/>
      <c r="P84">
        <v>1</v>
      </c>
      <c r="Q84" s="39"/>
      <c r="S84" s="39"/>
      <c r="U84" s="39"/>
      <c r="W84" s="39"/>
      <c r="Y84" s="39"/>
      <c r="AA84" s="39"/>
      <c r="AB84">
        <v>1</v>
      </c>
      <c r="AC84" s="39"/>
      <c r="AE84" s="39"/>
      <c r="AG84" s="39">
        <v>1</v>
      </c>
      <c r="AH84" s="39"/>
      <c r="AI84" s="39"/>
      <c r="AJ84" s="39"/>
      <c r="AK84" s="39"/>
      <c r="AL84" s="39"/>
      <c r="AM84" s="39">
        <v>1</v>
      </c>
      <c r="AN84" s="39"/>
      <c r="AO84" s="40">
        <v>5</v>
      </c>
    </row>
    <row r="85" spans="1:41">
      <c r="A85" s="38"/>
      <c r="B85" s="39" t="s">
        <v>115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>
        <v>2</v>
      </c>
      <c r="N85" s="39"/>
      <c r="O85" s="39"/>
      <c r="Q85" s="39"/>
      <c r="S85" s="39"/>
      <c r="U85" s="39"/>
      <c r="W85" s="39"/>
      <c r="Y85" s="39">
        <v>1</v>
      </c>
      <c r="AA85" s="39"/>
      <c r="AC85" s="39"/>
      <c r="AE85" s="39"/>
      <c r="AG85" s="39"/>
      <c r="AH85" s="39"/>
      <c r="AI85" s="39"/>
      <c r="AJ85" s="39"/>
      <c r="AK85" s="39"/>
      <c r="AL85" s="39"/>
      <c r="AM85" s="39"/>
      <c r="AN85" s="39"/>
      <c r="AO85" s="40">
        <v>3</v>
      </c>
    </row>
    <row r="86" spans="1:41">
      <c r="A86" s="38"/>
      <c r="B86" s="39" t="s">
        <v>116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Q86" s="39"/>
      <c r="S86" s="39"/>
      <c r="U86" s="39">
        <v>1</v>
      </c>
      <c r="W86" s="39"/>
      <c r="Y86" s="39"/>
      <c r="AA86" s="39"/>
      <c r="AC86" s="39"/>
      <c r="AE86" s="39"/>
      <c r="AG86" s="39"/>
      <c r="AH86" s="39"/>
      <c r="AI86" s="39">
        <v>1</v>
      </c>
      <c r="AJ86" s="39"/>
      <c r="AK86" s="39"/>
      <c r="AL86" s="39"/>
      <c r="AM86" s="39"/>
      <c r="AN86" s="39"/>
      <c r="AO86" s="40">
        <v>2</v>
      </c>
    </row>
    <row r="87" spans="1:41">
      <c r="A87" s="38"/>
      <c r="B87" s="39" t="s">
        <v>117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Q87" s="39"/>
      <c r="S87" s="39"/>
      <c r="U87" s="39"/>
      <c r="W87" s="39"/>
      <c r="Y87" s="39">
        <v>2</v>
      </c>
      <c r="AA87" s="39"/>
      <c r="AC87" s="39"/>
      <c r="AE87" s="39"/>
      <c r="AG87" s="39"/>
      <c r="AH87" s="39"/>
      <c r="AI87" s="39"/>
      <c r="AJ87" s="39"/>
      <c r="AK87" s="39"/>
      <c r="AL87" s="39"/>
      <c r="AM87" s="39"/>
      <c r="AN87" s="39"/>
      <c r="AO87" s="40">
        <v>2</v>
      </c>
    </row>
    <row r="88" spans="1:41">
      <c r="A88" s="38"/>
      <c r="B88" s="39" t="s">
        <v>118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Q88" s="39"/>
      <c r="S88" s="39"/>
      <c r="U88" s="39"/>
      <c r="W88" s="39"/>
      <c r="Y88" s="39">
        <v>11</v>
      </c>
      <c r="AA88" s="39"/>
      <c r="AC88" s="39"/>
      <c r="AE88" s="39"/>
      <c r="AG88" s="39"/>
      <c r="AH88" s="39"/>
      <c r="AI88" s="39"/>
      <c r="AJ88" s="39"/>
      <c r="AK88" s="39"/>
      <c r="AL88" s="39"/>
      <c r="AM88" s="39">
        <v>6</v>
      </c>
      <c r="AN88" s="39">
        <v>3</v>
      </c>
      <c r="AO88" s="40">
        <v>20</v>
      </c>
    </row>
    <row r="89" spans="1:41">
      <c r="A89" s="38"/>
      <c r="B89" s="39" t="s">
        <v>119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Q89" s="39"/>
      <c r="S89" s="39"/>
      <c r="U89" s="39"/>
      <c r="W89" s="39"/>
      <c r="Y89" s="39">
        <v>2</v>
      </c>
      <c r="AA89" s="39"/>
      <c r="AC89" s="39"/>
      <c r="AE89" s="39"/>
      <c r="AG89" s="39"/>
      <c r="AH89" s="39"/>
      <c r="AI89" s="39"/>
      <c r="AJ89" s="39"/>
      <c r="AK89" s="39"/>
      <c r="AL89" s="39"/>
      <c r="AM89" s="39"/>
      <c r="AN89" s="39"/>
      <c r="AO89" s="40">
        <v>2</v>
      </c>
    </row>
    <row r="90" spans="1:41">
      <c r="A90" s="38"/>
      <c r="B90" s="39" t="s">
        <v>120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>
        <v>2</v>
      </c>
      <c r="Q90" s="39"/>
      <c r="S90" s="39"/>
      <c r="U90" s="39"/>
      <c r="W90" s="39"/>
      <c r="Y90" s="39">
        <v>1</v>
      </c>
      <c r="Z90">
        <v>1</v>
      </c>
      <c r="AA90" s="39">
        <v>1</v>
      </c>
      <c r="AC90" s="39"/>
      <c r="AE90" s="39"/>
      <c r="AG90" s="39"/>
      <c r="AH90" s="39"/>
      <c r="AI90" s="39"/>
      <c r="AJ90" s="39"/>
      <c r="AK90" s="39"/>
      <c r="AL90" s="39"/>
      <c r="AM90" s="39"/>
      <c r="AN90" s="39"/>
      <c r="AO90" s="40">
        <v>5</v>
      </c>
    </row>
    <row r="91" spans="1:41">
      <c r="A91" s="38"/>
      <c r="B91" s="39" t="s">
        <v>121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>
        <v>1</v>
      </c>
      <c r="Q91" s="39"/>
      <c r="S91" s="39"/>
      <c r="U91" s="39"/>
      <c r="W91" s="39"/>
      <c r="Y91" s="39"/>
      <c r="AA91" s="39"/>
      <c r="AC91" s="39"/>
      <c r="AE91" s="39"/>
      <c r="AG91" s="39"/>
      <c r="AH91" s="39"/>
      <c r="AI91" s="39"/>
      <c r="AJ91" s="39"/>
      <c r="AK91" s="39"/>
      <c r="AL91" s="39"/>
      <c r="AM91" s="39"/>
      <c r="AN91" s="39"/>
      <c r="AO91" s="40">
        <v>1</v>
      </c>
    </row>
    <row r="92" spans="1:41">
      <c r="A92" s="38"/>
      <c r="B92" s="39" t="s">
        <v>122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>
        <v>12</v>
      </c>
      <c r="Q92" s="39"/>
      <c r="R92">
        <v>2</v>
      </c>
      <c r="S92" s="39"/>
      <c r="T92">
        <v>2</v>
      </c>
      <c r="U92" s="39"/>
      <c r="V92">
        <v>2</v>
      </c>
      <c r="W92" s="39"/>
      <c r="Y92" s="39"/>
      <c r="AA92" s="39"/>
      <c r="AC92" s="39"/>
      <c r="AE92" s="39"/>
      <c r="AF92">
        <v>1</v>
      </c>
      <c r="AG92" s="39"/>
      <c r="AH92" s="39"/>
      <c r="AI92" s="39"/>
      <c r="AJ92" s="39"/>
      <c r="AK92" s="39"/>
      <c r="AL92" s="39"/>
      <c r="AM92" s="39"/>
      <c r="AN92" s="39"/>
      <c r="AO92" s="40">
        <v>19</v>
      </c>
    </row>
    <row r="93" spans="1:41">
      <c r="A93" s="38"/>
      <c r="B93" s="39" t="s">
        <v>123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>
        <v>1</v>
      </c>
      <c r="Q93" s="39"/>
      <c r="R93">
        <v>1</v>
      </c>
      <c r="S93" s="39"/>
      <c r="U93" s="39"/>
      <c r="V93">
        <v>1</v>
      </c>
      <c r="W93" s="39"/>
      <c r="X93">
        <v>2</v>
      </c>
      <c r="Y93" s="39"/>
      <c r="AA93" s="39"/>
      <c r="AB93">
        <v>2</v>
      </c>
      <c r="AC93" s="39"/>
      <c r="AD93">
        <v>4</v>
      </c>
      <c r="AE93" s="39"/>
      <c r="AF93">
        <v>5</v>
      </c>
      <c r="AG93" s="39"/>
      <c r="AH93" s="39"/>
      <c r="AI93" s="39"/>
      <c r="AJ93" s="39"/>
      <c r="AK93" s="39"/>
      <c r="AL93" s="39"/>
      <c r="AM93" s="39"/>
      <c r="AN93" s="39"/>
      <c r="AO93" s="40">
        <v>16</v>
      </c>
    </row>
    <row r="94" spans="1:41">
      <c r="A94" s="38"/>
      <c r="B94" s="39" t="s">
        <v>124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>
        <v>1</v>
      </c>
      <c r="Q94" s="39"/>
      <c r="S94" s="39"/>
      <c r="U94" s="39"/>
      <c r="W94" s="39"/>
      <c r="Y94" s="39">
        <v>1</v>
      </c>
      <c r="AA94" s="39"/>
      <c r="AC94" s="39"/>
      <c r="AE94" s="39"/>
      <c r="AG94" s="39"/>
      <c r="AH94" s="39"/>
      <c r="AI94" s="39"/>
      <c r="AJ94" s="39"/>
      <c r="AK94" s="39"/>
      <c r="AL94" s="39"/>
      <c r="AM94" s="39"/>
      <c r="AN94" s="39"/>
      <c r="AO94" s="40">
        <v>2</v>
      </c>
    </row>
    <row r="95" spans="1:41">
      <c r="A95" s="38"/>
      <c r="B95" s="39" t="s">
        <v>125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>
        <v>1</v>
      </c>
      <c r="Q95" s="39"/>
      <c r="S95" s="39"/>
      <c r="U95" s="39"/>
      <c r="W95" s="39"/>
      <c r="Y95" s="39"/>
      <c r="AA95" s="39"/>
      <c r="AC95" s="39"/>
      <c r="AE95" s="39"/>
      <c r="AG95" s="39"/>
      <c r="AH95" s="39"/>
      <c r="AI95" s="39"/>
      <c r="AJ95" s="39"/>
      <c r="AK95" s="39"/>
      <c r="AL95" s="39"/>
      <c r="AM95" s="39"/>
      <c r="AN95" s="39"/>
      <c r="AO95" s="40">
        <v>1</v>
      </c>
    </row>
    <row r="96" spans="1:41">
      <c r="A96" s="38"/>
      <c r="B96" s="39" t="s">
        <v>126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>
        <v>0</v>
      </c>
      <c r="Q96" s="39"/>
      <c r="S96" s="39"/>
      <c r="U96" s="39"/>
      <c r="W96" s="39"/>
      <c r="Y96" s="39">
        <v>0</v>
      </c>
      <c r="AA96" s="39"/>
      <c r="AC96" s="39"/>
      <c r="AD96">
        <v>0</v>
      </c>
      <c r="AE96" s="39"/>
      <c r="AF96">
        <v>0</v>
      </c>
      <c r="AG96" s="39"/>
      <c r="AH96" s="39"/>
      <c r="AI96" s="39"/>
      <c r="AJ96" s="39"/>
      <c r="AK96" s="39"/>
      <c r="AL96" s="39"/>
      <c r="AM96" s="39"/>
      <c r="AN96" s="39"/>
      <c r="AO96" s="40">
        <v>0</v>
      </c>
    </row>
    <row r="97" spans="1:41">
      <c r="A97" s="38"/>
      <c r="B97" s="39" t="s">
        <v>127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Q97" s="39"/>
      <c r="S97" s="39"/>
      <c r="U97" s="39"/>
      <c r="W97" s="39"/>
      <c r="Y97" s="39">
        <v>1</v>
      </c>
      <c r="AA97" s="39">
        <v>2</v>
      </c>
      <c r="AB97">
        <v>7</v>
      </c>
      <c r="AC97" s="39"/>
      <c r="AD97">
        <v>1</v>
      </c>
      <c r="AE97" s="39"/>
      <c r="AF97">
        <v>1</v>
      </c>
      <c r="AG97" s="39"/>
      <c r="AH97" s="39"/>
      <c r="AI97" s="39"/>
      <c r="AJ97" s="39"/>
      <c r="AK97" s="39"/>
      <c r="AL97" s="39"/>
      <c r="AM97" s="39"/>
      <c r="AN97" s="39"/>
      <c r="AO97" s="40">
        <v>12</v>
      </c>
    </row>
    <row r="98" spans="1:41">
      <c r="A98" s="38"/>
      <c r="B98" s="39" t="s">
        <v>128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Q98" s="39"/>
      <c r="S98" s="39"/>
      <c r="U98" s="39"/>
      <c r="W98" s="39"/>
      <c r="Y98" s="39"/>
      <c r="AA98" s="39"/>
      <c r="AC98" s="39"/>
      <c r="AD98">
        <v>1</v>
      </c>
      <c r="AE98" s="39"/>
      <c r="AG98" s="39"/>
      <c r="AH98" s="39"/>
      <c r="AI98" s="39"/>
      <c r="AJ98" s="39"/>
      <c r="AK98" s="39"/>
      <c r="AL98" s="39"/>
      <c r="AM98" s="39"/>
      <c r="AN98" s="39"/>
      <c r="AO98" s="40">
        <v>1</v>
      </c>
    </row>
    <row r="99" spans="1:41">
      <c r="A99" s="38"/>
      <c r="B99" s="39" t="s">
        <v>129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Q99" s="39"/>
      <c r="S99" s="39">
        <v>1</v>
      </c>
      <c r="U99" s="39"/>
      <c r="W99" s="39">
        <v>3</v>
      </c>
      <c r="Y99" s="39">
        <v>1</v>
      </c>
      <c r="AA99" s="39"/>
      <c r="AC99" s="39"/>
      <c r="AE99" s="39"/>
      <c r="AF99">
        <v>1</v>
      </c>
      <c r="AG99" s="39"/>
      <c r="AH99" s="39"/>
      <c r="AI99" s="39"/>
      <c r="AJ99" s="39"/>
      <c r="AK99" s="39"/>
      <c r="AL99" s="39"/>
      <c r="AM99" s="39"/>
      <c r="AN99" s="39"/>
      <c r="AO99" s="40">
        <v>6</v>
      </c>
    </row>
    <row r="100" spans="1:41">
      <c r="A100" s="38"/>
      <c r="B100" s="39" t="s">
        <v>130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Q100" s="39"/>
      <c r="S100" s="39"/>
      <c r="T100">
        <v>185</v>
      </c>
      <c r="U100" s="39"/>
      <c r="W100" s="39"/>
      <c r="Y100" s="39"/>
      <c r="AA100" s="39"/>
      <c r="AC100" s="39"/>
      <c r="AE100" s="39"/>
      <c r="AG100" s="39"/>
      <c r="AH100" s="39"/>
      <c r="AI100" s="39"/>
      <c r="AJ100" s="39"/>
      <c r="AK100" s="39"/>
      <c r="AL100" s="39"/>
      <c r="AM100" s="39"/>
      <c r="AN100" s="39"/>
      <c r="AO100" s="40">
        <v>185</v>
      </c>
    </row>
    <row r="101" spans="1:41">
      <c r="A101" s="38"/>
      <c r="B101" s="39" t="s">
        <v>131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Q101" s="39"/>
      <c r="S101" s="39">
        <v>1</v>
      </c>
      <c r="T101">
        <v>2</v>
      </c>
      <c r="U101" s="39"/>
      <c r="W101" s="39">
        <v>2</v>
      </c>
      <c r="Y101" s="39">
        <v>1</v>
      </c>
      <c r="Z101">
        <v>2</v>
      </c>
      <c r="AA101" s="39"/>
      <c r="AB101">
        <v>1</v>
      </c>
      <c r="AC101" s="39">
        <v>2</v>
      </c>
      <c r="AE101" s="39">
        <v>1</v>
      </c>
      <c r="AG101" s="39">
        <v>3</v>
      </c>
      <c r="AH101" s="39"/>
      <c r="AI101" s="39">
        <v>6</v>
      </c>
      <c r="AJ101" s="39">
        <v>6</v>
      </c>
      <c r="AK101" s="39">
        <v>5</v>
      </c>
      <c r="AL101" s="39">
        <v>9</v>
      </c>
      <c r="AM101" s="39">
        <v>2</v>
      </c>
      <c r="AN101" s="39">
        <v>4</v>
      </c>
      <c r="AO101" s="40">
        <v>47</v>
      </c>
    </row>
    <row r="102" spans="1:41">
      <c r="A102" s="38"/>
      <c r="B102" s="39" t="s">
        <v>132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Q102" s="39"/>
      <c r="S102" s="39"/>
      <c r="T102">
        <v>1</v>
      </c>
      <c r="U102" s="39"/>
      <c r="W102" s="39"/>
      <c r="Y102" s="39"/>
      <c r="AA102" s="39"/>
      <c r="AC102" s="39"/>
      <c r="AE102" s="39">
        <v>2</v>
      </c>
      <c r="AG102" s="39"/>
      <c r="AH102" s="39"/>
      <c r="AI102" s="39"/>
      <c r="AJ102" s="39"/>
      <c r="AK102" s="39"/>
      <c r="AL102" s="39"/>
      <c r="AM102" s="39"/>
      <c r="AN102" s="39"/>
      <c r="AO102" s="40">
        <v>3</v>
      </c>
    </row>
    <row r="103" spans="1:41">
      <c r="A103" s="38"/>
      <c r="B103" s="39" t="s">
        <v>133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Q103" s="39"/>
      <c r="S103" s="39"/>
      <c r="T103">
        <v>1</v>
      </c>
      <c r="U103" s="39"/>
      <c r="W103" s="39"/>
      <c r="Y103" s="39"/>
      <c r="AA103" s="39"/>
      <c r="AC103" s="39"/>
      <c r="AE103" s="39"/>
      <c r="AG103" s="39"/>
      <c r="AH103" s="39"/>
      <c r="AI103" s="39"/>
      <c r="AJ103" s="39"/>
      <c r="AK103" s="39"/>
      <c r="AL103" s="39"/>
      <c r="AM103" s="39"/>
      <c r="AN103" s="39"/>
      <c r="AO103" s="40">
        <v>1</v>
      </c>
    </row>
    <row r="104" spans="1:41">
      <c r="A104" s="38"/>
      <c r="B104" s="39" t="s">
        <v>134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Q104" s="39"/>
      <c r="S104" s="39"/>
      <c r="U104" s="39"/>
      <c r="W104" s="39"/>
      <c r="Y104" s="39">
        <v>1</v>
      </c>
      <c r="AA104" s="39"/>
      <c r="AC104" s="39"/>
      <c r="AE104" s="39"/>
      <c r="AG104" s="39"/>
      <c r="AH104" s="39"/>
      <c r="AI104" s="39"/>
      <c r="AJ104" s="39"/>
      <c r="AK104" s="39"/>
      <c r="AL104" s="39"/>
      <c r="AM104" s="39"/>
      <c r="AN104" s="39"/>
      <c r="AO104" s="40">
        <v>1</v>
      </c>
    </row>
    <row r="105" spans="1:41">
      <c r="A105" s="38"/>
      <c r="B105" s="39" t="s">
        <v>135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Q105" s="39"/>
      <c r="S105" s="39"/>
      <c r="U105" s="39"/>
      <c r="W105" s="39"/>
      <c r="Y105" s="39">
        <v>1</v>
      </c>
      <c r="AA105" s="39"/>
      <c r="AC105" s="39"/>
      <c r="AE105" s="39"/>
      <c r="AG105" s="39"/>
      <c r="AH105" s="39"/>
      <c r="AI105" s="39"/>
      <c r="AJ105" s="39"/>
      <c r="AK105" s="39"/>
      <c r="AL105" s="39"/>
      <c r="AM105" s="39">
        <v>1</v>
      </c>
      <c r="AN105" s="39">
        <v>1</v>
      </c>
      <c r="AO105" s="40">
        <v>3</v>
      </c>
    </row>
    <row r="106" spans="1:41">
      <c r="A106" s="38"/>
      <c r="B106" s="39" t="s">
        <v>136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Q106" s="39"/>
      <c r="S106" s="39"/>
      <c r="U106" s="39"/>
      <c r="W106" s="39"/>
      <c r="Y106" s="39">
        <v>2</v>
      </c>
      <c r="AA106" s="39"/>
      <c r="AC106" s="39"/>
      <c r="AE106" s="39"/>
      <c r="AG106" s="39"/>
      <c r="AH106" s="39"/>
      <c r="AI106" s="39"/>
      <c r="AJ106" s="39"/>
      <c r="AK106" s="39"/>
      <c r="AL106" s="39"/>
      <c r="AM106" s="39"/>
      <c r="AN106" s="39"/>
      <c r="AO106" s="40">
        <v>2</v>
      </c>
    </row>
    <row r="107" spans="1:41">
      <c r="A107" s="38"/>
      <c r="B107" s="39" t="s">
        <v>137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Q107" s="39"/>
      <c r="S107" s="39"/>
      <c r="U107" s="39"/>
      <c r="W107" s="39">
        <v>1</v>
      </c>
      <c r="Y107" s="39"/>
      <c r="AA107" s="39"/>
      <c r="AB107">
        <v>1</v>
      </c>
      <c r="AC107" s="39"/>
      <c r="AE107" s="39"/>
      <c r="AG107" s="39"/>
      <c r="AH107" s="39"/>
      <c r="AI107" s="39"/>
      <c r="AJ107" s="39"/>
      <c r="AK107" s="39"/>
      <c r="AL107" s="39"/>
      <c r="AM107" s="39"/>
      <c r="AN107" s="39"/>
      <c r="AO107" s="40">
        <v>2</v>
      </c>
    </row>
    <row r="108" spans="1:41">
      <c r="A108" s="38"/>
      <c r="B108" s="39" t="s">
        <v>138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Q108" s="39"/>
      <c r="S108" s="39"/>
      <c r="U108" s="39"/>
      <c r="W108" s="39"/>
      <c r="Y108" s="39"/>
      <c r="AA108" s="39"/>
      <c r="AC108" s="39"/>
      <c r="AE108" s="39"/>
      <c r="AG108" s="39">
        <v>4</v>
      </c>
      <c r="AH108" s="39">
        <v>3</v>
      </c>
      <c r="AI108" s="39">
        <v>7</v>
      </c>
      <c r="AJ108" s="39">
        <v>5</v>
      </c>
      <c r="AK108" s="39"/>
      <c r="AL108" s="39">
        <v>4</v>
      </c>
      <c r="AM108" s="39">
        <v>13</v>
      </c>
      <c r="AN108" s="39">
        <v>2</v>
      </c>
      <c r="AO108" s="40">
        <v>38</v>
      </c>
    </row>
    <row r="109" spans="1:41">
      <c r="A109" s="38"/>
      <c r="B109" s="39" t="s">
        <v>139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>
        <v>1</v>
      </c>
      <c r="O109" s="39">
        <v>17</v>
      </c>
      <c r="Q109" s="39">
        <v>6</v>
      </c>
      <c r="S109" s="39">
        <v>13</v>
      </c>
      <c r="U109" s="39"/>
      <c r="W109" s="39">
        <v>2</v>
      </c>
      <c r="Y109" s="39"/>
      <c r="AA109" s="39">
        <v>8</v>
      </c>
      <c r="AC109" s="39">
        <v>1</v>
      </c>
      <c r="AE109" s="39"/>
      <c r="AG109" s="39"/>
      <c r="AH109" s="39"/>
      <c r="AI109" s="39">
        <v>0</v>
      </c>
      <c r="AJ109" s="39"/>
      <c r="AK109" s="39">
        <v>9</v>
      </c>
      <c r="AL109" s="39">
        <v>5</v>
      </c>
      <c r="AM109" s="39">
        <v>1</v>
      </c>
      <c r="AN109" s="39">
        <v>5</v>
      </c>
      <c r="AO109" s="40">
        <v>68</v>
      </c>
    </row>
    <row r="110" spans="1:41">
      <c r="A110" s="38"/>
      <c r="B110" s="39" t="s">
        <v>140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Q110" s="39"/>
      <c r="S110" s="39"/>
      <c r="U110" s="39"/>
      <c r="W110" s="39"/>
      <c r="Y110" s="39"/>
      <c r="AA110" s="39"/>
      <c r="AC110" s="39"/>
      <c r="AE110" s="39"/>
      <c r="AG110" s="39"/>
      <c r="AH110" s="39"/>
      <c r="AI110" s="39"/>
      <c r="AJ110" s="39"/>
      <c r="AK110" s="39"/>
      <c r="AL110" s="39"/>
      <c r="AM110" s="39">
        <v>1</v>
      </c>
      <c r="AN110" s="39"/>
      <c r="AO110" s="40">
        <v>1</v>
      </c>
    </row>
    <row r="111" spans="1:41">
      <c r="A111" s="38"/>
      <c r="B111" s="39" t="s">
        <v>141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Q111" s="39"/>
      <c r="S111" s="39"/>
      <c r="U111" s="39"/>
      <c r="W111" s="39"/>
      <c r="Y111" s="39"/>
      <c r="AA111" s="39"/>
      <c r="AC111" s="39"/>
      <c r="AE111" s="39"/>
      <c r="AG111" s="39"/>
      <c r="AH111" s="39"/>
      <c r="AI111" s="39"/>
      <c r="AJ111" s="39">
        <v>2</v>
      </c>
      <c r="AK111" s="39"/>
      <c r="AL111" s="39"/>
      <c r="AM111" s="39"/>
      <c r="AN111" s="39"/>
      <c r="AO111" s="40">
        <v>2</v>
      </c>
    </row>
    <row r="112" spans="1:41">
      <c r="A112" s="38"/>
      <c r="B112" s="39" t="s">
        <v>142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>
        <v>4</v>
      </c>
      <c r="O112" s="39">
        <v>1</v>
      </c>
      <c r="Q112" s="39"/>
      <c r="S112" s="39"/>
      <c r="U112" s="39"/>
      <c r="W112" s="39">
        <v>19</v>
      </c>
      <c r="Y112" s="39"/>
      <c r="Z112">
        <v>2</v>
      </c>
      <c r="AA112" s="39"/>
      <c r="AC112" s="39"/>
      <c r="AE112" s="39"/>
      <c r="AG112" s="39"/>
      <c r="AH112" s="39"/>
      <c r="AI112" s="39"/>
      <c r="AJ112" s="39">
        <v>1</v>
      </c>
      <c r="AK112" s="39">
        <v>4</v>
      </c>
      <c r="AL112" s="39">
        <v>10</v>
      </c>
      <c r="AM112" s="39"/>
      <c r="AN112" s="39"/>
      <c r="AO112" s="40">
        <v>41</v>
      </c>
    </row>
    <row r="113" spans="1:41">
      <c r="A113" s="38"/>
      <c r="B113" s="39" t="s">
        <v>143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Q113" s="39"/>
      <c r="S113" s="39"/>
      <c r="U113" s="39"/>
      <c r="W113" s="39"/>
      <c r="Y113" s="39"/>
      <c r="AA113" s="39"/>
      <c r="AC113" s="39"/>
      <c r="AE113" s="39"/>
      <c r="AG113" s="39"/>
      <c r="AH113" s="39"/>
      <c r="AI113" s="39"/>
      <c r="AJ113" s="39"/>
      <c r="AK113" s="39"/>
      <c r="AL113" s="39">
        <v>1</v>
      </c>
      <c r="AM113" s="39"/>
      <c r="AN113" s="39"/>
      <c r="AO113" s="40">
        <v>1</v>
      </c>
    </row>
    <row r="114" spans="1:41">
      <c r="A114" s="38"/>
      <c r="B114" s="39" t="s">
        <v>144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Q114" s="39"/>
      <c r="S114" s="39"/>
      <c r="U114" s="39"/>
      <c r="W114" s="39"/>
      <c r="Y114" s="39"/>
      <c r="AA114" s="39"/>
      <c r="AC114" s="39"/>
      <c r="AE114" s="39"/>
      <c r="AG114" s="39"/>
      <c r="AH114" s="39"/>
      <c r="AI114" s="39"/>
      <c r="AJ114" s="39"/>
      <c r="AK114" s="39"/>
      <c r="AL114" s="39">
        <v>1</v>
      </c>
      <c r="AM114" s="39"/>
      <c r="AN114" s="39"/>
      <c r="AO114" s="40">
        <v>1</v>
      </c>
    </row>
    <row r="115" spans="1:41">
      <c r="A115" s="38"/>
      <c r="B115" s="39" t="s">
        <v>145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Q115" s="39"/>
      <c r="S115" s="39"/>
      <c r="U115" s="39"/>
      <c r="W115" s="39"/>
      <c r="Y115" s="39"/>
      <c r="AA115" s="39"/>
      <c r="AC115" s="39"/>
      <c r="AE115" s="39"/>
      <c r="AG115" s="39"/>
      <c r="AH115" s="39"/>
      <c r="AI115" s="39"/>
      <c r="AJ115" s="39"/>
      <c r="AK115" s="39"/>
      <c r="AL115" s="39"/>
      <c r="AM115" s="39">
        <v>1</v>
      </c>
      <c r="AN115" s="39"/>
      <c r="AO115" s="40">
        <v>1</v>
      </c>
    </row>
    <row r="116" spans="1:41">
      <c r="A116" s="38"/>
      <c r="B116" s="39" t="s">
        <v>146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Q116" s="39"/>
      <c r="S116" s="39"/>
      <c r="U116" s="39"/>
      <c r="W116" s="39"/>
      <c r="Y116" s="39"/>
      <c r="AA116" s="39"/>
      <c r="AC116" s="39"/>
      <c r="AE116" s="39"/>
      <c r="AG116" s="39"/>
      <c r="AH116" s="39"/>
      <c r="AI116" s="39"/>
      <c r="AJ116" s="39"/>
      <c r="AK116" s="39"/>
      <c r="AL116" s="39"/>
      <c r="AM116" s="39"/>
      <c r="AN116" s="39">
        <v>1</v>
      </c>
      <c r="AO116" s="40">
        <v>1</v>
      </c>
    </row>
    <row r="117" spans="1:41">
      <c r="A117" s="38"/>
      <c r="B117" s="39" t="s">
        <v>147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>
        <v>8</v>
      </c>
      <c r="Q117" s="39"/>
      <c r="S117" s="39"/>
      <c r="U117" s="39"/>
      <c r="W117" s="39"/>
      <c r="Y117" s="39"/>
      <c r="AA117" s="39"/>
      <c r="AC117" s="39">
        <v>9</v>
      </c>
      <c r="AE117" s="39">
        <v>72</v>
      </c>
      <c r="AG117" s="39"/>
      <c r="AH117" s="39"/>
      <c r="AI117" s="39"/>
      <c r="AJ117" s="39"/>
      <c r="AK117" s="39"/>
      <c r="AL117" s="39"/>
      <c r="AM117" s="39"/>
      <c r="AN117" s="39"/>
      <c r="AO117" s="40">
        <v>89</v>
      </c>
    </row>
    <row r="118" spans="1:41">
      <c r="A118" s="38"/>
      <c r="B118" s="39" t="s">
        <v>148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>
        <v>1</v>
      </c>
      <c r="O118" s="39">
        <v>2</v>
      </c>
      <c r="Q118" s="39"/>
      <c r="S118" s="39"/>
      <c r="U118" s="39"/>
      <c r="W118" s="39"/>
      <c r="Y118" s="39"/>
      <c r="Z118">
        <v>7</v>
      </c>
      <c r="AA118" s="39">
        <v>1</v>
      </c>
      <c r="AC118" s="39">
        <v>5</v>
      </c>
      <c r="AE118" s="39">
        <v>6</v>
      </c>
      <c r="AG118" s="39"/>
      <c r="AH118" s="39"/>
      <c r="AI118" s="39"/>
      <c r="AJ118" s="39"/>
      <c r="AK118" s="39"/>
      <c r="AL118" s="39"/>
      <c r="AM118" s="39"/>
      <c r="AN118" s="39"/>
      <c r="AO118" s="40">
        <v>22</v>
      </c>
    </row>
    <row r="119" spans="1:41">
      <c r="A119" s="38"/>
      <c r="B119" s="39" t="s">
        <v>149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>
        <v>2</v>
      </c>
      <c r="O119" s="39"/>
      <c r="Q119" s="39"/>
      <c r="S119" s="39"/>
      <c r="U119" s="39"/>
      <c r="W119" s="39"/>
      <c r="Y119" s="39"/>
      <c r="AA119" s="39">
        <v>1</v>
      </c>
      <c r="AC119" s="39"/>
      <c r="AE119" s="39"/>
      <c r="AG119" s="39"/>
      <c r="AH119" s="39"/>
      <c r="AI119" s="39"/>
      <c r="AJ119" s="39"/>
      <c r="AK119" s="39"/>
      <c r="AL119" s="39"/>
      <c r="AM119" s="39"/>
      <c r="AN119" s="39"/>
      <c r="AO119" s="40">
        <v>3</v>
      </c>
    </row>
    <row r="120" spans="1:41">
      <c r="A120" s="38"/>
      <c r="B120" s="39" t="s">
        <v>150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Q120" s="39">
        <v>1</v>
      </c>
      <c r="S120" s="39"/>
      <c r="U120" s="39"/>
      <c r="W120" s="39"/>
      <c r="Y120" s="39"/>
      <c r="AA120" s="39"/>
      <c r="AC120" s="39"/>
      <c r="AE120" s="39"/>
      <c r="AG120" s="39"/>
      <c r="AH120" s="39"/>
      <c r="AI120" s="39"/>
      <c r="AJ120" s="39"/>
      <c r="AK120" s="39"/>
      <c r="AL120" s="39"/>
      <c r="AM120" s="39"/>
      <c r="AN120" s="39"/>
      <c r="AO120" s="40">
        <v>1</v>
      </c>
    </row>
    <row r="121" spans="1:41">
      <c r="A121" s="38"/>
      <c r="B121" s="39" t="s">
        <v>151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Q121" s="39"/>
      <c r="S121" s="39"/>
      <c r="U121" s="39"/>
      <c r="W121" s="39"/>
      <c r="Y121" s="39"/>
      <c r="Z121">
        <v>1</v>
      </c>
      <c r="AA121" s="39">
        <v>2</v>
      </c>
      <c r="AC121" s="39"/>
      <c r="AE121" s="39"/>
      <c r="AG121" s="39"/>
      <c r="AH121" s="39"/>
      <c r="AI121" s="39"/>
      <c r="AJ121" s="39"/>
      <c r="AK121" s="39"/>
      <c r="AL121" s="39"/>
      <c r="AM121" s="39"/>
      <c r="AN121" s="39"/>
      <c r="AO121" s="40">
        <v>3</v>
      </c>
    </row>
    <row r="122" spans="1:41">
      <c r="A122" s="35" t="s">
        <v>4</v>
      </c>
      <c r="B122" s="35" t="s">
        <v>4</v>
      </c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5"/>
      <c r="R122" s="36"/>
      <c r="S122" s="35"/>
      <c r="T122" s="36"/>
      <c r="U122" s="35"/>
      <c r="V122" s="36"/>
      <c r="W122" s="35"/>
      <c r="X122" s="36"/>
      <c r="Y122" s="35"/>
      <c r="Z122" s="36"/>
      <c r="AA122" s="35"/>
      <c r="AB122" s="36"/>
      <c r="AC122" s="35"/>
      <c r="AD122" s="36"/>
      <c r="AE122" s="35"/>
      <c r="AF122" s="36"/>
      <c r="AG122" s="35"/>
      <c r="AH122" s="35"/>
      <c r="AI122" s="35"/>
      <c r="AJ122" s="35"/>
      <c r="AK122" s="35"/>
      <c r="AL122" s="35"/>
      <c r="AM122" s="35"/>
      <c r="AN122" s="35"/>
      <c r="AO122" s="37"/>
    </row>
    <row r="123" spans="1:41">
      <c r="A123" s="35" t="s">
        <v>152</v>
      </c>
      <c r="B123" s="35">
        <v>2</v>
      </c>
      <c r="C123" s="35">
        <v>18319</v>
      </c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5"/>
      <c r="R123" s="36"/>
      <c r="S123" s="35"/>
      <c r="T123" s="36"/>
      <c r="U123" s="35"/>
      <c r="V123" s="36"/>
      <c r="W123" s="35"/>
      <c r="X123" s="36"/>
      <c r="Y123" s="35"/>
      <c r="Z123" s="36"/>
      <c r="AA123" s="35"/>
      <c r="AB123" s="36"/>
      <c r="AC123" s="35"/>
      <c r="AD123" s="36"/>
      <c r="AE123" s="35"/>
      <c r="AF123" s="36"/>
      <c r="AG123" s="35"/>
      <c r="AH123" s="35"/>
      <c r="AI123" s="35"/>
      <c r="AJ123" s="35"/>
      <c r="AK123" s="35"/>
      <c r="AL123" s="35"/>
      <c r="AM123" s="35"/>
      <c r="AN123" s="35"/>
      <c r="AO123" s="37">
        <v>18319</v>
      </c>
    </row>
    <row r="124" spans="1:41">
      <c r="A124" s="35">
        <v>0</v>
      </c>
      <c r="B124" s="35" t="s">
        <v>43</v>
      </c>
      <c r="C124" s="35"/>
      <c r="D124" s="35">
        <v>1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>
        <v>1</v>
      </c>
      <c r="Q124" s="35"/>
      <c r="R124" s="36"/>
      <c r="S124" s="35"/>
      <c r="T124" s="36">
        <v>1</v>
      </c>
      <c r="U124" s="35"/>
      <c r="V124" s="36">
        <v>2</v>
      </c>
      <c r="W124" s="35"/>
      <c r="X124" s="36">
        <v>1</v>
      </c>
      <c r="Y124" s="35">
        <v>1</v>
      </c>
      <c r="Z124" s="36"/>
      <c r="AA124" s="35"/>
      <c r="AB124" s="36">
        <v>2</v>
      </c>
      <c r="AC124" s="35"/>
      <c r="AD124" s="36"/>
      <c r="AE124" s="35"/>
      <c r="AF124" s="36"/>
      <c r="AG124" s="35"/>
      <c r="AH124" s="35"/>
      <c r="AI124" s="35"/>
      <c r="AJ124" s="35"/>
      <c r="AK124" s="35"/>
      <c r="AL124" s="35"/>
      <c r="AM124" s="35"/>
      <c r="AN124" s="35"/>
      <c r="AO124" s="37">
        <v>9</v>
      </c>
    </row>
    <row r="125" spans="1:41">
      <c r="A125" s="38"/>
      <c r="B125" s="39" t="s">
        <v>44</v>
      </c>
      <c r="C125" s="39"/>
      <c r="D125" s="39"/>
      <c r="E125" s="39">
        <v>2</v>
      </c>
      <c r="F125" s="39"/>
      <c r="G125" s="39"/>
      <c r="H125" s="39"/>
      <c r="I125" s="39"/>
      <c r="J125" s="39"/>
      <c r="K125" s="39">
        <v>1</v>
      </c>
      <c r="L125" s="39"/>
      <c r="M125" s="39"/>
      <c r="N125" s="39"/>
      <c r="O125" s="39"/>
      <c r="Q125" s="39"/>
      <c r="R125">
        <v>1</v>
      </c>
      <c r="S125" s="39"/>
      <c r="U125" s="39"/>
      <c r="V125">
        <v>1</v>
      </c>
      <c r="W125" s="39"/>
      <c r="X125">
        <v>2</v>
      </c>
      <c r="Y125" s="39"/>
      <c r="AA125" s="39"/>
      <c r="AC125" s="39"/>
      <c r="AE125" s="39"/>
      <c r="AG125" s="39"/>
      <c r="AH125" s="39"/>
      <c r="AI125" s="39"/>
      <c r="AJ125" s="39"/>
      <c r="AK125" s="39"/>
      <c r="AL125" s="39"/>
      <c r="AM125" s="39"/>
      <c r="AN125" s="39"/>
      <c r="AO125" s="40">
        <v>7</v>
      </c>
    </row>
    <row r="126" spans="1:41">
      <c r="A126" s="38"/>
      <c r="B126" s="39" t="s">
        <v>45</v>
      </c>
      <c r="C126" s="39"/>
      <c r="D126" s="39"/>
      <c r="E126" s="39"/>
      <c r="F126" s="39"/>
      <c r="G126" s="39"/>
      <c r="H126" s="39"/>
      <c r="I126" s="39"/>
      <c r="J126" s="39">
        <v>1</v>
      </c>
      <c r="K126" s="39">
        <v>2</v>
      </c>
      <c r="L126" s="39"/>
      <c r="M126" s="39"/>
      <c r="N126" s="39"/>
      <c r="O126" s="39"/>
      <c r="Q126" s="39"/>
      <c r="S126" s="39"/>
      <c r="U126" s="39"/>
      <c r="W126" s="39"/>
      <c r="X126">
        <v>2</v>
      </c>
      <c r="Y126" s="39">
        <v>1</v>
      </c>
      <c r="AA126" s="39"/>
      <c r="AC126" s="39"/>
      <c r="AD126">
        <v>1</v>
      </c>
      <c r="AE126" s="39"/>
      <c r="AG126" s="39"/>
      <c r="AH126" s="39"/>
      <c r="AI126" s="39"/>
      <c r="AJ126" s="39"/>
      <c r="AK126" s="39"/>
      <c r="AL126" s="39"/>
      <c r="AM126" s="39"/>
      <c r="AN126" s="39"/>
      <c r="AO126" s="40">
        <v>7</v>
      </c>
    </row>
    <row r="127" spans="1:41">
      <c r="A127" s="38"/>
      <c r="B127" s="39" t="s">
        <v>66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Q127" s="39"/>
      <c r="S127" s="39"/>
      <c r="U127" s="39"/>
      <c r="W127" s="39"/>
      <c r="Y127" s="39">
        <v>1</v>
      </c>
      <c r="AA127" s="39"/>
      <c r="AC127" s="39"/>
      <c r="AE127" s="39"/>
      <c r="AG127" s="39"/>
      <c r="AH127" s="39"/>
      <c r="AI127" s="39"/>
      <c r="AJ127" s="39"/>
      <c r="AK127" s="39"/>
      <c r="AL127" s="39"/>
      <c r="AM127" s="39"/>
      <c r="AN127" s="39"/>
      <c r="AO127" s="40">
        <v>1</v>
      </c>
    </row>
    <row r="128" spans="1:41">
      <c r="A128" s="38"/>
      <c r="B128" s="39" t="s">
        <v>71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>
        <v>1</v>
      </c>
      <c r="M128" s="39"/>
      <c r="N128" s="39"/>
      <c r="O128" s="39"/>
      <c r="Q128" s="39"/>
      <c r="S128" s="39"/>
      <c r="U128" s="39"/>
      <c r="W128" s="39"/>
      <c r="Y128" s="39"/>
      <c r="AA128" s="39"/>
      <c r="AC128" s="39"/>
      <c r="AE128" s="39"/>
      <c r="AG128" s="39"/>
      <c r="AH128" s="39"/>
      <c r="AI128" s="39"/>
      <c r="AJ128" s="39"/>
      <c r="AK128" s="39"/>
      <c r="AL128" s="39"/>
      <c r="AM128" s="39"/>
      <c r="AN128" s="39"/>
      <c r="AO128" s="40">
        <v>1</v>
      </c>
    </row>
    <row r="129" spans="1:41">
      <c r="A129" s="38"/>
      <c r="B129" s="39" t="s">
        <v>74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Q129" s="39"/>
      <c r="S129" s="39"/>
      <c r="U129" s="39"/>
      <c r="W129" s="39"/>
      <c r="X129">
        <v>1</v>
      </c>
      <c r="Y129" s="39"/>
      <c r="AA129" s="39"/>
      <c r="AC129" s="39"/>
      <c r="AE129" s="39"/>
      <c r="AG129" s="39"/>
      <c r="AH129" s="39"/>
      <c r="AI129" s="39"/>
      <c r="AJ129" s="39"/>
      <c r="AK129" s="39"/>
      <c r="AL129" s="39"/>
      <c r="AM129" s="39"/>
      <c r="AN129" s="39"/>
      <c r="AO129" s="40">
        <v>1</v>
      </c>
    </row>
    <row r="130" spans="1:41">
      <c r="A130" s="38"/>
      <c r="B130" s="39" t="s">
        <v>46</v>
      </c>
      <c r="C130" s="39"/>
      <c r="D130" s="39"/>
      <c r="E130" s="39"/>
      <c r="F130" s="39"/>
      <c r="G130" s="39">
        <v>1</v>
      </c>
      <c r="H130" s="39"/>
      <c r="I130" s="39"/>
      <c r="J130" s="39"/>
      <c r="K130" s="39"/>
      <c r="L130" s="39"/>
      <c r="M130" s="39"/>
      <c r="N130" s="39"/>
      <c r="O130" s="39"/>
      <c r="Q130" s="39"/>
      <c r="S130" s="39"/>
      <c r="U130" s="39"/>
      <c r="W130" s="39"/>
      <c r="Y130" s="39"/>
      <c r="AA130" s="39"/>
      <c r="AC130" s="39"/>
      <c r="AE130" s="39"/>
      <c r="AG130" s="39"/>
      <c r="AH130" s="39"/>
      <c r="AI130" s="39"/>
      <c r="AJ130" s="39"/>
      <c r="AK130" s="39"/>
      <c r="AL130" s="39"/>
      <c r="AM130" s="39"/>
      <c r="AN130" s="39"/>
      <c r="AO130" s="40">
        <v>1</v>
      </c>
    </row>
    <row r="131" spans="1:41">
      <c r="A131" s="38"/>
      <c r="B131" s="39" t="s">
        <v>48</v>
      </c>
      <c r="C131" s="39"/>
      <c r="D131" s="39"/>
      <c r="E131" s="39"/>
      <c r="F131" s="39"/>
      <c r="G131" s="39"/>
      <c r="H131" s="39">
        <v>18</v>
      </c>
      <c r="I131" s="39"/>
      <c r="J131" s="39"/>
      <c r="K131" s="39"/>
      <c r="L131" s="39"/>
      <c r="M131" s="39">
        <v>3</v>
      </c>
      <c r="N131" s="39"/>
      <c r="O131" s="39"/>
      <c r="Q131" s="39"/>
      <c r="R131">
        <v>1</v>
      </c>
      <c r="S131" s="39"/>
      <c r="U131" s="39">
        <v>30</v>
      </c>
      <c r="V131">
        <v>1</v>
      </c>
      <c r="W131" s="39"/>
      <c r="Y131" s="39">
        <v>2</v>
      </c>
      <c r="Z131">
        <v>1</v>
      </c>
      <c r="AA131" s="39"/>
      <c r="AC131" s="39"/>
      <c r="AE131" s="39"/>
      <c r="AG131" s="39"/>
      <c r="AH131" s="39"/>
      <c r="AI131" s="39"/>
      <c r="AJ131" s="39"/>
      <c r="AK131" s="39"/>
      <c r="AL131" s="39"/>
      <c r="AM131" s="39"/>
      <c r="AN131" s="39"/>
      <c r="AO131" s="40">
        <v>56</v>
      </c>
    </row>
    <row r="132" spans="1:41">
      <c r="A132" s="38"/>
      <c r="B132" s="39" t="s">
        <v>86</v>
      </c>
      <c r="C132" s="39"/>
      <c r="D132" s="39"/>
      <c r="E132" s="39"/>
      <c r="F132" s="39">
        <v>1</v>
      </c>
      <c r="G132" s="39"/>
      <c r="H132" s="39"/>
      <c r="I132" s="39"/>
      <c r="J132" s="39"/>
      <c r="K132" s="39"/>
      <c r="L132" s="39"/>
      <c r="M132" s="39"/>
      <c r="N132" s="39"/>
      <c r="O132" s="39"/>
      <c r="Q132" s="39"/>
      <c r="S132" s="39"/>
      <c r="U132" s="39"/>
      <c r="W132" s="39"/>
      <c r="Y132" s="39"/>
      <c r="AA132" s="39"/>
      <c r="AC132" s="39"/>
      <c r="AE132" s="39"/>
      <c r="AG132" s="39"/>
      <c r="AH132" s="39"/>
      <c r="AI132" s="39"/>
      <c r="AJ132" s="39"/>
      <c r="AK132" s="39"/>
      <c r="AL132" s="39"/>
      <c r="AM132" s="39"/>
      <c r="AN132" s="39"/>
      <c r="AO132" s="40">
        <v>1</v>
      </c>
    </row>
    <row r="133" spans="1:41">
      <c r="A133" s="38"/>
      <c r="B133" s="39" t="s">
        <v>89</v>
      </c>
      <c r="C133" s="39"/>
      <c r="D133" s="39"/>
      <c r="E133" s="39">
        <v>1</v>
      </c>
      <c r="F133" s="39">
        <v>8</v>
      </c>
      <c r="G133" s="39">
        <v>2</v>
      </c>
      <c r="H133" s="39"/>
      <c r="I133" s="39"/>
      <c r="J133" s="39"/>
      <c r="K133" s="39">
        <v>3</v>
      </c>
      <c r="L133" s="39"/>
      <c r="M133" s="39"/>
      <c r="N133" s="39"/>
      <c r="O133" s="39"/>
      <c r="Q133" s="39"/>
      <c r="S133" s="39"/>
      <c r="U133" s="39"/>
      <c r="W133" s="39"/>
      <c r="X133">
        <v>1</v>
      </c>
      <c r="Y133" s="39">
        <v>2</v>
      </c>
      <c r="Z133">
        <v>1</v>
      </c>
      <c r="AA133" s="39"/>
      <c r="AC133" s="39"/>
      <c r="AE133" s="39"/>
      <c r="AF133">
        <v>1</v>
      </c>
      <c r="AG133" s="39"/>
      <c r="AH133" s="39"/>
      <c r="AI133" s="39"/>
      <c r="AJ133" s="39"/>
      <c r="AK133" s="39"/>
      <c r="AL133" s="39"/>
      <c r="AM133" s="39"/>
      <c r="AN133" s="39"/>
      <c r="AO133" s="40">
        <v>19</v>
      </c>
    </row>
    <row r="134" spans="1:41">
      <c r="A134" s="38"/>
      <c r="B134" s="39" t="s">
        <v>49</v>
      </c>
      <c r="C134" s="39"/>
      <c r="D134" s="39"/>
      <c r="E134" s="39">
        <v>1</v>
      </c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Q134" s="39"/>
      <c r="S134" s="39"/>
      <c r="U134" s="39"/>
      <c r="W134" s="39"/>
      <c r="Y134" s="39"/>
      <c r="AA134" s="39"/>
      <c r="AC134" s="39"/>
      <c r="AE134" s="39"/>
      <c r="AG134" s="39"/>
      <c r="AH134" s="39"/>
      <c r="AI134" s="39"/>
      <c r="AJ134" s="39"/>
      <c r="AK134" s="39"/>
      <c r="AL134" s="39"/>
      <c r="AM134" s="39"/>
      <c r="AN134" s="39"/>
      <c r="AO134" s="40">
        <v>1</v>
      </c>
    </row>
    <row r="135" spans="1:41">
      <c r="A135" s="38"/>
      <c r="B135" s="39" t="s">
        <v>50</v>
      </c>
      <c r="C135" s="39"/>
      <c r="D135" s="39"/>
      <c r="E135" s="39"/>
      <c r="F135" s="39">
        <v>2</v>
      </c>
      <c r="G135" s="39"/>
      <c r="H135" s="39"/>
      <c r="I135" s="39"/>
      <c r="J135" s="39"/>
      <c r="K135" s="39">
        <v>1</v>
      </c>
      <c r="L135" s="39"/>
      <c r="M135" s="39"/>
      <c r="N135" s="39"/>
      <c r="O135" s="39"/>
      <c r="Q135" s="39"/>
      <c r="S135" s="39"/>
      <c r="U135" s="39"/>
      <c r="W135" s="39"/>
      <c r="Y135" s="39"/>
      <c r="AA135" s="39"/>
      <c r="AC135" s="39"/>
      <c r="AE135" s="39"/>
      <c r="AG135" s="39"/>
      <c r="AH135" s="39"/>
      <c r="AI135" s="39"/>
      <c r="AJ135" s="39"/>
      <c r="AK135" s="39"/>
      <c r="AL135" s="39"/>
      <c r="AM135" s="39"/>
      <c r="AN135" s="39"/>
      <c r="AO135" s="40">
        <v>3</v>
      </c>
    </row>
    <row r="136" spans="1:41">
      <c r="A136" s="38"/>
      <c r="B136" s="39" t="s">
        <v>95</v>
      </c>
      <c r="C136" s="39"/>
      <c r="D136" s="39"/>
      <c r="E136" s="39"/>
      <c r="F136" s="39">
        <v>1</v>
      </c>
      <c r="G136" s="39"/>
      <c r="H136" s="39"/>
      <c r="I136" s="39"/>
      <c r="J136" s="39"/>
      <c r="K136" s="39"/>
      <c r="L136" s="39"/>
      <c r="M136" s="39"/>
      <c r="N136" s="39"/>
      <c r="O136" s="39"/>
      <c r="Q136" s="39"/>
      <c r="S136" s="39"/>
      <c r="U136" s="39"/>
      <c r="W136" s="39"/>
      <c r="Y136" s="39"/>
      <c r="AA136" s="39"/>
      <c r="AC136" s="39"/>
      <c r="AE136" s="39"/>
      <c r="AG136" s="39"/>
      <c r="AH136" s="39"/>
      <c r="AI136" s="39"/>
      <c r="AJ136" s="39"/>
      <c r="AK136" s="39"/>
      <c r="AL136" s="39"/>
      <c r="AM136" s="39"/>
      <c r="AN136" s="39"/>
      <c r="AO136" s="40">
        <v>1</v>
      </c>
    </row>
    <row r="137" spans="1:41">
      <c r="A137" s="38"/>
      <c r="B137" s="39" t="s">
        <v>101</v>
      </c>
      <c r="C137" s="39"/>
      <c r="D137" s="39"/>
      <c r="E137" s="39"/>
      <c r="F137" s="39"/>
      <c r="G137" s="39"/>
      <c r="H137" s="39">
        <v>1</v>
      </c>
      <c r="I137" s="39"/>
      <c r="J137" s="39"/>
      <c r="K137" s="39"/>
      <c r="L137" s="39"/>
      <c r="M137" s="39"/>
      <c r="N137" s="39"/>
      <c r="O137" s="39"/>
      <c r="Q137" s="39"/>
      <c r="S137" s="39"/>
      <c r="U137" s="39"/>
      <c r="V137">
        <v>7</v>
      </c>
      <c r="W137" s="39"/>
      <c r="Y137" s="39"/>
      <c r="AA137" s="39"/>
      <c r="AC137" s="39"/>
      <c r="AE137" s="39"/>
      <c r="AG137" s="39"/>
      <c r="AH137" s="39"/>
      <c r="AI137" s="39"/>
      <c r="AJ137" s="39"/>
      <c r="AK137" s="39"/>
      <c r="AL137" s="39"/>
      <c r="AM137" s="39"/>
      <c r="AN137" s="39"/>
      <c r="AO137" s="40">
        <v>8</v>
      </c>
    </row>
    <row r="138" spans="1:41">
      <c r="A138" s="38"/>
      <c r="B138" s="39" t="s">
        <v>51</v>
      </c>
      <c r="C138" s="39"/>
      <c r="D138" s="39"/>
      <c r="E138" s="39"/>
      <c r="F138" s="39"/>
      <c r="G138" s="39"/>
      <c r="H138" s="39"/>
      <c r="I138" s="39"/>
      <c r="J138" s="39">
        <v>1</v>
      </c>
      <c r="K138" s="39">
        <v>1</v>
      </c>
      <c r="L138" s="39"/>
      <c r="M138" s="39"/>
      <c r="N138" s="39"/>
      <c r="O138" s="39">
        <v>1</v>
      </c>
      <c r="Q138" s="39"/>
      <c r="R138">
        <v>1</v>
      </c>
      <c r="S138" s="39"/>
      <c r="T138">
        <v>1</v>
      </c>
      <c r="U138" s="39"/>
      <c r="W138" s="39"/>
      <c r="Y138" s="39"/>
      <c r="AA138" s="39"/>
      <c r="AC138" s="39"/>
      <c r="AE138" s="39"/>
      <c r="AG138" s="39"/>
      <c r="AH138" s="39"/>
      <c r="AI138" s="39"/>
      <c r="AJ138" s="39">
        <v>1</v>
      </c>
      <c r="AK138" s="39"/>
      <c r="AL138" s="39"/>
      <c r="AM138" s="39"/>
      <c r="AN138" s="39">
        <v>1</v>
      </c>
      <c r="AO138" s="40">
        <v>7</v>
      </c>
    </row>
    <row r="139" spans="1:41">
      <c r="A139" s="38"/>
      <c r="B139" s="39" t="s">
        <v>52</v>
      </c>
      <c r="C139" s="39"/>
      <c r="D139" s="39"/>
      <c r="E139" s="39"/>
      <c r="F139" s="39"/>
      <c r="G139" s="39"/>
      <c r="H139" s="39"/>
      <c r="I139" s="39"/>
      <c r="J139" s="39">
        <v>1</v>
      </c>
      <c r="K139" s="39"/>
      <c r="L139" s="39"/>
      <c r="M139" s="39">
        <v>2</v>
      </c>
      <c r="N139" s="39"/>
      <c r="O139" s="39"/>
      <c r="Q139" s="39"/>
      <c r="S139" s="39"/>
      <c r="U139" s="39"/>
      <c r="V139">
        <v>3</v>
      </c>
      <c r="W139" s="39"/>
      <c r="Y139" s="39"/>
      <c r="AA139" s="39"/>
      <c r="AC139" s="39"/>
      <c r="AE139" s="39"/>
      <c r="AG139" s="39"/>
      <c r="AH139" s="39"/>
      <c r="AI139" s="39"/>
      <c r="AJ139" s="39"/>
      <c r="AK139" s="39"/>
      <c r="AL139" s="39"/>
      <c r="AM139" s="39"/>
      <c r="AN139" s="39"/>
      <c r="AO139" s="40">
        <v>6</v>
      </c>
    </row>
    <row r="140" spans="1:41">
      <c r="A140" s="38"/>
      <c r="B140" s="39" t="s">
        <v>106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>
        <v>1</v>
      </c>
      <c r="Q140" s="39"/>
      <c r="S140" s="39"/>
      <c r="U140" s="39"/>
      <c r="W140" s="39"/>
      <c r="Y140" s="39"/>
      <c r="AA140" s="39"/>
      <c r="AC140" s="39"/>
      <c r="AE140" s="39"/>
      <c r="AG140" s="39"/>
      <c r="AH140" s="39"/>
      <c r="AI140" s="39"/>
      <c r="AJ140" s="39"/>
      <c r="AK140" s="39"/>
      <c r="AL140" s="39"/>
      <c r="AM140" s="39"/>
      <c r="AN140" s="39"/>
      <c r="AO140" s="40">
        <v>1</v>
      </c>
    </row>
    <row r="141" spans="1:41">
      <c r="A141" s="38"/>
      <c r="B141" s="39" t="s">
        <v>53</v>
      </c>
      <c r="C141" s="39"/>
      <c r="D141" s="39"/>
      <c r="E141" s="39"/>
      <c r="F141" s="39"/>
      <c r="G141" s="39"/>
      <c r="H141" s="39"/>
      <c r="I141" s="39"/>
      <c r="J141" s="39">
        <v>1</v>
      </c>
      <c r="K141" s="39"/>
      <c r="L141" s="39"/>
      <c r="M141" s="39"/>
      <c r="N141" s="39"/>
      <c r="O141" s="39"/>
      <c r="Q141" s="39"/>
      <c r="S141" s="39"/>
      <c r="U141" s="39">
        <v>60</v>
      </c>
      <c r="V141">
        <v>2</v>
      </c>
      <c r="W141" s="39"/>
      <c r="X141">
        <v>1</v>
      </c>
      <c r="Y141" s="39"/>
      <c r="AA141" s="39"/>
      <c r="AC141" s="39"/>
      <c r="AE141" s="39"/>
      <c r="AG141" s="39"/>
      <c r="AH141" s="39"/>
      <c r="AI141" s="39"/>
      <c r="AJ141" s="39"/>
      <c r="AK141" s="39"/>
      <c r="AL141" s="39"/>
      <c r="AM141" s="39"/>
      <c r="AN141" s="39"/>
      <c r="AO141" s="40">
        <v>64</v>
      </c>
    </row>
    <row r="142" spans="1:41">
      <c r="A142" s="38"/>
      <c r="B142" s="39" t="s">
        <v>54</v>
      </c>
      <c r="C142" s="39"/>
      <c r="D142" s="39"/>
      <c r="E142" s="39"/>
      <c r="F142" s="39"/>
      <c r="G142" s="39"/>
      <c r="H142" s="39"/>
      <c r="I142" s="39"/>
      <c r="J142" s="39">
        <v>1</v>
      </c>
      <c r="K142" s="39">
        <v>1</v>
      </c>
      <c r="L142" s="39"/>
      <c r="M142" s="39"/>
      <c r="N142" s="39"/>
      <c r="O142" s="39"/>
      <c r="Q142" s="39"/>
      <c r="S142" s="39"/>
      <c r="U142" s="39"/>
      <c r="W142" s="39"/>
      <c r="Y142" s="39"/>
      <c r="AA142" s="39"/>
      <c r="AC142" s="39"/>
      <c r="AE142" s="39"/>
      <c r="AG142" s="39"/>
      <c r="AH142" s="39"/>
      <c r="AI142" s="39"/>
      <c r="AJ142" s="39"/>
      <c r="AK142" s="39"/>
      <c r="AL142" s="39"/>
      <c r="AM142" s="39"/>
      <c r="AN142" s="39"/>
      <c r="AO142" s="40">
        <v>2</v>
      </c>
    </row>
    <row r="143" spans="1:41">
      <c r="A143" s="38"/>
      <c r="B143" s="39" t="s">
        <v>108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Q143" s="39"/>
      <c r="S143" s="39"/>
      <c r="U143" s="39"/>
      <c r="W143" s="39"/>
      <c r="Y143" s="39">
        <v>1</v>
      </c>
      <c r="AA143" s="39"/>
      <c r="AC143" s="39"/>
      <c r="AE143" s="39"/>
      <c r="AG143" s="39"/>
      <c r="AH143" s="39"/>
      <c r="AI143" s="39"/>
      <c r="AJ143" s="39"/>
      <c r="AK143" s="39"/>
      <c r="AL143" s="39"/>
      <c r="AM143" s="39"/>
      <c r="AN143" s="39"/>
      <c r="AO143" s="40">
        <v>1</v>
      </c>
    </row>
    <row r="144" spans="1:41">
      <c r="A144" s="38"/>
      <c r="B144" s="39" t="s">
        <v>111</v>
      </c>
      <c r="C144" s="39"/>
      <c r="D144" s="39"/>
      <c r="E144" s="39"/>
      <c r="F144" s="39"/>
      <c r="G144" s="39"/>
      <c r="H144" s="39"/>
      <c r="I144" s="39"/>
      <c r="J144" s="39"/>
      <c r="K144" s="39">
        <v>2</v>
      </c>
      <c r="L144" s="39"/>
      <c r="M144" s="39"/>
      <c r="N144" s="39"/>
      <c r="O144" s="39"/>
      <c r="Q144" s="39"/>
      <c r="S144" s="39"/>
      <c r="U144" s="39"/>
      <c r="W144" s="39"/>
      <c r="Y144" s="39"/>
      <c r="AA144" s="39"/>
      <c r="AC144" s="39"/>
      <c r="AE144" s="39"/>
      <c r="AG144" s="39"/>
      <c r="AH144" s="39"/>
      <c r="AI144" s="39"/>
      <c r="AJ144" s="39"/>
      <c r="AK144" s="39"/>
      <c r="AL144" s="39"/>
      <c r="AM144" s="39"/>
      <c r="AN144" s="39"/>
      <c r="AO144" s="40">
        <v>2</v>
      </c>
    </row>
    <row r="145" spans="1:41">
      <c r="A145" s="38"/>
      <c r="B145" s="39" t="s">
        <v>153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>
        <v>1</v>
      </c>
      <c r="M145" s="39"/>
      <c r="N145" s="39"/>
      <c r="O145" s="39"/>
      <c r="Q145" s="39"/>
      <c r="S145" s="39"/>
      <c r="U145" s="39"/>
      <c r="W145" s="39"/>
      <c r="Y145" s="39"/>
      <c r="AA145" s="39"/>
      <c r="AC145" s="39"/>
      <c r="AE145" s="39"/>
      <c r="AG145" s="39"/>
      <c r="AH145" s="39"/>
      <c r="AI145" s="39"/>
      <c r="AJ145" s="39"/>
      <c r="AK145" s="39"/>
      <c r="AL145" s="39"/>
      <c r="AM145" s="39"/>
      <c r="AN145" s="39"/>
      <c r="AO145" s="40">
        <v>1</v>
      </c>
    </row>
    <row r="146" spans="1:41">
      <c r="A146" s="38"/>
      <c r="B146" s="39" t="s">
        <v>56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Q146" s="39">
        <v>2</v>
      </c>
      <c r="S146" s="39"/>
      <c r="U146" s="39"/>
      <c r="W146" s="39"/>
      <c r="Y146" s="39"/>
      <c r="AA146" s="39"/>
      <c r="AC146" s="39"/>
      <c r="AE146" s="39"/>
      <c r="AG146" s="39"/>
      <c r="AH146" s="39"/>
      <c r="AI146" s="39"/>
      <c r="AJ146" s="39"/>
      <c r="AK146" s="39"/>
      <c r="AL146" s="39"/>
      <c r="AM146" s="39"/>
      <c r="AN146" s="39"/>
      <c r="AO146" s="40">
        <v>2</v>
      </c>
    </row>
    <row r="147" spans="1:41">
      <c r="A147" s="38"/>
      <c r="B147" s="39" t="s">
        <v>120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Q147" s="39"/>
      <c r="S147" s="39"/>
      <c r="U147" s="39"/>
      <c r="W147" s="39"/>
      <c r="Y147" s="39">
        <v>1</v>
      </c>
      <c r="AA147" s="39"/>
      <c r="AC147" s="39"/>
      <c r="AE147" s="39"/>
      <c r="AG147" s="39"/>
      <c r="AH147" s="39"/>
      <c r="AI147" s="39"/>
      <c r="AJ147" s="39"/>
      <c r="AK147" s="39"/>
      <c r="AL147" s="39"/>
      <c r="AM147" s="39"/>
      <c r="AN147" s="39"/>
      <c r="AO147" s="40">
        <v>1</v>
      </c>
    </row>
    <row r="148" spans="1:41">
      <c r="A148" s="38"/>
      <c r="B148" s="39" t="s">
        <v>126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>
        <v>0</v>
      </c>
      <c r="Q148" s="39"/>
      <c r="R148">
        <v>0</v>
      </c>
      <c r="S148" s="39"/>
      <c r="T148">
        <v>0</v>
      </c>
      <c r="U148" s="39"/>
      <c r="V148">
        <v>0</v>
      </c>
      <c r="W148" s="39"/>
      <c r="Y148" s="39"/>
      <c r="AA148" s="39"/>
      <c r="AC148" s="39"/>
      <c r="AE148" s="39"/>
      <c r="AG148" s="39"/>
      <c r="AH148" s="39"/>
      <c r="AI148" s="39"/>
      <c r="AJ148" s="39"/>
      <c r="AK148" s="39"/>
      <c r="AL148" s="39"/>
      <c r="AM148" s="39"/>
      <c r="AN148" s="39"/>
      <c r="AO148" s="40">
        <v>0</v>
      </c>
    </row>
    <row r="149" spans="1:41">
      <c r="A149" s="38"/>
      <c r="B149" s="39" t="s">
        <v>127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Q149" s="39"/>
      <c r="S149" s="39"/>
      <c r="U149" s="39"/>
      <c r="W149" s="39"/>
      <c r="Y149" s="39">
        <v>1</v>
      </c>
      <c r="AA149" s="39"/>
      <c r="AC149" s="39"/>
      <c r="AE149" s="39"/>
      <c r="AG149" s="39"/>
      <c r="AH149" s="39"/>
      <c r="AI149" s="39"/>
      <c r="AJ149" s="39"/>
      <c r="AK149" s="39"/>
      <c r="AL149" s="39"/>
      <c r="AM149" s="39"/>
      <c r="AN149" s="39"/>
      <c r="AO149" s="40">
        <v>1</v>
      </c>
    </row>
    <row r="150" spans="1:41">
      <c r="A150" s="38"/>
      <c r="B150" s="39" t="s">
        <v>154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Q150" s="39"/>
      <c r="S150" s="39"/>
      <c r="U150" s="39"/>
      <c r="W150" s="39"/>
      <c r="Y150" s="39"/>
      <c r="AA150" s="39"/>
      <c r="AC150" s="39"/>
      <c r="AD150">
        <v>1</v>
      </c>
      <c r="AE150" s="39"/>
      <c r="AF150">
        <v>1</v>
      </c>
      <c r="AG150" s="39"/>
      <c r="AH150" s="39"/>
      <c r="AI150" s="39"/>
      <c r="AJ150" s="39"/>
      <c r="AK150" s="39"/>
      <c r="AL150" s="39"/>
      <c r="AM150" s="39"/>
      <c r="AN150" s="39"/>
      <c r="AO150" s="40">
        <v>2</v>
      </c>
    </row>
    <row r="151" spans="1:41">
      <c r="A151" s="38"/>
      <c r="B151" s="39" t="s">
        <v>132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Q151" s="39"/>
      <c r="S151" s="39"/>
      <c r="U151" s="39"/>
      <c r="W151" s="39"/>
      <c r="Y151" s="39"/>
      <c r="AA151" s="39"/>
      <c r="AC151" s="39">
        <v>1</v>
      </c>
      <c r="AE151" s="39"/>
      <c r="AG151" s="39"/>
      <c r="AH151" s="39"/>
      <c r="AI151" s="39"/>
      <c r="AJ151" s="39"/>
      <c r="AK151" s="39"/>
      <c r="AL151" s="39"/>
      <c r="AM151" s="39"/>
      <c r="AN151" s="39"/>
      <c r="AO151" s="40">
        <v>1</v>
      </c>
    </row>
    <row r="152" spans="1:41">
      <c r="A152" s="38"/>
      <c r="B152" s="39" t="s">
        <v>135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Q152" s="39"/>
      <c r="S152" s="39"/>
      <c r="U152" s="39"/>
      <c r="W152" s="39"/>
      <c r="Y152" s="39"/>
      <c r="AA152" s="39"/>
      <c r="AC152" s="39"/>
      <c r="AE152" s="39"/>
      <c r="AG152" s="39"/>
      <c r="AH152" s="39"/>
      <c r="AI152" s="39">
        <v>1</v>
      </c>
      <c r="AJ152" s="39"/>
      <c r="AK152" s="39"/>
      <c r="AL152" s="39"/>
      <c r="AM152" s="39"/>
      <c r="AN152" s="39"/>
      <c r="AO152" s="40">
        <v>1</v>
      </c>
    </row>
    <row r="153" spans="1:41">
      <c r="A153" s="38"/>
      <c r="B153" s="39" t="s">
        <v>140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Q153" s="39"/>
      <c r="S153" s="39"/>
      <c r="U153" s="39"/>
      <c r="W153" s="39"/>
      <c r="Y153" s="39"/>
      <c r="AA153" s="39"/>
      <c r="AC153" s="39"/>
      <c r="AE153" s="39"/>
      <c r="AG153" s="39"/>
      <c r="AH153" s="39"/>
      <c r="AI153" s="39"/>
      <c r="AJ153" s="39">
        <v>1</v>
      </c>
      <c r="AK153" s="39"/>
      <c r="AL153" s="39"/>
      <c r="AM153" s="39"/>
      <c r="AN153" s="39"/>
      <c r="AO153" s="40">
        <v>1</v>
      </c>
    </row>
    <row r="154" spans="1:41">
      <c r="A154" s="38"/>
      <c r="B154" s="39" t="s">
        <v>60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Q154" s="39"/>
      <c r="S154" s="39"/>
      <c r="U154" s="39"/>
      <c r="W154" s="39"/>
      <c r="Y154" s="39"/>
      <c r="AA154" s="39"/>
      <c r="AC154" s="39"/>
      <c r="AE154" s="39"/>
      <c r="AG154" s="39"/>
      <c r="AH154" s="39"/>
      <c r="AI154" s="39"/>
      <c r="AJ154" s="39"/>
      <c r="AK154" s="39"/>
      <c r="AL154" s="39">
        <v>1</v>
      </c>
      <c r="AM154" s="39"/>
      <c r="AN154" s="39"/>
      <c r="AO154" s="40">
        <v>1</v>
      </c>
    </row>
    <row r="155" spans="1:41">
      <c r="A155" s="38"/>
      <c r="B155" s="39" t="s">
        <v>62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Q155" s="39"/>
      <c r="S155" s="39"/>
      <c r="U155" s="39"/>
      <c r="W155" s="39"/>
      <c r="Y155" s="39"/>
      <c r="AA155" s="39"/>
      <c r="AC155" s="39">
        <v>14</v>
      </c>
      <c r="AE155" s="39"/>
      <c r="AG155" s="39"/>
      <c r="AH155" s="39"/>
      <c r="AI155" s="39"/>
      <c r="AJ155" s="39"/>
      <c r="AK155" s="39"/>
      <c r="AL155" s="39"/>
      <c r="AM155" s="39"/>
      <c r="AN155" s="39"/>
      <c r="AO155" s="40">
        <v>14</v>
      </c>
    </row>
    <row r="156" spans="1:41">
      <c r="A156" s="41" t="s">
        <v>19</v>
      </c>
      <c r="B156" s="42"/>
      <c r="C156" s="41">
        <v>18319</v>
      </c>
      <c r="D156" s="41">
        <v>344</v>
      </c>
      <c r="E156" s="41">
        <v>623</v>
      </c>
      <c r="F156" s="41">
        <v>347</v>
      </c>
      <c r="G156" s="41">
        <v>663</v>
      </c>
      <c r="H156" s="41">
        <v>583</v>
      </c>
      <c r="I156" s="41">
        <v>602</v>
      </c>
      <c r="J156" s="41">
        <v>503</v>
      </c>
      <c r="K156" s="41">
        <v>412</v>
      </c>
      <c r="L156" s="41">
        <v>283</v>
      </c>
      <c r="M156" s="41">
        <v>738</v>
      </c>
      <c r="N156" s="41">
        <v>820</v>
      </c>
      <c r="O156" s="41">
        <v>413</v>
      </c>
      <c r="P156" s="43">
        <v>802</v>
      </c>
      <c r="Q156" s="41">
        <v>1555</v>
      </c>
      <c r="R156" s="43">
        <v>393</v>
      </c>
      <c r="S156" s="41">
        <v>973</v>
      </c>
      <c r="T156" s="43">
        <v>617</v>
      </c>
      <c r="U156" s="41">
        <v>875</v>
      </c>
      <c r="V156" s="43">
        <v>329</v>
      </c>
      <c r="W156" s="41">
        <v>508</v>
      </c>
      <c r="X156" s="43">
        <v>455</v>
      </c>
      <c r="Y156" s="41">
        <v>289</v>
      </c>
      <c r="Z156" s="43">
        <v>104</v>
      </c>
      <c r="AA156" s="41">
        <v>398</v>
      </c>
      <c r="AB156" s="43">
        <v>187</v>
      </c>
      <c r="AC156" s="41">
        <v>480</v>
      </c>
      <c r="AD156" s="43">
        <v>416</v>
      </c>
      <c r="AE156" s="41">
        <v>701</v>
      </c>
      <c r="AF156" s="43">
        <v>275</v>
      </c>
      <c r="AG156" s="41">
        <v>240</v>
      </c>
      <c r="AH156" s="41">
        <v>281</v>
      </c>
      <c r="AI156" s="41">
        <v>483</v>
      </c>
      <c r="AJ156" s="41">
        <v>508</v>
      </c>
      <c r="AK156" s="41">
        <v>250</v>
      </c>
      <c r="AL156" s="41">
        <v>431</v>
      </c>
      <c r="AM156" s="41">
        <v>105</v>
      </c>
      <c r="AN156" s="41">
        <v>333</v>
      </c>
      <c r="AO156" s="44">
        <v>36638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680"/>
  <sheetViews>
    <sheetView tabSelected="1" zoomScale="110" workbookViewId="0">
      <pane xSplit="17" ySplit="2" topLeftCell="R3" activePane="bottomRight" state="frozen"/>
      <selection pane="topRight" activeCell="J1" sqref="J1"/>
      <selection pane="bottomLeft" activeCell="A3" sqref="A3"/>
      <selection pane="bottomRight" activeCell="D4" sqref="D4"/>
    </sheetView>
  </sheetViews>
  <sheetFormatPr baseColWidth="10" defaultColWidth="9.1640625" defaultRowHeight="13"/>
  <cols>
    <col min="1" max="1" width="5.1640625" style="4" bestFit="1" customWidth="1"/>
    <col min="2" max="2" width="10.1640625" style="2" customWidth="1"/>
    <col min="3" max="3" width="11" style="2" customWidth="1"/>
    <col min="4" max="4" width="11.1640625" style="2" customWidth="1"/>
    <col min="5" max="5" width="25.6640625" style="7" customWidth="1"/>
    <col min="6" max="6" width="8.5" style="4" bestFit="1" customWidth="1"/>
    <col min="7" max="7" width="10.1640625" style="18" bestFit="1" customWidth="1"/>
    <col min="8" max="8" width="10.5" style="5" customWidth="1"/>
    <col min="9" max="9" width="3.6640625" style="2" customWidth="1"/>
    <col min="10" max="10" width="6.33203125" style="2" customWidth="1"/>
    <col min="11" max="11" width="7.83203125" style="6" bestFit="1" customWidth="1"/>
    <col min="12" max="12" width="6.33203125" style="2" customWidth="1"/>
    <col min="13" max="13" width="5.1640625" style="2" customWidth="1"/>
    <col min="14" max="14" width="7" style="2" customWidth="1"/>
    <col min="15" max="15" width="8.5" style="2" customWidth="1"/>
    <col min="16" max="16" width="6.5" style="2" customWidth="1"/>
    <col min="17" max="17" width="20.33203125" style="7" customWidth="1"/>
    <col min="18" max="18" width="20.33203125" style="4" customWidth="1"/>
    <col min="19" max="19" width="7.1640625" style="20" customWidth="1"/>
    <col min="20" max="20" width="6.6640625" style="2" customWidth="1"/>
    <col min="21" max="21" width="4" style="2" bestFit="1" customWidth="1"/>
    <col min="22" max="22" width="4.6640625" style="2" customWidth="1"/>
    <col min="23" max="23" width="4" style="2" bestFit="1" customWidth="1"/>
    <col min="24" max="24" width="4.33203125" style="2" customWidth="1"/>
    <col min="25" max="25" width="5" style="2" bestFit="1" customWidth="1"/>
    <col min="26" max="26" width="4" style="2" customWidth="1"/>
    <col min="27" max="32" width="3" style="2" bestFit="1" customWidth="1"/>
    <col min="33" max="33" width="5" style="2" bestFit="1" customWidth="1"/>
    <col min="34" max="34" width="3" style="2" bestFit="1" customWidth="1"/>
    <col min="35" max="35" width="5" style="2" bestFit="1" customWidth="1"/>
    <col min="36" max="36" width="4" style="2" bestFit="1" customWidth="1"/>
    <col min="37" max="37" width="6" style="2" bestFit="1" customWidth="1"/>
    <col min="38" max="38" width="4" style="2" bestFit="1" customWidth="1"/>
    <col min="39" max="39" width="6" style="2" bestFit="1" customWidth="1"/>
    <col min="40" max="40" width="4" style="2" bestFit="1" customWidth="1"/>
    <col min="41" max="41" width="6" style="2" bestFit="1" customWidth="1"/>
    <col min="42" max="42" width="4" style="2" bestFit="1" customWidth="1"/>
    <col min="43" max="43" width="6" style="2" bestFit="1" customWidth="1"/>
    <col min="44" max="48" width="4" style="2" bestFit="1" customWidth="1"/>
    <col min="49" max="16384" width="9.1640625" style="2"/>
  </cols>
  <sheetData>
    <row r="1" spans="1:89" s="14" customFormat="1" ht="14" thickBot="1">
      <c r="A1" s="8" t="s">
        <v>155</v>
      </c>
      <c r="B1" s="9" t="s">
        <v>156</v>
      </c>
      <c r="C1" s="9" t="s">
        <v>157</v>
      </c>
      <c r="D1" s="9" t="s">
        <v>2</v>
      </c>
      <c r="E1" s="16" t="s">
        <v>158</v>
      </c>
      <c r="F1" s="12" t="s">
        <v>159</v>
      </c>
      <c r="G1" s="17" t="s">
        <v>160</v>
      </c>
      <c r="H1" s="10" t="s">
        <v>1</v>
      </c>
      <c r="I1" s="9" t="s">
        <v>161</v>
      </c>
      <c r="J1" s="9" t="s">
        <v>162</v>
      </c>
      <c r="K1" s="11" t="s">
        <v>163</v>
      </c>
      <c r="L1" s="9" t="s">
        <v>164</v>
      </c>
      <c r="M1" s="9" t="s">
        <v>3</v>
      </c>
      <c r="N1" s="9" t="s">
        <v>40</v>
      </c>
      <c r="O1" s="9" t="s">
        <v>165</v>
      </c>
      <c r="P1" s="9" t="s">
        <v>166</v>
      </c>
      <c r="Q1" s="16" t="s">
        <v>41</v>
      </c>
      <c r="R1" s="12" t="s">
        <v>167</v>
      </c>
      <c r="S1" s="19" t="s">
        <v>168</v>
      </c>
      <c r="T1" s="13" t="s">
        <v>169</v>
      </c>
      <c r="U1" s="13">
        <f t="shared" ref="U1:AR1" si="0">2.5*U2</f>
        <v>0</v>
      </c>
      <c r="V1" s="13">
        <f t="shared" si="0"/>
        <v>5</v>
      </c>
      <c r="W1" s="13">
        <f t="shared" si="0"/>
        <v>0</v>
      </c>
      <c r="X1" s="13">
        <f t="shared" si="0"/>
        <v>0</v>
      </c>
      <c r="Y1" s="13">
        <f>2.5*Y2</f>
        <v>0</v>
      </c>
      <c r="Z1" s="13">
        <f t="shared" si="0"/>
        <v>0</v>
      </c>
      <c r="AA1" s="13">
        <f>2.5*AA2</f>
        <v>0</v>
      </c>
      <c r="AB1" s="13">
        <f t="shared" si="0"/>
        <v>0</v>
      </c>
      <c r="AC1" s="13">
        <f t="shared" si="0"/>
        <v>0</v>
      </c>
      <c r="AD1" s="13">
        <f t="shared" si="0"/>
        <v>0</v>
      </c>
      <c r="AE1" s="13">
        <f t="shared" si="0"/>
        <v>0</v>
      </c>
      <c r="AF1" s="13">
        <f t="shared" si="0"/>
        <v>0</v>
      </c>
      <c r="AG1" s="13">
        <f t="shared" si="0"/>
        <v>0</v>
      </c>
      <c r="AH1" s="13">
        <f t="shared" si="0"/>
        <v>0</v>
      </c>
      <c r="AI1" s="13">
        <f t="shared" si="0"/>
        <v>0</v>
      </c>
      <c r="AJ1" s="13">
        <f t="shared" si="0"/>
        <v>0</v>
      </c>
      <c r="AK1" s="13">
        <f t="shared" si="0"/>
        <v>0</v>
      </c>
      <c r="AL1" s="13">
        <f t="shared" si="0"/>
        <v>0</v>
      </c>
      <c r="AM1" s="13">
        <f t="shared" si="0"/>
        <v>0</v>
      </c>
      <c r="AN1" s="13">
        <f t="shared" si="0"/>
        <v>0</v>
      </c>
      <c r="AO1" s="13">
        <f t="shared" si="0"/>
        <v>0</v>
      </c>
      <c r="AP1" s="13">
        <f t="shared" si="0"/>
        <v>0</v>
      </c>
      <c r="AQ1" s="13">
        <f t="shared" si="0"/>
        <v>0</v>
      </c>
      <c r="AR1" s="13">
        <f t="shared" si="0"/>
        <v>0</v>
      </c>
      <c r="AS1" s="13">
        <v>250</v>
      </c>
      <c r="AT1" s="13">
        <v>300</v>
      </c>
      <c r="AU1" s="13">
        <v>350</v>
      </c>
      <c r="AV1" s="13">
        <v>400</v>
      </c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</row>
    <row r="2" spans="1:89" s="22" customFormat="1">
      <c r="A2" s="4">
        <f>MAX($A$1:$A1)+1</f>
        <v>1</v>
      </c>
      <c r="B2" s="2" t="s">
        <v>278</v>
      </c>
      <c r="C2" s="2" t="s">
        <v>171</v>
      </c>
      <c r="D2" s="2" t="s">
        <v>31</v>
      </c>
      <c r="E2" s="7" t="s">
        <v>290</v>
      </c>
      <c r="F2" s="4">
        <v>48.828948974609297</v>
      </c>
      <c r="G2" s="18">
        <v>-125.19757080078099</v>
      </c>
      <c r="H2" s="5" t="s">
        <v>10</v>
      </c>
      <c r="I2" s="2">
        <v>1</v>
      </c>
      <c r="J2" s="2">
        <v>210</v>
      </c>
      <c r="K2" s="6">
        <v>0.41250000000000003</v>
      </c>
      <c r="L2" s="2" t="s">
        <v>172</v>
      </c>
      <c r="M2" s="2">
        <v>5.5</v>
      </c>
      <c r="N2" s="2">
        <v>1</v>
      </c>
      <c r="O2" s="2">
        <v>2</v>
      </c>
      <c r="P2" s="2" t="s">
        <v>291</v>
      </c>
      <c r="Q2" s="7" t="s">
        <v>59</v>
      </c>
      <c r="R2" s="4" t="s">
        <v>292</v>
      </c>
      <c r="S2" s="54">
        <v>2</v>
      </c>
      <c r="T2" s="2">
        <v>0</v>
      </c>
      <c r="U2" s="2"/>
      <c r="V2" s="2">
        <v>2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</row>
    <row r="3" spans="1:89">
      <c r="A3" s="7">
        <f>MAX($A$1:$A2)+1</f>
        <v>2</v>
      </c>
      <c r="B3" s="2" t="s">
        <v>278</v>
      </c>
      <c r="C3" s="2" t="s">
        <v>171</v>
      </c>
      <c r="D3" s="2" t="s">
        <v>31</v>
      </c>
      <c r="E3" s="7" t="s">
        <v>290</v>
      </c>
      <c r="F3" s="4">
        <v>48.828948974609297</v>
      </c>
      <c r="G3" s="18">
        <v>-125.19757080078099</v>
      </c>
      <c r="H3" s="5" t="s">
        <v>10</v>
      </c>
      <c r="I3" s="2">
        <v>1</v>
      </c>
      <c r="J3" s="2">
        <v>210</v>
      </c>
      <c r="K3" s="6">
        <v>0.41250000000000003</v>
      </c>
      <c r="L3" s="2" t="s">
        <v>172</v>
      </c>
      <c r="M3" s="2">
        <v>5.5</v>
      </c>
      <c r="N3" s="2">
        <v>2</v>
      </c>
      <c r="O3" s="2">
        <v>2</v>
      </c>
      <c r="P3" s="2" t="s">
        <v>247</v>
      </c>
      <c r="Q3" s="7" t="s">
        <v>64</v>
      </c>
      <c r="R3" s="7" t="s">
        <v>293</v>
      </c>
      <c r="S3" s="20">
        <v>6</v>
      </c>
      <c r="T3" s="2">
        <v>6</v>
      </c>
    </row>
    <row r="4" spans="1:89">
      <c r="A4" s="7">
        <f>MAX($A$1:$A3)+1</f>
        <v>3</v>
      </c>
      <c r="B4" s="2" t="s">
        <v>278</v>
      </c>
      <c r="C4" s="2" t="s">
        <v>171</v>
      </c>
      <c r="D4" s="2" t="s">
        <v>31</v>
      </c>
      <c r="E4" s="7" t="s">
        <v>290</v>
      </c>
      <c r="F4" s="4">
        <v>48.828948974609297</v>
      </c>
      <c r="G4" s="18">
        <v>-125.19757080078099</v>
      </c>
      <c r="H4" s="5" t="s">
        <v>10</v>
      </c>
      <c r="I4" s="2">
        <v>1</v>
      </c>
      <c r="J4" s="2">
        <v>210</v>
      </c>
      <c r="K4" s="6">
        <v>0.41250000000000003</v>
      </c>
      <c r="L4" s="2" t="s">
        <v>172</v>
      </c>
      <c r="M4" s="2">
        <v>5.5</v>
      </c>
      <c r="N4" s="2">
        <v>2</v>
      </c>
      <c r="O4" s="2">
        <v>2</v>
      </c>
      <c r="P4" s="2" t="s">
        <v>241</v>
      </c>
      <c r="Q4" s="7" t="s">
        <v>63</v>
      </c>
      <c r="R4" s="7" t="s">
        <v>294</v>
      </c>
      <c r="S4" s="20">
        <v>159</v>
      </c>
      <c r="T4" s="2">
        <v>159</v>
      </c>
    </row>
    <row r="5" spans="1:89">
      <c r="A5" s="7">
        <f>MAX($A$1:$A4)+1</f>
        <v>4</v>
      </c>
      <c r="B5" s="2" t="s">
        <v>278</v>
      </c>
      <c r="C5" s="2" t="s">
        <v>171</v>
      </c>
      <c r="D5" s="2" t="s">
        <v>31</v>
      </c>
      <c r="E5" s="7" t="s">
        <v>290</v>
      </c>
      <c r="F5" s="4">
        <v>48.828948974609297</v>
      </c>
      <c r="G5" s="18">
        <v>-125.19757080078099</v>
      </c>
      <c r="H5" s="5" t="s">
        <v>10</v>
      </c>
      <c r="I5" s="2">
        <v>1</v>
      </c>
      <c r="J5" s="2">
        <v>210</v>
      </c>
      <c r="K5" s="6">
        <v>0.41250000000000003</v>
      </c>
      <c r="L5" s="2" t="s">
        <v>172</v>
      </c>
      <c r="M5" s="2">
        <v>5.5</v>
      </c>
      <c r="N5" s="2">
        <v>2</v>
      </c>
      <c r="O5" s="2">
        <v>2</v>
      </c>
      <c r="P5" s="2" t="s">
        <v>250</v>
      </c>
      <c r="Q5" s="7" t="s">
        <v>46</v>
      </c>
      <c r="R5" s="7" t="s">
        <v>295</v>
      </c>
      <c r="S5" s="20">
        <v>5</v>
      </c>
      <c r="T5" s="2">
        <v>0</v>
      </c>
      <c r="V5" s="2">
        <v>4</v>
      </c>
      <c r="W5" s="2">
        <v>1</v>
      </c>
    </row>
    <row r="6" spans="1:89">
      <c r="A6" s="7">
        <f>MAX($A$1:$A5)+1</f>
        <v>5</v>
      </c>
      <c r="B6" s="2" t="s">
        <v>278</v>
      </c>
      <c r="C6" s="2" t="s">
        <v>171</v>
      </c>
      <c r="D6" s="2" t="s">
        <v>31</v>
      </c>
      <c r="E6" s="7" t="s">
        <v>290</v>
      </c>
      <c r="F6" s="4">
        <v>48.828948974609297</v>
      </c>
      <c r="G6" s="18">
        <v>-125.19757080078099</v>
      </c>
      <c r="H6" s="5" t="s">
        <v>10</v>
      </c>
      <c r="I6" s="2">
        <v>1</v>
      </c>
      <c r="J6" s="2">
        <v>210</v>
      </c>
      <c r="K6" s="6">
        <v>0.41250000000000003</v>
      </c>
      <c r="L6" s="2" t="s">
        <v>172</v>
      </c>
      <c r="M6" s="2">
        <v>5.5</v>
      </c>
      <c r="N6" s="2">
        <v>2</v>
      </c>
      <c r="O6" s="2">
        <v>2</v>
      </c>
      <c r="P6" s="2" t="s">
        <v>296</v>
      </c>
      <c r="Q6" s="7" t="s">
        <v>75</v>
      </c>
      <c r="R6" s="7" t="s">
        <v>297</v>
      </c>
      <c r="S6" s="20">
        <v>2</v>
      </c>
      <c r="T6" s="2">
        <v>2</v>
      </c>
    </row>
    <row r="7" spans="1:89">
      <c r="A7" s="7">
        <f>MAX($A$1:$A6)+1</f>
        <v>6</v>
      </c>
      <c r="B7" s="2" t="s">
        <v>278</v>
      </c>
      <c r="C7" s="2" t="s">
        <v>171</v>
      </c>
      <c r="D7" s="2" t="s">
        <v>31</v>
      </c>
      <c r="E7" s="7" t="s">
        <v>290</v>
      </c>
      <c r="F7" s="4">
        <v>48.828948974609297</v>
      </c>
      <c r="G7" s="18">
        <v>-125.19757080078099</v>
      </c>
      <c r="H7" s="5" t="s">
        <v>10</v>
      </c>
      <c r="I7" s="2">
        <v>1</v>
      </c>
      <c r="J7" s="2">
        <v>210</v>
      </c>
      <c r="K7" s="6">
        <v>0.41250000000000003</v>
      </c>
      <c r="L7" s="2" t="s">
        <v>172</v>
      </c>
      <c r="M7" s="2">
        <v>5.5</v>
      </c>
      <c r="N7" s="2">
        <v>2</v>
      </c>
      <c r="O7" s="2">
        <v>2</v>
      </c>
      <c r="P7" s="2" t="s">
        <v>298</v>
      </c>
      <c r="Q7" s="7" t="s">
        <v>99</v>
      </c>
      <c r="R7" s="7" t="s">
        <v>299</v>
      </c>
      <c r="S7" s="20">
        <v>5</v>
      </c>
      <c r="T7" s="2">
        <v>5</v>
      </c>
    </row>
    <row r="8" spans="1:89">
      <c r="A8" s="7">
        <f>MAX($A$1:$A7)+1</f>
        <v>7</v>
      </c>
      <c r="B8" s="2" t="s">
        <v>278</v>
      </c>
      <c r="C8" s="2" t="s">
        <v>171</v>
      </c>
      <c r="D8" s="2" t="s">
        <v>31</v>
      </c>
      <c r="E8" s="7" t="s">
        <v>290</v>
      </c>
      <c r="F8" s="4">
        <v>48.828948974609297</v>
      </c>
      <c r="G8" s="18">
        <v>-125.19757080078099</v>
      </c>
      <c r="H8" s="5" t="s">
        <v>10</v>
      </c>
      <c r="I8" s="2">
        <v>1</v>
      </c>
      <c r="J8" s="2">
        <v>210</v>
      </c>
      <c r="K8" s="6">
        <v>0.41250000000000003</v>
      </c>
      <c r="L8" s="2" t="s">
        <v>172</v>
      </c>
      <c r="M8" s="2">
        <v>5.5</v>
      </c>
      <c r="N8" s="2">
        <v>2</v>
      </c>
      <c r="O8" s="2">
        <v>2</v>
      </c>
      <c r="P8" s="2" t="s">
        <v>239</v>
      </c>
      <c r="Q8" s="7" t="s">
        <v>80</v>
      </c>
      <c r="R8" s="7" t="s">
        <v>300</v>
      </c>
      <c r="S8" s="20">
        <v>23</v>
      </c>
      <c r="T8" s="2">
        <v>23</v>
      </c>
    </row>
    <row r="9" spans="1:89">
      <c r="A9" s="7">
        <f>MAX($A$1:$A8)+1</f>
        <v>8</v>
      </c>
      <c r="B9" s="2" t="s">
        <v>278</v>
      </c>
      <c r="C9" s="2" t="s">
        <v>171</v>
      </c>
      <c r="D9" s="2" t="s">
        <v>31</v>
      </c>
      <c r="E9" s="7" t="s">
        <v>290</v>
      </c>
      <c r="F9" s="4">
        <v>48.828948974609297</v>
      </c>
      <c r="G9" s="18">
        <v>-125.19757080078099</v>
      </c>
      <c r="H9" s="5" t="s">
        <v>10</v>
      </c>
      <c r="I9" s="2">
        <v>1</v>
      </c>
      <c r="J9" s="2">
        <v>210</v>
      </c>
      <c r="K9" s="6">
        <v>0.41250000000000003</v>
      </c>
      <c r="L9" s="2" t="s">
        <v>172</v>
      </c>
      <c r="M9" s="2">
        <v>5.5</v>
      </c>
      <c r="N9" s="2">
        <v>2</v>
      </c>
      <c r="O9" s="2">
        <v>2</v>
      </c>
      <c r="P9" s="2" t="s">
        <v>301</v>
      </c>
      <c r="Q9" s="7" t="s">
        <v>97</v>
      </c>
      <c r="R9" s="7" t="s">
        <v>302</v>
      </c>
      <c r="S9" s="20">
        <v>6</v>
      </c>
      <c r="T9" s="2">
        <v>6</v>
      </c>
    </row>
    <row r="10" spans="1:89">
      <c r="A10" s="7">
        <f>MAX($A$1:$A9)+1</f>
        <v>9</v>
      </c>
      <c r="B10" s="2" t="s">
        <v>278</v>
      </c>
      <c r="C10" s="2" t="s">
        <v>171</v>
      </c>
      <c r="D10" s="2" t="s">
        <v>31</v>
      </c>
      <c r="E10" s="7" t="s">
        <v>290</v>
      </c>
      <c r="F10" s="4">
        <v>48.828948974609297</v>
      </c>
      <c r="G10" s="18">
        <v>-125.19757080078099</v>
      </c>
      <c r="H10" s="5" t="s">
        <v>10</v>
      </c>
      <c r="I10" s="2">
        <v>1</v>
      </c>
      <c r="J10" s="2">
        <v>210</v>
      </c>
      <c r="K10" s="6">
        <v>0.41250000000000003</v>
      </c>
      <c r="L10" s="2" t="s">
        <v>172</v>
      </c>
      <c r="M10" s="2">
        <v>5.5</v>
      </c>
      <c r="N10" s="2">
        <v>2</v>
      </c>
      <c r="O10" s="2">
        <v>2</v>
      </c>
      <c r="P10" s="2" t="s">
        <v>303</v>
      </c>
      <c r="Q10" s="7" t="s">
        <v>121</v>
      </c>
      <c r="R10" s="7" t="s">
        <v>304</v>
      </c>
      <c r="S10" s="20">
        <v>1</v>
      </c>
      <c r="T10" s="2">
        <v>1</v>
      </c>
    </row>
    <row r="11" spans="1:89">
      <c r="A11" s="7">
        <f>MAX($A$1:$A10)+1</f>
        <v>10</v>
      </c>
      <c r="B11" s="2" t="s">
        <v>278</v>
      </c>
      <c r="C11" s="2" t="s">
        <v>171</v>
      </c>
      <c r="D11" s="2" t="s">
        <v>31</v>
      </c>
      <c r="E11" s="7" t="s">
        <v>290</v>
      </c>
      <c r="F11" s="4">
        <v>48.828948974609297</v>
      </c>
      <c r="G11" s="18">
        <v>-125.19757080078099</v>
      </c>
      <c r="H11" s="5" t="s">
        <v>10</v>
      </c>
      <c r="I11" s="2">
        <v>1</v>
      </c>
      <c r="J11" s="2">
        <v>210</v>
      </c>
      <c r="K11" s="6">
        <v>0.41250000000000003</v>
      </c>
      <c r="L11" s="2" t="s">
        <v>172</v>
      </c>
      <c r="M11" s="2">
        <v>5.5</v>
      </c>
      <c r="N11" s="2">
        <v>2</v>
      </c>
      <c r="O11" s="2">
        <v>2</v>
      </c>
      <c r="P11" s="2" t="s">
        <v>305</v>
      </c>
      <c r="Q11" s="7" t="s">
        <v>89</v>
      </c>
      <c r="R11" s="7" t="s">
        <v>306</v>
      </c>
      <c r="S11" s="20">
        <v>3</v>
      </c>
      <c r="T11" s="2">
        <v>0</v>
      </c>
      <c r="V11" s="2">
        <v>2</v>
      </c>
      <c r="W11" s="2">
        <v>1</v>
      </c>
    </row>
    <row r="12" spans="1:89">
      <c r="A12" s="7">
        <f>MAX($A$1:$A11)+1</f>
        <v>11</v>
      </c>
      <c r="B12" s="2" t="s">
        <v>278</v>
      </c>
      <c r="C12" s="2" t="s">
        <v>171</v>
      </c>
      <c r="D12" s="2" t="s">
        <v>31</v>
      </c>
      <c r="E12" s="7" t="s">
        <v>290</v>
      </c>
      <c r="F12" s="4">
        <v>48.828948974609297</v>
      </c>
      <c r="G12" s="18">
        <v>-125.19757080078099</v>
      </c>
      <c r="H12" s="5" t="s">
        <v>10</v>
      </c>
      <c r="I12" s="2">
        <v>1</v>
      </c>
      <c r="J12" s="2">
        <v>210</v>
      </c>
      <c r="K12" s="6">
        <v>0.41250000000000003</v>
      </c>
      <c r="L12" s="2" t="s">
        <v>172</v>
      </c>
      <c r="M12" s="2">
        <v>5.5</v>
      </c>
      <c r="N12" s="2">
        <v>2</v>
      </c>
      <c r="O12" s="2">
        <v>2</v>
      </c>
      <c r="P12" s="2" t="s">
        <v>244</v>
      </c>
      <c r="Q12" s="7" t="s">
        <v>65</v>
      </c>
      <c r="R12" s="7" t="s">
        <v>307</v>
      </c>
      <c r="S12" s="20">
        <v>2</v>
      </c>
      <c r="T12" s="2">
        <v>2</v>
      </c>
    </row>
    <row r="13" spans="1:89">
      <c r="A13" s="7">
        <f>MAX($A$1:$A12)+1</f>
        <v>12</v>
      </c>
      <c r="B13" s="2" t="s">
        <v>278</v>
      </c>
      <c r="C13" s="2" t="s">
        <v>171</v>
      </c>
      <c r="D13" s="2" t="s">
        <v>31</v>
      </c>
      <c r="E13" s="7" t="s">
        <v>290</v>
      </c>
      <c r="F13" s="4">
        <v>48.828948974609297</v>
      </c>
      <c r="G13" s="18">
        <v>-125.19757080078099</v>
      </c>
      <c r="H13" s="5" t="s">
        <v>10</v>
      </c>
      <c r="I13" s="2">
        <v>1</v>
      </c>
      <c r="J13" s="2">
        <v>210</v>
      </c>
      <c r="K13" s="6">
        <v>0.41250000000000003</v>
      </c>
      <c r="L13" s="2" t="s">
        <v>172</v>
      </c>
      <c r="M13" s="2">
        <v>5.5</v>
      </c>
      <c r="N13" s="2">
        <v>2</v>
      </c>
      <c r="O13" s="2">
        <v>2</v>
      </c>
      <c r="P13" s="2" t="s">
        <v>308</v>
      </c>
      <c r="Q13" s="7" t="s">
        <v>122</v>
      </c>
      <c r="R13" s="7" t="s">
        <v>309</v>
      </c>
      <c r="S13" s="20">
        <v>2</v>
      </c>
      <c r="T13" s="2">
        <v>2</v>
      </c>
    </row>
    <row r="14" spans="1:89">
      <c r="A14" s="7">
        <f>MAX($A$1:$A13)+1</f>
        <v>13</v>
      </c>
      <c r="B14" s="2" t="s">
        <v>278</v>
      </c>
      <c r="C14" s="2" t="s">
        <v>171</v>
      </c>
      <c r="D14" s="2" t="s">
        <v>31</v>
      </c>
      <c r="E14" s="7" t="s">
        <v>290</v>
      </c>
      <c r="F14" s="4">
        <v>48.828948974609297</v>
      </c>
      <c r="G14" s="18">
        <v>-125.19757080078099</v>
      </c>
      <c r="H14" s="5" t="s">
        <v>10</v>
      </c>
      <c r="I14" s="2">
        <v>1</v>
      </c>
      <c r="J14" s="2">
        <v>210</v>
      </c>
      <c r="K14" s="6">
        <v>0.41250000000000003</v>
      </c>
      <c r="L14" s="2" t="s">
        <v>172</v>
      </c>
      <c r="M14" s="2">
        <v>5.5</v>
      </c>
      <c r="N14" s="2">
        <v>2</v>
      </c>
      <c r="O14" s="2">
        <v>2</v>
      </c>
      <c r="P14" s="2" t="s">
        <v>310</v>
      </c>
      <c r="Q14" s="7" t="s">
        <v>98</v>
      </c>
      <c r="R14" s="7" t="s">
        <v>311</v>
      </c>
      <c r="S14" s="20">
        <v>1</v>
      </c>
      <c r="T14" s="2">
        <v>1</v>
      </c>
    </row>
    <row r="15" spans="1:89">
      <c r="A15" s="7">
        <f>MAX($A$1:$A14)+1</f>
        <v>14</v>
      </c>
      <c r="B15" s="2" t="s">
        <v>278</v>
      </c>
      <c r="C15" s="2" t="s">
        <v>171</v>
      </c>
      <c r="D15" s="2" t="s">
        <v>31</v>
      </c>
      <c r="E15" s="7" t="s">
        <v>290</v>
      </c>
      <c r="F15" s="4">
        <v>48.828948974609297</v>
      </c>
      <c r="G15" s="18">
        <v>-125.19757080078099</v>
      </c>
      <c r="H15" s="5" t="s">
        <v>10</v>
      </c>
      <c r="I15" s="2">
        <v>1</v>
      </c>
      <c r="J15" s="2">
        <v>210</v>
      </c>
      <c r="K15" s="6">
        <v>0.41250000000000003</v>
      </c>
      <c r="L15" s="2" t="s">
        <v>172</v>
      </c>
      <c r="M15" s="2">
        <v>5.5</v>
      </c>
      <c r="N15" s="2">
        <v>2</v>
      </c>
      <c r="O15" s="2">
        <v>2</v>
      </c>
      <c r="P15" s="2" t="s">
        <v>243</v>
      </c>
      <c r="Q15" s="7" t="s">
        <v>85</v>
      </c>
      <c r="R15" s="7" t="s">
        <v>312</v>
      </c>
      <c r="S15" s="20">
        <v>3</v>
      </c>
      <c r="T15" s="2">
        <v>3</v>
      </c>
    </row>
    <row r="16" spans="1:89">
      <c r="A16" s="7">
        <f>MAX($A$1:$A15)+1</f>
        <v>15</v>
      </c>
      <c r="B16" s="2" t="s">
        <v>278</v>
      </c>
      <c r="C16" s="2" t="s">
        <v>171</v>
      </c>
      <c r="D16" s="2" t="s">
        <v>31</v>
      </c>
      <c r="E16" s="7" t="s">
        <v>290</v>
      </c>
      <c r="F16" s="4">
        <v>48.828948974609297</v>
      </c>
      <c r="G16" s="18">
        <v>-125.19757080078099</v>
      </c>
      <c r="H16" s="5" t="s">
        <v>10</v>
      </c>
      <c r="I16" s="2">
        <v>1</v>
      </c>
      <c r="J16" s="2">
        <v>210</v>
      </c>
      <c r="K16" s="6">
        <v>0.41250000000000003</v>
      </c>
      <c r="L16" s="2" t="s">
        <v>172</v>
      </c>
      <c r="M16" s="2">
        <v>5.5</v>
      </c>
      <c r="N16" s="2">
        <v>2</v>
      </c>
      <c r="O16" s="2">
        <v>2</v>
      </c>
      <c r="P16" s="2" t="s">
        <v>238</v>
      </c>
      <c r="Q16" s="7" t="s">
        <v>69</v>
      </c>
      <c r="R16" s="7" t="s">
        <v>313</v>
      </c>
      <c r="S16" s="20">
        <v>6</v>
      </c>
      <c r="T16" s="2">
        <v>6</v>
      </c>
    </row>
    <row r="17" spans="1:29">
      <c r="A17" s="7">
        <f>MAX($A$1:$A16)+1</f>
        <v>16</v>
      </c>
      <c r="B17" s="2" t="s">
        <v>278</v>
      </c>
      <c r="C17" s="2" t="s">
        <v>171</v>
      </c>
      <c r="D17" s="2" t="s">
        <v>31</v>
      </c>
      <c r="E17" s="7" t="s">
        <v>290</v>
      </c>
      <c r="F17" s="4">
        <v>48.828948974609297</v>
      </c>
      <c r="G17" s="18">
        <v>-125.19757080078099</v>
      </c>
      <c r="H17" s="5" t="s">
        <v>10</v>
      </c>
      <c r="I17" s="2">
        <v>1</v>
      </c>
      <c r="J17" s="2">
        <v>210</v>
      </c>
      <c r="K17" s="6">
        <v>0.41250000000000003</v>
      </c>
      <c r="L17" s="2" t="s">
        <v>172</v>
      </c>
      <c r="M17" s="2">
        <v>5.5</v>
      </c>
      <c r="N17" s="2">
        <v>2</v>
      </c>
      <c r="O17" s="2">
        <v>2</v>
      </c>
      <c r="P17" s="2" t="s">
        <v>314</v>
      </c>
      <c r="Q17" s="7" t="s">
        <v>71</v>
      </c>
      <c r="R17" s="7" t="s">
        <v>315</v>
      </c>
      <c r="S17" s="20">
        <v>4</v>
      </c>
      <c r="T17" s="2">
        <v>4</v>
      </c>
    </row>
    <row r="18" spans="1:29">
      <c r="A18" s="7">
        <f>MAX($A$1:$A17)+1</f>
        <v>17</v>
      </c>
      <c r="B18" s="2" t="s">
        <v>278</v>
      </c>
      <c r="C18" s="2" t="s">
        <v>171</v>
      </c>
      <c r="D18" s="2" t="s">
        <v>31</v>
      </c>
      <c r="E18" s="7" t="s">
        <v>290</v>
      </c>
      <c r="F18" s="4">
        <v>48.828948974609297</v>
      </c>
      <c r="G18" s="18">
        <v>-125.19757080078099</v>
      </c>
      <c r="H18" s="5" t="s">
        <v>10</v>
      </c>
      <c r="I18" s="2">
        <v>1</v>
      </c>
      <c r="J18" s="2">
        <v>210</v>
      </c>
      <c r="K18" s="6">
        <v>0.41250000000000003</v>
      </c>
      <c r="L18" s="2" t="s">
        <v>172</v>
      </c>
      <c r="M18" s="2">
        <v>5.5</v>
      </c>
      <c r="N18" s="2">
        <v>2</v>
      </c>
      <c r="O18" s="2">
        <v>2</v>
      </c>
      <c r="P18" s="2" t="s">
        <v>316</v>
      </c>
      <c r="Q18" s="7" t="s">
        <v>123</v>
      </c>
      <c r="R18" s="7" t="s">
        <v>317</v>
      </c>
      <c r="S18" s="20">
        <v>1</v>
      </c>
      <c r="T18" s="2">
        <v>1</v>
      </c>
    </row>
    <row r="19" spans="1:29">
      <c r="A19" s="7">
        <f>MAX($A$1:$A18)+1</f>
        <v>18</v>
      </c>
      <c r="B19" s="2" t="s">
        <v>278</v>
      </c>
      <c r="C19" s="2" t="s">
        <v>171</v>
      </c>
      <c r="D19" s="2" t="s">
        <v>31</v>
      </c>
      <c r="E19" s="7" t="s">
        <v>290</v>
      </c>
      <c r="F19" s="4">
        <v>48.828948974609297</v>
      </c>
      <c r="G19" s="18">
        <v>-125.19757080078099</v>
      </c>
      <c r="H19" s="5" t="s">
        <v>10</v>
      </c>
      <c r="I19" s="2">
        <v>1</v>
      </c>
      <c r="J19" s="2">
        <v>210</v>
      </c>
      <c r="K19" s="6">
        <v>0.41250000000000003</v>
      </c>
      <c r="L19" s="2" t="s">
        <v>172</v>
      </c>
      <c r="M19" s="2">
        <v>5.5</v>
      </c>
      <c r="N19" s="2">
        <v>2</v>
      </c>
      <c r="O19" s="2">
        <v>2</v>
      </c>
      <c r="P19" s="2" t="s">
        <v>246</v>
      </c>
      <c r="Q19" s="7" t="s">
        <v>66</v>
      </c>
      <c r="R19" s="7" t="s">
        <v>318</v>
      </c>
      <c r="S19" s="20">
        <v>7</v>
      </c>
      <c r="T19" s="2">
        <v>7</v>
      </c>
      <c r="V19" s="48"/>
      <c r="W19" s="48"/>
      <c r="X19" s="48"/>
    </row>
    <row r="20" spans="1:29">
      <c r="A20" s="7">
        <f>MAX($A$1:$A19)+1</f>
        <v>19</v>
      </c>
      <c r="B20" s="2" t="s">
        <v>278</v>
      </c>
      <c r="C20" s="2" t="s">
        <v>171</v>
      </c>
      <c r="D20" s="2" t="s">
        <v>31</v>
      </c>
      <c r="E20" s="7" t="s">
        <v>290</v>
      </c>
      <c r="F20" s="4">
        <v>48.828948974609297</v>
      </c>
      <c r="G20" s="18">
        <v>-125.19757080078099</v>
      </c>
      <c r="H20" s="5" t="s">
        <v>10</v>
      </c>
      <c r="I20" s="2">
        <v>1</v>
      </c>
      <c r="J20" s="2">
        <v>210</v>
      </c>
      <c r="K20" s="6">
        <v>0.41250000000000003</v>
      </c>
      <c r="L20" s="2" t="s">
        <v>172</v>
      </c>
      <c r="M20" s="2">
        <v>5.5</v>
      </c>
      <c r="N20" s="2">
        <v>2</v>
      </c>
      <c r="O20" s="2">
        <v>2</v>
      </c>
      <c r="P20" s="2" t="s">
        <v>319</v>
      </c>
      <c r="Q20" s="7" t="s">
        <v>120</v>
      </c>
      <c r="R20" s="7" t="s">
        <v>320</v>
      </c>
      <c r="S20" s="20">
        <v>2</v>
      </c>
      <c r="T20" s="2">
        <v>2</v>
      </c>
    </row>
    <row r="21" spans="1:29">
      <c r="A21" s="7">
        <f>MAX($A$1:$A20)+1</f>
        <v>20</v>
      </c>
      <c r="B21" s="2" t="s">
        <v>278</v>
      </c>
      <c r="C21" s="2" t="s">
        <v>171</v>
      </c>
      <c r="D21" s="2" t="s">
        <v>31</v>
      </c>
      <c r="E21" s="7" t="s">
        <v>290</v>
      </c>
      <c r="F21" s="4">
        <v>48.828948974609297</v>
      </c>
      <c r="G21" s="18">
        <v>-125.19757080078099</v>
      </c>
      <c r="H21" s="5" t="s">
        <v>10</v>
      </c>
      <c r="I21" s="2">
        <v>1</v>
      </c>
      <c r="J21" s="2">
        <v>210</v>
      </c>
      <c r="K21" s="6">
        <v>0.41250000000000003</v>
      </c>
      <c r="L21" s="2" t="s">
        <v>172</v>
      </c>
      <c r="M21" s="2">
        <v>5.5</v>
      </c>
      <c r="N21" s="2">
        <v>2</v>
      </c>
      <c r="O21" s="2">
        <v>2</v>
      </c>
      <c r="P21" s="2" t="s">
        <v>230</v>
      </c>
      <c r="Q21" s="7" t="s">
        <v>42</v>
      </c>
      <c r="R21" s="7" t="s">
        <v>321</v>
      </c>
      <c r="S21" s="20">
        <v>1</v>
      </c>
      <c r="T21" s="2">
        <v>0</v>
      </c>
      <c r="U21" s="2">
        <v>1</v>
      </c>
    </row>
    <row r="22" spans="1:29">
      <c r="A22" s="7">
        <f>MAX($A$1:$A21)+1</f>
        <v>21</v>
      </c>
      <c r="B22" s="2" t="s">
        <v>278</v>
      </c>
      <c r="C22" s="2" t="s">
        <v>171</v>
      </c>
      <c r="D22" s="2" t="s">
        <v>31</v>
      </c>
      <c r="E22" s="7" t="s">
        <v>290</v>
      </c>
      <c r="F22" s="4">
        <v>48.828948974609297</v>
      </c>
      <c r="G22" s="18">
        <v>-125.19757080078099</v>
      </c>
      <c r="H22" s="5" t="s">
        <v>10</v>
      </c>
      <c r="I22" s="2">
        <v>1</v>
      </c>
      <c r="J22" s="2">
        <v>210</v>
      </c>
      <c r="K22" s="6">
        <v>0.41250000000000003</v>
      </c>
      <c r="L22" s="2" t="s">
        <v>172</v>
      </c>
      <c r="M22" s="2">
        <v>5.5</v>
      </c>
      <c r="N22" s="2">
        <v>2</v>
      </c>
      <c r="O22" s="2">
        <v>2</v>
      </c>
      <c r="P22" s="2" t="s">
        <v>322</v>
      </c>
      <c r="Q22" s="7" t="s">
        <v>124</v>
      </c>
      <c r="R22" s="7" t="s">
        <v>323</v>
      </c>
      <c r="S22" s="20">
        <v>1</v>
      </c>
      <c r="T22" s="2">
        <v>1</v>
      </c>
    </row>
    <row r="23" spans="1:29">
      <c r="A23" s="7">
        <f>MAX($A$1:$A22)+1</f>
        <v>22</v>
      </c>
      <c r="B23" s="2" t="s">
        <v>278</v>
      </c>
      <c r="C23" s="2" t="s">
        <v>171</v>
      </c>
      <c r="D23" s="2" t="s">
        <v>31</v>
      </c>
      <c r="E23" s="7" t="s">
        <v>290</v>
      </c>
      <c r="F23" s="4">
        <v>48.828948974609297</v>
      </c>
      <c r="G23" s="18">
        <v>-125.19757080078099</v>
      </c>
      <c r="H23" s="5" t="s">
        <v>10</v>
      </c>
      <c r="I23" s="2">
        <v>1</v>
      </c>
      <c r="J23" s="2">
        <v>210</v>
      </c>
      <c r="K23" s="6">
        <v>0.41250000000000003</v>
      </c>
      <c r="L23" s="2" t="s">
        <v>172</v>
      </c>
      <c r="M23" s="2">
        <v>5.5</v>
      </c>
      <c r="N23" s="2">
        <v>0</v>
      </c>
      <c r="O23" s="2">
        <v>2</v>
      </c>
      <c r="P23" s="2" t="s">
        <v>232</v>
      </c>
      <c r="Q23" s="7" t="s">
        <v>43</v>
      </c>
      <c r="R23" s="7" t="s">
        <v>324</v>
      </c>
      <c r="S23" s="20">
        <v>1</v>
      </c>
      <c r="T23" s="2">
        <v>0</v>
      </c>
      <c r="W23" s="2">
        <v>1</v>
      </c>
    </row>
    <row r="24" spans="1:29">
      <c r="A24" s="7">
        <f>MAX($A$1:$A23)+1</f>
        <v>23</v>
      </c>
      <c r="B24" s="2" t="s">
        <v>278</v>
      </c>
      <c r="C24" s="2" t="s">
        <v>171</v>
      </c>
      <c r="D24" s="2" t="s">
        <v>31</v>
      </c>
      <c r="E24" s="7" t="s">
        <v>290</v>
      </c>
      <c r="F24" s="4">
        <v>48.828948974609297</v>
      </c>
      <c r="G24" s="18">
        <v>-125.19757080078099</v>
      </c>
      <c r="H24" s="5" t="s">
        <v>10</v>
      </c>
      <c r="I24" s="2">
        <v>1</v>
      </c>
      <c r="J24" s="2">
        <v>210</v>
      </c>
      <c r="K24" s="6">
        <v>0.41250000000000003</v>
      </c>
      <c r="L24" s="2" t="s">
        <v>172</v>
      </c>
      <c r="M24" s="2">
        <v>5.5</v>
      </c>
      <c r="N24" s="2">
        <v>2</v>
      </c>
      <c r="O24" s="2">
        <v>2</v>
      </c>
      <c r="P24" s="2" t="s">
        <v>251</v>
      </c>
      <c r="Q24" s="7" t="s">
        <v>73</v>
      </c>
      <c r="R24" s="7" t="s">
        <v>325</v>
      </c>
      <c r="S24" s="20">
        <v>1</v>
      </c>
      <c r="T24" s="2">
        <v>1</v>
      </c>
    </row>
    <row r="25" spans="1:29">
      <c r="A25" s="7">
        <f>MAX($A$1:$A24)+1</f>
        <v>24</v>
      </c>
      <c r="B25" s="2" t="s">
        <v>278</v>
      </c>
      <c r="C25" s="2" t="s">
        <v>171</v>
      </c>
      <c r="D25" s="2" t="s">
        <v>31</v>
      </c>
      <c r="E25" s="7" t="s">
        <v>290</v>
      </c>
      <c r="F25" s="4">
        <v>48.828948974609297</v>
      </c>
      <c r="G25" s="18">
        <v>-125.19757080078099</v>
      </c>
      <c r="H25" s="5" t="s">
        <v>10</v>
      </c>
      <c r="I25" s="2">
        <v>1</v>
      </c>
      <c r="J25" s="2">
        <v>210</v>
      </c>
      <c r="K25" s="6">
        <v>0.41250000000000003</v>
      </c>
      <c r="L25" s="2" t="s">
        <v>172</v>
      </c>
      <c r="M25" s="2">
        <v>5.5</v>
      </c>
      <c r="N25" s="2">
        <v>2</v>
      </c>
      <c r="O25" s="2">
        <v>2</v>
      </c>
      <c r="P25" s="2" t="s">
        <v>326</v>
      </c>
      <c r="Q25" s="7" t="s">
        <v>125</v>
      </c>
      <c r="R25" s="7" t="s">
        <v>327</v>
      </c>
      <c r="S25" s="20">
        <v>1</v>
      </c>
      <c r="T25" s="2">
        <v>1</v>
      </c>
    </row>
    <row r="26" spans="1:29">
      <c r="A26" s="7">
        <f>MAX($A$1:$A25)+1</f>
        <v>25</v>
      </c>
      <c r="B26" s="2" t="s">
        <v>278</v>
      </c>
      <c r="C26" s="2" t="s">
        <v>171</v>
      </c>
      <c r="D26" s="2" t="s">
        <v>31</v>
      </c>
      <c r="E26" s="7" t="s">
        <v>290</v>
      </c>
      <c r="F26" s="4">
        <v>48.828948974609297</v>
      </c>
      <c r="G26" s="18">
        <v>-125.19757080078099</v>
      </c>
      <c r="H26" s="5" t="s">
        <v>10</v>
      </c>
      <c r="I26" s="2">
        <v>1</v>
      </c>
      <c r="J26" s="2">
        <v>210</v>
      </c>
      <c r="K26" s="6">
        <v>0.41250000000000003</v>
      </c>
      <c r="L26" s="2" t="s">
        <v>172</v>
      </c>
      <c r="M26" s="2">
        <v>5.5</v>
      </c>
      <c r="N26" s="2">
        <v>2</v>
      </c>
      <c r="O26" s="2">
        <v>2</v>
      </c>
      <c r="P26" s="2" t="s">
        <v>328</v>
      </c>
      <c r="Q26" s="7" t="s">
        <v>126</v>
      </c>
      <c r="R26" s="7" t="s">
        <v>329</v>
      </c>
      <c r="S26" s="20">
        <v>0</v>
      </c>
      <c r="T26" s="2">
        <v>0</v>
      </c>
    </row>
    <row r="27" spans="1:29">
      <c r="A27" s="7">
        <f>MAX($A$1:$A26)+1</f>
        <v>26</v>
      </c>
      <c r="B27" s="2" t="s">
        <v>278</v>
      </c>
      <c r="C27" s="2" t="s">
        <v>171</v>
      </c>
      <c r="D27" s="2" t="s">
        <v>31</v>
      </c>
      <c r="E27" s="7" t="s">
        <v>290</v>
      </c>
      <c r="F27" s="4">
        <v>48.828948974609297</v>
      </c>
      <c r="G27" s="18">
        <v>-125.19757080078099</v>
      </c>
      <c r="H27" s="5" t="s">
        <v>10</v>
      </c>
      <c r="I27" s="2">
        <v>1</v>
      </c>
      <c r="J27" s="2">
        <v>150</v>
      </c>
      <c r="K27" s="6">
        <v>0.41250000000000003</v>
      </c>
      <c r="L27" s="2" t="s">
        <v>172</v>
      </c>
      <c r="M27" s="2">
        <v>5.5</v>
      </c>
      <c r="N27" s="2">
        <v>1</v>
      </c>
      <c r="O27" s="2">
        <v>1</v>
      </c>
      <c r="P27" s="2" t="s">
        <v>232</v>
      </c>
      <c r="Q27" s="7" t="s">
        <v>43</v>
      </c>
      <c r="R27" s="7" t="s">
        <v>324</v>
      </c>
      <c r="S27" s="20">
        <v>3</v>
      </c>
      <c r="T27" s="2">
        <v>0</v>
      </c>
      <c r="AA27" s="2">
        <v>2</v>
      </c>
      <c r="AB27" s="2">
        <v>1</v>
      </c>
    </row>
    <row r="28" spans="1:29">
      <c r="A28" s="7">
        <f>MAX($A$1:$A27)+1</f>
        <v>27</v>
      </c>
      <c r="B28" s="2" t="s">
        <v>409</v>
      </c>
      <c r="C28" s="2" t="s">
        <v>269</v>
      </c>
      <c r="D28" s="2" t="s">
        <v>31</v>
      </c>
      <c r="E28" s="7" t="s">
        <v>290</v>
      </c>
      <c r="F28" s="4">
        <v>48.828948974609297</v>
      </c>
      <c r="G28" s="18">
        <v>-125.19757080078099</v>
      </c>
      <c r="H28" s="28" t="s">
        <v>10</v>
      </c>
      <c r="I28" s="2">
        <v>1</v>
      </c>
      <c r="J28" s="2">
        <v>30</v>
      </c>
      <c r="K28" s="6">
        <v>0.41250000000000003</v>
      </c>
      <c r="L28" s="2" t="s">
        <v>270</v>
      </c>
      <c r="M28" s="2">
        <v>8</v>
      </c>
      <c r="N28" s="2">
        <v>1</v>
      </c>
      <c r="O28" s="2">
        <v>2</v>
      </c>
      <c r="P28" s="2" t="s">
        <v>232</v>
      </c>
      <c r="Q28" s="7" t="s">
        <v>43</v>
      </c>
      <c r="R28" s="7" t="s">
        <v>324</v>
      </c>
      <c r="S28" s="20">
        <v>4</v>
      </c>
      <c r="T28" s="2">
        <v>0</v>
      </c>
      <c r="Z28" s="2">
        <v>2</v>
      </c>
      <c r="AA28" s="2">
        <v>1</v>
      </c>
      <c r="AC28" s="2">
        <v>1</v>
      </c>
    </row>
    <row r="29" spans="1:29">
      <c r="A29" s="7">
        <f>MAX($A$1:$A28)+1</f>
        <v>28</v>
      </c>
      <c r="B29" s="2" t="s">
        <v>409</v>
      </c>
      <c r="C29" s="2" t="s">
        <v>269</v>
      </c>
      <c r="D29" s="2" t="s">
        <v>31</v>
      </c>
      <c r="E29" s="7" t="s">
        <v>290</v>
      </c>
      <c r="F29" s="4">
        <v>48.828948974609297</v>
      </c>
      <c r="G29" s="18">
        <v>-125.19757080078099</v>
      </c>
      <c r="H29" s="28" t="s">
        <v>10</v>
      </c>
      <c r="I29" s="2">
        <v>1</v>
      </c>
      <c r="J29" s="2">
        <v>30</v>
      </c>
      <c r="K29" s="6">
        <v>0.41250000000000003</v>
      </c>
      <c r="L29" s="2" t="s">
        <v>270</v>
      </c>
      <c r="M29" s="2">
        <v>8</v>
      </c>
      <c r="N29" s="2">
        <v>1</v>
      </c>
      <c r="O29" s="2">
        <v>2</v>
      </c>
      <c r="P29" s="2" t="s">
        <v>234</v>
      </c>
      <c r="Q29" s="7" t="s">
        <v>45</v>
      </c>
      <c r="R29" s="7" t="s">
        <v>353</v>
      </c>
      <c r="S29" s="20">
        <v>1</v>
      </c>
      <c r="T29" s="2">
        <v>0</v>
      </c>
      <c r="Z29" s="2">
        <v>1</v>
      </c>
    </row>
    <row r="30" spans="1:29">
      <c r="A30" s="7">
        <f>MAX($A$1:$A29)+1</f>
        <v>29</v>
      </c>
      <c r="B30" s="2" t="s">
        <v>409</v>
      </c>
      <c r="C30" s="2" t="s">
        <v>269</v>
      </c>
      <c r="D30" s="2" t="s">
        <v>31</v>
      </c>
      <c r="E30" s="7" t="s">
        <v>290</v>
      </c>
      <c r="F30" s="4">
        <v>48.828948974609297</v>
      </c>
      <c r="G30" s="18">
        <v>-125.19757080078099</v>
      </c>
      <c r="H30" s="28" t="s">
        <v>10</v>
      </c>
      <c r="I30" s="2">
        <v>1</v>
      </c>
      <c r="J30" s="2">
        <v>30</v>
      </c>
      <c r="K30" s="6">
        <v>0.41250000000000003</v>
      </c>
      <c r="L30" s="2" t="s">
        <v>270</v>
      </c>
      <c r="M30" s="2">
        <v>8</v>
      </c>
      <c r="N30" s="2">
        <v>2</v>
      </c>
      <c r="O30" s="2">
        <v>2</v>
      </c>
      <c r="P30" s="2" t="s">
        <v>251</v>
      </c>
      <c r="Q30" s="7" t="s">
        <v>73</v>
      </c>
      <c r="R30" s="7" t="s">
        <v>325</v>
      </c>
      <c r="S30" s="20">
        <v>11</v>
      </c>
      <c r="T30" s="2">
        <v>11</v>
      </c>
    </row>
    <row r="31" spans="1:29">
      <c r="A31" s="7">
        <f>MAX($A$1:$A30)+1</f>
        <v>30</v>
      </c>
      <c r="B31" s="2" t="s">
        <v>409</v>
      </c>
      <c r="C31" s="2" t="s">
        <v>269</v>
      </c>
      <c r="D31" s="2" t="s">
        <v>31</v>
      </c>
      <c r="E31" s="7" t="s">
        <v>290</v>
      </c>
      <c r="F31" s="4">
        <v>48.828948974609297</v>
      </c>
      <c r="G31" s="18">
        <v>-125.19757080078099</v>
      </c>
      <c r="H31" s="28" t="s">
        <v>10</v>
      </c>
      <c r="I31" s="2">
        <v>1</v>
      </c>
      <c r="J31" s="2">
        <v>30</v>
      </c>
      <c r="K31" s="6">
        <v>0.41250000000000003</v>
      </c>
      <c r="L31" s="2" t="s">
        <v>270</v>
      </c>
      <c r="M31" s="2">
        <v>8</v>
      </c>
      <c r="N31" s="2">
        <v>2</v>
      </c>
      <c r="O31" s="2">
        <v>2</v>
      </c>
      <c r="P31" s="2" t="s">
        <v>241</v>
      </c>
      <c r="Q31" s="7" t="s">
        <v>63</v>
      </c>
      <c r="R31" s="7" t="s">
        <v>294</v>
      </c>
      <c r="S31" s="20">
        <v>76</v>
      </c>
      <c r="T31" s="2">
        <v>75</v>
      </c>
      <c r="X31" s="2">
        <v>1</v>
      </c>
    </row>
    <row r="32" spans="1:29">
      <c r="A32" s="7">
        <f>MAX($A$1:$A31)+1</f>
        <v>31</v>
      </c>
      <c r="B32" s="2" t="s">
        <v>409</v>
      </c>
      <c r="C32" s="2" t="s">
        <v>269</v>
      </c>
      <c r="D32" s="2" t="s">
        <v>31</v>
      </c>
      <c r="E32" s="7" t="s">
        <v>290</v>
      </c>
      <c r="F32" s="4">
        <v>48.828948974609297</v>
      </c>
      <c r="G32" s="18">
        <v>-125.19757080078099</v>
      </c>
      <c r="H32" s="28" t="s">
        <v>10</v>
      </c>
      <c r="I32" s="2">
        <v>1</v>
      </c>
      <c r="J32" s="2">
        <v>30</v>
      </c>
      <c r="K32" s="6">
        <v>0.41250000000000003</v>
      </c>
      <c r="L32" s="2" t="s">
        <v>270</v>
      </c>
      <c r="M32" s="2">
        <v>8</v>
      </c>
      <c r="N32" s="2">
        <v>2</v>
      </c>
      <c r="O32" s="2">
        <v>2</v>
      </c>
      <c r="P32" s="2" t="s">
        <v>298</v>
      </c>
      <c r="Q32" s="7" t="s">
        <v>99</v>
      </c>
      <c r="R32" s="7" t="s">
        <v>299</v>
      </c>
      <c r="S32" s="20">
        <v>18</v>
      </c>
      <c r="T32" s="2">
        <v>18</v>
      </c>
    </row>
    <row r="33" spans="1:25">
      <c r="A33" s="7">
        <f>MAX($A$1:$A32)+1</f>
        <v>32</v>
      </c>
      <c r="B33" s="2" t="s">
        <v>409</v>
      </c>
      <c r="C33" s="2" t="s">
        <v>269</v>
      </c>
      <c r="D33" s="2" t="s">
        <v>31</v>
      </c>
      <c r="E33" s="7" t="s">
        <v>290</v>
      </c>
      <c r="F33" s="4">
        <v>48.828948974609297</v>
      </c>
      <c r="G33" s="18">
        <v>-125.19757080078099</v>
      </c>
      <c r="H33" s="28" t="s">
        <v>10</v>
      </c>
      <c r="I33" s="2">
        <v>1</v>
      </c>
      <c r="J33" s="2">
        <v>30</v>
      </c>
      <c r="K33" s="6">
        <v>0.41250000000000003</v>
      </c>
      <c r="L33" s="2" t="s">
        <v>270</v>
      </c>
      <c r="M33" s="2">
        <v>8</v>
      </c>
      <c r="N33" s="2">
        <v>2</v>
      </c>
      <c r="O33" s="2">
        <v>2</v>
      </c>
      <c r="P33" s="2" t="s">
        <v>331</v>
      </c>
      <c r="Q33" s="7" t="s">
        <v>67</v>
      </c>
      <c r="R33" s="7" t="s">
        <v>332</v>
      </c>
      <c r="S33" s="20">
        <v>33</v>
      </c>
      <c r="T33" s="2">
        <v>33</v>
      </c>
    </row>
    <row r="34" spans="1:25">
      <c r="A34" s="7">
        <f>MAX($A$1:$A33)+1</f>
        <v>33</v>
      </c>
      <c r="B34" s="2" t="s">
        <v>409</v>
      </c>
      <c r="C34" s="2" t="s">
        <v>269</v>
      </c>
      <c r="D34" s="2" t="s">
        <v>31</v>
      </c>
      <c r="E34" s="7" t="s">
        <v>290</v>
      </c>
      <c r="F34" s="4">
        <v>48.828948974609297</v>
      </c>
      <c r="G34" s="18">
        <v>-125.19757080078099</v>
      </c>
      <c r="H34" s="28" t="s">
        <v>10</v>
      </c>
      <c r="I34" s="2">
        <v>1</v>
      </c>
      <c r="J34" s="2">
        <v>30</v>
      </c>
      <c r="K34" s="6">
        <v>0.41250000000000003</v>
      </c>
      <c r="L34" s="2" t="s">
        <v>270</v>
      </c>
      <c r="M34" s="2">
        <v>8</v>
      </c>
      <c r="N34" s="2">
        <v>2</v>
      </c>
      <c r="O34" s="2">
        <v>2</v>
      </c>
      <c r="P34" s="2" t="s">
        <v>247</v>
      </c>
      <c r="Q34" s="7" t="s">
        <v>64</v>
      </c>
      <c r="R34" s="7" t="s">
        <v>293</v>
      </c>
      <c r="S34" s="20">
        <v>5</v>
      </c>
      <c r="T34" s="2">
        <v>5</v>
      </c>
    </row>
    <row r="35" spans="1:25">
      <c r="A35" s="7">
        <f>MAX($A$1:$A34)+1</f>
        <v>34</v>
      </c>
      <c r="B35" s="2" t="s">
        <v>409</v>
      </c>
      <c r="C35" s="2" t="s">
        <v>269</v>
      </c>
      <c r="D35" s="2" t="s">
        <v>31</v>
      </c>
      <c r="E35" s="7" t="s">
        <v>290</v>
      </c>
      <c r="F35" s="4">
        <v>48.828948974609297</v>
      </c>
      <c r="G35" s="18">
        <v>-125.19757080078099</v>
      </c>
      <c r="H35" s="28" t="s">
        <v>10</v>
      </c>
      <c r="I35" s="2">
        <v>1</v>
      </c>
      <c r="J35" s="2">
        <v>30</v>
      </c>
      <c r="K35" s="6">
        <v>0.41250000000000003</v>
      </c>
      <c r="L35" s="2" t="s">
        <v>270</v>
      </c>
      <c r="M35" s="2">
        <v>8</v>
      </c>
      <c r="N35" s="2">
        <v>2</v>
      </c>
      <c r="O35" s="2">
        <v>2</v>
      </c>
      <c r="P35" s="2" t="s">
        <v>246</v>
      </c>
      <c r="Q35" s="7" t="s">
        <v>66</v>
      </c>
      <c r="R35" s="7" t="s">
        <v>318</v>
      </c>
      <c r="S35" s="20">
        <v>10</v>
      </c>
      <c r="T35" s="2">
        <v>0</v>
      </c>
      <c r="X35" s="2">
        <v>5</v>
      </c>
      <c r="Y35" s="2">
        <v>5</v>
      </c>
    </row>
    <row r="36" spans="1:25">
      <c r="A36" s="7">
        <f>MAX($A$1:$A35)+1</f>
        <v>35</v>
      </c>
      <c r="B36" s="2" t="s">
        <v>409</v>
      </c>
      <c r="C36" s="2" t="s">
        <v>269</v>
      </c>
      <c r="D36" s="2" t="s">
        <v>31</v>
      </c>
      <c r="E36" s="7" t="s">
        <v>290</v>
      </c>
      <c r="F36" s="4">
        <v>48.828948974609297</v>
      </c>
      <c r="G36" s="18">
        <v>-125.19757080078099</v>
      </c>
      <c r="H36" s="28" t="s">
        <v>10</v>
      </c>
      <c r="I36" s="2">
        <v>1</v>
      </c>
      <c r="J36" s="2">
        <v>30</v>
      </c>
      <c r="K36" s="6">
        <v>0.41250000000000003</v>
      </c>
      <c r="L36" s="2" t="s">
        <v>270</v>
      </c>
      <c r="M36" s="2">
        <v>8</v>
      </c>
      <c r="N36" s="2">
        <v>2</v>
      </c>
      <c r="O36" s="2">
        <v>2</v>
      </c>
      <c r="P36" s="2" t="s">
        <v>239</v>
      </c>
      <c r="Q36" s="7" t="s">
        <v>80</v>
      </c>
      <c r="R36" s="7" t="s">
        <v>300</v>
      </c>
      <c r="S36" s="20">
        <v>19</v>
      </c>
      <c r="T36" s="2">
        <v>19</v>
      </c>
    </row>
    <row r="37" spans="1:25">
      <c r="A37" s="7">
        <f>MAX($A$1:$A36)+1</f>
        <v>36</v>
      </c>
      <c r="B37" s="2" t="s">
        <v>409</v>
      </c>
      <c r="C37" s="2" t="s">
        <v>269</v>
      </c>
      <c r="D37" s="2" t="s">
        <v>31</v>
      </c>
      <c r="E37" s="7" t="s">
        <v>290</v>
      </c>
      <c r="F37" s="4">
        <v>48.828948974609297</v>
      </c>
      <c r="G37" s="18">
        <v>-125.19757080078099</v>
      </c>
      <c r="H37" s="28" t="s">
        <v>10</v>
      </c>
      <c r="I37" s="2">
        <v>1</v>
      </c>
      <c r="J37" s="2">
        <v>30</v>
      </c>
      <c r="K37" s="6">
        <v>0.41250000000000003</v>
      </c>
      <c r="L37" s="2" t="s">
        <v>270</v>
      </c>
      <c r="M37" s="2">
        <v>8</v>
      </c>
      <c r="N37" s="2">
        <v>2</v>
      </c>
      <c r="O37" s="2">
        <v>2</v>
      </c>
      <c r="P37" s="2" t="s">
        <v>244</v>
      </c>
      <c r="Q37" s="7" t="s">
        <v>65</v>
      </c>
      <c r="R37" s="7" t="s">
        <v>307</v>
      </c>
      <c r="S37" s="20">
        <v>21</v>
      </c>
      <c r="T37" s="2">
        <v>21</v>
      </c>
    </row>
    <row r="38" spans="1:25">
      <c r="A38" s="7">
        <f>MAX($A$1:$A37)+1</f>
        <v>37</v>
      </c>
      <c r="B38" s="2" t="s">
        <v>409</v>
      </c>
      <c r="C38" s="2" t="s">
        <v>269</v>
      </c>
      <c r="D38" s="2" t="s">
        <v>31</v>
      </c>
      <c r="E38" s="7" t="s">
        <v>290</v>
      </c>
      <c r="F38" s="4">
        <v>48.828948974609297</v>
      </c>
      <c r="G38" s="18">
        <v>-125.19757080078099</v>
      </c>
      <c r="H38" s="28" t="s">
        <v>10</v>
      </c>
      <c r="I38" s="2">
        <v>1</v>
      </c>
      <c r="J38" s="2">
        <v>30</v>
      </c>
      <c r="K38" s="6">
        <v>0.41250000000000003</v>
      </c>
      <c r="L38" s="2" t="s">
        <v>270</v>
      </c>
      <c r="M38" s="2">
        <v>8</v>
      </c>
      <c r="N38" s="2">
        <v>2</v>
      </c>
      <c r="O38" s="2">
        <v>2</v>
      </c>
      <c r="P38" s="2" t="s">
        <v>373</v>
      </c>
      <c r="Q38" s="7" t="s">
        <v>131</v>
      </c>
      <c r="R38" s="7" t="s">
        <v>410</v>
      </c>
      <c r="S38" s="20">
        <v>3</v>
      </c>
      <c r="T38" s="2">
        <v>3</v>
      </c>
    </row>
    <row r="39" spans="1:25">
      <c r="A39" s="7">
        <f>MAX($A$1:$A38)+1</f>
        <v>38</v>
      </c>
      <c r="B39" s="2" t="s">
        <v>409</v>
      </c>
      <c r="C39" s="2" t="s">
        <v>269</v>
      </c>
      <c r="D39" s="2" t="s">
        <v>31</v>
      </c>
      <c r="E39" s="7" t="s">
        <v>290</v>
      </c>
      <c r="F39" s="4">
        <v>48.828948974609297</v>
      </c>
      <c r="G39" s="18">
        <v>-125.19757080078099</v>
      </c>
      <c r="H39" s="28" t="s">
        <v>10</v>
      </c>
      <c r="I39" s="2">
        <v>1</v>
      </c>
      <c r="J39" s="2">
        <v>30</v>
      </c>
      <c r="K39" s="6">
        <v>0.41250000000000003</v>
      </c>
      <c r="L39" s="2" t="s">
        <v>270</v>
      </c>
      <c r="M39" s="2">
        <v>8</v>
      </c>
      <c r="N39" s="2">
        <v>2</v>
      </c>
      <c r="O39" s="2">
        <v>2</v>
      </c>
      <c r="P39" s="2" t="s">
        <v>243</v>
      </c>
      <c r="Q39" s="7" t="s">
        <v>85</v>
      </c>
      <c r="R39" s="7" t="s">
        <v>312</v>
      </c>
      <c r="S39" s="20">
        <v>15</v>
      </c>
      <c r="T39" s="2">
        <v>15</v>
      </c>
    </row>
    <row r="40" spans="1:25">
      <c r="A40" s="7">
        <f>MAX($A$1:$A39)+1</f>
        <v>39</v>
      </c>
      <c r="B40" s="2" t="s">
        <v>409</v>
      </c>
      <c r="C40" s="2" t="s">
        <v>269</v>
      </c>
      <c r="D40" s="2" t="s">
        <v>31</v>
      </c>
      <c r="E40" s="7" t="s">
        <v>290</v>
      </c>
      <c r="F40" s="4">
        <v>48.828948974609297</v>
      </c>
      <c r="G40" s="18">
        <v>-125.19757080078099</v>
      </c>
      <c r="H40" s="28" t="s">
        <v>10</v>
      </c>
      <c r="I40" s="2">
        <v>1</v>
      </c>
      <c r="J40" s="2">
        <v>30</v>
      </c>
      <c r="K40" s="6">
        <v>0.41250000000000003</v>
      </c>
      <c r="L40" s="2" t="s">
        <v>270</v>
      </c>
      <c r="M40" s="2">
        <v>8</v>
      </c>
      <c r="N40" s="2">
        <v>2</v>
      </c>
      <c r="O40" s="2">
        <v>2</v>
      </c>
      <c r="P40" s="2" t="s">
        <v>305</v>
      </c>
      <c r="Q40" s="7" t="s">
        <v>89</v>
      </c>
      <c r="R40" s="7" t="s">
        <v>306</v>
      </c>
      <c r="S40" s="20">
        <v>4</v>
      </c>
      <c r="T40" s="2">
        <v>0</v>
      </c>
      <c r="V40" s="2">
        <v>4</v>
      </c>
    </row>
    <row r="41" spans="1:25">
      <c r="A41" s="7">
        <f>MAX($A$1:$A40)+1</f>
        <v>40</v>
      </c>
      <c r="B41" s="2" t="s">
        <v>409</v>
      </c>
      <c r="C41" s="2" t="s">
        <v>269</v>
      </c>
      <c r="D41" s="2" t="s">
        <v>31</v>
      </c>
      <c r="E41" s="7" t="s">
        <v>290</v>
      </c>
      <c r="F41" s="4">
        <v>48.828948974609297</v>
      </c>
      <c r="G41" s="18">
        <v>-125.19757080078099</v>
      </c>
      <c r="H41" s="28" t="s">
        <v>10</v>
      </c>
      <c r="I41" s="2">
        <v>1</v>
      </c>
      <c r="J41" s="2">
        <v>30</v>
      </c>
      <c r="K41" s="6">
        <v>0.41250000000000003</v>
      </c>
      <c r="L41" s="2" t="s">
        <v>270</v>
      </c>
      <c r="M41" s="2">
        <v>8</v>
      </c>
      <c r="N41" s="2">
        <v>2</v>
      </c>
      <c r="O41" s="2">
        <v>2</v>
      </c>
      <c r="P41" s="2" t="s">
        <v>411</v>
      </c>
      <c r="Q41" s="7" t="s">
        <v>138</v>
      </c>
      <c r="R41" s="7" t="s">
        <v>412</v>
      </c>
      <c r="S41" s="20">
        <v>4</v>
      </c>
      <c r="T41" s="2">
        <v>4</v>
      </c>
    </row>
    <row r="42" spans="1:25">
      <c r="A42" s="7">
        <f>MAX($A$1:$A41)+1</f>
        <v>41</v>
      </c>
      <c r="B42" s="2" t="s">
        <v>409</v>
      </c>
      <c r="C42" s="2" t="s">
        <v>269</v>
      </c>
      <c r="D42" s="2" t="s">
        <v>31</v>
      </c>
      <c r="E42" s="7" t="s">
        <v>290</v>
      </c>
      <c r="F42" s="4">
        <v>48.828948974609297</v>
      </c>
      <c r="G42" s="18">
        <v>-125.19757080078099</v>
      </c>
      <c r="H42" s="28" t="s">
        <v>10</v>
      </c>
      <c r="I42" s="2">
        <v>1</v>
      </c>
      <c r="J42" s="2">
        <v>30</v>
      </c>
      <c r="K42" s="6">
        <v>0.41250000000000003</v>
      </c>
      <c r="L42" s="2" t="s">
        <v>270</v>
      </c>
      <c r="M42" s="2">
        <v>8</v>
      </c>
      <c r="N42" s="2">
        <v>2</v>
      </c>
      <c r="O42" s="2">
        <v>2</v>
      </c>
      <c r="P42" s="2" t="s">
        <v>335</v>
      </c>
      <c r="Q42" s="7" t="s">
        <v>91</v>
      </c>
      <c r="R42" s="7" t="s">
        <v>336</v>
      </c>
      <c r="S42" s="20">
        <v>1</v>
      </c>
      <c r="T42" s="2">
        <v>1</v>
      </c>
    </row>
    <row r="43" spans="1:25">
      <c r="A43" s="7">
        <f>MAX($A$1:$A42)+1</f>
        <v>42</v>
      </c>
      <c r="B43" s="2" t="s">
        <v>409</v>
      </c>
      <c r="C43" s="2" t="s">
        <v>269</v>
      </c>
      <c r="D43" s="2" t="s">
        <v>31</v>
      </c>
      <c r="E43" s="7" t="s">
        <v>290</v>
      </c>
      <c r="F43" s="4">
        <v>48.828948974609297</v>
      </c>
      <c r="G43" s="18">
        <v>-125.19757080078099</v>
      </c>
      <c r="H43" s="28" t="s">
        <v>10</v>
      </c>
      <c r="I43" s="2">
        <v>1</v>
      </c>
      <c r="J43" s="2">
        <v>30</v>
      </c>
      <c r="K43" s="6">
        <v>0.41250000000000003</v>
      </c>
      <c r="L43" s="2" t="s">
        <v>270</v>
      </c>
      <c r="M43" s="2">
        <v>8</v>
      </c>
      <c r="N43" s="2">
        <v>2</v>
      </c>
      <c r="O43" s="2">
        <v>2</v>
      </c>
      <c r="P43" s="2" t="s">
        <v>350</v>
      </c>
      <c r="Q43" s="7" t="s">
        <v>83</v>
      </c>
      <c r="R43" s="7" t="s">
        <v>351</v>
      </c>
      <c r="S43" s="20">
        <v>1</v>
      </c>
      <c r="T43" s="2">
        <v>1</v>
      </c>
    </row>
    <row r="44" spans="1:25">
      <c r="A44" s="7">
        <f>MAX($A$1:$A43)+1</f>
        <v>43</v>
      </c>
      <c r="B44" s="2" t="s">
        <v>409</v>
      </c>
      <c r="C44" s="2" t="s">
        <v>269</v>
      </c>
      <c r="D44" s="2" t="s">
        <v>31</v>
      </c>
      <c r="E44" s="7" t="s">
        <v>290</v>
      </c>
      <c r="F44" s="4">
        <v>48.828948974609297</v>
      </c>
      <c r="G44" s="18">
        <v>-125.19757080078099</v>
      </c>
      <c r="H44" s="28" t="s">
        <v>10</v>
      </c>
      <c r="I44" s="2">
        <v>1</v>
      </c>
      <c r="J44" s="2">
        <v>30</v>
      </c>
      <c r="K44" s="6">
        <v>0.41250000000000003</v>
      </c>
      <c r="L44" s="2" t="s">
        <v>270</v>
      </c>
      <c r="M44" s="2">
        <v>8</v>
      </c>
      <c r="N44" s="2">
        <v>2</v>
      </c>
      <c r="O44" s="2">
        <v>2</v>
      </c>
      <c r="P44" s="2" t="s">
        <v>340</v>
      </c>
      <c r="Q44" s="7" t="s">
        <v>114</v>
      </c>
      <c r="R44" s="7" t="s">
        <v>341</v>
      </c>
      <c r="S44" s="20">
        <v>1</v>
      </c>
      <c r="T44" s="2">
        <v>1</v>
      </c>
    </row>
    <row r="45" spans="1:25">
      <c r="A45" s="7">
        <f>MAX($A$1:$A44)+1</f>
        <v>44</v>
      </c>
      <c r="B45" s="2" t="s">
        <v>409</v>
      </c>
      <c r="C45" s="2" t="s">
        <v>269</v>
      </c>
      <c r="D45" s="2" t="s">
        <v>31</v>
      </c>
      <c r="E45" s="7" t="s">
        <v>290</v>
      </c>
      <c r="F45" s="4">
        <v>48.828948974609297</v>
      </c>
      <c r="G45" s="18">
        <v>-125.19757080078099</v>
      </c>
      <c r="H45" s="28" t="s">
        <v>10</v>
      </c>
      <c r="I45" s="2">
        <v>1</v>
      </c>
      <c r="J45" s="2">
        <v>30</v>
      </c>
      <c r="K45" s="6">
        <v>0.41250000000000003</v>
      </c>
      <c r="L45" s="2" t="s">
        <v>270</v>
      </c>
      <c r="M45" s="2">
        <v>8</v>
      </c>
      <c r="N45" s="2">
        <v>2</v>
      </c>
      <c r="O45" s="2">
        <v>2</v>
      </c>
      <c r="P45" s="2" t="s">
        <v>250</v>
      </c>
      <c r="Q45" s="7" t="s">
        <v>46</v>
      </c>
      <c r="R45" s="7" t="s">
        <v>295</v>
      </c>
      <c r="S45" s="20">
        <v>2</v>
      </c>
      <c r="T45" s="2">
        <v>0</v>
      </c>
      <c r="U45" s="2">
        <v>2</v>
      </c>
    </row>
    <row r="46" spans="1:25">
      <c r="A46" s="7">
        <f>MAX($A$1:$A45)+1</f>
        <v>45</v>
      </c>
      <c r="B46" s="2" t="s">
        <v>409</v>
      </c>
      <c r="C46" s="2" t="s">
        <v>269</v>
      </c>
      <c r="D46" s="2" t="s">
        <v>31</v>
      </c>
      <c r="E46" s="7" t="s">
        <v>290</v>
      </c>
      <c r="F46" s="4">
        <v>48.828948974609297</v>
      </c>
      <c r="G46" s="18">
        <v>-125.19757080078099</v>
      </c>
      <c r="H46" s="28" t="s">
        <v>10</v>
      </c>
      <c r="I46" s="2">
        <v>1</v>
      </c>
      <c r="J46" s="2">
        <v>30</v>
      </c>
      <c r="K46" s="6">
        <v>0.41250000000000003</v>
      </c>
      <c r="L46" s="2" t="s">
        <v>270</v>
      </c>
      <c r="M46" s="2">
        <v>8</v>
      </c>
      <c r="N46" s="2">
        <v>2</v>
      </c>
      <c r="O46" s="2">
        <v>2</v>
      </c>
      <c r="P46" s="2" t="s">
        <v>296</v>
      </c>
      <c r="Q46" s="7" t="s">
        <v>75</v>
      </c>
      <c r="R46" s="7" t="s">
        <v>297</v>
      </c>
      <c r="S46" s="20">
        <v>7</v>
      </c>
      <c r="T46" s="2">
        <v>7</v>
      </c>
    </row>
    <row r="47" spans="1:25">
      <c r="A47" s="7">
        <f>MAX($A$1:$A46)+1</f>
        <v>46</v>
      </c>
      <c r="B47" s="2" t="s">
        <v>409</v>
      </c>
      <c r="C47" s="2" t="s">
        <v>269</v>
      </c>
      <c r="D47" s="2" t="s">
        <v>31</v>
      </c>
      <c r="E47" s="7" t="s">
        <v>290</v>
      </c>
      <c r="F47" s="4">
        <v>48.828948974609297</v>
      </c>
      <c r="G47" s="18">
        <v>-125.19757080078099</v>
      </c>
      <c r="H47" s="28" t="s">
        <v>10</v>
      </c>
      <c r="I47" s="2">
        <v>1</v>
      </c>
      <c r="J47" s="2">
        <v>30</v>
      </c>
      <c r="K47" s="6">
        <v>0.41250000000000003</v>
      </c>
      <c r="L47" s="2" t="s">
        <v>270</v>
      </c>
      <c r="M47" s="2">
        <v>8</v>
      </c>
      <c r="N47" s="2">
        <v>2</v>
      </c>
      <c r="O47" s="2">
        <v>2</v>
      </c>
      <c r="P47" s="2" t="s">
        <v>252</v>
      </c>
      <c r="Q47" s="7" t="s">
        <v>76</v>
      </c>
      <c r="R47" s="7" t="s">
        <v>413</v>
      </c>
      <c r="S47" s="20">
        <v>1</v>
      </c>
      <c r="T47" s="2">
        <v>1</v>
      </c>
    </row>
    <row r="48" spans="1:25">
      <c r="A48" s="7">
        <f>MAX($A$1:$A47)+1</f>
        <v>47</v>
      </c>
      <c r="B48" s="2" t="s">
        <v>409</v>
      </c>
      <c r="C48" s="2" t="s">
        <v>269</v>
      </c>
      <c r="D48" s="2" t="s">
        <v>31</v>
      </c>
      <c r="E48" s="7" t="s">
        <v>290</v>
      </c>
      <c r="F48" s="4">
        <v>48.828948974609297</v>
      </c>
      <c r="G48" s="18">
        <v>-125.19757080078099</v>
      </c>
      <c r="H48" s="28" t="s">
        <v>10</v>
      </c>
      <c r="I48" s="2">
        <v>1</v>
      </c>
      <c r="J48" s="2">
        <v>30</v>
      </c>
      <c r="K48" s="6">
        <v>0.41250000000000003</v>
      </c>
      <c r="L48" s="2" t="s">
        <v>270</v>
      </c>
      <c r="M48" s="2">
        <v>8</v>
      </c>
      <c r="N48" s="2">
        <v>2</v>
      </c>
      <c r="O48" s="2">
        <v>2</v>
      </c>
      <c r="P48" s="2" t="s">
        <v>238</v>
      </c>
      <c r="Q48" s="7" t="s">
        <v>69</v>
      </c>
      <c r="R48" s="7" t="s">
        <v>313</v>
      </c>
      <c r="S48" s="20">
        <v>3</v>
      </c>
      <c r="T48" s="2">
        <v>3</v>
      </c>
    </row>
    <row r="49" spans="1:26">
      <c r="A49" s="7">
        <f>MAX($A$1:$A48)+1</f>
        <v>48</v>
      </c>
      <c r="B49" s="27" t="s">
        <v>269</v>
      </c>
      <c r="C49" s="2" t="s">
        <v>409</v>
      </c>
      <c r="D49" s="2" t="s">
        <v>31</v>
      </c>
      <c r="E49" s="7" t="s">
        <v>290</v>
      </c>
      <c r="F49" s="4">
        <v>48.828948974609297</v>
      </c>
      <c r="G49" s="18">
        <v>-125.19757080078099</v>
      </c>
      <c r="H49" s="5" t="s">
        <v>10</v>
      </c>
      <c r="I49" s="2">
        <v>0.5</v>
      </c>
      <c r="J49" s="2">
        <v>30</v>
      </c>
      <c r="K49" s="6">
        <v>0.41250000000000003</v>
      </c>
      <c r="L49" s="2" t="s">
        <v>270</v>
      </c>
      <c r="M49" s="2">
        <v>8</v>
      </c>
      <c r="N49" s="2">
        <v>1</v>
      </c>
      <c r="O49" s="2">
        <v>1</v>
      </c>
      <c r="P49" s="2" t="s">
        <v>232</v>
      </c>
      <c r="Q49" s="7" t="s">
        <v>43</v>
      </c>
      <c r="R49" s="7" t="s">
        <v>324</v>
      </c>
      <c r="S49" s="20">
        <v>1</v>
      </c>
      <c r="T49" s="2">
        <v>0</v>
      </c>
      <c r="X49" s="2">
        <v>1</v>
      </c>
    </row>
    <row r="50" spans="1:26">
      <c r="A50" s="7">
        <f>MAX($A$1:$A49)+1</f>
        <v>49</v>
      </c>
      <c r="B50" s="27" t="s">
        <v>269</v>
      </c>
      <c r="C50" s="2" t="s">
        <v>409</v>
      </c>
      <c r="D50" s="2" t="s">
        <v>31</v>
      </c>
      <c r="E50" s="7" t="s">
        <v>290</v>
      </c>
      <c r="F50" s="4">
        <v>48.828948974609297</v>
      </c>
      <c r="G50" s="18">
        <v>-125.19757080078099</v>
      </c>
      <c r="H50" s="5" t="s">
        <v>10</v>
      </c>
      <c r="I50" s="2">
        <v>0.5</v>
      </c>
      <c r="J50" s="2">
        <v>30</v>
      </c>
      <c r="K50" s="6">
        <v>0.41250000000000003</v>
      </c>
      <c r="L50" s="2" t="s">
        <v>270</v>
      </c>
      <c r="M50" s="2">
        <v>8</v>
      </c>
      <c r="N50" s="2">
        <v>2</v>
      </c>
      <c r="O50" s="2">
        <v>1</v>
      </c>
      <c r="P50" s="2" t="s">
        <v>241</v>
      </c>
      <c r="Q50" s="7" t="s">
        <v>63</v>
      </c>
      <c r="R50" s="7" t="s">
        <v>294</v>
      </c>
      <c r="S50" s="20">
        <v>160</v>
      </c>
      <c r="T50" s="2">
        <v>160</v>
      </c>
    </row>
    <row r="51" spans="1:26">
      <c r="A51" s="7">
        <f>MAX($A$1:$A50)+1</f>
        <v>50</v>
      </c>
      <c r="B51" s="27" t="s">
        <v>269</v>
      </c>
      <c r="C51" s="2" t="s">
        <v>409</v>
      </c>
      <c r="D51" s="2" t="s">
        <v>31</v>
      </c>
      <c r="E51" s="7" t="s">
        <v>290</v>
      </c>
      <c r="F51" s="4">
        <v>48.828948974609297</v>
      </c>
      <c r="G51" s="18">
        <v>-125.19757080078099</v>
      </c>
      <c r="H51" s="5" t="s">
        <v>10</v>
      </c>
      <c r="I51" s="2">
        <v>0.5</v>
      </c>
      <c r="J51" s="2">
        <v>30</v>
      </c>
      <c r="K51" s="6">
        <v>0.41250000000000003</v>
      </c>
      <c r="L51" s="2" t="s">
        <v>270</v>
      </c>
      <c r="M51" s="2">
        <v>8</v>
      </c>
      <c r="N51" s="2">
        <v>2</v>
      </c>
      <c r="O51" s="2">
        <v>1</v>
      </c>
      <c r="P51" s="2" t="s">
        <v>331</v>
      </c>
      <c r="Q51" s="7" t="s">
        <v>67</v>
      </c>
      <c r="R51" s="7" t="s">
        <v>332</v>
      </c>
      <c r="S51" s="20">
        <v>85</v>
      </c>
      <c r="T51" s="2">
        <v>85</v>
      </c>
    </row>
    <row r="52" spans="1:26">
      <c r="A52" s="7">
        <f>MAX($A$1:$A51)+1</f>
        <v>51</v>
      </c>
      <c r="B52" s="27" t="s">
        <v>269</v>
      </c>
      <c r="C52" s="2" t="s">
        <v>409</v>
      </c>
      <c r="D52" s="2" t="s">
        <v>31</v>
      </c>
      <c r="E52" s="7" t="s">
        <v>290</v>
      </c>
      <c r="F52" s="4">
        <v>48.828948974609297</v>
      </c>
      <c r="G52" s="18">
        <v>-125.19757080078099</v>
      </c>
      <c r="H52" s="5" t="s">
        <v>10</v>
      </c>
      <c r="I52" s="2">
        <v>0.5</v>
      </c>
      <c r="J52" s="2">
        <v>30</v>
      </c>
      <c r="K52" s="6">
        <v>0.41250000000000003</v>
      </c>
      <c r="L52" s="2" t="s">
        <v>270</v>
      </c>
      <c r="M52" s="2">
        <v>8</v>
      </c>
      <c r="N52" s="2">
        <v>2</v>
      </c>
      <c r="O52" s="2">
        <v>1</v>
      </c>
      <c r="P52" s="2" t="s">
        <v>239</v>
      </c>
      <c r="Q52" s="7" t="s">
        <v>80</v>
      </c>
      <c r="R52" s="7" t="s">
        <v>300</v>
      </c>
      <c r="S52" s="20">
        <v>28</v>
      </c>
      <c r="T52" s="2">
        <v>28</v>
      </c>
    </row>
    <row r="53" spans="1:26">
      <c r="A53" s="7">
        <f>MAX($A$1:$A52)+1</f>
        <v>52</v>
      </c>
      <c r="B53" s="27" t="s">
        <v>269</v>
      </c>
      <c r="C53" s="2" t="s">
        <v>409</v>
      </c>
      <c r="D53" s="2" t="s">
        <v>31</v>
      </c>
      <c r="E53" s="7" t="s">
        <v>290</v>
      </c>
      <c r="F53" s="4">
        <v>48.828948974609297</v>
      </c>
      <c r="G53" s="18">
        <v>-125.19757080078099</v>
      </c>
      <c r="H53" s="5" t="s">
        <v>10</v>
      </c>
      <c r="I53" s="2">
        <v>0.5</v>
      </c>
      <c r="J53" s="2">
        <v>30</v>
      </c>
      <c r="K53" s="6">
        <v>0.41250000000000003</v>
      </c>
      <c r="L53" s="2" t="s">
        <v>270</v>
      </c>
      <c r="M53" s="2">
        <v>8</v>
      </c>
      <c r="N53" s="2">
        <v>2</v>
      </c>
      <c r="O53" s="2">
        <v>1</v>
      </c>
      <c r="P53" s="2" t="s">
        <v>419</v>
      </c>
      <c r="Q53" s="7" t="s">
        <v>139</v>
      </c>
      <c r="R53" s="7" t="s">
        <v>420</v>
      </c>
      <c r="S53" s="20">
        <v>17</v>
      </c>
      <c r="T53" s="2">
        <v>17</v>
      </c>
    </row>
    <row r="54" spans="1:26">
      <c r="A54" s="7">
        <f>MAX($A$1:$A53)+1</f>
        <v>53</v>
      </c>
      <c r="B54" s="27" t="s">
        <v>269</v>
      </c>
      <c r="C54" s="2" t="s">
        <v>409</v>
      </c>
      <c r="D54" s="2" t="s">
        <v>31</v>
      </c>
      <c r="E54" s="7" t="s">
        <v>290</v>
      </c>
      <c r="F54" s="4">
        <v>48.828948974609297</v>
      </c>
      <c r="G54" s="18">
        <v>-125.19757080078099</v>
      </c>
      <c r="H54" s="5" t="s">
        <v>10</v>
      </c>
      <c r="I54" s="2">
        <v>0.5</v>
      </c>
      <c r="J54" s="2">
        <v>30</v>
      </c>
      <c r="K54" s="6">
        <v>0.41250000000000003</v>
      </c>
      <c r="L54" s="2" t="s">
        <v>270</v>
      </c>
      <c r="M54" s="2">
        <v>8</v>
      </c>
      <c r="N54" s="2">
        <v>2</v>
      </c>
      <c r="O54" s="2">
        <v>1</v>
      </c>
      <c r="P54" s="2" t="s">
        <v>296</v>
      </c>
      <c r="Q54" s="7" t="s">
        <v>75</v>
      </c>
      <c r="R54" s="7" t="s">
        <v>297</v>
      </c>
      <c r="S54" s="20">
        <v>8</v>
      </c>
      <c r="T54" s="2">
        <v>8</v>
      </c>
    </row>
    <row r="55" spans="1:26">
      <c r="A55" s="7">
        <f>MAX($A$1:$A54)+1</f>
        <v>54</v>
      </c>
      <c r="B55" s="27" t="s">
        <v>269</v>
      </c>
      <c r="C55" s="2" t="s">
        <v>409</v>
      </c>
      <c r="D55" s="2" t="s">
        <v>31</v>
      </c>
      <c r="E55" s="7" t="s">
        <v>290</v>
      </c>
      <c r="F55" s="4">
        <v>48.828948974609297</v>
      </c>
      <c r="G55" s="18">
        <v>-125.19757080078099</v>
      </c>
      <c r="H55" s="5" t="s">
        <v>10</v>
      </c>
      <c r="I55" s="2">
        <v>0.5</v>
      </c>
      <c r="J55" s="2">
        <v>30</v>
      </c>
      <c r="K55" s="6">
        <v>0.41250000000000003</v>
      </c>
      <c r="L55" s="2" t="s">
        <v>270</v>
      </c>
      <c r="M55" s="2">
        <v>8</v>
      </c>
      <c r="N55" s="2">
        <v>2</v>
      </c>
      <c r="O55" s="2">
        <v>1</v>
      </c>
      <c r="P55" s="2" t="s">
        <v>310</v>
      </c>
      <c r="Q55" s="7" t="s">
        <v>98</v>
      </c>
      <c r="R55" s="7" t="s">
        <v>311</v>
      </c>
      <c r="S55" s="20">
        <v>12</v>
      </c>
      <c r="T55" s="2">
        <v>12</v>
      </c>
    </row>
    <row r="56" spans="1:26">
      <c r="A56" s="7">
        <f>MAX($A$1:$A55)+1</f>
        <v>55</v>
      </c>
      <c r="B56" s="27" t="s">
        <v>269</v>
      </c>
      <c r="C56" s="2" t="s">
        <v>409</v>
      </c>
      <c r="D56" s="2" t="s">
        <v>31</v>
      </c>
      <c r="E56" s="7" t="s">
        <v>290</v>
      </c>
      <c r="F56" s="4">
        <v>48.828948974609297</v>
      </c>
      <c r="G56" s="18">
        <v>-125.19757080078099</v>
      </c>
      <c r="H56" s="5" t="s">
        <v>10</v>
      </c>
      <c r="I56" s="2">
        <v>0.5</v>
      </c>
      <c r="J56" s="2">
        <v>30</v>
      </c>
      <c r="K56" s="6">
        <v>0.41250000000000003</v>
      </c>
      <c r="L56" s="2" t="s">
        <v>270</v>
      </c>
      <c r="M56" s="2">
        <v>8</v>
      </c>
      <c r="N56" s="2">
        <v>2</v>
      </c>
      <c r="O56" s="2">
        <v>1</v>
      </c>
      <c r="P56" s="2" t="s">
        <v>298</v>
      </c>
      <c r="Q56" s="7" t="s">
        <v>99</v>
      </c>
      <c r="R56" s="7" t="s">
        <v>299</v>
      </c>
      <c r="S56" s="20">
        <v>11</v>
      </c>
      <c r="T56" s="2">
        <v>11</v>
      </c>
    </row>
    <row r="57" spans="1:26">
      <c r="A57" s="7">
        <f>MAX($A$1:$A56)+1</f>
        <v>56</v>
      </c>
      <c r="B57" s="27" t="s">
        <v>269</v>
      </c>
      <c r="C57" s="2" t="s">
        <v>409</v>
      </c>
      <c r="D57" s="2" t="s">
        <v>31</v>
      </c>
      <c r="E57" s="7" t="s">
        <v>290</v>
      </c>
      <c r="F57" s="4">
        <v>48.828948974609297</v>
      </c>
      <c r="G57" s="18">
        <v>-125.19757080078099</v>
      </c>
      <c r="H57" s="5" t="s">
        <v>10</v>
      </c>
      <c r="I57" s="2">
        <v>0.5</v>
      </c>
      <c r="J57" s="2">
        <v>30</v>
      </c>
      <c r="K57" s="6">
        <v>0.41250000000000003</v>
      </c>
      <c r="L57" s="2" t="s">
        <v>270</v>
      </c>
      <c r="M57" s="2">
        <v>8</v>
      </c>
      <c r="N57" s="2">
        <v>2</v>
      </c>
      <c r="O57" s="2">
        <v>1</v>
      </c>
      <c r="P57" s="2" t="s">
        <v>244</v>
      </c>
      <c r="Q57" s="7" t="s">
        <v>65</v>
      </c>
      <c r="R57" s="7" t="s">
        <v>307</v>
      </c>
      <c r="S57" s="20">
        <v>35</v>
      </c>
      <c r="T57" s="2">
        <v>35</v>
      </c>
    </row>
    <row r="58" spans="1:26">
      <c r="A58" s="7">
        <f>MAX($A$1:$A57)+1</f>
        <v>57</v>
      </c>
      <c r="B58" s="27" t="s">
        <v>269</v>
      </c>
      <c r="C58" s="2" t="s">
        <v>409</v>
      </c>
      <c r="D58" s="2" t="s">
        <v>31</v>
      </c>
      <c r="E58" s="7" t="s">
        <v>290</v>
      </c>
      <c r="F58" s="4">
        <v>48.828948974609297</v>
      </c>
      <c r="G58" s="18">
        <v>-125.19757080078099</v>
      </c>
      <c r="H58" s="5" t="s">
        <v>10</v>
      </c>
      <c r="I58" s="2">
        <v>0.5</v>
      </c>
      <c r="J58" s="2">
        <v>30</v>
      </c>
      <c r="K58" s="6">
        <v>0.41250000000000003</v>
      </c>
      <c r="L58" s="2" t="s">
        <v>270</v>
      </c>
      <c r="M58" s="2">
        <v>8</v>
      </c>
      <c r="N58" s="2">
        <v>2</v>
      </c>
      <c r="O58" s="2">
        <v>1</v>
      </c>
      <c r="P58" s="2" t="s">
        <v>251</v>
      </c>
      <c r="Q58" s="7" t="s">
        <v>73</v>
      </c>
      <c r="R58" s="7" t="s">
        <v>325</v>
      </c>
      <c r="S58" s="20">
        <v>2</v>
      </c>
      <c r="T58" s="2">
        <v>2</v>
      </c>
    </row>
    <row r="59" spans="1:26">
      <c r="A59" s="7">
        <f>MAX($A$1:$A58)+1</f>
        <v>58</v>
      </c>
      <c r="B59" s="27" t="s">
        <v>269</v>
      </c>
      <c r="C59" s="2" t="s">
        <v>409</v>
      </c>
      <c r="D59" s="2" t="s">
        <v>31</v>
      </c>
      <c r="E59" s="7" t="s">
        <v>290</v>
      </c>
      <c r="F59" s="4">
        <v>48.828948974609297</v>
      </c>
      <c r="G59" s="18">
        <v>-125.19757080078099</v>
      </c>
      <c r="H59" s="5" t="s">
        <v>10</v>
      </c>
      <c r="I59" s="2">
        <v>0.5</v>
      </c>
      <c r="J59" s="2">
        <v>30</v>
      </c>
      <c r="K59" s="6">
        <v>0.41250000000000003</v>
      </c>
      <c r="L59" s="2" t="s">
        <v>270</v>
      </c>
      <c r="M59" s="2">
        <v>8</v>
      </c>
      <c r="N59" s="2">
        <v>2</v>
      </c>
      <c r="O59" s="2">
        <v>1</v>
      </c>
      <c r="P59" s="2" t="s">
        <v>247</v>
      </c>
      <c r="Q59" s="7" t="s">
        <v>64</v>
      </c>
      <c r="R59" s="7" t="s">
        <v>293</v>
      </c>
      <c r="S59" s="20">
        <v>5</v>
      </c>
      <c r="T59" s="2">
        <v>5</v>
      </c>
    </row>
    <row r="60" spans="1:26">
      <c r="A60" s="7">
        <f>MAX($A$1:$A59)+1</f>
        <v>59</v>
      </c>
      <c r="B60" s="27" t="s">
        <v>269</v>
      </c>
      <c r="C60" s="2" t="s">
        <v>409</v>
      </c>
      <c r="D60" s="2" t="s">
        <v>31</v>
      </c>
      <c r="E60" s="7" t="s">
        <v>290</v>
      </c>
      <c r="F60" s="4">
        <v>48.828948974609297</v>
      </c>
      <c r="G60" s="18">
        <v>-125.19757080078099</v>
      </c>
      <c r="H60" s="5" t="s">
        <v>10</v>
      </c>
      <c r="I60" s="2">
        <v>0.5</v>
      </c>
      <c r="J60" s="2">
        <v>30</v>
      </c>
      <c r="K60" s="6">
        <v>0.41250000000000003</v>
      </c>
      <c r="L60" s="2" t="s">
        <v>270</v>
      </c>
      <c r="M60" s="2">
        <v>8</v>
      </c>
      <c r="N60" s="2">
        <v>2</v>
      </c>
      <c r="O60" s="2">
        <v>1</v>
      </c>
      <c r="P60" s="2" t="s">
        <v>243</v>
      </c>
      <c r="Q60" s="7" t="s">
        <v>85</v>
      </c>
      <c r="R60" s="7" t="s">
        <v>312</v>
      </c>
      <c r="S60" s="20">
        <v>13</v>
      </c>
      <c r="T60" s="2">
        <v>13</v>
      </c>
    </row>
    <row r="61" spans="1:26">
      <c r="A61" s="7">
        <f>MAX($A$1:$A60)+1</f>
        <v>60</v>
      </c>
      <c r="B61" s="27" t="s">
        <v>269</v>
      </c>
      <c r="C61" s="2" t="s">
        <v>409</v>
      </c>
      <c r="D61" s="2" t="s">
        <v>31</v>
      </c>
      <c r="E61" s="7" t="s">
        <v>290</v>
      </c>
      <c r="F61" s="4">
        <v>48.828948974609297</v>
      </c>
      <c r="G61" s="18">
        <v>-125.19757080078099</v>
      </c>
      <c r="H61" s="5" t="s">
        <v>10</v>
      </c>
      <c r="I61" s="2">
        <v>0.5</v>
      </c>
      <c r="J61" s="2">
        <v>30</v>
      </c>
      <c r="K61" s="6">
        <v>0.41250000000000003</v>
      </c>
      <c r="L61" s="2" t="s">
        <v>270</v>
      </c>
      <c r="M61" s="2">
        <v>8</v>
      </c>
      <c r="N61" s="2">
        <v>2</v>
      </c>
      <c r="O61" s="2">
        <v>1</v>
      </c>
      <c r="P61" s="2" t="s">
        <v>246</v>
      </c>
      <c r="Q61" s="7" t="s">
        <v>66</v>
      </c>
      <c r="R61" s="7" t="s">
        <v>318</v>
      </c>
      <c r="S61" s="20">
        <v>7</v>
      </c>
      <c r="T61" s="2">
        <v>0</v>
      </c>
      <c r="U61" s="2">
        <v>1</v>
      </c>
      <c r="V61" s="2">
        <v>1</v>
      </c>
      <c r="X61" s="2">
        <v>2</v>
      </c>
      <c r="Y61" s="2">
        <v>2</v>
      </c>
      <c r="Z61" s="2">
        <v>1</v>
      </c>
    </row>
    <row r="62" spans="1:26">
      <c r="A62" s="7">
        <f>MAX($A$1:$A61)+1</f>
        <v>61</v>
      </c>
      <c r="B62" s="27" t="s">
        <v>269</v>
      </c>
      <c r="C62" s="2" t="s">
        <v>409</v>
      </c>
      <c r="D62" s="2" t="s">
        <v>31</v>
      </c>
      <c r="E62" s="7" t="s">
        <v>290</v>
      </c>
      <c r="F62" s="4">
        <v>48.828948974609297</v>
      </c>
      <c r="G62" s="18">
        <v>-125.19757080078099</v>
      </c>
      <c r="H62" s="5" t="s">
        <v>10</v>
      </c>
      <c r="I62" s="2">
        <v>0.5</v>
      </c>
      <c r="J62" s="2">
        <v>30</v>
      </c>
      <c r="K62" s="6">
        <v>0.41250000000000003</v>
      </c>
      <c r="L62" s="2" t="s">
        <v>270</v>
      </c>
      <c r="M62" s="2">
        <v>8</v>
      </c>
      <c r="N62" s="2">
        <v>2</v>
      </c>
      <c r="O62" s="2">
        <v>1</v>
      </c>
      <c r="P62" s="2" t="s">
        <v>230</v>
      </c>
      <c r="Q62" s="7" t="s">
        <v>42</v>
      </c>
      <c r="R62" s="7" t="s">
        <v>321</v>
      </c>
      <c r="S62" s="20">
        <v>2</v>
      </c>
      <c r="T62" s="2">
        <v>0</v>
      </c>
      <c r="W62" s="2">
        <v>2</v>
      </c>
    </row>
    <row r="63" spans="1:26">
      <c r="A63" s="7">
        <f>MAX($A$1:$A62)+1</f>
        <v>62</v>
      </c>
      <c r="B63" s="27" t="s">
        <v>269</v>
      </c>
      <c r="C63" s="2" t="s">
        <v>409</v>
      </c>
      <c r="D63" s="2" t="s">
        <v>31</v>
      </c>
      <c r="E63" s="7" t="s">
        <v>290</v>
      </c>
      <c r="F63" s="4">
        <v>48.828948974609297</v>
      </c>
      <c r="G63" s="18">
        <v>-125.19757080078099</v>
      </c>
      <c r="H63" s="5" t="s">
        <v>10</v>
      </c>
      <c r="I63" s="2">
        <v>0.5</v>
      </c>
      <c r="J63" s="2">
        <v>30</v>
      </c>
      <c r="K63" s="6">
        <v>0.41250000000000003</v>
      </c>
      <c r="L63" s="2" t="s">
        <v>270</v>
      </c>
      <c r="M63" s="2">
        <v>8</v>
      </c>
      <c r="N63" s="2">
        <v>2</v>
      </c>
      <c r="O63" s="2">
        <v>1</v>
      </c>
      <c r="P63" s="2" t="s">
        <v>440</v>
      </c>
      <c r="Q63" s="7" t="s">
        <v>147</v>
      </c>
      <c r="R63" s="7" t="s">
        <v>441</v>
      </c>
      <c r="S63" s="20">
        <v>8</v>
      </c>
      <c r="T63" s="2">
        <v>8</v>
      </c>
    </row>
    <row r="64" spans="1:26">
      <c r="A64" s="7">
        <f>MAX($A$1:$A63)+1</f>
        <v>63</v>
      </c>
      <c r="B64" s="27" t="s">
        <v>269</v>
      </c>
      <c r="C64" s="2" t="s">
        <v>409</v>
      </c>
      <c r="D64" s="2" t="s">
        <v>31</v>
      </c>
      <c r="E64" s="7" t="s">
        <v>290</v>
      </c>
      <c r="F64" s="4">
        <v>48.828948974609297</v>
      </c>
      <c r="G64" s="18">
        <v>-125.19757080078099</v>
      </c>
      <c r="H64" s="5" t="s">
        <v>10</v>
      </c>
      <c r="I64" s="2">
        <v>0.5</v>
      </c>
      <c r="J64" s="2">
        <v>30</v>
      </c>
      <c r="K64" s="6">
        <v>0.41250000000000003</v>
      </c>
      <c r="L64" s="2" t="s">
        <v>270</v>
      </c>
      <c r="M64" s="2">
        <v>8</v>
      </c>
      <c r="N64" s="2">
        <v>2</v>
      </c>
      <c r="O64" s="2">
        <v>1</v>
      </c>
      <c r="P64" s="2" t="s">
        <v>427</v>
      </c>
      <c r="Q64" s="7" t="s">
        <v>142</v>
      </c>
      <c r="R64" s="7" t="s">
        <v>428</v>
      </c>
      <c r="S64" s="20">
        <v>1</v>
      </c>
      <c r="T64" s="2">
        <v>1</v>
      </c>
    </row>
    <row r="65" spans="1:31">
      <c r="A65" s="7">
        <f>MAX($A$1:$A64)+1</f>
        <v>64</v>
      </c>
      <c r="B65" s="27" t="s">
        <v>269</v>
      </c>
      <c r="C65" s="2" t="s">
        <v>409</v>
      </c>
      <c r="D65" s="2" t="s">
        <v>31</v>
      </c>
      <c r="E65" s="7" t="s">
        <v>290</v>
      </c>
      <c r="F65" s="4">
        <v>48.828948974609297</v>
      </c>
      <c r="G65" s="18">
        <v>-125.19757080078099</v>
      </c>
      <c r="H65" s="5" t="s">
        <v>10</v>
      </c>
      <c r="I65" s="2">
        <v>0.5</v>
      </c>
      <c r="J65" s="2">
        <v>30</v>
      </c>
      <c r="K65" s="6">
        <v>0.41250000000000003</v>
      </c>
      <c r="L65" s="2" t="s">
        <v>270</v>
      </c>
      <c r="M65" s="2">
        <v>8</v>
      </c>
      <c r="N65" s="2">
        <v>2</v>
      </c>
      <c r="O65" s="2">
        <v>1</v>
      </c>
      <c r="P65" s="2" t="s">
        <v>250</v>
      </c>
      <c r="Q65" s="7" t="s">
        <v>46</v>
      </c>
      <c r="R65" s="7" t="s">
        <v>295</v>
      </c>
      <c r="S65" s="20">
        <v>7</v>
      </c>
      <c r="T65" s="2">
        <v>0</v>
      </c>
      <c r="U65" s="2">
        <v>4</v>
      </c>
      <c r="V65" s="2">
        <v>2</v>
      </c>
      <c r="W65" s="2">
        <v>1</v>
      </c>
    </row>
    <row r="66" spans="1:31">
      <c r="A66" s="7">
        <f>MAX($A$1:$A65)+1</f>
        <v>65</v>
      </c>
      <c r="B66" s="27" t="s">
        <v>269</v>
      </c>
      <c r="C66" s="2" t="s">
        <v>409</v>
      </c>
      <c r="D66" s="2" t="s">
        <v>31</v>
      </c>
      <c r="E66" s="7" t="s">
        <v>290</v>
      </c>
      <c r="F66" s="4">
        <v>48.828948974609297</v>
      </c>
      <c r="G66" s="18">
        <v>-125.19757080078099</v>
      </c>
      <c r="H66" s="5" t="s">
        <v>10</v>
      </c>
      <c r="I66" s="2">
        <v>0.5</v>
      </c>
      <c r="J66" s="2">
        <v>30</v>
      </c>
      <c r="K66" s="6">
        <v>0.41250000000000003</v>
      </c>
      <c r="L66" s="2" t="s">
        <v>270</v>
      </c>
      <c r="M66" s="2">
        <v>8</v>
      </c>
      <c r="N66" s="2">
        <v>2</v>
      </c>
      <c r="O66" s="2">
        <v>1</v>
      </c>
      <c r="P66" s="2" t="s">
        <v>248</v>
      </c>
      <c r="Q66" s="7" t="s">
        <v>78</v>
      </c>
      <c r="R66" s="7" t="s">
        <v>349</v>
      </c>
      <c r="S66" s="20">
        <v>2</v>
      </c>
      <c r="T66" s="2">
        <v>0</v>
      </c>
      <c r="U66" s="2">
        <v>1</v>
      </c>
      <c r="Y66" s="2">
        <v>1</v>
      </c>
    </row>
    <row r="67" spans="1:31">
      <c r="A67" s="7">
        <f>MAX($A$1:$A66)+1</f>
        <v>66</v>
      </c>
      <c r="B67" s="27" t="s">
        <v>269</v>
      </c>
      <c r="C67" s="2" t="s">
        <v>409</v>
      </c>
      <c r="D67" s="2" t="s">
        <v>31</v>
      </c>
      <c r="E67" s="7" t="s">
        <v>290</v>
      </c>
      <c r="F67" s="4">
        <v>48.828948974609297</v>
      </c>
      <c r="G67" s="18">
        <v>-125.19757080078099</v>
      </c>
      <c r="H67" s="5" t="s">
        <v>10</v>
      </c>
      <c r="I67" s="2">
        <v>0.5</v>
      </c>
      <c r="J67" s="2">
        <v>30</v>
      </c>
      <c r="K67" s="6">
        <v>0.41250000000000003</v>
      </c>
      <c r="L67" s="2" t="s">
        <v>270</v>
      </c>
      <c r="M67" s="2">
        <v>8</v>
      </c>
      <c r="N67" s="2">
        <v>2</v>
      </c>
      <c r="O67" s="2">
        <v>1</v>
      </c>
      <c r="P67" s="2" t="s">
        <v>442</v>
      </c>
      <c r="Q67" s="7" t="s">
        <v>148</v>
      </c>
      <c r="R67" s="7" t="s">
        <v>317</v>
      </c>
      <c r="S67" s="20">
        <v>2</v>
      </c>
      <c r="T67" s="2">
        <v>2</v>
      </c>
    </row>
    <row r="68" spans="1:31">
      <c r="A68" s="7">
        <f>MAX($A$1:$A67)+1</f>
        <v>67</v>
      </c>
      <c r="B68" s="27" t="s">
        <v>269</v>
      </c>
      <c r="C68" s="2" t="s">
        <v>409</v>
      </c>
      <c r="D68" s="2" t="s">
        <v>31</v>
      </c>
      <c r="E68" s="7" t="s">
        <v>290</v>
      </c>
      <c r="F68" s="4">
        <v>48.828948974609297</v>
      </c>
      <c r="G68" s="18">
        <v>-125.19757080078099</v>
      </c>
      <c r="H68" s="5" t="s">
        <v>10</v>
      </c>
      <c r="I68" s="2">
        <v>0.5</v>
      </c>
      <c r="J68" s="2">
        <v>30</v>
      </c>
      <c r="K68" s="6">
        <v>0.41250000000000003</v>
      </c>
      <c r="L68" s="2" t="s">
        <v>270</v>
      </c>
      <c r="M68" s="2">
        <v>8</v>
      </c>
      <c r="N68" s="2">
        <v>2</v>
      </c>
      <c r="O68" s="2">
        <v>1</v>
      </c>
      <c r="P68" s="2" t="s">
        <v>255</v>
      </c>
      <c r="Q68" s="7" t="s">
        <v>79</v>
      </c>
      <c r="R68" s="7" t="s">
        <v>443</v>
      </c>
      <c r="S68" s="20">
        <v>3</v>
      </c>
      <c r="T68" s="2">
        <v>3</v>
      </c>
    </row>
    <row r="69" spans="1:31">
      <c r="A69" s="7">
        <f>MAX($A$1:$A68)+1</f>
        <v>68</v>
      </c>
      <c r="B69" s="27" t="s">
        <v>269</v>
      </c>
      <c r="C69" s="2" t="s">
        <v>409</v>
      </c>
      <c r="D69" s="2" t="s">
        <v>31</v>
      </c>
      <c r="E69" s="7" t="s">
        <v>290</v>
      </c>
      <c r="F69" s="4">
        <v>48.828948974609297</v>
      </c>
      <c r="G69" s="18">
        <v>-125.19757080078099</v>
      </c>
      <c r="H69" s="5" t="s">
        <v>10</v>
      </c>
      <c r="I69" s="2">
        <v>0.5</v>
      </c>
      <c r="J69" s="2">
        <v>30</v>
      </c>
      <c r="K69" s="6">
        <v>0.41250000000000003</v>
      </c>
      <c r="L69" s="2" t="s">
        <v>270</v>
      </c>
      <c r="M69" s="2">
        <v>8</v>
      </c>
      <c r="N69" s="2">
        <v>2</v>
      </c>
      <c r="O69" s="2">
        <v>1</v>
      </c>
      <c r="P69" s="2" t="s">
        <v>305</v>
      </c>
      <c r="Q69" s="7" t="s">
        <v>89</v>
      </c>
      <c r="R69" s="7" t="s">
        <v>306</v>
      </c>
      <c r="S69" s="20">
        <v>3</v>
      </c>
      <c r="T69" s="2">
        <v>0</v>
      </c>
      <c r="V69" s="2">
        <v>1</v>
      </c>
      <c r="W69" s="2">
        <v>1</v>
      </c>
      <c r="AA69" s="2">
        <v>1</v>
      </c>
    </row>
    <row r="70" spans="1:31">
      <c r="A70" s="7">
        <f>MAX($A$1:$A69)+1</f>
        <v>69</v>
      </c>
      <c r="B70" s="27" t="s">
        <v>269</v>
      </c>
      <c r="C70" s="2" t="s">
        <v>409</v>
      </c>
      <c r="D70" s="2" t="s">
        <v>31</v>
      </c>
      <c r="E70" s="7" t="s">
        <v>290</v>
      </c>
      <c r="F70" s="4">
        <v>48.828948974609297</v>
      </c>
      <c r="G70" s="18">
        <v>-125.19757080078099</v>
      </c>
      <c r="H70" s="5" t="s">
        <v>10</v>
      </c>
      <c r="I70" s="2">
        <v>0.5</v>
      </c>
      <c r="J70" s="2">
        <v>30</v>
      </c>
      <c r="K70" s="6">
        <v>0.41250000000000003</v>
      </c>
      <c r="L70" s="2" t="s">
        <v>270</v>
      </c>
      <c r="M70" s="2">
        <v>8</v>
      </c>
      <c r="N70" s="2">
        <v>0</v>
      </c>
      <c r="O70" s="2">
        <v>1</v>
      </c>
      <c r="P70" s="2" t="s">
        <v>237</v>
      </c>
      <c r="Q70" s="7" t="s">
        <v>51</v>
      </c>
      <c r="R70" s="7" t="s">
        <v>368</v>
      </c>
      <c r="S70" s="20">
        <v>1</v>
      </c>
      <c r="T70" s="2">
        <v>0</v>
      </c>
      <c r="AE70" s="2">
        <v>1</v>
      </c>
    </row>
    <row r="71" spans="1:31">
      <c r="A71" s="7">
        <f>MAX($A$1:$A70)+1</f>
        <v>70</v>
      </c>
      <c r="B71" s="2" t="s">
        <v>171</v>
      </c>
      <c r="C71" s="2" t="s">
        <v>504</v>
      </c>
      <c r="D71" s="2" t="s">
        <v>31</v>
      </c>
      <c r="E71" s="7" t="s">
        <v>290</v>
      </c>
      <c r="F71" s="4">
        <v>48.828948974609297</v>
      </c>
      <c r="G71" s="18">
        <v>-125.19757080078099</v>
      </c>
      <c r="H71" s="5" t="s">
        <v>10</v>
      </c>
      <c r="I71" s="2">
        <v>1</v>
      </c>
      <c r="J71" s="2">
        <v>210</v>
      </c>
      <c r="K71" s="6">
        <v>0.41250000000000003</v>
      </c>
      <c r="L71" s="2" t="s">
        <v>172</v>
      </c>
      <c r="M71" s="2">
        <v>5.5</v>
      </c>
      <c r="N71" s="2">
        <v>1</v>
      </c>
      <c r="O71" s="2">
        <v>1</v>
      </c>
      <c r="P71" s="2" t="s">
        <v>232</v>
      </c>
      <c r="Q71" s="7" t="s">
        <v>43</v>
      </c>
      <c r="R71" s="7" t="s">
        <v>324</v>
      </c>
      <c r="S71" s="20">
        <v>2</v>
      </c>
      <c r="T71" s="2">
        <v>0</v>
      </c>
      <c r="AA71" s="2">
        <v>2</v>
      </c>
    </row>
    <row r="72" spans="1:31">
      <c r="A72" s="7">
        <f>MAX($A$1:$A71)+1</f>
        <v>71</v>
      </c>
      <c r="B72" s="2" t="s">
        <v>171</v>
      </c>
      <c r="C72" s="2" t="s">
        <v>504</v>
      </c>
      <c r="D72" s="2" t="s">
        <v>31</v>
      </c>
      <c r="E72" s="7" t="s">
        <v>290</v>
      </c>
      <c r="F72" s="4">
        <v>48.828948974609297</v>
      </c>
      <c r="G72" s="18">
        <v>-125.19757080078099</v>
      </c>
      <c r="H72" s="5" t="s">
        <v>10</v>
      </c>
      <c r="I72" s="2">
        <v>1</v>
      </c>
      <c r="J72" s="2">
        <v>210</v>
      </c>
      <c r="K72" s="6">
        <v>0.41250000000000003</v>
      </c>
      <c r="L72" s="2" t="s">
        <v>172</v>
      </c>
      <c r="M72" s="2">
        <v>5.5</v>
      </c>
      <c r="N72" s="2">
        <v>1</v>
      </c>
      <c r="O72" s="2">
        <v>1</v>
      </c>
      <c r="P72" s="2" t="s">
        <v>230</v>
      </c>
      <c r="Q72" s="7" t="s">
        <v>42</v>
      </c>
      <c r="R72" s="7" t="s">
        <v>321</v>
      </c>
      <c r="S72" s="20">
        <v>1</v>
      </c>
      <c r="T72" s="2">
        <v>0</v>
      </c>
      <c r="W72" s="2">
        <v>1</v>
      </c>
    </row>
    <row r="73" spans="1:31">
      <c r="A73" s="7">
        <f>MAX($A$1:$A72)+1</f>
        <v>72</v>
      </c>
      <c r="B73" s="2" t="s">
        <v>171</v>
      </c>
      <c r="C73" s="2" t="s">
        <v>504</v>
      </c>
      <c r="D73" s="2" t="s">
        <v>31</v>
      </c>
      <c r="E73" s="7" t="s">
        <v>290</v>
      </c>
      <c r="F73" s="4">
        <v>48.828948974609297</v>
      </c>
      <c r="G73" s="18">
        <v>-125.19757080078099</v>
      </c>
      <c r="H73" s="5" t="s">
        <v>10</v>
      </c>
      <c r="I73" s="2">
        <v>1</v>
      </c>
      <c r="J73" s="2">
        <v>210</v>
      </c>
      <c r="K73" s="6">
        <v>0.41250000000000003</v>
      </c>
      <c r="L73" s="2" t="s">
        <v>172</v>
      </c>
      <c r="M73" s="2">
        <v>5.5</v>
      </c>
      <c r="N73" s="2">
        <v>2</v>
      </c>
      <c r="O73" s="2">
        <v>1</v>
      </c>
      <c r="P73" s="2" t="s">
        <v>331</v>
      </c>
      <c r="Q73" s="7" t="s">
        <v>67</v>
      </c>
      <c r="R73" s="7" t="s">
        <v>332</v>
      </c>
      <c r="S73" s="20">
        <v>134</v>
      </c>
      <c r="T73" s="2">
        <v>134</v>
      </c>
    </row>
    <row r="74" spans="1:31">
      <c r="A74" s="7">
        <f>MAX($A$1:$A73)+1</f>
        <v>73</v>
      </c>
      <c r="B74" s="2" t="s">
        <v>171</v>
      </c>
      <c r="C74" s="2" t="s">
        <v>504</v>
      </c>
      <c r="D74" s="2" t="s">
        <v>31</v>
      </c>
      <c r="E74" s="7" t="s">
        <v>290</v>
      </c>
      <c r="F74" s="4">
        <v>48.828948974609297</v>
      </c>
      <c r="G74" s="18">
        <v>-125.19757080078099</v>
      </c>
      <c r="H74" s="5" t="s">
        <v>10</v>
      </c>
      <c r="I74" s="2">
        <v>1</v>
      </c>
      <c r="J74" s="2">
        <v>210</v>
      </c>
      <c r="K74" s="6">
        <v>0.41250000000000003</v>
      </c>
      <c r="L74" s="2" t="s">
        <v>172</v>
      </c>
      <c r="M74" s="2">
        <v>5.5</v>
      </c>
      <c r="N74" s="2">
        <v>2</v>
      </c>
      <c r="O74" s="2">
        <v>1</v>
      </c>
      <c r="P74" s="2" t="s">
        <v>239</v>
      </c>
      <c r="Q74" s="7" t="s">
        <v>80</v>
      </c>
      <c r="R74" s="7" t="s">
        <v>300</v>
      </c>
      <c r="S74" s="20">
        <v>27</v>
      </c>
      <c r="T74" s="2">
        <v>27</v>
      </c>
    </row>
    <row r="75" spans="1:31">
      <c r="A75" s="7">
        <f>MAX($A$1:$A74)+1</f>
        <v>74</v>
      </c>
      <c r="B75" s="2" t="s">
        <v>171</v>
      </c>
      <c r="C75" s="2" t="s">
        <v>504</v>
      </c>
      <c r="D75" s="2" t="s">
        <v>31</v>
      </c>
      <c r="E75" s="7" t="s">
        <v>290</v>
      </c>
      <c r="F75" s="4">
        <v>48.828948974609297</v>
      </c>
      <c r="G75" s="18">
        <v>-125.19757080078099</v>
      </c>
      <c r="H75" s="5" t="s">
        <v>10</v>
      </c>
      <c r="I75" s="2">
        <v>1</v>
      </c>
      <c r="J75" s="2">
        <v>210</v>
      </c>
      <c r="K75" s="6">
        <v>0.41250000000000003</v>
      </c>
      <c r="L75" s="2" t="s">
        <v>172</v>
      </c>
      <c r="M75" s="2">
        <v>5.5</v>
      </c>
      <c r="N75" s="2">
        <v>2</v>
      </c>
      <c r="O75" s="2">
        <v>1</v>
      </c>
      <c r="P75" s="2" t="s">
        <v>505</v>
      </c>
      <c r="Q75" s="7" t="s">
        <v>506</v>
      </c>
      <c r="R75" s="7" t="s">
        <v>507</v>
      </c>
      <c r="S75" s="20">
        <v>1</v>
      </c>
      <c r="T75" s="2">
        <v>1</v>
      </c>
    </row>
    <row r="76" spans="1:31">
      <c r="A76" s="7">
        <f>MAX($A$1:$A75)+1</f>
        <v>75</v>
      </c>
      <c r="B76" s="2" t="s">
        <v>171</v>
      </c>
      <c r="C76" s="2" t="s">
        <v>504</v>
      </c>
      <c r="D76" s="2" t="s">
        <v>31</v>
      </c>
      <c r="E76" s="7" t="s">
        <v>290</v>
      </c>
      <c r="F76" s="4">
        <v>48.828948974609297</v>
      </c>
      <c r="G76" s="18">
        <v>-125.19757080078099</v>
      </c>
      <c r="H76" s="5" t="s">
        <v>10</v>
      </c>
      <c r="I76" s="2">
        <v>1</v>
      </c>
      <c r="J76" s="2">
        <v>210</v>
      </c>
      <c r="K76" s="6">
        <v>0.41250000000000003</v>
      </c>
      <c r="L76" s="2" t="s">
        <v>172</v>
      </c>
      <c r="M76" s="2">
        <v>5.5</v>
      </c>
      <c r="N76" s="2">
        <v>2</v>
      </c>
      <c r="O76" s="2">
        <v>1</v>
      </c>
      <c r="P76" s="2" t="s">
        <v>241</v>
      </c>
      <c r="Q76" s="7" t="s">
        <v>63</v>
      </c>
      <c r="R76" s="7" t="s">
        <v>294</v>
      </c>
      <c r="S76" s="20">
        <v>246</v>
      </c>
      <c r="T76" s="2">
        <v>246</v>
      </c>
    </row>
    <row r="77" spans="1:31">
      <c r="A77" s="7">
        <f>MAX($A$1:$A76)+1</f>
        <v>76</v>
      </c>
      <c r="B77" s="2" t="s">
        <v>171</v>
      </c>
      <c r="C77" s="2" t="s">
        <v>504</v>
      </c>
      <c r="D77" s="2" t="s">
        <v>31</v>
      </c>
      <c r="E77" s="7" t="s">
        <v>290</v>
      </c>
      <c r="F77" s="4">
        <v>48.828948974609297</v>
      </c>
      <c r="G77" s="18">
        <v>-125.19757080078099</v>
      </c>
      <c r="H77" s="5" t="s">
        <v>10</v>
      </c>
      <c r="I77" s="2">
        <v>1</v>
      </c>
      <c r="J77" s="2">
        <v>210</v>
      </c>
      <c r="K77" s="6">
        <v>0.41250000000000003</v>
      </c>
      <c r="L77" s="2" t="s">
        <v>172</v>
      </c>
      <c r="M77" s="2">
        <v>5.5</v>
      </c>
      <c r="N77" s="2">
        <v>2</v>
      </c>
      <c r="O77" s="2">
        <v>1</v>
      </c>
      <c r="P77" s="2" t="s">
        <v>250</v>
      </c>
      <c r="Q77" s="7" t="s">
        <v>46</v>
      </c>
      <c r="R77" s="7" t="s">
        <v>295</v>
      </c>
      <c r="S77" s="20">
        <v>10</v>
      </c>
      <c r="T77" s="2">
        <v>0</v>
      </c>
      <c r="U77" s="2">
        <v>3</v>
      </c>
      <c r="V77" s="2">
        <v>6</v>
      </c>
      <c r="W77" s="2">
        <v>1</v>
      </c>
    </row>
    <row r="78" spans="1:31">
      <c r="A78" s="7">
        <f>MAX($A$1:$A77)+1</f>
        <v>77</v>
      </c>
      <c r="B78" s="2" t="s">
        <v>171</v>
      </c>
      <c r="C78" s="2" t="s">
        <v>504</v>
      </c>
      <c r="D78" s="2" t="s">
        <v>31</v>
      </c>
      <c r="E78" s="7" t="s">
        <v>290</v>
      </c>
      <c r="F78" s="4">
        <v>48.828948974609297</v>
      </c>
      <c r="G78" s="18">
        <v>-125.19757080078099</v>
      </c>
      <c r="H78" s="5" t="s">
        <v>10</v>
      </c>
      <c r="I78" s="2">
        <v>1</v>
      </c>
      <c r="J78" s="2">
        <v>210</v>
      </c>
      <c r="K78" s="6">
        <v>0.41250000000000003</v>
      </c>
      <c r="L78" s="2" t="s">
        <v>172</v>
      </c>
      <c r="M78" s="2">
        <v>5.5</v>
      </c>
      <c r="N78" s="2">
        <v>2</v>
      </c>
      <c r="O78" s="2">
        <v>1</v>
      </c>
      <c r="P78" s="2" t="s">
        <v>305</v>
      </c>
      <c r="Q78" s="7" t="s">
        <v>89</v>
      </c>
      <c r="R78" s="7" t="s">
        <v>306</v>
      </c>
      <c r="S78" s="20">
        <v>8</v>
      </c>
      <c r="T78" s="2">
        <v>0</v>
      </c>
      <c r="U78" s="2">
        <v>3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</row>
    <row r="79" spans="1:31">
      <c r="A79" s="7">
        <f>MAX($A$1:$A78)+1</f>
        <v>78</v>
      </c>
      <c r="B79" s="2" t="s">
        <v>171</v>
      </c>
      <c r="C79" s="2" t="s">
        <v>504</v>
      </c>
      <c r="D79" s="2" t="s">
        <v>31</v>
      </c>
      <c r="E79" s="7" t="s">
        <v>290</v>
      </c>
      <c r="F79" s="4">
        <v>48.828948974609297</v>
      </c>
      <c r="G79" s="18">
        <v>-125.19757080078099</v>
      </c>
      <c r="H79" s="5" t="s">
        <v>10</v>
      </c>
      <c r="I79" s="2">
        <v>1</v>
      </c>
      <c r="J79" s="2">
        <v>210</v>
      </c>
      <c r="K79" s="6">
        <v>0.41250000000000003</v>
      </c>
      <c r="L79" s="2" t="s">
        <v>172</v>
      </c>
      <c r="M79" s="2">
        <v>5.5</v>
      </c>
      <c r="N79" s="2">
        <v>2</v>
      </c>
      <c r="O79" s="2">
        <v>1</v>
      </c>
      <c r="P79" s="2" t="s">
        <v>419</v>
      </c>
      <c r="Q79" s="7" t="s">
        <v>139</v>
      </c>
      <c r="R79" s="7" t="s">
        <v>420</v>
      </c>
      <c r="S79" s="20">
        <v>19</v>
      </c>
      <c r="T79" s="2">
        <v>19</v>
      </c>
    </row>
    <row r="80" spans="1:31">
      <c r="A80" s="7">
        <f>MAX($A$1:$A79)+1</f>
        <v>79</v>
      </c>
      <c r="B80" s="2" t="s">
        <v>171</v>
      </c>
      <c r="C80" s="2" t="s">
        <v>504</v>
      </c>
      <c r="D80" s="2" t="s">
        <v>31</v>
      </c>
      <c r="E80" s="7" t="s">
        <v>290</v>
      </c>
      <c r="F80" s="4">
        <v>48.828948974609297</v>
      </c>
      <c r="G80" s="18">
        <v>-125.19757080078099</v>
      </c>
      <c r="H80" s="5" t="s">
        <v>10</v>
      </c>
      <c r="I80" s="2">
        <v>1</v>
      </c>
      <c r="J80" s="2">
        <v>210</v>
      </c>
      <c r="K80" s="6">
        <v>0.41250000000000003</v>
      </c>
      <c r="L80" s="2" t="s">
        <v>172</v>
      </c>
      <c r="M80" s="2">
        <v>5.5</v>
      </c>
      <c r="N80" s="2">
        <v>2</v>
      </c>
      <c r="O80" s="2">
        <v>1</v>
      </c>
      <c r="P80" s="2" t="s">
        <v>298</v>
      </c>
      <c r="Q80" s="7" t="s">
        <v>99</v>
      </c>
      <c r="R80" s="7" t="s">
        <v>299</v>
      </c>
      <c r="S80" s="20">
        <v>22</v>
      </c>
      <c r="T80" s="2">
        <v>22</v>
      </c>
    </row>
    <row r="81" spans="1:25">
      <c r="A81" s="7">
        <f>MAX($A$1:$A80)+1</f>
        <v>80</v>
      </c>
      <c r="B81" s="2" t="s">
        <v>171</v>
      </c>
      <c r="C81" s="2" t="s">
        <v>504</v>
      </c>
      <c r="D81" s="2" t="s">
        <v>31</v>
      </c>
      <c r="E81" s="7" t="s">
        <v>290</v>
      </c>
      <c r="F81" s="4">
        <v>48.828948974609297</v>
      </c>
      <c r="G81" s="18">
        <v>-125.19757080078099</v>
      </c>
      <c r="H81" s="5" t="s">
        <v>10</v>
      </c>
      <c r="I81" s="2">
        <v>1</v>
      </c>
      <c r="J81" s="2">
        <v>210</v>
      </c>
      <c r="K81" s="6">
        <v>0.41250000000000003</v>
      </c>
      <c r="L81" s="2" t="s">
        <v>172</v>
      </c>
      <c r="M81" s="2">
        <v>5.5</v>
      </c>
      <c r="N81" s="2">
        <v>2</v>
      </c>
      <c r="O81" s="2">
        <v>1</v>
      </c>
      <c r="P81" s="2" t="s">
        <v>247</v>
      </c>
      <c r="Q81" s="7" t="s">
        <v>64</v>
      </c>
      <c r="R81" s="7" t="s">
        <v>293</v>
      </c>
      <c r="S81" s="20">
        <v>3</v>
      </c>
      <c r="T81" s="2">
        <v>3</v>
      </c>
    </row>
    <row r="82" spans="1:25">
      <c r="A82" s="7">
        <f>MAX($A$1:$A81)+1</f>
        <v>81</v>
      </c>
      <c r="B82" s="2" t="s">
        <v>171</v>
      </c>
      <c r="C82" s="2" t="s">
        <v>504</v>
      </c>
      <c r="D82" s="2" t="s">
        <v>31</v>
      </c>
      <c r="E82" s="7" t="s">
        <v>290</v>
      </c>
      <c r="F82" s="4">
        <v>48.828948974609297</v>
      </c>
      <c r="G82" s="18">
        <v>-125.19757080078099</v>
      </c>
      <c r="H82" s="5" t="s">
        <v>10</v>
      </c>
      <c r="I82" s="2">
        <v>1</v>
      </c>
      <c r="J82" s="2">
        <v>210</v>
      </c>
      <c r="K82" s="6">
        <v>0.41250000000000003</v>
      </c>
      <c r="L82" s="2" t="s">
        <v>172</v>
      </c>
      <c r="M82" s="2">
        <v>5.5</v>
      </c>
      <c r="N82" s="2">
        <v>2</v>
      </c>
      <c r="O82" s="2">
        <v>1</v>
      </c>
      <c r="P82" s="2" t="s">
        <v>243</v>
      </c>
      <c r="Q82" s="7" t="s">
        <v>85</v>
      </c>
      <c r="R82" s="7" t="s">
        <v>312</v>
      </c>
      <c r="S82" s="20">
        <v>9</v>
      </c>
      <c r="T82" s="2">
        <v>9</v>
      </c>
    </row>
    <row r="83" spans="1:25">
      <c r="A83" s="7">
        <f>MAX($A$1:$A82)+1</f>
        <v>82</v>
      </c>
      <c r="B83" s="2" t="s">
        <v>171</v>
      </c>
      <c r="C83" s="2" t="s">
        <v>504</v>
      </c>
      <c r="D83" s="2" t="s">
        <v>31</v>
      </c>
      <c r="E83" s="7" t="s">
        <v>290</v>
      </c>
      <c r="F83" s="4">
        <v>48.828948974609297</v>
      </c>
      <c r="G83" s="18">
        <v>-125.19757080078099</v>
      </c>
      <c r="H83" s="5" t="s">
        <v>10</v>
      </c>
      <c r="I83" s="2">
        <v>1</v>
      </c>
      <c r="J83" s="2">
        <v>210</v>
      </c>
      <c r="K83" s="6">
        <v>0.41250000000000003</v>
      </c>
      <c r="L83" s="2" t="s">
        <v>172</v>
      </c>
      <c r="M83" s="2">
        <v>5.5</v>
      </c>
      <c r="N83" s="2">
        <v>2</v>
      </c>
      <c r="O83" s="2">
        <v>1</v>
      </c>
      <c r="P83" s="2" t="s">
        <v>310</v>
      </c>
      <c r="Q83" s="7" t="s">
        <v>98</v>
      </c>
      <c r="R83" s="7" t="s">
        <v>311</v>
      </c>
      <c r="S83" s="20">
        <v>2</v>
      </c>
      <c r="T83" s="2">
        <v>2</v>
      </c>
    </row>
    <row r="84" spans="1:25">
      <c r="A84" s="7">
        <f>MAX($A$1:$A83)+1</f>
        <v>83</v>
      </c>
      <c r="B84" s="2" t="s">
        <v>171</v>
      </c>
      <c r="C84" s="2" t="s">
        <v>504</v>
      </c>
      <c r="D84" s="2" t="s">
        <v>31</v>
      </c>
      <c r="E84" s="7" t="s">
        <v>290</v>
      </c>
      <c r="F84" s="4">
        <v>48.828948974609297</v>
      </c>
      <c r="G84" s="18">
        <v>-125.19757080078099</v>
      </c>
      <c r="H84" s="5" t="s">
        <v>10</v>
      </c>
      <c r="I84" s="2">
        <v>1</v>
      </c>
      <c r="J84" s="2">
        <v>210</v>
      </c>
      <c r="K84" s="6">
        <v>0.41250000000000003</v>
      </c>
      <c r="L84" s="2" t="s">
        <v>172</v>
      </c>
      <c r="M84" s="2">
        <v>5.5</v>
      </c>
      <c r="N84" s="2">
        <v>2</v>
      </c>
      <c r="O84" s="2">
        <v>1</v>
      </c>
      <c r="P84" s="2" t="s">
        <v>375</v>
      </c>
      <c r="Q84" s="7" t="s">
        <v>132</v>
      </c>
      <c r="R84" s="7" t="s">
        <v>452</v>
      </c>
      <c r="S84" s="20">
        <v>2</v>
      </c>
      <c r="T84" s="2">
        <v>2</v>
      </c>
    </row>
    <row r="85" spans="1:25">
      <c r="A85" s="7">
        <f>MAX($A$1:$A84)+1</f>
        <v>84</v>
      </c>
      <c r="B85" s="2" t="s">
        <v>171</v>
      </c>
      <c r="C85" s="2" t="s">
        <v>504</v>
      </c>
      <c r="D85" s="2" t="s">
        <v>31</v>
      </c>
      <c r="E85" s="7" t="s">
        <v>290</v>
      </c>
      <c r="F85" s="4">
        <v>48.828948974609297</v>
      </c>
      <c r="G85" s="18">
        <v>-125.19757080078099</v>
      </c>
      <c r="H85" s="5" t="s">
        <v>10</v>
      </c>
      <c r="I85" s="2">
        <v>1</v>
      </c>
      <c r="J85" s="2">
        <v>210</v>
      </c>
      <c r="K85" s="6">
        <v>0.41250000000000003</v>
      </c>
      <c r="L85" s="2" t="s">
        <v>172</v>
      </c>
      <c r="M85" s="2">
        <v>5.5</v>
      </c>
      <c r="N85" s="2">
        <v>2</v>
      </c>
      <c r="O85" s="2">
        <v>1</v>
      </c>
      <c r="P85" s="2" t="s">
        <v>296</v>
      </c>
      <c r="Q85" s="7" t="s">
        <v>75</v>
      </c>
      <c r="R85" s="7" t="s">
        <v>297</v>
      </c>
      <c r="S85" s="20">
        <v>4</v>
      </c>
      <c r="T85" s="2">
        <v>4</v>
      </c>
    </row>
    <row r="86" spans="1:25">
      <c r="A86" s="7">
        <f>MAX($A$1:$A85)+1</f>
        <v>85</v>
      </c>
      <c r="B86" s="2" t="s">
        <v>171</v>
      </c>
      <c r="C86" s="2" t="s">
        <v>504</v>
      </c>
      <c r="D86" s="2" t="s">
        <v>31</v>
      </c>
      <c r="E86" s="7" t="s">
        <v>290</v>
      </c>
      <c r="F86" s="4">
        <v>48.828948974609297</v>
      </c>
      <c r="G86" s="18">
        <v>-125.19757080078099</v>
      </c>
      <c r="H86" s="5" t="s">
        <v>10</v>
      </c>
      <c r="I86" s="2">
        <v>1</v>
      </c>
      <c r="J86" s="2">
        <v>210</v>
      </c>
      <c r="K86" s="6">
        <v>0.41250000000000003</v>
      </c>
      <c r="L86" s="2" t="s">
        <v>172</v>
      </c>
      <c r="M86" s="2">
        <v>5.5</v>
      </c>
      <c r="N86" s="2">
        <v>2</v>
      </c>
      <c r="O86" s="2">
        <v>1</v>
      </c>
      <c r="P86" s="2" t="s">
        <v>350</v>
      </c>
      <c r="Q86" s="7" t="s">
        <v>83</v>
      </c>
      <c r="R86" s="7" t="s">
        <v>351</v>
      </c>
      <c r="S86" s="20">
        <v>1</v>
      </c>
      <c r="T86" s="2">
        <v>1</v>
      </c>
    </row>
    <row r="87" spans="1:25">
      <c r="A87" s="7">
        <f>MAX($A$1:$A86)+1</f>
        <v>86</v>
      </c>
      <c r="B87" s="2" t="s">
        <v>171</v>
      </c>
      <c r="C87" s="2" t="s">
        <v>504</v>
      </c>
      <c r="D87" s="2" t="s">
        <v>31</v>
      </c>
      <c r="E87" s="7" t="s">
        <v>290</v>
      </c>
      <c r="F87" s="4">
        <v>48.828948974609297</v>
      </c>
      <c r="G87" s="18">
        <v>-125.19757080078099</v>
      </c>
      <c r="H87" s="5" t="s">
        <v>10</v>
      </c>
      <c r="I87" s="2">
        <v>1</v>
      </c>
      <c r="J87" s="2">
        <v>210</v>
      </c>
      <c r="K87" s="6">
        <v>0.41250000000000003</v>
      </c>
      <c r="L87" s="2" t="s">
        <v>172</v>
      </c>
      <c r="M87" s="2">
        <v>5.5</v>
      </c>
      <c r="N87" s="2">
        <v>2</v>
      </c>
      <c r="O87" s="2">
        <v>1</v>
      </c>
      <c r="P87" s="2" t="s">
        <v>238</v>
      </c>
      <c r="Q87" s="7" t="s">
        <v>69</v>
      </c>
      <c r="R87" s="7" t="s">
        <v>313</v>
      </c>
      <c r="S87" s="20">
        <v>4</v>
      </c>
      <c r="T87" s="2">
        <v>4</v>
      </c>
    </row>
    <row r="88" spans="1:25">
      <c r="A88" s="7">
        <f>MAX($A$1:$A87)+1</f>
        <v>87</v>
      </c>
      <c r="B88" s="2" t="s">
        <v>171</v>
      </c>
      <c r="C88" s="2" t="s">
        <v>504</v>
      </c>
      <c r="D88" s="2" t="s">
        <v>31</v>
      </c>
      <c r="E88" s="7" t="s">
        <v>290</v>
      </c>
      <c r="F88" s="4">
        <v>48.828948974609297</v>
      </c>
      <c r="G88" s="18">
        <v>-125.19757080078099</v>
      </c>
      <c r="H88" s="5" t="s">
        <v>10</v>
      </c>
      <c r="I88" s="2">
        <v>1</v>
      </c>
      <c r="J88" s="2">
        <v>210</v>
      </c>
      <c r="K88" s="6">
        <v>0.41250000000000003</v>
      </c>
      <c r="L88" s="2" t="s">
        <v>172</v>
      </c>
      <c r="M88" s="2">
        <v>5.5</v>
      </c>
      <c r="N88" s="2">
        <v>2</v>
      </c>
      <c r="O88" s="2">
        <v>1</v>
      </c>
      <c r="P88" s="2" t="s">
        <v>251</v>
      </c>
      <c r="Q88" s="7" t="s">
        <v>73</v>
      </c>
      <c r="R88" s="7" t="s">
        <v>325</v>
      </c>
      <c r="S88" s="20">
        <v>3</v>
      </c>
      <c r="T88" s="2">
        <v>3</v>
      </c>
    </row>
    <row r="89" spans="1:25">
      <c r="A89" s="7">
        <f>MAX($A$1:$A88)+1</f>
        <v>88</v>
      </c>
      <c r="B89" s="2" t="s">
        <v>171</v>
      </c>
      <c r="C89" s="2" t="s">
        <v>504</v>
      </c>
      <c r="D89" s="2" t="s">
        <v>31</v>
      </c>
      <c r="E89" s="7" t="s">
        <v>290</v>
      </c>
      <c r="F89" s="4">
        <v>48.828948974609297</v>
      </c>
      <c r="G89" s="18">
        <v>-125.19757080078099</v>
      </c>
      <c r="H89" s="5" t="s">
        <v>10</v>
      </c>
      <c r="I89" s="2">
        <v>1</v>
      </c>
      <c r="J89" s="2">
        <v>210</v>
      </c>
      <c r="K89" s="6">
        <v>0.41250000000000003</v>
      </c>
      <c r="L89" s="2" t="s">
        <v>172</v>
      </c>
      <c r="M89" s="2">
        <v>5.5</v>
      </c>
      <c r="N89" s="2">
        <v>2</v>
      </c>
      <c r="O89" s="2">
        <v>1</v>
      </c>
      <c r="P89" s="2" t="s">
        <v>388</v>
      </c>
      <c r="Q89" s="7" t="s">
        <v>82</v>
      </c>
      <c r="R89" s="7" t="s">
        <v>389</v>
      </c>
      <c r="S89" s="20">
        <v>1</v>
      </c>
      <c r="T89" s="2">
        <v>1</v>
      </c>
    </row>
    <row r="90" spans="1:25">
      <c r="A90" s="7">
        <f>MAX($A$1:$A89)+1</f>
        <v>89</v>
      </c>
      <c r="B90" s="2" t="s">
        <v>171</v>
      </c>
      <c r="C90" s="2" t="s">
        <v>504</v>
      </c>
      <c r="D90" s="2" t="s">
        <v>31</v>
      </c>
      <c r="E90" s="7" t="s">
        <v>290</v>
      </c>
      <c r="F90" s="4">
        <v>48.828948974609297</v>
      </c>
      <c r="G90" s="18">
        <v>-125.19757080078099</v>
      </c>
      <c r="H90" s="5" t="s">
        <v>10</v>
      </c>
      <c r="I90" s="2">
        <v>1</v>
      </c>
      <c r="J90" s="2">
        <v>210</v>
      </c>
      <c r="K90" s="6">
        <v>0.41250000000000003</v>
      </c>
      <c r="L90" s="2" t="s">
        <v>172</v>
      </c>
      <c r="M90" s="2">
        <v>5.5</v>
      </c>
      <c r="N90" s="2">
        <v>2</v>
      </c>
      <c r="O90" s="2">
        <v>1</v>
      </c>
      <c r="P90" s="2" t="s">
        <v>240</v>
      </c>
      <c r="Q90" s="7" t="s">
        <v>74</v>
      </c>
      <c r="R90" s="7" t="s">
        <v>459</v>
      </c>
      <c r="S90" s="20">
        <v>2</v>
      </c>
      <c r="T90" s="2">
        <v>2</v>
      </c>
    </row>
    <row r="91" spans="1:25">
      <c r="A91" s="7">
        <f>MAX($A$1:$A90)+1</f>
        <v>90</v>
      </c>
      <c r="B91" s="2" t="s">
        <v>171</v>
      </c>
      <c r="C91" s="2" t="s">
        <v>504</v>
      </c>
      <c r="D91" s="2" t="s">
        <v>31</v>
      </c>
      <c r="E91" s="7" t="s">
        <v>290</v>
      </c>
      <c r="F91" s="4">
        <v>48.828948974609297</v>
      </c>
      <c r="G91" s="18">
        <v>-125.19757080078099</v>
      </c>
      <c r="H91" s="5" t="s">
        <v>10</v>
      </c>
      <c r="I91" s="2">
        <v>1</v>
      </c>
      <c r="J91" s="2">
        <v>210</v>
      </c>
      <c r="K91" s="6">
        <v>0.41250000000000003</v>
      </c>
      <c r="L91" s="2" t="s">
        <v>172</v>
      </c>
      <c r="M91" s="2">
        <v>5.5</v>
      </c>
      <c r="N91" s="2">
        <v>2</v>
      </c>
      <c r="O91" s="2">
        <v>1</v>
      </c>
      <c r="P91" s="2" t="s">
        <v>383</v>
      </c>
      <c r="Q91" s="7" t="s">
        <v>72</v>
      </c>
      <c r="R91" s="7" t="s">
        <v>384</v>
      </c>
      <c r="S91" s="20">
        <v>1</v>
      </c>
      <c r="T91" s="2">
        <v>1</v>
      </c>
    </row>
    <row r="92" spans="1:25">
      <c r="A92" s="7">
        <f>MAX($A$1:$A91)+1</f>
        <v>91</v>
      </c>
      <c r="B92" s="2" t="s">
        <v>171</v>
      </c>
      <c r="C92" s="2" t="s">
        <v>504</v>
      </c>
      <c r="D92" s="2" t="s">
        <v>31</v>
      </c>
      <c r="E92" s="7" t="s">
        <v>290</v>
      </c>
      <c r="F92" s="4">
        <v>48.828948974609297</v>
      </c>
      <c r="G92" s="18">
        <v>-125.19757080078099</v>
      </c>
      <c r="H92" s="5" t="s">
        <v>10</v>
      </c>
      <c r="I92" s="2">
        <v>1</v>
      </c>
      <c r="J92" s="2">
        <v>210</v>
      </c>
      <c r="K92" s="6">
        <v>0.41250000000000003</v>
      </c>
      <c r="L92" s="2" t="s">
        <v>172</v>
      </c>
      <c r="M92" s="2">
        <v>5.5</v>
      </c>
      <c r="N92" s="2">
        <v>2</v>
      </c>
      <c r="O92" s="2">
        <v>1</v>
      </c>
      <c r="P92" s="2" t="s">
        <v>246</v>
      </c>
      <c r="Q92" s="7" t="s">
        <v>66</v>
      </c>
      <c r="R92" s="7" t="s">
        <v>318</v>
      </c>
      <c r="S92" s="20">
        <v>11</v>
      </c>
      <c r="T92" s="2">
        <v>0</v>
      </c>
      <c r="V92" s="2">
        <v>2</v>
      </c>
      <c r="W92" s="2">
        <v>6</v>
      </c>
      <c r="X92" s="2">
        <v>1</v>
      </c>
      <c r="Y92" s="2">
        <v>2</v>
      </c>
    </row>
    <row r="93" spans="1:25">
      <c r="A93" s="7">
        <f>MAX($A$1:$A92)+1</f>
        <v>92</v>
      </c>
      <c r="B93" s="2" t="s">
        <v>171</v>
      </c>
      <c r="C93" s="2" t="s">
        <v>504</v>
      </c>
      <c r="D93" s="2" t="s">
        <v>31</v>
      </c>
      <c r="E93" s="7" t="s">
        <v>290</v>
      </c>
      <c r="F93" s="4">
        <v>48.828948974609297</v>
      </c>
      <c r="G93" s="18">
        <v>-125.19757080078099</v>
      </c>
      <c r="H93" s="5" t="s">
        <v>10</v>
      </c>
      <c r="I93" s="2">
        <v>1</v>
      </c>
      <c r="J93" s="2">
        <v>210</v>
      </c>
      <c r="K93" s="6">
        <v>0.41250000000000003</v>
      </c>
      <c r="L93" s="2" t="s">
        <v>172</v>
      </c>
      <c r="M93" s="2">
        <v>5.5</v>
      </c>
      <c r="N93" s="2">
        <v>2</v>
      </c>
      <c r="O93" s="2">
        <v>1</v>
      </c>
      <c r="P93" s="2" t="s">
        <v>255</v>
      </c>
      <c r="Q93" s="7" t="s">
        <v>79</v>
      </c>
      <c r="R93" s="7" t="s">
        <v>354</v>
      </c>
      <c r="S93" s="20">
        <v>1</v>
      </c>
      <c r="T93" s="2">
        <v>1</v>
      </c>
    </row>
    <row r="94" spans="1:25">
      <c r="A94" s="7">
        <f>MAX($A$1:$A93)+1</f>
        <v>93</v>
      </c>
      <c r="B94" s="2" t="s">
        <v>171</v>
      </c>
      <c r="C94" s="2" t="s">
        <v>504</v>
      </c>
      <c r="D94" s="2" t="s">
        <v>31</v>
      </c>
      <c r="E94" s="7" t="s">
        <v>290</v>
      </c>
      <c r="F94" s="4">
        <v>48.828948974609297</v>
      </c>
      <c r="G94" s="18">
        <v>-125.19757080078099</v>
      </c>
      <c r="H94" s="5" t="s">
        <v>10</v>
      </c>
      <c r="I94" s="2">
        <v>1</v>
      </c>
      <c r="J94" s="2">
        <v>210</v>
      </c>
      <c r="K94" s="6">
        <v>0.41250000000000003</v>
      </c>
      <c r="L94" s="2" t="s">
        <v>172</v>
      </c>
      <c r="M94" s="2">
        <v>5.5</v>
      </c>
      <c r="N94" s="2">
        <v>0</v>
      </c>
      <c r="O94" s="2">
        <v>1</v>
      </c>
      <c r="P94" s="2" t="s">
        <v>508</v>
      </c>
      <c r="Q94" s="7" t="s">
        <v>509</v>
      </c>
      <c r="R94" s="7" t="s">
        <v>510</v>
      </c>
      <c r="S94" s="20">
        <v>4</v>
      </c>
      <c r="T94" s="2">
        <v>4</v>
      </c>
    </row>
    <row r="95" spans="1:25">
      <c r="A95" s="7">
        <f>MAX($A$1:$A94)+1</f>
        <v>94</v>
      </c>
      <c r="B95" s="2" t="s">
        <v>171</v>
      </c>
      <c r="C95" s="2" t="s">
        <v>504</v>
      </c>
      <c r="D95" s="2" t="s">
        <v>31</v>
      </c>
      <c r="E95" s="7" t="s">
        <v>290</v>
      </c>
      <c r="F95" s="4">
        <v>48.828948974609297</v>
      </c>
      <c r="G95" s="18">
        <v>-125.19757080078099</v>
      </c>
      <c r="H95" s="5" t="s">
        <v>10</v>
      </c>
      <c r="I95" s="2">
        <v>1</v>
      </c>
      <c r="J95" s="2">
        <v>210</v>
      </c>
      <c r="K95" s="6">
        <v>0.41250000000000003</v>
      </c>
      <c r="L95" s="2" t="s">
        <v>172</v>
      </c>
      <c r="M95" s="2">
        <v>5.5</v>
      </c>
      <c r="N95" s="2">
        <v>2</v>
      </c>
      <c r="O95" s="2">
        <v>1</v>
      </c>
      <c r="P95" s="2" t="s">
        <v>230</v>
      </c>
      <c r="Q95" s="7" t="s">
        <v>42</v>
      </c>
      <c r="R95" s="7" t="s">
        <v>321</v>
      </c>
      <c r="S95" s="20">
        <v>1</v>
      </c>
      <c r="T95" s="2">
        <v>0</v>
      </c>
      <c r="V95" s="2">
        <v>1</v>
      </c>
    </row>
    <row r="96" spans="1:25">
      <c r="A96" s="7">
        <f>MAX($A$1:$A95)+1</f>
        <v>95</v>
      </c>
      <c r="B96" s="2" t="s">
        <v>171</v>
      </c>
      <c r="C96" s="2" t="s">
        <v>504</v>
      </c>
      <c r="D96" s="2" t="s">
        <v>31</v>
      </c>
      <c r="E96" s="7" t="s">
        <v>290</v>
      </c>
      <c r="F96" s="4">
        <v>48.828948974609297</v>
      </c>
      <c r="G96" s="18">
        <v>-125.19757080078099</v>
      </c>
      <c r="H96" s="5" t="s">
        <v>10</v>
      </c>
      <c r="I96" s="2">
        <v>1</v>
      </c>
      <c r="J96" s="2">
        <v>210</v>
      </c>
      <c r="K96" s="6">
        <v>0.41250000000000003</v>
      </c>
      <c r="L96" s="2" t="s">
        <v>172</v>
      </c>
      <c r="M96" s="2">
        <v>5.5</v>
      </c>
      <c r="N96" s="2">
        <v>2</v>
      </c>
      <c r="O96" s="2">
        <v>1</v>
      </c>
      <c r="P96" s="2" t="s">
        <v>244</v>
      </c>
      <c r="Q96" s="7" t="s">
        <v>65</v>
      </c>
      <c r="R96" s="7" t="s">
        <v>307</v>
      </c>
      <c r="S96" s="20">
        <v>1</v>
      </c>
      <c r="T96" s="2">
        <v>1</v>
      </c>
    </row>
    <row r="97" spans="1:28">
      <c r="A97" s="7">
        <f>MAX($A$1:$A96)+1</f>
        <v>96</v>
      </c>
      <c r="B97" s="2" t="s">
        <v>171</v>
      </c>
      <c r="C97" s="2" t="s">
        <v>504</v>
      </c>
      <c r="D97" s="2" t="s">
        <v>31</v>
      </c>
      <c r="E97" s="7" t="s">
        <v>290</v>
      </c>
      <c r="F97" s="4">
        <v>48.828948974609297</v>
      </c>
      <c r="G97" s="18">
        <v>-125.19757080078099</v>
      </c>
      <c r="H97" s="5" t="s">
        <v>10</v>
      </c>
      <c r="I97" s="2">
        <v>1</v>
      </c>
      <c r="J97" s="2">
        <v>210</v>
      </c>
      <c r="K97" s="6">
        <v>0.41250000000000003</v>
      </c>
      <c r="L97" s="2" t="s">
        <v>172</v>
      </c>
      <c r="M97" s="2">
        <v>5.5</v>
      </c>
      <c r="N97" s="2">
        <v>2</v>
      </c>
      <c r="O97" s="2">
        <v>1</v>
      </c>
      <c r="P97" s="2" t="s">
        <v>314</v>
      </c>
      <c r="Q97" s="7" t="s">
        <v>71</v>
      </c>
      <c r="R97" s="7" t="s">
        <v>315</v>
      </c>
      <c r="S97" s="20">
        <v>2</v>
      </c>
      <c r="T97" s="2">
        <v>2</v>
      </c>
    </row>
    <row r="98" spans="1:28">
      <c r="A98" s="7">
        <f>MAX($A$1:$A97)+1</f>
        <v>97</v>
      </c>
      <c r="B98" s="2" t="s">
        <v>171</v>
      </c>
      <c r="C98" s="2" t="s">
        <v>504</v>
      </c>
      <c r="D98" s="2" t="s">
        <v>31</v>
      </c>
      <c r="E98" s="7" t="s">
        <v>290</v>
      </c>
      <c r="F98" s="4">
        <v>48.828948974609297</v>
      </c>
      <c r="G98" s="18">
        <v>-125.19757080078099</v>
      </c>
      <c r="H98" s="5" t="s">
        <v>10</v>
      </c>
      <c r="I98" s="2">
        <v>1</v>
      </c>
      <c r="J98" s="2">
        <v>210</v>
      </c>
      <c r="K98" s="6">
        <v>0.41250000000000003</v>
      </c>
      <c r="L98" s="2" t="s">
        <v>172</v>
      </c>
      <c r="M98" s="2">
        <v>5.5</v>
      </c>
      <c r="N98" s="2">
        <v>2</v>
      </c>
      <c r="O98" s="2">
        <v>1</v>
      </c>
      <c r="P98" s="2" t="s">
        <v>342</v>
      </c>
      <c r="Q98" s="7" t="s">
        <v>126</v>
      </c>
      <c r="R98" s="7" t="s">
        <v>329</v>
      </c>
      <c r="S98" s="20">
        <v>0</v>
      </c>
      <c r="T98" s="2">
        <v>0</v>
      </c>
    </row>
    <row r="99" spans="1:28">
      <c r="A99" s="7">
        <f>MAX($A$1:$A98)+1</f>
        <v>98</v>
      </c>
      <c r="B99" s="2" t="s">
        <v>171</v>
      </c>
      <c r="C99" s="2" t="s">
        <v>504</v>
      </c>
      <c r="D99" s="2" t="s">
        <v>31</v>
      </c>
      <c r="E99" s="7" t="s">
        <v>290</v>
      </c>
      <c r="F99" s="4">
        <v>48.828948974609297</v>
      </c>
      <c r="G99" s="18">
        <v>-125.19757080078099</v>
      </c>
      <c r="H99" s="5" t="s">
        <v>10</v>
      </c>
      <c r="I99" s="2">
        <v>1</v>
      </c>
      <c r="J99" s="2">
        <v>210</v>
      </c>
      <c r="K99" s="6">
        <v>0.41250000000000003</v>
      </c>
      <c r="L99" s="2" t="s">
        <v>172</v>
      </c>
      <c r="M99" s="2">
        <v>5.5</v>
      </c>
      <c r="N99" s="2">
        <v>2</v>
      </c>
      <c r="O99" s="2">
        <v>1</v>
      </c>
      <c r="P99" s="2" t="s">
        <v>333</v>
      </c>
      <c r="Q99" s="7" t="s">
        <v>102</v>
      </c>
      <c r="R99" s="7" t="s">
        <v>334</v>
      </c>
      <c r="S99" s="20">
        <v>1</v>
      </c>
      <c r="T99" s="2">
        <v>1</v>
      </c>
    </row>
    <row r="100" spans="1:28">
      <c r="A100" s="7">
        <f>MAX($A$1:$A99)+1</f>
        <v>99</v>
      </c>
      <c r="B100" s="2" t="s">
        <v>171</v>
      </c>
      <c r="C100" s="2" t="s">
        <v>504</v>
      </c>
      <c r="D100" s="2" t="s">
        <v>31</v>
      </c>
      <c r="E100" s="7" t="s">
        <v>290</v>
      </c>
      <c r="F100" s="4">
        <v>48.828948974609297</v>
      </c>
      <c r="G100" s="18">
        <v>-125.19757080078099</v>
      </c>
      <c r="H100" s="5" t="s">
        <v>10</v>
      </c>
      <c r="I100" s="2">
        <v>1</v>
      </c>
      <c r="J100" s="2">
        <v>210</v>
      </c>
      <c r="K100" s="6">
        <v>0.41250000000000003</v>
      </c>
      <c r="L100" s="2" t="s">
        <v>172</v>
      </c>
      <c r="M100" s="2">
        <v>5.5</v>
      </c>
      <c r="N100" s="2">
        <v>2</v>
      </c>
      <c r="O100" s="2">
        <v>1</v>
      </c>
      <c r="P100" s="2" t="s">
        <v>338</v>
      </c>
      <c r="Q100" s="7" t="s">
        <v>101</v>
      </c>
      <c r="R100" s="7" t="s">
        <v>339</v>
      </c>
      <c r="S100" s="20">
        <v>1</v>
      </c>
      <c r="T100" s="2">
        <v>0</v>
      </c>
      <c r="V100" s="2">
        <v>1</v>
      </c>
    </row>
    <row r="101" spans="1:28">
      <c r="A101" s="7">
        <f>MAX($A$1:$A100)+1</f>
        <v>100</v>
      </c>
      <c r="B101" s="2" t="str">
        <f t="shared" ref="B101:B127" si="1">IF(ISERROR(B100),IF(ISERROR(B99),IF(ISERROR(B98),"BLANK",B98),B99),B100)</f>
        <v>Em Lim</v>
      </c>
      <c r="C101" s="2" t="str">
        <f t="shared" ref="C101:C127" si="2">IF(ISERROR(C100),IF(ISERROR(C99),IF(ISERROR(C98),"BLANK",C98),C99),C100)</f>
        <v>Isabelle Côté</v>
      </c>
      <c r="D101" s="27" t="s">
        <v>22</v>
      </c>
      <c r="E101" s="7" t="str">
        <f>IF(ISERROR(VLOOKUP($D101,SITES!$A:$E,2,FALSE)),"",VLOOKUP($D101,SITES!$A:$E,2,FALSE))</f>
        <v>Ross Islets Slug Island</v>
      </c>
      <c r="F101" s="4">
        <f>IF(ISERROR(VLOOKUP($D101,SITES!$A:$E,3,FALSE)),"",VLOOKUP($D101,SITES!$A:$E,3,FALSE))</f>
        <v>48.870517730712798</v>
      </c>
      <c r="G101" s="18">
        <f>IF(ISERROR(VLOOKUP($D101,SITES!$A:$E,4,FALSE)),"",VLOOKUP($D101,SITES!$A:$E,4,FALSE))</f>
        <v>-125.160346984863</v>
      </c>
      <c r="H101" s="28" t="s">
        <v>6</v>
      </c>
      <c r="I101" s="2">
        <v>1.5</v>
      </c>
      <c r="J101" s="2">
        <v>270</v>
      </c>
      <c r="K101" s="6">
        <v>0.43263888888888885</v>
      </c>
      <c r="L101" s="2" t="str">
        <f t="shared" ref="L101:L127" si="3">IF(ISERROR(L100),IF(ISERROR(L99),IF(ISERROR(L98),"BLANK",L98),L99),L100)</f>
        <v>EGL</v>
      </c>
      <c r="M101" s="2">
        <v>4</v>
      </c>
      <c r="N101" s="2">
        <v>1</v>
      </c>
      <c r="O101" s="2">
        <v>1</v>
      </c>
      <c r="P101" s="27" t="s">
        <v>173</v>
      </c>
      <c r="Q101" s="7" t="str">
        <f>IF($N101=1,IF(ISERROR(VLOOKUP($P101,'M1'!$A:$C,Q$2,FALSE)),"NOT PRESENT",VLOOKUP($P101,'M1'!$A:$C,Q$2,FALSE)),IF($N101=2,IF(ISERROR(VLOOKUP(DATA!$P60,'M2'!$A:$C,Q$2,FALSE)),"NOT PRESENT",VLOOKUP(DATA!$P60,'M2'!$A:$C,Q$2,FALSE)),IF($N101=0,IF(ISERROR(VLOOKUP($P101,'M1'!$A:$C,Q$2,FALSE)),IF(ISERROR(VLOOKUP(DATA!$P60,'M2'!$A:$C,Q$2,FALSE)),"NOT PRESENT",VLOOKUP(DATA!$P60,'M2'!$A:$C,Q$2,FALSE)),VLOOKUP($P101,'M1'!$A:$C,Q$2,FALSE)),"SPECIFY METHOD")))</f>
        <v>NOT PRESENT</v>
      </c>
      <c r="R101" s="7" t="str">
        <f>IF($N101=1,IF(ISERROR(VLOOKUP($P101,'M1'!$A:$C,R$2,FALSE)),"NOT PRESENT",VLOOKUP($P101,'M1'!$A:$C,R$2,FALSE)),IF($N101=2,IF(ISERROR(VLOOKUP(DATA!$P60,'M2'!$A:$C,R$2,FALSE)),"NOT PRESENT",VLOOKUP(DATA!$P60,'M2'!$A:$C,R$2,FALSE)),IF($N101=0,IF(ISERROR(VLOOKUP($P101,'M1'!$A:$C,R$2,FALSE)),IF(ISERROR(VLOOKUP(DATA!$P60,'M2'!$A:$C,R$2,FALSE)),"NOT PRESENT",VLOOKUP(DATA!$P60,'M2'!$A:$C,R$2,FALSE)),VLOOKUP($P101,'M1'!$A:$C,R$2,FALSE)),"SPECIFY METHOD")))</f>
        <v>NOT PRESENT</v>
      </c>
      <c r="S101" s="20">
        <f t="shared" ref="S101:S127" si="4">SUM(T101:AV101)</f>
        <v>23</v>
      </c>
      <c r="T101" s="2">
        <v>0</v>
      </c>
      <c r="U101" s="2">
        <v>1</v>
      </c>
      <c r="V101" s="2">
        <v>9</v>
      </c>
      <c r="W101" s="2">
        <v>9</v>
      </c>
      <c r="X101" s="2">
        <v>4</v>
      </c>
    </row>
    <row r="102" spans="1:28">
      <c r="A102" s="7">
        <f>MAX($A$1:$A101)+1</f>
        <v>101</v>
      </c>
      <c r="B102" s="2" t="str">
        <f t="shared" si="1"/>
        <v>Em Lim</v>
      </c>
      <c r="C102" s="2" t="str">
        <f t="shared" si="2"/>
        <v>Isabelle Côté</v>
      </c>
      <c r="D102" s="2" t="str">
        <f t="shared" ref="D102:D127" si="5">IF(ISERROR(D101),IF(ISERROR(D100),IF(ISERROR(D99),"BLANK",D99),D100),D101)</f>
        <v>BMSC10</v>
      </c>
      <c r="E102" s="7" t="str">
        <f>IF(ISERROR(VLOOKUP($D102,SITES!$A:$E,2,FALSE)),"",VLOOKUP($D102,SITES!$A:$E,2,FALSE))</f>
        <v>Ross Islets Slug Island</v>
      </c>
      <c r="F102" s="4">
        <f>IF(ISERROR(VLOOKUP($D102,SITES!$A:$E,3,FALSE)),"",VLOOKUP($D102,SITES!$A:$E,3,FALSE))</f>
        <v>48.870517730712798</v>
      </c>
      <c r="G102" s="18">
        <f>IF(ISERROR(VLOOKUP($D102,SITES!$A:$E,4,FALSE)),"",VLOOKUP($D102,SITES!$A:$E,4,FALSE))</f>
        <v>-125.160346984863</v>
      </c>
      <c r="H102" s="5" t="str">
        <f t="shared" ref="H102:H127" si="6">IF(ISERROR(H101),IF(ISERROR(H100),IF(ISERROR(H99),"BLANK",H99),H100),H101)</f>
        <v>09/05/2023</v>
      </c>
      <c r="I102" s="2">
        <f t="shared" ref="I102:I127" si="7">IF(ISERROR(I101),IF(ISERROR(I100),IF(ISERROR(I99),"BLANK",I99),I100),I101)</f>
        <v>1.5</v>
      </c>
      <c r="J102" s="2">
        <f t="shared" ref="J102:J127" si="8">IF(ISERROR(J101),IF(ISERROR(J100),IF(ISERROR(J99),"BLANK",J99),J100),J101)</f>
        <v>270</v>
      </c>
      <c r="K102" s="6">
        <f t="shared" ref="K102:K127" si="9">IF(ISERROR(K101),IF(ISERROR(K100),IF(ISERROR(K99),"BLANK",K99),K100),K101)</f>
        <v>0.43263888888888885</v>
      </c>
      <c r="L102" s="2" t="str">
        <f t="shared" si="3"/>
        <v>EGL</v>
      </c>
      <c r="M102" s="2">
        <f t="shared" ref="M102:O104" si="10">IF(ISERROR(M101),IF(ISERROR(M100),IF(ISERROR(M99),"BLANK",M99),M100),M101)</f>
        <v>4</v>
      </c>
      <c r="N102" s="2">
        <f t="shared" si="10"/>
        <v>1</v>
      </c>
      <c r="O102" s="2">
        <f t="shared" si="10"/>
        <v>1</v>
      </c>
      <c r="P102" s="27" t="s">
        <v>177</v>
      </c>
      <c r="Q102" s="7" t="str">
        <f>IF($N102=1,IF(ISERROR(VLOOKUP($P102,'M1'!$A:$C,Q$2,FALSE)),"NOT PRESENT",VLOOKUP($P102,'M1'!$A:$C,Q$2,FALSE)),IF($N102=2,IF(ISERROR(VLOOKUP(DATA!$P61,'M2'!$A:$C,Q$2,FALSE)),"NOT PRESENT",VLOOKUP(DATA!$P61,'M2'!$A:$C,Q$2,FALSE)),IF($N102=0,IF(ISERROR(VLOOKUP($P102,'M1'!$A:$C,Q$2,FALSE)),IF(ISERROR(VLOOKUP(DATA!$P61,'M2'!$A:$C,Q$2,FALSE)),"NOT PRESENT",VLOOKUP(DATA!$P61,'M2'!$A:$C,Q$2,FALSE)),VLOOKUP($P102,'M1'!$A:$C,Q$2,FALSE)),"SPECIFY METHOD")))</f>
        <v>NOT PRESENT</v>
      </c>
      <c r="R102" s="7" t="str">
        <f>IF($N102=1,IF(ISERROR(VLOOKUP($P102,'M1'!$A:$C,R$2,FALSE)),"NOT PRESENT",VLOOKUP($P102,'M1'!$A:$C,R$2,FALSE)),IF($N102=2,IF(ISERROR(VLOOKUP(DATA!$P61,'M2'!$A:$C,R$2,FALSE)),"NOT PRESENT",VLOOKUP(DATA!$P61,'M2'!$A:$C,R$2,FALSE)),IF($N102=0,IF(ISERROR(VLOOKUP($P102,'M1'!$A:$C,R$2,FALSE)),IF(ISERROR(VLOOKUP(DATA!$P61,'M2'!$A:$C,R$2,FALSE)),"NOT PRESENT",VLOOKUP(DATA!$P61,'M2'!$A:$C,R$2,FALSE)),VLOOKUP($P102,'M1'!$A:$C,R$2,FALSE)),"SPECIFY METHOD")))</f>
        <v>NOT PRESENT</v>
      </c>
      <c r="S102" s="20">
        <f t="shared" si="4"/>
        <v>9</v>
      </c>
      <c r="T102" s="2">
        <v>0</v>
      </c>
      <c r="U102" s="2">
        <v>9</v>
      </c>
    </row>
    <row r="103" spans="1:28">
      <c r="A103" s="7">
        <f>MAX($A$1:$A102)+1</f>
        <v>102</v>
      </c>
      <c r="B103" s="2" t="str">
        <f t="shared" si="1"/>
        <v>Em Lim</v>
      </c>
      <c r="C103" s="2" t="str">
        <f t="shared" si="2"/>
        <v>Isabelle Côté</v>
      </c>
      <c r="D103" s="2" t="str">
        <f t="shared" si="5"/>
        <v>BMSC10</v>
      </c>
      <c r="E103" s="7" t="str">
        <f>IF(ISERROR(VLOOKUP($D103,SITES!$A:$E,2,FALSE)),"",VLOOKUP($D103,SITES!$A:$E,2,FALSE))</f>
        <v>Ross Islets Slug Island</v>
      </c>
      <c r="F103" s="4">
        <f>IF(ISERROR(VLOOKUP($D103,SITES!$A:$E,3,FALSE)),"",VLOOKUP($D103,SITES!$A:$E,3,FALSE))</f>
        <v>48.870517730712798</v>
      </c>
      <c r="G103" s="18">
        <f>IF(ISERROR(VLOOKUP($D103,SITES!$A:$E,4,FALSE)),"",VLOOKUP($D103,SITES!$A:$E,4,FALSE))</f>
        <v>-125.160346984863</v>
      </c>
      <c r="H103" s="5" t="str">
        <f t="shared" si="6"/>
        <v>09/05/2023</v>
      </c>
      <c r="I103" s="2">
        <f t="shared" si="7"/>
        <v>1.5</v>
      </c>
      <c r="J103" s="2">
        <f t="shared" si="8"/>
        <v>270</v>
      </c>
      <c r="K103" s="6">
        <f t="shared" si="9"/>
        <v>0.43263888888888885</v>
      </c>
      <c r="L103" s="2" t="str">
        <f t="shared" si="3"/>
        <v>EGL</v>
      </c>
      <c r="M103" s="2">
        <f t="shared" si="10"/>
        <v>4</v>
      </c>
      <c r="N103" s="2">
        <f t="shared" si="10"/>
        <v>1</v>
      </c>
      <c r="O103" s="2">
        <f t="shared" si="10"/>
        <v>1</v>
      </c>
      <c r="P103" s="27" t="s">
        <v>209</v>
      </c>
      <c r="Q103" s="7" t="str">
        <f>IF($N103=1,IF(ISERROR(VLOOKUP($P103,'M1'!$A:$C,Q$2,FALSE)),"NOT PRESENT",VLOOKUP($P103,'M1'!$A:$C,Q$2,FALSE)),IF($N103=2,IF(ISERROR(VLOOKUP(DATA!$P62,'M2'!$A:$C,Q$2,FALSE)),"NOT PRESENT",VLOOKUP(DATA!$P62,'M2'!$A:$C,Q$2,FALSE)),IF($N103=0,IF(ISERROR(VLOOKUP($P103,'M1'!$A:$C,Q$2,FALSE)),IF(ISERROR(VLOOKUP(DATA!$P62,'M2'!$A:$C,Q$2,FALSE)),"NOT PRESENT",VLOOKUP(DATA!$P62,'M2'!$A:$C,Q$2,FALSE)),VLOOKUP($P103,'M1'!$A:$C,Q$2,FALSE)),"SPECIFY METHOD")))</f>
        <v>NOT PRESENT</v>
      </c>
      <c r="R103" s="7" t="str">
        <f>IF($N103=1,IF(ISERROR(VLOOKUP($P103,'M1'!$A:$C,R$2,FALSE)),"NOT PRESENT",VLOOKUP($P103,'M1'!$A:$C,R$2,FALSE)),IF($N103=2,IF(ISERROR(VLOOKUP(DATA!$P62,'M2'!$A:$C,R$2,FALSE)),"NOT PRESENT",VLOOKUP(DATA!$P62,'M2'!$A:$C,R$2,FALSE)),IF($N103=0,IF(ISERROR(VLOOKUP($P103,'M1'!$A:$C,R$2,FALSE)),IF(ISERROR(VLOOKUP(DATA!$P62,'M2'!$A:$C,R$2,FALSE)),"NOT PRESENT",VLOOKUP(DATA!$P62,'M2'!$A:$C,R$2,FALSE)),VLOOKUP($P103,'M1'!$A:$C,R$2,FALSE)),"SPECIFY METHOD")))</f>
        <v>NOT PRESENT</v>
      </c>
      <c r="S103" s="20">
        <f t="shared" si="4"/>
        <v>3</v>
      </c>
      <c r="T103" s="2">
        <v>0</v>
      </c>
      <c r="U103" s="2">
        <v>1</v>
      </c>
      <c r="V103" s="2">
        <v>2</v>
      </c>
    </row>
    <row r="104" spans="1:28">
      <c r="A104" s="7">
        <f>MAX($A$1:$A103)+1</f>
        <v>103</v>
      </c>
      <c r="B104" s="2" t="str">
        <f t="shared" si="1"/>
        <v>Em Lim</v>
      </c>
      <c r="C104" s="2" t="str">
        <f t="shared" si="2"/>
        <v>Isabelle Côté</v>
      </c>
      <c r="D104" s="2" t="str">
        <f t="shared" si="5"/>
        <v>BMSC10</v>
      </c>
      <c r="E104" s="7" t="str">
        <f>IF(ISERROR(VLOOKUP($D104,SITES!$A:$E,2,FALSE)),"",VLOOKUP($D104,SITES!$A:$E,2,FALSE))</f>
        <v>Ross Islets Slug Island</v>
      </c>
      <c r="F104" s="4">
        <f>IF(ISERROR(VLOOKUP($D104,SITES!$A:$E,3,FALSE)),"",VLOOKUP($D104,SITES!$A:$E,3,FALSE))</f>
        <v>48.870517730712798</v>
      </c>
      <c r="G104" s="18">
        <f>IF(ISERROR(VLOOKUP($D104,SITES!$A:$E,4,FALSE)),"",VLOOKUP($D104,SITES!$A:$E,4,FALSE))</f>
        <v>-125.160346984863</v>
      </c>
      <c r="H104" s="5" t="str">
        <f t="shared" si="6"/>
        <v>09/05/2023</v>
      </c>
      <c r="I104" s="2">
        <f t="shared" si="7"/>
        <v>1.5</v>
      </c>
      <c r="J104" s="2">
        <f t="shared" si="8"/>
        <v>270</v>
      </c>
      <c r="K104" s="6">
        <f t="shared" si="9"/>
        <v>0.43263888888888885</v>
      </c>
      <c r="L104" s="2" t="str">
        <f t="shared" si="3"/>
        <v>EGL</v>
      </c>
      <c r="M104" s="2">
        <f t="shared" si="10"/>
        <v>4</v>
      </c>
      <c r="N104" s="2">
        <f t="shared" si="10"/>
        <v>1</v>
      </c>
      <c r="O104" s="2">
        <f t="shared" si="10"/>
        <v>1</v>
      </c>
      <c r="P104" s="27" t="s">
        <v>174</v>
      </c>
      <c r="Q104" s="7" t="str">
        <f>IF($N104=1,IF(ISERROR(VLOOKUP($P104,'M1'!$A:$C,Q$2,FALSE)),"NOT PRESENT",VLOOKUP($P104,'M1'!$A:$C,Q$2,FALSE)),IF($N104=2,IF(ISERROR(VLOOKUP(DATA!$P63,'M2'!$A:$C,Q$2,FALSE)),"NOT PRESENT",VLOOKUP(DATA!$P63,'M2'!$A:$C,Q$2,FALSE)),IF($N104=0,IF(ISERROR(VLOOKUP($P104,'M1'!$A:$C,Q$2,FALSE)),IF(ISERROR(VLOOKUP(DATA!$P63,'M2'!$A:$C,Q$2,FALSE)),"NOT PRESENT",VLOOKUP(DATA!$P63,'M2'!$A:$C,Q$2,FALSE)),VLOOKUP($P104,'M1'!$A:$C,Q$2,FALSE)),"SPECIFY METHOD")))</f>
        <v>NOT PRESENT</v>
      </c>
      <c r="R104" s="7" t="str">
        <f>IF($N104=1,IF(ISERROR(VLOOKUP($P104,'M1'!$A:$C,R$2,FALSE)),"NOT PRESENT",VLOOKUP($P104,'M1'!$A:$C,R$2,FALSE)),IF($N104=2,IF(ISERROR(VLOOKUP(DATA!$P63,'M2'!$A:$C,R$2,FALSE)),"NOT PRESENT",VLOOKUP(DATA!$P63,'M2'!$A:$C,R$2,FALSE)),IF($N104=0,IF(ISERROR(VLOOKUP($P104,'M1'!$A:$C,R$2,FALSE)),IF(ISERROR(VLOOKUP(DATA!$P63,'M2'!$A:$C,R$2,FALSE)),"NOT PRESENT",VLOOKUP(DATA!$P63,'M2'!$A:$C,R$2,FALSE)),VLOOKUP($P104,'M1'!$A:$C,R$2,FALSE)),"SPECIFY METHOD")))</f>
        <v>NOT PRESENT</v>
      </c>
      <c r="S104" s="20">
        <f t="shared" si="4"/>
        <v>3</v>
      </c>
      <c r="T104" s="2">
        <v>0</v>
      </c>
      <c r="Z104" s="2">
        <v>1</v>
      </c>
      <c r="AA104" s="2">
        <v>1</v>
      </c>
      <c r="AB104" s="2">
        <v>1</v>
      </c>
    </row>
    <row r="105" spans="1:28">
      <c r="A105" s="7">
        <f>MAX($A$1:$A104)+1</f>
        <v>104</v>
      </c>
      <c r="B105" s="2" t="str">
        <f t="shared" si="1"/>
        <v>Em Lim</v>
      </c>
      <c r="C105" s="2" t="str">
        <f t="shared" si="2"/>
        <v>Isabelle Côté</v>
      </c>
      <c r="D105" s="2" t="str">
        <f t="shared" si="5"/>
        <v>BMSC10</v>
      </c>
      <c r="E105" s="7" t="str">
        <f>IF(ISERROR(VLOOKUP($D105,SITES!$A:$E,2,FALSE)),"",VLOOKUP($D105,SITES!$A:$E,2,FALSE))</f>
        <v>Ross Islets Slug Island</v>
      </c>
      <c r="F105" s="4">
        <f>IF(ISERROR(VLOOKUP($D105,SITES!$A:$E,3,FALSE)),"",VLOOKUP($D105,SITES!$A:$E,3,FALSE))</f>
        <v>48.870517730712798</v>
      </c>
      <c r="G105" s="18">
        <f>IF(ISERROR(VLOOKUP($D105,SITES!$A:$E,4,FALSE)),"",VLOOKUP($D105,SITES!$A:$E,4,FALSE))</f>
        <v>-125.160346984863</v>
      </c>
      <c r="H105" s="5" t="str">
        <f t="shared" si="6"/>
        <v>09/05/2023</v>
      </c>
      <c r="I105" s="2">
        <f t="shared" si="7"/>
        <v>1.5</v>
      </c>
      <c r="J105" s="2">
        <f t="shared" si="8"/>
        <v>270</v>
      </c>
      <c r="K105" s="6">
        <f t="shared" si="9"/>
        <v>0.43263888888888885</v>
      </c>
      <c r="L105" s="2" t="str">
        <f t="shared" si="3"/>
        <v>EGL</v>
      </c>
      <c r="M105" s="2">
        <f t="shared" ref="M105:M127" si="11">IF(ISERROR(M104),IF(ISERROR(M103),IF(ISERROR(M102),"BLANK",M102),M103),M104)</f>
        <v>4</v>
      </c>
      <c r="N105" s="2">
        <v>2</v>
      </c>
      <c r="O105" s="2">
        <f t="shared" ref="O105:O125" si="12">IF(ISERROR(O104),IF(ISERROR(O103),IF(ISERROR(O102),"BLANK",O102),O103),O104)</f>
        <v>1</v>
      </c>
      <c r="P105" s="27" t="s">
        <v>178</v>
      </c>
      <c r="Q105" s="7" t="str">
        <f>IF($N105=1,IF(ISERROR(VLOOKUP($P105,'M1'!$A:$C,Q$2,FALSE)),"NOT PRESENT",VLOOKUP($P105,'M1'!$A:$C,Q$2,FALSE)),IF($N105=2,IF(ISERROR(VLOOKUP(DATA!$P64,'M2'!$A:$C,Q$2,FALSE)),"NOT PRESENT",VLOOKUP(DATA!$P64,'M2'!$A:$C,Q$2,FALSE)),IF($N105=0,IF(ISERROR(VLOOKUP($P105,'M1'!$A:$C,Q$2,FALSE)),IF(ISERROR(VLOOKUP(DATA!$P64,'M2'!$A:$C,Q$2,FALSE)),"NOT PRESENT",VLOOKUP(DATA!$P64,'M2'!$A:$C,Q$2,FALSE)),VLOOKUP($P105,'M1'!$A:$C,Q$2,FALSE)),"SPECIFY METHOD")))</f>
        <v>NOT PRESENT</v>
      </c>
      <c r="R105" s="7" t="str">
        <f>IF($N105=1,IF(ISERROR(VLOOKUP($P105,'M1'!$A:$C,R$2,FALSE)),"NOT PRESENT",VLOOKUP($P105,'M1'!$A:$C,R$2,FALSE)),IF($N105=2,IF(ISERROR(VLOOKUP(DATA!$P64,'M2'!$A:$C,R$2,FALSE)),"NOT PRESENT",VLOOKUP(DATA!$P64,'M2'!$A:$C,R$2,FALSE)),IF($N105=0,IF(ISERROR(VLOOKUP($P105,'M1'!$A:$C,R$2,FALSE)),IF(ISERROR(VLOOKUP(DATA!$P64,'M2'!$A:$C,R$2,FALSE)),"NOT PRESENT",VLOOKUP(DATA!$P64,'M2'!$A:$C,R$2,FALSE)),VLOOKUP($P105,'M1'!$A:$C,R$2,FALSE)),"SPECIFY METHOD")))</f>
        <v>NOT PRESENT</v>
      </c>
      <c r="S105" s="20">
        <f t="shared" si="4"/>
        <v>91</v>
      </c>
      <c r="T105" s="2">
        <v>91</v>
      </c>
    </row>
    <row r="106" spans="1:28">
      <c r="A106" s="7">
        <f>MAX($A$1:$A105)+1</f>
        <v>105</v>
      </c>
      <c r="B106" s="2" t="str">
        <f t="shared" si="1"/>
        <v>Em Lim</v>
      </c>
      <c r="C106" s="2" t="str">
        <f t="shared" si="2"/>
        <v>Isabelle Côté</v>
      </c>
      <c r="D106" s="2" t="str">
        <f t="shared" si="5"/>
        <v>BMSC10</v>
      </c>
      <c r="E106" s="7" t="str">
        <f>IF(ISERROR(VLOOKUP($D106,SITES!$A:$E,2,FALSE)),"",VLOOKUP($D106,SITES!$A:$E,2,FALSE))</f>
        <v>Ross Islets Slug Island</v>
      </c>
      <c r="F106" s="4">
        <f>IF(ISERROR(VLOOKUP($D106,SITES!$A:$E,3,FALSE)),"",VLOOKUP($D106,SITES!$A:$E,3,FALSE))</f>
        <v>48.870517730712798</v>
      </c>
      <c r="G106" s="18">
        <f>IF(ISERROR(VLOOKUP($D106,SITES!$A:$E,4,FALSE)),"",VLOOKUP($D106,SITES!$A:$E,4,FALSE))</f>
        <v>-125.160346984863</v>
      </c>
      <c r="H106" s="5" t="str">
        <f t="shared" si="6"/>
        <v>09/05/2023</v>
      </c>
      <c r="I106" s="2">
        <f t="shared" si="7"/>
        <v>1.5</v>
      </c>
      <c r="J106" s="2">
        <f t="shared" si="8"/>
        <v>270</v>
      </c>
      <c r="K106" s="6">
        <f t="shared" si="9"/>
        <v>0.43263888888888885</v>
      </c>
      <c r="L106" s="2" t="str">
        <f t="shared" si="3"/>
        <v>EGL</v>
      </c>
      <c r="M106" s="2">
        <f t="shared" si="11"/>
        <v>4</v>
      </c>
      <c r="N106" s="2">
        <f t="shared" ref="N106:N112" si="13">IF(ISERROR(N105),IF(ISERROR(N104),IF(ISERROR(N103),"BLANK",N103),N104),N105)</f>
        <v>2</v>
      </c>
      <c r="O106" s="2">
        <f t="shared" si="12"/>
        <v>1</v>
      </c>
      <c r="P106" s="27" t="s">
        <v>190</v>
      </c>
      <c r="Q106" s="7" t="str">
        <f>IF($N106=1,IF(ISERROR(VLOOKUP($P106,'M1'!$A:$C,Q$2,FALSE)),"NOT PRESENT",VLOOKUP($P106,'M1'!$A:$C,Q$2,FALSE)),IF($N106=2,IF(ISERROR(VLOOKUP(DATA!$P65,'M2'!$A:$C,Q$2,FALSE)),"NOT PRESENT",VLOOKUP(DATA!$P65,'M2'!$A:$C,Q$2,FALSE)),IF($N106=0,IF(ISERROR(VLOOKUP($P106,'M1'!$A:$C,Q$2,FALSE)),IF(ISERROR(VLOOKUP(DATA!$P65,'M2'!$A:$C,Q$2,FALSE)),"NOT PRESENT",VLOOKUP(DATA!$P65,'M2'!$A:$C,Q$2,FALSE)),VLOOKUP($P106,'M1'!$A:$C,Q$2,FALSE)),"SPECIFY METHOD")))</f>
        <v>NOT PRESENT</v>
      </c>
      <c r="R106" s="7" t="str">
        <f>IF($N106=1,IF(ISERROR(VLOOKUP($P106,'M1'!$A:$C,R$2,FALSE)),"NOT PRESENT",VLOOKUP($P106,'M1'!$A:$C,R$2,FALSE)),IF($N106=2,IF(ISERROR(VLOOKUP(DATA!$P65,'M2'!$A:$C,R$2,FALSE)),"NOT PRESENT",VLOOKUP(DATA!$P65,'M2'!$A:$C,R$2,FALSE)),IF($N106=0,IF(ISERROR(VLOOKUP($P106,'M1'!$A:$C,R$2,FALSE)),IF(ISERROR(VLOOKUP(DATA!$P65,'M2'!$A:$C,R$2,FALSE)),"NOT PRESENT",VLOOKUP(DATA!$P65,'M2'!$A:$C,R$2,FALSE)),VLOOKUP($P106,'M1'!$A:$C,R$2,FALSE)),"SPECIFY METHOD")))</f>
        <v>NOT PRESENT</v>
      </c>
      <c r="S106" s="20">
        <f t="shared" si="4"/>
        <v>8</v>
      </c>
      <c r="T106" s="2">
        <v>8</v>
      </c>
    </row>
    <row r="107" spans="1:28">
      <c r="A107" s="7">
        <f>MAX($A$1:$A106)+1</f>
        <v>106</v>
      </c>
      <c r="B107" s="2" t="str">
        <f t="shared" si="1"/>
        <v>Em Lim</v>
      </c>
      <c r="C107" s="2" t="str">
        <f t="shared" si="2"/>
        <v>Isabelle Côté</v>
      </c>
      <c r="D107" s="2" t="str">
        <f t="shared" si="5"/>
        <v>BMSC10</v>
      </c>
      <c r="E107" s="7" t="str">
        <f>IF(ISERROR(VLOOKUP($D107,SITES!$A:$E,2,FALSE)),"",VLOOKUP($D107,SITES!$A:$E,2,FALSE))</f>
        <v>Ross Islets Slug Island</v>
      </c>
      <c r="F107" s="4">
        <f>IF(ISERROR(VLOOKUP($D107,SITES!$A:$E,3,FALSE)),"",VLOOKUP($D107,SITES!$A:$E,3,FALSE))</f>
        <v>48.870517730712798</v>
      </c>
      <c r="G107" s="18">
        <f>IF(ISERROR(VLOOKUP($D107,SITES!$A:$E,4,FALSE)),"",VLOOKUP($D107,SITES!$A:$E,4,FALSE))</f>
        <v>-125.160346984863</v>
      </c>
      <c r="H107" s="5" t="str">
        <f t="shared" si="6"/>
        <v>09/05/2023</v>
      </c>
      <c r="I107" s="2">
        <f t="shared" si="7"/>
        <v>1.5</v>
      </c>
      <c r="J107" s="2">
        <f t="shared" si="8"/>
        <v>270</v>
      </c>
      <c r="K107" s="6">
        <f t="shared" si="9"/>
        <v>0.43263888888888885</v>
      </c>
      <c r="L107" s="2" t="str">
        <f t="shared" si="3"/>
        <v>EGL</v>
      </c>
      <c r="M107" s="2">
        <f t="shared" si="11"/>
        <v>4</v>
      </c>
      <c r="N107" s="2">
        <f t="shared" si="13"/>
        <v>2</v>
      </c>
      <c r="O107" s="2">
        <f t="shared" si="12"/>
        <v>1</v>
      </c>
      <c r="P107" s="27" t="s">
        <v>173</v>
      </c>
      <c r="Q107" s="7" t="str">
        <f>IF($N107=1,IF(ISERROR(VLOOKUP($P107,'M1'!$A:$C,Q$2,FALSE)),"NOT PRESENT",VLOOKUP($P107,'M1'!$A:$C,Q$2,FALSE)),IF($N107=2,IF(ISERROR(VLOOKUP(DATA!$P66,'M2'!$A:$C,Q$2,FALSE)),"NOT PRESENT",VLOOKUP(DATA!$P66,'M2'!$A:$C,Q$2,FALSE)),IF($N107=0,IF(ISERROR(VLOOKUP($P107,'M1'!$A:$C,Q$2,FALSE)),IF(ISERROR(VLOOKUP(DATA!$P66,'M2'!$A:$C,Q$2,FALSE)),"NOT PRESENT",VLOOKUP(DATA!$P66,'M2'!$A:$C,Q$2,FALSE)),VLOOKUP($P107,'M1'!$A:$C,Q$2,FALSE)),"SPECIFY METHOD")))</f>
        <v>NOT PRESENT</v>
      </c>
      <c r="R107" s="7" t="str">
        <f>IF($N107=1,IF(ISERROR(VLOOKUP($P107,'M1'!$A:$C,R$2,FALSE)),"NOT PRESENT",VLOOKUP($P107,'M1'!$A:$C,R$2,FALSE)),IF($N107=2,IF(ISERROR(VLOOKUP(DATA!$P66,'M2'!$A:$C,R$2,FALSE)),"NOT PRESENT",VLOOKUP(DATA!$P66,'M2'!$A:$C,R$2,FALSE)),IF($N107=0,IF(ISERROR(VLOOKUP($P107,'M1'!$A:$C,R$2,FALSE)),IF(ISERROR(VLOOKUP(DATA!$P66,'M2'!$A:$C,R$2,FALSE)),"NOT PRESENT",VLOOKUP(DATA!$P66,'M2'!$A:$C,R$2,FALSE)),VLOOKUP($P107,'M1'!$A:$C,R$2,FALSE)),"SPECIFY METHOD")))</f>
        <v>NOT PRESENT</v>
      </c>
      <c r="S107" s="20">
        <f t="shared" si="4"/>
        <v>68</v>
      </c>
      <c r="T107" s="2">
        <v>0</v>
      </c>
      <c r="U107" s="2">
        <v>1</v>
      </c>
      <c r="V107" s="2">
        <v>19</v>
      </c>
      <c r="W107" s="2">
        <v>22</v>
      </c>
      <c r="X107" s="2">
        <v>24</v>
      </c>
      <c r="Y107" s="2">
        <v>2</v>
      </c>
    </row>
    <row r="108" spans="1:28">
      <c r="A108" s="7">
        <f>MAX($A$1:$A107)+1</f>
        <v>107</v>
      </c>
      <c r="B108" s="2" t="str">
        <f t="shared" si="1"/>
        <v>Em Lim</v>
      </c>
      <c r="C108" s="2" t="str">
        <f t="shared" si="2"/>
        <v>Isabelle Côté</v>
      </c>
      <c r="D108" s="2" t="str">
        <f t="shared" si="5"/>
        <v>BMSC10</v>
      </c>
      <c r="E108" s="7" t="str">
        <f>IF(ISERROR(VLOOKUP($D108,SITES!$A:$E,2,FALSE)),"",VLOOKUP($D108,SITES!$A:$E,2,FALSE))</f>
        <v>Ross Islets Slug Island</v>
      </c>
      <c r="F108" s="4">
        <f>IF(ISERROR(VLOOKUP($D108,SITES!$A:$E,3,FALSE)),"",VLOOKUP($D108,SITES!$A:$E,3,FALSE))</f>
        <v>48.870517730712798</v>
      </c>
      <c r="G108" s="18">
        <f>IF(ISERROR(VLOOKUP($D108,SITES!$A:$E,4,FALSE)),"",VLOOKUP($D108,SITES!$A:$E,4,FALSE))</f>
        <v>-125.160346984863</v>
      </c>
      <c r="H108" s="5" t="str">
        <f t="shared" si="6"/>
        <v>09/05/2023</v>
      </c>
      <c r="I108" s="2">
        <f t="shared" si="7"/>
        <v>1.5</v>
      </c>
      <c r="J108" s="2">
        <f t="shared" si="8"/>
        <v>270</v>
      </c>
      <c r="K108" s="6">
        <f t="shared" si="9"/>
        <v>0.43263888888888885</v>
      </c>
      <c r="L108" s="2" t="str">
        <f t="shared" si="3"/>
        <v>EGL</v>
      </c>
      <c r="M108" s="2">
        <f t="shared" si="11"/>
        <v>4</v>
      </c>
      <c r="N108" s="2">
        <f t="shared" si="13"/>
        <v>2</v>
      </c>
      <c r="O108" s="2">
        <f t="shared" si="12"/>
        <v>1</v>
      </c>
      <c r="P108" s="27" t="s">
        <v>202</v>
      </c>
      <c r="Q108" s="7" t="str">
        <f>IF($N108=1,IF(ISERROR(VLOOKUP($P108,'M1'!$A:$C,Q$2,FALSE)),"NOT PRESENT",VLOOKUP($P108,'M1'!$A:$C,Q$2,FALSE)),IF($N108=2,IF(ISERROR(VLOOKUP(DATA!$P67,'M2'!$A:$C,Q$2,FALSE)),"NOT PRESENT",VLOOKUP(DATA!$P67,'M2'!$A:$C,Q$2,FALSE)),IF($N108=0,IF(ISERROR(VLOOKUP($P108,'M1'!$A:$C,Q$2,FALSE)),IF(ISERROR(VLOOKUP(DATA!$P67,'M2'!$A:$C,Q$2,FALSE)),"NOT PRESENT",VLOOKUP(DATA!$P67,'M2'!$A:$C,Q$2,FALSE)),VLOOKUP($P108,'M1'!$A:$C,Q$2,FALSE)),"SPECIFY METHOD")))</f>
        <v>NOT PRESENT</v>
      </c>
      <c r="R108" s="7" t="str">
        <f>IF($N108=1,IF(ISERROR(VLOOKUP($P108,'M1'!$A:$C,R$2,FALSE)),"NOT PRESENT",VLOOKUP($P108,'M1'!$A:$C,R$2,FALSE)),IF($N108=2,IF(ISERROR(VLOOKUP(DATA!$P67,'M2'!$A:$C,R$2,FALSE)),"NOT PRESENT",VLOOKUP(DATA!$P67,'M2'!$A:$C,R$2,FALSE)),IF($N108=0,IF(ISERROR(VLOOKUP($P108,'M1'!$A:$C,R$2,FALSE)),IF(ISERROR(VLOOKUP(DATA!$P67,'M2'!$A:$C,R$2,FALSE)),"NOT PRESENT",VLOOKUP(DATA!$P67,'M2'!$A:$C,R$2,FALSE)),VLOOKUP($P108,'M1'!$A:$C,R$2,FALSE)),"SPECIFY METHOD")))</f>
        <v>NOT PRESENT</v>
      </c>
      <c r="S108" s="20">
        <f t="shared" si="4"/>
        <v>6</v>
      </c>
      <c r="T108" s="2">
        <v>6</v>
      </c>
    </row>
    <row r="109" spans="1:28">
      <c r="A109" s="7">
        <f>MAX($A$1:$A108)+1</f>
        <v>108</v>
      </c>
      <c r="B109" s="2" t="str">
        <f t="shared" si="1"/>
        <v>Em Lim</v>
      </c>
      <c r="C109" s="2" t="str">
        <f t="shared" si="2"/>
        <v>Isabelle Côté</v>
      </c>
      <c r="D109" s="2" t="str">
        <f t="shared" si="5"/>
        <v>BMSC10</v>
      </c>
      <c r="E109" s="7" t="str">
        <f>IF(ISERROR(VLOOKUP($D109,SITES!$A:$E,2,FALSE)),"",VLOOKUP($D109,SITES!$A:$E,2,FALSE))</f>
        <v>Ross Islets Slug Island</v>
      </c>
      <c r="F109" s="4">
        <f>IF(ISERROR(VLOOKUP($D109,SITES!$A:$E,3,FALSE)),"",VLOOKUP($D109,SITES!$A:$E,3,FALSE))</f>
        <v>48.870517730712798</v>
      </c>
      <c r="G109" s="18">
        <f>IF(ISERROR(VLOOKUP($D109,SITES!$A:$E,4,FALSE)),"",VLOOKUP($D109,SITES!$A:$E,4,FALSE))</f>
        <v>-125.160346984863</v>
      </c>
      <c r="H109" s="5" t="str">
        <f t="shared" si="6"/>
        <v>09/05/2023</v>
      </c>
      <c r="I109" s="2">
        <f t="shared" si="7"/>
        <v>1.5</v>
      </c>
      <c r="J109" s="2">
        <f t="shared" si="8"/>
        <v>270</v>
      </c>
      <c r="K109" s="6">
        <f t="shared" si="9"/>
        <v>0.43263888888888885</v>
      </c>
      <c r="L109" s="2" t="str">
        <f t="shared" si="3"/>
        <v>EGL</v>
      </c>
      <c r="M109" s="2">
        <f t="shared" si="11"/>
        <v>4</v>
      </c>
      <c r="N109" s="2">
        <f t="shared" si="13"/>
        <v>2</v>
      </c>
      <c r="O109" s="2">
        <f t="shared" si="12"/>
        <v>1</v>
      </c>
      <c r="P109" s="27" t="s">
        <v>179</v>
      </c>
      <c r="Q109" s="7" t="str">
        <f>IF($N109=1,IF(ISERROR(VLOOKUP($P109,'M1'!$A:$C,Q$2,FALSE)),"NOT PRESENT",VLOOKUP($P109,'M1'!$A:$C,Q$2,FALSE)),IF($N109=2,IF(ISERROR(VLOOKUP(DATA!$P68,'M2'!$A:$C,Q$2,FALSE)),"NOT PRESENT",VLOOKUP(DATA!$P68,'M2'!$A:$C,Q$2,FALSE)),IF($N109=0,IF(ISERROR(VLOOKUP($P109,'M1'!$A:$C,Q$2,FALSE)),IF(ISERROR(VLOOKUP(DATA!$P68,'M2'!$A:$C,Q$2,FALSE)),"NOT PRESENT",VLOOKUP(DATA!$P68,'M2'!$A:$C,Q$2,FALSE)),VLOOKUP($P109,'M1'!$A:$C,Q$2,FALSE)),"SPECIFY METHOD")))</f>
        <v>NOT PRESENT</v>
      </c>
      <c r="R109" s="7" t="str">
        <f>IF($N109=1,IF(ISERROR(VLOOKUP($P109,'M1'!$A:$C,R$2,FALSE)),"NOT PRESENT",VLOOKUP($P109,'M1'!$A:$C,R$2,FALSE)),IF($N109=2,IF(ISERROR(VLOOKUP(DATA!$P68,'M2'!$A:$C,R$2,FALSE)),"NOT PRESENT",VLOOKUP(DATA!$P68,'M2'!$A:$C,R$2,FALSE)),IF($N109=0,IF(ISERROR(VLOOKUP($P109,'M1'!$A:$C,R$2,FALSE)),IF(ISERROR(VLOOKUP(DATA!$P68,'M2'!$A:$C,R$2,FALSE)),"NOT PRESENT",VLOOKUP(DATA!$P68,'M2'!$A:$C,R$2,FALSE)),VLOOKUP($P109,'M1'!$A:$C,R$2,FALSE)),"SPECIFY METHOD")))</f>
        <v>NOT PRESENT</v>
      </c>
      <c r="S109" s="20">
        <f t="shared" si="4"/>
        <v>6</v>
      </c>
      <c r="T109" s="2">
        <v>6</v>
      </c>
    </row>
    <row r="110" spans="1:28">
      <c r="A110" s="7">
        <f>MAX($A$1:$A109)+1</f>
        <v>109</v>
      </c>
      <c r="B110" s="2" t="str">
        <f t="shared" si="1"/>
        <v>Em Lim</v>
      </c>
      <c r="C110" s="2" t="str">
        <f t="shared" si="2"/>
        <v>Isabelle Côté</v>
      </c>
      <c r="D110" s="2" t="str">
        <f t="shared" si="5"/>
        <v>BMSC10</v>
      </c>
      <c r="E110" s="7" t="str">
        <f>IF(ISERROR(VLOOKUP($D110,SITES!$A:$E,2,FALSE)),"",VLOOKUP($D110,SITES!$A:$E,2,FALSE))</f>
        <v>Ross Islets Slug Island</v>
      </c>
      <c r="F110" s="4">
        <f>IF(ISERROR(VLOOKUP($D110,SITES!$A:$E,3,FALSE)),"",VLOOKUP($D110,SITES!$A:$E,3,FALSE))</f>
        <v>48.870517730712798</v>
      </c>
      <c r="G110" s="18">
        <f>IF(ISERROR(VLOOKUP($D110,SITES!$A:$E,4,FALSE)),"",VLOOKUP($D110,SITES!$A:$E,4,FALSE))</f>
        <v>-125.160346984863</v>
      </c>
      <c r="H110" s="5" t="str">
        <f t="shared" si="6"/>
        <v>09/05/2023</v>
      </c>
      <c r="I110" s="2">
        <f t="shared" si="7"/>
        <v>1.5</v>
      </c>
      <c r="J110" s="2">
        <f t="shared" si="8"/>
        <v>270</v>
      </c>
      <c r="K110" s="6">
        <f t="shared" si="9"/>
        <v>0.43263888888888885</v>
      </c>
      <c r="L110" s="2" t="str">
        <f t="shared" si="3"/>
        <v>EGL</v>
      </c>
      <c r="M110" s="2">
        <f t="shared" si="11"/>
        <v>4</v>
      </c>
      <c r="N110" s="2">
        <f t="shared" si="13"/>
        <v>2</v>
      </c>
      <c r="O110" s="2">
        <f t="shared" si="12"/>
        <v>1</v>
      </c>
      <c r="P110" s="27" t="s">
        <v>189</v>
      </c>
      <c r="Q110" s="7" t="str">
        <f>IF($N110=1,IF(ISERROR(VLOOKUP($P110,'M1'!$A:$C,Q$2,FALSE)),"NOT PRESENT",VLOOKUP($P110,'M1'!$A:$C,Q$2,FALSE)),IF($N110=2,IF(ISERROR(VLOOKUP(DATA!$P69,'M2'!$A:$C,Q$2,FALSE)),"NOT PRESENT",VLOOKUP(DATA!$P69,'M2'!$A:$C,Q$2,FALSE)),IF($N110=0,IF(ISERROR(VLOOKUP($P110,'M1'!$A:$C,Q$2,FALSE)),IF(ISERROR(VLOOKUP(DATA!$P69,'M2'!$A:$C,Q$2,FALSE)),"NOT PRESENT",VLOOKUP(DATA!$P69,'M2'!$A:$C,Q$2,FALSE)),VLOOKUP($P110,'M1'!$A:$C,Q$2,FALSE)),"SPECIFY METHOD")))</f>
        <v>NOT PRESENT</v>
      </c>
      <c r="R110" s="7" t="str">
        <f>IF($N110=1,IF(ISERROR(VLOOKUP($P110,'M1'!$A:$C,R$2,FALSE)),"NOT PRESENT",VLOOKUP($P110,'M1'!$A:$C,R$2,FALSE)),IF($N110=2,IF(ISERROR(VLOOKUP(DATA!$P69,'M2'!$A:$C,R$2,FALSE)),"NOT PRESENT",VLOOKUP(DATA!$P69,'M2'!$A:$C,R$2,FALSE)),IF($N110=0,IF(ISERROR(VLOOKUP($P110,'M1'!$A:$C,R$2,FALSE)),IF(ISERROR(VLOOKUP(DATA!$P69,'M2'!$A:$C,R$2,FALSE)),"NOT PRESENT",VLOOKUP(DATA!$P69,'M2'!$A:$C,R$2,FALSE)),VLOOKUP($P110,'M1'!$A:$C,R$2,FALSE)),"SPECIFY METHOD")))</f>
        <v>NOT PRESENT</v>
      </c>
      <c r="S110" s="20">
        <f t="shared" si="4"/>
        <v>1</v>
      </c>
      <c r="T110" s="2">
        <v>1</v>
      </c>
    </row>
    <row r="111" spans="1:28">
      <c r="A111" s="7">
        <f>MAX($A$1:$A110)+1</f>
        <v>110</v>
      </c>
      <c r="B111" s="2" t="str">
        <f t="shared" si="1"/>
        <v>Em Lim</v>
      </c>
      <c r="C111" s="2" t="str">
        <f t="shared" si="2"/>
        <v>Isabelle Côté</v>
      </c>
      <c r="D111" s="2" t="str">
        <f t="shared" si="5"/>
        <v>BMSC10</v>
      </c>
      <c r="E111" s="7" t="str">
        <f>IF(ISERROR(VLOOKUP($D111,SITES!$A:$E,2,FALSE)),"",VLOOKUP($D111,SITES!$A:$E,2,FALSE))</f>
        <v>Ross Islets Slug Island</v>
      </c>
      <c r="F111" s="4">
        <f>IF(ISERROR(VLOOKUP($D111,SITES!$A:$E,3,FALSE)),"",VLOOKUP($D111,SITES!$A:$E,3,FALSE))</f>
        <v>48.870517730712798</v>
      </c>
      <c r="G111" s="18">
        <f>IF(ISERROR(VLOOKUP($D111,SITES!$A:$E,4,FALSE)),"",VLOOKUP($D111,SITES!$A:$E,4,FALSE))</f>
        <v>-125.160346984863</v>
      </c>
      <c r="H111" s="5" t="str">
        <f t="shared" si="6"/>
        <v>09/05/2023</v>
      </c>
      <c r="I111" s="2">
        <f t="shared" si="7"/>
        <v>1.5</v>
      </c>
      <c r="J111" s="2">
        <f t="shared" si="8"/>
        <v>270</v>
      </c>
      <c r="K111" s="6">
        <f t="shared" si="9"/>
        <v>0.43263888888888885</v>
      </c>
      <c r="L111" s="2" t="str">
        <f t="shared" si="3"/>
        <v>EGL</v>
      </c>
      <c r="M111" s="2">
        <f t="shared" si="11"/>
        <v>4</v>
      </c>
      <c r="N111" s="2">
        <f t="shared" si="13"/>
        <v>2</v>
      </c>
      <c r="O111" s="2">
        <f t="shared" si="12"/>
        <v>1</v>
      </c>
      <c r="P111" s="27" t="s">
        <v>184</v>
      </c>
      <c r="Q111" s="7" t="str">
        <f>IF($N111=1,IF(ISERROR(VLOOKUP($P111,'M1'!$A:$C,Q$2,FALSE)),"NOT PRESENT",VLOOKUP($P111,'M1'!$A:$C,Q$2,FALSE)),IF($N111=2,IF(ISERROR(VLOOKUP(DATA!$P70,'M2'!$A:$C,Q$2,FALSE)),"NOT PRESENT",VLOOKUP(DATA!$P70,'M2'!$A:$C,Q$2,FALSE)),IF($N111=0,IF(ISERROR(VLOOKUP($P111,'M1'!$A:$C,Q$2,FALSE)),IF(ISERROR(VLOOKUP(DATA!$P70,'M2'!$A:$C,Q$2,FALSE)),"NOT PRESENT",VLOOKUP(DATA!$P70,'M2'!$A:$C,Q$2,FALSE)),VLOOKUP($P111,'M1'!$A:$C,Q$2,FALSE)),"SPECIFY METHOD")))</f>
        <v>NOT PRESENT</v>
      </c>
      <c r="R111" s="7" t="str">
        <f>IF($N111=1,IF(ISERROR(VLOOKUP($P111,'M1'!$A:$C,R$2,FALSE)),"NOT PRESENT",VLOOKUP($P111,'M1'!$A:$C,R$2,FALSE)),IF($N111=2,IF(ISERROR(VLOOKUP(DATA!$P70,'M2'!$A:$C,R$2,FALSE)),"NOT PRESENT",VLOOKUP(DATA!$P70,'M2'!$A:$C,R$2,FALSE)),IF($N111=0,IF(ISERROR(VLOOKUP($P111,'M1'!$A:$C,R$2,FALSE)),IF(ISERROR(VLOOKUP(DATA!$P70,'M2'!$A:$C,R$2,FALSE)),"NOT PRESENT",VLOOKUP(DATA!$P70,'M2'!$A:$C,R$2,FALSE)),VLOOKUP($P111,'M1'!$A:$C,R$2,FALSE)),"SPECIFY METHOD")))</f>
        <v>NOT PRESENT</v>
      </c>
      <c r="S111" s="20">
        <f t="shared" si="4"/>
        <v>50</v>
      </c>
      <c r="T111" s="2">
        <v>50</v>
      </c>
    </row>
    <row r="112" spans="1:28">
      <c r="A112" s="7">
        <f>MAX($A$1:$A111)+1</f>
        <v>111</v>
      </c>
      <c r="B112" s="2" t="str">
        <f t="shared" si="1"/>
        <v>Em Lim</v>
      </c>
      <c r="C112" s="2" t="str">
        <f t="shared" si="2"/>
        <v>Isabelle Côté</v>
      </c>
      <c r="D112" s="2" t="str">
        <f t="shared" si="5"/>
        <v>BMSC10</v>
      </c>
      <c r="E112" s="7" t="str">
        <f>IF(ISERROR(VLOOKUP($D112,SITES!$A:$E,2,FALSE)),"",VLOOKUP($D112,SITES!$A:$E,2,FALSE))</f>
        <v>Ross Islets Slug Island</v>
      </c>
      <c r="F112" s="4">
        <f>IF(ISERROR(VLOOKUP($D112,SITES!$A:$E,3,FALSE)),"",VLOOKUP($D112,SITES!$A:$E,3,FALSE))</f>
        <v>48.870517730712798</v>
      </c>
      <c r="G112" s="18">
        <f>IF(ISERROR(VLOOKUP($D112,SITES!$A:$E,4,FALSE)),"",VLOOKUP($D112,SITES!$A:$E,4,FALSE))</f>
        <v>-125.160346984863</v>
      </c>
      <c r="H112" s="5" t="str">
        <f t="shared" si="6"/>
        <v>09/05/2023</v>
      </c>
      <c r="I112" s="2">
        <f t="shared" si="7"/>
        <v>1.5</v>
      </c>
      <c r="J112" s="2">
        <f t="shared" si="8"/>
        <v>270</v>
      </c>
      <c r="K112" s="6">
        <f t="shared" si="9"/>
        <v>0.43263888888888885</v>
      </c>
      <c r="L112" s="2" t="str">
        <f t="shared" si="3"/>
        <v>EGL</v>
      </c>
      <c r="M112" s="2">
        <f t="shared" si="11"/>
        <v>4</v>
      </c>
      <c r="N112" s="2">
        <f t="shared" si="13"/>
        <v>2</v>
      </c>
      <c r="O112" s="2">
        <f t="shared" si="12"/>
        <v>1</v>
      </c>
      <c r="P112" s="27" t="s">
        <v>180</v>
      </c>
      <c r="Q112" s="7" t="str">
        <f>IF($N112=1,IF(ISERROR(VLOOKUP($P112,'M1'!$A:$C,Q$2,FALSE)),"NOT PRESENT",VLOOKUP($P112,'M1'!$A:$C,Q$2,FALSE)),IF($N112=2,IF(ISERROR(VLOOKUP(DATA!$P71,'M2'!$A:$C,Q$2,FALSE)),"NOT PRESENT",VLOOKUP(DATA!$P71,'M2'!$A:$C,Q$2,FALSE)),IF($N112=0,IF(ISERROR(VLOOKUP($P112,'M1'!$A:$C,Q$2,FALSE)),IF(ISERROR(VLOOKUP(DATA!$P71,'M2'!$A:$C,Q$2,FALSE)),"NOT PRESENT",VLOOKUP(DATA!$P71,'M2'!$A:$C,Q$2,FALSE)),VLOOKUP($P112,'M1'!$A:$C,Q$2,FALSE)),"SPECIFY METHOD")))</f>
        <v>NOT PRESENT</v>
      </c>
      <c r="R112" s="7" t="str">
        <f>IF($N112=1,IF(ISERROR(VLOOKUP($P112,'M1'!$A:$C,R$2,FALSE)),"NOT PRESENT",VLOOKUP($P112,'M1'!$A:$C,R$2,FALSE)),IF($N112=2,IF(ISERROR(VLOOKUP(DATA!$P71,'M2'!$A:$C,R$2,FALSE)),"NOT PRESENT",VLOOKUP(DATA!$P71,'M2'!$A:$C,R$2,FALSE)),IF($N112=0,IF(ISERROR(VLOOKUP($P112,'M1'!$A:$C,R$2,FALSE)),IF(ISERROR(VLOOKUP(DATA!$P71,'M2'!$A:$C,R$2,FALSE)),"NOT PRESENT",VLOOKUP(DATA!$P71,'M2'!$A:$C,R$2,FALSE)),VLOOKUP($P112,'M1'!$A:$C,R$2,FALSE)),"SPECIFY METHOD")))</f>
        <v>NOT PRESENT</v>
      </c>
      <c r="S112" s="20">
        <f t="shared" si="4"/>
        <v>33</v>
      </c>
      <c r="T112" s="2">
        <v>33</v>
      </c>
    </row>
    <row r="113" spans="1:31">
      <c r="A113" s="7">
        <f>MAX($A$1:$A112)+1</f>
        <v>112</v>
      </c>
      <c r="B113" s="2" t="str">
        <f t="shared" si="1"/>
        <v>Em Lim</v>
      </c>
      <c r="C113" s="2" t="str">
        <f t="shared" si="2"/>
        <v>Isabelle Côté</v>
      </c>
      <c r="D113" s="2" t="str">
        <f t="shared" si="5"/>
        <v>BMSC10</v>
      </c>
      <c r="E113" s="7" t="str">
        <f>IF(ISERROR(VLOOKUP($D113,SITES!$A:$E,2,FALSE)),"",VLOOKUP($D113,SITES!$A:$E,2,FALSE))</f>
        <v>Ross Islets Slug Island</v>
      </c>
      <c r="F113" s="4">
        <f>IF(ISERROR(VLOOKUP($D113,SITES!$A:$E,3,FALSE)),"",VLOOKUP($D113,SITES!$A:$E,3,FALSE))</f>
        <v>48.870517730712798</v>
      </c>
      <c r="G113" s="18">
        <f>IF(ISERROR(VLOOKUP($D113,SITES!$A:$E,4,FALSE)),"",VLOOKUP($D113,SITES!$A:$E,4,FALSE))</f>
        <v>-125.160346984863</v>
      </c>
      <c r="H113" s="5" t="str">
        <f t="shared" si="6"/>
        <v>09/05/2023</v>
      </c>
      <c r="I113" s="2">
        <f t="shared" si="7"/>
        <v>1.5</v>
      </c>
      <c r="J113" s="2">
        <f t="shared" si="8"/>
        <v>270</v>
      </c>
      <c r="K113" s="6">
        <f t="shared" si="9"/>
        <v>0.43263888888888885</v>
      </c>
      <c r="L113" s="2" t="str">
        <f t="shared" si="3"/>
        <v>EGL</v>
      </c>
      <c r="M113" s="2">
        <f t="shared" si="11"/>
        <v>4</v>
      </c>
      <c r="N113" s="2">
        <v>0</v>
      </c>
      <c r="O113" s="2">
        <f t="shared" si="12"/>
        <v>1</v>
      </c>
      <c r="P113" s="27" t="s">
        <v>209</v>
      </c>
      <c r="Q113" s="7" t="str">
        <f>IF($N113=1,IF(ISERROR(VLOOKUP($P113,'M1'!$A:$C,Q$2,FALSE)),"NOT PRESENT",VLOOKUP($P113,'M1'!$A:$C,Q$2,FALSE)),IF($N113=2,IF(ISERROR(VLOOKUP(DATA!$P72,'M2'!$A:$C,Q$2,FALSE)),"NOT PRESENT",VLOOKUP(DATA!$P72,'M2'!$A:$C,Q$2,FALSE)),IF($N113=0,IF(ISERROR(VLOOKUP($P113,'M1'!$A:$C,Q$2,FALSE)),IF(ISERROR(VLOOKUP(DATA!$P72,'M2'!$A:$C,Q$2,FALSE)),"NOT PRESENT",VLOOKUP(DATA!$P72,'M2'!$A:$C,Q$2,FALSE)),VLOOKUP($P113,'M1'!$A:$C,Q$2,FALSE)),"SPECIFY METHOD")))</f>
        <v>NOT PRESENT</v>
      </c>
      <c r="R113" s="7" t="str">
        <f>IF($N113=1,IF(ISERROR(VLOOKUP($P113,'M1'!$A:$C,R$2,FALSE)),"NOT PRESENT",VLOOKUP($P113,'M1'!$A:$C,R$2,FALSE)),IF($N113=2,IF(ISERROR(VLOOKUP(DATA!$P72,'M2'!$A:$C,R$2,FALSE)),"NOT PRESENT",VLOOKUP(DATA!$P72,'M2'!$A:$C,R$2,FALSE)),IF($N113=0,IF(ISERROR(VLOOKUP($P113,'M1'!$A:$C,R$2,FALSE)),IF(ISERROR(VLOOKUP(DATA!$P72,'M2'!$A:$C,R$2,FALSE)),"NOT PRESENT",VLOOKUP(DATA!$P72,'M2'!$A:$C,R$2,FALSE)),VLOOKUP($P113,'M1'!$A:$C,R$2,FALSE)),"SPECIFY METHOD")))</f>
        <v>NOT PRESENT</v>
      </c>
      <c r="S113" s="20">
        <f t="shared" si="4"/>
        <v>2</v>
      </c>
      <c r="T113" s="2">
        <v>0</v>
      </c>
      <c r="U113" s="2">
        <v>1</v>
      </c>
      <c r="V113" s="2">
        <v>1</v>
      </c>
    </row>
    <row r="114" spans="1:31">
      <c r="A114" s="7">
        <f>MAX($A$1:$A113)+1</f>
        <v>113</v>
      </c>
      <c r="B114" s="2" t="str">
        <f t="shared" si="1"/>
        <v>Em Lim</v>
      </c>
      <c r="C114" s="2" t="str">
        <f t="shared" si="2"/>
        <v>Isabelle Côté</v>
      </c>
      <c r="D114" s="2" t="str">
        <f t="shared" si="5"/>
        <v>BMSC10</v>
      </c>
      <c r="E114" s="7" t="str">
        <f>IF(ISERROR(VLOOKUP($D114,SITES!$A:$E,2,FALSE)),"",VLOOKUP($D114,SITES!$A:$E,2,FALSE))</f>
        <v>Ross Islets Slug Island</v>
      </c>
      <c r="F114" s="4">
        <f>IF(ISERROR(VLOOKUP($D114,SITES!$A:$E,3,FALSE)),"",VLOOKUP($D114,SITES!$A:$E,3,FALSE))</f>
        <v>48.870517730712798</v>
      </c>
      <c r="G114" s="18">
        <f>IF(ISERROR(VLOOKUP($D114,SITES!$A:$E,4,FALSE)),"",VLOOKUP($D114,SITES!$A:$E,4,FALSE))</f>
        <v>-125.160346984863</v>
      </c>
      <c r="H114" s="5" t="str">
        <f t="shared" si="6"/>
        <v>09/05/2023</v>
      </c>
      <c r="I114" s="2">
        <f t="shared" si="7"/>
        <v>1.5</v>
      </c>
      <c r="J114" s="2">
        <f t="shared" si="8"/>
        <v>270</v>
      </c>
      <c r="K114" s="6">
        <f t="shared" si="9"/>
        <v>0.43263888888888885</v>
      </c>
      <c r="L114" s="2" t="str">
        <f t="shared" si="3"/>
        <v>EGL</v>
      </c>
      <c r="M114" s="2">
        <f t="shared" si="11"/>
        <v>4</v>
      </c>
      <c r="N114" s="2">
        <v>2</v>
      </c>
      <c r="O114" s="2">
        <f t="shared" si="12"/>
        <v>1</v>
      </c>
      <c r="P114" s="27" t="s">
        <v>210</v>
      </c>
      <c r="Q114" s="7" t="str">
        <f>IF($N114=1,IF(ISERROR(VLOOKUP($P114,'M1'!$A:$C,Q$2,FALSE)),"NOT PRESENT",VLOOKUP($P114,'M1'!$A:$C,Q$2,FALSE)),IF($N114=2,IF(ISERROR(VLOOKUP(DATA!$P73,'M2'!$A:$C,Q$2,FALSE)),"NOT PRESENT",VLOOKUP(DATA!$P73,'M2'!$A:$C,Q$2,FALSE)),IF($N114=0,IF(ISERROR(VLOOKUP($P114,'M1'!$A:$C,Q$2,FALSE)),IF(ISERROR(VLOOKUP(DATA!$P73,'M2'!$A:$C,Q$2,FALSE)),"NOT PRESENT",VLOOKUP(DATA!$P73,'M2'!$A:$C,Q$2,FALSE)),VLOOKUP($P114,'M1'!$A:$C,Q$2,FALSE)),"SPECIFY METHOD")))</f>
        <v>NOT PRESENT</v>
      </c>
      <c r="R114" s="7" t="str">
        <f>IF($N114=1,IF(ISERROR(VLOOKUP($P114,'M1'!$A:$C,R$2,FALSE)),"NOT PRESENT",VLOOKUP($P114,'M1'!$A:$C,R$2,FALSE)),IF($N114=2,IF(ISERROR(VLOOKUP(DATA!$P73,'M2'!$A:$C,R$2,FALSE)),"NOT PRESENT",VLOOKUP(DATA!$P73,'M2'!$A:$C,R$2,FALSE)),IF($N114=0,IF(ISERROR(VLOOKUP($P114,'M1'!$A:$C,R$2,FALSE)),IF(ISERROR(VLOOKUP(DATA!$P73,'M2'!$A:$C,R$2,FALSE)),"NOT PRESENT",VLOOKUP(DATA!$P73,'M2'!$A:$C,R$2,FALSE)),VLOOKUP($P114,'M1'!$A:$C,R$2,FALSE)),"SPECIFY METHOD")))</f>
        <v>NOT PRESENT</v>
      </c>
      <c r="S114" s="20">
        <f t="shared" si="4"/>
        <v>1</v>
      </c>
      <c r="T114" s="2">
        <v>1</v>
      </c>
    </row>
    <row r="115" spans="1:31">
      <c r="A115" s="7">
        <f>MAX($A$1:$A114)+1</f>
        <v>114</v>
      </c>
      <c r="B115" s="2" t="str">
        <f t="shared" si="1"/>
        <v>Em Lim</v>
      </c>
      <c r="C115" s="2" t="str">
        <f t="shared" si="2"/>
        <v>Isabelle Côté</v>
      </c>
      <c r="D115" s="2" t="str">
        <f t="shared" si="5"/>
        <v>BMSC10</v>
      </c>
      <c r="E115" s="7" t="str">
        <f>IF(ISERROR(VLOOKUP($D115,SITES!$A:$E,2,FALSE)),"",VLOOKUP($D115,SITES!$A:$E,2,FALSE))</f>
        <v>Ross Islets Slug Island</v>
      </c>
      <c r="F115" s="4">
        <f>IF(ISERROR(VLOOKUP($D115,SITES!$A:$E,3,FALSE)),"",VLOOKUP($D115,SITES!$A:$E,3,FALSE))</f>
        <v>48.870517730712798</v>
      </c>
      <c r="G115" s="18">
        <f>IF(ISERROR(VLOOKUP($D115,SITES!$A:$E,4,FALSE)),"",VLOOKUP($D115,SITES!$A:$E,4,FALSE))</f>
        <v>-125.160346984863</v>
      </c>
      <c r="H115" s="5" t="str">
        <f t="shared" si="6"/>
        <v>09/05/2023</v>
      </c>
      <c r="I115" s="2">
        <f t="shared" si="7"/>
        <v>1.5</v>
      </c>
      <c r="J115" s="2">
        <f t="shared" si="8"/>
        <v>270</v>
      </c>
      <c r="K115" s="6">
        <f t="shared" si="9"/>
        <v>0.43263888888888885</v>
      </c>
      <c r="L115" s="2" t="str">
        <f t="shared" si="3"/>
        <v>EGL</v>
      </c>
      <c r="M115" s="2">
        <f t="shared" si="11"/>
        <v>4</v>
      </c>
      <c r="N115" s="2">
        <f t="shared" ref="N115:N124" si="14">IF(ISERROR(N114),IF(ISERROR(N113),IF(ISERROR(N112),"BLANK",N112),N113),N114)</f>
        <v>2</v>
      </c>
      <c r="O115" s="2">
        <f t="shared" si="12"/>
        <v>1</v>
      </c>
      <c r="P115" s="27" t="s">
        <v>193</v>
      </c>
      <c r="Q115" s="7" t="str">
        <f>IF($N115=1,IF(ISERROR(VLOOKUP($P115,'M1'!$A:$C,Q$2,FALSE)),"NOT PRESENT",VLOOKUP($P115,'M1'!$A:$C,Q$2,FALSE)),IF($N115=2,IF(ISERROR(VLOOKUP(DATA!$P74,'M2'!$A:$C,Q$2,FALSE)),"NOT PRESENT",VLOOKUP(DATA!$P74,'M2'!$A:$C,Q$2,FALSE)),IF($N115=0,IF(ISERROR(VLOOKUP($P115,'M1'!$A:$C,Q$2,FALSE)),IF(ISERROR(VLOOKUP(DATA!$P74,'M2'!$A:$C,Q$2,FALSE)),"NOT PRESENT",VLOOKUP(DATA!$P74,'M2'!$A:$C,Q$2,FALSE)),VLOOKUP($P115,'M1'!$A:$C,Q$2,FALSE)),"SPECIFY METHOD")))</f>
        <v>NOT PRESENT</v>
      </c>
      <c r="R115" s="7" t="str">
        <f>IF($N115=1,IF(ISERROR(VLOOKUP($P115,'M1'!$A:$C,R$2,FALSE)),"NOT PRESENT",VLOOKUP($P115,'M1'!$A:$C,R$2,FALSE)),IF($N115=2,IF(ISERROR(VLOOKUP(DATA!$P74,'M2'!$A:$C,R$2,FALSE)),"NOT PRESENT",VLOOKUP(DATA!$P74,'M2'!$A:$C,R$2,FALSE)),IF($N115=0,IF(ISERROR(VLOOKUP($P115,'M1'!$A:$C,R$2,FALSE)),IF(ISERROR(VLOOKUP(DATA!$P74,'M2'!$A:$C,R$2,FALSE)),"NOT PRESENT",VLOOKUP(DATA!$P74,'M2'!$A:$C,R$2,FALSE)),VLOOKUP($P115,'M1'!$A:$C,R$2,FALSE)),"SPECIFY METHOD")))</f>
        <v>NOT PRESENT</v>
      </c>
      <c r="S115" s="20">
        <f t="shared" si="4"/>
        <v>2</v>
      </c>
      <c r="T115" s="2">
        <v>0</v>
      </c>
      <c r="X115" s="2">
        <v>1</v>
      </c>
      <c r="Y115" s="2">
        <v>1</v>
      </c>
    </row>
    <row r="116" spans="1:31">
      <c r="A116" s="7">
        <f>MAX($A$1:$A115)+1</f>
        <v>115</v>
      </c>
      <c r="B116" s="2" t="str">
        <f t="shared" si="1"/>
        <v>Em Lim</v>
      </c>
      <c r="C116" s="2" t="str">
        <f t="shared" si="2"/>
        <v>Isabelle Côté</v>
      </c>
      <c r="D116" s="2" t="str">
        <f t="shared" si="5"/>
        <v>BMSC10</v>
      </c>
      <c r="E116" s="7" t="str">
        <f>IF(ISERROR(VLOOKUP($D116,SITES!$A:$E,2,FALSE)),"",VLOOKUP($D116,SITES!$A:$E,2,FALSE))</f>
        <v>Ross Islets Slug Island</v>
      </c>
      <c r="F116" s="4">
        <f>IF(ISERROR(VLOOKUP($D116,SITES!$A:$E,3,FALSE)),"",VLOOKUP($D116,SITES!$A:$E,3,FALSE))</f>
        <v>48.870517730712798</v>
      </c>
      <c r="G116" s="18">
        <f>IF(ISERROR(VLOOKUP($D116,SITES!$A:$E,4,FALSE)),"",VLOOKUP($D116,SITES!$A:$E,4,FALSE))</f>
        <v>-125.160346984863</v>
      </c>
      <c r="H116" s="5" t="str">
        <f t="shared" si="6"/>
        <v>09/05/2023</v>
      </c>
      <c r="I116" s="2">
        <f t="shared" si="7"/>
        <v>1.5</v>
      </c>
      <c r="J116" s="2">
        <f t="shared" si="8"/>
        <v>270</v>
      </c>
      <c r="K116" s="6">
        <f t="shared" si="9"/>
        <v>0.43263888888888885</v>
      </c>
      <c r="L116" s="2" t="str">
        <f t="shared" si="3"/>
        <v>EGL</v>
      </c>
      <c r="M116" s="2">
        <f t="shared" si="11"/>
        <v>4</v>
      </c>
      <c r="N116" s="2">
        <f t="shared" si="14"/>
        <v>2</v>
      </c>
      <c r="O116" s="2">
        <f t="shared" si="12"/>
        <v>1</v>
      </c>
      <c r="P116" s="27" t="s">
        <v>182</v>
      </c>
      <c r="Q116" s="7" t="str">
        <f>IF($N116=1,IF(ISERROR(VLOOKUP($P116,'M1'!$A:$C,Q$2,FALSE)),"NOT PRESENT",VLOOKUP($P116,'M1'!$A:$C,Q$2,FALSE)),IF($N116=2,IF(ISERROR(VLOOKUP(DATA!$P75,'M2'!$A:$C,Q$2,FALSE)),"NOT PRESENT",VLOOKUP(DATA!$P75,'M2'!$A:$C,Q$2,FALSE)),IF($N116=0,IF(ISERROR(VLOOKUP($P116,'M1'!$A:$C,Q$2,FALSE)),IF(ISERROR(VLOOKUP(DATA!$P75,'M2'!$A:$C,Q$2,FALSE)),"NOT PRESENT",VLOOKUP(DATA!$P75,'M2'!$A:$C,Q$2,FALSE)),VLOOKUP($P116,'M1'!$A:$C,Q$2,FALSE)),"SPECIFY METHOD")))</f>
        <v>NOT PRESENT</v>
      </c>
      <c r="R116" s="7" t="str">
        <f>IF($N116=1,IF(ISERROR(VLOOKUP($P116,'M1'!$A:$C,R$2,FALSE)),"NOT PRESENT",VLOOKUP($P116,'M1'!$A:$C,R$2,FALSE)),IF($N116=2,IF(ISERROR(VLOOKUP(DATA!$P75,'M2'!$A:$C,R$2,FALSE)),"NOT PRESENT",VLOOKUP(DATA!$P75,'M2'!$A:$C,R$2,FALSE)),IF($N116=0,IF(ISERROR(VLOOKUP($P116,'M1'!$A:$C,R$2,FALSE)),IF(ISERROR(VLOOKUP(DATA!$P75,'M2'!$A:$C,R$2,FALSE)),"NOT PRESENT",VLOOKUP(DATA!$P75,'M2'!$A:$C,R$2,FALSE)),VLOOKUP($P116,'M1'!$A:$C,R$2,FALSE)),"SPECIFY METHOD")))</f>
        <v>NOT PRESENT</v>
      </c>
      <c r="S116" s="20">
        <f t="shared" si="4"/>
        <v>5</v>
      </c>
      <c r="T116" s="2">
        <v>5</v>
      </c>
    </row>
    <row r="117" spans="1:31">
      <c r="A117" s="7">
        <f>MAX($A$1:$A116)+1</f>
        <v>116</v>
      </c>
      <c r="B117" s="2" t="str">
        <f t="shared" si="1"/>
        <v>Em Lim</v>
      </c>
      <c r="C117" s="2" t="str">
        <f t="shared" si="2"/>
        <v>Isabelle Côté</v>
      </c>
      <c r="D117" s="2" t="str">
        <f t="shared" si="5"/>
        <v>BMSC10</v>
      </c>
      <c r="E117" s="7" t="str">
        <f>IF(ISERROR(VLOOKUP($D117,SITES!$A:$E,2,FALSE)),"",VLOOKUP($D117,SITES!$A:$E,2,FALSE))</f>
        <v>Ross Islets Slug Island</v>
      </c>
      <c r="F117" s="4">
        <f>IF(ISERROR(VLOOKUP($D117,SITES!$A:$E,3,FALSE)),"",VLOOKUP($D117,SITES!$A:$E,3,FALSE))</f>
        <v>48.870517730712798</v>
      </c>
      <c r="G117" s="18">
        <f>IF(ISERROR(VLOOKUP($D117,SITES!$A:$E,4,FALSE)),"",VLOOKUP($D117,SITES!$A:$E,4,FALSE))</f>
        <v>-125.160346984863</v>
      </c>
      <c r="H117" s="5" t="str">
        <f t="shared" si="6"/>
        <v>09/05/2023</v>
      </c>
      <c r="I117" s="2">
        <f t="shared" si="7"/>
        <v>1.5</v>
      </c>
      <c r="J117" s="2">
        <f t="shared" si="8"/>
        <v>270</v>
      </c>
      <c r="K117" s="6">
        <f t="shared" si="9"/>
        <v>0.43263888888888885</v>
      </c>
      <c r="L117" s="2" t="str">
        <f t="shared" si="3"/>
        <v>EGL</v>
      </c>
      <c r="M117" s="2">
        <f t="shared" si="11"/>
        <v>4</v>
      </c>
      <c r="N117" s="2">
        <f t="shared" si="14"/>
        <v>2</v>
      </c>
      <c r="O117" s="2">
        <f t="shared" si="12"/>
        <v>1</v>
      </c>
      <c r="P117" s="27" t="s">
        <v>206</v>
      </c>
      <c r="Q117" s="7" t="str">
        <f>IF($N117=1,IF(ISERROR(VLOOKUP($P117,'M1'!$A:$C,Q$2,FALSE)),"NOT PRESENT",VLOOKUP($P117,'M1'!$A:$C,Q$2,FALSE)),IF($N117=2,IF(ISERROR(VLOOKUP(DATA!$P76,'M2'!$A:$C,Q$2,FALSE)),"NOT PRESENT",VLOOKUP(DATA!$P76,'M2'!$A:$C,Q$2,FALSE)),IF($N117=0,IF(ISERROR(VLOOKUP($P117,'M1'!$A:$C,Q$2,FALSE)),IF(ISERROR(VLOOKUP(DATA!$P76,'M2'!$A:$C,Q$2,FALSE)),"NOT PRESENT",VLOOKUP(DATA!$P76,'M2'!$A:$C,Q$2,FALSE)),VLOOKUP($P117,'M1'!$A:$C,Q$2,FALSE)),"SPECIFY METHOD")))</f>
        <v>NOT PRESENT</v>
      </c>
      <c r="R117" s="7" t="str">
        <f>IF($N117=1,IF(ISERROR(VLOOKUP($P117,'M1'!$A:$C,R$2,FALSE)),"NOT PRESENT",VLOOKUP($P117,'M1'!$A:$C,R$2,FALSE)),IF($N117=2,IF(ISERROR(VLOOKUP(DATA!$P76,'M2'!$A:$C,R$2,FALSE)),"NOT PRESENT",VLOOKUP(DATA!$P76,'M2'!$A:$C,R$2,FALSE)),IF($N117=0,IF(ISERROR(VLOOKUP($P117,'M1'!$A:$C,R$2,FALSE)),IF(ISERROR(VLOOKUP(DATA!$P76,'M2'!$A:$C,R$2,FALSE)),"NOT PRESENT",VLOOKUP(DATA!$P76,'M2'!$A:$C,R$2,FALSE)),VLOOKUP($P117,'M1'!$A:$C,R$2,FALSE)),"SPECIFY METHOD")))</f>
        <v>NOT PRESENT</v>
      </c>
      <c r="S117" s="20">
        <f t="shared" si="4"/>
        <v>15</v>
      </c>
      <c r="U117" s="2">
        <v>11</v>
      </c>
      <c r="V117" s="2">
        <v>3</v>
      </c>
      <c r="X117" s="2">
        <v>1</v>
      </c>
    </row>
    <row r="118" spans="1:31">
      <c r="A118" s="7">
        <f>MAX($A$1:$A117)+1</f>
        <v>117</v>
      </c>
      <c r="B118" s="2" t="str">
        <f t="shared" si="1"/>
        <v>Em Lim</v>
      </c>
      <c r="C118" s="2" t="str">
        <f t="shared" si="2"/>
        <v>Isabelle Côté</v>
      </c>
      <c r="D118" s="2" t="str">
        <f t="shared" si="5"/>
        <v>BMSC10</v>
      </c>
      <c r="E118" s="7" t="str">
        <f>IF(ISERROR(VLOOKUP($D118,SITES!$A:$E,2,FALSE)),"",VLOOKUP($D118,SITES!$A:$E,2,FALSE))</f>
        <v>Ross Islets Slug Island</v>
      </c>
      <c r="F118" s="4">
        <f>IF(ISERROR(VLOOKUP($D118,SITES!$A:$E,3,FALSE)),"",VLOOKUP($D118,SITES!$A:$E,3,FALSE))</f>
        <v>48.870517730712798</v>
      </c>
      <c r="G118" s="18">
        <f>IF(ISERROR(VLOOKUP($D118,SITES!$A:$E,4,FALSE)),"",VLOOKUP($D118,SITES!$A:$E,4,FALSE))</f>
        <v>-125.160346984863</v>
      </c>
      <c r="H118" s="5" t="str">
        <f t="shared" si="6"/>
        <v>09/05/2023</v>
      </c>
      <c r="I118" s="2">
        <f t="shared" si="7"/>
        <v>1.5</v>
      </c>
      <c r="J118" s="2">
        <f t="shared" si="8"/>
        <v>270</v>
      </c>
      <c r="K118" s="6">
        <f t="shared" si="9"/>
        <v>0.43263888888888885</v>
      </c>
      <c r="L118" s="2" t="str">
        <f t="shared" si="3"/>
        <v>EGL</v>
      </c>
      <c r="M118" s="2">
        <f t="shared" si="11"/>
        <v>4</v>
      </c>
      <c r="N118" s="2">
        <f t="shared" si="14"/>
        <v>2</v>
      </c>
      <c r="O118" s="2">
        <f t="shared" si="12"/>
        <v>1</v>
      </c>
      <c r="P118" s="27" t="s">
        <v>211</v>
      </c>
      <c r="Q118" s="7" t="str">
        <f>IF($N118=1,IF(ISERROR(VLOOKUP($P118,'M1'!$A:$C,Q$2,FALSE)),"NOT PRESENT",VLOOKUP($P118,'M1'!$A:$C,Q$2,FALSE)),IF($N118=2,IF(ISERROR(VLOOKUP(DATA!$P77,'M2'!$A:$C,Q$2,FALSE)),"NOT PRESENT",VLOOKUP(DATA!$P77,'M2'!$A:$C,Q$2,FALSE)),IF($N118=0,IF(ISERROR(VLOOKUP($P118,'M1'!$A:$C,Q$2,FALSE)),IF(ISERROR(VLOOKUP(DATA!$P77,'M2'!$A:$C,Q$2,FALSE)),"NOT PRESENT",VLOOKUP(DATA!$P77,'M2'!$A:$C,Q$2,FALSE)),VLOOKUP($P118,'M1'!$A:$C,Q$2,FALSE)),"SPECIFY METHOD")))</f>
        <v>NOT PRESENT</v>
      </c>
      <c r="R118" s="7" t="str">
        <f>IF($N118=1,IF(ISERROR(VLOOKUP($P118,'M1'!$A:$C,R$2,FALSE)),"NOT PRESENT",VLOOKUP($P118,'M1'!$A:$C,R$2,FALSE)),IF($N118=2,IF(ISERROR(VLOOKUP(DATA!$P77,'M2'!$A:$C,R$2,FALSE)),"NOT PRESENT",VLOOKUP(DATA!$P77,'M2'!$A:$C,R$2,FALSE)),IF($N118=0,IF(ISERROR(VLOOKUP($P118,'M1'!$A:$C,R$2,FALSE)),IF(ISERROR(VLOOKUP(DATA!$P77,'M2'!$A:$C,R$2,FALSE)),"NOT PRESENT",VLOOKUP(DATA!$P77,'M2'!$A:$C,R$2,FALSE)),VLOOKUP($P118,'M1'!$A:$C,R$2,FALSE)),"SPECIFY METHOD")))</f>
        <v>NOT PRESENT</v>
      </c>
      <c r="S118" s="20">
        <f t="shared" si="4"/>
        <v>2</v>
      </c>
      <c r="T118" s="2">
        <v>2</v>
      </c>
    </row>
    <row r="119" spans="1:31">
      <c r="A119" s="7">
        <f>MAX($A$1:$A118)+1</f>
        <v>118</v>
      </c>
      <c r="B119" s="2" t="str">
        <f t="shared" si="1"/>
        <v>Em Lim</v>
      </c>
      <c r="C119" s="2" t="str">
        <f t="shared" si="2"/>
        <v>Isabelle Côté</v>
      </c>
      <c r="D119" s="2" t="str">
        <f t="shared" si="5"/>
        <v>BMSC10</v>
      </c>
      <c r="E119" s="7" t="str">
        <f>IF(ISERROR(VLOOKUP($D119,SITES!$A:$E,2,FALSE)),"",VLOOKUP($D119,SITES!$A:$E,2,FALSE))</f>
        <v>Ross Islets Slug Island</v>
      </c>
      <c r="F119" s="4">
        <f>IF(ISERROR(VLOOKUP($D119,SITES!$A:$E,3,FALSE)),"",VLOOKUP($D119,SITES!$A:$E,3,FALSE))</f>
        <v>48.870517730712798</v>
      </c>
      <c r="G119" s="18">
        <f>IF(ISERROR(VLOOKUP($D119,SITES!$A:$E,4,FALSE)),"",VLOOKUP($D119,SITES!$A:$E,4,FALSE))</f>
        <v>-125.160346984863</v>
      </c>
      <c r="H119" s="5" t="str">
        <f t="shared" si="6"/>
        <v>09/05/2023</v>
      </c>
      <c r="I119" s="2">
        <f t="shared" si="7"/>
        <v>1.5</v>
      </c>
      <c r="J119" s="2">
        <f t="shared" si="8"/>
        <v>270</v>
      </c>
      <c r="K119" s="6">
        <f t="shared" si="9"/>
        <v>0.43263888888888885</v>
      </c>
      <c r="L119" s="2" t="str">
        <f t="shared" si="3"/>
        <v>EGL</v>
      </c>
      <c r="M119" s="2">
        <f t="shared" si="11"/>
        <v>4</v>
      </c>
      <c r="N119" s="2">
        <f t="shared" si="14"/>
        <v>2</v>
      </c>
      <c r="O119" s="2">
        <f t="shared" si="12"/>
        <v>1</v>
      </c>
      <c r="P119" s="27" t="s">
        <v>212</v>
      </c>
      <c r="Q119" s="7" t="str">
        <f>IF($N119=1,IF(ISERROR(VLOOKUP($P119,'M1'!$A:$C,Q$2,FALSE)),"NOT PRESENT",VLOOKUP($P119,'M1'!$A:$C,Q$2,FALSE)),IF($N119=2,IF(ISERROR(VLOOKUP(DATA!$P78,'M2'!$A:$C,Q$2,FALSE)),"NOT PRESENT",VLOOKUP(DATA!$P78,'M2'!$A:$C,Q$2,FALSE)),IF($N119=0,IF(ISERROR(VLOOKUP($P119,'M1'!$A:$C,Q$2,FALSE)),IF(ISERROR(VLOOKUP(DATA!$P78,'M2'!$A:$C,Q$2,FALSE)),"NOT PRESENT",VLOOKUP(DATA!$P78,'M2'!$A:$C,Q$2,FALSE)),VLOOKUP($P119,'M1'!$A:$C,Q$2,FALSE)),"SPECIFY METHOD")))</f>
        <v>NOT PRESENT</v>
      </c>
      <c r="R119" s="7" t="str">
        <f>IF($N119=1,IF(ISERROR(VLOOKUP($P119,'M1'!$A:$C,R$2,FALSE)),"NOT PRESENT",VLOOKUP($P119,'M1'!$A:$C,R$2,FALSE)),IF($N119=2,IF(ISERROR(VLOOKUP(DATA!$P78,'M2'!$A:$C,R$2,FALSE)),"NOT PRESENT",VLOOKUP(DATA!$P78,'M2'!$A:$C,R$2,FALSE)),IF($N119=0,IF(ISERROR(VLOOKUP($P119,'M1'!$A:$C,R$2,FALSE)),IF(ISERROR(VLOOKUP(DATA!$P78,'M2'!$A:$C,R$2,FALSE)),"NOT PRESENT",VLOOKUP(DATA!$P78,'M2'!$A:$C,R$2,FALSE)),VLOOKUP($P119,'M1'!$A:$C,R$2,FALSE)),"SPECIFY METHOD")))</f>
        <v>NOT PRESENT</v>
      </c>
      <c r="S119" s="20">
        <f t="shared" si="4"/>
        <v>3</v>
      </c>
      <c r="T119" s="2">
        <v>3</v>
      </c>
    </row>
    <row r="120" spans="1:31">
      <c r="A120" s="7">
        <f>MAX($A$1:$A119)+1</f>
        <v>119</v>
      </c>
      <c r="B120" s="2" t="str">
        <f t="shared" si="1"/>
        <v>Em Lim</v>
      </c>
      <c r="C120" s="2" t="str">
        <f t="shared" si="2"/>
        <v>Isabelle Côté</v>
      </c>
      <c r="D120" s="2" t="str">
        <f t="shared" si="5"/>
        <v>BMSC10</v>
      </c>
      <c r="E120" s="7" t="str">
        <f>IF(ISERROR(VLOOKUP($D120,SITES!$A:$E,2,FALSE)),"",VLOOKUP($D120,SITES!$A:$E,2,FALSE))</f>
        <v>Ross Islets Slug Island</v>
      </c>
      <c r="F120" s="4">
        <f>IF(ISERROR(VLOOKUP($D120,SITES!$A:$E,3,FALSE)),"",VLOOKUP($D120,SITES!$A:$E,3,FALSE))</f>
        <v>48.870517730712798</v>
      </c>
      <c r="G120" s="18">
        <f>IF(ISERROR(VLOOKUP($D120,SITES!$A:$E,4,FALSE)),"",VLOOKUP($D120,SITES!$A:$E,4,FALSE))</f>
        <v>-125.160346984863</v>
      </c>
      <c r="H120" s="5" t="str">
        <f t="shared" si="6"/>
        <v>09/05/2023</v>
      </c>
      <c r="I120" s="2">
        <f t="shared" si="7"/>
        <v>1.5</v>
      </c>
      <c r="J120" s="2">
        <f t="shared" si="8"/>
        <v>270</v>
      </c>
      <c r="K120" s="6">
        <f t="shared" si="9"/>
        <v>0.43263888888888885</v>
      </c>
      <c r="L120" s="2" t="str">
        <f t="shared" si="3"/>
        <v>EGL</v>
      </c>
      <c r="M120" s="2">
        <f t="shared" si="11"/>
        <v>4</v>
      </c>
      <c r="N120" s="2">
        <f t="shared" si="14"/>
        <v>2</v>
      </c>
      <c r="O120" s="2">
        <f t="shared" si="12"/>
        <v>1</v>
      </c>
      <c r="P120" s="27" t="s">
        <v>186</v>
      </c>
      <c r="Q120" s="7" t="str">
        <f>IF($N120=1,IF(ISERROR(VLOOKUP($P120,'M1'!$A:$C,Q$2,FALSE)),"NOT PRESENT",VLOOKUP($P120,'M1'!$A:$C,Q$2,FALSE)),IF($N120=2,IF(ISERROR(VLOOKUP(DATA!$P79,'M2'!$A:$C,Q$2,FALSE)),"NOT PRESENT",VLOOKUP(DATA!$P79,'M2'!$A:$C,Q$2,FALSE)),IF($N120=0,IF(ISERROR(VLOOKUP($P120,'M1'!$A:$C,Q$2,FALSE)),IF(ISERROR(VLOOKUP(DATA!$P79,'M2'!$A:$C,Q$2,FALSE)),"NOT PRESENT",VLOOKUP(DATA!$P79,'M2'!$A:$C,Q$2,FALSE)),VLOOKUP($P120,'M1'!$A:$C,Q$2,FALSE)),"SPECIFY METHOD")))</f>
        <v>NOT PRESENT</v>
      </c>
      <c r="R120" s="7" t="str">
        <f>IF($N120=1,IF(ISERROR(VLOOKUP($P120,'M1'!$A:$C,R$2,FALSE)),"NOT PRESENT",VLOOKUP($P120,'M1'!$A:$C,R$2,FALSE)),IF($N120=2,IF(ISERROR(VLOOKUP(DATA!$P79,'M2'!$A:$C,R$2,FALSE)),"NOT PRESENT",VLOOKUP(DATA!$P79,'M2'!$A:$C,R$2,FALSE)),IF($N120=0,IF(ISERROR(VLOOKUP($P120,'M1'!$A:$C,R$2,FALSE)),IF(ISERROR(VLOOKUP(DATA!$P79,'M2'!$A:$C,R$2,FALSE)),"NOT PRESENT",VLOOKUP(DATA!$P79,'M2'!$A:$C,R$2,FALSE)),VLOOKUP($P120,'M1'!$A:$C,R$2,FALSE)),"SPECIFY METHOD")))</f>
        <v>NOT PRESENT</v>
      </c>
      <c r="S120" s="20">
        <f t="shared" si="4"/>
        <v>1</v>
      </c>
      <c r="T120" s="2">
        <v>1</v>
      </c>
    </row>
    <row r="121" spans="1:31">
      <c r="A121" s="7">
        <f>MAX($A$1:$A120)+1</f>
        <v>120</v>
      </c>
      <c r="B121" s="2" t="str">
        <f t="shared" si="1"/>
        <v>Em Lim</v>
      </c>
      <c r="C121" s="2" t="str">
        <f t="shared" si="2"/>
        <v>Isabelle Côté</v>
      </c>
      <c r="D121" s="2" t="str">
        <f t="shared" si="5"/>
        <v>BMSC10</v>
      </c>
      <c r="E121" s="7" t="str">
        <f>IF(ISERROR(VLOOKUP($D121,SITES!$A:$E,2,FALSE)),"",VLOOKUP($D121,SITES!$A:$E,2,FALSE))</f>
        <v>Ross Islets Slug Island</v>
      </c>
      <c r="F121" s="4">
        <f>IF(ISERROR(VLOOKUP($D121,SITES!$A:$E,3,FALSE)),"",VLOOKUP($D121,SITES!$A:$E,3,FALSE))</f>
        <v>48.870517730712798</v>
      </c>
      <c r="G121" s="18">
        <f>IF(ISERROR(VLOOKUP($D121,SITES!$A:$E,4,FALSE)),"",VLOOKUP($D121,SITES!$A:$E,4,FALSE))</f>
        <v>-125.160346984863</v>
      </c>
      <c r="H121" s="5" t="str">
        <f t="shared" si="6"/>
        <v>09/05/2023</v>
      </c>
      <c r="I121" s="2">
        <f t="shared" si="7"/>
        <v>1.5</v>
      </c>
      <c r="J121" s="2">
        <f t="shared" si="8"/>
        <v>270</v>
      </c>
      <c r="K121" s="6">
        <f t="shared" si="9"/>
        <v>0.43263888888888885</v>
      </c>
      <c r="L121" s="2" t="str">
        <f t="shared" si="3"/>
        <v>EGL</v>
      </c>
      <c r="M121" s="2">
        <f t="shared" si="11"/>
        <v>4</v>
      </c>
      <c r="N121" s="2">
        <f t="shared" si="14"/>
        <v>2</v>
      </c>
      <c r="O121" s="2">
        <f t="shared" si="12"/>
        <v>1</v>
      </c>
      <c r="P121" s="27" t="s">
        <v>188</v>
      </c>
      <c r="Q121" s="7" t="str">
        <f>IF($N121=1,IF(ISERROR(VLOOKUP($P121,'M1'!$A:$C,Q$2,FALSE)),"NOT PRESENT",VLOOKUP($P121,'M1'!$A:$C,Q$2,FALSE)),IF($N121=2,IF(ISERROR(VLOOKUP(DATA!$P80,'M2'!$A:$C,Q$2,FALSE)),"NOT PRESENT",VLOOKUP(DATA!$P80,'M2'!$A:$C,Q$2,FALSE)),IF($N121=0,IF(ISERROR(VLOOKUP($P121,'M1'!$A:$C,Q$2,FALSE)),IF(ISERROR(VLOOKUP(DATA!$P80,'M2'!$A:$C,Q$2,FALSE)),"NOT PRESENT",VLOOKUP(DATA!$P80,'M2'!$A:$C,Q$2,FALSE)),VLOOKUP($P121,'M1'!$A:$C,Q$2,FALSE)),"SPECIFY METHOD")))</f>
        <v>NOT PRESENT</v>
      </c>
      <c r="R121" s="7" t="str">
        <f>IF($N121=1,IF(ISERROR(VLOOKUP($P121,'M1'!$A:$C,R$2,FALSE)),"NOT PRESENT",VLOOKUP($P121,'M1'!$A:$C,R$2,FALSE)),IF($N121=2,IF(ISERROR(VLOOKUP(DATA!$P80,'M2'!$A:$C,R$2,FALSE)),"NOT PRESENT",VLOOKUP(DATA!$P80,'M2'!$A:$C,R$2,FALSE)),IF($N121=0,IF(ISERROR(VLOOKUP($P121,'M1'!$A:$C,R$2,FALSE)),IF(ISERROR(VLOOKUP(DATA!$P80,'M2'!$A:$C,R$2,FALSE)),"NOT PRESENT",VLOOKUP(DATA!$P80,'M2'!$A:$C,R$2,FALSE)),VLOOKUP($P121,'M1'!$A:$C,R$2,FALSE)),"SPECIFY METHOD")))</f>
        <v>NOT PRESENT</v>
      </c>
      <c r="S121" s="20">
        <f t="shared" si="4"/>
        <v>2</v>
      </c>
      <c r="T121" s="2">
        <v>2</v>
      </c>
    </row>
    <row r="122" spans="1:31">
      <c r="A122" s="7">
        <f>MAX($A$1:$A121)+1</f>
        <v>121</v>
      </c>
      <c r="B122" s="2" t="str">
        <f t="shared" si="1"/>
        <v>Em Lim</v>
      </c>
      <c r="C122" s="2" t="str">
        <f t="shared" si="2"/>
        <v>Isabelle Côté</v>
      </c>
      <c r="D122" s="2" t="str">
        <f t="shared" si="5"/>
        <v>BMSC10</v>
      </c>
      <c r="E122" s="7" t="str">
        <f>IF(ISERROR(VLOOKUP($D122,SITES!$A:$E,2,FALSE)),"",VLOOKUP($D122,SITES!$A:$E,2,FALSE))</f>
        <v>Ross Islets Slug Island</v>
      </c>
      <c r="F122" s="4">
        <f>IF(ISERROR(VLOOKUP($D122,SITES!$A:$E,3,FALSE)),"",VLOOKUP($D122,SITES!$A:$E,3,FALSE))</f>
        <v>48.870517730712798</v>
      </c>
      <c r="G122" s="18">
        <f>IF(ISERROR(VLOOKUP($D122,SITES!$A:$E,4,FALSE)),"",VLOOKUP($D122,SITES!$A:$E,4,FALSE))</f>
        <v>-125.160346984863</v>
      </c>
      <c r="H122" s="5" t="str">
        <f t="shared" si="6"/>
        <v>09/05/2023</v>
      </c>
      <c r="I122" s="2">
        <f t="shared" si="7"/>
        <v>1.5</v>
      </c>
      <c r="J122" s="2">
        <f t="shared" si="8"/>
        <v>270</v>
      </c>
      <c r="K122" s="6">
        <f t="shared" si="9"/>
        <v>0.43263888888888885</v>
      </c>
      <c r="L122" s="2" t="str">
        <f t="shared" si="3"/>
        <v>EGL</v>
      </c>
      <c r="M122" s="2">
        <f t="shared" si="11"/>
        <v>4</v>
      </c>
      <c r="N122" s="2">
        <f t="shared" si="14"/>
        <v>2</v>
      </c>
      <c r="O122" s="2">
        <f t="shared" si="12"/>
        <v>1</v>
      </c>
      <c r="P122" s="27" t="s">
        <v>199</v>
      </c>
      <c r="Q122" s="7" t="str">
        <f>IF($N122=1,IF(ISERROR(VLOOKUP($P122,'M1'!$A:$C,Q$2,FALSE)),"NOT PRESENT",VLOOKUP($P122,'M1'!$A:$C,Q$2,FALSE)),IF($N122=2,IF(ISERROR(VLOOKUP(DATA!$P81,'M2'!$A:$C,Q$2,FALSE)),"NOT PRESENT",VLOOKUP(DATA!$P81,'M2'!$A:$C,Q$2,FALSE)),IF($N122=0,IF(ISERROR(VLOOKUP($P122,'M1'!$A:$C,Q$2,FALSE)),IF(ISERROR(VLOOKUP(DATA!$P81,'M2'!$A:$C,Q$2,FALSE)),"NOT PRESENT",VLOOKUP(DATA!$P81,'M2'!$A:$C,Q$2,FALSE)),VLOOKUP($P122,'M1'!$A:$C,Q$2,FALSE)),"SPECIFY METHOD")))</f>
        <v>NOT PRESENT</v>
      </c>
      <c r="R122" s="7" t="str">
        <f>IF($N122=1,IF(ISERROR(VLOOKUP($P122,'M1'!$A:$C,R$2,FALSE)),"NOT PRESENT",VLOOKUP($P122,'M1'!$A:$C,R$2,FALSE)),IF($N122=2,IF(ISERROR(VLOOKUP(DATA!$P81,'M2'!$A:$C,R$2,FALSE)),"NOT PRESENT",VLOOKUP(DATA!$P81,'M2'!$A:$C,R$2,FALSE)),IF($N122=0,IF(ISERROR(VLOOKUP($P122,'M1'!$A:$C,R$2,FALSE)),IF(ISERROR(VLOOKUP(DATA!$P81,'M2'!$A:$C,R$2,FALSE)),"NOT PRESENT",VLOOKUP(DATA!$P81,'M2'!$A:$C,R$2,FALSE)),VLOOKUP($P122,'M1'!$A:$C,R$2,FALSE)),"SPECIFY METHOD")))</f>
        <v>NOT PRESENT</v>
      </c>
      <c r="S122" s="20">
        <f t="shared" si="4"/>
        <v>1</v>
      </c>
      <c r="T122" s="2">
        <v>1</v>
      </c>
    </row>
    <row r="123" spans="1:31">
      <c r="A123" s="7">
        <f>MAX($A$1:$A122)+1</f>
        <v>122</v>
      </c>
      <c r="B123" s="2" t="str">
        <f t="shared" si="1"/>
        <v>Em Lim</v>
      </c>
      <c r="C123" s="2" t="str">
        <f t="shared" si="2"/>
        <v>Isabelle Côté</v>
      </c>
      <c r="D123" s="2" t="str">
        <f t="shared" si="5"/>
        <v>BMSC10</v>
      </c>
      <c r="E123" s="7" t="str">
        <f>IF(ISERROR(VLOOKUP($D123,SITES!$A:$E,2,FALSE)),"",VLOOKUP($D123,SITES!$A:$E,2,FALSE))</f>
        <v>Ross Islets Slug Island</v>
      </c>
      <c r="F123" s="4">
        <f>IF(ISERROR(VLOOKUP($D123,SITES!$A:$E,3,FALSE)),"",VLOOKUP($D123,SITES!$A:$E,3,FALSE))</f>
        <v>48.870517730712798</v>
      </c>
      <c r="G123" s="18">
        <f>IF(ISERROR(VLOOKUP($D123,SITES!$A:$E,4,FALSE)),"",VLOOKUP($D123,SITES!$A:$E,4,FALSE))</f>
        <v>-125.160346984863</v>
      </c>
      <c r="H123" s="5" t="str">
        <f t="shared" si="6"/>
        <v>09/05/2023</v>
      </c>
      <c r="I123" s="2">
        <f t="shared" si="7"/>
        <v>1.5</v>
      </c>
      <c r="J123" s="2">
        <f t="shared" si="8"/>
        <v>270</v>
      </c>
      <c r="K123" s="6">
        <f t="shared" si="9"/>
        <v>0.43263888888888885</v>
      </c>
      <c r="L123" s="2" t="str">
        <f t="shared" si="3"/>
        <v>EGL</v>
      </c>
      <c r="M123" s="2">
        <f t="shared" si="11"/>
        <v>4</v>
      </c>
      <c r="N123" s="2">
        <f t="shared" si="14"/>
        <v>2</v>
      </c>
      <c r="O123" s="2">
        <f t="shared" si="12"/>
        <v>1</v>
      </c>
      <c r="P123" s="27" t="s">
        <v>213</v>
      </c>
      <c r="Q123" s="7" t="str">
        <f>IF($N123=1,IF(ISERROR(VLOOKUP($P123,'M1'!$A:$C,Q$2,FALSE)),"NOT PRESENT",VLOOKUP($P123,'M1'!$A:$C,Q$2,FALSE)),IF($N123=2,IF(ISERROR(VLOOKUP(DATA!$P82,'M2'!$A:$C,Q$2,FALSE)),"NOT PRESENT",VLOOKUP(DATA!$P82,'M2'!$A:$C,Q$2,FALSE)),IF($N123=0,IF(ISERROR(VLOOKUP($P123,'M1'!$A:$C,Q$2,FALSE)),IF(ISERROR(VLOOKUP(DATA!$P82,'M2'!$A:$C,Q$2,FALSE)),"NOT PRESENT",VLOOKUP(DATA!$P82,'M2'!$A:$C,Q$2,FALSE)),VLOOKUP($P123,'M1'!$A:$C,Q$2,FALSE)),"SPECIFY METHOD")))</f>
        <v>NOT PRESENT</v>
      </c>
      <c r="R123" s="7" t="str">
        <f>IF($N123=1,IF(ISERROR(VLOOKUP($P123,'M1'!$A:$C,R$2,FALSE)),"NOT PRESENT",VLOOKUP($P123,'M1'!$A:$C,R$2,FALSE)),IF($N123=2,IF(ISERROR(VLOOKUP(DATA!$P82,'M2'!$A:$C,R$2,FALSE)),"NOT PRESENT",VLOOKUP(DATA!$P82,'M2'!$A:$C,R$2,FALSE)),IF($N123=0,IF(ISERROR(VLOOKUP($P123,'M1'!$A:$C,R$2,FALSE)),IF(ISERROR(VLOOKUP(DATA!$P82,'M2'!$A:$C,R$2,FALSE)),"NOT PRESENT",VLOOKUP(DATA!$P82,'M2'!$A:$C,R$2,FALSE)),VLOOKUP($P123,'M1'!$A:$C,R$2,FALSE)),"SPECIFY METHOD")))</f>
        <v>NOT PRESENT</v>
      </c>
      <c r="S123" s="20">
        <f t="shared" si="4"/>
        <v>1</v>
      </c>
      <c r="T123" s="2">
        <v>0</v>
      </c>
      <c r="Y123" s="2">
        <v>1</v>
      </c>
    </row>
    <row r="124" spans="1:31">
      <c r="A124" s="7">
        <f>MAX($A$1:$A123)+1</f>
        <v>123</v>
      </c>
      <c r="B124" s="2" t="str">
        <f t="shared" si="1"/>
        <v>Em Lim</v>
      </c>
      <c r="C124" s="2" t="str">
        <f t="shared" si="2"/>
        <v>Isabelle Côté</v>
      </c>
      <c r="D124" s="2" t="str">
        <f t="shared" si="5"/>
        <v>BMSC10</v>
      </c>
      <c r="E124" s="7" t="str">
        <f>IF(ISERROR(VLOOKUP($D124,SITES!$A:$E,2,FALSE)),"",VLOOKUP($D124,SITES!$A:$E,2,FALSE))</f>
        <v>Ross Islets Slug Island</v>
      </c>
      <c r="F124" s="4">
        <f>IF(ISERROR(VLOOKUP($D124,SITES!$A:$E,3,FALSE)),"",VLOOKUP($D124,SITES!$A:$E,3,FALSE))</f>
        <v>48.870517730712798</v>
      </c>
      <c r="G124" s="18">
        <f>IF(ISERROR(VLOOKUP($D124,SITES!$A:$E,4,FALSE)),"",VLOOKUP($D124,SITES!$A:$E,4,FALSE))</f>
        <v>-125.160346984863</v>
      </c>
      <c r="H124" s="5" t="str">
        <f t="shared" si="6"/>
        <v>09/05/2023</v>
      </c>
      <c r="I124" s="2">
        <f t="shared" si="7"/>
        <v>1.5</v>
      </c>
      <c r="J124" s="2">
        <f t="shared" si="8"/>
        <v>270</v>
      </c>
      <c r="K124" s="6">
        <f t="shared" si="9"/>
        <v>0.43263888888888885</v>
      </c>
      <c r="L124" s="2" t="str">
        <f t="shared" si="3"/>
        <v>EGL</v>
      </c>
      <c r="M124" s="2">
        <f t="shared" si="11"/>
        <v>4</v>
      </c>
      <c r="N124" s="2">
        <f t="shared" si="14"/>
        <v>2</v>
      </c>
      <c r="O124" s="2">
        <f t="shared" si="12"/>
        <v>1</v>
      </c>
      <c r="P124" s="27" t="s">
        <v>181</v>
      </c>
      <c r="Q124" s="7" t="str">
        <f>IF($N124=1,IF(ISERROR(VLOOKUP($P124,'M1'!$A:$C,Q$2,FALSE)),"NOT PRESENT",VLOOKUP($P124,'M1'!$A:$C,Q$2,FALSE)),IF($N124=2,IF(ISERROR(VLOOKUP(DATA!$P83,'M2'!$A:$C,Q$2,FALSE)),"NOT PRESENT",VLOOKUP(DATA!$P83,'M2'!$A:$C,Q$2,FALSE)),IF($N124=0,IF(ISERROR(VLOOKUP($P124,'M1'!$A:$C,Q$2,FALSE)),IF(ISERROR(VLOOKUP(DATA!$P83,'M2'!$A:$C,Q$2,FALSE)),"NOT PRESENT",VLOOKUP(DATA!$P83,'M2'!$A:$C,Q$2,FALSE)),VLOOKUP($P124,'M1'!$A:$C,Q$2,FALSE)),"SPECIFY METHOD")))</f>
        <v>NOT PRESENT</v>
      </c>
      <c r="R124" s="7" t="str">
        <f>IF($N124=1,IF(ISERROR(VLOOKUP($P124,'M1'!$A:$C,R$2,FALSE)),"NOT PRESENT",VLOOKUP($P124,'M1'!$A:$C,R$2,FALSE)),IF($N124=2,IF(ISERROR(VLOOKUP(DATA!$P83,'M2'!$A:$C,R$2,FALSE)),"NOT PRESENT",VLOOKUP(DATA!$P83,'M2'!$A:$C,R$2,FALSE)),IF($N124=0,IF(ISERROR(VLOOKUP($P124,'M1'!$A:$C,R$2,FALSE)),IF(ISERROR(VLOOKUP(DATA!$P83,'M2'!$A:$C,R$2,FALSE)),"NOT PRESENT",VLOOKUP(DATA!$P83,'M2'!$A:$C,R$2,FALSE)),VLOOKUP($P124,'M1'!$A:$C,R$2,FALSE)),"SPECIFY METHOD")))</f>
        <v>NOT PRESENT</v>
      </c>
      <c r="S124" s="20">
        <f t="shared" si="4"/>
        <v>1</v>
      </c>
      <c r="T124" s="2">
        <v>0</v>
      </c>
      <c r="V124" s="2">
        <v>1</v>
      </c>
    </row>
    <row r="125" spans="1:31">
      <c r="A125" s="7">
        <f>MAX($A$1:$A124)+1</f>
        <v>124</v>
      </c>
      <c r="B125" s="2" t="str">
        <f t="shared" si="1"/>
        <v>Em Lim</v>
      </c>
      <c r="C125" s="2" t="str">
        <f t="shared" si="2"/>
        <v>Isabelle Côté</v>
      </c>
      <c r="D125" s="2" t="str">
        <f t="shared" si="5"/>
        <v>BMSC10</v>
      </c>
      <c r="E125" s="7" t="str">
        <f>IF(ISERROR(VLOOKUP($D125,SITES!$A:$E,2,FALSE)),"",VLOOKUP($D125,SITES!$A:$E,2,FALSE))</f>
        <v>Ross Islets Slug Island</v>
      </c>
      <c r="F125" s="4">
        <f>IF(ISERROR(VLOOKUP($D125,SITES!$A:$E,3,FALSE)),"",VLOOKUP($D125,SITES!$A:$E,3,FALSE))</f>
        <v>48.870517730712798</v>
      </c>
      <c r="G125" s="18">
        <f>IF(ISERROR(VLOOKUP($D125,SITES!$A:$E,4,FALSE)),"",VLOOKUP($D125,SITES!$A:$E,4,FALSE))</f>
        <v>-125.160346984863</v>
      </c>
      <c r="H125" s="5" t="str">
        <f t="shared" si="6"/>
        <v>09/05/2023</v>
      </c>
      <c r="I125" s="2">
        <f t="shared" si="7"/>
        <v>1.5</v>
      </c>
      <c r="J125" s="2">
        <f t="shared" si="8"/>
        <v>270</v>
      </c>
      <c r="K125" s="6">
        <f t="shared" si="9"/>
        <v>0.43263888888888885</v>
      </c>
      <c r="L125" s="2" t="str">
        <f t="shared" si="3"/>
        <v>EGL</v>
      </c>
      <c r="M125" s="2">
        <f t="shared" si="11"/>
        <v>4</v>
      </c>
      <c r="N125" s="2">
        <v>0</v>
      </c>
      <c r="O125" s="2">
        <f t="shared" si="12"/>
        <v>1</v>
      </c>
      <c r="P125" s="27" t="s">
        <v>206</v>
      </c>
      <c r="Q125" s="7" t="str">
        <f>IF($N125=1,IF(ISERROR(VLOOKUP($P125,'M1'!$A:$C,Q$2,FALSE)),"NOT PRESENT",VLOOKUP($P125,'M1'!$A:$C,Q$2,FALSE)),IF($N125=2,IF(ISERROR(VLOOKUP(DATA!$P84,'M2'!$A:$C,Q$2,FALSE)),"NOT PRESENT",VLOOKUP(DATA!$P84,'M2'!$A:$C,Q$2,FALSE)),IF($N125=0,IF(ISERROR(VLOOKUP($P125,'M1'!$A:$C,Q$2,FALSE)),IF(ISERROR(VLOOKUP(DATA!$P84,'M2'!$A:$C,Q$2,FALSE)),"NOT PRESENT",VLOOKUP(DATA!$P84,'M2'!$A:$C,Q$2,FALSE)),VLOOKUP($P125,'M1'!$A:$C,Q$2,FALSE)),"SPECIFY METHOD")))</f>
        <v>NOT PRESENT</v>
      </c>
      <c r="R125" s="7" t="str">
        <f>IF($N125=1,IF(ISERROR(VLOOKUP($P125,'M1'!$A:$C,R$2,FALSE)),"NOT PRESENT",VLOOKUP($P125,'M1'!$A:$C,R$2,FALSE)),IF($N125=2,IF(ISERROR(VLOOKUP(DATA!$P84,'M2'!$A:$C,R$2,FALSE)),"NOT PRESENT",VLOOKUP(DATA!$P84,'M2'!$A:$C,R$2,FALSE)),IF($N125=0,IF(ISERROR(VLOOKUP($P125,'M1'!$A:$C,R$2,FALSE)),IF(ISERROR(VLOOKUP(DATA!$P84,'M2'!$A:$C,R$2,FALSE)),"NOT PRESENT",VLOOKUP(DATA!$P84,'M2'!$A:$C,R$2,FALSE)),VLOOKUP($P125,'M1'!$A:$C,R$2,FALSE)),"SPECIFY METHOD")))</f>
        <v>NOT PRESENT</v>
      </c>
      <c r="S125" s="20">
        <f t="shared" si="4"/>
        <v>8</v>
      </c>
      <c r="T125" s="2">
        <v>0</v>
      </c>
      <c r="V125" s="2">
        <v>8</v>
      </c>
    </row>
    <row r="126" spans="1:31">
      <c r="A126" s="7">
        <f>MAX($A$1:$A125)+1</f>
        <v>125</v>
      </c>
      <c r="B126" s="2" t="str">
        <f t="shared" si="1"/>
        <v>Em Lim</v>
      </c>
      <c r="C126" s="2" t="str">
        <f t="shared" si="2"/>
        <v>Isabelle Côté</v>
      </c>
      <c r="D126" s="2" t="str">
        <f t="shared" si="5"/>
        <v>BMSC10</v>
      </c>
      <c r="E126" s="7" t="str">
        <f>IF(ISERROR(VLOOKUP($D126,SITES!$A:$E,2,FALSE)),"",VLOOKUP($D126,SITES!$A:$E,2,FALSE))</f>
        <v>Ross Islets Slug Island</v>
      </c>
      <c r="F126" s="4">
        <f>IF(ISERROR(VLOOKUP($D126,SITES!$A:$E,3,FALSE)),"",VLOOKUP($D126,SITES!$A:$E,3,FALSE))</f>
        <v>48.870517730712798</v>
      </c>
      <c r="G126" s="18">
        <f>IF(ISERROR(VLOOKUP($D126,SITES!$A:$E,4,FALSE)),"",VLOOKUP($D126,SITES!$A:$E,4,FALSE))</f>
        <v>-125.160346984863</v>
      </c>
      <c r="H126" s="5" t="str">
        <f t="shared" si="6"/>
        <v>09/05/2023</v>
      </c>
      <c r="I126" s="2">
        <f t="shared" si="7"/>
        <v>1.5</v>
      </c>
      <c r="J126" s="2">
        <f t="shared" si="8"/>
        <v>270</v>
      </c>
      <c r="K126" s="6">
        <f t="shared" si="9"/>
        <v>0.43263888888888885</v>
      </c>
      <c r="L126" s="2" t="str">
        <f t="shared" si="3"/>
        <v>EGL</v>
      </c>
      <c r="M126" s="2">
        <f t="shared" si="11"/>
        <v>4</v>
      </c>
      <c r="N126" s="2">
        <f>IF(ISERROR(N125),IF(ISERROR(N124),IF(ISERROR(N123),"BLANK",N123),N124),N125)</f>
        <v>0</v>
      </c>
      <c r="O126" s="2">
        <v>0</v>
      </c>
      <c r="P126" s="27" t="s">
        <v>214</v>
      </c>
      <c r="Q126" s="7" t="str">
        <f>IF($N126=1,IF(ISERROR(VLOOKUP($P126,'M1'!$A:$C,Q$2,FALSE)),"NOT PRESENT",VLOOKUP($P126,'M1'!$A:$C,Q$2,FALSE)),IF($N126=2,IF(ISERROR(VLOOKUP(DATA!$P85,'M2'!$A:$C,Q$2,FALSE)),"NOT PRESENT",VLOOKUP(DATA!$P85,'M2'!$A:$C,Q$2,FALSE)),IF($N126=0,IF(ISERROR(VLOOKUP($P126,'M1'!$A:$C,Q$2,FALSE)),IF(ISERROR(VLOOKUP(DATA!$P85,'M2'!$A:$C,Q$2,FALSE)),"NOT PRESENT",VLOOKUP(DATA!$P85,'M2'!$A:$C,Q$2,FALSE)),VLOOKUP($P126,'M1'!$A:$C,Q$2,FALSE)),"SPECIFY METHOD")))</f>
        <v>NOT PRESENT</v>
      </c>
      <c r="R126" s="7" t="str">
        <f>IF($N126=1,IF(ISERROR(VLOOKUP($P126,'M1'!$A:$C,R$2,FALSE)),"NOT PRESENT",VLOOKUP($P126,'M1'!$A:$C,R$2,FALSE)),IF($N126=2,IF(ISERROR(VLOOKUP(DATA!$P85,'M2'!$A:$C,R$2,FALSE)),"NOT PRESENT",VLOOKUP(DATA!$P85,'M2'!$A:$C,R$2,FALSE)),IF($N126=0,IF(ISERROR(VLOOKUP($P126,'M1'!$A:$C,R$2,FALSE)),IF(ISERROR(VLOOKUP(DATA!$P85,'M2'!$A:$C,R$2,FALSE)),"NOT PRESENT",VLOOKUP(DATA!$P85,'M2'!$A:$C,R$2,FALSE)),VLOOKUP($P126,'M1'!$A:$C,R$2,FALSE)),"SPECIFY METHOD")))</f>
        <v>NOT PRESENT</v>
      </c>
      <c r="S126" s="20">
        <f t="shared" si="4"/>
        <v>1</v>
      </c>
      <c r="T126" s="2">
        <v>0</v>
      </c>
      <c r="AE126" s="2">
        <v>1</v>
      </c>
    </row>
    <row r="127" spans="1:31">
      <c r="A127" s="7">
        <f>MAX($A$1:$A126)+1</f>
        <v>126</v>
      </c>
      <c r="B127" s="2" t="str">
        <f t="shared" si="1"/>
        <v>Em Lim</v>
      </c>
      <c r="C127" s="2" t="str">
        <f t="shared" si="2"/>
        <v>Isabelle Côté</v>
      </c>
      <c r="D127" s="2" t="str">
        <f t="shared" si="5"/>
        <v>BMSC10</v>
      </c>
      <c r="E127" s="7" t="str">
        <f>IF(ISERROR(VLOOKUP($D127,SITES!$A:$E,2,FALSE)),"",VLOOKUP($D127,SITES!$A:$E,2,FALSE))</f>
        <v>Ross Islets Slug Island</v>
      </c>
      <c r="F127" s="4">
        <f>IF(ISERROR(VLOOKUP($D127,SITES!$A:$E,3,FALSE)),"",VLOOKUP($D127,SITES!$A:$E,3,FALSE))</f>
        <v>48.870517730712798</v>
      </c>
      <c r="G127" s="18">
        <f>IF(ISERROR(VLOOKUP($D127,SITES!$A:$E,4,FALSE)),"",VLOOKUP($D127,SITES!$A:$E,4,FALSE))</f>
        <v>-125.160346984863</v>
      </c>
      <c r="H127" s="5" t="str">
        <f t="shared" si="6"/>
        <v>09/05/2023</v>
      </c>
      <c r="I127" s="2">
        <f t="shared" si="7"/>
        <v>1.5</v>
      </c>
      <c r="J127" s="2">
        <f t="shared" si="8"/>
        <v>270</v>
      </c>
      <c r="K127" s="6">
        <f t="shared" si="9"/>
        <v>0.43263888888888885</v>
      </c>
      <c r="L127" s="2" t="str">
        <f t="shared" si="3"/>
        <v>EGL</v>
      </c>
      <c r="M127" s="2">
        <f t="shared" si="11"/>
        <v>4</v>
      </c>
      <c r="N127" s="2">
        <f>IF(ISERROR(N126),IF(ISERROR(N125),IF(ISERROR(N124),"BLANK",N124),N125),N126)</f>
        <v>0</v>
      </c>
      <c r="O127" s="2">
        <v>0</v>
      </c>
      <c r="P127" s="27" t="s">
        <v>215</v>
      </c>
      <c r="Q127" s="7" t="s">
        <v>216</v>
      </c>
      <c r="R127" s="7" t="s">
        <v>217</v>
      </c>
      <c r="S127" s="20">
        <f t="shared" si="4"/>
        <v>1</v>
      </c>
      <c r="T127" s="2">
        <v>0</v>
      </c>
      <c r="X127" s="2">
        <v>1</v>
      </c>
    </row>
    <row r="128" spans="1:31">
      <c r="A128" s="7">
        <f>MAX($A$1:$A127)+1</f>
        <v>127</v>
      </c>
      <c r="B128" s="2" t="s">
        <v>171</v>
      </c>
      <c r="C128" s="2" t="s">
        <v>170</v>
      </c>
      <c r="D128" s="2" t="s">
        <v>22</v>
      </c>
      <c r="E128" s="7" t="s">
        <v>464</v>
      </c>
      <c r="F128" s="4">
        <v>48.870517730712798</v>
      </c>
      <c r="G128" s="18">
        <v>-125.160346984863</v>
      </c>
      <c r="H128" s="5" t="s">
        <v>6</v>
      </c>
      <c r="I128" s="2">
        <v>1.5</v>
      </c>
      <c r="J128" s="2">
        <v>270</v>
      </c>
      <c r="K128" s="6">
        <v>0.43263888888888885</v>
      </c>
      <c r="L128" s="2" t="s">
        <v>172</v>
      </c>
      <c r="M128" s="2">
        <v>4</v>
      </c>
      <c r="N128" s="2">
        <v>1</v>
      </c>
      <c r="O128" s="2">
        <v>2</v>
      </c>
      <c r="P128" s="2" t="s">
        <v>291</v>
      </c>
      <c r="Q128" s="7" t="s">
        <v>59</v>
      </c>
      <c r="R128" s="7" t="s">
        <v>292</v>
      </c>
      <c r="S128" s="20">
        <v>10</v>
      </c>
      <c r="T128" s="2">
        <v>0</v>
      </c>
      <c r="W128" s="2">
        <v>5</v>
      </c>
      <c r="X128" s="2">
        <v>4</v>
      </c>
      <c r="Y128" s="2">
        <v>1</v>
      </c>
    </row>
    <row r="129" spans="1:27">
      <c r="A129" s="7">
        <f>MAX($A$1:$A128)+1</f>
        <v>128</v>
      </c>
      <c r="B129" s="2" t="s">
        <v>171</v>
      </c>
      <c r="C129" s="2" t="s">
        <v>170</v>
      </c>
      <c r="D129" s="2" t="s">
        <v>22</v>
      </c>
      <c r="E129" s="7" t="s">
        <v>464</v>
      </c>
      <c r="F129" s="4">
        <v>48.870517730712798</v>
      </c>
      <c r="G129" s="18">
        <v>-125.160346984863</v>
      </c>
      <c r="H129" s="5" t="s">
        <v>6</v>
      </c>
      <c r="I129" s="2">
        <v>1.5</v>
      </c>
      <c r="J129" s="2">
        <v>270</v>
      </c>
      <c r="K129" s="6">
        <v>0.43263888888888885</v>
      </c>
      <c r="L129" s="2" t="s">
        <v>172</v>
      </c>
      <c r="M129" s="2">
        <v>4</v>
      </c>
      <c r="N129" s="2">
        <v>1</v>
      </c>
      <c r="O129" s="2">
        <v>2</v>
      </c>
      <c r="P129" s="2" t="s">
        <v>232</v>
      </c>
      <c r="Q129" s="7" t="s">
        <v>43</v>
      </c>
      <c r="R129" s="7" t="s">
        <v>324</v>
      </c>
      <c r="S129" s="20">
        <v>3</v>
      </c>
      <c r="T129" s="2">
        <v>0</v>
      </c>
      <c r="Y129" s="2">
        <v>1</v>
      </c>
      <c r="Z129" s="2">
        <v>1</v>
      </c>
      <c r="AA129" s="2">
        <v>1</v>
      </c>
    </row>
    <row r="130" spans="1:27">
      <c r="A130" s="7">
        <f>MAX($A$1:$A129)+1</f>
        <v>129</v>
      </c>
      <c r="B130" s="2" t="s">
        <v>171</v>
      </c>
      <c r="C130" s="2" t="s">
        <v>170</v>
      </c>
      <c r="D130" s="2" t="s">
        <v>22</v>
      </c>
      <c r="E130" s="7" t="s">
        <v>464</v>
      </c>
      <c r="F130" s="4">
        <v>48.870517730712798</v>
      </c>
      <c r="G130" s="18">
        <v>-125.160346984863</v>
      </c>
      <c r="H130" s="5" t="s">
        <v>6</v>
      </c>
      <c r="I130" s="2">
        <v>1.5</v>
      </c>
      <c r="J130" s="2">
        <v>270</v>
      </c>
      <c r="K130" s="6">
        <v>0.43263888888888885</v>
      </c>
      <c r="L130" s="2" t="s">
        <v>172</v>
      </c>
      <c r="M130" s="2">
        <v>4</v>
      </c>
      <c r="N130" s="2">
        <v>1</v>
      </c>
      <c r="O130" s="2">
        <v>2</v>
      </c>
      <c r="P130" s="2" t="s">
        <v>230</v>
      </c>
      <c r="Q130" s="7" t="s">
        <v>42</v>
      </c>
      <c r="R130" s="7" t="s">
        <v>321</v>
      </c>
      <c r="S130" s="20">
        <v>5</v>
      </c>
      <c r="T130" s="2">
        <v>0</v>
      </c>
      <c r="W130" s="2">
        <v>5</v>
      </c>
    </row>
    <row r="131" spans="1:27">
      <c r="A131" s="7">
        <f>MAX($A$1:$A130)+1</f>
        <v>130</v>
      </c>
      <c r="B131" s="2" t="s">
        <v>171</v>
      </c>
      <c r="C131" s="2" t="s">
        <v>170</v>
      </c>
      <c r="D131" s="2" t="s">
        <v>22</v>
      </c>
      <c r="E131" s="7" t="s">
        <v>464</v>
      </c>
      <c r="F131" s="4">
        <v>48.870517730712798</v>
      </c>
      <c r="G131" s="18">
        <v>-125.160346984863</v>
      </c>
      <c r="H131" s="5" t="s">
        <v>6</v>
      </c>
      <c r="I131" s="2">
        <v>1.5</v>
      </c>
      <c r="J131" s="2">
        <v>270</v>
      </c>
      <c r="K131" s="6">
        <v>0.43263888888888885</v>
      </c>
      <c r="L131" s="2" t="s">
        <v>172</v>
      </c>
      <c r="M131" s="2">
        <v>4</v>
      </c>
      <c r="N131" s="2">
        <v>1</v>
      </c>
      <c r="O131" s="2">
        <v>2</v>
      </c>
      <c r="P131" s="2" t="s">
        <v>393</v>
      </c>
      <c r="Q131" s="7" t="s">
        <v>58</v>
      </c>
      <c r="R131" s="7" t="s">
        <v>394</v>
      </c>
      <c r="S131" s="20">
        <v>80</v>
      </c>
      <c r="T131" s="2">
        <v>0</v>
      </c>
      <c r="W131" s="2">
        <v>80</v>
      </c>
    </row>
    <row r="132" spans="1:27">
      <c r="A132" s="7">
        <f>MAX($A$1:$A131)+1</f>
        <v>131</v>
      </c>
      <c r="B132" s="2" t="s">
        <v>171</v>
      </c>
      <c r="C132" s="2" t="s">
        <v>170</v>
      </c>
      <c r="D132" s="2" t="s">
        <v>22</v>
      </c>
      <c r="E132" s="7" t="s">
        <v>464</v>
      </c>
      <c r="F132" s="4">
        <v>48.870517730712798</v>
      </c>
      <c r="G132" s="18">
        <v>-125.160346984863</v>
      </c>
      <c r="H132" s="5" t="s">
        <v>6</v>
      </c>
      <c r="I132" s="2">
        <v>1.5</v>
      </c>
      <c r="J132" s="2">
        <v>270</v>
      </c>
      <c r="K132" s="6">
        <v>0.43263888888888885</v>
      </c>
      <c r="L132" s="2" t="s">
        <v>172</v>
      </c>
      <c r="M132" s="2">
        <v>4</v>
      </c>
      <c r="N132" s="2">
        <v>1</v>
      </c>
      <c r="O132" s="2">
        <v>2</v>
      </c>
      <c r="P132" s="2" t="s">
        <v>465</v>
      </c>
      <c r="Q132" s="7" t="s">
        <v>466</v>
      </c>
      <c r="R132" s="7" t="s">
        <v>467</v>
      </c>
      <c r="S132" s="20">
        <v>23</v>
      </c>
      <c r="T132" s="2">
        <v>0</v>
      </c>
      <c r="W132" s="2">
        <v>23</v>
      </c>
    </row>
    <row r="133" spans="1:27">
      <c r="A133" s="7">
        <f>MAX($A$1:$A132)+1</f>
        <v>132</v>
      </c>
      <c r="B133" s="2" t="s">
        <v>171</v>
      </c>
      <c r="C133" s="2" t="s">
        <v>170</v>
      </c>
      <c r="D133" s="2" t="s">
        <v>22</v>
      </c>
      <c r="E133" s="7" t="s">
        <v>464</v>
      </c>
      <c r="F133" s="4">
        <v>48.870517730712798</v>
      </c>
      <c r="G133" s="18">
        <v>-125.160346984863</v>
      </c>
      <c r="H133" s="5" t="s">
        <v>6</v>
      </c>
      <c r="I133" s="2">
        <v>1.5</v>
      </c>
      <c r="J133" s="2">
        <v>270</v>
      </c>
      <c r="K133" s="6">
        <v>0.43263888888888885</v>
      </c>
      <c r="L133" s="2" t="s">
        <v>172</v>
      </c>
      <c r="M133" s="2">
        <v>4</v>
      </c>
      <c r="N133" s="2">
        <v>1</v>
      </c>
      <c r="O133" s="2">
        <v>2</v>
      </c>
      <c r="P133" s="2" t="s">
        <v>468</v>
      </c>
      <c r="Q133" s="7" t="s">
        <v>469</v>
      </c>
      <c r="R133" s="7" t="s">
        <v>470</v>
      </c>
      <c r="S133" s="20">
        <v>12</v>
      </c>
      <c r="T133" s="2">
        <v>0</v>
      </c>
      <c r="W133" s="2">
        <v>7</v>
      </c>
      <c r="X133" s="2">
        <v>5</v>
      </c>
    </row>
    <row r="134" spans="1:27">
      <c r="A134" s="7">
        <f>MAX($A$1:$A133)+1</f>
        <v>133</v>
      </c>
      <c r="B134" s="2" t="s">
        <v>171</v>
      </c>
      <c r="C134" s="2" t="s">
        <v>170</v>
      </c>
      <c r="D134" s="2" t="s">
        <v>22</v>
      </c>
      <c r="E134" s="7" t="s">
        <v>464</v>
      </c>
      <c r="F134" s="4">
        <v>48.870517730712798</v>
      </c>
      <c r="G134" s="18">
        <v>-125.160346984863</v>
      </c>
      <c r="H134" s="5" t="s">
        <v>6</v>
      </c>
      <c r="I134" s="2">
        <v>1.5</v>
      </c>
      <c r="J134" s="2">
        <v>270</v>
      </c>
      <c r="K134" s="6">
        <v>0.43263888888888885</v>
      </c>
      <c r="L134" s="2" t="s">
        <v>172</v>
      </c>
      <c r="M134" s="2">
        <v>4</v>
      </c>
      <c r="N134" s="2">
        <v>1</v>
      </c>
      <c r="O134" s="2">
        <v>2</v>
      </c>
      <c r="P134" s="2" t="s">
        <v>234</v>
      </c>
      <c r="Q134" s="7" t="s">
        <v>45</v>
      </c>
      <c r="R134" s="7" t="s">
        <v>353</v>
      </c>
      <c r="S134" s="20">
        <v>2</v>
      </c>
      <c r="T134" s="2">
        <v>0</v>
      </c>
      <c r="Y134" s="2">
        <v>2</v>
      </c>
    </row>
    <row r="135" spans="1:27">
      <c r="A135" s="7">
        <f>MAX($A$1:$A134)+1</f>
        <v>134</v>
      </c>
      <c r="B135" s="2" t="s">
        <v>171</v>
      </c>
      <c r="C135" s="2" t="s">
        <v>170</v>
      </c>
      <c r="D135" s="2" t="s">
        <v>22</v>
      </c>
      <c r="E135" s="7" t="s">
        <v>464</v>
      </c>
      <c r="F135" s="4">
        <v>48.870517730712798</v>
      </c>
      <c r="G135" s="18">
        <v>-125.160346984863</v>
      </c>
      <c r="H135" s="5" t="s">
        <v>6</v>
      </c>
      <c r="I135" s="2">
        <v>1.5</v>
      </c>
      <c r="J135" s="2">
        <v>270</v>
      </c>
      <c r="K135" s="6">
        <v>0.43263888888888885</v>
      </c>
      <c r="L135" s="2" t="s">
        <v>172</v>
      </c>
      <c r="M135" s="2">
        <v>4</v>
      </c>
      <c r="N135" s="2">
        <v>1</v>
      </c>
      <c r="O135" s="2">
        <v>2</v>
      </c>
      <c r="P135" s="2" t="s">
        <v>471</v>
      </c>
      <c r="Q135" s="7" t="s">
        <v>57</v>
      </c>
      <c r="R135" s="7" t="s">
        <v>472</v>
      </c>
      <c r="S135" s="20">
        <v>1</v>
      </c>
      <c r="T135" s="2">
        <v>0</v>
      </c>
      <c r="Z135" s="2">
        <v>1</v>
      </c>
    </row>
    <row r="136" spans="1:27">
      <c r="A136" s="7">
        <f>MAX($A$1:$A135)+1</f>
        <v>135</v>
      </c>
      <c r="B136" s="2" t="s">
        <v>171</v>
      </c>
      <c r="C136" s="2" t="s">
        <v>170</v>
      </c>
      <c r="D136" s="2" t="s">
        <v>22</v>
      </c>
      <c r="E136" s="7" t="s">
        <v>464</v>
      </c>
      <c r="F136" s="4">
        <v>48.870517730712798</v>
      </c>
      <c r="G136" s="18">
        <v>-125.160346984863</v>
      </c>
      <c r="H136" s="5" t="s">
        <v>6</v>
      </c>
      <c r="I136" s="2">
        <v>1.5</v>
      </c>
      <c r="J136" s="2">
        <v>270</v>
      </c>
      <c r="K136" s="6">
        <v>0.43263888888888885</v>
      </c>
      <c r="L136" s="2" t="s">
        <v>172</v>
      </c>
      <c r="M136" s="2">
        <v>4</v>
      </c>
      <c r="N136" s="2">
        <v>1</v>
      </c>
      <c r="O136" s="2">
        <v>2</v>
      </c>
      <c r="P136" s="2" t="s">
        <v>231</v>
      </c>
      <c r="Q136" s="7" t="s">
        <v>48</v>
      </c>
      <c r="R136" s="7" t="s">
        <v>365</v>
      </c>
      <c r="S136" s="20">
        <v>3</v>
      </c>
      <c r="T136" s="2">
        <v>0</v>
      </c>
      <c r="Z136" s="2">
        <v>3</v>
      </c>
    </row>
    <row r="137" spans="1:27">
      <c r="A137" s="7">
        <f>MAX($A$1:$A136)+1</f>
        <v>136</v>
      </c>
      <c r="B137" s="2" t="s">
        <v>171</v>
      </c>
      <c r="C137" s="2" t="s">
        <v>170</v>
      </c>
      <c r="D137" s="2" t="s">
        <v>22</v>
      </c>
      <c r="E137" s="7" t="s">
        <v>464</v>
      </c>
      <c r="F137" s="4">
        <v>48.870517730712798</v>
      </c>
      <c r="G137" s="18">
        <v>-125.160346984863</v>
      </c>
      <c r="H137" s="5" t="s">
        <v>6</v>
      </c>
      <c r="I137" s="2">
        <v>1.5</v>
      </c>
      <c r="J137" s="2">
        <v>270</v>
      </c>
      <c r="K137" s="6">
        <v>0.43263888888888885</v>
      </c>
      <c r="L137" s="2" t="s">
        <v>172</v>
      </c>
      <c r="M137" s="2">
        <v>4</v>
      </c>
      <c r="N137" s="2">
        <v>2</v>
      </c>
      <c r="O137" s="2">
        <v>2</v>
      </c>
      <c r="P137" s="2" t="s">
        <v>241</v>
      </c>
      <c r="Q137" s="7" t="s">
        <v>63</v>
      </c>
      <c r="R137" s="7" t="s">
        <v>294</v>
      </c>
      <c r="S137" s="20">
        <v>110</v>
      </c>
      <c r="T137" s="2">
        <v>110</v>
      </c>
    </row>
    <row r="138" spans="1:27">
      <c r="A138" s="7">
        <f>MAX($A$1:$A137)+1</f>
        <v>137</v>
      </c>
      <c r="B138" s="2" t="s">
        <v>171</v>
      </c>
      <c r="C138" s="2" t="s">
        <v>170</v>
      </c>
      <c r="D138" s="2" t="s">
        <v>22</v>
      </c>
      <c r="E138" s="7" t="s">
        <v>464</v>
      </c>
      <c r="F138" s="4">
        <v>48.870517730712798</v>
      </c>
      <c r="G138" s="18">
        <v>-125.160346984863</v>
      </c>
      <c r="H138" s="5" t="s">
        <v>6</v>
      </c>
      <c r="I138" s="2">
        <v>1.5</v>
      </c>
      <c r="J138" s="2">
        <v>270</v>
      </c>
      <c r="K138" s="6">
        <v>0.43263888888888885</v>
      </c>
      <c r="L138" s="2" t="s">
        <v>172</v>
      </c>
      <c r="M138" s="2">
        <v>4</v>
      </c>
      <c r="N138" s="2">
        <v>2</v>
      </c>
      <c r="O138" s="2">
        <v>2</v>
      </c>
      <c r="P138" s="2" t="s">
        <v>238</v>
      </c>
      <c r="Q138" s="7" t="s">
        <v>69</v>
      </c>
      <c r="R138" s="7" t="s">
        <v>313</v>
      </c>
      <c r="S138" s="20">
        <v>56</v>
      </c>
      <c r="T138" s="2">
        <v>56</v>
      </c>
    </row>
    <row r="139" spans="1:27">
      <c r="A139" s="7">
        <f>MAX($A$1:$A138)+1</f>
        <v>138</v>
      </c>
      <c r="B139" s="2" t="s">
        <v>171</v>
      </c>
      <c r="C139" s="2" t="s">
        <v>170</v>
      </c>
      <c r="D139" s="2" t="s">
        <v>22</v>
      </c>
      <c r="E139" s="7" t="s">
        <v>464</v>
      </c>
      <c r="F139" s="4">
        <v>48.870517730712798</v>
      </c>
      <c r="G139" s="18">
        <v>-125.160346984863</v>
      </c>
      <c r="H139" s="5" t="s">
        <v>6</v>
      </c>
      <c r="I139" s="2">
        <v>1.5</v>
      </c>
      <c r="J139" s="2">
        <v>270</v>
      </c>
      <c r="K139" s="6">
        <v>0.43263888888888885</v>
      </c>
      <c r="L139" s="2" t="s">
        <v>172</v>
      </c>
      <c r="M139" s="2">
        <v>4</v>
      </c>
      <c r="N139" s="2">
        <v>2</v>
      </c>
      <c r="O139" s="2">
        <v>2</v>
      </c>
      <c r="P139" s="2" t="s">
        <v>240</v>
      </c>
      <c r="Q139" s="7" t="s">
        <v>74</v>
      </c>
      <c r="R139" s="7" t="s">
        <v>459</v>
      </c>
      <c r="S139" s="20">
        <v>6</v>
      </c>
      <c r="T139" s="2">
        <v>6</v>
      </c>
    </row>
    <row r="140" spans="1:27">
      <c r="A140" s="7">
        <f>MAX($A$1:$A139)+1</f>
        <v>139</v>
      </c>
      <c r="B140" s="2" t="s">
        <v>171</v>
      </c>
      <c r="C140" s="2" t="s">
        <v>170</v>
      </c>
      <c r="D140" s="2" t="s">
        <v>22</v>
      </c>
      <c r="E140" s="7" t="s">
        <v>464</v>
      </c>
      <c r="F140" s="4">
        <v>48.870517730712798</v>
      </c>
      <c r="G140" s="18">
        <v>-125.160346984863</v>
      </c>
      <c r="H140" s="5" t="s">
        <v>6</v>
      </c>
      <c r="I140" s="2">
        <v>1.5</v>
      </c>
      <c r="J140" s="2">
        <v>270</v>
      </c>
      <c r="K140" s="6">
        <v>0.43263888888888885</v>
      </c>
      <c r="L140" s="2" t="s">
        <v>172</v>
      </c>
      <c r="M140" s="2">
        <v>4</v>
      </c>
      <c r="N140" s="2">
        <v>2</v>
      </c>
      <c r="O140" s="2">
        <v>2</v>
      </c>
      <c r="P140" s="2" t="s">
        <v>296</v>
      </c>
      <c r="Q140" s="7" t="s">
        <v>75</v>
      </c>
      <c r="R140" s="7" t="s">
        <v>297</v>
      </c>
      <c r="S140" s="20">
        <v>8</v>
      </c>
      <c r="T140" s="2">
        <v>8</v>
      </c>
    </row>
    <row r="141" spans="1:27">
      <c r="A141" s="7">
        <f>MAX($A$1:$A140)+1</f>
        <v>140</v>
      </c>
      <c r="B141" s="2" t="s">
        <v>171</v>
      </c>
      <c r="C141" s="2" t="s">
        <v>170</v>
      </c>
      <c r="D141" s="2" t="s">
        <v>22</v>
      </c>
      <c r="E141" s="7" t="s">
        <v>464</v>
      </c>
      <c r="F141" s="4">
        <v>48.870517730712798</v>
      </c>
      <c r="G141" s="18">
        <v>-125.160346984863</v>
      </c>
      <c r="H141" s="5" t="s">
        <v>6</v>
      </c>
      <c r="I141" s="2">
        <v>1.5</v>
      </c>
      <c r="J141" s="2">
        <v>270</v>
      </c>
      <c r="K141" s="6">
        <v>0.43263888888888885</v>
      </c>
      <c r="L141" s="2" t="s">
        <v>172</v>
      </c>
      <c r="M141" s="2">
        <v>4</v>
      </c>
      <c r="N141" s="2">
        <v>2</v>
      </c>
      <c r="O141" s="2">
        <v>2</v>
      </c>
      <c r="P141" s="2" t="s">
        <v>244</v>
      </c>
      <c r="Q141" s="7" t="s">
        <v>65</v>
      </c>
      <c r="R141" s="7" t="s">
        <v>307</v>
      </c>
      <c r="S141" s="20">
        <v>37</v>
      </c>
      <c r="T141" s="2">
        <v>37</v>
      </c>
    </row>
    <row r="142" spans="1:27">
      <c r="A142" s="7">
        <f>MAX($A$1:$A141)+1</f>
        <v>141</v>
      </c>
      <c r="B142" s="2" t="s">
        <v>171</v>
      </c>
      <c r="C142" s="2" t="s">
        <v>170</v>
      </c>
      <c r="D142" s="2" t="s">
        <v>22</v>
      </c>
      <c r="E142" s="7" t="s">
        <v>464</v>
      </c>
      <c r="F142" s="4">
        <v>48.870517730712798</v>
      </c>
      <c r="G142" s="18">
        <v>-125.160346984863</v>
      </c>
      <c r="H142" s="5" t="s">
        <v>6</v>
      </c>
      <c r="I142" s="2">
        <v>1.5</v>
      </c>
      <c r="J142" s="2">
        <v>270</v>
      </c>
      <c r="K142" s="6">
        <v>0.43263888888888885</v>
      </c>
      <c r="L142" s="2" t="s">
        <v>172</v>
      </c>
      <c r="M142" s="2">
        <v>4</v>
      </c>
      <c r="N142" s="2">
        <v>0</v>
      </c>
      <c r="O142" s="2">
        <v>2</v>
      </c>
      <c r="P142" s="2" t="s">
        <v>235</v>
      </c>
      <c r="Q142" s="7" t="s">
        <v>54</v>
      </c>
      <c r="R142" s="7" t="s">
        <v>364</v>
      </c>
      <c r="S142" s="20">
        <v>1</v>
      </c>
      <c r="T142" s="2">
        <v>0</v>
      </c>
      <c r="W142" s="2">
        <v>1</v>
      </c>
    </row>
    <row r="143" spans="1:27">
      <c r="A143" s="7">
        <f>MAX($A$1:$A142)+1</f>
        <v>142</v>
      </c>
      <c r="B143" s="2" t="s">
        <v>171</v>
      </c>
      <c r="C143" s="2" t="s">
        <v>170</v>
      </c>
      <c r="D143" s="2" t="s">
        <v>22</v>
      </c>
      <c r="E143" s="7" t="s">
        <v>464</v>
      </c>
      <c r="F143" s="4">
        <v>48.870517730712798</v>
      </c>
      <c r="G143" s="18">
        <v>-125.160346984863</v>
      </c>
      <c r="H143" s="5" t="s">
        <v>6</v>
      </c>
      <c r="I143" s="2">
        <v>1.5</v>
      </c>
      <c r="J143" s="2">
        <v>270</v>
      </c>
      <c r="K143" s="6">
        <v>0.43263888888888885</v>
      </c>
      <c r="L143" s="2" t="s">
        <v>172</v>
      </c>
      <c r="M143" s="2">
        <v>4</v>
      </c>
      <c r="N143" s="2">
        <v>0</v>
      </c>
      <c r="O143" s="2">
        <v>2</v>
      </c>
      <c r="P143" s="2" t="s">
        <v>234</v>
      </c>
      <c r="Q143" s="7" t="s">
        <v>45</v>
      </c>
      <c r="R143" s="7" t="s">
        <v>353</v>
      </c>
      <c r="S143" s="20">
        <v>1</v>
      </c>
      <c r="T143" s="2">
        <v>0</v>
      </c>
      <c r="Y143" s="2">
        <v>1</v>
      </c>
    </row>
    <row r="144" spans="1:27">
      <c r="A144" s="7">
        <f>MAX($A$1:$A143)+1</f>
        <v>143</v>
      </c>
      <c r="B144" s="2" t="s">
        <v>171</v>
      </c>
      <c r="C144" s="2" t="s">
        <v>170</v>
      </c>
      <c r="D144" s="2" t="s">
        <v>22</v>
      </c>
      <c r="E144" s="7" t="s">
        <v>464</v>
      </c>
      <c r="F144" s="4">
        <v>48.870517730712798</v>
      </c>
      <c r="G144" s="18">
        <v>-125.160346984863</v>
      </c>
      <c r="H144" s="5" t="s">
        <v>6</v>
      </c>
      <c r="I144" s="2">
        <v>1.5</v>
      </c>
      <c r="J144" s="2">
        <v>270</v>
      </c>
      <c r="K144" s="6">
        <v>0.43263888888888885</v>
      </c>
      <c r="L144" s="2" t="s">
        <v>172</v>
      </c>
      <c r="M144" s="2">
        <v>4</v>
      </c>
      <c r="N144" s="2">
        <v>2</v>
      </c>
      <c r="O144" s="2">
        <v>2</v>
      </c>
      <c r="P144" s="2" t="s">
        <v>230</v>
      </c>
      <c r="Q144" s="7" t="s">
        <v>42</v>
      </c>
      <c r="R144" s="7" t="s">
        <v>321</v>
      </c>
      <c r="S144" s="20">
        <v>58</v>
      </c>
      <c r="T144" s="2">
        <v>0</v>
      </c>
      <c r="U144" s="2">
        <v>4</v>
      </c>
      <c r="V144" s="2">
        <v>14</v>
      </c>
      <c r="W144" s="2">
        <v>20</v>
      </c>
      <c r="X144" s="2">
        <v>18</v>
      </c>
      <c r="Y144" s="2">
        <v>2</v>
      </c>
    </row>
    <row r="145" spans="1:28">
      <c r="A145" s="7">
        <f>MAX($A$1:$A144)+1</f>
        <v>144</v>
      </c>
      <c r="B145" s="2" t="s">
        <v>171</v>
      </c>
      <c r="C145" s="2" t="s">
        <v>170</v>
      </c>
      <c r="D145" s="2" t="s">
        <v>22</v>
      </c>
      <c r="E145" s="7" t="s">
        <v>464</v>
      </c>
      <c r="F145" s="4">
        <v>48.870517730712798</v>
      </c>
      <c r="G145" s="18">
        <v>-125.160346984863</v>
      </c>
      <c r="H145" s="5" t="s">
        <v>6</v>
      </c>
      <c r="I145" s="2">
        <v>1.5</v>
      </c>
      <c r="J145" s="2">
        <v>270</v>
      </c>
      <c r="K145" s="6">
        <v>0.43263888888888885</v>
      </c>
      <c r="L145" s="2" t="s">
        <v>172</v>
      </c>
      <c r="M145" s="2">
        <v>4</v>
      </c>
      <c r="N145" s="2">
        <v>2</v>
      </c>
      <c r="O145" s="2">
        <v>2</v>
      </c>
      <c r="P145" s="2" t="s">
        <v>331</v>
      </c>
      <c r="Q145" s="7" t="s">
        <v>67</v>
      </c>
      <c r="R145" s="7" t="s">
        <v>332</v>
      </c>
      <c r="S145" s="20">
        <v>6</v>
      </c>
      <c r="T145" s="2">
        <v>6</v>
      </c>
    </row>
    <row r="146" spans="1:28">
      <c r="A146" s="7">
        <f>MAX($A$1:$A145)+1</f>
        <v>145</v>
      </c>
      <c r="B146" s="2" t="s">
        <v>171</v>
      </c>
      <c r="C146" s="2" t="s">
        <v>170</v>
      </c>
      <c r="D146" s="2" t="s">
        <v>22</v>
      </c>
      <c r="E146" s="7" t="s">
        <v>464</v>
      </c>
      <c r="F146" s="4">
        <v>48.870517730712798</v>
      </c>
      <c r="G146" s="18">
        <v>-125.160346984863</v>
      </c>
      <c r="H146" s="5" t="s">
        <v>6</v>
      </c>
      <c r="I146" s="2">
        <v>1.5</v>
      </c>
      <c r="J146" s="2">
        <v>270</v>
      </c>
      <c r="K146" s="6">
        <v>0.43263888888888885</v>
      </c>
      <c r="L146" s="2" t="s">
        <v>172</v>
      </c>
      <c r="M146" s="2">
        <v>4</v>
      </c>
      <c r="N146" s="2">
        <v>2</v>
      </c>
      <c r="O146" s="2">
        <v>2</v>
      </c>
      <c r="P146" s="2" t="s">
        <v>246</v>
      </c>
      <c r="Q146" s="7" t="s">
        <v>66</v>
      </c>
      <c r="R146" s="7" t="s">
        <v>318</v>
      </c>
      <c r="S146" s="20">
        <v>7</v>
      </c>
      <c r="T146" s="2">
        <v>0</v>
      </c>
      <c r="V146" s="2">
        <v>1</v>
      </c>
      <c r="W146" s="2">
        <v>3</v>
      </c>
      <c r="X146" s="2">
        <v>2</v>
      </c>
      <c r="Y146" s="2">
        <v>1</v>
      </c>
    </row>
    <row r="147" spans="1:28">
      <c r="A147" s="7">
        <f>MAX($A$1:$A146)+1</f>
        <v>146</v>
      </c>
      <c r="B147" s="2" t="s">
        <v>171</v>
      </c>
      <c r="C147" s="2" t="s">
        <v>170</v>
      </c>
      <c r="D147" s="2" t="s">
        <v>22</v>
      </c>
      <c r="E147" s="7" t="s">
        <v>464</v>
      </c>
      <c r="F147" s="4">
        <v>48.870517730712798</v>
      </c>
      <c r="G147" s="18">
        <v>-125.160346984863</v>
      </c>
      <c r="H147" s="5" t="s">
        <v>6</v>
      </c>
      <c r="I147" s="2">
        <v>1.5</v>
      </c>
      <c r="J147" s="2">
        <v>270</v>
      </c>
      <c r="K147" s="6">
        <v>0.43263888888888885</v>
      </c>
      <c r="L147" s="2" t="s">
        <v>172</v>
      </c>
      <c r="M147" s="2">
        <v>4</v>
      </c>
      <c r="N147" s="2">
        <v>2</v>
      </c>
      <c r="O147" s="2">
        <v>2</v>
      </c>
      <c r="P147" s="2" t="s">
        <v>239</v>
      </c>
      <c r="Q147" s="7" t="s">
        <v>80</v>
      </c>
      <c r="R147" s="7" t="s">
        <v>300</v>
      </c>
      <c r="S147" s="20">
        <v>5</v>
      </c>
      <c r="T147" s="2">
        <v>5</v>
      </c>
    </row>
    <row r="148" spans="1:28">
      <c r="A148" s="7">
        <f>MAX($A$1:$A147)+1</f>
        <v>147</v>
      </c>
      <c r="B148" s="2" t="s">
        <v>171</v>
      </c>
      <c r="C148" s="2" t="s">
        <v>170</v>
      </c>
      <c r="D148" s="2" t="s">
        <v>22</v>
      </c>
      <c r="E148" s="7" t="s">
        <v>464</v>
      </c>
      <c r="F148" s="4">
        <v>48.870517730712798</v>
      </c>
      <c r="G148" s="18">
        <v>-125.160346984863</v>
      </c>
      <c r="H148" s="5" t="s">
        <v>6</v>
      </c>
      <c r="I148" s="2">
        <v>1.5</v>
      </c>
      <c r="J148" s="2">
        <v>270</v>
      </c>
      <c r="K148" s="6">
        <v>0.43263888888888885</v>
      </c>
      <c r="L148" s="2" t="s">
        <v>172</v>
      </c>
      <c r="M148" s="2">
        <v>4</v>
      </c>
      <c r="N148" s="2">
        <v>2</v>
      </c>
      <c r="O148" s="2">
        <v>2</v>
      </c>
      <c r="P148" s="2" t="s">
        <v>350</v>
      </c>
      <c r="Q148" s="7" t="s">
        <v>83</v>
      </c>
      <c r="R148" s="7" t="s">
        <v>351</v>
      </c>
      <c r="S148" s="20">
        <v>4</v>
      </c>
      <c r="T148" s="2">
        <v>4</v>
      </c>
    </row>
    <row r="149" spans="1:28">
      <c r="A149" s="7">
        <f>MAX($A$1:$A148)+1</f>
        <v>148</v>
      </c>
      <c r="B149" s="2" t="s">
        <v>171</v>
      </c>
      <c r="C149" s="2" t="s">
        <v>170</v>
      </c>
      <c r="D149" s="2" t="s">
        <v>22</v>
      </c>
      <c r="E149" s="7" t="s">
        <v>464</v>
      </c>
      <c r="F149" s="4">
        <v>48.870517730712798</v>
      </c>
      <c r="G149" s="18">
        <v>-125.160346984863</v>
      </c>
      <c r="H149" s="5" t="s">
        <v>6</v>
      </c>
      <c r="I149" s="2">
        <v>1.5</v>
      </c>
      <c r="J149" s="2">
        <v>270</v>
      </c>
      <c r="K149" s="6">
        <v>0.43263888888888885</v>
      </c>
      <c r="L149" s="2" t="s">
        <v>172</v>
      </c>
      <c r="M149" s="2">
        <v>4</v>
      </c>
      <c r="N149" s="2">
        <v>2</v>
      </c>
      <c r="O149" s="2">
        <v>2</v>
      </c>
      <c r="P149" s="2" t="s">
        <v>243</v>
      </c>
      <c r="Q149" s="7" t="s">
        <v>85</v>
      </c>
      <c r="R149" s="7" t="s">
        <v>312</v>
      </c>
      <c r="S149" s="20">
        <v>4</v>
      </c>
      <c r="T149" s="2">
        <v>4</v>
      </c>
    </row>
    <row r="150" spans="1:28">
      <c r="A150" s="7">
        <f>MAX($A$1:$A149)+1</f>
        <v>149</v>
      </c>
      <c r="B150" s="2" t="s">
        <v>171</v>
      </c>
      <c r="C150" s="2" t="s">
        <v>170</v>
      </c>
      <c r="D150" s="2" t="s">
        <v>22</v>
      </c>
      <c r="E150" s="7" t="s">
        <v>464</v>
      </c>
      <c r="F150" s="4">
        <v>48.870517730712798</v>
      </c>
      <c r="G150" s="18">
        <v>-125.160346984863</v>
      </c>
      <c r="H150" s="5" t="s">
        <v>6</v>
      </c>
      <c r="I150" s="2">
        <v>1.5</v>
      </c>
      <c r="J150" s="2">
        <v>270</v>
      </c>
      <c r="K150" s="6">
        <v>0.43263888888888885</v>
      </c>
      <c r="L150" s="2" t="s">
        <v>172</v>
      </c>
      <c r="M150" s="2">
        <v>4</v>
      </c>
      <c r="N150" s="2">
        <v>2</v>
      </c>
      <c r="O150" s="2">
        <v>2</v>
      </c>
      <c r="P150" s="2" t="s">
        <v>473</v>
      </c>
      <c r="Q150" s="7" t="s">
        <v>474</v>
      </c>
      <c r="R150" s="7" t="s">
        <v>475</v>
      </c>
      <c r="S150" s="20">
        <v>1</v>
      </c>
      <c r="T150" s="2">
        <v>1</v>
      </c>
    </row>
    <row r="151" spans="1:28">
      <c r="A151" s="7">
        <f>MAX($A$1:$A150)+1</f>
        <v>150</v>
      </c>
      <c r="B151" s="2" t="s">
        <v>171</v>
      </c>
      <c r="C151" s="2" t="s">
        <v>170</v>
      </c>
      <c r="D151" s="2" t="s">
        <v>22</v>
      </c>
      <c r="E151" s="7" t="s">
        <v>464</v>
      </c>
      <c r="F151" s="4">
        <v>48.870517730712798</v>
      </c>
      <c r="G151" s="18">
        <v>-125.160346984863</v>
      </c>
      <c r="H151" s="5" t="s">
        <v>6</v>
      </c>
      <c r="I151" s="2">
        <v>1.5</v>
      </c>
      <c r="J151" s="2">
        <v>270</v>
      </c>
      <c r="K151" s="6">
        <v>0.43263888888888885</v>
      </c>
      <c r="L151" s="2" t="s">
        <v>172</v>
      </c>
      <c r="M151" s="2">
        <v>4</v>
      </c>
      <c r="N151" s="2">
        <v>2</v>
      </c>
      <c r="O151" s="2">
        <v>2</v>
      </c>
      <c r="P151" s="2" t="s">
        <v>247</v>
      </c>
      <c r="Q151" s="7" t="s">
        <v>64</v>
      </c>
      <c r="R151" s="7" t="s">
        <v>293</v>
      </c>
      <c r="S151" s="20">
        <v>6</v>
      </c>
      <c r="T151" s="2">
        <v>6</v>
      </c>
    </row>
    <row r="152" spans="1:28">
      <c r="A152" s="7">
        <f>MAX($A$1:$A151)+1</f>
        <v>151</v>
      </c>
      <c r="B152" s="2" t="s">
        <v>171</v>
      </c>
      <c r="C152" s="2" t="s">
        <v>170</v>
      </c>
      <c r="D152" s="2" t="s">
        <v>22</v>
      </c>
      <c r="E152" s="7" t="s">
        <v>464</v>
      </c>
      <c r="F152" s="4">
        <v>48.870517730712798</v>
      </c>
      <c r="G152" s="18">
        <v>-125.160346984863</v>
      </c>
      <c r="H152" s="5" t="s">
        <v>6</v>
      </c>
      <c r="I152" s="2">
        <v>1.5</v>
      </c>
      <c r="J152" s="2">
        <v>270</v>
      </c>
      <c r="K152" s="6">
        <v>0.43263888888888885</v>
      </c>
      <c r="L152" s="2" t="s">
        <v>172</v>
      </c>
      <c r="M152" s="2">
        <v>4</v>
      </c>
      <c r="N152" s="2">
        <v>2</v>
      </c>
      <c r="O152" s="2">
        <v>2</v>
      </c>
      <c r="P152" s="2" t="s">
        <v>314</v>
      </c>
      <c r="Q152" s="7" t="s">
        <v>71</v>
      </c>
      <c r="R152" s="7" t="s">
        <v>315</v>
      </c>
      <c r="S152" s="20">
        <v>2</v>
      </c>
      <c r="T152" s="2">
        <v>2</v>
      </c>
    </row>
    <row r="153" spans="1:28">
      <c r="A153" s="7">
        <f>MAX($A$1:$A152)+1</f>
        <v>152</v>
      </c>
      <c r="B153" s="2" t="s">
        <v>171</v>
      </c>
      <c r="C153" s="2" t="s">
        <v>170</v>
      </c>
      <c r="D153" s="2" t="s">
        <v>22</v>
      </c>
      <c r="E153" s="7" t="s">
        <v>464</v>
      </c>
      <c r="F153" s="4">
        <v>48.870517730712798</v>
      </c>
      <c r="G153" s="18">
        <v>-125.160346984863</v>
      </c>
      <c r="H153" s="5" t="s">
        <v>6</v>
      </c>
      <c r="I153" s="2">
        <v>1.5</v>
      </c>
      <c r="J153" s="2">
        <v>270</v>
      </c>
      <c r="K153" s="6">
        <v>0.43263888888888885</v>
      </c>
      <c r="L153" s="2" t="s">
        <v>172</v>
      </c>
      <c r="M153" s="2">
        <v>4</v>
      </c>
      <c r="N153" s="2">
        <v>2</v>
      </c>
      <c r="O153" s="2">
        <v>2</v>
      </c>
      <c r="P153" s="2" t="s">
        <v>305</v>
      </c>
      <c r="Q153" s="7" t="s">
        <v>89</v>
      </c>
      <c r="R153" s="7" t="s">
        <v>306</v>
      </c>
      <c r="S153" s="20">
        <v>3</v>
      </c>
      <c r="T153" s="2">
        <v>0</v>
      </c>
      <c r="U153" s="2">
        <v>3</v>
      </c>
    </row>
    <row r="154" spans="1:28">
      <c r="A154" s="7">
        <f>MAX($A$1:$A153)+1</f>
        <v>153</v>
      </c>
      <c r="B154" s="2" t="s">
        <v>171</v>
      </c>
      <c r="C154" s="2" t="s">
        <v>170</v>
      </c>
      <c r="D154" s="2" t="s">
        <v>22</v>
      </c>
      <c r="E154" s="7" t="s">
        <v>464</v>
      </c>
      <c r="F154" s="4">
        <v>48.870517730712798</v>
      </c>
      <c r="G154" s="18">
        <v>-125.160346984863</v>
      </c>
      <c r="H154" s="5" t="s">
        <v>6</v>
      </c>
      <c r="I154" s="2">
        <v>1.5</v>
      </c>
      <c r="J154" s="2">
        <v>270</v>
      </c>
      <c r="K154" s="6">
        <v>0.43263888888888885</v>
      </c>
      <c r="L154" s="2" t="s">
        <v>172</v>
      </c>
      <c r="M154" s="2">
        <v>4</v>
      </c>
      <c r="N154" s="2">
        <v>2</v>
      </c>
      <c r="O154" s="2">
        <v>2</v>
      </c>
      <c r="P154" s="2" t="s">
        <v>251</v>
      </c>
      <c r="Q154" s="7" t="s">
        <v>73</v>
      </c>
      <c r="R154" s="7" t="s">
        <v>325</v>
      </c>
      <c r="S154" s="20">
        <v>2</v>
      </c>
      <c r="T154" s="2">
        <v>2</v>
      </c>
    </row>
    <row r="155" spans="1:28">
      <c r="A155" s="7">
        <f>MAX($A$1:$A154)+1</f>
        <v>154</v>
      </c>
      <c r="B155" s="2" t="s">
        <v>171</v>
      </c>
      <c r="C155" s="2" t="s">
        <v>170</v>
      </c>
      <c r="D155" s="2" t="s">
        <v>22</v>
      </c>
      <c r="E155" s="7" t="s">
        <v>464</v>
      </c>
      <c r="F155" s="4">
        <v>48.870517730712798</v>
      </c>
      <c r="G155" s="18">
        <v>-125.160346984863</v>
      </c>
      <c r="H155" s="5" t="s">
        <v>6</v>
      </c>
      <c r="I155" s="2">
        <v>1.5</v>
      </c>
      <c r="J155" s="2">
        <v>270</v>
      </c>
      <c r="K155" s="6">
        <v>0.43263888888888885</v>
      </c>
      <c r="L155" s="2" t="s">
        <v>172</v>
      </c>
      <c r="M155" s="2">
        <v>4</v>
      </c>
      <c r="N155" s="2">
        <v>2</v>
      </c>
      <c r="O155" s="2">
        <v>2</v>
      </c>
      <c r="P155" s="2" t="s">
        <v>338</v>
      </c>
      <c r="Q155" s="7" t="s">
        <v>101</v>
      </c>
      <c r="R155" s="7" t="s">
        <v>339</v>
      </c>
      <c r="S155" s="20">
        <v>1</v>
      </c>
      <c r="T155" s="2">
        <v>0</v>
      </c>
      <c r="W155" s="2">
        <v>1</v>
      </c>
    </row>
    <row r="156" spans="1:28">
      <c r="A156" s="7">
        <f>MAX($A$1:$A155)+1</f>
        <v>155</v>
      </c>
      <c r="B156" s="2" t="s">
        <v>171</v>
      </c>
      <c r="C156" s="2" t="s">
        <v>170</v>
      </c>
      <c r="D156" s="2" t="s">
        <v>22</v>
      </c>
      <c r="E156" s="7" t="s">
        <v>464</v>
      </c>
      <c r="F156" s="4">
        <v>48.870517730712798</v>
      </c>
      <c r="G156" s="18">
        <v>-125.160346984863</v>
      </c>
      <c r="H156" s="5" t="s">
        <v>6</v>
      </c>
      <c r="I156" s="2">
        <v>1.5</v>
      </c>
      <c r="J156" s="2">
        <v>270</v>
      </c>
      <c r="K156" s="6">
        <v>0.43263888888888885</v>
      </c>
      <c r="L156" s="2" t="s">
        <v>172</v>
      </c>
      <c r="M156" s="2">
        <v>4</v>
      </c>
      <c r="N156" s="2">
        <v>2</v>
      </c>
      <c r="O156" s="2">
        <v>2</v>
      </c>
      <c r="P156" s="2" t="s">
        <v>248</v>
      </c>
      <c r="Q156" s="7" t="s">
        <v>78</v>
      </c>
      <c r="R156" s="7" t="s">
        <v>349</v>
      </c>
      <c r="S156" s="20">
        <v>2</v>
      </c>
      <c r="T156" s="2">
        <v>0</v>
      </c>
      <c r="V156" s="2">
        <v>1</v>
      </c>
      <c r="X156" s="2">
        <v>1</v>
      </c>
    </row>
    <row r="157" spans="1:28">
      <c r="A157" s="7">
        <f>MAX($A$1:$A156)+1</f>
        <v>156</v>
      </c>
      <c r="B157" s="2" t="s">
        <v>171</v>
      </c>
      <c r="C157" s="2" t="s">
        <v>170</v>
      </c>
      <c r="D157" s="2" t="s">
        <v>22</v>
      </c>
      <c r="E157" s="7" t="s">
        <v>464</v>
      </c>
      <c r="F157" s="4">
        <v>48.870517730712798</v>
      </c>
      <c r="G157" s="18">
        <v>-125.160346984863</v>
      </c>
      <c r="H157" s="5" t="s">
        <v>6</v>
      </c>
      <c r="I157" s="2">
        <v>1.5</v>
      </c>
      <c r="J157" s="2">
        <v>270</v>
      </c>
      <c r="K157" s="6">
        <v>0.43263888888888885</v>
      </c>
      <c r="L157" s="2" t="s">
        <v>172</v>
      </c>
      <c r="M157" s="2">
        <v>4</v>
      </c>
      <c r="N157" s="2">
        <v>2</v>
      </c>
      <c r="O157" s="2">
        <v>2</v>
      </c>
      <c r="P157" s="2" t="s">
        <v>393</v>
      </c>
      <c r="Q157" s="7" t="s">
        <v>476</v>
      </c>
      <c r="R157" s="7" t="s">
        <v>477</v>
      </c>
      <c r="S157" s="20">
        <v>1</v>
      </c>
      <c r="T157" s="2">
        <v>0</v>
      </c>
      <c r="AB157" s="2">
        <v>1</v>
      </c>
    </row>
    <row r="158" spans="1:28">
      <c r="A158" s="7">
        <f>MAX($A$1:$A157)+1</f>
        <v>157</v>
      </c>
      <c r="B158" s="2" t="s">
        <v>171</v>
      </c>
      <c r="C158" s="2" t="s">
        <v>170</v>
      </c>
      <c r="D158" s="2" t="s">
        <v>22</v>
      </c>
      <c r="E158" s="7" t="s">
        <v>464</v>
      </c>
      <c r="F158" s="4">
        <v>48.870517730712798</v>
      </c>
      <c r="G158" s="18">
        <v>-125.160346984863</v>
      </c>
      <c r="H158" s="5" t="s">
        <v>6</v>
      </c>
      <c r="I158" s="2">
        <v>1.5</v>
      </c>
      <c r="J158" s="2">
        <v>270</v>
      </c>
      <c r="K158" s="6">
        <v>0.43263888888888885</v>
      </c>
      <c r="L158" s="2" t="s">
        <v>172</v>
      </c>
      <c r="M158" s="2">
        <v>4</v>
      </c>
      <c r="N158" s="2">
        <v>0</v>
      </c>
      <c r="O158" s="2">
        <v>0</v>
      </c>
      <c r="P158" s="2" t="s">
        <v>252</v>
      </c>
      <c r="Q158" s="7" t="s">
        <v>76</v>
      </c>
      <c r="R158" s="7" t="s">
        <v>413</v>
      </c>
      <c r="S158" s="20">
        <v>1</v>
      </c>
      <c r="T158" s="2">
        <v>1</v>
      </c>
    </row>
    <row r="159" spans="1:28">
      <c r="A159" s="7">
        <f>MAX($A$1:$A158)+1</f>
        <v>158</v>
      </c>
      <c r="B159" s="2" t="s">
        <v>171</v>
      </c>
      <c r="C159" s="2" t="s">
        <v>170</v>
      </c>
      <c r="D159" s="2" t="s">
        <v>22</v>
      </c>
      <c r="E159" s="7" t="s">
        <v>464</v>
      </c>
      <c r="F159" s="4">
        <v>48.870517730712798</v>
      </c>
      <c r="G159" s="18">
        <v>-125.160346984863</v>
      </c>
      <c r="H159" s="5" t="s">
        <v>6</v>
      </c>
      <c r="I159" s="2">
        <v>1.5</v>
      </c>
      <c r="J159" s="2">
        <v>270</v>
      </c>
      <c r="K159" s="6">
        <v>0.43263888888888885</v>
      </c>
      <c r="L159" s="2" t="s">
        <v>172</v>
      </c>
      <c r="M159" s="2">
        <v>4</v>
      </c>
      <c r="N159" s="2">
        <v>2</v>
      </c>
      <c r="O159" s="2">
        <v>2</v>
      </c>
      <c r="P159" s="2" t="s">
        <v>342</v>
      </c>
      <c r="Q159" s="7" t="s">
        <v>126</v>
      </c>
      <c r="R159" s="7" t="s">
        <v>329</v>
      </c>
      <c r="S159" s="20">
        <v>0</v>
      </c>
      <c r="T159" s="2">
        <v>0</v>
      </c>
    </row>
    <row r="160" spans="1:28">
      <c r="A160" s="7">
        <f>MAX($A$1:$A159)+1</f>
        <v>159</v>
      </c>
      <c r="B160" s="2" t="s">
        <v>278</v>
      </c>
      <c r="C160" s="2" t="s">
        <v>171</v>
      </c>
      <c r="D160" s="2" t="s">
        <v>38</v>
      </c>
      <c r="E160" s="7" t="s">
        <v>344</v>
      </c>
      <c r="F160" s="4">
        <v>48.857467651367102</v>
      </c>
      <c r="G160" s="18">
        <v>-125.158233642578</v>
      </c>
      <c r="H160" s="5" t="s">
        <v>14</v>
      </c>
      <c r="I160" s="2">
        <v>2</v>
      </c>
      <c r="J160" s="2">
        <v>210</v>
      </c>
      <c r="K160" s="6">
        <v>0.42152777777777778</v>
      </c>
      <c r="L160" s="2" t="s">
        <v>172</v>
      </c>
      <c r="M160" s="2">
        <v>7.5</v>
      </c>
      <c r="N160" s="2">
        <v>1</v>
      </c>
      <c r="O160" s="2">
        <v>1</v>
      </c>
      <c r="P160" s="2" t="s">
        <v>232</v>
      </c>
      <c r="Q160" s="7" t="s">
        <v>43</v>
      </c>
      <c r="R160" s="7" t="s">
        <v>324</v>
      </c>
      <c r="S160" s="20">
        <v>1</v>
      </c>
      <c r="T160" s="2">
        <v>0</v>
      </c>
      <c r="AB160" s="2">
        <v>1</v>
      </c>
    </row>
    <row r="161" spans="1:26">
      <c r="A161" s="7">
        <f>MAX($A$1:$A160)+1</f>
        <v>160</v>
      </c>
      <c r="B161" s="2" t="s">
        <v>278</v>
      </c>
      <c r="C161" s="2" t="s">
        <v>171</v>
      </c>
      <c r="D161" s="2" t="s">
        <v>38</v>
      </c>
      <c r="E161" s="7" t="s">
        <v>344</v>
      </c>
      <c r="F161" s="4">
        <v>48.857467651367102</v>
      </c>
      <c r="G161" s="18">
        <v>-125.158233642578</v>
      </c>
      <c r="H161" s="5" t="s">
        <v>14</v>
      </c>
      <c r="I161" s="2">
        <v>2</v>
      </c>
      <c r="J161" s="2">
        <v>210</v>
      </c>
      <c r="K161" s="6">
        <v>0.42152777777777778</v>
      </c>
      <c r="L161" s="2" t="s">
        <v>172</v>
      </c>
      <c r="M161" s="2">
        <v>7.5</v>
      </c>
      <c r="N161" s="2">
        <v>2</v>
      </c>
      <c r="O161" s="2">
        <v>1</v>
      </c>
      <c r="P161" s="2" t="s">
        <v>241</v>
      </c>
      <c r="Q161" s="7" t="s">
        <v>63</v>
      </c>
      <c r="R161" s="7" t="s">
        <v>294</v>
      </c>
      <c r="S161" s="20">
        <v>311</v>
      </c>
      <c r="T161" s="2">
        <v>311</v>
      </c>
    </row>
    <row r="162" spans="1:26">
      <c r="A162" s="7">
        <f>MAX($A$1:$A161)+1</f>
        <v>161</v>
      </c>
      <c r="B162" s="2" t="s">
        <v>278</v>
      </c>
      <c r="C162" s="2" t="s">
        <v>171</v>
      </c>
      <c r="D162" s="2" t="s">
        <v>38</v>
      </c>
      <c r="E162" s="7" t="s">
        <v>344</v>
      </c>
      <c r="F162" s="4">
        <v>48.857467651367102</v>
      </c>
      <c r="G162" s="18">
        <v>-125.158233642578</v>
      </c>
      <c r="H162" s="5" t="s">
        <v>14</v>
      </c>
      <c r="I162" s="2">
        <v>2</v>
      </c>
      <c r="J162" s="2">
        <v>210</v>
      </c>
      <c r="K162" s="6">
        <v>0.42152777777777778</v>
      </c>
      <c r="L162" s="2" t="s">
        <v>172</v>
      </c>
      <c r="M162" s="2">
        <v>7.5</v>
      </c>
      <c r="N162" s="2">
        <v>2</v>
      </c>
      <c r="O162" s="2">
        <v>1</v>
      </c>
      <c r="P162" s="2" t="s">
        <v>331</v>
      </c>
      <c r="Q162" s="7" t="s">
        <v>67</v>
      </c>
      <c r="R162" s="7" t="s">
        <v>332</v>
      </c>
      <c r="S162" s="20">
        <v>17</v>
      </c>
      <c r="T162" s="2">
        <v>17</v>
      </c>
    </row>
    <row r="163" spans="1:26">
      <c r="A163" s="7">
        <f>MAX($A$1:$A162)+1</f>
        <v>162</v>
      </c>
      <c r="B163" s="2" t="s">
        <v>278</v>
      </c>
      <c r="C163" s="2" t="s">
        <v>171</v>
      </c>
      <c r="D163" s="2" t="s">
        <v>38</v>
      </c>
      <c r="E163" s="7" t="s">
        <v>344</v>
      </c>
      <c r="F163" s="4">
        <v>48.857467651367102</v>
      </c>
      <c r="G163" s="18">
        <v>-125.158233642578</v>
      </c>
      <c r="H163" s="5" t="s">
        <v>14</v>
      </c>
      <c r="I163" s="2">
        <v>2</v>
      </c>
      <c r="J163" s="2">
        <v>210</v>
      </c>
      <c r="K163" s="6">
        <v>0.42152777777777778</v>
      </c>
      <c r="L163" s="2" t="s">
        <v>172</v>
      </c>
      <c r="M163" s="2">
        <v>7.5</v>
      </c>
      <c r="N163" s="2">
        <v>2</v>
      </c>
      <c r="O163" s="2">
        <v>1</v>
      </c>
      <c r="P163" s="2" t="s">
        <v>338</v>
      </c>
      <c r="Q163" s="7" t="s">
        <v>101</v>
      </c>
      <c r="R163" s="7" t="s">
        <v>339</v>
      </c>
      <c r="S163" s="20">
        <v>2</v>
      </c>
      <c r="T163" s="2">
        <v>0</v>
      </c>
      <c r="U163" s="2">
        <v>1</v>
      </c>
      <c r="V163" s="2">
        <v>1</v>
      </c>
    </row>
    <row r="164" spans="1:26">
      <c r="A164" s="7">
        <f>MAX($A$1:$A163)+1</f>
        <v>163</v>
      </c>
      <c r="B164" s="2" t="s">
        <v>278</v>
      </c>
      <c r="C164" s="2" t="s">
        <v>171</v>
      </c>
      <c r="D164" s="2" t="s">
        <v>38</v>
      </c>
      <c r="E164" s="7" t="s">
        <v>344</v>
      </c>
      <c r="F164" s="4">
        <v>48.857467651367102</v>
      </c>
      <c r="G164" s="18">
        <v>-125.158233642578</v>
      </c>
      <c r="H164" s="5" t="s">
        <v>14</v>
      </c>
      <c r="I164" s="2">
        <v>2</v>
      </c>
      <c r="J164" s="2">
        <v>210</v>
      </c>
      <c r="K164" s="6">
        <v>0.42152777777777778</v>
      </c>
      <c r="L164" s="2" t="s">
        <v>172</v>
      </c>
      <c r="M164" s="2">
        <v>7.5</v>
      </c>
      <c r="N164" s="2">
        <v>2</v>
      </c>
      <c r="O164" s="2">
        <v>1</v>
      </c>
      <c r="P164" s="2" t="s">
        <v>296</v>
      </c>
      <c r="Q164" s="7" t="s">
        <v>75</v>
      </c>
      <c r="R164" s="7" t="s">
        <v>297</v>
      </c>
      <c r="S164" s="20">
        <v>6</v>
      </c>
      <c r="T164" s="2">
        <v>6</v>
      </c>
    </row>
    <row r="165" spans="1:26">
      <c r="A165" s="7">
        <f>MAX($A$1:$A164)+1</f>
        <v>164</v>
      </c>
      <c r="B165" s="2" t="s">
        <v>278</v>
      </c>
      <c r="C165" s="2" t="s">
        <v>171</v>
      </c>
      <c r="D165" s="2" t="s">
        <v>38</v>
      </c>
      <c r="E165" s="7" t="s">
        <v>344</v>
      </c>
      <c r="F165" s="4">
        <v>48.857467651367102</v>
      </c>
      <c r="G165" s="18">
        <v>-125.158233642578</v>
      </c>
      <c r="H165" s="5" t="s">
        <v>14</v>
      </c>
      <c r="I165" s="2">
        <v>2</v>
      </c>
      <c r="J165" s="2">
        <v>210</v>
      </c>
      <c r="K165" s="6">
        <v>0.42152777777777778</v>
      </c>
      <c r="L165" s="2" t="s">
        <v>172</v>
      </c>
      <c r="M165" s="2">
        <v>7.5</v>
      </c>
      <c r="N165" s="2">
        <v>2</v>
      </c>
      <c r="O165" s="2">
        <v>1</v>
      </c>
      <c r="P165" s="2" t="s">
        <v>230</v>
      </c>
      <c r="Q165" s="7" t="s">
        <v>42</v>
      </c>
      <c r="R165" s="7" t="s">
        <v>321</v>
      </c>
      <c r="S165" s="20">
        <v>23</v>
      </c>
      <c r="T165" s="2">
        <v>23</v>
      </c>
    </row>
    <row r="166" spans="1:26">
      <c r="A166" s="7">
        <f>MAX($A$1:$A165)+1</f>
        <v>165</v>
      </c>
      <c r="B166" s="2" t="s">
        <v>278</v>
      </c>
      <c r="C166" s="2" t="s">
        <v>171</v>
      </c>
      <c r="D166" s="2" t="s">
        <v>38</v>
      </c>
      <c r="E166" s="7" t="s">
        <v>344</v>
      </c>
      <c r="F166" s="4">
        <v>48.857467651367102</v>
      </c>
      <c r="G166" s="18">
        <v>-125.158233642578</v>
      </c>
      <c r="H166" s="5" t="s">
        <v>14</v>
      </c>
      <c r="I166" s="2">
        <v>2</v>
      </c>
      <c r="J166" s="2">
        <v>210</v>
      </c>
      <c r="K166" s="6">
        <v>0.42152777777777778</v>
      </c>
      <c r="L166" s="2" t="s">
        <v>172</v>
      </c>
      <c r="M166" s="2">
        <v>7.5</v>
      </c>
      <c r="N166" s="2">
        <v>2</v>
      </c>
      <c r="O166" s="2">
        <v>1</v>
      </c>
      <c r="P166" s="2" t="s">
        <v>345</v>
      </c>
      <c r="Q166" s="7" t="s">
        <v>127</v>
      </c>
      <c r="R166" s="7" t="s">
        <v>346</v>
      </c>
      <c r="S166" s="20">
        <v>1</v>
      </c>
      <c r="T166" s="2">
        <v>1</v>
      </c>
    </row>
    <row r="167" spans="1:26">
      <c r="A167" s="7">
        <f>MAX($A$1:$A166)+1</f>
        <v>166</v>
      </c>
      <c r="B167" s="2" t="s">
        <v>278</v>
      </c>
      <c r="C167" s="2" t="s">
        <v>171</v>
      </c>
      <c r="D167" s="2" t="s">
        <v>38</v>
      </c>
      <c r="E167" s="7" t="s">
        <v>344</v>
      </c>
      <c r="F167" s="4">
        <v>48.857467651367102</v>
      </c>
      <c r="G167" s="18">
        <v>-125.158233642578</v>
      </c>
      <c r="H167" s="5" t="s">
        <v>14</v>
      </c>
      <c r="I167" s="2">
        <v>2</v>
      </c>
      <c r="J167" s="2">
        <v>210</v>
      </c>
      <c r="K167" s="6">
        <v>0.42152777777777778</v>
      </c>
      <c r="L167" s="2" t="s">
        <v>172</v>
      </c>
      <c r="M167" s="2">
        <v>7.5</v>
      </c>
      <c r="N167" s="2">
        <v>2</v>
      </c>
      <c r="O167" s="2">
        <v>1</v>
      </c>
      <c r="P167" s="2" t="s">
        <v>347</v>
      </c>
      <c r="Q167" s="7" t="s">
        <v>110</v>
      </c>
      <c r="R167" s="7" t="s">
        <v>348</v>
      </c>
      <c r="S167" s="20">
        <v>1</v>
      </c>
      <c r="T167" s="2">
        <v>1</v>
      </c>
    </row>
    <row r="168" spans="1:26">
      <c r="A168" s="7">
        <f>MAX($A$1:$A167)+1</f>
        <v>167</v>
      </c>
      <c r="B168" s="2" t="s">
        <v>278</v>
      </c>
      <c r="C168" s="2" t="s">
        <v>171</v>
      </c>
      <c r="D168" s="2" t="s">
        <v>38</v>
      </c>
      <c r="E168" s="7" t="s">
        <v>344</v>
      </c>
      <c r="F168" s="4">
        <v>48.857467651367102</v>
      </c>
      <c r="G168" s="18">
        <v>-125.158233642578</v>
      </c>
      <c r="H168" s="5" t="s">
        <v>14</v>
      </c>
      <c r="I168" s="2">
        <v>2</v>
      </c>
      <c r="J168" s="2">
        <v>210</v>
      </c>
      <c r="K168" s="6">
        <v>0.42152777777777778</v>
      </c>
      <c r="L168" s="2" t="s">
        <v>172</v>
      </c>
      <c r="M168" s="2">
        <v>7.5</v>
      </c>
      <c r="N168" s="2">
        <v>2</v>
      </c>
      <c r="O168" s="2">
        <v>1</v>
      </c>
      <c r="P168" s="2" t="s">
        <v>301</v>
      </c>
      <c r="Q168" s="7" t="s">
        <v>97</v>
      </c>
      <c r="R168" s="7" t="s">
        <v>302</v>
      </c>
      <c r="S168" s="20">
        <v>1</v>
      </c>
      <c r="T168" s="2">
        <v>1</v>
      </c>
    </row>
    <row r="169" spans="1:26">
      <c r="A169" s="7">
        <f>MAX($A$1:$A168)+1</f>
        <v>168</v>
      </c>
      <c r="B169" s="2" t="s">
        <v>278</v>
      </c>
      <c r="C169" s="2" t="s">
        <v>171</v>
      </c>
      <c r="D169" s="2" t="s">
        <v>38</v>
      </c>
      <c r="E169" s="7" t="s">
        <v>344</v>
      </c>
      <c r="F169" s="4">
        <v>48.857467651367102</v>
      </c>
      <c r="G169" s="18">
        <v>-125.158233642578</v>
      </c>
      <c r="H169" s="5" t="s">
        <v>14</v>
      </c>
      <c r="I169" s="2">
        <v>2</v>
      </c>
      <c r="J169" s="2">
        <v>210</v>
      </c>
      <c r="K169" s="6">
        <v>0.42152777777777778</v>
      </c>
      <c r="L169" s="2" t="s">
        <v>172</v>
      </c>
      <c r="M169" s="2">
        <v>7.5</v>
      </c>
      <c r="N169" s="2">
        <v>2</v>
      </c>
      <c r="O169" s="2">
        <v>1</v>
      </c>
      <c r="P169" s="2" t="s">
        <v>316</v>
      </c>
      <c r="Q169" s="7" t="s">
        <v>123</v>
      </c>
      <c r="R169" s="7" t="s">
        <v>317</v>
      </c>
      <c r="S169" s="20">
        <v>4</v>
      </c>
      <c r="T169" s="2">
        <v>4</v>
      </c>
    </row>
    <row r="170" spans="1:26">
      <c r="A170" s="7">
        <f>MAX($A$1:$A169)+1</f>
        <v>169</v>
      </c>
      <c r="B170" s="2" t="s">
        <v>278</v>
      </c>
      <c r="C170" s="2" t="s">
        <v>171</v>
      </c>
      <c r="D170" s="2" t="s">
        <v>38</v>
      </c>
      <c r="E170" s="7" t="s">
        <v>344</v>
      </c>
      <c r="F170" s="4">
        <v>48.857467651367102</v>
      </c>
      <c r="G170" s="18">
        <v>-125.158233642578</v>
      </c>
      <c r="H170" s="5" t="s">
        <v>14</v>
      </c>
      <c r="I170" s="2">
        <v>2</v>
      </c>
      <c r="J170" s="2">
        <v>210</v>
      </c>
      <c r="K170" s="6">
        <v>0.42152777777777778</v>
      </c>
      <c r="L170" s="2" t="s">
        <v>172</v>
      </c>
      <c r="M170" s="2">
        <v>7.5</v>
      </c>
      <c r="N170" s="2">
        <v>2</v>
      </c>
      <c r="O170" s="2">
        <v>1</v>
      </c>
      <c r="P170" s="2" t="s">
        <v>246</v>
      </c>
      <c r="Q170" s="7" t="s">
        <v>66</v>
      </c>
      <c r="R170" s="7" t="s">
        <v>318</v>
      </c>
      <c r="S170" s="20">
        <v>11</v>
      </c>
      <c r="T170" s="2">
        <v>11</v>
      </c>
      <c r="U170" s="48"/>
      <c r="V170" s="48"/>
      <c r="W170" s="48"/>
      <c r="X170" s="48"/>
      <c r="Y170" s="48"/>
    </row>
    <row r="171" spans="1:26">
      <c r="A171" s="7">
        <f>MAX($A$1:$A170)+1</f>
        <v>170</v>
      </c>
      <c r="B171" s="2" t="s">
        <v>278</v>
      </c>
      <c r="C171" s="2" t="s">
        <v>171</v>
      </c>
      <c r="D171" s="2" t="s">
        <v>38</v>
      </c>
      <c r="E171" s="7" t="s">
        <v>344</v>
      </c>
      <c r="F171" s="4">
        <v>48.857467651367102</v>
      </c>
      <c r="G171" s="18">
        <v>-125.158233642578</v>
      </c>
      <c r="H171" s="5" t="s">
        <v>14</v>
      </c>
      <c r="I171" s="2">
        <v>2</v>
      </c>
      <c r="J171" s="2">
        <v>210</v>
      </c>
      <c r="K171" s="6">
        <v>0.42152777777777778</v>
      </c>
      <c r="L171" s="2" t="s">
        <v>172</v>
      </c>
      <c r="M171" s="2">
        <v>7.5</v>
      </c>
      <c r="N171" s="2">
        <v>2</v>
      </c>
      <c r="O171" s="2">
        <v>1</v>
      </c>
      <c r="P171" s="2" t="s">
        <v>248</v>
      </c>
      <c r="Q171" s="7" t="s">
        <v>78</v>
      </c>
      <c r="R171" s="7" t="s">
        <v>349</v>
      </c>
      <c r="S171" s="20">
        <v>7</v>
      </c>
      <c r="T171" s="2">
        <v>0</v>
      </c>
      <c r="W171" s="2">
        <v>1</v>
      </c>
      <c r="X171" s="2">
        <v>1</v>
      </c>
      <c r="Y171" s="2">
        <v>3</v>
      </c>
      <c r="Z171" s="2">
        <v>2</v>
      </c>
    </row>
    <row r="172" spans="1:26">
      <c r="A172" s="7">
        <f>MAX($A$1:$A171)+1</f>
        <v>171</v>
      </c>
      <c r="B172" s="2" t="s">
        <v>278</v>
      </c>
      <c r="C172" s="2" t="s">
        <v>171</v>
      </c>
      <c r="D172" s="2" t="s">
        <v>38</v>
      </c>
      <c r="E172" s="7" t="s">
        <v>344</v>
      </c>
      <c r="F172" s="4">
        <v>48.857467651367102</v>
      </c>
      <c r="G172" s="18">
        <v>-125.158233642578</v>
      </c>
      <c r="H172" s="5" t="s">
        <v>14</v>
      </c>
      <c r="I172" s="2">
        <v>2</v>
      </c>
      <c r="J172" s="2">
        <v>210</v>
      </c>
      <c r="K172" s="6">
        <v>0.42152777777777778</v>
      </c>
      <c r="L172" s="2" t="s">
        <v>172</v>
      </c>
      <c r="M172" s="2">
        <v>7.5</v>
      </c>
      <c r="N172" s="2">
        <v>2</v>
      </c>
      <c r="O172" s="2">
        <v>1</v>
      </c>
      <c r="P172" s="2" t="s">
        <v>238</v>
      </c>
      <c r="Q172" s="7" t="s">
        <v>69</v>
      </c>
      <c r="R172" s="7" t="s">
        <v>313</v>
      </c>
      <c r="S172" s="20">
        <v>11</v>
      </c>
      <c r="T172" s="2">
        <v>11</v>
      </c>
    </row>
    <row r="173" spans="1:26">
      <c r="A173" s="7">
        <f>MAX($A$1:$A172)+1</f>
        <v>172</v>
      </c>
      <c r="B173" s="2" t="s">
        <v>278</v>
      </c>
      <c r="C173" s="2" t="s">
        <v>171</v>
      </c>
      <c r="D173" s="2" t="s">
        <v>38</v>
      </c>
      <c r="E173" s="7" t="s">
        <v>344</v>
      </c>
      <c r="F173" s="4">
        <v>48.857467651367102</v>
      </c>
      <c r="G173" s="18">
        <v>-125.158233642578</v>
      </c>
      <c r="H173" s="5" t="s">
        <v>14</v>
      </c>
      <c r="I173" s="2">
        <v>2</v>
      </c>
      <c r="J173" s="2">
        <v>210</v>
      </c>
      <c r="K173" s="6">
        <v>0.42152777777777778</v>
      </c>
      <c r="L173" s="2" t="s">
        <v>172</v>
      </c>
      <c r="M173" s="2">
        <v>7.5</v>
      </c>
      <c r="N173" s="2">
        <v>2</v>
      </c>
      <c r="O173" s="2">
        <v>1</v>
      </c>
      <c r="P173" s="2" t="s">
        <v>247</v>
      </c>
      <c r="Q173" s="7" t="s">
        <v>64</v>
      </c>
      <c r="R173" s="7" t="s">
        <v>293</v>
      </c>
      <c r="S173" s="20">
        <v>7</v>
      </c>
      <c r="T173" s="2">
        <v>7</v>
      </c>
    </row>
    <row r="174" spans="1:26">
      <c r="A174" s="7">
        <f>MAX($A$1:$A173)+1</f>
        <v>173</v>
      </c>
      <c r="B174" s="2" t="s">
        <v>278</v>
      </c>
      <c r="C174" s="2" t="s">
        <v>171</v>
      </c>
      <c r="D174" s="2" t="s">
        <v>38</v>
      </c>
      <c r="E174" s="7" t="s">
        <v>344</v>
      </c>
      <c r="F174" s="4">
        <v>48.857467651367102</v>
      </c>
      <c r="G174" s="18">
        <v>-125.158233642578</v>
      </c>
      <c r="H174" s="5" t="s">
        <v>14</v>
      </c>
      <c r="I174" s="2">
        <v>2</v>
      </c>
      <c r="J174" s="2">
        <v>210</v>
      </c>
      <c r="K174" s="6">
        <v>0.42152777777777778</v>
      </c>
      <c r="L174" s="2" t="s">
        <v>172</v>
      </c>
      <c r="M174" s="2">
        <v>7.5</v>
      </c>
      <c r="N174" s="2">
        <v>2</v>
      </c>
      <c r="O174" s="2">
        <v>1</v>
      </c>
      <c r="P174" s="2" t="s">
        <v>350</v>
      </c>
      <c r="Q174" s="7" t="s">
        <v>83</v>
      </c>
      <c r="R174" s="7" t="s">
        <v>351</v>
      </c>
      <c r="S174" s="20">
        <v>1</v>
      </c>
      <c r="T174" s="2">
        <v>1</v>
      </c>
    </row>
    <row r="175" spans="1:26">
      <c r="A175" s="7">
        <f>MAX($A$1:$A174)+1</f>
        <v>174</v>
      </c>
      <c r="B175" s="2" t="s">
        <v>278</v>
      </c>
      <c r="C175" s="2" t="s">
        <v>171</v>
      </c>
      <c r="D175" s="2" t="s">
        <v>38</v>
      </c>
      <c r="E175" s="7" t="s">
        <v>344</v>
      </c>
      <c r="F175" s="4">
        <v>48.857467651367102</v>
      </c>
      <c r="G175" s="18">
        <v>-125.158233642578</v>
      </c>
      <c r="H175" s="5" t="s">
        <v>14</v>
      </c>
      <c r="I175" s="2">
        <v>2</v>
      </c>
      <c r="J175" s="2">
        <v>210</v>
      </c>
      <c r="K175" s="6">
        <v>0.42152777777777778</v>
      </c>
      <c r="L175" s="2" t="s">
        <v>172</v>
      </c>
      <c r="M175" s="2">
        <v>7.5</v>
      </c>
      <c r="N175" s="2">
        <v>2</v>
      </c>
      <c r="O175" s="2">
        <v>1</v>
      </c>
      <c r="P175" s="2" t="s">
        <v>298</v>
      </c>
      <c r="Q175" s="7" t="s">
        <v>99</v>
      </c>
      <c r="R175" s="7" t="s">
        <v>299</v>
      </c>
      <c r="S175" s="20">
        <v>1</v>
      </c>
      <c r="T175" s="2">
        <v>1</v>
      </c>
    </row>
    <row r="176" spans="1:26">
      <c r="A176" s="7">
        <f>MAX($A$1:$A175)+1</f>
        <v>175</v>
      </c>
      <c r="B176" s="2" t="s">
        <v>278</v>
      </c>
      <c r="C176" s="2" t="s">
        <v>171</v>
      </c>
      <c r="D176" s="2" t="s">
        <v>38</v>
      </c>
      <c r="E176" s="7" t="s">
        <v>344</v>
      </c>
      <c r="F176" s="4">
        <v>48.857467651367102</v>
      </c>
      <c r="G176" s="18">
        <v>-125.158233642578</v>
      </c>
      <c r="H176" s="5" t="s">
        <v>14</v>
      </c>
      <c r="I176" s="2">
        <v>2</v>
      </c>
      <c r="J176" s="2">
        <v>210</v>
      </c>
      <c r="K176" s="6">
        <v>0.42152777777777778</v>
      </c>
      <c r="L176" s="2" t="s">
        <v>172</v>
      </c>
      <c r="M176" s="2">
        <v>7.5</v>
      </c>
      <c r="N176" s="2">
        <v>2</v>
      </c>
      <c r="O176" s="2">
        <v>1</v>
      </c>
      <c r="P176" s="2" t="s">
        <v>239</v>
      </c>
      <c r="Q176" s="7" t="s">
        <v>80</v>
      </c>
      <c r="R176" s="7" t="s">
        <v>300</v>
      </c>
      <c r="S176" s="20">
        <v>2</v>
      </c>
      <c r="T176" s="2">
        <v>2</v>
      </c>
    </row>
    <row r="177" spans="1:28">
      <c r="A177" s="7">
        <f>MAX($A$1:$A176)+1</f>
        <v>176</v>
      </c>
      <c r="B177" s="2" t="s">
        <v>278</v>
      </c>
      <c r="C177" s="2" t="s">
        <v>171</v>
      </c>
      <c r="D177" s="2" t="s">
        <v>38</v>
      </c>
      <c r="E177" s="7" t="s">
        <v>344</v>
      </c>
      <c r="F177" s="4">
        <v>48.857467651367102</v>
      </c>
      <c r="G177" s="18">
        <v>-125.158233642578</v>
      </c>
      <c r="H177" s="5" t="s">
        <v>14</v>
      </c>
      <c r="I177" s="2">
        <v>2</v>
      </c>
      <c r="J177" s="2">
        <v>210</v>
      </c>
      <c r="K177" s="6">
        <v>0.42152777777777778</v>
      </c>
      <c r="L177" s="2" t="s">
        <v>172</v>
      </c>
      <c r="M177" s="2">
        <v>7.5</v>
      </c>
      <c r="N177" s="2">
        <v>2</v>
      </c>
      <c r="O177" s="2">
        <v>1</v>
      </c>
      <c r="P177" s="2" t="s">
        <v>249</v>
      </c>
      <c r="Q177" s="7" t="s">
        <v>90</v>
      </c>
      <c r="R177" s="7" t="s">
        <v>352</v>
      </c>
      <c r="S177" s="20">
        <v>2</v>
      </c>
      <c r="T177" s="2">
        <v>2</v>
      </c>
    </row>
    <row r="178" spans="1:28">
      <c r="A178" s="7">
        <f>MAX($A$1:$A177)+1</f>
        <v>177</v>
      </c>
      <c r="B178" s="2" t="s">
        <v>278</v>
      </c>
      <c r="C178" s="2" t="s">
        <v>171</v>
      </c>
      <c r="D178" s="2" t="s">
        <v>38</v>
      </c>
      <c r="E178" s="7" t="s">
        <v>344</v>
      </c>
      <c r="F178" s="4">
        <v>48.857467651367102</v>
      </c>
      <c r="G178" s="18">
        <v>-125.158233642578</v>
      </c>
      <c r="H178" s="5" t="s">
        <v>14</v>
      </c>
      <c r="I178" s="2">
        <v>2</v>
      </c>
      <c r="J178" s="2">
        <v>210</v>
      </c>
      <c r="K178" s="6">
        <v>0.42152777777777778</v>
      </c>
      <c r="L178" s="2" t="s">
        <v>172</v>
      </c>
      <c r="M178" s="2">
        <v>7.5</v>
      </c>
      <c r="N178" s="2">
        <v>0</v>
      </c>
      <c r="O178" s="2">
        <v>1</v>
      </c>
      <c r="P178" s="2" t="s">
        <v>234</v>
      </c>
      <c r="Q178" s="7" t="s">
        <v>45</v>
      </c>
      <c r="R178" s="7" t="s">
        <v>353</v>
      </c>
      <c r="S178" s="20">
        <v>1</v>
      </c>
      <c r="T178" s="2">
        <v>0</v>
      </c>
      <c r="Z178" s="2">
        <v>1</v>
      </c>
    </row>
    <row r="179" spans="1:28">
      <c r="A179" s="7">
        <f>MAX($A$1:$A178)+1</f>
        <v>178</v>
      </c>
      <c r="B179" s="2" t="s">
        <v>278</v>
      </c>
      <c r="C179" s="2" t="s">
        <v>171</v>
      </c>
      <c r="D179" s="2" t="s">
        <v>38</v>
      </c>
      <c r="E179" s="7" t="s">
        <v>344</v>
      </c>
      <c r="F179" s="4">
        <v>48.857467651367102</v>
      </c>
      <c r="G179" s="18">
        <v>-125.158233642578</v>
      </c>
      <c r="H179" s="5" t="s">
        <v>14</v>
      </c>
      <c r="I179" s="2">
        <v>2</v>
      </c>
      <c r="J179" s="2">
        <v>210</v>
      </c>
      <c r="K179" s="6">
        <v>0.42152777777777778</v>
      </c>
      <c r="L179" s="2" t="s">
        <v>172</v>
      </c>
      <c r="M179" s="2">
        <v>7.5</v>
      </c>
      <c r="N179" s="2">
        <v>2</v>
      </c>
      <c r="O179" s="2">
        <v>1</v>
      </c>
      <c r="P179" s="2" t="s">
        <v>243</v>
      </c>
      <c r="Q179" s="7" t="s">
        <v>85</v>
      </c>
      <c r="R179" s="7" t="s">
        <v>312</v>
      </c>
      <c r="S179" s="20">
        <v>1</v>
      </c>
      <c r="T179" s="2">
        <v>1</v>
      </c>
    </row>
    <row r="180" spans="1:28">
      <c r="A180" s="7">
        <f>MAX($A$1:$A179)+1</f>
        <v>179</v>
      </c>
      <c r="B180" s="2" t="s">
        <v>278</v>
      </c>
      <c r="C180" s="2" t="s">
        <v>171</v>
      </c>
      <c r="D180" s="2" t="s">
        <v>38</v>
      </c>
      <c r="E180" s="7" t="s">
        <v>344</v>
      </c>
      <c r="F180" s="4">
        <v>48.857467651367102</v>
      </c>
      <c r="G180" s="18">
        <v>-125.158233642578</v>
      </c>
      <c r="H180" s="5" t="s">
        <v>14</v>
      </c>
      <c r="I180" s="2">
        <v>2</v>
      </c>
      <c r="J180" s="2">
        <v>210</v>
      </c>
      <c r="K180" s="6">
        <v>0.42152777777777778</v>
      </c>
      <c r="L180" s="2" t="s">
        <v>172</v>
      </c>
      <c r="M180" s="2">
        <v>7.5</v>
      </c>
      <c r="N180" s="2">
        <v>2</v>
      </c>
      <c r="O180" s="2">
        <v>1</v>
      </c>
      <c r="P180" s="2" t="s">
        <v>310</v>
      </c>
      <c r="Q180" s="7" t="s">
        <v>98</v>
      </c>
      <c r="R180" s="7" t="s">
        <v>311</v>
      </c>
      <c r="S180" s="20">
        <v>1</v>
      </c>
      <c r="T180" s="2">
        <v>1</v>
      </c>
    </row>
    <row r="181" spans="1:28">
      <c r="A181" s="7">
        <f>MAX($A$1:$A180)+1</f>
        <v>180</v>
      </c>
      <c r="B181" s="2" t="s">
        <v>278</v>
      </c>
      <c r="C181" s="2" t="s">
        <v>171</v>
      </c>
      <c r="D181" s="2" t="s">
        <v>38</v>
      </c>
      <c r="E181" s="7" t="s">
        <v>344</v>
      </c>
      <c r="F181" s="4">
        <v>48.857467651367102</v>
      </c>
      <c r="G181" s="18">
        <v>-125.158233642578</v>
      </c>
      <c r="H181" s="5" t="s">
        <v>14</v>
      </c>
      <c r="I181" s="2">
        <v>2</v>
      </c>
      <c r="J181" s="2">
        <v>210</v>
      </c>
      <c r="K181" s="6">
        <v>0.42152777777777778</v>
      </c>
      <c r="L181" s="2" t="s">
        <v>172</v>
      </c>
      <c r="M181" s="2">
        <v>7.5</v>
      </c>
      <c r="N181" s="2">
        <v>2</v>
      </c>
      <c r="O181" s="2">
        <v>1</v>
      </c>
      <c r="P181" s="2" t="s">
        <v>305</v>
      </c>
      <c r="Q181" s="7" t="s">
        <v>89</v>
      </c>
      <c r="R181" s="7" t="s">
        <v>306</v>
      </c>
      <c r="S181" s="20">
        <v>1</v>
      </c>
      <c r="T181" s="2">
        <v>0</v>
      </c>
      <c r="Z181" s="2">
        <v>1</v>
      </c>
    </row>
    <row r="182" spans="1:28">
      <c r="A182" s="7">
        <f>MAX($A$1:$A181)+1</f>
        <v>181</v>
      </c>
      <c r="B182" s="2" t="s">
        <v>278</v>
      </c>
      <c r="C182" s="2" t="s">
        <v>171</v>
      </c>
      <c r="D182" s="2" t="s">
        <v>38</v>
      </c>
      <c r="E182" s="7" t="s">
        <v>344</v>
      </c>
      <c r="F182" s="4">
        <v>48.857467651367102</v>
      </c>
      <c r="G182" s="18">
        <v>-125.158233642578</v>
      </c>
      <c r="H182" s="5" t="s">
        <v>14</v>
      </c>
      <c r="I182" s="2">
        <v>2</v>
      </c>
      <c r="J182" s="2">
        <v>210</v>
      </c>
      <c r="K182" s="6">
        <v>0.42152777777777778</v>
      </c>
      <c r="L182" s="2" t="s">
        <v>172</v>
      </c>
      <c r="M182" s="2">
        <v>7.5</v>
      </c>
      <c r="N182" s="2">
        <v>2</v>
      </c>
      <c r="O182" s="2">
        <v>1</v>
      </c>
      <c r="P182" s="2" t="s">
        <v>255</v>
      </c>
      <c r="Q182" s="7" t="s">
        <v>79</v>
      </c>
      <c r="R182" s="7" t="s">
        <v>354</v>
      </c>
      <c r="S182" s="20">
        <v>1</v>
      </c>
      <c r="T182" s="2">
        <v>1</v>
      </c>
    </row>
    <row r="183" spans="1:28">
      <c r="A183" s="7">
        <f>MAX($A$1:$A182)+1</f>
        <v>182</v>
      </c>
      <c r="B183" s="2" t="s">
        <v>278</v>
      </c>
      <c r="C183" s="2" t="s">
        <v>171</v>
      </c>
      <c r="D183" s="2" t="s">
        <v>38</v>
      </c>
      <c r="E183" s="7" t="s">
        <v>344</v>
      </c>
      <c r="F183" s="4">
        <v>48.857467651367102</v>
      </c>
      <c r="G183" s="18">
        <v>-125.158233642578</v>
      </c>
      <c r="H183" s="5" t="s">
        <v>14</v>
      </c>
      <c r="I183" s="2">
        <v>2</v>
      </c>
      <c r="J183" s="2">
        <v>210</v>
      </c>
      <c r="K183" s="6">
        <v>0.42152777777777778</v>
      </c>
      <c r="L183" s="2" t="s">
        <v>172</v>
      </c>
      <c r="M183" s="2">
        <v>7.5</v>
      </c>
      <c r="N183" s="2">
        <v>0</v>
      </c>
      <c r="O183" s="2">
        <v>1</v>
      </c>
      <c r="P183" s="2" t="s">
        <v>355</v>
      </c>
      <c r="Q183" s="7" t="s">
        <v>154</v>
      </c>
      <c r="R183" s="7" t="s">
        <v>356</v>
      </c>
      <c r="S183" s="20">
        <v>1</v>
      </c>
      <c r="T183" s="2">
        <v>1</v>
      </c>
    </row>
    <row r="184" spans="1:28">
      <c r="A184" s="7">
        <f>MAX($A$1:$A183)+1</f>
        <v>183</v>
      </c>
      <c r="B184" s="2" t="s">
        <v>278</v>
      </c>
      <c r="C184" s="2" t="s">
        <v>171</v>
      </c>
      <c r="D184" s="2" t="s">
        <v>38</v>
      </c>
      <c r="E184" s="7" t="s">
        <v>344</v>
      </c>
      <c r="F184" s="4">
        <v>48.857467651367102</v>
      </c>
      <c r="G184" s="18">
        <v>-125.158233642578</v>
      </c>
      <c r="H184" s="5" t="s">
        <v>14</v>
      </c>
      <c r="I184" s="2">
        <v>2</v>
      </c>
      <c r="J184" s="2">
        <v>210</v>
      </c>
      <c r="K184" s="6">
        <v>0.42152777777777778</v>
      </c>
      <c r="L184" s="2" t="s">
        <v>172</v>
      </c>
      <c r="M184" s="2">
        <v>7.5</v>
      </c>
      <c r="N184" s="2">
        <v>2</v>
      </c>
      <c r="O184" s="2">
        <v>1</v>
      </c>
      <c r="P184" s="2" t="s">
        <v>357</v>
      </c>
      <c r="Q184" s="7" t="s">
        <v>128</v>
      </c>
      <c r="R184" s="7" t="s">
        <v>358</v>
      </c>
      <c r="S184" s="20">
        <v>1</v>
      </c>
      <c r="T184" s="2">
        <v>1</v>
      </c>
    </row>
    <row r="185" spans="1:28">
      <c r="A185" s="7">
        <f>MAX($A$1:$A184)+1</f>
        <v>184</v>
      </c>
      <c r="B185" s="2" t="s">
        <v>278</v>
      </c>
      <c r="C185" s="2" t="s">
        <v>171</v>
      </c>
      <c r="D185" s="2" t="s">
        <v>38</v>
      </c>
      <c r="E185" s="7" t="s">
        <v>344</v>
      </c>
      <c r="F185" s="4">
        <v>48.857467651367102</v>
      </c>
      <c r="G185" s="18">
        <v>-125.158233642578</v>
      </c>
      <c r="H185" s="5" t="s">
        <v>14</v>
      </c>
      <c r="I185" s="2">
        <v>2</v>
      </c>
      <c r="J185" s="2">
        <v>210</v>
      </c>
      <c r="K185" s="6">
        <v>0.42152777777777778</v>
      </c>
      <c r="L185" s="2" t="s">
        <v>172</v>
      </c>
      <c r="M185" s="2">
        <v>7.5</v>
      </c>
      <c r="N185" s="2">
        <v>2</v>
      </c>
      <c r="O185" s="2">
        <v>1</v>
      </c>
      <c r="P185" s="2" t="s">
        <v>328</v>
      </c>
      <c r="Q185" s="7" t="s">
        <v>126</v>
      </c>
      <c r="R185" s="7" t="s">
        <v>329</v>
      </c>
      <c r="S185" s="20">
        <v>0</v>
      </c>
      <c r="T185" s="2">
        <v>0</v>
      </c>
    </row>
    <row r="186" spans="1:28">
      <c r="A186" s="7">
        <f>MAX($A$1:$A185)+1</f>
        <v>185</v>
      </c>
      <c r="B186" s="2" t="s">
        <v>409</v>
      </c>
      <c r="C186" s="2" t="s">
        <v>269</v>
      </c>
      <c r="D186" s="2" t="s">
        <v>38</v>
      </c>
      <c r="E186" s="7" t="s">
        <v>344</v>
      </c>
      <c r="F186" s="4">
        <v>48.857467651367102</v>
      </c>
      <c r="G186" s="18">
        <v>-125.158233642578</v>
      </c>
      <c r="H186" s="28" t="s">
        <v>14</v>
      </c>
      <c r="I186" s="2">
        <v>1</v>
      </c>
      <c r="J186" s="2">
        <v>210</v>
      </c>
      <c r="K186" s="6">
        <v>0.42499999999999999</v>
      </c>
      <c r="L186" s="2" t="s">
        <v>270</v>
      </c>
      <c r="M186" s="2">
        <v>5.5</v>
      </c>
      <c r="N186" s="2">
        <v>1</v>
      </c>
      <c r="O186" s="2">
        <v>1</v>
      </c>
      <c r="P186" s="2" t="s">
        <v>232</v>
      </c>
      <c r="Q186" s="7" t="s">
        <v>43</v>
      </c>
      <c r="R186" s="7" t="s">
        <v>324</v>
      </c>
      <c r="S186" s="20">
        <v>1</v>
      </c>
      <c r="T186" s="2">
        <v>0</v>
      </c>
      <c r="AB186" s="2">
        <v>1</v>
      </c>
    </row>
    <row r="187" spans="1:28">
      <c r="A187" s="7">
        <f>MAX($A$1:$A186)+1</f>
        <v>186</v>
      </c>
      <c r="B187" s="2" t="s">
        <v>409</v>
      </c>
      <c r="C187" s="2" t="s">
        <v>269</v>
      </c>
      <c r="D187" s="2" t="s">
        <v>38</v>
      </c>
      <c r="E187" s="7" t="s">
        <v>344</v>
      </c>
      <c r="F187" s="4">
        <v>48.857467651367102</v>
      </c>
      <c r="G187" s="18">
        <v>-125.158233642578</v>
      </c>
      <c r="H187" s="28" t="s">
        <v>14</v>
      </c>
      <c r="I187" s="2">
        <v>1</v>
      </c>
      <c r="J187" s="2">
        <v>210</v>
      </c>
      <c r="K187" s="6">
        <v>0.42499999999999999</v>
      </c>
      <c r="L187" s="2" t="s">
        <v>270</v>
      </c>
      <c r="M187" s="2">
        <v>5.5</v>
      </c>
      <c r="N187" s="2">
        <v>0</v>
      </c>
      <c r="O187" s="2">
        <v>1</v>
      </c>
      <c r="P187" s="2" t="s">
        <v>401</v>
      </c>
      <c r="Q187" s="7" t="s">
        <v>135</v>
      </c>
      <c r="R187" s="7" t="s">
        <v>414</v>
      </c>
      <c r="S187" s="20">
        <v>1</v>
      </c>
      <c r="T187" s="2">
        <v>1</v>
      </c>
    </row>
    <row r="188" spans="1:28">
      <c r="A188" s="7">
        <f>MAX($A$1:$A187)+1</f>
        <v>187</v>
      </c>
      <c r="B188" s="2" t="s">
        <v>409</v>
      </c>
      <c r="C188" s="2" t="s">
        <v>269</v>
      </c>
      <c r="D188" s="2" t="s">
        <v>38</v>
      </c>
      <c r="E188" s="7" t="s">
        <v>344</v>
      </c>
      <c r="F188" s="4">
        <v>48.857467651367102</v>
      </c>
      <c r="G188" s="18">
        <v>-125.158233642578</v>
      </c>
      <c r="H188" s="28" t="s">
        <v>14</v>
      </c>
      <c r="I188" s="2">
        <v>1</v>
      </c>
      <c r="J188" s="2">
        <v>210</v>
      </c>
      <c r="K188" s="6">
        <v>0.42499999999999999</v>
      </c>
      <c r="L188" s="2" t="s">
        <v>270</v>
      </c>
      <c r="M188" s="2">
        <v>5.5</v>
      </c>
      <c r="N188" s="2">
        <v>2</v>
      </c>
      <c r="O188" s="2">
        <v>1</v>
      </c>
      <c r="P188" s="2" t="s">
        <v>241</v>
      </c>
      <c r="Q188" s="7" t="s">
        <v>63</v>
      </c>
      <c r="R188" s="7" t="s">
        <v>294</v>
      </c>
      <c r="S188" s="20">
        <v>329</v>
      </c>
      <c r="T188" s="2">
        <v>329</v>
      </c>
    </row>
    <row r="189" spans="1:28">
      <c r="A189" s="7">
        <f>MAX($A$1:$A188)+1</f>
        <v>188</v>
      </c>
      <c r="B189" s="2" t="s">
        <v>409</v>
      </c>
      <c r="C189" s="2" t="s">
        <v>269</v>
      </c>
      <c r="D189" s="2" t="s">
        <v>38</v>
      </c>
      <c r="E189" s="7" t="s">
        <v>344</v>
      </c>
      <c r="F189" s="4">
        <v>48.857467651367102</v>
      </c>
      <c r="G189" s="18">
        <v>-125.158233642578</v>
      </c>
      <c r="H189" s="28" t="s">
        <v>14</v>
      </c>
      <c r="I189" s="2">
        <v>1</v>
      </c>
      <c r="J189" s="2">
        <v>210</v>
      </c>
      <c r="K189" s="6">
        <v>0.42499999999999999</v>
      </c>
      <c r="L189" s="2" t="s">
        <v>270</v>
      </c>
      <c r="M189" s="2">
        <v>5.5</v>
      </c>
      <c r="N189" s="2">
        <v>2</v>
      </c>
      <c r="O189" s="2">
        <v>1</v>
      </c>
      <c r="P189" s="2" t="s">
        <v>296</v>
      </c>
      <c r="Q189" s="7" t="s">
        <v>75</v>
      </c>
      <c r="R189" s="7" t="s">
        <v>297</v>
      </c>
      <c r="S189" s="20">
        <v>6</v>
      </c>
      <c r="T189" s="2">
        <v>6</v>
      </c>
    </row>
    <row r="190" spans="1:28">
      <c r="A190" s="7">
        <f>MAX($A$1:$A189)+1</f>
        <v>189</v>
      </c>
      <c r="B190" s="2" t="s">
        <v>409</v>
      </c>
      <c r="C190" s="2" t="s">
        <v>269</v>
      </c>
      <c r="D190" s="2" t="s">
        <v>38</v>
      </c>
      <c r="E190" s="7" t="s">
        <v>344</v>
      </c>
      <c r="F190" s="4">
        <v>48.857467651367102</v>
      </c>
      <c r="G190" s="18">
        <v>-125.158233642578</v>
      </c>
      <c r="H190" s="28" t="s">
        <v>14</v>
      </c>
      <c r="I190" s="2">
        <v>1</v>
      </c>
      <c r="J190" s="2">
        <v>210</v>
      </c>
      <c r="K190" s="6">
        <v>0.42499999999999999</v>
      </c>
      <c r="L190" s="2" t="s">
        <v>270</v>
      </c>
      <c r="M190" s="2">
        <v>5.5</v>
      </c>
      <c r="N190" s="2">
        <v>2</v>
      </c>
      <c r="O190" s="2">
        <v>1</v>
      </c>
      <c r="P190" s="2" t="s">
        <v>242</v>
      </c>
      <c r="Q190" s="7" t="s">
        <v>100</v>
      </c>
      <c r="R190" s="7" t="s">
        <v>362</v>
      </c>
      <c r="S190" s="20">
        <v>2</v>
      </c>
      <c r="T190" s="2">
        <v>2</v>
      </c>
    </row>
    <row r="191" spans="1:28">
      <c r="A191" s="7">
        <f>MAX($A$1:$A190)+1</f>
        <v>190</v>
      </c>
      <c r="B191" s="2" t="s">
        <v>409</v>
      </c>
      <c r="C191" s="2" t="s">
        <v>269</v>
      </c>
      <c r="D191" s="2" t="s">
        <v>38</v>
      </c>
      <c r="E191" s="7" t="s">
        <v>344</v>
      </c>
      <c r="F191" s="4">
        <v>48.857467651367102</v>
      </c>
      <c r="G191" s="18">
        <v>-125.158233642578</v>
      </c>
      <c r="H191" s="28" t="s">
        <v>14</v>
      </c>
      <c r="I191" s="2">
        <v>1</v>
      </c>
      <c r="J191" s="2">
        <v>210</v>
      </c>
      <c r="K191" s="6">
        <v>0.42499999999999999</v>
      </c>
      <c r="L191" s="2" t="s">
        <v>270</v>
      </c>
      <c r="M191" s="2">
        <v>5.5</v>
      </c>
      <c r="N191" s="2">
        <v>2</v>
      </c>
      <c r="O191" s="2">
        <v>1</v>
      </c>
      <c r="P191" s="2" t="s">
        <v>331</v>
      </c>
      <c r="Q191" s="7" t="s">
        <v>67</v>
      </c>
      <c r="R191" s="7" t="s">
        <v>332</v>
      </c>
      <c r="S191" s="20">
        <v>59</v>
      </c>
      <c r="T191" s="2">
        <v>59</v>
      </c>
    </row>
    <row r="192" spans="1:28">
      <c r="A192" s="7">
        <f>MAX($A$1:$A191)+1</f>
        <v>191</v>
      </c>
      <c r="B192" s="2" t="s">
        <v>409</v>
      </c>
      <c r="C192" s="2" t="s">
        <v>269</v>
      </c>
      <c r="D192" s="2" t="s">
        <v>38</v>
      </c>
      <c r="E192" s="7" t="s">
        <v>344</v>
      </c>
      <c r="F192" s="4">
        <v>48.857467651367102</v>
      </c>
      <c r="G192" s="18">
        <v>-125.158233642578</v>
      </c>
      <c r="H192" s="28" t="s">
        <v>14</v>
      </c>
      <c r="I192" s="2">
        <v>1</v>
      </c>
      <c r="J192" s="2">
        <v>210</v>
      </c>
      <c r="K192" s="6">
        <v>0.42499999999999999</v>
      </c>
      <c r="L192" s="2" t="s">
        <v>270</v>
      </c>
      <c r="M192" s="2">
        <v>5.5</v>
      </c>
      <c r="N192" s="2">
        <v>2</v>
      </c>
      <c r="O192" s="2">
        <v>1</v>
      </c>
      <c r="P192" s="2" t="s">
        <v>298</v>
      </c>
      <c r="Q192" s="7" t="s">
        <v>99</v>
      </c>
      <c r="R192" s="7" t="s">
        <v>299</v>
      </c>
      <c r="S192" s="20">
        <v>11</v>
      </c>
      <c r="T192" s="2">
        <v>11</v>
      </c>
    </row>
    <row r="193" spans="1:26">
      <c r="A193" s="7">
        <f>MAX($A$1:$A192)+1</f>
        <v>192</v>
      </c>
      <c r="B193" s="2" t="s">
        <v>409</v>
      </c>
      <c r="C193" s="2" t="s">
        <v>269</v>
      </c>
      <c r="D193" s="2" t="s">
        <v>38</v>
      </c>
      <c r="E193" s="7" t="s">
        <v>344</v>
      </c>
      <c r="F193" s="4">
        <v>48.857467651367102</v>
      </c>
      <c r="G193" s="18">
        <v>-125.158233642578</v>
      </c>
      <c r="H193" s="28" t="s">
        <v>14</v>
      </c>
      <c r="I193" s="2">
        <v>1</v>
      </c>
      <c r="J193" s="2">
        <v>210</v>
      </c>
      <c r="K193" s="6">
        <v>0.42499999999999999</v>
      </c>
      <c r="L193" s="2" t="s">
        <v>270</v>
      </c>
      <c r="M193" s="2">
        <v>5.5</v>
      </c>
      <c r="N193" s="2">
        <v>2</v>
      </c>
      <c r="O193" s="2">
        <v>1</v>
      </c>
      <c r="P193" s="2" t="s">
        <v>335</v>
      </c>
      <c r="Q193" s="7" t="s">
        <v>91</v>
      </c>
      <c r="R193" s="7" t="s">
        <v>336</v>
      </c>
      <c r="S193" s="20">
        <v>3</v>
      </c>
      <c r="T193" s="2">
        <v>3</v>
      </c>
    </row>
    <row r="194" spans="1:26">
      <c r="A194" s="7">
        <f>MAX($A$1:$A193)+1</f>
        <v>193</v>
      </c>
      <c r="B194" s="2" t="s">
        <v>409</v>
      </c>
      <c r="C194" s="2" t="s">
        <v>269</v>
      </c>
      <c r="D194" s="2" t="s">
        <v>38</v>
      </c>
      <c r="E194" s="7" t="s">
        <v>344</v>
      </c>
      <c r="F194" s="4">
        <v>48.857467651367102</v>
      </c>
      <c r="G194" s="18">
        <v>-125.158233642578</v>
      </c>
      <c r="H194" s="28" t="s">
        <v>14</v>
      </c>
      <c r="I194" s="2">
        <v>1</v>
      </c>
      <c r="J194" s="2">
        <v>210</v>
      </c>
      <c r="K194" s="6">
        <v>0.42499999999999999</v>
      </c>
      <c r="L194" s="2" t="s">
        <v>270</v>
      </c>
      <c r="M194" s="2">
        <v>5.5</v>
      </c>
      <c r="N194" s="2">
        <v>2</v>
      </c>
      <c r="O194" s="2">
        <v>1</v>
      </c>
      <c r="P194" s="2" t="s">
        <v>411</v>
      </c>
      <c r="Q194" s="7" t="s">
        <v>138</v>
      </c>
      <c r="R194" s="7" t="s">
        <v>412</v>
      </c>
      <c r="S194" s="20">
        <v>7</v>
      </c>
      <c r="T194" s="2">
        <v>7</v>
      </c>
    </row>
    <row r="195" spans="1:26">
      <c r="A195" s="7">
        <f>MAX($A$1:$A194)+1</f>
        <v>194</v>
      </c>
      <c r="B195" s="2" t="s">
        <v>409</v>
      </c>
      <c r="C195" s="2" t="s">
        <v>269</v>
      </c>
      <c r="D195" s="2" t="s">
        <v>38</v>
      </c>
      <c r="E195" s="7" t="s">
        <v>344</v>
      </c>
      <c r="F195" s="4">
        <v>48.857467651367102</v>
      </c>
      <c r="G195" s="18">
        <v>-125.158233642578</v>
      </c>
      <c r="H195" s="28" t="s">
        <v>14</v>
      </c>
      <c r="I195" s="2">
        <v>1</v>
      </c>
      <c r="J195" s="2">
        <v>210</v>
      </c>
      <c r="K195" s="6">
        <v>0.42499999999999999</v>
      </c>
      <c r="L195" s="2" t="s">
        <v>270</v>
      </c>
      <c r="M195" s="2">
        <v>5.5</v>
      </c>
      <c r="N195" s="2">
        <v>2</v>
      </c>
      <c r="O195" s="2">
        <v>1</v>
      </c>
      <c r="P195" s="2" t="s">
        <v>250</v>
      </c>
      <c r="Q195" s="7" t="s">
        <v>46</v>
      </c>
      <c r="R195" s="7" t="s">
        <v>295</v>
      </c>
      <c r="S195" s="20">
        <v>7</v>
      </c>
      <c r="T195" s="2">
        <v>7</v>
      </c>
    </row>
    <row r="196" spans="1:26">
      <c r="A196" s="7">
        <f>MAX($A$1:$A195)+1</f>
        <v>195</v>
      </c>
      <c r="B196" s="2" t="s">
        <v>409</v>
      </c>
      <c r="C196" s="2" t="s">
        <v>269</v>
      </c>
      <c r="D196" s="2" t="s">
        <v>38</v>
      </c>
      <c r="E196" s="7" t="s">
        <v>344</v>
      </c>
      <c r="F196" s="4">
        <v>48.857467651367102</v>
      </c>
      <c r="G196" s="18">
        <v>-125.158233642578</v>
      </c>
      <c r="H196" s="28" t="s">
        <v>14</v>
      </c>
      <c r="I196" s="2">
        <v>1</v>
      </c>
      <c r="J196" s="2">
        <v>210</v>
      </c>
      <c r="K196" s="6">
        <v>0.42499999999999999</v>
      </c>
      <c r="L196" s="2" t="s">
        <v>270</v>
      </c>
      <c r="M196" s="2">
        <v>5.5</v>
      </c>
      <c r="N196" s="2">
        <v>2</v>
      </c>
      <c r="O196" s="2">
        <v>1</v>
      </c>
      <c r="P196" s="2" t="s">
        <v>259</v>
      </c>
      <c r="Q196" s="7" t="s">
        <v>106</v>
      </c>
      <c r="R196" s="7" t="s">
        <v>343</v>
      </c>
      <c r="S196" s="20">
        <v>1</v>
      </c>
      <c r="T196" s="2">
        <v>1</v>
      </c>
    </row>
    <row r="197" spans="1:26">
      <c r="A197" s="7">
        <f>MAX($A$1:$A196)+1</f>
        <v>196</v>
      </c>
      <c r="B197" s="2" t="s">
        <v>409</v>
      </c>
      <c r="C197" s="2" t="s">
        <v>269</v>
      </c>
      <c r="D197" s="2" t="s">
        <v>38</v>
      </c>
      <c r="E197" s="7" t="s">
        <v>344</v>
      </c>
      <c r="F197" s="4">
        <v>48.857467651367102</v>
      </c>
      <c r="G197" s="18">
        <v>-125.158233642578</v>
      </c>
      <c r="H197" s="28" t="s">
        <v>14</v>
      </c>
      <c r="I197" s="2">
        <v>1</v>
      </c>
      <c r="J197" s="2">
        <v>210</v>
      </c>
      <c r="K197" s="6">
        <v>0.42499999999999999</v>
      </c>
      <c r="L197" s="2" t="s">
        <v>270</v>
      </c>
      <c r="M197" s="2">
        <v>5.5</v>
      </c>
      <c r="N197" s="2">
        <v>2</v>
      </c>
      <c r="O197" s="2">
        <v>1</v>
      </c>
      <c r="P197" s="2" t="s">
        <v>243</v>
      </c>
      <c r="Q197" s="7" t="s">
        <v>85</v>
      </c>
      <c r="R197" s="7" t="s">
        <v>312</v>
      </c>
      <c r="S197" s="20">
        <v>11</v>
      </c>
      <c r="T197" s="2">
        <v>11</v>
      </c>
    </row>
    <row r="198" spans="1:26">
      <c r="A198" s="7">
        <f>MAX($A$1:$A197)+1</f>
        <v>197</v>
      </c>
      <c r="B198" s="2" t="s">
        <v>409</v>
      </c>
      <c r="C198" s="2" t="s">
        <v>269</v>
      </c>
      <c r="D198" s="2" t="s">
        <v>38</v>
      </c>
      <c r="E198" s="7" t="s">
        <v>344</v>
      </c>
      <c r="F198" s="4">
        <v>48.857467651367102</v>
      </c>
      <c r="G198" s="18">
        <v>-125.158233642578</v>
      </c>
      <c r="H198" s="28" t="s">
        <v>14</v>
      </c>
      <c r="I198" s="2">
        <v>1</v>
      </c>
      <c r="J198" s="2">
        <v>210</v>
      </c>
      <c r="K198" s="6">
        <v>0.42499999999999999</v>
      </c>
      <c r="L198" s="2" t="s">
        <v>270</v>
      </c>
      <c r="M198" s="2">
        <v>5.5</v>
      </c>
      <c r="N198" s="2">
        <v>2</v>
      </c>
      <c r="O198" s="2">
        <v>1</v>
      </c>
      <c r="P198" s="2" t="s">
        <v>383</v>
      </c>
      <c r="Q198" s="7" t="s">
        <v>72</v>
      </c>
      <c r="R198" s="7" t="s">
        <v>384</v>
      </c>
      <c r="S198" s="20">
        <v>1</v>
      </c>
      <c r="T198" s="2">
        <v>1</v>
      </c>
    </row>
    <row r="199" spans="1:26">
      <c r="A199" s="7">
        <f>MAX($A$1:$A198)+1</f>
        <v>198</v>
      </c>
      <c r="B199" s="2" t="s">
        <v>409</v>
      </c>
      <c r="C199" s="2" t="s">
        <v>269</v>
      </c>
      <c r="D199" s="2" t="s">
        <v>38</v>
      </c>
      <c r="E199" s="7" t="s">
        <v>344</v>
      </c>
      <c r="F199" s="4">
        <v>48.857467651367102</v>
      </c>
      <c r="G199" s="18">
        <v>-125.158233642578</v>
      </c>
      <c r="H199" s="28" t="s">
        <v>14</v>
      </c>
      <c r="I199" s="2">
        <v>1</v>
      </c>
      <c r="J199" s="2">
        <v>210</v>
      </c>
      <c r="K199" s="6">
        <v>0.42499999999999999</v>
      </c>
      <c r="L199" s="2" t="s">
        <v>270</v>
      </c>
      <c r="M199" s="2">
        <v>5.5</v>
      </c>
      <c r="N199" s="2">
        <v>2</v>
      </c>
      <c r="O199" s="2">
        <v>1</v>
      </c>
      <c r="P199" s="2" t="s">
        <v>373</v>
      </c>
      <c r="Q199" s="7" t="s">
        <v>131</v>
      </c>
      <c r="R199" s="7" t="s">
        <v>410</v>
      </c>
      <c r="S199" s="20">
        <v>6</v>
      </c>
      <c r="T199" s="2">
        <v>6</v>
      </c>
    </row>
    <row r="200" spans="1:26">
      <c r="A200" s="7">
        <f>MAX($A$1:$A199)+1</f>
        <v>199</v>
      </c>
      <c r="B200" s="2" t="s">
        <v>409</v>
      </c>
      <c r="C200" s="2" t="s">
        <v>269</v>
      </c>
      <c r="D200" s="2" t="s">
        <v>38</v>
      </c>
      <c r="E200" s="7" t="s">
        <v>344</v>
      </c>
      <c r="F200" s="4">
        <v>48.857467651367102</v>
      </c>
      <c r="G200" s="18">
        <v>-125.158233642578</v>
      </c>
      <c r="H200" s="28" t="s">
        <v>14</v>
      </c>
      <c r="I200" s="2">
        <v>1</v>
      </c>
      <c r="J200" s="2">
        <v>210</v>
      </c>
      <c r="K200" s="6">
        <v>0.42499999999999999</v>
      </c>
      <c r="L200" s="2" t="s">
        <v>270</v>
      </c>
      <c r="M200" s="2">
        <v>5.5</v>
      </c>
      <c r="N200" s="2">
        <v>2</v>
      </c>
      <c r="O200" s="2">
        <v>1</v>
      </c>
      <c r="P200" s="2" t="s">
        <v>350</v>
      </c>
      <c r="Q200" s="7" t="s">
        <v>83</v>
      </c>
      <c r="R200" s="7" t="s">
        <v>351</v>
      </c>
      <c r="S200" s="20">
        <v>4</v>
      </c>
      <c r="T200" s="2">
        <v>4</v>
      </c>
    </row>
    <row r="201" spans="1:26">
      <c r="A201" s="7">
        <f>MAX($A$1:$A200)+1</f>
        <v>200</v>
      </c>
      <c r="B201" s="2" t="s">
        <v>409</v>
      </c>
      <c r="C201" s="2" t="s">
        <v>269</v>
      </c>
      <c r="D201" s="2" t="s">
        <v>38</v>
      </c>
      <c r="E201" s="7" t="s">
        <v>344</v>
      </c>
      <c r="F201" s="4">
        <v>48.857467651367102</v>
      </c>
      <c r="G201" s="18">
        <v>-125.158233642578</v>
      </c>
      <c r="H201" s="28" t="s">
        <v>14</v>
      </c>
      <c r="I201" s="2">
        <v>1</v>
      </c>
      <c r="J201" s="2">
        <v>210</v>
      </c>
      <c r="K201" s="6">
        <v>0.42499999999999999</v>
      </c>
      <c r="L201" s="2" t="s">
        <v>270</v>
      </c>
      <c r="M201" s="2">
        <v>5.5</v>
      </c>
      <c r="N201" s="2">
        <v>2</v>
      </c>
      <c r="O201" s="2">
        <v>1</v>
      </c>
      <c r="P201" s="2" t="s">
        <v>415</v>
      </c>
      <c r="Q201" s="7" t="s">
        <v>92</v>
      </c>
      <c r="R201" s="7" t="s">
        <v>416</v>
      </c>
      <c r="S201" s="20">
        <v>2</v>
      </c>
      <c r="T201" s="2">
        <v>2</v>
      </c>
    </row>
    <row r="202" spans="1:26">
      <c r="A202" s="7">
        <f>MAX($A$1:$A201)+1</f>
        <v>201</v>
      </c>
      <c r="B202" s="2" t="s">
        <v>409</v>
      </c>
      <c r="C202" s="2" t="s">
        <v>269</v>
      </c>
      <c r="D202" s="2" t="s">
        <v>38</v>
      </c>
      <c r="E202" s="7" t="s">
        <v>344</v>
      </c>
      <c r="F202" s="4">
        <v>48.857467651367102</v>
      </c>
      <c r="G202" s="18">
        <v>-125.158233642578</v>
      </c>
      <c r="H202" s="28" t="s">
        <v>14</v>
      </c>
      <c r="I202" s="2">
        <v>1</v>
      </c>
      <c r="J202" s="2">
        <v>210</v>
      </c>
      <c r="K202" s="6">
        <v>0.42499999999999999</v>
      </c>
      <c r="L202" s="2" t="s">
        <v>270</v>
      </c>
      <c r="M202" s="2">
        <v>5.5</v>
      </c>
      <c r="N202" s="2">
        <v>2</v>
      </c>
      <c r="O202" s="2">
        <v>1</v>
      </c>
      <c r="P202" s="2" t="s">
        <v>246</v>
      </c>
      <c r="Q202" s="7" t="s">
        <v>66</v>
      </c>
      <c r="R202" s="7" t="s">
        <v>318</v>
      </c>
      <c r="S202" s="20">
        <v>13</v>
      </c>
      <c r="T202" s="2">
        <v>0</v>
      </c>
      <c r="V202" s="2">
        <v>3</v>
      </c>
      <c r="W202" s="2">
        <v>3</v>
      </c>
      <c r="X202" s="2">
        <v>2</v>
      </c>
      <c r="Y202" s="2">
        <v>4</v>
      </c>
      <c r="Z202" s="2">
        <v>1</v>
      </c>
    </row>
    <row r="203" spans="1:26">
      <c r="A203" s="7">
        <f>MAX($A$1:$A202)+1</f>
        <v>202</v>
      </c>
      <c r="B203" s="2" t="s">
        <v>409</v>
      </c>
      <c r="C203" s="2" t="s">
        <v>269</v>
      </c>
      <c r="D203" s="2" t="s">
        <v>38</v>
      </c>
      <c r="E203" s="7" t="s">
        <v>344</v>
      </c>
      <c r="F203" s="4">
        <v>48.857467651367102</v>
      </c>
      <c r="G203" s="18">
        <v>-125.158233642578</v>
      </c>
      <c r="H203" s="28" t="s">
        <v>14</v>
      </c>
      <c r="I203" s="2">
        <v>1</v>
      </c>
      <c r="J203" s="2">
        <v>210</v>
      </c>
      <c r="K203" s="6">
        <v>0.42499999999999999</v>
      </c>
      <c r="L203" s="2" t="s">
        <v>270</v>
      </c>
      <c r="M203" s="2">
        <v>5.5</v>
      </c>
      <c r="N203" s="2">
        <v>2</v>
      </c>
      <c r="O203" s="2">
        <v>1</v>
      </c>
      <c r="P203" s="2" t="s">
        <v>248</v>
      </c>
      <c r="Q203" s="7" t="s">
        <v>78</v>
      </c>
      <c r="R203" s="7" t="s">
        <v>349</v>
      </c>
      <c r="S203" s="20">
        <v>3</v>
      </c>
      <c r="T203" s="2">
        <v>0</v>
      </c>
      <c r="Z203" s="2">
        <v>3</v>
      </c>
    </row>
    <row r="204" spans="1:26">
      <c r="A204" s="7">
        <f>MAX($A$1:$A203)+1</f>
        <v>203</v>
      </c>
      <c r="B204" s="2" t="s">
        <v>409</v>
      </c>
      <c r="C204" s="2" t="s">
        <v>269</v>
      </c>
      <c r="D204" s="2" t="s">
        <v>38</v>
      </c>
      <c r="E204" s="7" t="s">
        <v>344</v>
      </c>
      <c r="F204" s="4">
        <v>48.857467651367102</v>
      </c>
      <c r="G204" s="18">
        <v>-125.158233642578</v>
      </c>
      <c r="H204" s="28" t="s">
        <v>14</v>
      </c>
      <c r="I204" s="2">
        <v>1</v>
      </c>
      <c r="J204" s="2">
        <v>210</v>
      </c>
      <c r="K204" s="6">
        <v>0.42499999999999999</v>
      </c>
      <c r="L204" s="2" t="s">
        <v>270</v>
      </c>
      <c r="M204" s="2">
        <v>5.5</v>
      </c>
      <c r="N204" s="2">
        <v>2</v>
      </c>
      <c r="O204" s="2">
        <v>1</v>
      </c>
      <c r="P204" s="2" t="s">
        <v>247</v>
      </c>
      <c r="Q204" s="7" t="s">
        <v>64</v>
      </c>
      <c r="R204" s="7" t="s">
        <v>293</v>
      </c>
      <c r="S204" s="20">
        <v>10</v>
      </c>
      <c r="T204" s="2">
        <v>10</v>
      </c>
    </row>
    <row r="205" spans="1:26">
      <c r="A205" s="7">
        <f>MAX($A$1:$A204)+1</f>
        <v>204</v>
      </c>
      <c r="B205" s="2" t="s">
        <v>409</v>
      </c>
      <c r="C205" s="2" t="s">
        <v>269</v>
      </c>
      <c r="D205" s="2" t="s">
        <v>38</v>
      </c>
      <c r="E205" s="7" t="s">
        <v>344</v>
      </c>
      <c r="F205" s="4">
        <v>48.857467651367102</v>
      </c>
      <c r="G205" s="18">
        <v>-125.158233642578</v>
      </c>
      <c r="H205" s="28" t="s">
        <v>14</v>
      </c>
      <c r="I205" s="2">
        <v>1</v>
      </c>
      <c r="J205" s="2">
        <v>210</v>
      </c>
      <c r="K205" s="6">
        <v>0.42499999999999999</v>
      </c>
      <c r="L205" s="2" t="s">
        <v>270</v>
      </c>
      <c r="M205" s="2">
        <v>5.5</v>
      </c>
      <c r="N205" s="2">
        <v>2</v>
      </c>
      <c r="O205" s="2">
        <v>1</v>
      </c>
      <c r="P205" s="2" t="s">
        <v>417</v>
      </c>
      <c r="Q205" s="7" t="s">
        <v>116</v>
      </c>
      <c r="R205" s="7" t="s">
        <v>418</v>
      </c>
      <c r="S205" s="20">
        <v>1</v>
      </c>
      <c r="T205" s="2">
        <v>1</v>
      </c>
    </row>
    <row r="206" spans="1:26">
      <c r="A206" s="7">
        <f>MAX($A$1:$A205)+1</f>
        <v>205</v>
      </c>
      <c r="B206" s="2" t="s">
        <v>409</v>
      </c>
      <c r="C206" s="2" t="s">
        <v>269</v>
      </c>
      <c r="D206" s="2" t="s">
        <v>38</v>
      </c>
      <c r="E206" s="7" t="s">
        <v>344</v>
      </c>
      <c r="F206" s="4">
        <v>48.857467651367102</v>
      </c>
      <c r="G206" s="18">
        <v>-125.158233642578</v>
      </c>
      <c r="H206" s="28" t="s">
        <v>14</v>
      </c>
      <c r="I206" s="2">
        <v>1</v>
      </c>
      <c r="J206" s="2">
        <v>210</v>
      </c>
      <c r="K206" s="6">
        <v>0.42499999999999999</v>
      </c>
      <c r="L206" s="2" t="s">
        <v>270</v>
      </c>
      <c r="M206" s="2">
        <v>5.5</v>
      </c>
      <c r="N206" s="2">
        <v>2</v>
      </c>
      <c r="O206" s="2">
        <v>1</v>
      </c>
      <c r="P206" s="2" t="s">
        <v>239</v>
      </c>
      <c r="Q206" s="7" t="s">
        <v>80</v>
      </c>
      <c r="R206" s="7" t="s">
        <v>300</v>
      </c>
      <c r="S206" s="20">
        <v>3</v>
      </c>
      <c r="T206" s="2">
        <v>3</v>
      </c>
    </row>
    <row r="207" spans="1:26">
      <c r="A207" s="7">
        <f>MAX($A$1:$A206)+1</f>
        <v>206</v>
      </c>
      <c r="B207" s="2" t="s">
        <v>409</v>
      </c>
      <c r="C207" s="2" t="s">
        <v>269</v>
      </c>
      <c r="D207" s="2" t="s">
        <v>38</v>
      </c>
      <c r="E207" s="7" t="s">
        <v>344</v>
      </c>
      <c r="F207" s="4">
        <v>48.857467651367102</v>
      </c>
      <c r="G207" s="18">
        <v>-125.158233642578</v>
      </c>
      <c r="H207" s="28" t="s">
        <v>14</v>
      </c>
      <c r="I207" s="2">
        <v>1</v>
      </c>
      <c r="J207" s="2">
        <v>210</v>
      </c>
      <c r="K207" s="6">
        <v>0.42499999999999999</v>
      </c>
      <c r="L207" s="2" t="s">
        <v>270</v>
      </c>
      <c r="M207" s="2">
        <v>5.5</v>
      </c>
      <c r="N207" s="2">
        <v>2</v>
      </c>
      <c r="O207" s="2">
        <v>1</v>
      </c>
      <c r="P207" s="2" t="s">
        <v>305</v>
      </c>
      <c r="Q207" s="7" t="s">
        <v>89</v>
      </c>
      <c r="R207" s="7" t="s">
        <v>306</v>
      </c>
      <c r="S207" s="20">
        <v>1</v>
      </c>
      <c r="T207" s="2">
        <v>0</v>
      </c>
      <c r="U207" s="2">
        <v>1</v>
      </c>
    </row>
    <row r="208" spans="1:26">
      <c r="A208" s="7">
        <f>MAX($A$1:$A207)+1</f>
        <v>207</v>
      </c>
      <c r="B208" s="2" t="s">
        <v>409</v>
      </c>
      <c r="C208" s="2" t="s">
        <v>269</v>
      </c>
      <c r="D208" s="2" t="s">
        <v>38</v>
      </c>
      <c r="E208" s="7" t="s">
        <v>344</v>
      </c>
      <c r="F208" s="4">
        <v>48.857467651367102</v>
      </c>
      <c r="G208" s="18">
        <v>-125.158233642578</v>
      </c>
      <c r="H208" s="28" t="s">
        <v>14</v>
      </c>
      <c r="I208" s="2">
        <v>1</v>
      </c>
      <c r="J208" s="2">
        <v>210</v>
      </c>
      <c r="K208" s="6">
        <v>0.42499999999999999</v>
      </c>
      <c r="L208" s="2" t="s">
        <v>270</v>
      </c>
      <c r="M208" s="2">
        <v>5.5</v>
      </c>
      <c r="N208" s="2">
        <v>2</v>
      </c>
      <c r="O208" s="2">
        <v>1</v>
      </c>
      <c r="P208" s="2" t="s">
        <v>419</v>
      </c>
      <c r="Q208" s="7" t="s">
        <v>139</v>
      </c>
      <c r="R208" s="7" t="s">
        <v>420</v>
      </c>
      <c r="S208" s="20">
        <v>0</v>
      </c>
      <c r="T208" s="2">
        <v>5</v>
      </c>
    </row>
    <row r="209" spans="1:31">
      <c r="A209" s="7">
        <f>MAX($A$1:$A208)+1</f>
        <v>208</v>
      </c>
      <c r="B209" s="2" t="s">
        <v>409</v>
      </c>
      <c r="C209" s="2" t="s">
        <v>269</v>
      </c>
      <c r="D209" s="2" t="s">
        <v>38</v>
      </c>
      <c r="E209" s="7" t="s">
        <v>344</v>
      </c>
      <c r="F209" s="4">
        <v>48.857467651367102</v>
      </c>
      <c r="G209" s="18">
        <v>-125.158233642578</v>
      </c>
      <c r="H209" s="28" t="s">
        <v>14</v>
      </c>
      <c r="I209" s="2">
        <v>1</v>
      </c>
      <c r="J209" s="2">
        <v>210</v>
      </c>
      <c r="K209" s="6">
        <v>0.42499999999999999</v>
      </c>
      <c r="L209" s="2" t="s">
        <v>270</v>
      </c>
      <c r="M209" s="2">
        <v>5.5</v>
      </c>
      <c r="N209" s="2">
        <v>2</v>
      </c>
      <c r="O209" s="2">
        <v>1</v>
      </c>
      <c r="P209" s="2" t="s">
        <v>271</v>
      </c>
      <c r="Q209" s="7" t="s">
        <v>84</v>
      </c>
      <c r="R209" s="7" t="s">
        <v>406</v>
      </c>
      <c r="S209" s="20">
        <v>1</v>
      </c>
      <c r="T209" s="2">
        <v>1</v>
      </c>
    </row>
    <row r="210" spans="1:31">
      <c r="A210" s="7">
        <f>MAX($A$1:$A209)+1</f>
        <v>209</v>
      </c>
      <c r="B210" s="27" t="s">
        <v>269</v>
      </c>
      <c r="C210" s="2" t="s">
        <v>409</v>
      </c>
      <c r="D210" s="2" t="s">
        <v>38</v>
      </c>
      <c r="E210" s="7" t="s">
        <v>344</v>
      </c>
      <c r="F210" s="4">
        <v>48.857467651367102</v>
      </c>
      <c r="G210" s="18">
        <v>-125.158233642578</v>
      </c>
      <c r="H210" s="5" t="s">
        <v>14</v>
      </c>
      <c r="I210" s="2">
        <v>1</v>
      </c>
      <c r="J210" s="2">
        <v>210</v>
      </c>
      <c r="K210" s="6">
        <v>0.42499999999999999</v>
      </c>
      <c r="L210" s="2" t="s">
        <v>270</v>
      </c>
      <c r="M210" s="2">
        <v>5.5</v>
      </c>
      <c r="N210" s="2">
        <v>1</v>
      </c>
      <c r="O210" s="2">
        <v>2</v>
      </c>
      <c r="P210" s="2" t="s">
        <v>232</v>
      </c>
      <c r="Q210" s="7" t="s">
        <v>43</v>
      </c>
      <c r="R210" s="7" t="s">
        <v>324</v>
      </c>
      <c r="S210" s="20">
        <v>5</v>
      </c>
      <c r="T210" s="2">
        <v>0</v>
      </c>
      <c r="Z210" s="2">
        <v>2</v>
      </c>
      <c r="AA210" s="2">
        <v>1</v>
      </c>
      <c r="AC210" s="2">
        <v>1</v>
      </c>
      <c r="AE210" s="2">
        <v>1</v>
      </c>
    </row>
    <row r="211" spans="1:31">
      <c r="A211" s="7">
        <f>MAX($A$1:$A210)+1</f>
        <v>210</v>
      </c>
      <c r="B211" s="27" t="s">
        <v>269</v>
      </c>
      <c r="C211" s="2" t="s">
        <v>409</v>
      </c>
      <c r="D211" s="2" t="s">
        <v>38</v>
      </c>
      <c r="E211" s="7" t="s">
        <v>344</v>
      </c>
      <c r="F211" s="4">
        <v>48.857467651367102</v>
      </c>
      <c r="G211" s="18">
        <v>-125.158233642578</v>
      </c>
      <c r="H211" s="5" t="s">
        <v>14</v>
      </c>
      <c r="I211" s="2">
        <v>1</v>
      </c>
      <c r="J211" s="2">
        <v>210</v>
      </c>
      <c r="K211" s="6">
        <v>0.42499999999999999</v>
      </c>
      <c r="L211" s="2" t="s">
        <v>270</v>
      </c>
      <c r="M211" s="2">
        <v>5.5</v>
      </c>
      <c r="N211" s="2">
        <v>1</v>
      </c>
      <c r="O211" s="2">
        <v>2</v>
      </c>
      <c r="P211" s="2" t="s">
        <v>446</v>
      </c>
      <c r="Q211" s="7" t="s">
        <v>61</v>
      </c>
      <c r="R211" s="7" t="s">
        <v>447</v>
      </c>
      <c r="S211" s="20">
        <v>1</v>
      </c>
      <c r="T211" s="2">
        <v>0</v>
      </c>
      <c r="Y211" s="2">
        <v>1</v>
      </c>
    </row>
    <row r="212" spans="1:31">
      <c r="A212" s="7">
        <f>MAX($A$1:$A211)+1</f>
        <v>211</v>
      </c>
      <c r="B212" s="27" t="s">
        <v>269</v>
      </c>
      <c r="C212" s="2" t="s">
        <v>409</v>
      </c>
      <c r="D212" s="2" t="s">
        <v>38</v>
      </c>
      <c r="E212" s="7" t="s">
        <v>344</v>
      </c>
      <c r="F212" s="4">
        <v>48.857467651367102</v>
      </c>
      <c r="G212" s="18">
        <v>-125.158233642578</v>
      </c>
      <c r="H212" s="5" t="s">
        <v>14</v>
      </c>
      <c r="I212" s="2">
        <v>1</v>
      </c>
      <c r="J212" s="2">
        <v>210</v>
      </c>
      <c r="K212" s="6">
        <v>0.42499999999999999</v>
      </c>
      <c r="L212" s="2" t="s">
        <v>270</v>
      </c>
      <c r="M212" s="2">
        <v>5.5</v>
      </c>
      <c r="N212" s="2">
        <v>2</v>
      </c>
      <c r="O212" s="2">
        <v>2</v>
      </c>
      <c r="P212" s="2" t="s">
        <v>247</v>
      </c>
      <c r="Q212" s="7" t="s">
        <v>64</v>
      </c>
      <c r="R212" s="7" t="s">
        <v>293</v>
      </c>
      <c r="S212" s="20">
        <v>10</v>
      </c>
      <c r="T212" s="2">
        <v>10</v>
      </c>
    </row>
    <row r="213" spans="1:31">
      <c r="A213" s="7">
        <f>MAX($A$1:$A212)+1</f>
        <v>212</v>
      </c>
      <c r="B213" s="27" t="s">
        <v>269</v>
      </c>
      <c r="C213" s="2" t="s">
        <v>409</v>
      </c>
      <c r="D213" s="2" t="s">
        <v>38</v>
      </c>
      <c r="E213" s="7" t="s">
        <v>344</v>
      </c>
      <c r="F213" s="4">
        <v>48.857467651367102</v>
      </c>
      <c r="G213" s="18">
        <v>-125.158233642578</v>
      </c>
      <c r="H213" s="5" t="s">
        <v>14</v>
      </c>
      <c r="I213" s="2">
        <v>1</v>
      </c>
      <c r="J213" s="2">
        <v>210</v>
      </c>
      <c r="K213" s="6">
        <v>0.42499999999999999</v>
      </c>
      <c r="L213" s="2" t="s">
        <v>270</v>
      </c>
      <c r="M213" s="2">
        <v>5.5</v>
      </c>
      <c r="N213" s="2">
        <v>2</v>
      </c>
      <c r="O213" s="2">
        <v>2</v>
      </c>
      <c r="P213" s="2" t="s">
        <v>241</v>
      </c>
      <c r="Q213" s="7" t="s">
        <v>63</v>
      </c>
      <c r="R213" s="7" t="s">
        <v>294</v>
      </c>
      <c r="S213" s="20">
        <v>273</v>
      </c>
      <c r="T213" s="2">
        <v>273</v>
      </c>
    </row>
    <row r="214" spans="1:31">
      <c r="A214" s="7">
        <f>MAX($A$1:$A213)+1</f>
        <v>213</v>
      </c>
      <c r="B214" s="27" t="s">
        <v>269</v>
      </c>
      <c r="C214" s="2" t="s">
        <v>409</v>
      </c>
      <c r="D214" s="2" t="s">
        <v>38</v>
      </c>
      <c r="E214" s="7" t="s">
        <v>344</v>
      </c>
      <c r="F214" s="4">
        <v>48.857467651367102</v>
      </c>
      <c r="G214" s="18">
        <v>-125.158233642578</v>
      </c>
      <c r="H214" s="5" t="s">
        <v>14</v>
      </c>
      <c r="I214" s="2">
        <v>1</v>
      </c>
      <c r="J214" s="2">
        <v>210</v>
      </c>
      <c r="K214" s="6">
        <v>0.42499999999999999</v>
      </c>
      <c r="L214" s="2" t="s">
        <v>270</v>
      </c>
      <c r="M214" s="2">
        <v>5.5</v>
      </c>
      <c r="N214" s="2">
        <v>2</v>
      </c>
      <c r="O214" s="2">
        <v>2</v>
      </c>
      <c r="P214" s="2" t="s">
        <v>331</v>
      </c>
      <c r="Q214" s="7" t="s">
        <v>67</v>
      </c>
      <c r="R214" s="7" t="s">
        <v>332</v>
      </c>
      <c r="S214" s="20">
        <v>85</v>
      </c>
      <c r="T214" s="2">
        <v>85</v>
      </c>
    </row>
    <row r="215" spans="1:31">
      <c r="A215" s="7">
        <f>MAX($A$1:$A214)+1</f>
        <v>214</v>
      </c>
      <c r="B215" s="27" t="s">
        <v>269</v>
      </c>
      <c r="C215" s="2" t="s">
        <v>409</v>
      </c>
      <c r="D215" s="2" t="s">
        <v>38</v>
      </c>
      <c r="E215" s="7" t="s">
        <v>344</v>
      </c>
      <c r="F215" s="4">
        <v>48.857467651367102</v>
      </c>
      <c r="G215" s="18">
        <v>-125.158233642578</v>
      </c>
      <c r="H215" s="5" t="s">
        <v>14</v>
      </c>
      <c r="I215" s="2">
        <v>1</v>
      </c>
      <c r="J215" s="2">
        <v>210</v>
      </c>
      <c r="K215" s="6">
        <v>0.42499999999999999</v>
      </c>
      <c r="L215" s="2" t="s">
        <v>270</v>
      </c>
      <c r="M215" s="2">
        <v>5.5</v>
      </c>
      <c r="N215" s="2">
        <v>2</v>
      </c>
      <c r="O215" s="2">
        <v>2</v>
      </c>
      <c r="P215" s="2" t="s">
        <v>230</v>
      </c>
      <c r="Q215" s="7" t="s">
        <v>42</v>
      </c>
      <c r="R215" s="7" t="s">
        <v>321</v>
      </c>
      <c r="S215" s="20">
        <v>26</v>
      </c>
      <c r="T215" s="2">
        <v>0</v>
      </c>
      <c r="U215" s="2">
        <v>1</v>
      </c>
      <c r="V215" s="2">
        <v>5</v>
      </c>
      <c r="W215" s="2">
        <v>9</v>
      </c>
      <c r="X215" s="2">
        <v>9</v>
      </c>
      <c r="Y215" s="2">
        <v>1</v>
      </c>
      <c r="Z215" s="2">
        <v>1</v>
      </c>
    </row>
    <row r="216" spans="1:31">
      <c r="A216" s="7">
        <f>MAX($A$1:$A215)+1</f>
        <v>215</v>
      </c>
      <c r="B216" s="27" t="s">
        <v>269</v>
      </c>
      <c r="C216" s="2" t="s">
        <v>409</v>
      </c>
      <c r="D216" s="2" t="s">
        <v>38</v>
      </c>
      <c r="E216" s="7" t="s">
        <v>344</v>
      </c>
      <c r="F216" s="4">
        <v>48.857467651367102</v>
      </c>
      <c r="G216" s="18">
        <v>-125.158233642578</v>
      </c>
      <c r="H216" s="5" t="s">
        <v>14</v>
      </c>
      <c r="I216" s="2">
        <v>1</v>
      </c>
      <c r="J216" s="2">
        <v>210</v>
      </c>
      <c r="K216" s="6">
        <v>0.42499999999999999</v>
      </c>
      <c r="L216" s="2" t="s">
        <v>270</v>
      </c>
      <c r="M216" s="2">
        <v>5.5</v>
      </c>
      <c r="N216" s="2">
        <v>2</v>
      </c>
      <c r="O216" s="2">
        <v>2</v>
      </c>
      <c r="P216" s="2" t="s">
        <v>440</v>
      </c>
      <c r="Q216" s="7" t="s">
        <v>147</v>
      </c>
      <c r="R216" s="7" t="s">
        <v>441</v>
      </c>
      <c r="S216" s="20">
        <v>9</v>
      </c>
      <c r="T216" s="2">
        <v>9</v>
      </c>
    </row>
    <row r="217" spans="1:31">
      <c r="A217" s="7">
        <f>MAX($A$1:$A216)+1</f>
        <v>216</v>
      </c>
      <c r="B217" s="27" t="s">
        <v>269</v>
      </c>
      <c r="C217" s="2" t="s">
        <v>409</v>
      </c>
      <c r="D217" s="2" t="s">
        <v>38</v>
      </c>
      <c r="E217" s="7" t="s">
        <v>344</v>
      </c>
      <c r="F217" s="4">
        <v>48.857467651367102</v>
      </c>
      <c r="G217" s="18">
        <v>-125.158233642578</v>
      </c>
      <c r="H217" s="5" t="s">
        <v>14</v>
      </c>
      <c r="I217" s="2">
        <v>1</v>
      </c>
      <c r="J217" s="2">
        <v>210</v>
      </c>
      <c r="K217" s="6">
        <v>0.42499999999999999</v>
      </c>
      <c r="L217" s="2" t="s">
        <v>270</v>
      </c>
      <c r="M217" s="2">
        <v>5.5</v>
      </c>
      <c r="N217" s="2">
        <v>2</v>
      </c>
      <c r="O217" s="2">
        <v>2</v>
      </c>
      <c r="P217" s="2" t="s">
        <v>442</v>
      </c>
      <c r="Q217" s="7" t="s">
        <v>148</v>
      </c>
      <c r="R217" s="7" t="s">
        <v>317</v>
      </c>
      <c r="S217" s="20">
        <v>5</v>
      </c>
      <c r="T217" s="2">
        <v>5</v>
      </c>
    </row>
    <row r="218" spans="1:31">
      <c r="A218" s="7">
        <f>MAX($A$1:$A217)+1</f>
        <v>217</v>
      </c>
      <c r="B218" s="27" t="s">
        <v>269</v>
      </c>
      <c r="C218" s="2" t="s">
        <v>409</v>
      </c>
      <c r="D218" s="2" t="s">
        <v>38</v>
      </c>
      <c r="E218" s="7" t="s">
        <v>344</v>
      </c>
      <c r="F218" s="4">
        <v>48.857467651367102</v>
      </c>
      <c r="G218" s="18">
        <v>-125.158233642578</v>
      </c>
      <c r="H218" s="5" t="s">
        <v>14</v>
      </c>
      <c r="I218" s="2">
        <v>1</v>
      </c>
      <c r="J218" s="2">
        <v>210</v>
      </c>
      <c r="K218" s="6">
        <v>0.42499999999999999</v>
      </c>
      <c r="L218" s="2" t="s">
        <v>270</v>
      </c>
      <c r="M218" s="2">
        <v>5.5</v>
      </c>
      <c r="N218" s="2">
        <v>2</v>
      </c>
      <c r="O218" s="2">
        <v>2</v>
      </c>
      <c r="P218" s="2" t="s">
        <v>298</v>
      </c>
      <c r="Q218" s="7" t="s">
        <v>99</v>
      </c>
      <c r="R218" s="7" t="s">
        <v>299</v>
      </c>
      <c r="S218" s="20">
        <v>1</v>
      </c>
      <c r="T218" s="2">
        <v>1</v>
      </c>
    </row>
    <row r="219" spans="1:31">
      <c r="A219" s="7">
        <f>MAX($A$1:$A218)+1</f>
        <v>218</v>
      </c>
      <c r="B219" s="27" t="s">
        <v>269</v>
      </c>
      <c r="C219" s="2" t="s">
        <v>409</v>
      </c>
      <c r="D219" s="2" t="s">
        <v>38</v>
      </c>
      <c r="E219" s="7" t="s">
        <v>344</v>
      </c>
      <c r="F219" s="4">
        <v>48.857467651367102</v>
      </c>
      <c r="G219" s="18">
        <v>-125.158233642578</v>
      </c>
      <c r="H219" s="5" t="s">
        <v>14</v>
      </c>
      <c r="I219" s="2">
        <v>1</v>
      </c>
      <c r="J219" s="2">
        <v>210</v>
      </c>
      <c r="K219" s="6">
        <v>0.42499999999999999</v>
      </c>
      <c r="L219" s="2" t="s">
        <v>270</v>
      </c>
      <c r="M219" s="2">
        <v>5.5</v>
      </c>
      <c r="N219" s="2">
        <v>2</v>
      </c>
      <c r="O219" s="2">
        <v>2</v>
      </c>
      <c r="P219" s="2" t="s">
        <v>335</v>
      </c>
      <c r="Q219" s="7" t="s">
        <v>91</v>
      </c>
      <c r="R219" s="7" t="s">
        <v>336</v>
      </c>
      <c r="S219" s="20">
        <v>1</v>
      </c>
      <c r="T219" s="2">
        <v>1</v>
      </c>
    </row>
    <row r="220" spans="1:31">
      <c r="A220" s="7">
        <f>MAX($A$1:$A219)+1</f>
        <v>219</v>
      </c>
      <c r="B220" s="27" t="s">
        <v>269</v>
      </c>
      <c r="C220" s="2" t="s">
        <v>409</v>
      </c>
      <c r="D220" s="2" t="s">
        <v>38</v>
      </c>
      <c r="E220" s="7" t="s">
        <v>344</v>
      </c>
      <c r="F220" s="4">
        <v>48.857467651367102</v>
      </c>
      <c r="G220" s="18">
        <v>-125.158233642578</v>
      </c>
      <c r="H220" s="5" t="s">
        <v>14</v>
      </c>
      <c r="I220" s="2">
        <v>1</v>
      </c>
      <c r="J220" s="2">
        <v>210</v>
      </c>
      <c r="K220" s="6">
        <v>0.42499999999999999</v>
      </c>
      <c r="L220" s="2" t="s">
        <v>270</v>
      </c>
      <c r="M220" s="2">
        <v>5.5</v>
      </c>
      <c r="N220" s="2">
        <v>2</v>
      </c>
      <c r="O220" s="2">
        <v>2</v>
      </c>
      <c r="P220" s="2" t="s">
        <v>250</v>
      </c>
      <c r="Q220" s="7" t="s">
        <v>46</v>
      </c>
      <c r="R220" s="7" t="s">
        <v>295</v>
      </c>
      <c r="S220" s="20">
        <v>5</v>
      </c>
      <c r="T220" s="2">
        <v>0</v>
      </c>
      <c r="U220" s="2">
        <v>3</v>
      </c>
      <c r="W220" s="2">
        <v>2</v>
      </c>
    </row>
    <row r="221" spans="1:31">
      <c r="A221" s="7">
        <f>MAX($A$1:$A220)+1</f>
        <v>220</v>
      </c>
      <c r="B221" s="27" t="s">
        <v>269</v>
      </c>
      <c r="C221" s="2" t="s">
        <v>409</v>
      </c>
      <c r="D221" s="2" t="s">
        <v>38</v>
      </c>
      <c r="E221" s="7" t="s">
        <v>344</v>
      </c>
      <c r="F221" s="4">
        <v>48.857467651367102</v>
      </c>
      <c r="G221" s="18">
        <v>-125.158233642578</v>
      </c>
      <c r="H221" s="5" t="s">
        <v>14</v>
      </c>
      <c r="I221" s="2">
        <v>1</v>
      </c>
      <c r="J221" s="2">
        <v>210</v>
      </c>
      <c r="K221" s="6">
        <v>0.42499999999999999</v>
      </c>
      <c r="L221" s="2" t="s">
        <v>270</v>
      </c>
      <c r="M221" s="2">
        <v>5.5</v>
      </c>
      <c r="N221" s="2">
        <v>2</v>
      </c>
      <c r="O221" s="2">
        <v>2</v>
      </c>
      <c r="P221" s="2" t="s">
        <v>244</v>
      </c>
      <c r="Q221" s="7" t="s">
        <v>65</v>
      </c>
      <c r="R221" s="7" t="s">
        <v>307</v>
      </c>
      <c r="S221" s="20">
        <v>2</v>
      </c>
      <c r="T221" s="2">
        <v>2</v>
      </c>
    </row>
    <row r="222" spans="1:31">
      <c r="A222" s="7">
        <f>MAX($A$1:$A221)+1</f>
        <v>221</v>
      </c>
      <c r="B222" s="27" t="s">
        <v>269</v>
      </c>
      <c r="C222" s="2" t="s">
        <v>409</v>
      </c>
      <c r="D222" s="2" t="s">
        <v>38</v>
      </c>
      <c r="E222" s="7" t="s">
        <v>344</v>
      </c>
      <c r="F222" s="4">
        <v>48.857467651367102</v>
      </c>
      <c r="G222" s="18">
        <v>-125.158233642578</v>
      </c>
      <c r="H222" s="5" t="s">
        <v>14</v>
      </c>
      <c r="I222" s="2">
        <v>1</v>
      </c>
      <c r="J222" s="2">
        <v>210</v>
      </c>
      <c r="K222" s="6">
        <v>0.42499999999999999</v>
      </c>
      <c r="L222" s="2" t="s">
        <v>270</v>
      </c>
      <c r="M222" s="2">
        <v>5.5</v>
      </c>
      <c r="N222" s="2">
        <v>2</v>
      </c>
      <c r="O222" s="2">
        <v>2</v>
      </c>
      <c r="P222" s="2" t="s">
        <v>350</v>
      </c>
      <c r="Q222" s="7" t="s">
        <v>83</v>
      </c>
      <c r="R222" s="7" t="s">
        <v>351</v>
      </c>
      <c r="S222" s="20">
        <v>2</v>
      </c>
      <c r="T222" s="2">
        <v>2</v>
      </c>
    </row>
    <row r="223" spans="1:31">
      <c r="A223" s="7">
        <f>MAX($A$1:$A222)+1</f>
        <v>222</v>
      </c>
      <c r="B223" s="27" t="s">
        <v>269</v>
      </c>
      <c r="C223" s="2" t="s">
        <v>409</v>
      </c>
      <c r="D223" s="2" t="s">
        <v>38</v>
      </c>
      <c r="E223" s="7" t="s">
        <v>344</v>
      </c>
      <c r="F223" s="4">
        <v>48.857467651367102</v>
      </c>
      <c r="G223" s="18">
        <v>-125.158233642578</v>
      </c>
      <c r="H223" s="5" t="s">
        <v>14</v>
      </c>
      <c r="I223" s="2">
        <v>1</v>
      </c>
      <c r="J223" s="2">
        <v>210</v>
      </c>
      <c r="K223" s="6">
        <v>0.42499999999999999</v>
      </c>
      <c r="L223" s="2" t="s">
        <v>270</v>
      </c>
      <c r="M223" s="2">
        <v>5.5</v>
      </c>
      <c r="N223" s="2">
        <v>2</v>
      </c>
      <c r="O223" s="2">
        <v>2</v>
      </c>
      <c r="P223" s="2" t="s">
        <v>246</v>
      </c>
      <c r="Q223" s="7" t="s">
        <v>66</v>
      </c>
      <c r="R223" s="7" t="s">
        <v>318</v>
      </c>
      <c r="S223" s="20">
        <v>9</v>
      </c>
      <c r="T223" s="2">
        <v>0</v>
      </c>
      <c r="U223" s="2">
        <v>1</v>
      </c>
      <c r="W223" s="2">
        <v>3</v>
      </c>
      <c r="X223" s="2">
        <v>3</v>
      </c>
      <c r="Z223" s="2">
        <v>2</v>
      </c>
    </row>
    <row r="224" spans="1:31">
      <c r="A224" s="7">
        <f>MAX($A$1:$A223)+1</f>
        <v>223</v>
      </c>
      <c r="B224" s="27" t="s">
        <v>269</v>
      </c>
      <c r="C224" s="2" t="s">
        <v>409</v>
      </c>
      <c r="D224" s="2" t="s">
        <v>38</v>
      </c>
      <c r="E224" s="7" t="s">
        <v>344</v>
      </c>
      <c r="F224" s="4">
        <v>48.857467651367102</v>
      </c>
      <c r="G224" s="18">
        <v>-125.158233642578</v>
      </c>
      <c r="H224" s="5" t="s">
        <v>14</v>
      </c>
      <c r="I224" s="2">
        <v>1</v>
      </c>
      <c r="J224" s="2">
        <v>210</v>
      </c>
      <c r="K224" s="6">
        <v>0.42499999999999999</v>
      </c>
      <c r="L224" s="2" t="s">
        <v>270</v>
      </c>
      <c r="M224" s="2">
        <v>5.5</v>
      </c>
      <c r="N224" s="2">
        <v>2</v>
      </c>
      <c r="O224" s="2">
        <v>2</v>
      </c>
      <c r="P224" s="2" t="s">
        <v>243</v>
      </c>
      <c r="Q224" s="7" t="s">
        <v>85</v>
      </c>
      <c r="R224" s="7" t="s">
        <v>312</v>
      </c>
      <c r="S224" s="20">
        <v>9</v>
      </c>
      <c r="T224" s="2">
        <v>9</v>
      </c>
    </row>
    <row r="225" spans="1:43">
      <c r="A225" s="7">
        <f>MAX($A$1:$A224)+1</f>
        <v>224</v>
      </c>
      <c r="B225" s="27" t="s">
        <v>269</v>
      </c>
      <c r="C225" s="2" t="s">
        <v>409</v>
      </c>
      <c r="D225" s="2" t="s">
        <v>38</v>
      </c>
      <c r="E225" s="7" t="s">
        <v>344</v>
      </c>
      <c r="F225" s="4">
        <v>48.857467651367102</v>
      </c>
      <c r="G225" s="18">
        <v>-125.158233642578</v>
      </c>
      <c r="H225" s="5" t="s">
        <v>14</v>
      </c>
      <c r="I225" s="2">
        <v>1</v>
      </c>
      <c r="J225" s="2">
        <v>210</v>
      </c>
      <c r="K225" s="6">
        <v>0.42499999999999999</v>
      </c>
      <c r="L225" s="2" t="s">
        <v>270</v>
      </c>
      <c r="M225" s="2">
        <v>5.5</v>
      </c>
      <c r="N225" s="2">
        <v>2</v>
      </c>
      <c r="O225" s="2">
        <v>2</v>
      </c>
      <c r="P225" s="2" t="s">
        <v>296</v>
      </c>
      <c r="Q225" s="7" t="s">
        <v>75</v>
      </c>
      <c r="R225" s="7" t="s">
        <v>297</v>
      </c>
      <c r="S225" s="20">
        <v>10</v>
      </c>
      <c r="T225" s="2">
        <v>10</v>
      </c>
    </row>
    <row r="226" spans="1:43">
      <c r="A226" s="7">
        <f>MAX($A$1:$A225)+1</f>
        <v>225</v>
      </c>
      <c r="B226" s="27" t="s">
        <v>269</v>
      </c>
      <c r="C226" s="2" t="s">
        <v>409</v>
      </c>
      <c r="D226" s="2" t="s">
        <v>38</v>
      </c>
      <c r="E226" s="7" t="s">
        <v>344</v>
      </c>
      <c r="F226" s="4">
        <v>48.857467651367102</v>
      </c>
      <c r="G226" s="18">
        <v>-125.158233642578</v>
      </c>
      <c r="H226" s="5" t="s">
        <v>14</v>
      </c>
      <c r="I226" s="2">
        <v>1</v>
      </c>
      <c r="J226" s="2">
        <v>210</v>
      </c>
      <c r="K226" s="6">
        <v>0.42499999999999999</v>
      </c>
      <c r="L226" s="2" t="s">
        <v>270</v>
      </c>
      <c r="M226" s="2">
        <v>5.5</v>
      </c>
      <c r="N226" s="2">
        <v>2</v>
      </c>
      <c r="O226" s="2">
        <v>2</v>
      </c>
      <c r="P226" s="2" t="s">
        <v>249</v>
      </c>
      <c r="Q226" s="7" t="s">
        <v>90</v>
      </c>
      <c r="R226" s="7" t="s">
        <v>352</v>
      </c>
      <c r="S226" s="20">
        <v>2</v>
      </c>
      <c r="T226" s="2">
        <v>2</v>
      </c>
    </row>
    <row r="227" spans="1:43">
      <c r="A227" s="7">
        <f>MAX($A$1:$A226)+1</f>
        <v>226</v>
      </c>
      <c r="B227" s="27" t="s">
        <v>269</v>
      </c>
      <c r="C227" s="2" t="s">
        <v>409</v>
      </c>
      <c r="D227" s="2" t="s">
        <v>38</v>
      </c>
      <c r="E227" s="7" t="s">
        <v>344</v>
      </c>
      <c r="F227" s="4">
        <v>48.857467651367102</v>
      </c>
      <c r="G227" s="18">
        <v>-125.158233642578</v>
      </c>
      <c r="H227" s="5" t="s">
        <v>14</v>
      </c>
      <c r="I227" s="2">
        <v>1</v>
      </c>
      <c r="J227" s="2">
        <v>210</v>
      </c>
      <c r="K227" s="6">
        <v>0.42499999999999999</v>
      </c>
      <c r="L227" s="2" t="s">
        <v>270</v>
      </c>
      <c r="M227" s="2">
        <v>5.5</v>
      </c>
      <c r="N227" s="2">
        <v>2</v>
      </c>
      <c r="O227" s="2">
        <v>2</v>
      </c>
      <c r="P227" s="2" t="s">
        <v>248</v>
      </c>
      <c r="Q227" s="7" t="s">
        <v>78</v>
      </c>
      <c r="R227" s="7" t="s">
        <v>349</v>
      </c>
      <c r="S227" s="20">
        <v>1</v>
      </c>
      <c r="T227" s="2">
        <v>0</v>
      </c>
      <c r="W227" s="2">
        <v>1</v>
      </c>
    </row>
    <row r="228" spans="1:43">
      <c r="A228" s="7">
        <f>MAX($A$1:$A227)+1</f>
        <v>227</v>
      </c>
      <c r="B228" s="27" t="s">
        <v>269</v>
      </c>
      <c r="C228" s="2" t="s">
        <v>409</v>
      </c>
      <c r="D228" s="2" t="s">
        <v>38</v>
      </c>
      <c r="E228" s="7" t="s">
        <v>344</v>
      </c>
      <c r="F228" s="4">
        <v>48.857467651367102</v>
      </c>
      <c r="G228" s="18">
        <v>-125.158233642578</v>
      </c>
      <c r="H228" s="5" t="s">
        <v>14</v>
      </c>
      <c r="I228" s="2">
        <v>1</v>
      </c>
      <c r="J228" s="2">
        <v>210</v>
      </c>
      <c r="K228" s="6">
        <v>0.42499999999999999</v>
      </c>
      <c r="L228" s="2" t="s">
        <v>270</v>
      </c>
      <c r="M228" s="2">
        <v>5.5</v>
      </c>
      <c r="N228" s="2">
        <v>2</v>
      </c>
      <c r="O228" s="2">
        <v>2</v>
      </c>
      <c r="P228" s="2" t="s">
        <v>255</v>
      </c>
      <c r="Q228" s="7" t="s">
        <v>79</v>
      </c>
      <c r="R228" s="7" t="s">
        <v>443</v>
      </c>
      <c r="S228" s="20">
        <v>1</v>
      </c>
      <c r="T228" s="2">
        <v>1</v>
      </c>
    </row>
    <row r="229" spans="1:43">
      <c r="A229" s="7">
        <f>MAX($A$1:$A228)+1</f>
        <v>228</v>
      </c>
      <c r="B229" s="27" t="s">
        <v>269</v>
      </c>
      <c r="C229" s="2" t="s">
        <v>409</v>
      </c>
      <c r="D229" s="2" t="s">
        <v>38</v>
      </c>
      <c r="E229" s="7" t="s">
        <v>344</v>
      </c>
      <c r="F229" s="4">
        <v>48.857467651367102</v>
      </c>
      <c r="G229" s="18">
        <v>-125.158233642578</v>
      </c>
      <c r="H229" s="5" t="s">
        <v>14</v>
      </c>
      <c r="I229" s="2">
        <v>1</v>
      </c>
      <c r="J229" s="2">
        <v>210</v>
      </c>
      <c r="K229" s="6">
        <v>0.42499999999999999</v>
      </c>
      <c r="L229" s="2" t="s">
        <v>270</v>
      </c>
      <c r="M229" s="2">
        <v>5.5</v>
      </c>
      <c r="N229" s="2">
        <v>2</v>
      </c>
      <c r="O229" s="2">
        <v>2</v>
      </c>
      <c r="P229" s="2" t="s">
        <v>373</v>
      </c>
      <c r="Q229" s="7" t="s">
        <v>131</v>
      </c>
      <c r="R229" s="7" t="s">
        <v>374</v>
      </c>
      <c r="S229" s="20">
        <v>2</v>
      </c>
      <c r="T229" s="2">
        <v>2</v>
      </c>
    </row>
    <row r="230" spans="1:43">
      <c r="A230" s="7">
        <f>MAX($A$1:$A229)+1</f>
        <v>229</v>
      </c>
      <c r="B230" s="27" t="s">
        <v>269</v>
      </c>
      <c r="C230" s="2" t="s">
        <v>409</v>
      </c>
      <c r="D230" s="2" t="s">
        <v>38</v>
      </c>
      <c r="E230" s="7" t="s">
        <v>344</v>
      </c>
      <c r="F230" s="4">
        <v>48.857467651367102</v>
      </c>
      <c r="G230" s="18">
        <v>-125.158233642578</v>
      </c>
      <c r="H230" s="5" t="s">
        <v>14</v>
      </c>
      <c r="I230" s="2">
        <v>1</v>
      </c>
      <c r="J230" s="2">
        <v>210</v>
      </c>
      <c r="K230" s="6">
        <v>0.42499999999999999</v>
      </c>
      <c r="L230" s="2" t="s">
        <v>270</v>
      </c>
      <c r="M230" s="2">
        <v>5.5</v>
      </c>
      <c r="N230" s="2">
        <v>2</v>
      </c>
      <c r="O230" s="2">
        <v>2</v>
      </c>
      <c r="P230" s="2" t="s">
        <v>448</v>
      </c>
      <c r="Q230" s="7" t="s">
        <v>112</v>
      </c>
      <c r="R230" s="7" t="s">
        <v>449</v>
      </c>
      <c r="S230" s="20">
        <v>1</v>
      </c>
      <c r="T230" s="2">
        <v>1</v>
      </c>
    </row>
    <row r="231" spans="1:43">
      <c r="A231" s="7">
        <f>MAX($A$1:$A230)+1</f>
        <v>230</v>
      </c>
      <c r="B231" s="27" t="s">
        <v>269</v>
      </c>
      <c r="C231" s="2" t="s">
        <v>409</v>
      </c>
      <c r="D231" s="2" t="s">
        <v>38</v>
      </c>
      <c r="E231" s="7" t="s">
        <v>344</v>
      </c>
      <c r="F231" s="4">
        <v>48.857467651367102</v>
      </c>
      <c r="G231" s="18">
        <v>-125.158233642578</v>
      </c>
      <c r="H231" s="5" t="s">
        <v>14</v>
      </c>
      <c r="I231" s="2">
        <v>1</v>
      </c>
      <c r="J231" s="2">
        <v>210</v>
      </c>
      <c r="K231" s="6">
        <v>0.42499999999999999</v>
      </c>
      <c r="L231" s="2" t="s">
        <v>270</v>
      </c>
      <c r="M231" s="2">
        <v>5.5</v>
      </c>
      <c r="N231" s="2">
        <v>2</v>
      </c>
      <c r="O231" s="2">
        <v>2</v>
      </c>
      <c r="P231" s="2" t="s">
        <v>419</v>
      </c>
      <c r="Q231" s="7" t="s">
        <v>139</v>
      </c>
      <c r="R231" s="7" t="s">
        <v>420</v>
      </c>
      <c r="S231" s="20">
        <v>1</v>
      </c>
      <c r="T231" s="2">
        <v>1</v>
      </c>
    </row>
    <row r="232" spans="1:43">
      <c r="A232" s="7">
        <f>MAX($A$1:$A231)+1</f>
        <v>231</v>
      </c>
      <c r="B232" s="27" t="s">
        <v>269</v>
      </c>
      <c r="C232" s="2" t="s">
        <v>409</v>
      </c>
      <c r="D232" s="2" t="s">
        <v>38</v>
      </c>
      <c r="E232" s="7" t="s">
        <v>344</v>
      </c>
      <c r="F232" s="4">
        <v>48.857467651367102</v>
      </c>
      <c r="G232" s="18">
        <v>-125.158233642578</v>
      </c>
      <c r="H232" s="5" t="s">
        <v>14</v>
      </c>
      <c r="I232" s="2">
        <v>1</v>
      </c>
      <c r="J232" s="2">
        <v>210</v>
      </c>
      <c r="K232" s="6">
        <v>0.42499999999999999</v>
      </c>
      <c r="L232" s="2" t="s">
        <v>270</v>
      </c>
      <c r="M232" s="2">
        <v>5.5</v>
      </c>
      <c r="N232" s="2">
        <v>2</v>
      </c>
      <c r="O232" s="2">
        <v>2</v>
      </c>
      <c r="P232" s="2" t="s">
        <v>232</v>
      </c>
      <c r="Q232" s="7" t="s">
        <v>43</v>
      </c>
      <c r="R232" s="7" t="s">
        <v>324</v>
      </c>
      <c r="S232" s="20">
        <v>2</v>
      </c>
      <c r="T232" s="2">
        <v>0</v>
      </c>
      <c r="V232" s="2">
        <v>2</v>
      </c>
    </row>
    <row r="233" spans="1:43">
      <c r="A233" s="7">
        <f>MAX($A$1:$A232)+1</f>
        <v>232</v>
      </c>
      <c r="B233" s="27" t="s">
        <v>269</v>
      </c>
      <c r="C233" s="2" t="s">
        <v>409</v>
      </c>
      <c r="D233" s="2" t="s">
        <v>38</v>
      </c>
      <c r="E233" s="7" t="s">
        <v>344</v>
      </c>
      <c r="F233" s="4">
        <v>48.857467651367102</v>
      </c>
      <c r="G233" s="18">
        <v>-125.158233642578</v>
      </c>
      <c r="H233" s="5" t="s">
        <v>14</v>
      </c>
      <c r="I233" s="2">
        <v>1</v>
      </c>
      <c r="J233" s="2">
        <v>210</v>
      </c>
      <c r="K233" s="6">
        <v>0.42499999999999999</v>
      </c>
      <c r="L233" s="2" t="s">
        <v>270</v>
      </c>
      <c r="M233" s="2">
        <v>5.5</v>
      </c>
      <c r="N233" s="2">
        <v>2</v>
      </c>
      <c r="O233" s="2">
        <v>2</v>
      </c>
      <c r="P233" s="2" t="s">
        <v>305</v>
      </c>
      <c r="Q233" s="7" t="s">
        <v>89</v>
      </c>
      <c r="R233" s="7" t="s">
        <v>306</v>
      </c>
      <c r="S233" s="20">
        <v>1</v>
      </c>
      <c r="T233" s="2">
        <v>0</v>
      </c>
      <c r="U233" s="2">
        <v>1</v>
      </c>
    </row>
    <row r="234" spans="1:43">
      <c r="A234" s="7">
        <f>MAX($A$1:$A233)+1</f>
        <v>233</v>
      </c>
      <c r="B234" s="27" t="s">
        <v>269</v>
      </c>
      <c r="C234" s="2" t="s">
        <v>409</v>
      </c>
      <c r="D234" s="2" t="s">
        <v>38</v>
      </c>
      <c r="E234" s="7" t="s">
        <v>344</v>
      </c>
      <c r="F234" s="4">
        <v>48.857467651367102</v>
      </c>
      <c r="G234" s="18">
        <v>-125.158233642578</v>
      </c>
      <c r="H234" s="5" t="s">
        <v>14</v>
      </c>
      <c r="I234" s="2">
        <v>1</v>
      </c>
      <c r="J234" s="2">
        <v>210</v>
      </c>
      <c r="K234" s="6">
        <v>0.42499999999999999</v>
      </c>
      <c r="L234" s="2" t="s">
        <v>270</v>
      </c>
      <c r="M234" s="2">
        <v>5.5</v>
      </c>
      <c r="N234" s="2">
        <v>2</v>
      </c>
      <c r="O234" s="2">
        <v>2</v>
      </c>
      <c r="P234" s="2" t="s">
        <v>251</v>
      </c>
      <c r="Q234" s="7" t="s">
        <v>73</v>
      </c>
      <c r="R234" s="7" t="s">
        <v>325</v>
      </c>
      <c r="S234" s="20">
        <v>1</v>
      </c>
      <c r="T234" s="2">
        <v>1</v>
      </c>
    </row>
    <row r="235" spans="1:43">
      <c r="A235" s="7">
        <f>MAX($A$1:$A234)+1</f>
        <v>234</v>
      </c>
      <c r="B235" s="27" t="s">
        <v>269</v>
      </c>
      <c r="C235" s="2" t="s">
        <v>409</v>
      </c>
      <c r="D235" s="2" t="s">
        <v>38</v>
      </c>
      <c r="E235" s="7" t="s">
        <v>344</v>
      </c>
      <c r="F235" s="4">
        <v>48.857467651367102</v>
      </c>
      <c r="G235" s="18">
        <v>-125.158233642578</v>
      </c>
      <c r="H235" s="5" t="s">
        <v>14</v>
      </c>
      <c r="I235" s="2">
        <v>1</v>
      </c>
      <c r="J235" s="2">
        <v>210</v>
      </c>
      <c r="K235" s="6">
        <v>0.42499999999999999</v>
      </c>
      <c r="L235" s="2" t="s">
        <v>270</v>
      </c>
      <c r="M235" s="2">
        <v>5.5</v>
      </c>
      <c r="N235" s="2">
        <v>0</v>
      </c>
      <c r="O235" s="2">
        <v>2</v>
      </c>
      <c r="P235" s="2" t="s">
        <v>450</v>
      </c>
      <c r="Q235" s="7" t="s">
        <v>62</v>
      </c>
      <c r="R235" s="7" t="s">
        <v>451</v>
      </c>
      <c r="S235" s="20">
        <v>14</v>
      </c>
      <c r="AM235" s="2">
        <v>3</v>
      </c>
      <c r="AP235" s="2">
        <v>7</v>
      </c>
      <c r="AQ235" s="2">
        <v>4</v>
      </c>
    </row>
    <row r="236" spans="1:43">
      <c r="A236" s="7">
        <f>MAX($A$1:$A235)+1</f>
        <v>235</v>
      </c>
      <c r="B236" s="27" t="s">
        <v>269</v>
      </c>
      <c r="C236" s="2" t="s">
        <v>409</v>
      </c>
      <c r="D236" s="2" t="s">
        <v>38</v>
      </c>
      <c r="E236" s="7" t="s">
        <v>344</v>
      </c>
      <c r="F236" s="4">
        <v>48.857467651367102</v>
      </c>
      <c r="G236" s="18">
        <v>-125.158233642578</v>
      </c>
      <c r="H236" s="5" t="s">
        <v>14</v>
      </c>
      <c r="I236" s="2">
        <v>1</v>
      </c>
      <c r="J236" s="2">
        <v>210</v>
      </c>
      <c r="K236" s="6">
        <v>0.42499999999999999</v>
      </c>
      <c r="L236" s="2" t="s">
        <v>270</v>
      </c>
      <c r="M236" s="2">
        <v>5.5</v>
      </c>
      <c r="N236" s="2">
        <v>0</v>
      </c>
      <c r="O236" s="2">
        <v>2</v>
      </c>
      <c r="P236" s="2" t="s">
        <v>375</v>
      </c>
      <c r="Q236" s="7" t="s">
        <v>132</v>
      </c>
      <c r="R236" s="7" t="s">
        <v>452</v>
      </c>
      <c r="S236" s="20">
        <v>1</v>
      </c>
      <c r="T236" s="2">
        <v>1</v>
      </c>
    </row>
    <row r="237" spans="1:43">
      <c r="A237" s="7">
        <f>MAX($A$1:$A236)+1</f>
        <v>236</v>
      </c>
      <c r="B237" s="2" t="s">
        <v>171</v>
      </c>
      <c r="C237" s="2" t="s">
        <v>504</v>
      </c>
      <c r="D237" s="2" t="s">
        <v>38</v>
      </c>
      <c r="E237" s="7" t="s">
        <v>344</v>
      </c>
      <c r="F237" s="4">
        <v>48.857467651367102</v>
      </c>
      <c r="G237" s="18">
        <v>-125.158233642578</v>
      </c>
      <c r="H237" s="5" t="s">
        <v>14</v>
      </c>
      <c r="I237" s="2">
        <v>2</v>
      </c>
      <c r="J237" s="2">
        <v>210</v>
      </c>
      <c r="K237" s="6">
        <v>0.42499999999999999</v>
      </c>
      <c r="L237" s="2" t="s">
        <v>172</v>
      </c>
      <c r="M237" s="2">
        <v>7.5</v>
      </c>
      <c r="N237" s="2">
        <v>1</v>
      </c>
      <c r="O237" s="2">
        <v>2</v>
      </c>
      <c r="P237" s="2" t="s">
        <v>231</v>
      </c>
      <c r="Q237" s="7" t="s">
        <v>48</v>
      </c>
      <c r="R237" s="7" t="s">
        <v>365</v>
      </c>
      <c r="S237" s="20">
        <v>1</v>
      </c>
      <c r="T237" s="2">
        <v>0</v>
      </c>
      <c r="AA237" s="2">
        <v>1</v>
      </c>
    </row>
    <row r="238" spans="1:43">
      <c r="A238" s="7">
        <f>MAX($A$1:$A237)+1</f>
        <v>237</v>
      </c>
      <c r="B238" s="2" t="s">
        <v>171</v>
      </c>
      <c r="C238" s="2" t="s">
        <v>504</v>
      </c>
      <c r="D238" s="2" t="s">
        <v>38</v>
      </c>
      <c r="E238" s="7" t="s">
        <v>344</v>
      </c>
      <c r="F238" s="4">
        <v>48.857467651367102</v>
      </c>
      <c r="G238" s="18">
        <v>-125.158233642578</v>
      </c>
      <c r="H238" s="5" t="s">
        <v>14</v>
      </c>
      <c r="I238" s="2">
        <v>2</v>
      </c>
      <c r="J238" s="2">
        <v>210</v>
      </c>
      <c r="K238" s="6">
        <v>0.42499999999999999</v>
      </c>
      <c r="L238" s="2" t="s">
        <v>172</v>
      </c>
      <c r="M238" s="2">
        <v>7.5</v>
      </c>
      <c r="N238" s="2">
        <v>1</v>
      </c>
      <c r="O238" s="2">
        <v>2</v>
      </c>
      <c r="P238" s="2" t="s">
        <v>230</v>
      </c>
      <c r="Q238" s="7" t="s">
        <v>42</v>
      </c>
      <c r="R238" s="7" t="s">
        <v>321</v>
      </c>
      <c r="S238" s="20">
        <v>2</v>
      </c>
      <c r="T238" s="2">
        <v>0</v>
      </c>
      <c r="V238" s="2">
        <v>1</v>
      </c>
      <c r="W238" s="2">
        <v>1</v>
      </c>
    </row>
    <row r="239" spans="1:43">
      <c r="A239" s="7">
        <f>MAX($A$1:$A238)+1</f>
        <v>238</v>
      </c>
      <c r="B239" s="2" t="s">
        <v>171</v>
      </c>
      <c r="C239" s="2" t="s">
        <v>504</v>
      </c>
      <c r="D239" s="2" t="s">
        <v>38</v>
      </c>
      <c r="E239" s="7" t="s">
        <v>344</v>
      </c>
      <c r="F239" s="4">
        <v>48.857467651367102</v>
      </c>
      <c r="G239" s="18">
        <v>-125.158233642578</v>
      </c>
      <c r="H239" s="5" t="s">
        <v>14</v>
      </c>
      <c r="I239" s="2">
        <v>2</v>
      </c>
      <c r="J239" s="2">
        <v>210</v>
      </c>
      <c r="K239" s="6">
        <v>0.42499999999999999</v>
      </c>
      <c r="L239" s="2" t="s">
        <v>172</v>
      </c>
      <c r="M239" s="2">
        <v>7.5</v>
      </c>
      <c r="N239" s="2">
        <v>1</v>
      </c>
      <c r="O239" s="2">
        <v>2</v>
      </c>
      <c r="P239" s="2" t="s">
        <v>232</v>
      </c>
      <c r="Q239" s="7" t="s">
        <v>43</v>
      </c>
      <c r="R239" s="7" t="s">
        <v>324</v>
      </c>
      <c r="S239" s="20">
        <v>2</v>
      </c>
      <c r="T239" s="2">
        <v>0</v>
      </c>
      <c r="AB239" s="2">
        <v>1</v>
      </c>
      <c r="AC239" s="2">
        <v>1</v>
      </c>
    </row>
    <row r="240" spans="1:43">
      <c r="A240" s="7">
        <f>MAX($A$1:$A239)+1</f>
        <v>239</v>
      </c>
      <c r="B240" s="2" t="s">
        <v>171</v>
      </c>
      <c r="C240" s="2" t="s">
        <v>504</v>
      </c>
      <c r="D240" s="2" t="s">
        <v>38</v>
      </c>
      <c r="E240" s="7" t="s">
        <v>344</v>
      </c>
      <c r="F240" s="4">
        <v>48.857467651367102</v>
      </c>
      <c r="G240" s="18">
        <v>-125.158233642578</v>
      </c>
      <c r="H240" s="5" t="s">
        <v>14</v>
      </c>
      <c r="I240" s="2">
        <v>2</v>
      </c>
      <c r="J240" s="2">
        <v>210</v>
      </c>
      <c r="K240" s="6">
        <v>0.42499999999999999</v>
      </c>
      <c r="L240" s="2" t="s">
        <v>172</v>
      </c>
      <c r="M240" s="2">
        <v>7.5</v>
      </c>
      <c r="N240" s="2">
        <v>2</v>
      </c>
      <c r="O240" s="2">
        <v>2</v>
      </c>
      <c r="P240" s="2" t="s">
        <v>241</v>
      </c>
      <c r="Q240" s="7" t="s">
        <v>63</v>
      </c>
      <c r="R240" s="7" t="s">
        <v>294</v>
      </c>
      <c r="S240" s="20">
        <v>441</v>
      </c>
      <c r="T240" s="2">
        <v>441</v>
      </c>
    </row>
    <row r="241" spans="1:25">
      <c r="A241" s="7">
        <f>MAX($A$1:$A240)+1</f>
        <v>240</v>
      </c>
      <c r="B241" s="2" t="s">
        <v>171</v>
      </c>
      <c r="C241" s="2" t="s">
        <v>504</v>
      </c>
      <c r="D241" s="2" t="s">
        <v>38</v>
      </c>
      <c r="E241" s="7" t="s">
        <v>344</v>
      </c>
      <c r="F241" s="4">
        <v>48.857467651367102</v>
      </c>
      <c r="G241" s="18">
        <v>-125.158233642578</v>
      </c>
      <c r="H241" s="5" t="s">
        <v>14</v>
      </c>
      <c r="I241" s="2">
        <v>2</v>
      </c>
      <c r="J241" s="2">
        <v>210</v>
      </c>
      <c r="K241" s="6">
        <v>0.42499999999999999</v>
      </c>
      <c r="L241" s="2" t="s">
        <v>172</v>
      </c>
      <c r="M241" s="2">
        <v>7.5</v>
      </c>
      <c r="N241" s="2">
        <v>2</v>
      </c>
      <c r="O241" s="2">
        <v>2</v>
      </c>
      <c r="P241" s="2" t="s">
        <v>230</v>
      </c>
      <c r="Q241" s="7" t="s">
        <v>42</v>
      </c>
      <c r="R241" s="7" t="s">
        <v>321</v>
      </c>
      <c r="S241" s="20">
        <v>41</v>
      </c>
      <c r="T241" s="2">
        <v>0</v>
      </c>
      <c r="U241" s="2">
        <v>12</v>
      </c>
      <c r="V241" s="2">
        <v>19</v>
      </c>
      <c r="W241" s="2">
        <v>9</v>
      </c>
      <c r="X241" s="2">
        <v>1</v>
      </c>
    </row>
    <row r="242" spans="1:25">
      <c r="A242" s="7">
        <f>MAX($A$1:$A241)+1</f>
        <v>241</v>
      </c>
      <c r="B242" s="2" t="s">
        <v>171</v>
      </c>
      <c r="C242" s="2" t="s">
        <v>504</v>
      </c>
      <c r="D242" s="2" t="s">
        <v>38</v>
      </c>
      <c r="E242" s="7" t="s">
        <v>344</v>
      </c>
      <c r="F242" s="4">
        <v>48.857467651367102</v>
      </c>
      <c r="G242" s="18">
        <v>-125.158233642578</v>
      </c>
      <c r="H242" s="5" t="s">
        <v>14</v>
      </c>
      <c r="I242" s="2">
        <v>2</v>
      </c>
      <c r="J242" s="2">
        <v>210</v>
      </c>
      <c r="K242" s="6">
        <v>0.42499999999999999</v>
      </c>
      <c r="L242" s="2" t="s">
        <v>172</v>
      </c>
      <c r="M242" s="2">
        <v>7.5</v>
      </c>
      <c r="N242" s="2">
        <v>2</v>
      </c>
      <c r="O242" s="2">
        <v>2</v>
      </c>
      <c r="P242" s="2" t="s">
        <v>331</v>
      </c>
      <c r="Q242" s="7" t="s">
        <v>67</v>
      </c>
      <c r="R242" s="7" t="s">
        <v>332</v>
      </c>
      <c r="S242" s="20">
        <v>15</v>
      </c>
      <c r="T242" s="2">
        <v>15</v>
      </c>
    </row>
    <row r="243" spans="1:25">
      <c r="A243" s="7">
        <f>MAX($A$1:$A242)+1</f>
        <v>242</v>
      </c>
      <c r="B243" s="2" t="s">
        <v>171</v>
      </c>
      <c r="C243" s="2" t="s">
        <v>504</v>
      </c>
      <c r="D243" s="2" t="s">
        <v>38</v>
      </c>
      <c r="E243" s="7" t="s">
        <v>344</v>
      </c>
      <c r="F243" s="4">
        <v>48.857467651367102</v>
      </c>
      <c r="G243" s="18">
        <v>-125.158233642578</v>
      </c>
      <c r="H243" s="5" t="s">
        <v>14</v>
      </c>
      <c r="I243" s="2">
        <v>2</v>
      </c>
      <c r="J243" s="2">
        <v>210</v>
      </c>
      <c r="K243" s="6">
        <v>0.42499999999999999</v>
      </c>
      <c r="L243" s="2" t="s">
        <v>172</v>
      </c>
      <c r="M243" s="2">
        <v>7.5</v>
      </c>
      <c r="N243" s="2">
        <v>2</v>
      </c>
      <c r="O243" s="2">
        <v>2</v>
      </c>
      <c r="P243" s="2" t="s">
        <v>298</v>
      </c>
      <c r="Q243" s="7" t="s">
        <v>99</v>
      </c>
      <c r="R243" s="7" t="s">
        <v>299</v>
      </c>
      <c r="S243" s="20">
        <v>4</v>
      </c>
      <c r="T243" s="2">
        <v>4</v>
      </c>
    </row>
    <row r="244" spans="1:25">
      <c r="A244" s="7">
        <f>MAX($A$1:$A243)+1</f>
        <v>243</v>
      </c>
      <c r="B244" s="2" t="s">
        <v>171</v>
      </c>
      <c r="C244" s="2" t="s">
        <v>504</v>
      </c>
      <c r="D244" s="2" t="s">
        <v>38</v>
      </c>
      <c r="E244" s="7" t="s">
        <v>344</v>
      </c>
      <c r="F244" s="4">
        <v>48.857467651367102</v>
      </c>
      <c r="G244" s="18">
        <v>-125.158233642578</v>
      </c>
      <c r="H244" s="5" t="s">
        <v>14</v>
      </c>
      <c r="I244" s="2">
        <v>2</v>
      </c>
      <c r="J244" s="2">
        <v>210</v>
      </c>
      <c r="K244" s="6">
        <v>0.42499999999999999</v>
      </c>
      <c r="L244" s="2" t="s">
        <v>172</v>
      </c>
      <c r="M244" s="2">
        <v>7.5</v>
      </c>
      <c r="N244" s="2">
        <v>2</v>
      </c>
      <c r="O244" s="2">
        <v>2</v>
      </c>
      <c r="P244" s="2" t="s">
        <v>250</v>
      </c>
      <c r="Q244" s="7" t="s">
        <v>46</v>
      </c>
      <c r="R244" s="7" t="s">
        <v>295</v>
      </c>
      <c r="S244" s="20">
        <v>2</v>
      </c>
      <c r="T244" s="2">
        <v>0</v>
      </c>
      <c r="V244" s="2">
        <v>2</v>
      </c>
    </row>
    <row r="245" spans="1:25">
      <c r="A245" s="7">
        <f>MAX($A$1:$A244)+1</f>
        <v>244</v>
      </c>
      <c r="B245" s="2" t="s">
        <v>171</v>
      </c>
      <c r="C245" s="2" t="s">
        <v>504</v>
      </c>
      <c r="D245" s="2" t="s">
        <v>38</v>
      </c>
      <c r="E245" s="7" t="s">
        <v>344</v>
      </c>
      <c r="F245" s="4">
        <v>48.857467651367102</v>
      </c>
      <c r="G245" s="18">
        <v>-125.158233642578</v>
      </c>
      <c r="H245" s="5" t="s">
        <v>14</v>
      </c>
      <c r="I245" s="2">
        <v>2</v>
      </c>
      <c r="J245" s="2">
        <v>210</v>
      </c>
      <c r="K245" s="6">
        <v>0.42499999999999999</v>
      </c>
      <c r="L245" s="2" t="s">
        <v>172</v>
      </c>
      <c r="M245" s="2">
        <v>7.5</v>
      </c>
      <c r="N245" s="2">
        <v>2</v>
      </c>
      <c r="O245" s="2">
        <v>2</v>
      </c>
      <c r="P245" s="2" t="s">
        <v>345</v>
      </c>
      <c r="Q245" s="7" t="s">
        <v>127</v>
      </c>
      <c r="R245" s="7" t="s">
        <v>346</v>
      </c>
      <c r="S245" s="20">
        <v>3</v>
      </c>
      <c r="T245" s="2">
        <v>3</v>
      </c>
    </row>
    <row r="246" spans="1:25">
      <c r="A246" s="7">
        <f>MAX($A$1:$A245)+1</f>
        <v>245</v>
      </c>
      <c r="B246" s="2" t="s">
        <v>171</v>
      </c>
      <c r="C246" s="2" t="s">
        <v>504</v>
      </c>
      <c r="D246" s="2" t="s">
        <v>38</v>
      </c>
      <c r="E246" s="7" t="s">
        <v>344</v>
      </c>
      <c r="F246" s="4">
        <v>48.857467651367102</v>
      </c>
      <c r="G246" s="18">
        <v>-125.158233642578</v>
      </c>
      <c r="H246" s="5" t="s">
        <v>14</v>
      </c>
      <c r="I246" s="2">
        <v>2</v>
      </c>
      <c r="J246" s="2">
        <v>210</v>
      </c>
      <c r="K246" s="6">
        <v>0.42499999999999999</v>
      </c>
      <c r="L246" s="2" t="s">
        <v>172</v>
      </c>
      <c r="M246" s="2">
        <v>7.5</v>
      </c>
      <c r="N246" s="2">
        <v>2</v>
      </c>
      <c r="O246" s="2">
        <v>2</v>
      </c>
      <c r="P246" s="2" t="s">
        <v>248</v>
      </c>
      <c r="Q246" s="7" t="s">
        <v>78</v>
      </c>
      <c r="R246" s="7" t="s">
        <v>349</v>
      </c>
      <c r="S246" s="20">
        <v>8</v>
      </c>
      <c r="T246" s="2">
        <v>0</v>
      </c>
      <c r="V246" s="2">
        <v>3</v>
      </c>
      <c r="W246" s="2">
        <v>3</v>
      </c>
      <c r="X246" s="2">
        <v>1</v>
      </c>
      <c r="Y246" s="2">
        <v>1</v>
      </c>
    </row>
    <row r="247" spans="1:25">
      <c r="A247" s="7">
        <f>MAX($A$1:$A246)+1</f>
        <v>246</v>
      </c>
      <c r="B247" s="2" t="s">
        <v>171</v>
      </c>
      <c r="C247" s="2" t="s">
        <v>504</v>
      </c>
      <c r="D247" s="2" t="s">
        <v>38</v>
      </c>
      <c r="E247" s="7" t="s">
        <v>344</v>
      </c>
      <c r="F247" s="4">
        <v>48.857467651367102</v>
      </c>
      <c r="G247" s="18">
        <v>-125.158233642578</v>
      </c>
      <c r="H247" s="5" t="s">
        <v>14</v>
      </c>
      <c r="I247" s="2">
        <v>2</v>
      </c>
      <c r="J247" s="2">
        <v>210</v>
      </c>
      <c r="K247" s="6">
        <v>0.42499999999999999</v>
      </c>
      <c r="L247" s="2" t="s">
        <v>172</v>
      </c>
      <c r="M247" s="2">
        <v>7.5</v>
      </c>
      <c r="N247" s="2">
        <v>2</v>
      </c>
      <c r="O247" s="2">
        <v>2</v>
      </c>
      <c r="P247" s="2" t="s">
        <v>238</v>
      </c>
      <c r="Q247" s="7" t="s">
        <v>69</v>
      </c>
      <c r="R247" s="7" t="s">
        <v>313</v>
      </c>
      <c r="S247" s="20">
        <v>15</v>
      </c>
      <c r="T247" s="2">
        <v>15</v>
      </c>
    </row>
    <row r="248" spans="1:25">
      <c r="A248" s="7">
        <f>MAX($A$1:$A247)+1</f>
        <v>247</v>
      </c>
      <c r="B248" s="2" t="s">
        <v>171</v>
      </c>
      <c r="C248" s="2" t="s">
        <v>504</v>
      </c>
      <c r="D248" s="2" t="s">
        <v>38</v>
      </c>
      <c r="E248" s="7" t="s">
        <v>344</v>
      </c>
      <c r="F248" s="4">
        <v>48.857467651367102</v>
      </c>
      <c r="G248" s="18">
        <v>-125.158233642578</v>
      </c>
      <c r="H248" s="5" t="s">
        <v>14</v>
      </c>
      <c r="I248" s="2">
        <v>2</v>
      </c>
      <c r="J248" s="2">
        <v>210</v>
      </c>
      <c r="K248" s="6">
        <v>0.42499999999999999</v>
      </c>
      <c r="L248" s="2" t="s">
        <v>172</v>
      </c>
      <c r="M248" s="2">
        <v>7.5</v>
      </c>
      <c r="N248" s="2">
        <v>2</v>
      </c>
      <c r="O248" s="2">
        <v>2</v>
      </c>
      <c r="P248" s="2" t="s">
        <v>357</v>
      </c>
      <c r="Q248" s="7" t="s">
        <v>128</v>
      </c>
      <c r="R248" s="7" t="s">
        <v>358</v>
      </c>
      <c r="S248" s="20">
        <v>1</v>
      </c>
      <c r="T248" s="2">
        <v>1</v>
      </c>
    </row>
    <row r="249" spans="1:25">
      <c r="A249" s="7">
        <f>MAX($A$1:$A248)+1</f>
        <v>248</v>
      </c>
      <c r="B249" s="2" t="s">
        <v>171</v>
      </c>
      <c r="C249" s="2" t="s">
        <v>504</v>
      </c>
      <c r="D249" s="2" t="s">
        <v>38</v>
      </c>
      <c r="E249" s="7" t="s">
        <v>344</v>
      </c>
      <c r="F249" s="4">
        <v>48.857467651367102</v>
      </c>
      <c r="G249" s="18">
        <v>-125.158233642578</v>
      </c>
      <c r="H249" s="5" t="s">
        <v>14</v>
      </c>
      <c r="I249" s="2">
        <v>2</v>
      </c>
      <c r="J249" s="2">
        <v>210</v>
      </c>
      <c r="K249" s="6">
        <v>0.42499999999999999</v>
      </c>
      <c r="L249" s="2" t="s">
        <v>172</v>
      </c>
      <c r="M249" s="2">
        <v>7.5</v>
      </c>
      <c r="N249" s="2">
        <v>2</v>
      </c>
      <c r="O249" s="2">
        <v>2</v>
      </c>
      <c r="P249" s="2" t="s">
        <v>335</v>
      </c>
      <c r="Q249" s="7" t="s">
        <v>91</v>
      </c>
      <c r="R249" s="7" t="s">
        <v>336</v>
      </c>
      <c r="S249" s="20">
        <v>2</v>
      </c>
      <c r="T249" s="2">
        <v>2</v>
      </c>
    </row>
    <row r="250" spans="1:25">
      <c r="A250" s="7">
        <f>MAX($A$1:$A249)+1</f>
        <v>249</v>
      </c>
      <c r="B250" s="2" t="s">
        <v>171</v>
      </c>
      <c r="C250" s="2" t="s">
        <v>504</v>
      </c>
      <c r="D250" s="2" t="s">
        <v>38</v>
      </c>
      <c r="E250" s="7" t="s">
        <v>344</v>
      </c>
      <c r="F250" s="4">
        <v>48.857467651367102</v>
      </c>
      <c r="G250" s="18">
        <v>-125.158233642578</v>
      </c>
      <c r="H250" s="5" t="s">
        <v>14</v>
      </c>
      <c r="I250" s="2">
        <v>2</v>
      </c>
      <c r="J250" s="2">
        <v>210</v>
      </c>
      <c r="K250" s="6">
        <v>0.42499999999999999</v>
      </c>
      <c r="L250" s="2" t="s">
        <v>172</v>
      </c>
      <c r="M250" s="2">
        <v>7.5</v>
      </c>
      <c r="N250" s="2">
        <v>2</v>
      </c>
      <c r="O250" s="2">
        <v>2</v>
      </c>
      <c r="P250" s="2" t="s">
        <v>246</v>
      </c>
      <c r="Q250" s="7" t="s">
        <v>66</v>
      </c>
      <c r="R250" s="7" t="s">
        <v>318</v>
      </c>
      <c r="S250" s="20">
        <v>8</v>
      </c>
      <c r="T250" s="2">
        <v>0</v>
      </c>
      <c r="U250" s="2">
        <v>1</v>
      </c>
      <c r="V250" s="2">
        <v>6</v>
      </c>
      <c r="W250" s="2">
        <v>1</v>
      </c>
    </row>
    <row r="251" spans="1:25">
      <c r="A251" s="7">
        <f>MAX($A$1:$A250)+1</f>
        <v>250</v>
      </c>
      <c r="B251" s="2" t="s">
        <v>171</v>
      </c>
      <c r="C251" s="2" t="s">
        <v>504</v>
      </c>
      <c r="D251" s="2" t="s">
        <v>38</v>
      </c>
      <c r="E251" s="7" t="s">
        <v>344</v>
      </c>
      <c r="F251" s="4">
        <v>48.857467651367102</v>
      </c>
      <c r="G251" s="18">
        <v>-125.158233642578</v>
      </c>
      <c r="H251" s="5" t="s">
        <v>14</v>
      </c>
      <c r="I251" s="2">
        <v>2</v>
      </c>
      <c r="J251" s="2">
        <v>210</v>
      </c>
      <c r="K251" s="6">
        <v>0.42499999999999999</v>
      </c>
      <c r="L251" s="2" t="s">
        <v>172</v>
      </c>
      <c r="M251" s="2">
        <v>7.5</v>
      </c>
      <c r="N251" s="2">
        <v>2</v>
      </c>
      <c r="O251" s="2">
        <v>2</v>
      </c>
      <c r="P251" s="2" t="s">
        <v>247</v>
      </c>
      <c r="Q251" s="7" t="s">
        <v>64</v>
      </c>
      <c r="R251" s="7" t="s">
        <v>293</v>
      </c>
      <c r="S251" s="20">
        <v>6</v>
      </c>
      <c r="T251" s="2">
        <v>6</v>
      </c>
    </row>
    <row r="252" spans="1:25">
      <c r="A252" s="7">
        <f>MAX($A$1:$A251)+1</f>
        <v>251</v>
      </c>
      <c r="B252" s="2" t="s">
        <v>171</v>
      </c>
      <c r="C252" s="2" t="s">
        <v>504</v>
      </c>
      <c r="D252" s="2" t="s">
        <v>38</v>
      </c>
      <c r="E252" s="7" t="s">
        <v>344</v>
      </c>
      <c r="F252" s="4">
        <v>48.857467651367102</v>
      </c>
      <c r="G252" s="18">
        <v>-125.158233642578</v>
      </c>
      <c r="H252" s="5" t="s">
        <v>14</v>
      </c>
      <c r="I252" s="2">
        <v>2</v>
      </c>
      <c r="J252" s="2">
        <v>210</v>
      </c>
      <c r="K252" s="6">
        <v>0.42499999999999999</v>
      </c>
      <c r="L252" s="2" t="s">
        <v>172</v>
      </c>
      <c r="M252" s="2">
        <v>7.5</v>
      </c>
      <c r="N252" s="2">
        <v>2</v>
      </c>
      <c r="O252" s="2">
        <v>2</v>
      </c>
      <c r="P252" s="2" t="s">
        <v>301</v>
      </c>
      <c r="Q252" s="7" t="s">
        <v>97</v>
      </c>
      <c r="R252" s="7" t="s">
        <v>302</v>
      </c>
      <c r="S252" s="20">
        <v>3</v>
      </c>
      <c r="T252" s="2">
        <v>3</v>
      </c>
    </row>
    <row r="253" spans="1:25">
      <c r="A253" s="7">
        <f>MAX($A$1:$A252)+1</f>
        <v>252</v>
      </c>
      <c r="B253" s="2" t="s">
        <v>171</v>
      </c>
      <c r="C253" s="2" t="s">
        <v>504</v>
      </c>
      <c r="D253" s="2" t="s">
        <v>38</v>
      </c>
      <c r="E253" s="7" t="s">
        <v>344</v>
      </c>
      <c r="F253" s="4">
        <v>48.857467651367102</v>
      </c>
      <c r="G253" s="18">
        <v>-125.158233642578</v>
      </c>
      <c r="H253" s="5" t="s">
        <v>14</v>
      </c>
      <c r="I253" s="2">
        <v>2</v>
      </c>
      <c r="J253" s="2">
        <v>210</v>
      </c>
      <c r="K253" s="6">
        <v>0.42499999999999999</v>
      </c>
      <c r="L253" s="2" t="s">
        <v>172</v>
      </c>
      <c r="M253" s="2">
        <v>7.5</v>
      </c>
      <c r="N253" s="2">
        <v>2</v>
      </c>
      <c r="O253" s="2">
        <v>2</v>
      </c>
      <c r="P253" s="2" t="s">
        <v>239</v>
      </c>
      <c r="Q253" s="7" t="s">
        <v>80</v>
      </c>
      <c r="R253" s="7" t="s">
        <v>300</v>
      </c>
      <c r="S253" s="20">
        <v>2</v>
      </c>
      <c r="T253" s="2">
        <v>2</v>
      </c>
    </row>
    <row r="254" spans="1:25">
      <c r="A254" s="7">
        <f>MAX($A$1:$A253)+1</f>
        <v>253</v>
      </c>
      <c r="B254" s="2" t="s">
        <v>171</v>
      </c>
      <c r="C254" s="2" t="s">
        <v>504</v>
      </c>
      <c r="D254" s="2" t="s">
        <v>38</v>
      </c>
      <c r="E254" s="7" t="s">
        <v>344</v>
      </c>
      <c r="F254" s="4">
        <v>48.857467651367102</v>
      </c>
      <c r="G254" s="18">
        <v>-125.158233642578</v>
      </c>
      <c r="H254" s="5" t="s">
        <v>14</v>
      </c>
      <c r="I254" s="2">
        <v>2</v>
      </c>
      <c r="J254" s="2">
        <v>210</v>
      </c>
      <c r="K254" s="6">
        <v>0.42499999999999999</v>
      </c>
      <c r="L254" s="2" t="s">
        <v>172</v>
      </c>
      <c r="M254" s="2">
        <v>7.5</v>
      </c>
      <c r="N254" s="2">
        <v>2</v>
      </c>
      <c r="O254" s="2">
        <v>2</v>
      </c>
      <c r="P254" s="2" t="s">
        <v>511</v>
      </c>
      <c r="Q254" s="7" t="s">
        <v>512</v>
      </c>
      <c r="R254" s="7" t="s">
        <v>445</v>
      </c>
      <c r="S254" s="20">
        <v>2</v>
      </c>
      <c r="T254" s="2">
        <v>2</v>
      </c>
    </row>
    <row r="255" spans="1:25">
      <c r="A255" s="7">
        <f>MAX($A$1:$A254)+1</f>
        <v>254</v>
      </c>
      <c r="B255" s="2" t="s">
        <v>171</v>
      </c>
      <c r="C255" s="2" t="s">
        <v>504</v>
      </c>
      <c r="D255" s="2" t="s">
        <v>38</v>
      </c>
      <c r="E255" s="7" t="s">
        <v>344</v>
      </c>
      <c r="F255" s="4">
        <v>48.857467651367102</v>
      </c>
      <c r="G255" s="18">
        <v>-125.158233642578</v>
      </c>
      <c r="H255" s="5" t="s">
        <v>14</v>
      </c>
      <c r="I255" s="2">
        <v>2</v>
      </c>
      <c r="J255" s="2">
        <v>210</v>
      </c>
      <c r="K255" s="6">
        <v>0.42499999999999999</v>
      </c>
      <c r="L255" s="2" t="s">
        <v>172</v>
      </c>
      <c r="M255" s="2">
        <v>7.5</v>
      </c>
      <c r="N255" s="2">
        <v>2</v>
      </c>
      <c r="O255" s="2">
        <v>2</v>
      </c>
      <c r="P255" s="2" t="s">
        <v>316</v>
      </c>
      <c r="Q255" s="7" t="s">
        <v>123</v>
      </c>
      <c r="R255" s="7" t="s">
        <v>317</v>
      </c>
      <c r="S255" s="20">
        <v>2</v>
      </c>
      <c r="T255" s="2">
        <v>2</v>
      </c>
    </row>
    <row r="256" spans="1:25">
      <c r="A256" s="7">
        <f>MAX($A$1:$A255)+1</f>
        <v>255</v>
      </c>
      <c r="B256" s="2" t="s">
        <v>171</v>
      </c>
      <c r="C256" s="2" t="s">
        <v>504</v>
      </c>
      <c r="D256" s="2" t="s">
        <v>38</v>
      </c>
      <c r="E256" s="7" t="s">
        <v>344</v>
      </c>
      <c r="F256" s="4">
        <v>48.857467651367102</v>
      </c>
      <c r="G256" s="18">
        <v>-125.158233642578</v>
      </c>
      <c r="H256" s="5" t="s">
        <v>14</v>
      </c>
      <c r="I256" s="2">
        <v>2</v>
      </c>
      <c r="J256" s="2">
        <v>210</v>
      </c>
      <c r="K256" s="6">
        <v>0.42499999999999999</v>
      </c>
      <c r="L256" s="2" t="s">
        <v>172</v>
      </c>
      <c r="M256" s="2">
        <v>7.5</v>
      </c>
      <c r="N256" s="2">
        <v>2</v>
      </c>
      <c r="O256" s="2">
        <v>2</v>
      </c>
      <c r="P256" s="2" t="s">
        <v>296</v>
      </c>
      <c r="Q256" s="7" t="s">
        <v>75</v>
      </c>
      <c r="R256" s="7" t="s">
        <v>297</v>
      </c>
      <c r="S256" s="20">
        <v>4</v>
      </c>
      <c r="T256" s="2">
        <v>4</v>
      </c>
    </row>
    <row r="257" spans="1:28">
      <c r="A257" s="7">
        <f>MAX($A$1:$A256)+1</f>
        <v>256</v>
      </c>
      <c r="B257" s="2" t="s">
        <v>171</v>
      </c>
      <c r="C257" s="2" t="s">
        <v>504</v>
      </c>
      <c r="D257" s="2" t="s">
        <v>38</v>
      </c>
      <c r="E257" s="7" t="s">
        <v>344</v>
      </c>
      <c r="F257" s="4">
        <v>48.857467651367102</v>
      </c>
      <c r="G257" s="18">
        <v>-125.158233642578</v>
      </c>
      <c r="H257" s="5" t="s">
        <v>14</v>
      </c>
      <c r="I257" s="2">
        <v>2</v>
      </c>
      <c r="J257" s="2">
        <v>210</v>
      </c>
      <c r="K257" s="6">
        <v>0.42499999999999999</v>
      </c>
      <c r="L257" s="2" t="s">
        <v>172</v>
      </c>
      <c r="M257" s="2">
        <v>7.5</v>
      </c>
      <c r="N257" s="2">
        <v>2</v>
      </c>
      <c r="O257" s="2">
        <v>2</v>
      </c>
      <c r="P257" s="2" t="s">
        <v>448</v>
      </c>
      <c r="Q257" s="7" t="s">
        <v>112</v>
      </c>
      <c r="R257" s="7" t="s">
        <v>449</v>
      </c>
      <c r="S257" s="20">
        <v>3</v>
      </c>
      <c r="T257" s="2">
        <v>3</v>
      </c>
    </row>
    <row r="258" spans="1:28">
      <c r="A258" s="7">
        <f>MAX($A$1:$A257)+1</f>
        <v>257</v>
      </c>
      <c r="B258" s="2" t="s">
        <v>171</v>
      </c>
      <c r="C258" s="2" t="s">
        <v>504</v>
      </c>
      <c r="D258" s="2" t="s">
        <v>38</v>
      </c>
      <c r="E258" s="7" t="s">
        <v>344</v>
      </c>
      <c r="F258" s="4">
        <v>48.857467651367102</v>
      </c>
      <c r="G258" s="18">
        <v>-125.158233642578</v>
      </c>
      <c r="H258" s="5" t="s">
        <v>14</v>
      </c>
      <c r="I258" s="2">
        <v>2</v>
      </c>
      <c r="J258" s="2">
        <v>210</v>
      </c>
      <c r="K258" s="6">
        <v>0.42499999999999999</v>
      </c>
      <c r="L258" s="2" t="s">
        <v>172</v>
      </c>
      <c r="M258" s="2">
        <v>7.5</v>
      </c>
      <c r="N258" s="2">
        <v>2</v>
      </c>
      <c r="O258" s="2">
        <v>2</v>
      </c>
      <c r="P258" s="2" t="s">
        <v>310</v>
      </c>
      <c r="Q258" s="7" t="s">
        <v>98</v>
      </c>
      <c r="R258" s="7" t="s">
        <v>311</v>
      </c>
      <c r="S258" s="20">
        <v>1</v>
      </c>
      <c r="T258" s="2">
        <v>1</v>
      </c>
    </row>
    <row r="259" spans="1:28">
      <c r="A259" s="7">
        <f>MAX($A$1:$A258)+1</f>
        <v>258</v>
      </c>
      <c r="B259" s="2" t="s">
        <v>171</v>
      </c>
      <c r="C259" s="2" t="s">
        <v>504</v>
      </c>
      <c r="D259" s="2" t="s">
        <v>38</v>
      </c>
      <c r="E259" s="7" t="s">
        <v>344</v>
      </c>
      <c r="F259" s="4">
        <v>48.857467651367102</v>
      </c>
      <c r="G259" s="18">
        <v>-125.158233642578</v>
      </c>
      <c r="H259" s="5" t="s">
        <v>14</v>
      </c>
      <c r="I259" s="2">
        <v>2</v>
      </c>
      <c r="J259" s="2">
        <v>210</v>
      </c>
      <c r="K259" s="6">
        <v>0.42499999999999999</v>
      </c>
      <c r="L259" s="2" t="s">
        <v>172</v>
      </c>
      <c r="M259" s="2">
        <v>7.5</v>
      </c>
      <c r="N259" s="2">
        <v>2</v>
      </c>
      <c r="O259" s="2">
        <v>2</v>
      </c>
      <c r="P259" s="2" t="s">
        <v>350</v>
      </c>
      <c r="Q259" s="7" t="s">
        <v>83</v>
      </c>
      <c r="R259" s="7" t="s">
        <v>351</v>
      </c>
      <c r="S259" s="20">
        <v>2</v>
      </c>
      <c r="T259" s="2">
        <v>2</v>
      </c>
    </row>
    <row r="260" spans="1:28">
      <c r="A260" s="7">
        <f>MAX($A$1:$A259)+1</f>
        <v>259</v>
      </c>
      <c r="B260" s="2" t="s">
        <v>171</v>
      </c>
      <c r="C260" s="2" t="s">
        <v>504</v>
      </c>
      <c r="D260" s="2" t="s">
        <v>38</v>
      </c>
      <c r="E260" s="7" t="s">
        <v>344</v>
      </c>
      <c r="F260" s="4">
        <v>48.857467651367102</v>
      </c>
      <c r="G260" s="18">
        <v>-125.158233642578</v>
      </c>
      <c r="H260" s="5" t="s">
        <v>14</v>
      </c>
      <c r="I260" s="2">
        <v>2</v>
      </c>
      <c r="J260" s="2">
        <v>210</v>
      </c>
      <c r="K260" s="6">
        <v>0.42499999999999999</v>
      </c>
      <c r="L260" s="2" t="s">
        <v>172</v>
      </c>
      <c r="M260" s="2">
        <v>7.5</v>
      </c>
      <c r="N260" s="2">
        <v>2</v>
      </c>
      <c r="O260" s="2">
        <v>2</v>
      </c>
      <c r="P260" s="2" t="s">
        <v>243</v>
      </c>
      <c r="Q260" s="7" t="s">
        <v>85</v>
      </c>
      <c r="R260" s="7" t="s">
        <v>312</v>
      </c>
      <c r="S260" s="20">
        <v>2</v>
      </c>
      <c r="T260" s="2">
        <v>2</v>
      </c>
    </row>
    <row r="261" spans="1:28">
      <c r="A261" s="7">
        <f>MAX($A$1:$A260)+1</f>
        <v>260</v>
      </c>
      <c r="B261" s="2" t="s">
        <v>171</v>
      </c>
      <c r="C261" s="2" t="s">
        <v>504</v>
      </c>
      <c r="D261" s="2" t="s">
        <v>38</v>
      </c>
      <c r="E261" s="7" t="s">
        <v>344</v>
      </c>
      <c r="F261" s="4">
        <v>48.857467651367102</v>
      </c>
      <c r="G261" s="18">
        <v>-125.158233642578</v>
      </c>
      <c r="H261" s="5" t="s">
        <v>14</v>
      </c>
      <c r="I261" s="2">
        <v>2</v>
      </c>
      <c r="J261" s="2">
        <v>210</v>
      </c>
      <c r="K261" s="6">
        <v>0.42499999999999999</v>
      </c>
      <c r="L261" s="2" t="s">
        <v>172</v>
      </c>
      <c r="M261" s="2">
        <v>7.5</v>
      </c>
      <c r="N261" s="2">
        <v>2</v>
      </c>
      <c r="O261" s="2">
        <v>2</v>
      </c>
      <c r="P261" s="2" t="s">
        <v>342</v>
      </c>
      <c r="Q261" s="7" t="s">
        <v>126</v>
      </c>
      <c r="R261" s="7" t="s">
        <v>329</v>
      </c>
      <c r="S261" s="20">
        <v>0</v>
      </c>
      <c r="T261" s="2">
        <v>0</v>
      </c>
    </row>
    <row r="262" spans="1:28">
      <c r="A262" s="7">
        <f>MAX($A$1:$A261)+1</f>
        <v>261</v>
      </c>
      <c r="B262" s="2" t="s">
        <v>171</v>
      </c>
      <c r="C262" s="2" t="s">
        <v>504</v>
      </c>
      <c r="D262" s="2" t="s">
        <v>38</v>
      </c>
      <c r="E262" s="7" t="s">
        <v>344</v>
      </c>
      <c r="F262" s="4">
        <v>48.857467651367102</v>
      </c>
      <c r="G262" s="18">
        <v>-125.158233642578</v>
      </c>
      <c r="H262" s="5" t="s">
        <v>14</v>
      </c>
      <c r="I262" s="2">
        <v>2</v>
      </c>
      <c r="J262" s="2">
        <v>210</v>
      </c>
      <c r="K262" s="6">
        <v>0.42499999999999999</v>
      </c>
      <c r="L262" s="2" t="s">
        <v>172</v>
      </c>
      <c r="M262" s="2">
        <v>7.5</v>
      </c>
      <c r="N262" s="2">
        <v>0</v>
      </c>
      <c r="O262" s="2">
        <v>0</v>
      </c>
      <c r="P262" s="2" t="s">
        <v>235</v>
      </c>
      <c r="Q262" s="7" t="s">
        <v>54</v>
      </c>
      <c r="R262" s="7" t="s">
        <v>364</v>
      </c>
      <c r="S262" s="20">
        <v>1</v>
      </c>
      <c r="T262" s="2">
        <v>0</v>
      </c>
      <c r="Z262" s="2">
        <v>1</v>
      </c>
    </row>
    <row r="263" spans="1:28">
      <c r="A263" s="7">
        <f>MAX($A$1:$A262)+1</f>
        <v>262</v>
      </c>
      <c r="B263" s="2" t="s">
        <v>171</v>
      </c>
      <c r="C263" s="2" t="s">
        <v>504</v>
      </c>
      <c r="D263" s="2" t="s">
        <v>38</v>
      </c>
      <c r="E263" s="7" t="s">
        <v>344</v>
      </c>
      <c r="F263" s="4">
        <v>48.857467651367102</v>
      </c>
      <c r="G263" s="18">
        <v>-125.158233642578</v>
      </c>
      <c r="H263" s="5" t="s">
        <v>14</v>
      </c>
      <c r="I263" s="2">
        <v>2</v>
      </c>
      <c r="J263" s="2">
        <v>210</v>
      </c>
      <c r="K263" s="6">
        <v>0.42499999999999999</v>
      </c>
      <c r="L263" s="2" t="s">
        <v>172</v>
      </c>
      <c r="M263" s="2">
        <v>7.5</v>
      </c>
      <c r="N263" s="2">
        <v>0</v>
      </c>
      <c r="O263" s="2">
        <v>0</v>
      </c>
      <c r="P263" s="2" t="s">
        <v>438</v>
      </c>
      <c r="Q263" s="7" t="s">
        <v>146</v>
      </c>
      <c r="R263" s="7" t="s">
        <v>439</v>
      </c>
      <c r="S263" s="20">
        <v>1</v>
      </c>
      <c r="T263" s="2">
        <v>0</v>
      </c>
      <c r="Z263" s="2">
        <v>1</v>
      </c>
    </row>
    <row r="264" spans="1:28">
      <c r="A264" s="7">
        <f>MAX($A$1:$A263)+1</f>
        <v>263</v>
      </c>
      <c r="B264" s="2" t="s">
        <v>171</v>
      </c>
      <c r="C264" s="2" t="s">
        <v>504</v>
      </c>
      <c r="D264" s="2" t="s">
        <v>38</v>
      </c>
      <c r="E264" s="7" t="s">
        <v>344</v>
      </c>
      <c r="F264" s="4">
        <v>48.857467651367102</v>
      </c>
      <c r="G264" s="18">
        <v>-125.158233642578</v>
      </c>
      <c r="H264" s="5" t="s">
        <v>14</v>
      </c>
      <c r="I264" s="2">
        <v>2</v>
      </c>
      <c r="J264" s="2">
        <v>210</v>
      </c>
      <c r="K264" s="6">
        <v>0.42499999999999999</v>
      </c>
      <c r="L264" s="2" t="s">
        <v>172</v>
      </c>
      <c r="M264" s="2">
        <v>7.5</v>
      </c>
      <c r="N264" s="2">
        <v>0</v>
      </c>
      <c r="O264" s="2">
        <v>0</v>
      </c>
      <c r="P264" s="2" t="s">
        <v>259</v>
      </c>
      <c r="Q264" s="7" t="s">
        <v>106</v>
      </c>
      <c r="R264" s="7" t="s">
        <v>343</v>
      </c>
      <c r="S264" s="20">
        <v>2</v>
      </c>
      <c r="T264" s="2">
        <v>0</v>
      </c>
      <c r="Z264" s="2">
        <v>2</v>
      </c>
    </row>
    <row r="265" spans="1:28">
      <c r="A265" s="7">
        <f>MAX($A$1:$A264)+1</f>
        <v>264</v>
      </c>
      <c r="B265" s="2" t="s">
        <v>171</v>
      </c>
      <c r="C265" s="2" t="s">
        <v>504</v>
      </c>
      <c r="D265" s="2" t="s">
        <v>38</v>
      </c>
      <c r="E265" s="7" t="s">
        <v>344</v>
      </c>
      <c r="F265" s="4">
        <v>48.857467651367102</v>
      </c>
      <c r="G265" s="18">
        <v>-125.158233642578</v>
      </c>
      <c r="H265" s="5" t="s">
        <v>14</v>
      </c>
      <c r="I265" s="2">
        <v>2</v>
      </c>
      <c r="J265" s="2">
        <v>210</v>
      </c>
      <c r="K265" s="6">
        <v>0.42499999999999999</v>
      </c>
      <c r="L265" s="2" t="s">
        <v>172</v>
      </c>
      <c r="M265" s="2">
        <v>7.5</v>
      </c>
      <c r="N265" s="2">
        <v>0</v>
      </c>
      <c r="O265" s="2">
        <v>0</v>
      </c>
      <c r="P265" s="2" t="s">
        <v>234</v>
      </c>
      <c r="Q265" s="7" t="s">
        <v>45</v>
      </c>
      <c r="R265" s="7" t="s">
        <v>353</v>
      </c>
      <c r="S265" s="20">
        <v>1</v>
      </c>
      <c r="T265" s="2">
        <v>0</v>
      </c>
      <c r="Z265" s="2">
        <v>1</v>
      </c>
    </row>
    <row r="266" spans="1:28">
      <c r="A266" s="7">
        <f>MAX($A$1:$A265)+1</f>
        <v>265</v>
      </c>
      <c r="B266" s="2" t="s">
        <v>278</v>
      </c>
      <c r="C266" s="2" t="s">
        <v>171</v>
      </c>
      <c r="D266" s="2" t="s">
        <v>39</v>
      </c>
      <c r="E266" s="7" t="s">
        <v>359</v>
      </c>
      <c r="F266" s="4">
        <v>48.858283996582003</v>
      </c>
      <c r="G266" s="18">
        <v>-125.160919189453</v>
      </c>
      <c r="H266" s="5" t="s">
        <v>14</v>
      </c>
      <c r="I266" s="2">
        <v>1.5</v>
      </c>
      <c r="J266" s="2">
        <v>210</v>
      </c>
      <c r="K266" s="6">
        <v>0.53472222222222221</v>
      </c>
      <c r="L266" s="2" t="s">
        <v>172</v>
      </c>
      <c r="M266" s="2">
        <v>9</v>
      </c>
      <c r="N266" s="2">
        <v>1</v>
      </c>
      <c r="O266" s="2">
        <v>1</v>
      </c>
      <c r="P266" s="2" t="s">
        <v>232</v>
      </c>
      <c r="Q266" s="7" t="s">
        <v>43</v>
      </c>
      <c r="R266" s="7" t="s">
        <v>324</v>
      </c>
      <c r="S266" s="20">
        <v>1</v>
      </c>
      <c r="T266" s="2">
        <v>0</v>
      </c>
      <c r="AB266" s="2">
        <v>1</v>
      </c>
    </row>
    <row r="267" spans="1:28">
      <c r="A267" s="7">
        <f>MAX($A$1:$A266)+1</f>
        <v>266</v>
      </c>
      <c r="B267" s="2" t="s">
        <v>278</v>
      </c>
      <c r="C267" s="2" t="s">
        <v>171</v>
      </c>
      <c r="D267" s="2" t="s">
        <v>39</v>
      </c>
      <c r="E267" s="7" t="s">
        <v>359</v>
      </c>
      <c r="F267" s="4">
        <v>48.858283996582003</v>
      </c>
      <c r="G267" s="18">
        <v>-125.160919189453</v>
      </c>
      <c r="H267" s="5" t="s">
        <v>14</v>
      </c>
      <c r="I267" s="2">
        <v>1.5</v>
      </c>
      <c r="J267" s="2">
        <v>210</v>
      </c>
      <c r="K267" s="6">
        <v>0.53472222222222221</v>
      </c>
      <c r="L267" s="2" t="s">
        <v>172</v>
      </c>
      <c r="M267" s="2">
        <v>9</v>
      </c>
      <c r="N267" s="2">
        <v>0</v>
      </c>
      <c r="O267" s="2">
        <v>1</v>
      </c>
      <c r="P267" s="2" t="s">
        <v>355</v>
      </c>
      <c r="Q267" s="7" t="s">
        <v>154</v>
      </c>
      <c r="R267" s="7" t="s">
        <v>356</v>
      </c>
      <c r="S267" s="20">
        <v>1</v>
      </c>
      <c r="T267" s="2">
        <v>1</v>
      </c>
    </row>
    <row r="268" spans="1:28">
      <c r="A268" s="7">
        <f>MAX($A$1:$A267)+1</f>
        <v>267</v>
      </c>
      <c r="B268" s="2" t="s">
        <v>278</v>
      </c>
      <c r="C268" s="2" t="s">
        <v>171</v>
      </c>
      <c r="D268" s="2" t="s">
        <v>39</v>
      </c>
      <c r="E268" s="7" t="s">
        <v>359</v>
      </c>
      <c r="F268" s="4">
        <v>48.858283996582003</v>
      </c>
      <c r="G268" s="18">
        <v>-125.160919189453</v>
      </c>
      <c r="H268" s="5" t="s">
        <v>14</v>
      </c>
      <c r="I268" s="2">
        <v>1.5</v>
      </c>
      <c r="J268" s="2">
        <v>210</v>
      </c>
      <c r="K268" s="6">
        <v>0.53472222222222221</v>
      </c>
      <c r="L268" s="2" t="s">
        <v>172</v>
      </c>
      <c r="M268" s="2">
        <v>9</v>
      </c>
      <c r="N268" s="2">
        <v>0</v>
      </c>
      <c r="O268" s="2">
        <v>1</v>
      </c>
      <c r="P268" s="2" t="s">
        <v>305</v>
      </c>
      <c r="Q268" s="7" t="s">
        <v>89</v>
      </c>
      <c r="R268" s="7" t="s">
        <v>306</v>
      </c>
      <c r="S268" s="20">
        <v>1</v>
      </c>
      <c r="T268" s="2">
        <v>0</v>
      </c>
      <c r="V268" s="2">
        <v>1</v>
      </c>
    </row>
    <row r="269" spans="1:28">
      <c r="A269" s="7">
        <f>MAX($A$1:$A268)+1</f>
        <v>268</v>
      </c>
      <c r="B269" s="2" t="s">
        <v>278</v>
      </c>
      <c r="C269" s="2" t="s">
        <v>171</v>
      </c>
      <c r="D269" s="2" t="s">
        <v>39</v>
      </c>
      <c r="E269" s="7" t="s">
        <v>359</v>
      </c>
      <c r="F269" s="4">
        <v>48.858283996582003</v>
      </c>
      <c r="G269" s="18">
        <v>-125.160919189453</v>
      </c>
      <c r="H269" s="5" t="s">
        <v>14</v>
      </c>
      <c r="I269" s="2">
        <v>1.5</v>
      </c>
      <c r="J269" s="2">
        <v>210</v>
      </c>
      <c r="K269" s="6">
        <v>0.53472222222222221</v>
      </c>
      <c r="L269" s="2" t="s">
        <v>172</v>
      </c>
      <c r="M269" s="2">
        <v>9</v>
      </c>
      <c r="N269" s="2">
        <v>2</v>
      </c>
      <c r="O269" s="2">
        <v>1</v>
      </c>
      <c r="P269" s="2" t="s">
        <v>241</v>
      </c>
      <c r="Q269" s="7" t="s">
        <v>63</v>
      </c>
      <c r="R269" s="7" t="s">
        <v>294</v>
      </c>
      <c r="S269" s="20">
        <v>129</v>
      </c>
      <c r="T269" s="2">
        <v>129</v>
      </c>
    </row>
    <row r="270" spans="1:28">
      <c r="A270" s="7">
        <f>MAX($A$1:$A269)+1</f>
        <v>269</v>
      </c>
      <c r="B270" s="2" t="s">
        <v>278</v>
      </c>
      <c r="C270" s="2" t="s">
        <v>171</v>
      </c>
      <c r="D270" s="2" t="s">
        <v>39</v>
      </c>
      <c r="E270" s="7" t="s">
        <v>359</v>
      </c>
      <c r="F270" s="4">
        <v>48.858283996582003</v>
      </c>
      <c r="G270" s="18">
        <v>-125.160919189453</v>
      </c>
      <c r="H270" s="5" t="s">
        <v>14</v>
      </c>
      <c r="I270" s="2">
        <v>1.5</v>
      </c>
      <c r="J270" s="2">
        <v>210</v>
      </c>
      <c r="K270" s="6">
        <v>0.53472222222222221</v>
      </c>
      <c r="L270" s="2" t="s">
        <v>172</v>
      </c>
      <c r="M270" s="2">
        <v>9</v>
      </c>
      <c r="N270" s="2">
        <v>2</v>
      </c>
      <c r="O270" s="2">
        <v>1</v>
      </c>
      <c r="P270" s="2" t="s">
        <v>238</v>
      </c>
      <c r="Q270" s="7" t="s">
        <v>69</v>
      </c>
      <c r="R270" s="7" t="s">
        <v>313</v>
      </c>
      <c r="S270" s="20">
        <v>36</v>
      </c>
      <c r="T270" s="2">
        <v>36</v>
      </c>
    </row>
    <row r="271" spans="1:28">
      <c r="A271" s="7">
        <f>MAX($A$1:$A270)+1</f>
        <v>270</v>
      </c>
      <c r="B271" s="2" t="s">
        <v>278</v>
      </c>
      <c r="C271" s="2" t="s">
        <v>171</v>
      </c>
      <c r="D271" s="2" t="s">
        <v>39</v>
      </c>
      <c r="E271" s="7" t="s">
        <v>359</v>
      </c>
      <c r="F271" s="4">
        <v>48.858283996582003</v>
      </c>
      <c r="G271" s="18">
        <v>-125.160919189453</v>
      </c>
      <c r="H271" s="5" t="s">
        <v>14</v>
      </c>
      <c r="I271" s="2">
        <v>1.5</v>
      </c>
      <c r="J271" s="2">
        <v>210</v>
      </c>
      <c r="K271" s="6">
        <v>0.53472222222222221</v>
      </c>
      <c r="L271" s="2" t="s">
        <v>172</v>
      </c>
      <c r="M271" s="2">
        <v>9</v>
      </c>
      <c r="N271" s="2">
        <v>2</v>
      </c>
      <c r="O271" s="2">
        <v>1</v>
      </c>
      <c r="P271" s="2" t="s">
        <v>296</v>
      </c>
      <c r="Q271" s="7" t="s">
        <v>75</v>
      </c>
      <c r="R271" s="7" t="s">
        <v>297</v>
      </c>
      <c r="S271" s="20">
        <v>10</v>
      </c>
      <c r="T271" s="2">
        <v>10</v>
      </c>
    </row>
    <row r="272" spans="1:28">
      <c r="A272" s="7">
        <f>MAX($A$1:$A271)+1</f>
        <v>271</v>
      </c>
      <c r="B272" s="2" t="s">
        <v>278</v>
      </c>
      <c r="C272" s="2" t="s">
        <v>171</v>
      </c>
      <c r="D272" s="2" t="s">
        <v>39</v>
      </c>
      <c r="E272" s="7" t="s">
        <v>359</v>
      </c>
      <c r="F272" s="4">
        <v>48.858283996582003</v>
      </c>
      <c r="G272" s="18">
        <v>-125.160919189453</v>
      </c>
      <c r="H272" s="5" t="s">
        <v>14</v>
      </c>
      <c r="I272" s="2">
        <v>1.5</v>
      </c>
      <c r="J272" s="2">
        <v>210</v>
      </c>
      <c r="K272" s="6">
        <v>0.53472222222222221</v>
      </c>
      <c r="L272" s="2" t="s">
        <v>172</v>
      </c>
      <c r="M272" s="2">
        <v>9</v>
      </c>
      <c r="N272" s="2">
        <v>2</v>
      </c>
      <c r="O272" s="2">
        <v>1</v>
      </c>
      <c r="P272" s="2" t="s">
        <v>230</v>
      </c>
      <c r="Q272" s="7" t="s">
        <v>42</v>
      </c>
      <c r="R272" s="7" t="s">
        <v>321</v>
      </c>
      <c r="S272" s="20">
        <v>24</v>
      </c>
      <c r="T272" s="2">
        <v>24</v>
      </c>
    </row>
    <row r="273" spans="1:27">
      <c r="A273" s="7">
        <f>MAX($A$1:$A272)+1</f>
        <v>272</v>
      </c>
      <c r="B273" s="2" t="s">
        <v>278</v>
      </c>
      <c r="C273" s="2" t="s">
        <v>171</v>
      </c>
      <c r="D273" s="2" t="s">
        <v>39</v>
      </c>
      <c r="E273" s="7" t="s">
        <v>359</v>
      </c>
      <c r="F273" s="4">
        <v>48.858283996582003</v>
      </c>
      <c r="G273" s="18">
        <v>-125.160919189453</v>
      </c>
      <c r="H273" s="5" t="s">
        <v>14</v>
      </c>
      <c r="I273" s="2">
        <v>1.5</v>
      </c>
      <c r="J273" s="2">
        <v>210</v>
      </c>
      <c r="K273" s="6">
        <v>0.53472222222222221</v>
      </c>
      <c r="L273" s="2" t="s">
        <v>172</v>
      </c>
      <c r="M273" s="2">
        <v>9</v>
      </c>
      <c r="N273" s="2">
        <v>2</v>
      </c>
      <c r="O273" s="2">
        <v>1</v>
      </c>
      <c r="P273" s="2" t="s">
        <v>251</v>
      </c>
      <c r="Q273" s="7" t="s">
        <v>73</v>
      </c>
      <c r="R273" s="7" t="s">
        <v>325</v>
      </c>
      <c r="S273" s="20">
        <v>2</v>
      </c>
      <c r="T273" s="2">
        <v>2</v>
      </c>
    </row>
    <row r="274" spans="1:27">
      <c r="A274" s="7">
        <f>MAX($A$1:$A273)+1</f>
        <v>273</v>
      </c>
      <c r="B274" s="2" t="s">
        <v>278</v>
      </c>
      <c r="C274" s="2" t="s">
        <v>171</v>
      </c>
      <c r="D274" s="2" t="s">
        <v>39</v>
      </c>
      <c r="E274" s="7" t="s">
        <v>359</v>
      </c>
      <c r="F274" s="4">
        <v>48.858283996582003</v>
      </c>
      <c r="G274" s="18">
        <v>-125.160919189453</v>
      </c>
      <c r="H274" s="5" t="s">
        <v>14</v>
      </c>
      <c r="I274" s="2">
        <v>1.5</v>
      </c>
      <c r="J274" s="2">
        <v>210</v>
      </c>
      <c r="K274" s="6">
        <v>0.53472222222222221</v>
      </c>
      <c r="L274" s="2" t="s">
        <v>172</v>
      </c>
      <c r="M274" s="2">
        <v>9</v>
      </c>
      <c r="N274" s="2">
        <v>2</v>
      </c>
      <c r="O274" s="2">
        <v>1</v>
      </c>
      <c r="P274" s="2" t="s">
        <v>331</v>
      </c>
      <c r="Q274" s="7" t="s">
        <v>67</v>
      </c>
      <c r="R274" s="7" t="s">
        <v>332</v>
      </c>
      <c r="S274" s="20">
        <v>14</v>
      </c>
      <c r="T274" s="2">
        <v>14</v>
      </c>
    </row>
    <row r="275" spans="1:27">
      <c r="A275" s="7">
        <f>MAX($A$1:$A274)+1</f>
        <v>274</v>
      </c>
      <c r="B275" s="2" t="s">
        <v>278</v>
      </c>
      <c r="C275" s="2" t="s">
        <v>171</v>
      </c>
      <c r="D275" s="2" t="s">
        <v>39</v>
      </c>
      <c r="E275" s="7" t="s">
        <v>359</v>
      </c>
      <c r="F275" s="4">
        <v>48.858283996582003</v>
      </c>
      <c r="G275" s="18">
        <v>-125.160919189453</v>
      </c>
      <c r="H275" s="5" t="s">
        <v>14</v>
      </c>
      <c r="I275" s="2">
        <v>1.5</v>
      </c>
      <c r="J275" s="2">
        <v>210</v>
      </c>
      <c r="K275" s="6">
        <v>0.53472222222222221</v>
      </c>
      <c r="L275" s="2" t="s">
        <v>172</v>
      </c>
      <c r="M275" s="2">
        <v>9</v>
      </c>
      <c r="N275" s="2">
        <v>2</v>
      </c>
      <c r="O275" s="2">
        <v>1</v>
      </c>
      <c r="P275" s="2" t="s">
        <v>239</v>
      </c>
      <c r="Q275" s="7" t="s">
        <v>80</v>
      </c>
      <c r="R275" s="7" t="s">
        <v>300</v>
      </c>
      <c r="S275" s="20">
        <v>4</v>
      </c>
      <c r="T275" s="2">
        <v>4</v>
      </c>
    </row>
    <row r="276" spans="1:27">
      <c r="A276" s="7">
        <f>MAX($A$1:$A275)+1</f>
        <v>275</v>
      </c>
      <c r="B276" s="2" t="s">
        <v>278</v>
      </c>
      <c r="C276" s="2" t="s">
        <v>171</v>
      </c>
      <c r="D276" s="2" t="s">
        <v>39</v>
      </c>
      <c r="E276" s="7" t="s">
        <v>359</v>
      </c>
      <c r="F276" s="4">
        <v>48.858283996582003</v>
      </c>
      <c r="G276" s="18">
        <v>-125.160919189453</v>
      </c>
      <c r="H276" s="5" t="s">
        <v>14</v>
      </c>
      <c r="I276" s="2">
        <v>1.5</v>
      </c>
      <c r="J276" s="2">
        <v>210</v>
      </c>
      <c r="K276" s="6">
        <v>0.53472222222222221</v>
      </c>
      <c r="L276" s="2" t="s">
        <v>172</v>
      </c>
      <c r="M276" s="2">
        <v>9</v>
      </c>
      <c r="N276" s="2">
        <v>2</v>
      </c>
      <c r="O276" s="2">
        <v>1</v>
      </c>
      <c r="P276" s="2" t="s">
        <v>248</v>
      </c>
      <c r="Q276" s="7" t="s">
        <v>78</v>
      </c>
      <c r="R276" s="7" t="s">
        <v>349</v>
      </c>
      <c r="S276" s="20">
        <v>10</v>
      </c>
      <c r="T276" s="2">
        <v>0</v>
      </c>
      <c r="W276" s="2">
        <v>1</v>
      </c>
      <c r="X276" s="2">
        <v>3</v>
      </c>
      <c r="Y276" s="2">
        <v>2</v>
      </c>
      <c r="Z276" s="2">
        <v>3</v>
      </c>
      <c r="AA276" s="2">
        <v>1</v>
      </c>
    </row>
    <row r="277" spans="1:27">
      <c r="A277" s="7">
        <f>MAX($A$1:$A276)+1</f>
        <v>276</v>
      </c>
      <c r="B277" s="2" t="s">
        <v>278</v>
      </c>
      <c r="C277" s="2" t="s">
        <v>171</v>
      </c>
      <c r="D277" s="2" t="s">
        <v>39</v>
      </c>
      <c r="E277" s="7" t="s">
        <v>359</v>
      </c>
      <c r="F277" s="4">
        <v>48.858283996582003</v>
      </c>
      <c r="G277" s="18">
        <v>-125.160919189453</v>
      </c>
      <c r="H277" s="5" t="s">
        <v>14</v>
      </c>
      <c r="I277" s="2">
        <v>1.5</v>
      </c>
      <c r="J277" s="2">
        <v>210</v>
      </c>
      <c r="K277" s="6">
        <v>0.53472222222222221</v>
      </c>
      <c r="L277" s="2" t="s">
        <v>172</v>
      </c>
      <c r="M277" s="2">
        <v>9</v>
      </c>
      <c r="N277" s="2">
        <v>2</v>
      </c>
      <c r="O277" s="2">
        <v>1</v>
      </c>
      <c r="P277" s="2" t="s">
        <v>316</v>
      </c>
      <c r="Q277" s="7" t="s">
        <v>123</v>
      </c>
      <c r="R277" s="7" t="s">
        <v>317</v>
      </c>
      <c r="S277" s="20">
        <v>5</v>
      </c>
      <c r="T277" s="2">
        <v>5</v>
      </c>
    </row>
    <row r="278" spans="1:27">
      <c r="A278" s="7">
        <f>MAX($A$1:$A277)+1</f>
        <v>277</v>
      </c>
      <c r="B278" s="2" t="s">
        <v>278</v>
      </c>
      <c r="C278" s="2" t="s">
        <v>171</v>
      </c>
      <c r="D278" s="2" t="s">
        <v>39</v>
      </c>
      <c r="E278" s="7" t="s">
        <v>359</v>
      </c>
      <c r="F278" s="4">
        <v>48.858283996582003</v>
      </c>
      <c r="G278" s="18">
        <v>-125.160919189453</v>
      </c>
      <c r="H278" s="5" t="s">
        <v>14</v>
      </c>
      <c r="I278" s="2">
        <v>1.5</v>
      </c>
      <c r="J278" s="2">
        <v>210</v>
      </c>
      <c r="K278" s="6">
        <v>0.53472222222222221</v>
      </c>
      <c r="L278" s="2" t="s">
        <v>172</v>
      </c>
      <c r="M278" s="2">
        <v>9</v>
      </c>
      <c r="N278" s="2">
        <v>2</v>
      </c>
      <c r="O278" s="2">
        <v>1</v>
      </c>
      <c r="P278" s="2" t="s">
        <v>243</v>
      </c>
      <c r="Q278" s="7" t="s">
        <v>85</v>
      </c>
      <c r="R278" s="7" t="s">
        <v>312</v>
      </c>
      <c r="S278" s="20">
        <v>5</v>
      </c>
      <c r="T278" s="2">
        <v>5</v>
      </c>
    </row>
    <row r="279" spans="1:27">
      <c r="A279" s="7">
        <f>MAX($A$1:$A278)+1</f>
        <v>278</v>
      </c>
      <c r="B279" s="2" t="s">
        <v>278</v>
      </c>
      <c r="C279" s="2" t="s">
        <v>171</v>
      </c>
      <c r="D279" s="2" t="s">
        <v>39</v>
      </c>
      <c r="E279" s="7" t="s">
        <v>359</v>
      </c>
      <c r="F279" s="4">
        <v>48.858283996582003</v>
      </c>
      <c r="G279" s="18">
        <v>-125.160919189453</v>
      </c>
      <c r="H279" s="5" t="s">
        <v>14</v>
      </c>
      <c r="I279" s="2">
        <v>1.5</v>
      </c>
      <c r="J279" s="2">
        <v>210</v>
      </c>
      <c r="K279" s="6">
        <v>0.53472222222222221</v>
      </c>
      <c r="L279" s="2" t="s">
        <v>172</v>
      </c>
      <c r="M279" s="2">
        <v>9</v>
      </c>
      <c r="N279" s="2">
        <v>2</v>
      </c>
      <c r="O279" s="2">
        <v>1</v>
      </c>
      <c r="P279" s="2" t="s">
        <v>296</v>
      </c>
      <c r="Q279" s="7" t="s">
        <v>75</v>
      </c>
      <c r="R279" s="7" t="s">
        <v>297</v>
      </c>
      <c r="S279" s="20">
        <v>3</v>
      </c>
      <c r="T279" s="2">
        <v>3</v>
      </c>
    </row>
    <row r="280" spans="1:27">
      <c r="A280" s="7">
        <f>MAX($A$1:$A279)+1</f>
        <v>279</v>
      </c>
      <c r="B280" s="2" t="s">
        <v>278</v>
      </c>
      <c r="C280" s="2" t="s">
        <v>171</v>
      </c>
      <c r="D280" s="2" t="s">
        <v>39</v>
      </c>
      <c r="E280" s="7" t="s">
        <v>359</v>
      </c>
      <c r="F280" s="4">
        <v>48.858283996582003</v>
      </c>
      <c r="G280" s="18">
        <v>-125.160919189453</v>
      </c>
      <c r="H280" s="5" t="s">
        <v>14</v>
      </c>
      <c r="I280" s="2">
        <v>1.5</v>
      </c>
      <c r="J280" s="2">
        <v>210</v>
      </c>
      <c r="K280" s="6">
        <v>0.53472222222222221</v>
      </c>
      <c r="L280" s="2" t="s">
        <v>172</v>
      </c>
      <c r="M280" s="2">
        <v>9</v>
      </c>
      <c r="N280" s="2">
        <v>2</v>
      </c>
      <c r="O280" s="2">
        <v>1</v>
      </c>
      <c r="P280" s="2" t="s">
        <v>244</v>
      </c>
      <c r="Q280" s="7" t="s">
        <v>65</v>
      </c>
      <c r="R280" s="7" t="s">
        <v>307</v>
      </c>
      <c r="S280" s="20">
        <v>1</v>
      </c>
      <c r="T280" s="2">
        <v>1</v>
      </c>
    </row>
    <row r="281" spans="1:27">
      <c r="A281" s="7">
        <f>MAX($A$1:$A280)+1</f>
        <v>280</v>
      </c>
      <c r="B281" s="2" t="s">
        <v>278</v>
      </c>
      <c r="C281" s="2" t="s">
        <v>171</v>
      </c>
      <c r="D281" s="2" t="s">
        <v>39</v>
      </c>
      <c r="E281" s="7" t="s">
        <v>359</v>
      </c>
      <c r="F281" s="4">
        <v>48.858283996582003</v>
      </c>
      <c r="G281" s="18">
        <v>-125.160919189453</v>
      </c>
      <c r="H281" s="5" t="s">
        <v>14</v>
      </c>
      <c r="I281" s="2">
        <v>1.5</v>
      </c>
      <c r="J281" s="2">
        <v>210</v>
      </c>
      <c r="K281" s="6">
        <v>0.53472222222222221</v>
      </c>
      <c r="L281" s="2" t="s">
        <v>172</v>
      </c>
      <c r="M281" s="2">
        <v>9</v>
      </c>
      <c r="N281" s="2">
        <v>2</v>
      </c>
      <c r="O281" s="2">
        <v>1</v>
      </c>
      <c r="P281" s="2" t="s">
        <v>305</v>
      </c>
      <c r="Q281" s="7" t="s">
        <v>89</v>
      </c>
      <c r="R281" s="7" t="s">
        <v>306</v>
      </c>
      <c r="S281" s="20">
        <v>2</v>
      </c>
      <c r="T281" s="2">
        <v>0</v>
      </c>
      <c r="Y281" s="2">
        <v>1</v>
      </c>
      <c r="Z281" s="2">
        <v>1</v>
      </c>
    </row>
    <row r="282" spans="1:27">
      <c r="A282" s="7">
        <f>MAX($A$1:$A281)+1</f>
        <v>281</v>
      </c>
      <c r="B282" s="2" t="s">
        <v>278</v>
      </c>
      <c r="C282" s="2" t="s">
        <v>171</v>
      </c>
      <c r="D282" s="2" t="s">
        <v>39</v>
      </c>
      <c r="E282" s="7" t="s">
        <v>359</v>
      </c>
      <c r="F282" s="4">
        <v>48.858283996582003</v>
      </c>
      <c r="G282" s="18">
        <v>-125.160919189453</v>
      </c>
      <c r="H282" s="5" t="s">
        <v>14</v>
      </c>
      <c r="I282" s="2">
        <v>1.5</v>
      </c>
      <c r="J282" s="2">
        <v>210</v>
      </c>
      <c r="K282" s="6">
        <v>0.53472222222222221</v>
      </c>
      <c r="L282" s="2" t="s">
        <v>172</v>
      </c>
      <c r="M282" s="2">
        <v>9</v>
      </c>
      <c r="N282" s="2">
        <v>2</v>
      </c>
      <c r="O282" s="2">
        <v>1</v>
      </c>
      <c r="P282" s="2" t="s">
        <v>246</v>
      </c>
      <c r="Q282" s="7" t="s">
        <v>66</v>
      </c>
      <c r="R282" s="7" t="s">
        <v>318</v>
      </c>
      <c r="S282" s="20">
        <v>5</v>
      </c>
      <c r="T282" s="2">
        <v>5</v>
      </c>
      <c r="V282" s="48"/>
      <c r="W282" s="48"/>
    </row>
    <row r="283" spans="1:27">
      <c r="A283" s="7">
        <f>MAX($A$1:$A282)+1</f>
        <v>282</v>
      </c>
      <c r="B283" s="2" t="s">
        <v>278</v>
      </c>
      <c r="C283" s="2" t="s">
        <v>171</v>
      </c>
      <c r="D283" s="2" t="s">
        <v>39</v>
      </c>
      <c r="E283" s="7" t="s">
        <v>359</v>
      </c>
      <c r="F283" s="4">
        <v>48.858283996582003</v>
      </c>
      <c r="G283" s="18">
        <v>-125.160919189453</v>
      </c>
      <c r="H283" s="5" t="s">
        <v>14</v>
      </c>
      <c r="I283" s="2">
        <v>1.5</v>
      </c>
      <c r="J283" s="2">
        <v>210</v>
      </c>
      <c r="K283" s="6">
        <v>0.53472222222222221</v>
      </c>
      <c r="L283" s="2" t="s">
        <v>172</v>
      </c>
      <c r="M283" s="2">
        <v>9</v>
      </c>
      <c r="N283" s="2">
        <v>2</v>
      </c>
      <c r="O283" s="2">
        <v>1</v>
      </c>
      <c r="P283" s="2" t="s">
        <v>247</v>
      </c>
      <c r="Q283" s="7" t="s">
        <v>64</v>
      </c>
      <c r="R283" s="7" t="s">
        <v>293</v>
      </c>
      <c r="S283" s="20">
        <v>5</v>
      </c>
      <c r="T283" s="2">
        <v>5</v>
      </c>
    </row>
    <row r="284" spans="1:27">
      <c r="A284" s="7">
        <f>MAX($A$1:$A283)+1</f>
        <v>283</v>
      </c>
      <c r="B284" s="2" t="s">
        <v>278</v>
      </c>
      <c r="C284" s="2" t="s">
        <v>171</v>
      </c>
      <c r="D284" s="2" t="s">
        <v>39</v>
      </c>
      <c r="E284" s="7" t="s">
        <v>359</v>
      </c>
      <c r="F284" s="4">
        <v>48.858283996582003</v>
      </c>
      <c r="G284" s="18">
        <v>-125.160919189453</v>
      </c>
      <c r="H284" s="5" t="s">
        <v>14</v>
      </c>
      <c r="I284" s="2">
        <v>1.5</v>
      </c>
      <c r="J284" s="2">
        <v>210</v>
      </c>
      <c r="K284" s="6">
        <v>0.53472222222222221</v>
      </c>
      <c r="L284" s="2" t="s">
        <v>172</v>
      </c>
      <c r="M284" s="2">
        <v>9</v>
      </c>
      <c r="N284" s="2">
        <v>2</v>
      </c>
      <c r="O284" s="2">
        <v>1</v>
      </c>
      <c r="P284" s="2" t="s">
        <v>298</v>
      </c>
      <c r="Q284" s="7" t="s">
        <v>99</v>
      </c>
      <c r="R284" s="7" t="s">
        <v>299</v>
      </c>
      <c r="S284" s="20">
        <v>6</v>
      </c>
      <c r="T284" s="2">
        <v>6</v>
      </c>
    </row>
    <row r="285" spans="1:27">
      <c r="A285" s="7">
        <f>MAX($A$1:$A284)+1</f>
        <v>284</v>
      </c>
      <c r="B285" s="2" t="s">
        <v>278</v>
      </c>
      <c r="C285" s="2" t="s">
        <v>171</v>
      </c>
      <c r="D285" s="2" t="s">
        <v>39</v>
      </c>
      <c r="E285" s="7" t="s">
        <v>359</v>
      </c>
      <c r="F285" s="4">
        <v>48.858283996582003</v>
      </c>
      <c r="G285" s="18">
        <v>-125.160919189453</v>
      </c>
      <c r="H285" s="5" t="s">
        <v>14</v>
      </c>
      <c r="I285" s="2">
        <v>1.5</v>
      </c>
      <c r="J285" s="2">
        <v>210</v>
      </c>
      <c r="K285" s="6">
        <v>0.53472222222222221</v>
      </c>
      <c r="L285" s="2" t="s">
        <v>172</v>
      </c>
      <c r="M285" s="2">
        <v>9</v>
      </c>
      <c r="N285" s="2">
        <v>2</v>
      </c>
      <c r="O285" s="2">
        <v>1</v>
      </c>
      <c r="P285" s="2" t="s">
        <v>250</v>
      </c>
      <c r="Q285" s="7" t="s">
        <v>46</v>
      </c>
      <c r="R285" s="7" t="s">
        <v>295</v>
      </c>
      <c r="S285" s="20">
        <v>3</v>
      </c>
      <c r="T285" s="2">
        <v>0</v>
      </c>
      <c r="V285" s="2">
        <v>2</v>
      </c>
      <c r="W285" s="2">
        <v>1</v>
      </c>
    </row>
    <row r="286" spans="1:27">
      <c r="A286" s="7">
        <f>MAX($A$1:$A285)+1</f>
        <v>285</v>
      </c>
      <c r="B286" s="2" t="s">
        <v>278</v>
      </c>
      <c r="C286" s="2" t="s">
        <v>171</v>
      </c>
      <c r="D286" s="2" t="s">
        <v>39</v>
      </c>
      <c r="E286" s="7" t="s">
        <v>359</v>
      </c>
      <c r="F286" s="4">
        <v>48.858283996582003</v>
      </c>
      <c r="G286" s="18">
        <v>-125.160919189453</v>
      </c>
      <c r="H286" s="5" t="s">
        <v>14</v>
      </c>
      <c r="I286" s="2">
        <v>1.5</v>
      </c>
      <c r="J286" s="2">
        <v>210</v>
      </c>
      <c r="K286" s="6">
        <v>0.53472222222222221</v>
      </c>
      <c r="L286" s="2" t="s">
        <v>172</v>
      </c>
      <c r="M286" s="2">
        <v>9</v>
      </c>
      <c r="N286" s="2">
        <v>2</v>
      </c>
      <c r="O286" s="2">
        <v>1</v>
      </c>
      <c r="P286" s="2" t="s">
        <v>360</v>
      </c>
      <c r="Q286" s="7" t="s">
        <v>129</v>
      </c>
      <c r="R286" s="7" t="s">
        <v>361</v>
      </c>
      <c r="S286" s="20">
        <v>1</v>
      </c>
      <c r="T286" s="2">
        <v>1</v>
      </c>
    </row>
    <row r="287" spans="1:27">
      <c r="A287" s="7">
        <f>MAX($A$1:$A286)+1</f>
        <v>286</v>
      </c>
      <c r="B287" s="2" t="s">
        <v>278</v>
      </c>
      <c r="C287" s="2" t="s">
        <v>171</v>
      </c>
      <c r="D287" s="2" t="s">
        <v>39</v>
      </c>
      <c r="E287" s="7" t="s">
        <v>359</v>
      </c>
      <c r="F287" s="4">
        <v>48.858283996582003</v>
      </c>
      <c r="G287" s="18">
        <v>-125.160919189453</v>
      </c>
      <c r="H287" s="5" t="s">
        <v>14</v>
      </c>
      <c r="I287" s="2">
        <v>1.5</v>
      </c>
      <c r="J287" s="2">
        <v>210</v>
      </c>
      <c r="K287" s="6">
        <v>0.53472222222222221</v>
      </c>
      <c r="L287" s="2" t="s">
        <v>172</v>
      </c>
      <c r="M287" s="2">
        <v>9</v>
      </c>
      <c r="N287" s="2">
        <v>2</v>
      </c>
      <c r="O287" s="2">
        <v>1</v>
      </c>
      <c r="P287" s="2" t="s">
        <v>350</v>
      </c>
      <c r="Q287" s="7" t="s">
        <v>83</v>
      </c>
      <c r="R287" s="7" t="s">
        <v>351</v>
      </c>
      <c r="S287" s="20">
        <v>2</v>
      </c>
      <c r="T287" s="2">
        <v>2</v>
      </c>
    </row>
    <row r="288" spans="1:27">
      <c r="A288" s="7">
        <f>MAX($A$1:$A287)+1</f>
        <v>287</v>
      </c>
      <c r="B288" s="2" t="s">
        <v>278</v>
      </c>
      <c r="C288" s="2" t="s">
        <v>171</v>
      </c>
      <c r="D288" s="2" t="s">
        <v>39</v>
      </c>
      <c r="E288" s="7" t="s">
        <v>359</v>
      </c>
      <c r="F288" s="4">
        <v>48.858283996582003</v>
      </c>
      <c r="G288" s="18">
        <v>-125.160919189453</v>
      </c>
      <c r="H288" s="5" t="s">
        <v>14</v>
      </c>
      <c r="I288" s="2">
        <v>1.5</v>
      </c>
      <c r="J288" s="2">
        <v>210</v>
      </c>
      <c r="K288" s="6">
        <v>0.53472222222222221</v>
      </c>
      <c r="L288" s="2" t="s">
        <v>172</v>
      </c>
      <c r="M288" s="2">
        <v>9</v>
      </c>
      <c r="N288" s="2">
        <v>2</v>
      </c>
      <c r="O288" s="2">
        <v>1</v>
      </c>
      <c r="P288" s="2" t="s">
        <v>249</v>
      </c>
      <c r="Q288" s="7" t="s">
        <v>90</v>
      </c>
      <c r="R288" s="7" t="s">
        <v>352</v>
      </c>
      <c r="S288" s="20">
        <v>1</v>
      </c>
      <c r="T288" s="2">
        <v>1</v>
      </c>
    </row>
    <row r="289" spans="1:27">
      <c r="A289" s="7">
        <f>MAX($A$1:$A288)+1</f>
        <v>288</v>
      </c>
      <c r="B289" s="2" t="s">
        <v>278</v>
      </c>
      <c r="C289" s="2" t="s">
        <v>171</v>
      </c>
      <c r="D289" s="2" t="s">
        <v>39</v>
      </c>
      <c r="E289" s="7" t="s">
        <v>359</v>
      </c>
      <c r="F289" s="4">
        <v>48.858283996582003</v>
      </c>
      <c r="G289" s="18">
        <v>-125.160919189453</v>
      </c>
      <c r="H289" s="5" t="s">
        <v>14</v>
      </c>
      <c r="I289" s="2">
        <v>1.5</v>
      </c>
      <c r="J289" s="2">
        <v>210</v>
      </c>
      <c r="K289" s="6">
        <v>0.53472222222222221</v>
      </c>
      <c r="L289" s="2" t="s">
        <v>172</v>
      </c>
      <c r="M289" s="2">
        <v>9</v>
      </c>
      <c r="N289" s="2">
        <v>2</v>
      </c>
      <c r="O289" s="2">
        <v>1</v>
      </c>
      <c r="P289" s="2" t="s">
        <v>308</v>
      </c>
      <c r="Q289" s="7" t="s">
        <v>122</v>
      </c>
      <c r="R289" s="7" t="s">
        <v>309</v>
      </c>
      <c r="S289" s="20">
        <v>1</v>
      </c>
      <c r="T289" s="2">
        <v>1</v>
      </c>
    </row>
    <row r="290" spans="1:27">
      <c r="A290" s="7">
        <f>MAX($A$1:$A289)+1</f>
        <v>289</v>
      </c>
      <c r="B290" s="2" t="s">
        <v>278</v>
      </c>
      <c r="C290" s="2" t="s">
        <v>171</v>
      </c>
      <c r="D290" s="2" t="s">
        <v>39</v>
      </c>
      <c r="E290" s="7" t="s">
        <v>359</v>
      </c>
      <c r="F290" s="4">
        <v>48.858283996582003</v>
      </c>
      <c r="G290" s="18">
        <v>-125.160919189453</v>
      </c>
      <c r="H290" s="5" t="s">
        <v>14</v>
      </c>
      <c r="I290" s="2">
        <v>1.5</v>
      </c>
      <c r="J290" s="2">
        <v>210</v>
      </c>
      <c r="K290" s="6">
        <v>0.53472222222222221</v>
      </c>
      <c r="L290" s="2" t="s">
        <v>172</v>
      </c>
      <c r="M290" s="2">
        <v>9</v>
      </c>
      <c r="N290" s="2">
        <v>2</v>
      </c>
      <c r="O290" s="2">
        <v>1</v>
      </c>
      <c r="P290" s="2" t="s">
        <v>242</v>
      </c>
      <c r="Q290" s="7" t="s">
        <v>100</v>
      </c>
      <c r="R290" s="7" t="s">
        <v>362</v>
      </c>
      <c r="S290" s="20">
        <v>1</v>
      </c>
      <c r="T290" s="2">
        <v>1</v>
      </c>
    </row>
    <row r="291" spans="1:27">
      <c r="A291" s="7">
        <f>MAX($A$1:$A290)+1</f>
        <v>290</v>
      </c>
      <c r="B291" s="2" t="s">
        <v>278</v>
      </c>
      <c r="C291" s="2" t="s">
        <v>171</v>
      </c>
      <c r="D291" s="2" t="s">
        <v>39</v>
      </c>
      <c r="E291" s="7" t="s">
        <v>359</v>
      </c>
      <c r="F291" s="4">
        <v>48.858283996582003</v>
      </c>
      <c r="G291" s="18">
        <v>-125.160919189453</v>
      </c>
      <c r="H291" s="5" t="s">
        <v>14</v>
      </c>
      <c r="I291" s="2">
        <v>1.5</v>
      </c>
      <c r="J291" s="2">
        <v>210</v>
      </c>
      <c r="K291" s="6">
        <v>0.53472222222222221</v>
      </c>
      <c r="L291" s="2" t="s">
        <v>172</v>
      </c>
      <c r="M291" s="2">
        <v>9</v>
      </c>
      <c r="N291" s="2">
        <v>2</v>
      </c>
      <c r="O291" s="2">
        <v>1</v>
      </c>
      <c r="P291" s="2" t="s">
        <v>345</v>
      </c>
      <c r="Q291" s="7" t="s">
        <v>127</v>
      </c>
      <c r="R291" s="7" t="s">
        <v>346</v>
      </c>
      <c r="S291" s="20">
        <v>1</v>
      </c>
      <c r="T291" s="2">
        <v>1</v>
      </c>
    </row>
    <row r="292" spans="1:27">
      <c r="A292" s="7">
        <f>MAX($A$1:$A291)+1</f>
        <v>291</v>
      </c>
      <c r="B292" s="2" t="s">
        <v>278</v>
      </c>
      <c r="C292" s="2" t="s">
        <v>171</v>
      </c>
      <c r="D292" s="2" t="s">
        <v>39</v>
      </c>
      <c r="E292" s="7" t="s">
        <v>359</v>
      </c>
      <c r="F292" s="4">
        <v>48.858283996582003</v>
      </c>
      <c r="G292" s="18">
        <v>-125.160919189453</v>
      </c>
      <c r="H292" s="5" t="s">
        <v>14</v>
      </c>
      <c r="I292" s="2">
        <v>1.5</v>
      </c>
      <c r="J292" s="2">
        <v>210</v>
      </c>
      <c r="K292" s="6">
        <v>0.53472222222222221</v>
      </c>
      <c r="L292" s="2" t="s">
        <v>172</v>
      </c>
      <c r="M292" s="2">
        <v>9</v>
      </c>
      <c r="N292" s="2">
        <v>2</v>
      </c>
      <c r="O292" s="2">
        <v>1</v>
      </c>
      <c r="P292" s="2" t="s">
        <v>310</v>
      </c>
      <c r="Q292" s="7" t="s">
        <v>98</v>
      </c>
      <c r="R292" s="7" t="s">
        <v>311</v>
      </c>
      <c r="S292" s="20">
        <v>1</v>
      </c>
      <c r="T292" s="2">
        <v>1</v>
      </c>
    </row>
    <row r="293" spans="1:27">
      <c r="A293" s="7">
        <f>MAX($A$1:$A292)+1</f>
        <v>292</v>
      </c>
      <c r="B293" s="2" t="s">
        <v>278</v>
      </c>
      <c r="C293" s="2" t="s">
        <v>171</v>
      </c>
      <c r="D293" s="2" t="s">
        <v>39</v>
      </c>
      <c r="E293" s="7" t="s">
        <v>359</v>
      </c>
      <c r="F293" s="4">
        <v>48.858283996582003</v>
      </c>
      <c r="G293" s="18">
        <v>-125.160919189453</v>
      </c>
      <c r="H293" s="5" t="s">
        <v>14</v>
      </c>
      <c r="I293" s="2">
        <v>1.5</v>
      </c>
      <c r="J293" s="2">
        <v>210</v>
      </c>
      <c r="K293" s="6">
        <v>0.53472222222222221</v>
      </c>
      <c r="L293" s="2" t="s">
        <v>172</v>
      </c>
      <c r="M293" s="2">
        <v>9</v>
      </c>
      <c r="N293" s="2">
        <v>2</v>
      </c>
      <c r="O293" s="2">
        <v>1</v>
      </c>
      <c r="P293" s="2" t="s">
        <v>328</v>
      </c>
      <c r="Q293" s="7" t="s">
        <v>126</v>
      </c>
      <c r="R293" s="7" t="s">
        <v>329</v>
      </c>
      <c r="S293" s="20">
        <v>0</v>
      </c>
      <c r="T293" s="2">
        <v>0</v>
      </c>
    </row>
    <row r="294" spans="1:27">
      <c r="A294" s="7">
        <f>MAX($A$1:$A293)+1</f>
        <v>293</v>
      </c>
      <c r="B294" s="2" t="s">
        <v>409</v>
      </c>
      <c r="C294" s="2" t="s">
        <v>269</v>
      </c>
      <c r="D294" s="2" t="s">
        <v>39</v>
      </c>
      <c r="E294" s="7" t="s">
        <v>359</v>
      </c>
      <c r="F294" s="4">
        <v>48.858283996582003</v>
      </c>
      <c r="G294" s="18">
        <v>-125.160919189453</v>
      </c>
      <c r="H294" s="28" t="s">
        <v>14</v>
      </c>
      <c r="I294" s="2">
        <v>1</v>
      </c>
      <c r="J294" s="2">
        <v>30</v>
      </c>
      <c r="K294" s="6">
        <v>0.53749999999999998</v>
      </c>
      <c r="L294" s="2" t="s">
        <v>270</v>
      </c>
      <c r="M294" s="2">
        <v>6.5</v>
      </c>
      <c r="N294" s="2">
        <v>1</v>
      </c>
      <c r="O294" s="2">
        <v>1</v>
      </c>
      <c r="P294" s="2" t="s">
        <v>232</v>
      </c>
      <c r="Q294" s="7" t="s">
        <v>43</v>
      </c>
      <c r="R294" s="7" t="s">
        <v>324</v>
      </c>
      <c r="S294" s="20">
        <v>2</v>
      </c>
      <c r="T294" s="2">
        <v>0</v>
      </c>
      <c r="Y294" s="2">
        <v>1</v>
      </c>
      <c r="AA294" s="2">
        <v>1</v>
      </c>
    </row>
    <row r="295" spans="1:27">
      <c r="A295" s="7">
        <f>MAX($A$1:$A294)+1</f>
        <v>294</v>
      </c>
      <c r="B295" s="2" t="s">
        <v>409</v>
      </c>
      <c r="C295" s="2" t="s">
        <v>269</v>
      </c>
      <c r="D295" s="2" t="s">
        <v>39</v>
      </c>
      <c r="E295" s="7" t="s">
        <v>359</v>
      </c>
      <c r="F295" s="4">
        <v>48.858283996582003</v>
      </c>
      <c r="G295" s="18">
        <v>-125.160919189453</v>
      </c>
      <c r="H295" s="28" t="s">
        <v>14</v>
      </c>
      <c r="I295" s="2">
        <v>1</v>
      </c>
      <c r="J295" s="2">
        <v>30</v>
      </c>
      <c r="K295" s="6">
        <v>0.53749999999999998</v>
      </c>
      <c r="L295" s="2" t="s">
        <v>270</v>
      </c>
      <c r="M295" s="2">
        <v>6.5</v>
      </c>
      <c r="N295" s="2">
        <v>0</v>
      </c>
      <c r="O295" s="2">
        <v>1</v>
      </c>
      <c r="P295" s="2" t="s">
        <v>421</v>
      </c>
      <c r="Q295" s="7" t="s">
        <v>140</v>
      </c>
      <c r="R295" s="7" t="s">
        <v>422</v>
      </c>
      <c r="S295" s="20">
        <v>1</v>
      </c>
      <c r="T295" s="2">
        <v>0</v>
      </c>
      <c r="AA295" s="2">
        <v>1</v>
      </c>
    </row>
    <row r="296" spans="1:27">
      <c r="A296" s="7">
        <f>MAX($A$1:$A295)+1</f>
        <v>295</v>
      </c>
      <c r="B296" s="2" t="s">
        <v>409</v>
      </c>
      <c r="C296" s="2" t="s">
        <v>269</v>
      </c>
      <c r="D296" s="2" t="s">
        <v>39</v>
      </c>
      <c r="E296" s="7" t="s">
        <v>359</v>
      </c>
      <c r="F296" s="4">
        <v>48.858283996582003</v>
      </c>
      <c r="G296" s="18">
        <v>-125.160919189453</v>
      </c>
      <c r="H296" s="28" t="s">
        <v>14</v>
      </c>
      <c r="I296" s="2">
        <v>1</v>
      </c>
      <c r="J296" s="2">
        <v>30</v>
      </c>
      <c r="K296" s="6">
        <v>0.53749999999999998</v>
      </c>
      <c r="L296" s="2" t="s">
        <v>270</v>
      </c>
      <c r="M296" s="2">
        <v>6.5</v>
      </c>
      <c r="N296" s="2">
        <v>2</v>
      </c>
      <c r="O296" s="2">
        <v>1</v>
      </c>
      <c r="P296" s="2" t="s">
        <v>241</v>
      </c>
      <c r="Q296" s="7" t="s">
        <v>63</v>
      </c>
      <c r="R296" s="7" t="s">
        <v>294</v>
      </c>
      <c r="S296" s="20">
        <v>391</v>
      </c>
      <c r="T296" s="2">
        <v>391</v>
      </c>
    </row>
    <row r="297" spans="1:27">
      <c r="A297" s="7">
        <f>MAX($A$1:$A296)+1</f>
        <v>296</v>
      </c>
      <c r="B297" s="2" t="s">
        <v>409</v>
      </c>
      <c r="C297" s="2" t="s">
        <v>269</v>
      </c>
      <c r="D297" s="2" t="s">
        <v>39</v>
      </c>
      <c r="E297" s="7" t="s">
        <v>359</v>
      </c>
      <c r="F297" s="4">
        <v>48.858283996582003</v>
      </c>
      <c r="G297" s="18">
        <v>-125.160919189453</v>
      </c>
      <c r="H297" s="28" t="s">
        <v>14</v>
      </c>
      <c r="I297" s="2">
        <v>1</v>
      </c>
      <c r="J297" s="2">
        <v>30</v>
      </c>
      <c r="K297" s="6">
        <v>0.53749999999999998</v>
      </c>
      <c r="L297" s="2" t="s">
        <v>270</v>
      </c>
      <c r="M297" s="2">
        <v>6.5</v>
      </c>
      <c r="N297" s="2">
        <v>2</v>
      </c>
      <c r="O297" s="2">
        <v>1</v>
      </c>
      <c r="P297" s="2" t="s">
        <v>373</v>
      </c>
      <c r="Q297" s="7" t="s">
        <v>131</v>
      </c>
      <c r="R297" s="7" t="s">
        <v>410</v>
      </c>
      <c r="S297" s="20">
        <v>6</v>
      </c>
      <c r="T297" s="2">
        <v>6</v>
      </c>
    </row>
    <row r="298" spans="1:27">
      <c r="A298" s="7">
        <f>MAX($A$1:$A297)+1</f>
        <v>297</v>
      </c>
      <c r="B298" s="2" t="s">
        <v>409</v>
      </c>
      <c r="C298" s="2" t="s">
        <v>269</v>
      </c>
      <c r="D298" s="2" t="s">
        <v>39</v>
      </c>
      <c r="E298" s="7" t="s">
        <v>359</v>
      </c>
      <c r="F298" s="4">
        <v>48.858283996582003</v>
      </c>
      <c r="G298" s="18">
        <v>-125.160919189453</v>
      </c>
      <c r="H298" s="28" t="s">
        <v>14</v>
      </c>
      <c r="I298" s="2">
        <v>1</v>
      </c>
      <c r="J298" s="2">
        <v>30</v>
      </c>
      <c r="K298" s="6">
        <v>0.53749999999999998</v>
      </c>
      <c r="L298" s="2" t="s">
        <v>270</v>
      </c>
      <c r="M298" s="2">
        <v>6.5</v>
      </c>
      <c r="N298" s="2">
        <v>2</v>
      </c>
      <c r="O298" s="2">
        <v>1</v>
      </c>
      <c r="P298" s="2" t="s">
        <v>298</v>
      </c>
      <c r="Q298" s="7" t="s">
        <v>99</v>
      </c>
      <c r="R298" s="7" t="s">
        <v>299</v>
      </c>
      <c r="S298" s="20">
        <v>24</v>
      </c>
      <c r="T298" s="2">
        <v>24</v>
      </c>
    </row>
    <row r="299" spans="1:27">
      <c r="A299" s="7">
        <f>MAX($A$1:$A298)+1</f>
        <v>298</v>
      </c>
      <c r="B299" s="2" t="s">
        <v>409</v>
      </c>
      <c r="C299" s="2" t="s">
        <v>269</v>
      </c>
      <c r="D299" s="2" t="s">
        <v>39</v>
      </c>
      <c r="E299" s="7" t="s">
        <v>359</v>
      </c>
      <c r="F299" s="4">
        <v>48.858283996582003</v>
      </c>
      <c r="G299" s="18">
        <v>-125.160919189453</v>
      </c>
      <c r="H299" s="28" t="s">
        <v>14</v>
      </c>
      <c r="I299" s="2">
        <v>1</v>
      </c>
      <c r="J299" s="2">
        <v>30</v>
      </c>
      <c r="K299" s="6">
        <v>0.53749999999999998</v>
      </c>
      <c r="L299" s="2" t="s">
        <v>270</v>
      </c>
      <c r="M299" s="2">
        <v>6.5</v>
      </c>
      <c r="N299" s="2">
        <v>2</v>
      </c>
      <c r="O299" s="2">
        <v>1</v>
      </c>
      <c r="P299" s="2" t="s">
        <v>243</v>
      </c>
      <c r="Q299" s="7" t="s">
        <v>85</v>
      </c>
      <c r="R299" s="7" t="s">
        <v>312</v>
      </c>
      <c r="S299" s="20">
        <v>13</v>
      </c>
      <c r="T299" s="2">
        <v>13</v>
      </c>
    </row>
    <row r="300" spans="1:27">
      <c r="A300" s="7">
        <f>MAX($A$1:$A299)+1</f>
        <v>299</v>
      </c>
      <c r="B300" s="2" t="s">
        <v>409</v>
      </c>
      <c r="C300" s="2" t="s">
        <v>269</v>
      </c>
      <c r="D300" s="2" t="s">
        <v>39</v>
      </c>
      <c r="E300" s="7" t="s">
        <v>359</v>
      </c>
      <c r="F300" s="4">
        <v>48.858283996582003</v>
      </c>
      <c r="G300" s="18">
        <v>-125.160919189453</v>
      </c>
      <c r="H300" s="28" t="s">
        <v>14</v>
      </c>
      <c r="I300" s="2">
        <v>1</v>
      </c>
      <c r="J300" s="2">
        <v>30</v>
      </c>
      <c r="K300" s="6">
        <v>0.53749999999999998</v>
      </c>
      <c r="L300" s="2" t="s">
        <v>270</v>
      </c>
      <c r="M300" s="2">
        <v>6.5</v>
      </c>
      <c r="N300" s="2">
        <v>2</v>
      </c>
      <c r="O300" s="2">
        <v>1</v>
      </c>
      <c r="P300" s="2" t="s">
        <v>411</v>
      </c>
      <c r="Q300" s="7" t="s">
        <v>138</v>
      </c>
      <c r="R300" s="7" t="s">
        <v>412</v>
      </c>
      <c r="S300" s="20">
        <v>5</v>
      </c>
      <c r="T300" s="2">
        <v>5</v>
      </c>
    </row>
    <row r="301" spans="1:27">
      <c r="A301" s="7">
        <f>MAX($A$1:$A300)+1</f>
        <v>300</v>
      </c>
      <c r="B301" s="2" t="s">
        <v>409</v>
      </c>
      <c r="C301" s="2" t="s">
        <v>269</v>
      </c>
      <c r="D301" s="2" t="s">
        <v>39</v>
      </c>
      <c r="E301" s="7" t="s">
        <v>359</v>
      </c>
      <c r="F301" s="4">
        <v>48.858283996582003</v>
      </c>
      <c r="G301" s="18">
        <v>-125.160919189453</v>
      </c>
      <c r="H301" s="28" t="s">
        <v>14</v>
      </c>
      <c r="I301" s="2">
        <v>1</v>
      </c>
      <c r="J301" s="2">
        <v>30</v>
      </c>
      <c r="K301" s="6">
        <v>0.53749999999999998</v>
      </c>
      <c r="L301" s="2" t="s">
        <v>270</v>
      </c>
      <c r="M301" s="2">
        <v>6.5</v>
      </c>
      <c r="N301" s="2">
        <v>2</v>
      </c>
      <c r="O301" s="2">
        <v>1</v>
      </c>
      <c r="P301" s="2" t="s">
        <v>239</v>
      </c>
      <c r="Q301" s="7" t="s">
        <v>80</v>
      </c>
      <c r="R301" s="7" t="s">
        <v>300</v>
      </c>
      <c r="S301" s="20">
        <v>4</v>
      </c>
      <c r="T301" s="2">
        <v>4</v>
      </c>
    </row>
    <row r="302" spans="1:27">
      <c r="A302" s="7">
        <f>MAX($A$1:$A301)+1</f>
        <v>301</v>
      </c>
      <c r="B302" s="2" t="s">
        <v>409</v>
      </c>
      <c r="C302" s="2" t="s">
        <v>269</v>
      </c>
      <c r="D302" s="2" t="s">
        <v>39</v>
      </c>
      <c r="E302" s="7" t="s">
        <v>359</v>
      </c>
      <c r="F302" s="4">
        <v>48.858283996582003</v>
      </c>
      <c r="G302" s="18">
        <v>-125.160919189453</v>
      </c>
      <c r="H302" s="28" t="s">
        <v>14</v>
      </c>
      <c r="I302" s="2">
        <v>1</v>
      </c>
      <c r="J302" s="2">
        <v>30</v>
      </c>
      <c r="K302" s="6">
        <v>0.53749999999999998</v>
      </c>
      <c r="L302" s="2" t="s">
        <v>270</v>
      </c>
      <c r="M302" s="2">
        <v>6.5</v>
      </c>
      <c r="N302" s="2">
        <v>2</v>
      </c>
      <c r="O302" s="2">
        <v>1</v>
      </c>
      <c r="P302" s="2" t="s">
        <v>248</v>
      </c>
      <c r="Q302" s="7" t="s">
        <v>78</v>
      </c>
      <c r="R302" s="7" t="s">
        <v>349</v>
      </c>
      <c r="S302" s="20">
        <v>3</v>
      </c>
      <c r="T302" s="2">
        <v>0</v>
      </c>
      <c r="X302" s="2">
        <v>2</v>
      </c>
      <c r="Z302" s="2">
        <v>1</v>
      </c>
    </row>
    <row r="303" spans="1:27">
      <c r="A303" s="7">
        <f>MAX($A$1:$A302)+1</f>
        <v>302</v>
      </c>
      <c r="B303" s="2" t="s">
        <v>409</v>
      </c>
      <c r="C303" s="2" t="s">
        <v>269</v>
      </c>
      <c r="D303" s="2" t="s">
        <v>39</v>
      </c>
      <c r="E303" s="7" t="s">
        <v>359</v>
      </c>
      <c r="F303" s="4">
        <v>48.858283996582003</v>
      </c>
      <c r="G303" s="18">
        <v>-125.160919189453</v>
      </c>
      <c r="H303" s="28" t="s">
        <v>14</v>
      </c>
      <c r="I303" s="2">
        <v>1</v>
      </c>
      <c r="J303" s="2">
        <v>30</v>
      </c>
      <c r="K303" s="6">
        <v>0.53749999999999998</v>
      </c>
      <c r="L303" s="2" t="s">
        <v>270</v>
      </c>
      <c r="M303" s="2">
        <v>6.5</v>
      </c>
      <c r="N303" s="2">
        <v>2</v>
      </c>
      <c r="O303" s="2">
        <v>1</v>
      </c>
      <c r="P303" s="2" t="s">
        <v>246</v>
      </c>
      <c r="Q303" s="7" t="s">
        <v>66</v>
      </c>
      <c r="R303" s="7" t="s">
        <v>318</v>
      </c>
      <c r="S303" s="20">
        <v>18</v>
      </c>
      <c r="T303" s="2">
        <v>0</v>
      </c>
      <c r="W303" s="2">
        <v>6</v>
      </c>
      <c r="X303" s="2">
        <v>10</v>
      </c>
      <c r="Y303" s="2">
        <v>2</v>
      </c>
    </row>
    <row r="304" spans="1:27">
      <c r="A304" s="7">
        <f>MAX($A$1:$A303)+1</f>
        <v>303</v>
      </c>
      <c r="B304" s="2" t="s">
        <v>409</v>
      </c>
      <c r="C304" s="2" t="s">
        <v>269</v>
      </c>
      <c r="D304" s="2" t="s">
        <v>39</v>
      </c>
      <c r="E304" s="7" t="s">
        <v>359</v>
      </c>
      <c r="F304" s="4">
        <v>48.858283996582003</v>
      </c>
      <c r="G304" s="18">
        <v>-125.160919189453</v>
      </c>
      <c r="H304" s="28" t="s">
        <v>14</v>
      </c>
      <c r="I304" s="2">
        <v>1</v>
      </c>
      <c r="J304" s="2">
        <v>30</v>
      </c>
      <c r="K304" s="6">
        <v>0.53749999999999998</v>
      </c>
      <c r="L304" s="2" t="s">
        <v>270</v>
      </c>
      <c r="M304" s="2">
        <v>6.5</v>
      </c>
      <c r="N304" s="2">
        <v>2</v>
      </c>
      <c r="O304" s="2">
        <v>1</v>
      </c>
      <c r="P304" s="2" t="s">
        <v>423</v>
      </c>
      <c r="Q304" s="7" t="s">
        <v>113</v>
      </c>
      <c r="R304" s="7" t="s">
        <v>424</v>
      </c>
      <c r="S304" s="20">
        <v>1</v>
      </c>
      <c r="T304" s="2">
        <v>1</v>
      </c>
    </row>
    <row r="305" spans="1:31">
      <c r="A305" s="7">
        <f>MAX($A$1:$A304)+1</f>
        <v>304</v>
      </c>
      <c r="B305" s="2" t="s">
        <v>409</v>
      </c>
      <c r="C305" s="2" t="s">
        <v>269</v>
      </c>
      <c r="D305" s="2" t="s">
        <v>39</v>
      </c>
      <c r="E305" s="7" t="s">
        <v>359</v>
      </c>
      <c r="F305" s="4">
        <v>48.858283996582003</v>
      </c>
      <c r="G305" s="18">
        <v>-125.160919189453</v>
      </c>
      <c r="H305" s="28" t="s">
        <v>14</v>
      </c>
      <c r="I305" s="2">
        <v>1</v>
      </c>
      <c r="J305" s="2">
        <v>30</v>
      </c>
      <c r="K305" s="6">
        <v>0.53749999999999998</v>
      </c>
      <c r="L305" s="2" t="s">
        <v>270</v>
      </c>
      <c r="M305" s="2">
        <v>6.5</v>
      </c>
      <c r="N305" s="2">
        <v>2</v>
      </c>
      <c r="O305" s="2">
        <v>1</v>
      </c>
      <c r="P305" s="2" t="s">
        <v>425</v>
      </c>
      <c r="Q305" s="7" t="s">
        <v>141</v>
      </c>
      <c r="R305" s="7" t="s">
        <v>426</v>
      </c>
      <c r="S305" s="20">
        <v>2</v>
      </c>
      <c r="T305" s="2">
        <v>0</v>
      </c>
      <c r="AA305" s="2">
        <v>1</v>
      </c>
      <c r="AB305" s="2">
        <v>1</v>
      </c>
    </row>
    <row r="306" spans="1:31">
      <c r="A306" s="7">
        <f>MAX($A$1:$A305)+1</f>
        <v>305</v>
      </c>
      <c r="B306" s="2" t="s">
        <v>409</v>
      </c>
      <c r="C306" s="2" t="s">
        <v>269</v>
      </c>
      <c r="D306" s="2" t="s">
        <v>39</v>
      </c>
      <c r="E306" s="7" t="s">
        <v>359</v>
      </c>
      <c r="F306" s="4">
        <v>48.858283996582003</v>
      </c>
      <c r="G306" s="18">
        <v>-125.160919189453</v>
      </c>
      <c r="H306" s="28" t="s">
        <v>14</v>
      </c>
      <c r="I306" s="2">
        <v>1</v>
      </c>
      <c r="J306" s="2">
        <v>30</v>
      </c>
      <c r="K306" s="6">
        <v>0.53749999999999998</v>
      </c>
      <c r="L306" s="2" t="s">
        <v>270</v>
      </c>
      <c r="M306" s="2">
        <v>6.5</v>
      </c>
      <c r="N306" s="2">
        <v>2</v>
      </c>
      <c r="O306" s="2">
        <v>1</v>
      </c>
      <c r="P306" s="2" t="s">
        <v>331</v>
      </c>
      <c r="Q306" s="7" t="s">
        <v>67</v>
      </c>
      <c r="R306" s="7" t="s">
        <v>332</v>
      </c>
      <c r="S306" s="20">
        <v>7</v>
      </c>
      <c r="T306" s="2">
        <v>7</v>
      </c>
    </row>
    <row r="307" spans="1:31">
      <c r="A307" s="7">
        <f>MAX($A$1:$A306)+1</f>
        <v>306</v>
      </c>
      <c r="B307" s="2" t="s">
        <v>409</v>
      </c>
      <c r="C307" s="2" t="s">
        <v>269</v>
      </c>
      <c r="D307" s="2" t="s">
        <v>39</v>
      </c>
      <c r="E307" s="7" t="s">
        <v>359</v>
      </c>
      <c r="F307" s="4">
        <v>48.858283996582003</v>
      </c>
      <c r="G307" s="18">
        <v>-125.160919189453</v>
      </c>
      <c r="H307" s="28" t="s">
        <v>14</v>
      </c>
      <c r="I307" s="2">
        <v>1</v>
      </c>
      <c r="J307" s="2">
        <v>30</v>
      </c>
      <c r="K307" s="6">
        <v>0.53749999999999998</v>
      </c>
      <c r="L307" s="2" t="s">
        <v>270</v>
      </c>
      <c r="M307" s="2">
        <v>6.5</v>
      </c>
      <c r="N307" s="2">
        <v>2</v>
      </c>
      <c r="O307" s="2">
        <v>1</v>
      </c>
      <c r="P307" s="2" t="s">
        <v>333</v>
      </c>
      <c r="Q307" s="7" t="s">
        <v>102</v>
      </c>
      <c r="R307" s="7" t="s">
        <v>334</v>
      </c>
      <c r="S307" s="20">
        <v>1</v>
      </c>
      <c r="T307" s="2">
        <v>1</v>
      </c>
    </row>
    <row r="308" spans="1:31">
      <c r="A308" s="7">
        <f>MAX($A$1:$A307)+1</f>
        <v>307</v>
      </c>
      <c r="B308" s="2" t="s">
        <v>409</v>
      </c>
      <c r="C308" s="2" t="s">
        <v>269</v>
      </c>
      <c r="D308" s="2" t="s">
        <v>39</v>
      </c>
      <c r="E308" s="7" t="s">
        <v>359</v>
      </c>
      <c r="F308" s="4">
        <v>48.858283996582003</v>
      </c>
      <c r="G308" s="18">
        <v>-125.160919189453</v>
      </c>
      <c r="H308" s="28" t="s">
        <v>14</v>
      </c>
      <c r="I308" s="2">
        <v>1</v>
      </c>
      <c r="J308" s="2">
        <v>30</v>
      </c>
      <c r="K308" s="6">
        <v>0.53749999999999998</v>
      </c>
      <c r="L308" s="2" t="s">
        <v>270</v>
      </c>
      <c r="M308" s="2">
        <v>6.5</v>
      </c>
      <c r="N308" s="2">
        <v>2</v>
      </c>
      <c r="O308" s="2">
        <v>1</v>
      </c>
      <c r="P308" s="2" t="s">
        <v>296</v>
      </c>
      <c r="Q308" s="7" t="s">
        <v>75</v>
      </c>
      <c r="R308" s="7" t="s">
        <v>297</v>
      </c>
      <c r="S308" s="20">
        <v>4</v>
      </c>
      <c r="T308" s="2">
        <v>4</v>
      </c>
    </row>
    <row r="309" spans="1:31">
      <c r="A309" s="7">
        <f>MAX($A$1:$A308)+1</f>
        <v>308</v>
      </c>
      <c r="B309" s="2" t="s">
        <v>409</v>
      </c>
      <c r="C309" s="2" t="s">
        <v>269</v>
      </c>
      <c r="D309" s="2" t="s">
        <v>39</v>
      </c>
      <c r="E309" s="7" t="s">
        <v>359</v>
      </c>
      <c r="F309" s="4">
        <v>48.858283996582003</v>
      </c>
      <c r="G309" s="18">
        <v>-125.160919189453</v>
      </c>
      <c r="H309" s="28" t="s">
        <v>14</v>
      </c>
      <c r="I309" s="2">
        <v>1</v>
      </c>
      <c r="J309" s="2">
        <v>30</v>
      </c>
      <c r="K309" s="6">
        <v>0.53749999999999998</v>
      </c>
      <c r="L309" s="2" t="s">
        <v>270</v>
      </c>
      <c r="M309" s="2">
        <v>6.5</v>
      </c>
      <c r="N309" s="2">
        <v>2</v>
      </c>
      <c r="O309" s="2">
        <v>1</v>
      </c>
      <c r="P309" s="2" t="s">
        <v>250</v>
      </c>
      <c r="Q309" s="7" t="s">
        <v>46</v>
      </c>
      <c r="R309" s="7" t="s">
        <v>295</v>
      </c>
      <c r="S309" s="20">
        <v>6</v>
      </c>
      <c r="T309" s="2">
        <v>0</v>
      </c>
      <c r="U309" s="2">
        <v>1</v>
      </c>
      <c r="V309" s="2">
        <v>5</v>
      </c>
    </row>
    <row r="310" spans="1:31">
      <c r="A310" s="7">
        <f>MAX($A$1:$A309)+1</f>
        <v>309</v>
      </c>
      <c r="B310" s="2" t="s">
        <v>409</v>
      </c>
      <c r="C310" s="2" t="s">
        <v>269</v>
      </c>
      <c r="D310" s="2" t="s">
        <v>39</v>
      </c>
      <c r="E310" s="7" t="s">
        <v>359</v>
      </c>
      <c r="F310" s="4">
        <v>48.858283996582003</v>
      </c>
      <c r="G310" s="18">
        <v>-125.160919189453</v>
      </c>
      <c r="H310" s="28" t="s">
        <v>14</v>
      </c>
      <c r="I310" s="2">
        <v>1</v>
      </c>
      <c r="J310" s="2">
        <v>30</v>
      </c>
      <c r="K310" s="6">
        <v>0.53749999999999998</v>
      </c>
      <c r="L310" s="2" t="s">
        <v>270</v>
      </c>
      <c r="M310" s="2">
        <v>6.5</v>
      </c>
      <c r="N310" s="2">
        <v>2</v>
      </c>
      <c r="O310" s="2">
        <v>1</v>
      </c>
      <c r="P310" s="2" t="s">
        <v>310</v>
      </c>
      <c r="Q310" s="7" t="s">
        <v>98</v>
      </c>
      <c r="R310" s="7" t="s">
        <v>311</v>
      </c>
      <c r="S310" s="20">
        <v>1</v>
      </c>
      <c r="T310" s="2">
        <v>1</v>
      </c>
    </row>
    <row r="311" spans="1:31">
      <c r="A311" s="7">
        <f>MAX($A$1:$A310)+1</f>
        <v>310</v>
      </c>
      <c r="B311" s="2" t="s">
        <v>409</v>
      </c>
      <c r="C311" s="2" t="s">
        <v>269</v>
      </c>
      <c r="D311" s="2" t="s">
        <v>39</v>
      </c>
      <c r="E311" s="7" t="s">
        <v>359</v>
      </c>
      <c r="F311" s="4">
        <v>48.858283996582003</v>
      </c>
      <c r="G311" s="18">
        <v>-125.160919189453</v>
      </c>
      <c r="H311" s="28" t="s">
        <v>14</v>
      </c>
      <c r="I311" s="2">
        <v>1</v>
      </c>
      <c r="J311" s="2">
        <v>30</v>
      </c>
      <c r="K311" s="6">
        <v>0.53749999999999998</v>
      </c>
      <c r="L311" s="2" t="s">
        <v>270</v>
      </c>
      <c r="M311" s="2">
        <v>6.5</v>
      </c>
      <c r="N311" s="2">
        <v>2</v>
      </c>
      <c r="O311" s="2">
        <v>1</v>
      </c>
      <c r="P311" s="2" t="s">
        <v>335</v>
      </c>
      <c r="Q311" s="7" t="s">
        <v>91</v>
      </c>
      <c r="R311" s="7" t="s">
        <v>336</v>
      </c>
      <c r="S311" s="20">
        <v>3</v>
      </c>
      <c r="T311" s="2">
        <v>3</v>
      </c>
    </row>
    <row r="312" spans="1:31">
      <c r="A312" s="7">
        <f>MAX($A$1:$A311)+1</f>
        <v>311</v>
      </c>
      <c r="B312" s="2" t="s">
        <v>409</v>
      </c>
      <c r="C312" s="2" t="s">
        <v>269</v>
      </c>
      <c r="D312" s="2" t="s">
        <v>39</v>
      </c>
      <c r="E312" s="7" t="s">
        <v>359</v>
      </c>
      <c r="F312" s="4">
        <v>48.858283996582003</v>
      </c>
      <c r="G312" s="18">
        <v>-125.160919189453</v>
      </c>
      <c r="H312" s="28" t="s">
        <v>14</v>
      </c>
      <c r="I312" s="2">
        <v>1</v>
      </c>
      <c r="J312" s="2">
        <v>30</v>
      </c>
      <c r="K312" s="6">
        <v>0.53749999999999998</v>
      </c>
      <c r="L312" s="2" t="s">
        <v>270</v>
      </c>
      <c r="M312" s="2">
        <v>6.5</v>
      </c>
      <c r="N312" s="2">
        <v>2</v>
      </c>
      <c r="O312" s="2">
        <v>1</v>
      </c>
      <c r="P312" s="2" t="s">
        <v>230</v>
      </c>
      <c r="Q312" s="7" t="s">
        <v>42</v>
      </c>
      <c r="R312" s="7" t="s">
        <v>321</v>
      </c>
      <c r="S312" s="20">
        <v>9</v>
      </c>
      <c r="T312" s="2">
        <v>0</v>
      </c>
      <c r="U312" s="2">
        <v>3</v>
      </c>
      <c r="V312" s="2">
        <v>6</v>
      </c>
    </row>
    <row r="313" spans="1:31">
      <c r="A313" s="7">
        <f>MAX($A$1:$A312)+1</f>
        <v>312</v>
      </c>
      <c r="B313" s="2" t="s">
        <v>409</v>
      </c>
      <c r="C313" s="2" t="s">
        <v>269</v>
      </c>
      <c r="D313" s="2" t="s">
        <v>39</v>
      </c>
      <c r="E313" s="7" t="s">
        <v>359</v>
      </c>
      <c r="F313" s="4">
        <v>48.858283996582003</v>
      </c>
      <c r="G313" s="18">
        <v>-125.160919189453</v>
      </c>
      <c r="H313" s="28" t="s">
        <v>14</v>
      </c>
      <c r="I313" s="2">
        <v>1</v>
      </c>
      <c r="J313" s="2">
        <v>30</v>
      </c>
      <c r="K313" s="6">
        <v>0.53749999999999998</v>
      </c>
      <c r="L313" s="2" t="s">
        <v>270</v>
      </c>
      <c r="M313" s="2">
        <v>6.5</v>
      </c>
      <c r="N313" s="2">
        <v>2</v>
      </c>
      <c r="O313" s="2">
        <v>1</v>
      </c>
      <c r="P313" s="2" t="s">
        <v>427</v>
      </c>
      <c r="Q313" s="7" t="s">
        <v>142</v>
      </c>
      <c r="R313" s="7" t="s">
        <v>428</v>
      </c>
      <c r="S313" s="20">
        <v>1</v>
      </c>
      <c r="T313" s="2">
        <v>1</v>
      </c>
    </row>
    <row r="314" spans="1:31">
      <c r="A314" s="7">
        <f>MAX($A$1:$A313)+1</f>
        <v>313</v>
      </c>
      <c r="B314" s="2" t="s">
        <v>409</v>
      </c>
      <c r="C314" s="2" t="s">
        <v>269</v>
      </c>
      <c r="D314" s="2" t="s">
        <v>39</v>
      </c>
      <c r="E314" s="7" t="s">
        <v>359</v>
      </c>
      <c r="F314" s="4">
        <v>48.858283996582003</v>
      </c>
      <c r="G314" s="18">
        <v>-125.160919189453</v>
      </c>
      <c r="H314" s="28" t="s">
        <v>14</v>
      </c>
      <c r="I314" s="2">
        <v>1</v>
      </c>
      <c r="J314" s="2">
        <v>30</v>
      </c>
      <c r="K314" s="6">
        <v>0.53749999999999998</v>
      </c>
      <c r="L314" s="2" t="s">
        <v>270</v>
      </c>
      <c r="M314" s="2">
        <v>6.5</v>
      </c>
      <c r="N314" s="2">
        <v>2</v>
      </c>
      <c r="O314" s="2">
        <v>1</v>
      </c>
      <c r="P314" s="2" t="s">
        <v>255</v>
      </c>
      <c r="Q314" s="7" t="s">
        <v>79</v>
      </c>
      <c r="R314" s="7" t="s">
        <v>429</v>
      </c>
      <c r="S314" s="20">
        <v>1</v>
      </c>
      <c r="T314" s="2">
        <v>1</v>
      </c>
    </row>
    <row r="315" spans="1:31">
      <c r="A315" s="7">
        <f>MAX($A$1:$A314)+1</f>
        <v>314</v>
      </c>
      <c r="B315" s="2" t="s">
        <v>409</v>
      </c>
      <c r="C315" s="2" t="s">
        <v>269</v>
      </c>
      <c r="D315" s="2" t="s">
        <v>39</v>
      </c>
      <c r="E315" s="7" t="s">
        <v>359</v>
      </c>
      <c r="F315" s="4">
        <v>48.858283996582003</v>
      </c>
      <c r="G315" s="18">
        <v>-125.160919189453</v>
      </c>
      <c r="H315" s="28" t="s">
        <v>14</v>
      </c>
      <c r="I315" s="2">
        <v>1</v>
      </c>
      <c r="J315" s="2">
        <v>30</v>
      </c>
      <c r="K315" s="6">
        <v>0.53749999999999998</v>
      </c>
      <c r="L315" s="2" t="s">
        <v>270</v>
      </c>
      <c r="M315" s="2">
        <v>6.5</v>
      </c>
      <c r="N315" s="2">
        <v>2</v>
      </c>
      <c r="O315" s="2">
        <v>1</v>
      </c>
      <c r="P315" s="2" t="s">
        <v>244</v>
      </c>
      <c r="Q315" s="7" t="s">
        <v>65</v>
      </c>
      <c r="R315" s="7" t="s">
        <v>307</v>
      </c>
      <c r="S315" s="20">
        <v>2</v>
      </c>
      <c r="T315" s="2">
        <v>2</v>
      </c>
    </row>
    <row r="316" spans="1:31">
      <c r="A316" s="7">
        <f>MAX($A$1:$A315)+1</f>
        <v>315</v>
      </c>
      <c r="B316" s="2" t="s">
        <v>409</v>
      </c>
      <c r="C316" s="2" t="s">
        <v>269</v>
      </c>
      <c r="D316" s="2" t="s">
        <v>39</v>
      </c>
      <c r="E316" s="7" t="s">
        <v>359</v>
      </c>
      <c r="F316" s="4">
        <v>48.858283996582003</v>
      </c>
      <c r="G316" s="18">
        <v>-125.160919189453</v>
      </c>
      <c r="H316" s="28" t="s">
        <v>14</v>
      </c>
      <c r="I316" s="2">
        <v>1</v>
      </c>
      <c r="J316" s="2">
        <v>30</v>
      </c>
      <c r="K316" s="6">
        <v>0.53749999999999998</v>
      </c>
      <c r="L316" s="2" t="s">
        <v>270</v>
      </c>
      <c r="M316" s="2">
        <v>6.5</v>
      </c>
      <c r="N316" s="2">
        <v>2</v>
      </c>
      <c r="O316" s="2">
        <v>1</v>
      </c>
      <c r="P316" s="2" t="s">
        <v>305</v>
      </c>
      <c r="Q316" s="7" t="s">
        <v>89</v>
      </c>
      <c r="R316" s="7" t="s">
        <v>306</v>
      </c>
      <c r="S316" s="20">
        <v>1</v>
      </c>
      <c r="T316" s="2">
        <v>0</v>
      </c>
      <c r="AA316" s="2">
        <v>1</v>
      </c>
    </row>
    <row r="317" spans="1:31">
      <c r="A317" s="7">
        <f>MAX($A$1:$A316)+1</f>
        <v>316</v>
      </c>
      <c r="B317" s="2" t="s">
        <v>409</v>
      </c>
      <c r="C317" s="2" t="s">
        <v>269</v>
      </c>
      <c r="D317" s="2" t="s">
        <v>39</v>
      </c>
      <c r="E317" s="7" t="s">
        <v>359</v>
      </c>
      <c r="F317" s="4">
        <v>48.858283996582003</v>
      </c>
      <c r="G317" s="18">
        <v>-125.160919189453</v>
      </c>
      <c r="H317" s="28" t="s">
        <v>14</v>
      </c>
      <c r="I317" s="2">
        <v>1</v>
      </c>
      <c r="J317" s="2">
        <v>30</v>
      </c>
      <c r="K317" s="6">
        <v>0.53749999999999998</v>
      </c>
      <c r="L317" s="2" t="s">
        <v>270</v>
      </c>
      <c r="M317" s="2">
        <v>6.5</v>
      </c>
      <c r="N317" s="2">
        <v>2</v>
      </c>
      <c r="O317" s="2">
        <v>1</v>
      </c>
      <c r="P317" s="2" t="s">
        <v>249</v>
      </c>
      <c r="Q317" s="7" t="s">
        <v>90</v>
      </c>
      <c r="R317" s="7" t="s">
        <v>352</v>
      </c>
      <c r="S317" s="20">
        <v>1</v>
      </c>
      <c r="T317" s="2">
        <v>1</v>
      </c>
    </row>
    <row r="318" spans="1:31">
      <c r="A318" s="7">
        <f>MAX($A$1:$A317)+1</f>
        <v>317</v>
      </c>
      <c r="B318" s="2" t="s">
        <v>409</v>
      </c>
      <c r="C318" s="2" t="s">
        <v>269</v>
      </c>
      <c r="D318" s="2" t="s">
        <v>39</v>
      </c>
      <c r="E318" s="7" t="s">
        <v>359</v>
      </c>
      <c r="F318" s="4">
        <v>48.858283996582003</v>
      </c>
      <c r="G318" s="18">
        <v>-125.160919189453</v>
      </c>
      <c r="H318" s="28" t="s">
        <v>14</v>
      </c>
      <c r="I318" s="2">
        <v>1</v>
      </c>
      <c r="J318" s="2">
        <v>30</v>
      </c>
      <c r="K318" s="6">
        <v>0.53749999999999998</v>
      </c>
      <c r="L318" s="2" t="s">
        <v>270</v>
      </c>
      <c r="M318" s="2">
        <v>6.5</v>
      </c>
      <c r="N318" s="2">
        <v>0</v>
      </c>
      <c r="O318" s="2">
        <v>1</v>
      </c>
      <c r="P318" s="2" t="s">
        <v>237</v>
      </c>
      <c r="Q318" s="7" t="s">
        <v>51</v>
      </c>
      <c r="R318" s="7" t="s">
        <v>368</v>
      </c>
      <c r="S318" s="20">
        <v>1</v>
      </c>
      <c r="T318" s="2">
        <v>0</v>
      </c>
      <c r="AB318" s="2">
        <v>1</v>
      </c>
    </row>
    <row r="319" spans="1:31">
      <c r="A319" s="7">
        <f>MAX($A$1:$A318)+1</f>
        <v>318</v>
      </c>
      <c r="B319" s="27" t="s">
        <v>269</v>
      </c>
      <c r="C319" s="2" t="s">
        <v>409</v>
      </c>
      <c r="D319" s="2" t="s">
        <v>39</v>
      </c>
      <c r="E319" s="7" t="s">
        <v>359</v>
      </c>
      <c r="F319" s="4">
        <v>48.858283996582003</v>
      </c>
      <c r="G319" s="18">
        <v>-125.160919189453</v>
      </c>
      <c r="H319" s="5" t="s">
        <v>14</v>
      </c>
      <c r="I319" s="2">
        <v>1</v>
      </c>
      <c r="J319" s="2">
        <v>30</v>
      </c>
      <c r="K319" s="6">
        <v>0.53749999999999998</v>
      </c>
      <c r="L319" s="2" t="s">
        <v>270</v>
      </c>
      <c r="M319" s="2">
        <v>6.5</v>
      </c>
      <c r="N319" s="2">
        <v>1</v>
      </c>
      <c r="O319" s="2">
        <v>2</v>
      </c>
      <c r="P319" s="2" t="s">
        <v>232</v>
      </c>
      <c r="Q319" s="7" t="s">
        <v>43</v>
      </c>
      <c r="R319" s="7" t="s">
        <v>324</v>
      </c>
      <c r="S319" s="20">
        <v>3</v>
      </c>
      <c r="T319" s="2">
        <v>0</v>
      </c>
      <c r="AB319" s="2">
        <v>1</v>
      </c>
      <c r="AC319" s="2">
        <v>2</v>
      </c>
    </row>
    <row r="320" spans="1:31">
      <c r="A320" s="7">
        <f>MAX($A$1:$A319)+1</f>
        <v>319</v>
      </c>
      <c r="B320" s="27" t="s">
        <v>269</v>
      </c>
      <c r="C320" s="2" t="s">
        <v>409</v>
      </c>
      <c r="D320" s="2" t="s">
        <v>39</v>
      </c>
      <c r="E320" s="7" t="s">
        <v>359</v>
      </c>
      <c r="F320" s="4">
        <v>48.858283996582003</v>
      </c>
      <c r="G320" s="18">
        <v>-125.160919189453</v>
      </c>
      <c r="H320" s="5" t="s">
        <v>14</v>
      </c>
      <c r="I320" s="2">
        <v>1</v>
      </c>
      <c r="J320" s="2">
        <v>30</v>
      </c>
      <c r="K320" s="6">
        <v>0.53749999999999998</v>
      </c>
      <c r="L320" s="2" t="s">
        <v>270</v>
      </c>
      <c r="M320" s="2">
        <v>6.5</v>
      </c>
      <c r="N320" s="2">
        <v>1</v>
      </c>
      <c r="O320" s="2">
        <v>2</v>
      </c>
      <c r="P320" s="2" t="s">
        <v>237</v>
      </c>
      <c r="Q320" s="7" t="s">
        <v>51</v>
      </c>
      <c r="R320" s="7" t="s">
        <v>368</v>
      </c>
      <c r="S320" s="20">
        <v>1</v>
      </c>
      <c r="T320" s="2">
        <v>0</v>
      </c>
      <c r="AE320" s="2">
        <v>1</v>
      </c>
    </row>
    <row r="321" spans="1:27">
      <c r="A321" s="7">
        <f>MAX($A$1:$A320)+1</f>
        <v>320</v>
      </c>
      <c r="B321" s="27" t="s">
        <v>269</v>
      </c>
      <c r="C321" s="2" t="s">
        <v>409</v>
      </c>
      <c r="D321" s="2" t="s">
        <v>39</v>
      </c>
      <c r="E321" s="7" t="s">
        <v>359</v>
      </c>
      <c r="F321" s="4">
        <v>48.858283996582003</v>
      </c>
      <c r="G321" s="18">
        <v>-125.160919189453</v>
      </c>
      <c r="H321" s="5" t="s">
        <v>14</v>
      </c>
      <c r="I321" s="2">
        <v>1</v>
      </c>
      <c r="J321" s="2">
        <v>30</v>
      </c>
      <c r="K321" s="6">
        <v>0.53749999999999998</v>
      </c>
      <c r="L321" s="2" t="s">
        <v>270</v>
      </c>
      <c r="M321" s="2">
        <v>6.5</v>
      </c>
      <c r="N321" s="2">
        <v>1</v>
      </c>
      <c r="O321" s="2">
        <v>2</v>
      </c>
      <c r="P321" s="2" t="s">
        <v>234</v>
      </c>
      <c r="Q321" s="7" t="s">
        <v>45</v>
      </c>
      <c r="R321" s="7" t="s">
        <v>353</v>
      </c>
      <c r="S321" s="20">
        <v>1</v>
      </c>
      <c r="T321" s="2">
        <v>0</v>
      </c>
      <c r="AA321" s="2">
        <v>1</v>
      </c>
    </row>
    <row r="322" spans="1:27">
      <c r="A322" s="7">
        <f>MAX($A$1:$A321)+1</f>
        <v>321</v>
      </c>
      <c r="B322" s="27" t="s">
        <v>269</v>
      </c>
      <c r="C322" s="2" t="s">
        <v>409</v>
      </c>
      <c r="D322" s="2" t="s">
        <v>39</v>
      </c>
      <c r="E322" s="7" t="s">
        <v>359</v>
      </c>
      <c r="F322" s="4">
        <v>48.858283996582003</v>
      </c>
      <c r="G322" s="18">
        <v>-125.160919189453</v>
      </c>
      <c r="H322" s="5" t="s">
        <v>14</v>
      </c>
      <c r="I322" s="2">
        <v>1</v>
      </c>
      <c r="J322" s="2">
        <v>30</v>
      </c>
      <c r="K322" s="6">
        <v>0.53749999999999998</v>
      </c>
      <c r="L322" s="2" t="s">
        <v>270</v>
      </c>
      <c r="M322" s="2">
        <v>6.5</v>
      </c>
      <c r="N322" s="2">
        <v>2</v>
      </c>
      <c r="O322" s="2">
        <v>2</v>
      </c>
      <c r="P322" s="2" t="s">
        <v>241</v>
      </c>
      <c r="Q322" s="7" t="s">
        <v>63</v>
      </c>
      <c r="R322" s="7" t="s">
        <v>294</v>
      </c>
      <c r="S322" s="20">
        <v>492</v>
      </c>
      <c r="T322" s="2">
        <v>492</v>
      </c>
    </row>
    <row r="323" spans="1:27">
      <c r="A323" s="7">
        <f>MAX($A$1:$A322)+1</f>
        <v>322</v>
      </c>
      <c r="B323" s="27" t="s">
        <v>269</v>
      </c>
      <c r="C323" s="2" t="s">
        <v>409</v>
      </c>
      <c r="D323" s="2" t="s">
        <v>39</v>
      </c>
      <c r="E323" s="7" t="s">
        <v>359</v>
      </c>
      <c r="F323" s="4">
        <v>48.858283996582003</v>
      </c>
      <c r="G323" s="18">
        <v>-125.160919189453</v>
      </c>
      <c r="H323" s="5" t="s">
        <v>14</v>
      </c>
      <c r="I323" s="2">
        <v>1</v>
      </c>
      <c r="J323" s="2">
        <v>30</v>
      </c>
      <c r="K323" s="6">
        <v>0.53749999999999998</v>
      </c>
      <c r="L323" s="2" t="s">
        <v>270</v>
      </c>
      <c r="M323" s="2">
        <v>6.5</v>
      </c>
      <c r="N323" s="2">
        <v>2</v>
      </c>
      <c r="O323" s="2">
        <v>2</v>
      </c>
      <c r="P323" s="2" t="s">
        <v>296</v>
      </c>
      <c r="Q323" s="7" t="s">
        <v>75</v>
      </c>
      <c r="R323" s="7" t="s">
        <v>297</v>
      </c>
      <c r="S323" s="20">
        <v>10</v>
      </c>
      <c r="T323" s="2">
        <v>10</v>
      </c>
    </row>
    <row r="324" spans="1:27">
      <c r="A324" s="7">
        <f>MAX($A$1:$A323)+1</f>
        <v>323</v>
      </c>
      <c r="B324" s="27" t="s">
        <v>269</v>
      </c>
      <c r="C324" s="2" t="s">
        <v>409</v>
      </c>
      <c r="D324" s="2" t="s">
        <v>39</v>
      </c>
      <c r="E324" s="7" t="s">
        <v>359</v>
      </c>
      <c r="F324" s="4">
        <v>48.858283996582003</v>
      </c>
      <c r="G324" s="18">
        <v>-125.160919189453</v>
      </c>
      <c r="H324" s="5" t="s">
        <v>14</v>
      </c>
      <c r="I324" s="2">
        <v>1</v>
      </c>
      <c r="J324" s="2">
        <v>30</v>
      </c>
      <c r="K324" s="6">
        <v>0.53749999999999998</v>
      </c>
      <c r="L324" s="2" t="s">
        <v>270</v>
      </c>
      <c r="M324" s="2">
        <v>6.5</v>
      </c>
      <c r="N324" s="2">
        <v>2</v>
      </c>
      <c r="O324" s="2">
        <v>2</v>
      </c>
      <c r="P324" s="2" t="s">
        <v>440</v>
      </c>
      <c r="Q324" s="7" t="s">
        <v>147</v>
      </c>
      <c r="R324" s="7" t="s">
        <v>441</v>
      </c>
      <c r="S324" s="20">
        <v>72</v>
      </c>
      <c r="T324" s="2">
        <v>72</v>
      </c>
    </row>
    <row r="325" spans="1:27">
      <c r="A325" s="7">
        <f>MAX($A$1:$A324)+1</f>
        <v>324</v>
      </c>
      <c r="B325" s="27" t="s">
        <v>269</v>
      </c>
      <c r="C325" s="2" t="s">
        <v>409</v>
      </c>
      <c r="D325" s="2" t="s">
        <v>39</v>
      </c>
      <c r="E325" s="7" t="s">
        <v>359</v>
      </c>
      <c r="F325" s="4">
        <v>48.858283996582003</v>
      </c>
      <c r="G325" s="18">
        <v>-125.160919189453</v>
      </c>
      <c r="H325" s="5" t="s">
        <v>14</v>
      </c>
      <c r="I325" s="2">
        <v>1</v>
      </c>
      <c r="J325" s="2">
        <v>30</v>
      </c>
      <c r="K325" s="6">
        <v>0.53749999999999998</v>
      </c>
      <c r="L325" s="2" t="s">
        <v>270</v>
      </c>
      <c r="M325" s="2">
        <v>6.5</v>
      </c>
      <c r="N325" s="2">
        <v>2</v>
      </c>
      <c r="O325" s="2">
        <v>2</v>
      </c>
      <c r="P325" s="2" t="s">
        <v>298</v>
      </c>
      <c r="Q325" s="7" t="s">
        <v>99</v>
      </c>
      <c r="R325" s="7" t="s">
        <v>299</v>
      </c>
      <c r="S325" s="20">
        <v>14</v>
      </c>
      <c r="T325" s="2">
        <v>14</v>
      </c>
    </row>
    <row r="326" spans="1:27">
      <c r="A326" s="7">
        <f>MAX($A$1:$A325)+1</f>
        <v>325</v>
      </c>
      <c r="B326" s="27" t="s">
        <v>269</v>
      </c>
      <c r="C326" s="2" t="s">
        <v>409</v>
      </c>
      <c r="D326" s="2" t="s">
        <v>39</v>
      </c>
      <c r="E326" s="7" t="s">
        <v>359</v>
      </c>
      <c r="F326" s="4">
        <v>48.858283996582003</v>
      </c>
      <c r="G326" s="18">
        <v>-125.160919189453</v>
      </c>
      <c r="H326" s="5" t="s">
        <v>14</v>
      </c>
      <c r="I326" s="2">
        <v>1</v>
      </c>
      <c r="J326" s="2">
        <v>30</v>
      </c>
      <c r="K326" s="6">
        <v>0.53749999999999998</v>
      </c>
      <c r="L326" s="2" t="s">
        <v>270</v>
      </c>
      <c r="M326" s="2">
        <v>6.5</v>
      </c>
      <c r="N326" s="2">
        <v>2</v>
      </c>
      <c r="O326" s="2">
        <v>2</v>
      </c>
      <c r="P326" s="2" t="s">
        <v>246</v>
      </c>
      <c r="Q326" s="7" t="s">
        <v>66</v>
      </c>
      <c r="R326" s="7" t="s">
        <v>318</v>
      </c>
      <c r="S326" s="20">
        <v>20</v>
      </c>
      <c r="T326" s="2">
        <v>0</v>
      </c>
      <c r="U326" s="2">
        <v>4</v>
      </c>
      <c r="V326" s="2">
        <v>8</v>
      </c>
      <c r="W326" s="2">
        <v>3</v>
      </c>
      <c r="X326" s="2">
        <v>5</v>
      </c>
    </row>
    <row r="327" spans="1:27">
      <c r="A327" s="7">
        <f>MAX($A$1:$A326)+1</f>
        <v>326</v>
      </c>
      <c r="B327" s="27" t="s">
        <v>269</v>
      </c>
      <c r="C327" s="2" t="s">
        <v>409</v>
      </c>
      <c r="D327" s="2" t="s">
        <v>39</v>
      </c>
      <c r="E327" s="7" t="s">
        <v>359</v>
      </c>
      <c r="F327" s="4">
        <v>48.858283996582003</v>
      </c>
      <c r="G327" s="18">
        <v>-125.160919189453</v>
      </c>
      <c r="H327" s="5" t="s">
        <v>14</v>
      </c>
      <c r="I327" s="2">
        <v>1</v>
      </c>
      <c r="J327" s="2">
        <v>30</v>
      </c>
      <c r="K327" s="6">
        <v>0.53749999999999998</v>
      </c>
      <c r="L327" s="2" t="s">
        <v>270</v>
      </c>
      <c r="M327" s="2">
        <v>6.5</v>
      </c>
      <c r="N327" s="2">
        <v>2</v>
      </c>
      <c r="O327" s="2">
        <v>2</v>
      </c>
      <c r="P327" s="2" t="s">
        <v>247</v>
      </c>
      <c r="Q327" s="7" t="s">
        <v>64</v>
      </c>
      <c r="R327" s="7" t="s">
        <v>293</v>
      </c>
      <c r="S327" s="20">
        <v>17</v>
      </c>
      <c r="T327" s="2">
        <v>17</v>
      </c>
    </row>
    <row r="328" spans="1:27">
      <c r="A328" s="7">
        <f>MAX($A$1:$A327)+1</f>
        <v>327</v>
      </c>
      <c r="B328" s="27" t="s">
        <v>269</v>
      </c>
      <c r="C328" s="2" t="s">
        <v>409</v>
      </c>
      <c r="D328" s="2" t="s">
        <v>39</v>
      </c>
      <c r="E328" s="7" t="s">
        <v>359</v>
      </c>
      <c r="F328" s="4">
        <v>48.858283996582003</v>
      </c>
      <c r="G328" s="18">
        <v>-125.160919189453</v>
      </c>
      <c r="H328" s="5" t="s">
        <v>14</v>
      </c>
      <c r="I328" s="2">
        <v>1</v>
      </c>
      <c r="J328" s="2">
        <v>30</v>
      </c>
      <c r="K328" s="6">
        <v>0.53749999999999998</v>
      </c>
      <c r="L328" s="2" t="s">
        <v>270</v>
      </c>
      <c r="M328" s="2">
        <v>6.5</v>
      </c>
      <c r="N328" s="2">
        <v>2</v>
      </c>
      <c r="O328" s="2">
        <v>2</v>
      </c>
      <c r="P328" s="2" t="s">
        <v>250</v>
      </c>
      <c r="Q328" s="7" t="s">
        <v>46</v>
      </c>
      <c r="R328" s="7" t="s">
        <v>295</v>
      </c>
      <c r="S328" s="20">
        <v>11</v>
      </c>
      <c r="T328" s="2">
        <v>0</v>
      </c>
      <c r="U328" s="2">
        <v>2</v>
      </c>
      <c r="V328" s="2">
        <v>3</v>
      </c>
      <c r="W328" s="2">
        <v>4</v>
      </c>
      <c r="X328" s="2">
        <v>2</v>
      </c>
    </row>
    <row r="329" spans="1:27">
      <c r="A329" s="7">
        <f>MAX($A$1:$A328)+1</f>
        <v>328</v>
      </c>
      <c r="B329" s="27" t="s">
        <v>269</v>
      </c>
      <c r="C329" s="2" t="s">
        <v>409</v>
      </c>
      <c r="D329" s="2" t="s">
        <v>39</v>
      </c>
      <c r="E329" s="7" t="s">
        <v>359</v>
      </c>
      <c r="F329" s="4">
        <v>48.858283996582003</v>
      </c>
      <c r="G329" s="18">
        <v>-125.160919189453</v>
      </c>
      <c r="H329" s="5" t="s">
        <v>14</v>
      </c>
      <c r="I329" s="2">
        <v>1</v>
      </c>
      <c r="J329" s="2">
        <v>30</v>
      </c>
      <c r="K329" s="6">
        <v>0.53749999999999998</v>
      </c>
      <c r="L329" s="2" t="s">
        <v>270</v>
      </c>
      <c r="M329" s="2">
        <v>6.5</v>
      </c>
      <c r="N329" s="2">
        <v>2</v>
      </c>
      <c r="O329" s="2">
        <v>2</v>
      </c>
      <c r="P329" s="2" t="s">
        <v>373</v>
      </c>
      <c r="Q329" s="7" t="s">
        <v>131</v>
      </c>
      <c r="R329" s="7" t="s">
        <v>374</v>
      </c>
      <c r="S329" s="20">
        <v>1</v>
      </c>
      <c r="T329" s="2">
        <v>1</v>
      </c>
    </row>
    <row r="330" spans="1:27">
      <c r="A330" s="7">
        <f>MAX($A$1:$A329)+1</f>
        <v>329</v>
      </c>
      <c r="B330" s="27" t="s">
        <v>269</v>
      </c>
      <c r="C330" s="2" t="s">
        <v>409</v>
      </c>
      <c r="D330" s="2" t="s">
        <v>39</v>
      </c>
      <c r="E330" s="7" t="s">
        <v>359</v>
      </c>
      <c r="F330" s="4">
        <v>48.858283996582003</v>
      </c>
      <c r="G330" s="18">
        <v>-125.160919189453</v>
      </c>
      <c r="H330" s="5" t="s">
        <v>14</v>
      </c>
      <c r="I330" s="2">
        <v>1</v>
      </c>
      <c r="J330" s="2">
        <v>30</v>
      </c>
      <c r="K330" s="6">
        <v>0.53749999999999998</v>
      </c>
      <c r="L330" s="2" t="s">
        <v>270</v>
      </c>
      <c r="M330" s="2">
        <v>6.5</v>
      </c>
      <c r="N330" s="2">
        <v>2</v>
      </c>
      <c r="O330" s="2">
        <v>2</v>
      </c>
      <c r="P330" s="2" t="s">
        <v>331</v>
      </c>
      <c r="Q330" s="7" t="s">
        <v>67</v>
      </c>
      <c r="R330" s="7" t="s">
        <v>332</v>
      </c>
      <c r="S330" s="20">
        <v>6</v>
      </c>
      <c r="T330" s="2">
        <v>6</v>
      </c>
    </row>
    <row r="331" spans="1:27">
      <c r="A331" s="7">
        <f>MAX($A$1:$A330)+1</f>
        <v>330</v>
      </c>
      <c r="B331" s="27" t="s">
        <v>269</v>
      </c>
      <c r="C331" s="2" t="s">
        <v>409</v>
      </c>
      <c r="D331" s="2" t="s">
        <v>39</v>
      </c>
      <c r="E331" s="7" t="s">
        <v>359</v>
      </c>
      <c r="F331" s="4">
        <v>48.858283996582003</v>
      </c>
      <c r="G331" s="18">
        <v>-125.160919189453</v>
      </c>
      <c r="H331" s="5" t="s">
        <v>14</v>
      </c>
      <c r="I331" s="2">
        <v>1</v>
      </c>
      <c r="J331" s="2">
        <v>30</v>
      </c>
      <c r="K331" s="6">
        <v>0.53749999999999998</v>
      </c>
      <c r="L331" s="2" t="s">
        <v>270</v>
      </c>
      <c r="M331" s="2">
        <v>6.5</v>
      </c>
      <c r="N331" s="2">
        <v>2</v>
      </c>
      <c r="O331" s="2">
        <v>2</v>
      </c>
      <c r="P331" s="2" t="s">
        <v>310</v>
      </c>
      <c r="Q331" s="7" t="s">
        <v>98</v>
      </c>
      <c r="R331" s="7" t="s">
        <v>311</v>
      </c>
      <c r="S331" s="20">
        <v>3</v>
      </c>
      <c r="T331" s="2">
        <v>3</v>
      </c>
    </row>
    <row r="332" spans="1:27">
      <c r="A332" s="7">
        <f>MAX($A$1:$A331)+1</f>
        <v>331</v>
      </c>
      <c r="B332" s="27" t="s">
        <v>269</v>
      </c>
      <c r="C332" s="2" t="s">
        <v>409</v>
      </c>
      <c r="D332" s="2" t="s">
        <v>39</v>
      </c>
      <c r="E332" s="7" t="s">
        <v>359</v>
      </c>
      <c r="F332" s="4">
        <v>48.858283996582003</v>
      </c>
      <c r="G332" s="18">
        <v>-125.160919189453</v>
      </c>
      <c r="H332" s="5" t="s">
        <v>14</v>
      </c>
      <c r="I332" s="2">
        <v>1</v>
      </c>
      <c r="J332" s="2">
        <v>30</v>
      </c>
      <c r="K332" s="6">
        <v>0.53749999999999998</v>
      </c>
      <c r="L332" s="2" t="s">
        <v>270</v>
      </c>
      <c r="M332" s="2">
        <v>6.5</v>
      </c>
      <c r="N332" s="2">
        <v>2</v>
      </c>
      <c r="O332" s="2">
        <v>2</v>
      </c>
      <c r="P332" s="2" t="s">
        <v>442</v>
      </c>
      <c r="Q332" s="7" t="s">
        <v>148</v>
      </c>
      <c r="R332" s="7" t="s">
        <v>317</v>
      </c>
      <c r="S332" s="20">
        <v>6</v>
      </c>
      <c r="T332" s="2">
        <v>6</v>
      </c>
    </row>
    <row r="333" spans="1:27">
      <c r="A333" s="7">
        <f>MAX($A$1:$A332)+1</f>
        <v>332</v>
      </c>
      <c r="B333" s="27" t="s">
        <v>269</v>
      </c>
      <c r="C333" s="2" t="s">
        <v>409</v>
      </c>
      <c r="D333" s="2" t="s">
        <v>39</v>
      </c>
      <c r="E333" s="7" t="s">
        <v>359</v>
      </c>
      <c r="F333" s="4">
        <v>48.858283996582003</v>
      </c>
      <c r="G333" s="18">
        <v>-125.160919189453</v>
      </c>
      <c r="H333" s="5" t="s">
        <v>14</v>
      </c>
      <c r="I333" s="2">
        <v>1</v>
      </c>
      <c r="J333" s="2">
        <v>30</v>
      </c>
      <c r="K333" s="6">
        <v>0.53749999999999998</v>
      </c>
      <c r="L333" s="2" t="s">
        <v>270</v>
      </c>
      <c r="M333" s="2">
        <v>6.5</v>
      </c>
      <c r="N333" s="2">
        <v>2</v>
      </c>
      <c r="O333" s="2">
        <v>2</v>
      </c>
      <c r="P333" s="2" t="s">
        <v>335</v>
      </c>
      <c r="Q333" s="7" t="s">
        <v>91</v>
      </c>
      <c r="R333" s="7" t="s">
        <v>336</v>
      </c>
      <c r="S333" s="20">
        <v>5</v>
      </c>
      <c r="T333" s="2">
        <v>5</v>
      </c>
    </row>
    <row r="334" spans="1:27">
      <c r="A334" s="7">
        <f>MAX($A$1:$A333)+1</f>
        <v>333</v>
      </c>
      <c r="B334" s="27" t="s">
        <v>269</v>
      </c>
      <c r="C334" s="2" t="s">
        <v>409</v>
      </c>
      <c r="D334" s="2" t="s">
        <v>39</v>
      </c>
      <c r="E334" s="7" t="s">
        <v>359</v>
      </c>
      <c r="F334" s="4">
        <v>48.858283996582003</v>
      </c>
      <c r="G334" s="18">
        <v>-125.160919189453</v>
      </c>
      <c r="H334" s="5" t="s">
        <v>14</v>
      </c>
      <c r="I334" s="2">
        <v>1</v>
      </c>
      <c r="J334" s="2">
        <v>30</v>
      </c>
      <c r="K334" s="6">
        <v>0.53749999999999998</v>
      </c>
      <c r="L334" s="2" t="s">
        <v>270</v>
      </c>
      <c r="M334" s="2">
        <v>6.5</v>
      </c>
      <c r="N334" s="2">
        <v>2</v>
      </c>
      <c r="O334" s="2">
        <v>2</v>
      </c>
      <c r="P334" s="2" t="s">
        <v>243</v>
      </c>
      <c r="Q334" s="7" t="s">
        <v>85</v>
      </c>
      <c r="R334" s="7" t="s">
        <v>312</v>
      </c>
      <c r="S334" s="20">
        <v>10</v>
      </c>
      <c r="T334" s="2">
        <v>10</v>
      </c>
    </row>
    <row r="335" spans="1:27">
      <c r="A335" s="7">
        <f>MAX($A$1:$A334)+1</f>
        <v>334</v>
      </c>
      <c r="B335" s="27" t="s">
        <v>269</v>
      </c>
      <c r="C335" s="2" t="s">
        <v>409</v>
      </c>
      <c r="D335" s="2" t="s">
        <v>39</v>
      </c>
      <c r="E335" s="7" t="s">
        <v>359</v>
      </c>
      <c r="F335" s="4">
        <v>48.858283996582003</v>
      </c>
      <c r="G335" s="18">
        <v>-125.160919189453</v>
      </c>
      <c r="H335" s="5" t="s">
        <v>14</v>
      </c>
      <c r="I335" s="2">
        <v>1</v>
      </c>
      <c r="J335" s="2">
        <v>30</v>
      </c>
      <c r="K335" s="6">
        <v>0.53749999999999998</v>
      </c>
      <c r="L335" s="2" t="s">
        <v>270</v>
      </c>
      <c r="M335" s="2">
        <v>6.5</v>
      </c>
      <c r="N335" s="2">
        <v>2</v>
      </c>
      <c r="O335" s="2">
        <v>2</v>
      </c>
      <c r="P335" s="2" t="s">
        <v>248</v>
      </c>
      <c r="Q335" s="7" t="s">
        <v>78</v>
      </c>
      <c r="R335" s="7" t="s">
        <v>349</v>
      </c>
      <c r="S335" s="20">
        <v>3</v>
      </c>
      <c r="T335" s="2">
        <v>0</v>
      </c>
      <c r="W335" s="2">
        <v>1</v>
      </c>
      <c r="Y335" s="2">
        <v>1</v>
      </c>
      <c r="Z335" s="2">
        <v>1</v>
      </c>
    </row>
    <row r="336" spans="1:27">
      <c r="A336" s="7">
        <f>MAX($A$1:$A335)+1</f>
        <v>335</v>
      </c>
      <c r="B336" s="27" t="s">
        <v>269</v>
      </c>
      <c r="C336" s="2" t="s">
        <v>409</v>
      </c>
      <c r="D336" s="2" t="s">
        <v>39</v>
      </c>
      <c r="E336" s="7" t="s">
        <v>359</v>
      </c>
      <c r="F336" s="4">
        <v>48.858283996582003</v>
      </c>
      <c r="G336" s="18">
        <v>-125.160919189453</v>
      </c>
      <c r="H336" s="5" t="s">
        <v>14</v>
      </c>
      <c r="I336" s="2">
        <v>1</v>
      </c>
      <c r="J336" s="2">
        <v>30</v>
      </c>
      <c r="K336" s="6">
        <v>0.53749999999999998</v>
      </c>
      <c r="L336" s="2" t="s">
        <v>270</v>
      </c>
      <c r="M336" s="2">
        <v>6.5</v>
      </c>
      <c r="N336" s="2">
        <v>2</v>
      </c>
      <c r="O336" s="2">
        <v>2</v>
      </c>
      <c r="P336" s="2" t="s">
        <v>350</v>
      </c>
      <c r="Q336" s="7" t="s">
        <v>83</v>
      </c>
      <c r="R336" s="7" t="s">
        <v>351</v>
      </c>
      <c r="S336" s="20">
        <v>5</v>
      </c>
      <c r="T336" s="2">
        <v>5</v>
      </c>
    </row>
    <row r="337" spans="1:27">
      <c r="A337" s="7">
        <f>MAX($A$1:$A336)+1</f>
        <v>336</v>
      </c>
      <c r="B337" s="27" t="s">
        <v>269</v>
      </c>
      <c r="C337" s="2" t="s">
        <v>409</v>
      </c>
      <c r="D337" s="2" t="s">
        <v>39</v>
      </c>
      <c r="E337" s="7" t="s">
        <v>359</v>
      </c>
      <c r="F337" s="4">
        <v>48.858283996582003</v>
      </c>
      <c r="G337" s="18">
        <v>-125.160919189453</v>
      </c>
      <c r="H337" s="5" t="s">
        <v>14</v>
      </c>
      <c r="I337" s="2">
        <v>1</v>
      </c>
      <c r="J337" s="2">
        <v>30</v>
      </c>
      <c r="K337" s="6">
        <v>0.53749999999999998</v>
      </c>
      <c r="L337" s="2" t="s">
        <v>270</v>
      </c>
      <c r="M337" s="2">
        <v>6.5</v>
      </c>
      <c r="N337" s="2">
        <v>2</v>
      </c>
      <c r="O337" s="2">
        <v>2</v>
      </c>
      <c r="P337" s="2" t="s">
        <v>244</v>
      </c>
      <c r="Q337" s="7" t="s">
        <v>65</v>
      </c>
      <c r="R337" s="7" t="s">
        <v>307</v>
      </c>
      <c r="S337" s="20">
        <v>7</v>
      </c>
      <c r="T337" s="2">
        <v>7</v>
      </c>
    </row>
    <row r="338" spans="1:27">
      <c r="A338" s="7">
        <f>MAX($A$1:$A337)+1</f>
        <v>337</v>
      </c>
      <c r="B338" s="27" t="s">
        <v>269</v>
      </c>
      <c r="C338" s="2" t="s">
        <v>409</v>
      </c>
      <c r="D338" s="2" t="s">
        <v>39</v>
      </c>
      <c r="E338" s="7" t="s">
        <v>359</v>
      </c>
      <c r="F338" s="4">
        <v>48.858283996582003</v>
      </c>
      <c r="G338" s="18">
        <v>-125.160919189453</v>
      </c>
      <c r="H338" s="5" t="s">
        <v>14</v>
      </c>
      <c r="I338" s="2">
        <v>1</v>
      </c>
      <c r="J338" s="2">
        <v>30</v>
      </c>
      <c r="K338" s="6">
        <v>0.53749999999999998</v>
      </c>
      <c r="L338" s="2" t="s">
        <v>270</v>
      </c>
      <c r="M338" s="2">
        <v>6.5</v>
      </c>
      <c r="N338" s="2">
        <v>2</v>
      </c>
      <c r="O338" s="2">
        <v>2</v>
      </c>
      <c r="P338" s="2" t="s">
        <v>305</v>
      </c>
      <c r="Q338" s="7" t="s">
        <v>89</v>
      </c>
      <c r="R338" s="7" t="s">
        <v>306</v>
      </c>
      <c r="S338" s="20">
        <v>2</v>
      </c>
      <c r="T338" s="2">
        <v>0</v>
      </c>
      <c r="X338" s="2">
        <v>1</v>
      </c>
      <c r="AA338" s="2">
        <v>1</v>
      </c>
    </row>
    <row r="339" spans="1:27">
      <c r="A339" s="7">
        <f>MAX($A$1:$A338)+1</f>
        <v>338</v>
      </c>
      <c r="B339" s="27" t="s">
        <v>269</v>
      </c>
      <c r="C339" s="2" t="s">
        <v>409</v>
      </c>
      <c r="D339" s="2" t="s">
        <v>39</v>
      </c>
      <c r="E339" s="7" t="s">
        <v>359</v>
      </c>
      <c r="F339" s="4">
        <v>48.858283996582003</v>
      </c>
      <c r="G339" s="18">
        <v>-125.160919189453</v>
      </c>
      <c r="H339" s="5" t="s">
        <v>14</v>
      </c>
      <c r="I339" s="2">
        <v>1</v>
      </c>
      <c r="J339" s="2">
        <v>30</v>
      </c>
      <c r="K339" s="6">
        <v>0.53749999999999998</v>
      </c>
      <c r="L339" s="2" t="s">
        <v>270</v>
      </c>
      <c r="M339" s="2">
        <v>6.5</v>
      </c>
      <c r="N339" s="2">
        <v>2</v>
      </c>
      <c r="O339" s="2">
        <v>2</v>
      </c>
      <c r="P339" s="2" t="s">
        <v>375</v>
      </c>
      <c r="Q339" s="7" t="s">
        <v>132</v>
      </c>
      <c r="R339" s="7" t="s">
        <v>452</v>
      </c>
      <c r="S339" s="20">
        <v>2</v>
      </c>
      <c r="T339" s="2">
        <v>2</v>
      </c>
    </row>
    <row r="340" spans="1:27">
      <c r="A340" s="7">
        <f>MAX($A$1:$A339)+1</f>
        <v>339</v>
      </c>
      <c r="B340" s="27" t="s">
        <v>269</v>
      </c>
      <c r="C340" s="2" t="s">
        <v>409</v>
      </c>
      <c r="D340" s="2" t="s">
        <v>39</v>
      </c>
      <c r="E340" s="7" t="s">
        <v>359</v>
      </c>
      <c r="F340" s="4">
        <v>48.858283996582003</v>
      </c>
      <c r="G340" s="18">
        <v>-125.160919189453</v>
      </c>
      <c r="H340" s="5" t="s">
        <v>14</v>
      </c>
      <c r="I340" s="2">
        <v>1</v>
      </c>
      <c r="J340" s="2">
        <v>30</v>
      </c>
      <c r="K340" s="6">
        <v>0.53749999999999998</v>
      </c>
      <c r="L340" s="2" t="s">
        <v>270</v>
      </c>
      <c r="M340" s="2">
        <v>6.5</v>
      </c>
      <c r="N340" s="2">
        <v>2</v>
      </c>
      <c r="O340" s="2">
        <v>2</v>
      </c>
      <c r="P340" s="2" t="s">
        <v>230</v>
      </c>
      <c r="Q340" s="7" t="s">
        <v>42</v>
      </c>
      <c r="R340" s="7" t="s">
        <v>321</v>
      </c>
      <c r="S340" s="20">
        <v>7</v>
      </c>
      <c r="T340" s="2">
        <v>0</v>
      </c>
      <c r="V340" s="2">
        <v>2</v>
      </c>
      <c r="W340" s="2">
        <v>2</v>
      </c>
      <c r="X340" s="2">
        <v>2</v>
      </c>
      <c r="Y340" s="2">
        <v>1</v>
      </c>
    </row>
    <row r="341" spans="1:27">
      <c r="A341" s="7">
        <f>MAX($A$1:$A340)+1</f>
        <v>340</v>
      </c>
      <c r="B341" s="27" t="s">
        <v>269</v>
      </c>
      <c r="C341" s="2" t="s">
        <v>409</v>
      </c>
      <c r="D341" s="2" t="s">
        <v>39</v>
      </c>
      <c r="E341" s="7" t="s">
        <v>359</v>
      </c>
      <c r="F341" s="4">
        <v>48.858283996582003</v>
      </c>
      <c r="G341" s="18">
        <v>-125.160919189453</v>
      </c>
      <c r="H341" s="5" t="s">
        <v>14</v>
      </c>
      <c r="I341" s="2">
        <v>1</v>
      </c>
      <c r="J341" s="2">
        <v>30</v>
      </c>
      <c r="K341" s="6">
        <v>0.53749999999999998</v>
      </c>
      <c r="L341" s="2" t="s">
        <v>270</v>
      </c>
      <c r="M341" s="2">
        <v>6.5</v>
      </c>
      <c r="N341" s="2">
        <v>2</v>
      </c>
      <c r="O341" s="2">
        <v>2</v>
      </c>
      <c r="P341" s="2" t="s">
        <v>255</v>
      </c>
      <c r="Q341" s="7" t="s">
        <v>79</v>
      </c>
      <c r="R341" s="7" t="s">
        <v>443</v>
      </c>
      <c r="S341" s="20">
        <v>1</v>
      </c>
      <c r="T341" s="2">
        <v>1</v>
      </c>
    </row>
    <row r="342" spans="1:27">
      <c r="A342" s="7">
        <f>MAX($A$1:$A341)+1</f>
        <v>341</v>
      </c>
      <c r="B342" s="27" t="s">
        <v>269</v>
      </c>
      <c r="C342" s="2" t="s">
        <v>409</v>
      </c>
      <c r="D342" s="2" t="s">
        <v>39</v>
      </c>
      <c r="E342" s="7" t="s">
        <v>359</v>
      </c>
      <c r="F342" s="4">
        <v>48.858283996582003</v>
      </c>
      <c r="G342" s="18">
        <v>-125.160919189453</v>
      </c>
      <c r="H342" s="5" t="s">
        <v>14</v>
      </c>
      <c r="I342" s="2">
        <v>1</v>
      </c>
      <c r="J342" s="2">
        <v>30</v>
      </c>
      <c r="K342" s="6">
        <v>0.53749999999999998</v>
      </c>
      <c r="L342" s="2" t="s">
        <v>270</v>
      </c>
      <c r="M342" s="2">
        <v>6.5</v>
      </c>
      <c r="N342" s="2">
        <v>2</v>
      </c>
      <c r="O342" s="2">
        <v>2</v>
      </c>
      <c r="P342" s="2" t="s">
        <v>239</v>
      </c>
      <c r="Q342" s="7" t="s">
        <v>80</v>
      </c>
      <c r="R342" s="7" t="s">
        <v>300</v>
      </c>
      <c r="S342" s="20">
        <v>2</v>
      </c>
      <c r="T342" s="2">
        <v>2</v>
      </c>
    </row>
    <row r="343" spans="1:27">
      <c r="A343" s="7">
        <f>MAX($A$1:$A342)+1</f>
        <v>342</v>
      </c>
      <c r="B343" s="2" t="s">
        <v>171</v>
      </c>
      <c r="C343" s="2" t="s">
        <v>504</v>
      </c>
      <c r="D343" s="2" t="s">
        <v>39</v>
      </c>
      <c r="E343" s="7" t="s">
        <v>359</v>
      </c>
      <c r="F343" s="4">
        <v>48.858283996582003</v>
      </c>
      <c r="G343" s="18">
        <v>-125.160919189453</v>
      </c>
      <c r="H343" s="5" t="s">
        <v>14</v>
      </c>
      <c r="I343" s="2">
        <v>1.5</v>
      </c>
      <c r="J343" s="2">
        <v>210</v>
      </c>
      <c r="K343" s="6">
        <v>0.53749999999999998</v>
      </c>
      <c r="L343" s="2" t="s">
        <v>172</v>
      </c>
      <c r="M343" s="2">
        <v>9</v>
      </c>
      <c r="N343" s="2">
        <v>1</v>
      </c>
      <c r="O343" s="2">
        <v>2</v>
      </c>
      <c r="P343" s="2" t="s">
        <v>230</v>
      </c>
      <c r="Q343" s="7" t="s">
        <v>42</v>
      </c>
      <c r="R343" s="7" t="s">
        <v>321</v>
      </c>
      <c r="S343" s="20">
        <v>2</v>
      </c>
      <c r="T343" s="2">
        <v>0</v>
      </c>
      <c r="W343" s="2">
        <v>2</v>
      </c>
    </row>
    <row r="344" spans="1:27">
      <c r="A344" s="7">
        <f>MAX($A$1:$A343)+1</f>
        <v>343</v>
      </c>
      <c r="B344" s="2" t="s">
        <v>171</v>
      </c>
      <c r="C344" s="2" t="s">
        <v>504</v>
      </c>
      <c r="D344" s="2" t="s">
        <v>39</v>
      </c>
      <c r="E344" s="7" t="s">
        <v>359</v>
      </c>
      <c r="F344" s="4">
        <v>48.858283996582003</v>
      </c>
      <c r="G344" s="18">
        <v>-125.160919189453</v>
      </c>
      <c r="H344" s="5" t="s">
        <v>14</v>
      </c>
      <c r="I344" s="2">
        <v>1.5</v>
      </c>
      <c r="J344" s="2">
        <v>210</v>
      </c>
      <c r="K344" s="6">
        <v>0.53749999999999998</v>
      </c>
      <c r="L344" s="2" t="s">
        <v>172</v>
      </c>
      <c r="M344" s="2">
        <v>9</v>
      </c>
      <c r="N344" s="2">
        <v>1</v>
      </c>
      <c r="O344" s="2">
        <v>2</v>
      </c>
      <c r="P344" s="2" t="s">
        <v>232</v>
      </c>
      <c r="Q344" s="7" t="s">
        <v>43</v>
      </c>
      <c r="R344" s="7" t="s">
        <v>324</v>
      </c>
      <c r="S344" s="20">
        <v>1</v>
      </c>
      <c r="T344" s="2">
        <v>0</v>
      </c>
      <c r="AA344" s="2">
        <v>1</v>
      </c>
    </row>
    <row r="345" spans="1:27">
      <c r="A345" s="7">
        <f>MAX($A$1:$A344)+1</f>
        <v>344</v>
      </c>
      <c r="B345" s="2" t="s">
        <v>171</v>
      </c>
      <c r="C345" s="2" t="s">
        <v>504</v>
      </c>
      <c r="D345" s="2" t="s">
        <v>39</v>
      </c>
      <c r="E345" s="7" t="s">
        <v>359</v>
      </c>
      <c r="F345" s="4">
        <v>48.858283996582003</v>
      </c>
      <c r="G345" s="18">
        <v>-125.160919189453</v>
      </c>
      <c r="H345" s="5" t="s">
        <v>14</v>
      </c>
      <c r="I345" s="2">
        <v>1.5</v>
      </c>
      <c r="J345" s="2">
        <v>210</v>
      </c>
      <c r="K345" s="6">
        <v>0.53749999999999998</v>
      </c>
      <c r="L345" s="2" t="s">
        <v>172</v>
      </c>
      <c r="M345" s="2">
        <v>9</v>
      </c>
      <c r="N345" s="2">
        <v>2</v>
      </c>
      <c r="O345" s="2">
        <v>2</v>
      </c>
      <c r="P345" s="2" t="s">
        <v>241</v>
      </c>
      <c r="Q345" s="7" t="s">
        <v>63</v>
      </c>
      <c r="R345" s="7" t="s">
        <v>294</v>
      </c>
      <c r="S345" s="20">
        <v>224</v>
      </c>
      <c r="T345" s="2">
        <v>224</v>
      </c>
    </row>
    <row r="346" spans="1:27">
      <c r="A346" s="7">
        <f>MAX($A$1:$A345)+1</f>
        <v>345</v>
      </c>
      <c r="B346" s="2" t="s">
        <v>171</v>
      </c>
      <c r="C346" s="2" t="s">
        <v>504</v>
      </c>
      <c r="D346" s="2" t="s">
        <v>39</v>
      </c>
      <c r="E346" s="7" t="s">
        <v>359</v>
      </c>
      <c r="F346" s="4">
        <v>48.858283996582003</v>
      </c>
      <c r="G346" s="18">
        <v>-125.160919189453</v>
      </c>
      <c r="H346" s="5" t="s">
        <v>14</v>
      </c>
      <c r="I346" s="2">
        <v>1.5</v>
      </c>
      <c r="J346" s="2">
        <v>210</v>
      </c>
      <c r="K346" s="6">
        <v>0.53749999999999998</v>
      </c>
      <c r="L346" s="2" t="s">
        <v>172</v>
      </c>
      <c r="M346" s="2">
        <v>9</v>
      </c>
      <c r="N346" s="2">
        <v>2</v>
      </c>
      <c r="O346" s="2">
        <v>2</v>
      </c>
      <c r="P346" s="2" t="s">
        <v>238</v>
      </c>
      <c r="Q346" s="7" t="s">
        <v>69</v>
      </c>
      <c r="R346" s="7" t="s">
        <v>313</v>
      </c>
      <c r="S346" s="20">
        <v>48</v>
      </c>
      <c r="T346" s="2">
        <v>48</v>
      </c>
    </row>
    <row r="347" spans="1:27">
      <c r="A347" s="7">
        <f>MAX($A$1:$A346)+1</f>
        <v>346</v>
      </c>
      <c r="B347" s="2" t="s">
        <v>171</v>
      </c>
      <c r="C347" s="2" t="s">
        <v>504</v>
      </c>
      <c r="D347" s="2" t="s">
        <v>39</v>
      </c>
      <c r="E347" s="7" t="s">
        <v>359</v>
      </c>
      <c r="F347" s="4">
        <v>48.858283996582003</v>
      </c>
      <c r="G347" s="18">
        <v>-125.160919189453</v>
      </c>
      <c r="H347" s="5" t="s">
        <v>14</v>
      </c>
      <c r="I347" s="2">
        <v>1.5</v>
      </c>
      <c r="J347" s="2">
        <v>210</v>
      </c>
      <c r="K347" s="6">
        <v>0.53749999999999998</v>
      </c>
      <c r="L347" s="2" t="s">
        <v>172</v>
      </c>
      <c r="M347" s="2">
        <v>9</v>
      </c>
      <c r="N347" s="2">
        <v>2</v>
      </c>
      <c r="O347" s="2">
        <v>2</v>
      </c>
      <c r="P347" s="2" t="s">
        <v>305</v>
      </c>
      <c r="Q347" s="7" t="s">
        <v>89</v>
      </c>
      <c r="R347" s="7" t="s">
        <v>306</v>
      </c>
      <c r="S347" s="20">
        <v>1</v>
      </c>
      <c r="T347" s="2">
        <v>0</v>
      </c>
      <c r="U347" s="2">
        <v>1</v>
      </c>
    </row>
    <row r="348" spans="1:27">
      <c r="A348" s="7">
        <f>MAX($A$1:$A347)+1</f>
        <v>347</v>
      </c>
      <c r="B348" s="2" t="s">
        <v>171</v>
      </c>
      <c r="C348" s="2" t="s">
        <v>504</v>
      </c>
      <c r="D348" s="2" t="s">
        <v>39</v>
      </c>
      <c r="E348" s="7" t="s">
        <v>359</v>
      </c>
      <c r="F348" s="4">
        <v>48.858283996582003</v>
      </c>
      <c r="G348" s="18">
        <v>-125.160919189453</v>
      </c>
      <c r="H348" s="5" t="s">
        <v>14</v>
      </c>
      <c r="I348" s="2">
        <v>1.5</v>
      </c>
      <c r="J348" s="2">
        <v>210</v>
      </c>
      <c r="K348" s="6">
        <v>0.53749999999999998</v>
      </c>
      <c r="L348" s="2" t="s">
        <v>172</v>
      </c>
      <c r="M348" s="2">
        <v>9</v>
      </c>
      <c r="N348" s="2">
        <v>2</v>
      </c>
      <c r="O348" s="2">
        <v>2</v>
      </c>
      <c r="P348" s="2" t="s">
        <v>230</v>
      </c>
      <c r="Q348" s="7" t="s">
        <v>42</v>
      </c>
      <c r="R348" s="7" t="s">
        <v>321</v>
      </c>
      <c r="S348" s="20">
        <v>19</v>
      </c>
      <c r="T348" s="2">
        <v>0</v>
      </c>
      <c r="U348" s="2">
        <v>5</v>
      </c>
      <c r="V348" s="2">
        <v>11</v>
      </c>
      <c r="W348" s="2">
        <v>3</v>
      </c>
    </row>
    <row r="349" spans="1:27">
      <c r="A349" s="7">
        <f>MAX($A$1:$A348)+1</f>
        <v>348</v>
      </c>
      <c r="B349" s="2" t="s">
        <v>171</v>
      </c>
      <c r="C349" s="2" t="s">
        <v>504</v>
      </c>
      <c r="D349" s="2" t="s">
        <v>39</v>
      </c>
      <c r="E349" s="7" t="s">
        <v>359</v>
      </c>
      <c r="F349" s="4">
        <v>48.858283996582003</v>
      </c>
      <c r="G349" s="18">
        <v>-125.160919189453</v>
      </c>
      <c r="H349" s="5" t="s">
        <v>14</v>
      </c>
      <c r="I349" s="2">
        <v>1.5</v>
      </c>
      <c r="J349" s="2">
        <v>210</v>
      </c>
      <c r="K349" s="6">
        <v>0.53749999999999998</v>
      </c>
      <c r="L349" s="2" t="s">
        <v>172</v>
      </c>
      <c r="M349" s="2">
        <v>9</v>
      </c>
      <c r="N349" s="2">
        <v>2</v>
      </c>
      <c r="O349" s="2">
        <v>2</v>
      </c>
      <c r="P349" s="2" t="s">
        <v>250</v>
      </c>
      <c r="Q349" s="7" t="s">
        <v>46</v>
      </c>
      <c r="R349" s="7" t="s">
        <v>295</v>
      </c>
      <c r="S349" s="20">
        <v>9</v>
      </c>
      <c r="T349" s="2">
        <v>0</v>
      </c>
      <c r="U349" s="2">
        <v>4</v>
      </c>
      <c r="V349" s="2">
        <v>4</v>
      </c>
      <c r="W349" s="2">
        <v>1</v>
      </c>
    </row>
    <row r="350" spans="1:27">
      <c r="A350" s="7">
        <f>MAX($A$1:$A349)+1</f>
        <v>349</v>
      </c>
      <c r="B350" s="2" t="s">
        <v>171</v>
      </c>
      <c r="C350" s="2" t="s">
        <v>504</v>
      </c>
      <c r="D350" s="2" t="s">
        <v>39</v>
      </c>
      <c r="E350" s="7" t="s">
        <v>359</v>
      </c>
      <c r="F350" s="4">
        <v>48.858283996582003</v>
      </c>
      <c r="G350" s="18">
        <v>-125.160919189453</v>
      </c>
      <c r="H350" s="5" t="s">
        <v>14</v>
      </c>
      <c r="I350" s="2">
        <v>1.5</v>
      </c>
      <c r="J350" s="2">
        <v>210</v>
      </c>
      <c r="K350" s="6">
        <v>0.53749999999999998</v>
      </c>
      <c r="L350" s="2" t="s">
        <v>172</v>
      </c>
      <c r="M350" s="2">
        <v>9</v>
      </c>
      <c r="N350" s="2">
        <v>2</v>
      </c>
      <c r="O350" s="2">
        <v>2</v>
      </c>
      <c r="P350" s="2" t="s">
        <v>310</v>
      </c>
      <c r="Q350" s="7" t="s">
        <v>98</v>
      </c>
      <c r="R350" s="7" t="s">
        <v>311</v>
      </c>
      <c r="S350" s="20">
        <v>3</v>
      </c>
      <c r="T350" s="2">
        <v>0</v>
      </c>
      <c r="U350" s="2">
        <v>3</v>
      </c>
    </row>
    <row r="351" spans="1:27">
      <c r="A351" s="7">
        <f>MAX($A$1:$A350)+1</f>
        <v>350</v>
      </c>
      <c r="B351" s="2" t="s">
        <v>171</v>
      </c>
      <c r="C351" s="2" t="s">
        <v>504</v>
      </c>
      <c r="D351" s="2" t="s">
        <v>39</v>
      </c>
      <c r="E351" s="7" t="s">
        <v>359</v>
      </c>
      <c r="F351" s="4">
        <v>48.858283996582003</v>
      </c>
      <c r="G351" s="18">
        <v>-125.160919189453</v>
      </c>
      <c r="H351" s="5" t="s">
        <v>14</v>
      </c>
      <c r="I351" s="2">
        <v>1.5</v>
      </c>
      <c r="J351" s="2">
        <v>210</v>
      </c>
      <c r="K351" s="6">
        <v>0.53749999999999998</v>
      </c>
      <c r="L351" s="2" t="s">
        <v>172</v>
      </c>
      <c r="M351" s="2">
        <v>9</v>
      </c>
      <c r="N351" s="2">
        <v>2</v>
      </c>
      <c r="O351" s="2">
        <v>2</v>
      </c>
      <c r="P351" s="2" t="s">
        <v>448</v>
      </c>
      <c r="Q351" s="7" t="s">
        <v>112</v>
      </c>
      <c r="R351" s="7" t="s">
        <v>449</v>
      </c>
      <c r="S351" s="20">
        <v>2</v>
      </c>
      <c r="T351" s="2">
        <v>0</v>
      </c>
      <c r="U351" s="2">
        <v>2</v>
      </c>
    </row>
    <row r="352" spans="1:27">
      <c r="A352" s="7">
        <f>MAX($A$1:$A351)+1</f>
        <v>351</v>
      </c>
      <c r="B352" s="2" t="s">
        <v>171</v>
      </c>
      <c r="C352" s="2" t="s">
        <v>504</v>
      </c>
      <c r="D352" s="2" t="s">
        <v>39</v>
      </c>
      <c r="E352" s="7" t="s">
        <v>359</v>
      </c>
      <c r="F352" s="4">
        <v>48.858283996582003</v>
      </c>
      <c r="G352" s="18">
        <v>-125.160919189453</v>
      </c>
      <c r="H352" s="5" t="s">
        <v>14</v>
      </c>
      <c r="I352" s="2">
        <v>1.5</v>
      </c>
      <c r="J352" s="2">
        <v>210</v>
      </c>
      <c r="K352" s="6">
        <v>0.53749999999999998</v>
      </c>
      <c r="L352" s="2" t="s">
        <v>172</v>
      </c>
      <c r="M352" s="2">
        <v>9</v>
      </c>
      <c r="N352" s="2">
        <v>2</v>
      </c>
      <c r="O352" s="2">
        <v>2</v>
      </c>
      <c r="P352" s="2" t="s">
        <v>246</v>
      </c>
      <c r="Q352" s="7" t="s">
        <v>66</v>
      </c>
      <c r="R352" s="7" t="s">
        <v>318</v>
      </c>
      <c r="S352" s="20">
        <v>12</v>
      </c>
      <c r="T352" s="2">
        <v>0</v>
      </c>
      <c r="V352" s="2">
        <v>2</v>
      </c>
      <c r="W352" s="2">
        <v>7</v>
      </c>
      <c r="X352" s="2">
        <v>3</v>
      </c>
    </row>
    <row r="353" spans="1:26">
      <c r="A353" s="7">
        <f>MAX($A$1:$A352)+1</f>
        <v>352</v>
      </c>
      <c r="B353" s="2" t="s">
        <v>171</v>
      </c>
      <c r="C353" s="2" t="s">
        <v>504</v>
      </c>
      <c r="D353" s="2" t="s">
        <v>39</v>
      </c>
      <c r="E353" s="7" t="s">
        <v>359</v>
      </c>
      <c r="F353" s="4">
        <v>48.858283996582003</v>
      </c>
      <c r="G353" s="18">
        <v>-125.160919189453</v>
      </c>
      <c r="H353" s="5" t="s">
        <v>14</v>
      </c>
      <c r="I353" s="2">
        <v>1.5</v>
      </c>
      <c r="J353" s="2">
        <v>210</v>
      </c>
      <c r="K353" s="6">
        <v>0.53749999999999998</v>
      </c>
      <c r="L353" s="2" t="s">
        <v>172</v>
      </c>
      <c r="M353" s="2">
        <v>9</v>
      </c>
      <c r="N353" s="2">
        <v>2</v>
      </c>
      <c r="O353" s="2">
        <v>2</v>
      </c>
      <c r="P353" s="2" t="s">
        <v>331</v>
      </c>
      <c r="Q353" s="7" t="s">
        <v>67</v>
      </c>
      <c r="R353" s="7" t="s">
        <v>332</v>
      </c>
      <c r="S353" s="20">
        <v>11</v>
      </c>
      <c r="T353" s="2">
        <v>11</v>
      </c>
    </row>
    <row r="354" spans="1:26">
      <c r="A354" s="7">
        <f>MAX($A$1:$A353)+1</f>
        <v>353</v>
      </c>
      <c r="B354" s="2" t="s">
        <v>171</v>
      </c>
      <c r="C354" s="2" t="s">
        <v>504</v>
      </c>
      <c r="D354" s="2" t="s">
        <v>39</v>
      </c>
      <c r="E354" s="7" t="s">
        <v>359</v>
      </c>
      <c r="F354" s="4">
        <v>48.858283996582003</v>
      </c>
      <c r="G354" s="18">
        <v>-125.160919189453</v>
      </c>
      <c r="H354" s="5" t="s">
        <v>14</v>
      </c>
      <c r="I354" s="2">
        <v>1.5</v>
      </c>
      <c r="J354" s="2">
        <v>210</v>
      </c>
      <c r="K354" s="6">
        <v>0.53749999999999998</v>
      </c>
      <c r="L354" s="2" t="s">
        <v>172</v>
      </c>
      <c r="M354" s="2">
        <v>9</v>
      </c>
      <c r="N354" s="2">
        <v>2</v>
      </c>
      <c r="O354" s="2">
        <v>2</v>
      </c>
      <c r="P354" s="2" t="s">
        <v>240</v>
      </c>
      <c r="Q354" s="7" t="s">
        <v>74</v>
      </c>
      <c r="R354" s="7" t="s">
        <v>459</v>
      </c>
      <c r="S354" s="20">
        <v>1</v>
      </c>
      <c r="T354" s="2">
        <v>1</v>
      </c>
    </row>
    <row r="355" spans="1:26">
      <c r="A355" s="7">
        <f>MAX($A$1:$A354)+1</f>
        <v>354</v>
      </c>
      <c r="B355" s="2" t="s">
        <v>171</v>
      </c>
      <c r="C355" s="2" t="s">
        <v>504</v>
      </c>
      <c r="D355" s="2" t="s">
        <v>39</v>
      </c>
      <c r="E355" s="7" t="s">
        <v>359</v>
      </c>
      <c r="F355" s="4">
        <v>48.858283996582003</v>
      </c>
      <c r="G355" s="18">
        <v>-125.160919189453</v>
      </c>
      <c r="H355" s="5" t="s">
        <v>14</v>
      </c>
      <c r="I355" s="2">
        <v>1.5</v>
      </c>
      <c r="J355" s="2">
        <v>210</v>
      </c>
      <c r="K355" s="6">
        <v>0.53749999999999998</v>
      </c>
      <c r="L355" s="2" t="s">
        <v>172</v>
      </c>
      <c r="M355" s="2">
        <v>9</v>
      </c>
      <c r="N355" s="2">
        <v>2</v>
      </c>
      <c r="O355" s="2">
        <v>2</v>
      </c>
      <c r="P355" s="2" t="s">
        <v>247</v>
      </c>
      <c r="Q355" s="7" t="s">
        <v>64</v>
      </c>
      <c r="R355" s="7" t="s">
        <v>293</v>
      </c>
      <c r="S355" s="20">
        <v>4</v>
      </c>
      <c r="T355" s="2">
        <v>4</v>
      </c>
    </row>
    <row r="356" spans="1:26">
      <c r="A356" s="7">
        <f>MAX($A$1:$A355)+1</f>
        <v>355</v>
      </c>
      <c r="B356" s="2" t="s">
        <v>171</v>
      </c>
      <c r="C356" s="2" t="s">
        <v>504</v>
      </c>
      <c r="D356" s="2" t="s">
        <v>39</v>
      </c>
      <c r="E356" s="7" t="s">
        <v>359</v>
      </c>
      <c r="F356" s="4">
        <v>48.858283996582003</v>
      </c>
      <c r="G356" s="18">
        <v>-125.160919189453</v>
      </c>
      <c r="H356" s="5" t="s">
        <v>14</v>
      </c>
      <c r="I356" s="2">
        <v>1.5</v>
      </c>
      <c r="J356" s="2">
        <v>210</v>
      </c>
      <c r="K356" s="6">
        <v>0.53749999999999998</v>
      </c>
      <c r="L356" s="2" t="s">
        <v>172</v>
      </c>
      <c r="M356" s="2">
        <v>9</v>
      </c>
      <c r="N356" s="2">
        <v>2</v>
      </c>
      <c r="O356" s="2">
        <v>2</v>
      </c>
      <c r="P356" s="2" t="s">
        <v>251</v>
      </c>
      <c r="Q356" s="7" t="s">
        <v>73</v>
      </c>
      <c r="R356" s="7" t="s">
        <v>325</v>
      </c>
      <c r="S356" s="20">
        <v>2</v>
      </c>
      <c r="T356" s="2">
        <v>2</v>
      </c>
    </row>
    <row r="357" spans="1:26">
      <c r="A357" s="7">
        <f>MAX($A$1:$A356)+1</f>
        <v>356</v>
      </c>
      <c r="B357" s="2" t="s">
        <v>171</v>
      </c>
      <c r="C357" s="2" t="s">
        <v>504</v>
      </c>
      <c r="D357" s="2" t="s">
        <v>39</v>
      </c>
      <c r="E357" s="7" t="s">
        <v>359</v>
      </c>
      <c r="F357" s="4">
        <v>48.858283996582003</v>
      </c>
      <c r="G357" s="18">
        <v>-125.160919189453</v>
      </c>
      <c r="H357" s="5" t="s">
        <v>14</v>
      </c>
      <c r="I357" s="2">
        <v>1.5</v>
      </c>
      <c r="J357" s="2">
        <v>210</v>
      </c>
      <c r="K357" s="6">
        <v>0.53749999999999998</v>
      </c>
      <c r="L357" s="2" t="s">
        <v>172</v>
      </c>
      <c r="M357" s="2">
        <v>9</v>
      </c>
      <c r="N357" s="2">
        <v>2</v>
      </c>
      <c r="O357" s="2">
        <v>2</v>
      </c>
      <c r="P357" s="2" t="s">
        <v>296</v>
      </c>
      <c r="Q357" s="7" t="s">
        <v>75</v>
      </c>
      <c r="R357" s="7" t="s">
        <v>297</v>
      </c>
      <c r="S357" s="20">
        <v>16</v>
      </c>
      <c r="T357" s="2">
        <v>16</v>
      </c>
    </row>
    <row r="358" spans="1:26">
      <c r="A358" s="7">
        <f>MAX($A$1:$A357)+1</f>
        <v>357</v>
      </c>
      <c r="B358" s="2" t="s">
        <v>171</v>
      </c>
      <c r="C358" s="2" t="s">
        <v>504</v>
      </c>
      <c r="D358" s="2" t="s">
        <v>39</v>
      </c>
      <c r="E358" s="7" t="s">
        <v>359</v>
      </c>
      <c r="F358" s="4">
        <v>48.858283996582003</v>
      </c>
      <c r="G358" s="18">
        <v>-125.160919189453</v>
      </c>
      <c r="H358" s="5" t="s">
        <v>14</v>
      </c>
      <c r="I358" s="2">
        <v>1.5</v>
      </c>
      <c r="J358" s="2">
        <v>210</v>
      </c>
      <c r="K358" s="6">
        <v>0.53749999999999998</v>
      </c>
      <c r="L358" s="2" t="s">
        <v>172</v>
      </c>
      <c r="M358" s="2">
        <v>9</v>
      </c>
      <c r="N358" s="2">
        <v>2</v>
      </c>
      <c r="O358" s="2">
        <v>2</v>
      </c>
      <c r="P358" s="2" t="s">
        <v>298</v>
      </c>
      <c r="Q358" s="7" t="s">
        <v>99</v>
      </c>
      <c r="R358" s="7" t="s">
        <v>299</v>
      </c>
      <c r="S358" s="20">
        <v>4</v>
      </c>
      <c r="T358" s="2">
        <v>4</v>
      </c>
    </row>
    <row r="359" spans="1:26">
      <c r="A359" s="7">
        <f>MAX($A$1:$A358)+1</f>
        <v>358</v>
      </c>
      <c r="B359" s="2" t="s">
        <v>171</v>
      </c>
      <c r="C359" s="2" t="s">
        <v>504</v>
      </c>
      <c r="D359" s="2" t="s">
        <v>39</v>
      </c>
      <c r="E359" s="7" t="s">
        <v>359</v>
      </c>
      <c r="F359" s="4">
        <v>48.858283996582003</v>
      </c>
      <c r="G359" s="18">
        <v>-125.160919189453</v>
      </c>
      <c r="H359" s="5" t="s">
        <v>14</v>
      </c>
      <c r="I359" s="2">
        <v>1.5</v>
      </c>
      <c r="J359" s="2">
        <v>210</v>
      </c>
      <c r="K359" s="6">
        <v>0.53749999999999998</v>
      </c>
      <c r="L359" s="2" t="s">
        <v>172</v>
      </c>
      <c r="M359" s="2">
        <v>9</v>
      </c>
      <c r="N359" s="2">
        <v>2</v>
      </c>
      <c r="O359" s="2">
        <v>2</v>
      </c>
      <c r="P359" s="2" t="s">
        <v>301</v>
      </c>
      <c r="Q359" s="7" t="s">
        <v>97</v>
      </c>
      <c r="R359" s="7" t="s">
        <v>302</v>
      </c>
      <c r="S359" s="20">
        <v>1</v>
      </c>
      <c r="T359" s="2">
        <v>1</v>
      </c>
    </row>
    <row r="360" spans="1:26">
      <c r="A360" s="7">
        <f>MAX($A$1:$A359)+1</f>
        <v>359</v>
      </c>
      <c r="B360" s="2" t="s">
        <v>171</v>
      </c>
      <c r="C360" s="2" t="s">
        <v>504</v>
      </c>
      <c r="D360" s="2" t="s">
        <v>39</v>
      </c>
      <c r="E360" s="7" t="s">
        <v>359</v>
      </c>
      <c r="F360" s="4">
        <v>48.858283996582003</v>
      </c>
      <c r="G360" s="18">
        <v>-125.160919189453</v>
      </c>
      <c r="H360" s="5" t="s">
        <v>14</v>
      </c>
      <c r="I360" s="2">
        <v>1.5</v>
      </c>
      <c r="J360" s="2">
        <v>210</v>
      </c>
      <c r="K360" s="6">
        <v>0.53749999999999998</v>
      </c>
      <c r="L360" s="2" t="s">
        <v>172</v>
      </c>
      <c r="M360" s="2">
        <v>9</v>
      </c>
      <c r="N360" s="2">
        <v>2</v>
      </c>
      <c r="O360" s="2">
        <v>2</v>
      </c>
      <c r="P360" s="2" t="s">
        <v>255</v>
      </c>
      <c r="Q360" s="7" t="s">
        <v>79</v>
      </c>
      <c r="R360" s="7" t="s">
        <v>354</v>
      </c>
      <c r="S360" s="20">
        <v>2</v>
      </c>
      <c r="T360" s="2">
        <v>2</v>
      </c>
    </row>
    <row r="361" spans="1:26">
      <c r="A361" s="7">
        <f>MAX($A$1:$A360)+1</f>
        <v>360</v>
      </c>
      <c r="B361" s="2" t="s">
        <v>171</v>
      </c>
      <c r="C361" s="2" t="s">
        <v>504</v>
      </c>
      <c r="D361" s="2" t="s">
        <v>39</v>
      </c>
      <c r="E361" s="7" t="s">
        <v>359</v>
      </c>
      <c r="F361" s="4">
        <v>48.858283996582003</v>
      </c>
      <c r="G361" s="18">
        <v>-125.160919189453</v>
      </c>
      <c r="H361" s="5" t="s">
        <v>14</v>
      </c>
      <c r="I361" s="2">
        <v>1.5</v>
      </c>
      <c r="J361" s="2">
        <v>210</v>
      </c>
      <c r="K361" s="6">
        <v>0.53749999999999998</v>
      </c>
      <c r="L361" s="2" t="s">
        <v>172</v>
      </c>
      <c r="M361" s="2">
        <v>9</v>
      </c>
      <c r="N361" s="2">
        <v>2</v>
      </c>
      <c r="O361" s="2">
        <v>2</v>
      </c>
      <c r="P361" s="2" t="s">
        <v>243</v>
      </c>
      <c r="Q361" s="7" t="s">
        <v>85</v>
      </c>
      <c r="R361" s="7" t="s">
        <v>312</v>
      </c>
      <c r="S361" s="20">
        <v>12</v>
      </c>
      <c r="T361" s="2">
        <v>12</v>
      </c>
    </row>
    <row r="362" spans="1:26">
      <c r="A362" s="7">
        <f>MAX($A$1:$A361)+1</f>
        <v>361</v>
      </c>
      <c r="B362" s="2" t="s">
        <v>171</v>
      </c>
      <c r="C362" s="2" t="s">
        <v>504</v>
      </c>
      <c r="D362" s="2" t="s">
        <v>39</v>
      </c>
      <c r="E362" s="7" t="s">
        <v>359</v>
      </c>
      <c r="F362" s="4">
        <v>48.858283996582003</v>
      </c>
      <c r="G362" s="18">
        <v>-125.160919189453</v>
      </c>
      <c r="H362" s="5" t="s">
        <v>14</v>
      </c>
      <c r="I362" s="2">
        <v>1.5</v>
      </c>
      <c r="J362" s="2">
        <v>210</v>
      </c>
      <c r="K362" s="6">
        <v>0.53749999999999998</v>
      </c>
      <c r="L362" s="2" t="s">
        <v>172</v>
      </c>
      <c r="M362" s="2">
        <v>9</v>
      </c>
      <c r="N362" s="2">
        <v>2</v>
      </c>
      <c r="O362" s="2">
        <v>2</v>
      </c>
      <c r="P362" s="2" t="s">
        <v>248</v>
      </c>
      <c r="Q362" s="7" t="s">
        <v>78</v>
      </c>
      <c r="R362" s="7" t="s">
        <v>349</v>
      </c>
      <c r="S362" s="20">
        <v>10</v>
      </c>
      <c r="T362" s="2">
        <v>0</v>
      </c>
      <c r="V362" s="2">
        <v>4</v>
      </c>
      <c r="W362" s="2">
        <v>3</v>
      </c>
      <c r="X362" s="2">
        <v>1</v>
      </c>
      <c r="Z362" s="2">
        <v>2</v>
      </c>
    </row>
    <row r="363" spans="1:26">
      <c r="A363" s="7">
        <f>MAX($A$1:$A362)+1</f>
        <v>362</v>
      </c>
      <c r="B363" s="2" t="s">
        <v>171</v>
      </c>
      <c r="C363" s="2" t="s">
        <v>504</v>
      </c>
      <c r="D363" s="2" t="s">
        <v>39</v>
      </c>
      <c r="E363" s="7" t="s">
        <v>359</v>
      </c>
      <c r="F363" s="4">
        <v>48.858283996582003</v>
      </c>
      <c r="G363" s="18">
        <v>-125.160919189453</v>
      </c>
      <c r="H363" s="5" t="s">
        <v>14</v>
      </c>
      <c r="I363" s="2">
        <v>1.5</v>
      </c>
      <c r="J363" s="2">
        <v>210</v>
      </c>
      <c r="K363" s="6">
        <v>0.53749999999999998</v>
      </c>
      <c r="L363" s="2" t="s">
        <v>172</v>
      </c>
      <c r="M363" s="2">
        <v>9</v>
      </c>
      <c r="N363" s="2">
        <v>2</v>
      </c>
      <c r="O363" s="2">
        <v>2</v>
      </c>
      <c r="P363" s="2" t="s">
        <v>316</v>
      </c>
      <c r="Q363" s="7" t="s">
        <v>123</v>
      </c>
      <c r="R363" s="7" t="s">
        <v>317</v>
      </c>
      <c r="S363" s="20">
        <v>4</v>
      </c>
      <c r="T363" s="2">
        <v>4</v>
      </c>
    </row>
    <row r="364" spans="1:26">
      <c r="A364" s="7">
        <f>MAX($A$1:$A363)+1</f>
        <v>363</v>
      </c>
      <c r="B364" s="2" t="s">
        <v>171</v>
      </c>
      <c r="C364" s="2" t="s">
        <v>504</v>
      </c>
      <c r="D364" s="2" t="s">
        <v>39</v>
      </c>
      <c r="E364" s="7" t="s">
        <v>359</v>
      </c>
      <c r="F364" s="4">
        <v>48.858283996582003</v>
      </c>
      <c r="G364" s="18">
        <v>-125.160919189453</v>
      </c>
      <c r="H364" s="5" t="s">
        <v>14</v>
      </c>
      <c r="I364" s="2">
        <v>1.5</v>
      </c>
      <c r="J364" s="2">
        <v>210</v>
      </c>
      <c r="K364" s="6">
        <v>0.53749999999999998</v>
      </c>
      <c r="L364" s="2" t="s">
        <v>172</v>
      </c>
      <c r="M364" s="2">
        <v>9</v>
      </c>
      <c r="N364" s="2">
        <v>2</v>
      </c>
      <c r="O364" s="2">
        <v>2</v>
      </c>
      <c r="P364" s="2" t="s">
        <v>259</v>
      </c>
      <c r="Q364" s="7" t="s">
        <v>106</v>
      </c>
      <c r="R364" s="7" t="s">
        <v>343</v>
      </c>
      <c r="S364" s="20">
        <v>2</v>
      </c>
      <c r="T364" s="2">
        <v>2</v>
      </c>
    </row>
    <row r="365" spans="1:26">
      <c r="A365" s="7">
        <f>MAX($A$1:$A364)+1</f>
        <v>364</v>
      </c>
      <c r="B365" s="2" t="s">
        <v>171</v>
      </c>
      <c r="C365" s="2" t="s">
        <v>504</v>
      </c>
      <c r="D365" s="2" t="s">
        <v>39</v>
      </c>
      <c r="E365" s="7" t="s">
        <v>359</v>
      </c>
      <c r="F365" s="4">
        <v>48.858283996582003</v>
      </c>
      <c r="G365" s="18">
        <v>-125.160919189453</v>
      </c>
      <c r="H365" s="5" t="s">
        <v>14</v>
      </c>
      <c r="I365" s="2">
        <v>1.5</v>
      </c>
      <c r="J365" s="2">
        <v>210</v>
      </c>
      <c r="K365" s="6">
        <v>0.53749999999999998</v>
      </c>
      <c r="L365" s="2" t="s">
        <v>172</v>
      </c>
      <c r="M365" s="2">
        <v>9</v>
      </c>
      <c r="N365" s="2">
        <v>2</v>
      </c>
      <c r="O365" s="2">
        <v>2</v>
      </c>
      <c r="P365" s="2" t="s">
        <v>511</v>
      </c>
      <c r="Q365" s="7" t="s">
        <v>512</v>
      </c>
      <c r="R365" s="7" t="s">
        <v>445</v>
      </c>
      <c r="S365" s="20">
        <v>3</v>
      </c>
      <c r="T365" s="2">
        <v>3</v>
      </c>
    </row>
    <row r="366" spans="1:26">
      <c r="A366" s="7">
        <f>MAX($A$1:$A365)+1</f>
        <v>365</v>
      </c>
      <c r="B366" s="2" t="s">
        <v>171</v>
      </c>
      <c r="C366" s="2" t="s">
        <v>504</v>
      </c>
      <c r="D366" s="2" t="s">
        <v>39</v>
      </c>
      <c r="E366" s="7" t="s">
        <v>359</v>
      </c>
      <c r="F366" s="4">
        <v>48.858283996582003</v>
      </c>
      <c r="G366" s="18">
        <v>-125.160919189453</v>
      </c>
      <c r="H366" s="5" t="s">
        <v>14</v>
      </c>
      <c r="I366" s="2">
        <v>1.5</v>
      </c>
      <c r="J366" s="2">
        <v>210</v>
      </c>
      <c r="K366" s="6">
        <v>0.53749999999999998</v>
      </c>
      <c r="L366" s="2" t="s">
        <v>172</v>
      </c>
      <c r="M366" s="2">
        <v>9</v>
      </c>
      <c r="N366" s="2">
        <v>2</v>
      </c>
      <c r="O366" s="2">
        <v>2</v>
      </c>
      <c r="P366" s="2" t="s">
        <v>345</v>
      </c>
      <c r="Q366" s="7" t="s">
        <v>127</v>
      </c>
      <c r="R366" s="7" t="s">
        <v>346</v>
      </c>
      <c r="S366" s="20">
        <v>4</v>
      </c>
      <c r="T366" s="2">
        <v>4</v>
      </c>
    </row>
    <row r="367" spans="1:26">
      <c r="A367" s="7">
        <f>MAX($A$1:$A366)+1</f>
        <v>366</v>
      </c>
      <c r="B367" s="2" t="s">
        <v>171</v>
      </c>
      <c r="C367" s="2" t="s">
        <v>504</v>
      </c>
      <c r="D367" s="2" t="s">
        <v>39</v>
      </c>
      <c r="E367" s="7" t="s">
        <v>359</v>
      </c>
      <c r="F367" s="4">
        <v>48.858283996582003</v>
      </c>
      <c r="G367" s="18">
        <v>-125.160919189453</v>
      </c>
      <c r="H367" s="5" t="s">
        <v>14</v>
      </c>
      <c r="I367" s="2">
        <v>1.5</v>
      </c>
      <c r="J367" s="2">
        <v>210</v>
      </c>
      <c r="K367" s="6">
        <v>0.53749999999999998</v>
      </c>
      <c r="L367" s="2" t="s">
        <v>172</v>
      </c>
      <c r="M367" s="2">
        <v>9</v>
      </c>
      <c r="N367" s="2">
        <v>2</v>
      </c>
      <c r="O367" s="2">
        <v>2</v>
      </c>
      <c r="P367" s="2" t="s">
        <v>388</v>
      </c>
      <c r="Q367" s="7" t="s">
        <v>82</v>
      </c>
      <c r="R367" s="7" t="s">
        <v>389</v>
      </c>
      <c r="S367" s="20">
        <v>1</v>
      </c>
      <c r="T367" s="2">
        <v>1</v>
      </c>
    </row>
    <row r="368" spans="1:26">
      <c r="A368" s="7">
        <f>MAX($A$1:$A367)+1</f>
        <v>367</v>
      </c>
      <c r="B368" s="2" t="s">
        <v>171</v>
      </c>
      <c r="C368" s="2" t="s">
        <v>504</v>
      </c>
      <c r="D368" s="2" t="s">
        <v>39</v>
      </c>
      <c r="E368" s="7" t="s">
        <v>359</v>
      </c>
      <c r="F368" s="4">
        <v>48.858283996582003</v>
      </c>
      <c r="G368" s="18">
        <v>-125.160919189453</v>
      </c>
      <c r="H368" s="5" t="s">
        <v>14</v>
      </c>
      <c r="I368" s="2">
        <v>1.5</v>
      </c>
      <c r="J368" s="2">
        <v>210</v>
      </c>
      <c r="K368" s="6">
        <v>0.53749999999999998</v>
      </c>
      <c r="L368" s="2" t="s">
        <v>172</v>
      </c>
      <c r="M368" s="2">
        <v>9</v>
      </c>
      <c r="N368" s="2">
        <v>2</v>
      </c>
      <c r="O368" s="2">
        <v>2</v>
      </c>
      <c r="P368" s="2" t="s">
        <v>244</v>
      </c>
      <c r="Q368" s="7" t="s">
        <v>65</v>
      </c>
      <c r="R368" s="7" t="s">
        <v>307</v>
      </c>
      <c r="S368" s="20">
        <v>2</v>
      </c>
      <c r="T368" s="2">
        <v>2</v>
      </c>
    </row>
    <row r="369" spans="1:32">
      <c r="A369" s="7">
        <f>MAX($A$1:$A368)+1</f>
        <v>368</v>
      </c>
      <c r="B369" s="2" t="s">
        <v>171</v>
      </c>
      <c r="C369" s="2" t="s">
        <v>504</v>
      </c>
      <c r="D369" s="2" t="s">
        <v>39</v>
      </c>
      <c r="E369" s="7" t="s">
        <v>359</v>
      </c>
      <c r="F369" s="4">
        <v>48.858283996582003</v>
      </c>
      <c r="G369" s="18">
        <v>-125.160919189453</v>
      </c>
      <c r="H369" s="5" t="s">
        <v>14</v>
      </c>
      <c r="I369" s="2">
        <v>1.5</v>
      </c>
      <c r="J369" s="2">
        <v>210</v>
      </c>
      <c r="K369" s="6">
        <v>0.53749999999999998</v>
      </c>
      <c r="L369" s="2" t="s">
        <v>172</v>
      </c>
      <c r="M369" s="2">
        <v>9</v>
      </c>
      <c r="N369" s="2">
        <v>2</v>
      </c>
      <c r="O369" s="2">
        <v>2</v>
      </c>
      <c r="P369" s="2" t="s">
        <v>239</v>
      </c>
      <c r="Q369" s="7" t="s">
        <v>80</v>
      </c>
      <c r="R369" s="7" t="s">
        <v>300</v>
      </c>
      <c r="S369" s="20">
        <v>5</v>
      </c>
      <c r="T369" s="2">
        <v>5</v>
      </c>
    </row>
    <row r="370" spans="1:32">
      <c r="A370" s="7">
        <f>MAX($A$1:$A369)+1</f>
        <v>369</v>
      </c>
      <c r="B370" s="2" t="s">
        <v>171</v>
      </c>
      <c r="C370" s="2" t="s">
        <v>504</v>
      </c>
      <c r="D370" s="2" t="s">
        <v>39</v>
      </c>
      <c r="E370" s="7" t="s">
        <v>359</v>
      </c>
      <c r="F370" s="4">
        <v>48.858283996582003</v>
      </c>
      <c r="G370" s="18">
        <v>-125.160919189453</v>
      </c>
      <c r="H370" s="5" t="s">
        <v>14</v>
      </c>
      <c r="I370" s="2">
        <v>1.5</v>
      </c>
      <c r="J370" s="2">
        <v>210</v>
      </c>
      <c r="K370" s="6">
        <v>0.53749999999999998</v>
      </c>
      <c r="L370" s="2" t="s">
        <v>172</v>
      </c>
      <c r="M370" s="2">
        <v>9</v>
      </c>
      <c r="N370" s="2">
        <v>2</v>
      </c>
      <c r="O370" s="2">
        <v>2</v>
      </c>
      <c r="P370" s="2" t="s">
        <v>487</v>
      </c>
      <c r="Q370" s="7" t="s">
        <v>109</v>
      </c>
      <c r="R370" s="7" t="s">
        <v>391</v>
      </c>
      <c r="S370" s="20">
        <v>1</v>
      </c>
      <c r="T370" s="2">
        <v>1</v>
      </c>
    </row>
    <row r="371" spans="1:32">
      <c r="A371" s="7">
        <f>MAX($A$1:$A370)+1</f>
        <v>370</v>
      </c>
      <c r="B371" s="2" t="s">
        <v>171</v>
      </c>
      <c r="C371" s="2" t="s">
        <v>504</v>
      </c>
      <c r="D371" s="2" t="s">
        <v>39</v>
      </c>
      <c r="E371" s="7" t="s">
        <v>359</v>
      </c>
      <c r="F371" s="4">
        <v>48.858283996582003</v>
      </c>
      <c r="G371" s="18">
        <v>-125.160919189453</v>
      </c>
      <c r="H371" s="5" t="s">
        <v>14</v>
      </c>
      <c r="I371" s="2">
        <v>1.5</v>
      </c>
      <c r="J371" s="2">
        <v>210</v>
      </c>
      <c r="K371" s="6">
        <v>0.53749999999999998</v>
      </c>
      <c r="L371" s="2" t="s">
        <v>172</v>
      </c>
      <c r="M371" s="2">
        <v>9</v>
      </c>
      <c r="N371" s="2">
        <v>2</v>
      </c>
      <c r="O371" s="2">
        <v>2</v>
      </c>
      <c r="P371" s="2" t="s">
        <v>350</v>
      </c>
      <c r="Q371" s="7" t="s">
        <v>83</v>
      </c>
      <c r="R371" s="7" t="s">
        <v>351</v>
      </c>
      <c r="S371" s="20">
        <v>2</v>
      </c>
      <c r="T371" s="2">
        <v>2</v>
      </c>
    </row>
    <row r="372" spans="1:32">
      <c r="A372" s="7">
        <f>MAX($A$1:$A371)+1</f>
        <v>371</v>
      </c>
      <c r="B372" s="2" t="s">
        <v>171</v>
      </c>
      <c r="C372" s="2" t="s">
        <v>504</v>
      </c>
      <c r="D372" s="2" t="s">
        <v>39</v>
      </c>
      <c r="E372" s="7" t="s">
        <v>359</v>
      </c>
      <c r="F372" s="4">
        <v>48.858283996582003</v>
      </c>
      <c r="G372" s="18">
        <v>-125.160919189453</v>
      </c>
      <c r="H372" s="5" t="s">
        <v>14</v>
      </c>
      <c r="I372" s="2">
        <v>1.5</v>
      </c>
      <c r="J372" s="2">
        <v>210</v>
      </c>
      <c r="K372" s="6">
        <v>0.53749999999999998</v>
      </c>
      <c r="L372" s="2" t="s">
        <v>172</v>
      </c>
      <c r="M372" s="2">
        <v>9</v>
      </c>
      <c r="N372" s="2">
        <v>2</v>
      </c>
      <c r="O372" s="2">
        <v>2</v>
      </c>
      <c r="P372" s="2" t="s">
        <v>513</v>
      </c>
      <c r="Q372" s="7" t="s">
        <v>115</v>
      </c>
      <c r="R372" s="7" t="s">
        <v>514</v>
      </c>
      <c r="S372" s="20">
        <v>1</v>
      </c>
      <c r="T372" s="2">
        <v>1</v>
      </c>
    </row>
    <row r="373" spans="1:32">
      <c r="A373" s="7">
        <f>MAX($A$1:$A372)+1</f>
        <v>372</v>
      </c>
      <c r="B373" s="2" t="str">
        <f t="shared" ref="B373:B397" si="15">IF(ISERROR(B372),IF(ISERROR(B371),IF(ISERROR(B370),"BLANK",B370),B371),B372)</f>
        <v>Em Lim</v>
      </c>
      <c r="C373" s="2" t="str">
        <f t="shared" ref="C373:C397" si="16">IF(ISERROR(C372),IF(ISERROR(C371),IF(ISERROR(C370),"BLANK",C370),C371),C372)</f>
        <v>Isabelle Côté</v>
      </c>
      <c r="D373" s="27" t="s">
        <v>24</v>
      </c>
      <c r="E373" s="7" t="str">
        <f>IF(ISERROR(VLOOKUP($D373,SITES!$A:$E,2,FALSE)),"",VLOOKUP($D373,SITES!$A:$E,2,FALSE))</f>
        <v>Ed King SW Pyramid</v>
      </c>
      <c r="F373" s="4">
        <f>IF(ISERROR(VLOOKUP($D373,SITES!$A:$E,3,FALSE)),"",VLOOKUP($D373,SITES!$A:$E,3,FALSE))</f>
        <v>48.828601837158203</v>
      </c>
      <c r="G373" s="18">
        <f>IF(ISERROR(VLOOKUP($D373,SITES!$A:$E,4,FALSE)),"",VLOOKUP($D373,SITES!$A:$E,4,FALSE))</f>
        <v>-125.221298217773</v>
      </c>
      <c r="H373" s="28" t="s">
        <v>7</v>
      </c>
      <c r="I373" s="2">
        <f t="shared" ref="I373:I397" si="17">IF(ISERROR(I372),IF(ISERROR(I371),IF(ISERROR(I370),"BLANK",I370),I371),I372)</f>
        <v>1.5</v>
      </c>
      <c r="J373" s="2">
        <v>270</v>
      </c>
      <c r="K373" s="6">
        <v>0.46875</v>
      </c>
      <c r="L373" s="2" t="str">
        <f t="shared" ref="L373:L397" si="18">IF(ISERROR(L372),IF(ISERROR(L371),IF(ISERROR(L370),"BLANK",L370),L371),L372)</f>
        <v>EGL</v>
      </c>
      <c r="M373" s="2">
        <v>6.5</v>
      </c>
      <c r="N373" s="2">
        <v>1</v>
      </c>
      <c r="O373" s="2">
        <v>1</v>
      </c>
      <c r="P373" s="27" t="s">
        <v>174</v>
      </c>
      <c r="Q373" s="7" t="str">
        <f>IF($N373=1,IF(ISERROR(VLOOKUP($P373,'M1'!$A:$C,Q$2,FALSE)),"NOT PRESENT",VLOOKUP($P373,'M1'!$A:$C,Q$2,FALSE)),IF($N373=2,IF(ISERROR(VLOOKUP(DATA!$P116,'M2'!$A:$C,Q$2,FALSE)),"NOT PRESENT",VLOOKUP(DATA!$P116,'M2'!$A:$C,Q$2,FALSE)),IF($N373=0,IF(ISERROR(VLOOKUP($P373,'M1'!$A:$C,Q$2,FALSE)),IF(ISERROR(VLOOKUP(DATA!$P116,'M2'!$A:$C,Q$2,FALSE)),"NOT PRESENT",VLOOKUP(DATA!$P116,'M2'!$A:$C,Q$2,FALSE)),VLOOKUP($P373,'M1'!$A:$C,Q$2,FALSE)),"SPECIFY METHOD")))</f>
        <v>NOT PRESENT</v>
      </c>
      <c r="R373" s="7" t="str">
        <f>IF($N373=1,IF(ISERROR(VLOOKUP($P373,'M1'!$A:$C,R$2,FALSE)),"NOT PRESENT",VLOOKUP($P373,'M1'!$A:$C,R$2,FALSE)),IF($N373=2,IF(ISERROR(VLOOKUP(DATA!$P116,'M2'!$A:$C,R$2,FALSE)),"NOT PRESENT",VLOOKUP(DATA!$P116,'M2'!$A:$C,R$2,FALSE)),IF($N373=0,IF(ISERROR(VLOOKUP($P373,'M1'!$A:$C,R$2,FALSE)),IF(ISERROR(VLOOKUP(DATA!$P116,'M2'!$A:$C,R$2,FALSE)),"NOT PRESENT",VLOOKUP(DATA!$P116,'M2'!$A:$C,R$2,FALSE)),VLOOKUP($P373,'M1'!$A:$C,R$2,FALSE)),"SPECIFY METHOD")))</f>
        <v>NOT PRESENT</v>
      </c>
      <c r="S373" s="20">
        <f t="shared" ref="S373:S397" si="19">SUM(T373:AV373)</f>
        <v>10</v>
      </c>
      <c r="T373" s="2">
        <v>0</v>
      </c>
      <c r="Z373" s="2">
        <v>1</v>
      </c>
      <c r="AA373" s="2">
        <v>2</v>
      </c>
      <c r="AB373" s="2">
        <v>4</v>
      </c>
      <c r="AC373" s="2">
        <v>2</v>
      </c>
      <c r="AD373" s="2">
        <v>1</v>
      </c>
    </row>
    <row r="374" spans="1:32">
      <c r="A374" s="7">
        <f>MAX($A$1:$A373)+1</f>
        <v>373</v>
      </c>
      <c r="B374" s="2" t="str">
        <f t="shared" si="15"/>
        <v>Em Lim</v>
      </c>
      <c r="C374" s="2" t="str">
        <f t="shared" si="16"/>
        <v>Isabelle Côté</v>
      </c>
      <c r="D374" s="2" t="str">
        <f t="shared" ref="D374:D397" si="20">IF(ISERROR(D373),IF(ISERROR(D372),IF(ISERROR(D371),"BLANK",D371),D372),D373)</f>
        <v>BMSC19</v>
      </c>
      <c r="E374" s="7" t="str">
        <f>IF(ISERROR(VLOOKUP($D374,SITES!$A:$E,2,FALSE)),"",VLOOKUP($D374,SITES!$A:$E,2,FALSE))</f>
        <v>Ed King SW Pyramid</v>
      </c>
      <c r="F374" s="4">
        <f>IF(ISERROR(VLOOKUP($D374,SITES!$A:$E,3,FALSE)),"",VLOOKUP($D374,SITES!$A:$E,3,FALSE))</f>
        <v>48.828601837158203</v>
      </c>
      <c r="G374" s="18">
        <f>IF(ISERROR(VLOOKUP($D374,SITES!$A:$E,4,FALSE)),"",VLOOKUP($D374,SITES!$A:$E,4,FALSE))</f>
        <v>-125.221298217773</v>
      </c>
      <c r="H374" s="5" t="str">
        <f t="shared" ref="H374:H397" si="21">IF(ISERROR(H373),IF(ISERROR(H372),IF(ISERROR(H371),"BLANK",H371),H372),H373)</f>
        <v>10/05/2023</v>
      </c>
      <c r="I374" s="2">
        <f t="shared" si="17"/>
        <v>1.5</v>
      </c>
      <c r="J374" s="2">
        <f t="shared" ref="J374:J397" si="22">IF(ISERROR(J373),IF(ISERROR(J372),IF(ISERROR(J371),"BLANK",J371),J372),J373)</f>
        <v>270</v>
      </c>
      <c r="K374" s="6">
        <f t="shared" ref="K374:K397" si="23">IF(ISERROR(K373),IF(ISERROR(K372),IF(ISERROR(K371),"BLANK",K371),K372),K373)</f>
        <v>0.46875</v>
      </c>
      <c r="L374" s="2" t="str">
        <f t="shared" si="18"/>
        <v>EGL</v>
      </c>
      <c r="M374" s="2">
        <f t="shared" ref="M374:O375" si="24">IF(ISERROR(M373),IF(ISERROR(M372),IF(ISERROR(M371),"BLANK",M371),M372),M373)</f>
        <v>6.5</v>
      </c>
      <c r="N374" s="2">
        <f t="shared" si="24"/>
        <v>1</v>
      </c>
      <c r="O374" s="2">
        <f t="shared" si="24"/>
        <v>1</v>
      </c>
      <c r="P374" s="27" t="s">
        <v>194</v>
      </c>
      <c r="Q374" s="7" t="str">
        <f>IF($N374=1,IF(ISERROR(VLOOKUP($P374,'M1'!$A:$C,Q$2,FALSE)),"NOT PRESENT",VLOOKUP($P374,'M1'!$A:$C,Q$2,FALSE)),IF($N374=2,IF(ISERROR(VLOOKUP(DATA!$P117,'M2'!$A:$C,Q$2,FALSE)),"NOT PRESENT",VLOOKUP(DATA!$P117,'M2'!$A:$C,Q$2,FALSE)),IF($N374=0,IF(ISERROR(VLOOKUP($P374,'M1'!$A:$C,Q$2,FALSE)),IF(ISERROR(VLOOKUP(DATA!$P117,'M2'!$A:$C,Q$2,FALSE)),"NOT PRESENT",VLOOKUP(DATA!$P117,'M2'!$A:$C,Q$2,FALSE)),VLOOKUP($P374,'M1'!$A:$C,Q$2,FALSE)),"SPECIFY METHOD")))</f>
        <v>NOT PRESENT</v>
      </c>
      <c r="R374" s="7" t="str">
        <f>IF($N374=1,IF(ISERROR(VLOOKUP($P374,'M1'!$A:$C,R$2,FALSE)),"NOT PRESENT",VLOOKUP($P374,'M1'!$A:$C,R$2,FALSE)),IF($N374=2,IF(ISERROR(VLOOKUP(DATA!$P117,'M2'!$A:$C,R$2,FALSE)),"NOT PRESENT",VLOOKUP(DATA!$P117,'M2'!$A:$C,R$2,FALSE)),IF($N374=0,IF(ISERROR(VLOOKUP($P374,'M1'!$A:$C,R$2,FALSE)),IF(ISERROR(VLOOKUP(DATA!$P117,'M2'!$A:$C,R$2,FALSE)),"NOT PRESENT",VLOOKUP(DATA!$P117,'M2'!$A:$C,R$2,FALSE)),VLOOKUP($P374,'M1'!$A:$C,R$2,FALSE)),"SPECIFY METHOD")))</f>
        <v>NOT PRESENT</v>
      </c>
      <c r="S374" s="20">
        <f t="shared" si="19"/>
        <v>1</v>
      </c>
      <c r="T374" s="2">
        <v>0</v>
      </c>
      <c r="U374" s="2">
        <v>1</v>
      </c>
    </row>
    <row r="375" spans="1:32">
      <c r="A375" s="7">
        <f>MAX($A$1:$A374)+1</f>
        <v>374</v>
      </c>
      <c r="B375" s="2" t="str">
        <f t="shared" si="15"/>
        <v>Em Lim</v>
      </c>
      <c r="C375" s="2" t="str">
        <f t="shared" si="16"/>
        <v>Isabelle Côté</v>
      </c>
      <c r="D375" s="2" t="str">
        <f t="shared" si="20"/>
        <v>BMSC19</v>
      </c>
      <c r="E375" s="7" t="str">
        <f>IF(ISERROR(VLOOKUP($D375,SITES!$A:$E,2,FALSE)),"",VLOOKUP($D375,SITES!$A:$E,2,FALSE))</f>
        <v>Ed King SW Pyramid</v>
      </c>
      <c r="F375" s="4">
        <f>IF(ISERROR(VLOOKUP($D375,SITES!$A:$E,3,FALSE)),"",VLOOKUP($D375,SITES!$A:$E,3,FALSE))</f>
        <v>48.828601837158203</v>
      </c>
      <c r="G375" s="18">
        <f>IF(ISERROR(VLOOKUP($D375,SITES!$A:$E,4,FALSE)),"",VLOOKUP($D375,SITES!$A:$E,4,FALSE))</f>
        <v>-125.221298217773</v>
      </c>
      <c r="H375" s="5" t="str">
        <f t="shared" si="21"/>
        <v>10/05/2023</v>
      </c>
      <c r="I375" s="2">
        <f t="shared" si="17"/>
        <v>1.5</v>
      </c>
      <c r="J375" s="2">
        <f t="shared" si="22"/>
        <v>270</v>
      </c>
      <c r="K375" s="6">
        <f t="shared" si="23"/>
        <v>0.46875</v>
      </c>
      <c r="L375" s="2" t="str">
        <f t="shared" si="18"/>
        <v>EGL</v>
      </c>
      <c r="M375" s="2">
        <f t="shared" si="24"/>
        <v>6.5</v>
      </c>
      <c r="N375" s="2">
        <f t="shared" si="24"/>
        <v>1</v>
      </c>
      <c r="O375" s="2">
        <f t="shared" si="24"/>
        <v>1</v>
      </c>
      <c r="P375" s="27" t="s">
        <v>224</v>
      </c>
      <c r="Q375" s="7" t="str">
        <f>IF($N375=1,IF(ISERROR(VLOOKUP($P375,'M1'!$A:$C,Q$2,FALSE)),"NOT PRESENT",VLOOKUP($P375,'M1'!$A:$C,Q$2,FALSE)),IF($N375=2,IF(ISERROR(VLOOKUP(DATA!$P118,'M2'!$A:$C,Q$2,FALSE)),"NOT PRESENT",VLOOKUP(DATA!$P118,'M2'!$A:$C,Q$2,FALSE)),IF($N375=0,IF(ISERROR(VLOOKUP($P375,'M1'!$A:$C,Q$2,FALSE)),IF(ISERROR(VLOOKUP(DATA!$P118,'M2'!$A:$C,Q$2,FALSE)),"NOT PRESENT",VLOOKUP(DATA!$P118,'M2'!$A:$C,Q$2,FALSE)),VLOOKUP($P375,'M1'!$A:$C,Q$2,FALSE)),"SPECIFY METHOD")))</f>
        <v>NOT PRESENT</v>
      </c>
      <c r="R375" s="7" t="str">
        <f>IF($N375=1,IF(ISERROR(VLOOKUP($P375,'M1'!$A:$C,R$2,FALSE)),"NOT PRESENT",VLOOKUP($P375,'M1'!$A:$C,R$2,FALSE)),IF($N375=2,IF(ISERROR(VLOOKUP(DATA!$P118,'M2'!$A:$C,R$2,FALSE)),"NOT PRESENT",VLOOKUP(DATA!$P118,'M2'!$A:$C,R$2,FALSE)),IF($N375=0,IF(ISERROR(VLOOKUP($P375,'M1'!$A:$C,R$2,FALSE)),IF(ISERROR(VLOOKUP(DATA!$P118,'M2'!$A:$C,R$2,FALSE)),"NOT PRESENT",VLOOKUP(DATA!$P118,'M2'!$A:$C,R$2,FALSE)),VLOOKUP($P375,'M1'!$A:$C,R$2,FALSE)),"SPECIFY METHOD")))</f>
        <v>NOT PRESENT</v>
      </c>
      <c r="S375" s="20">
        <f t="shared" si="19"/>
        <v>1</v>
      </c>
      <c r="T375" s="2">
        <v>0</v>
      </c>
      <c r="AF375" s="2">
        <v>1</v>
      </c>
    </row>
    <row r="376" spans="1:32">
      <c r="A376" s="7">
        <f>MAX($A$1:$A375)+1</f>
        <v>375</v>
      </c>
      <c r="B376" s="2" t="str">
        <f t="shared" si="15"/>
        <v>Em Lim</v>
      </c>
      <c r="C376" s="2" t="str">
        <f t="shared" si="16"/>
        <v>Isabelle Côté</v>
      </c>
      <c r="D376" s="2" t="str">
        <f t="shared" si="20"/>
        <v>BMSC19</v>
      </c>
      <c r="E376" s="7" t="str">
        <f>IF(ISERROR(VLOOKUP($D376,SITES!$A:$E,2,FALSE)),"",VLOOKUP($D376,SITES!$A:$E,2,FALSE))</f>
        <v>Ed King SW Pyramid</v>
      </c>
      <c r="F376" s="4">
        <f>IF(ISERROR(VLOOKUP($D376,SITES!$A:$E,3,FALSE)),"",VLOOKUP($D376,SITES!$A:$E,3,FALSE))</f>
        <v>48.828601837158203</v>
      </c>
      <c r="G376" s="18">
        <f>IF(ISERROR(VLOOKUP($D376,SITES!$A:$E,4,FALSE)),"",VLOOKUP($D376,SITES!$A:$E,4,FALSE))</f>
        <v>-125.221298217773</v>
      </c>
      <c r="H376" s="5" t="str">
        <f t="shared" si="21"/>
        <v>10/05/2023</v>
      </c>
      <c r="I376" s="2">
        <f t="shared" si="17"/>
        <v>1.5</v>
      </c>
      <c r="J376" s="2">
        <f t="shared" si="22"/>
        <v>270</v>
      </c>
      <c r="K376" s="6">
        <f t="shared" si="23"/>
        <v>0.46875</v>
      </c>
      <c r="L376" s="2" t="str">
        <f t="shared" si="18"/>
        <v>EGL</v>
      </c>
      <c r="M376" s="2">
        <f t="shared" ref="M376:M397" si="25">IF(ISERROR(M375),IF(ISERROR(M374),IF(ISERROR(M373),"BLANK",M373),M374),M375)</f>
        <v>6.5</v>
      </c>
      <c r="N376" s="2">
        <v>2</v>
      </c>
      <c r="O376" s="2">
        <f t="shared" ref="O376:O395" si="26">IF(ISERROR(O375),IF(ISERROR(O374),IF(ISERROR(O373),"BLANK",O373),O374),O375)</f>
        <v>1</v>
      </c>
      <c r="P376" s="27" t="s">
        <v>178</v>
      </c>
      <c r="Q376" s="7" t="str">
        <f>IF($N376=1,IF(ISERROR(VLOOKUP($P376,'M1'!$A:$C,Q$2,FALSE)),"NOT PRESENT",VLOOKUP($P376,'M1'!$A:$C,Q$2,FALSE)),IF($N376=2,IF(ISERROR(VLOOKUP(DATA!$P119,'M2'!$A:$C,Q$2,FALSE)),"NOT PRESENT",VLOOKUP(DATA!$P119,'M2'!$A:$C,Q$2,FALSE)),IF($N376=0,IF(ISERROR(VLOOKUP($P376,'M1'!$A:$C,Q$2,FALSE)),IF(ISERROR(VLOOKUP(DATA!$P119,'M2'!$A:$C,Q$2,FALSE)),"NOT PRESENT",VLOOKUP(DATA!$P119,'M2'!$A:$C,Q$2,FALSE)),VLOOKUP($P376,'M1'!$A:$C,Q$2,FALSE)),"SPECIFY METHOD")))</f>
        <v>NOT PRESENT</v>
      </c>
      <c r="R376" s="7" t="str">
        <f>IF($N376=1,IF(ISERROR(VLOOKUP($P376,'M1'!$A:$C,R$2,FALSE)),"NOT PRESENT",VLOOKUP($P376,'M1'!$A:$C,R$2,FALSE)),IF($N376=2,IF(ISERROR(VLOOKUP(DATA!$P119,'M2'!$A:$C,R$2,FALSE)),"NOT PRESENT",VLOOKUP(DATA!$P119,'M2'!$A:$C,R$2,FALSE)),IF($N376=0,IF(ISERROR(VLOOKUP($P376,'M1'!$A:$C,R$2,FALSE)),IF(ISERROR(VLOOKUP(DATA!$P119,'M2'!$A:$C,R$2,FALSE)),"NOT PRESENT",VLOOKUP(DATA!$P119,'M2'!$A:$C,R$2,FALSE)),VLOOKUP($P376,'M1'!$A:$C,R$2,FALSE)),"SPECIFY METHOD")))</f>
        <v>NOT PRESENT</v>
      </c>
      <c r="S376" s="20">
        <f t="shared" si="19"/>
        <v>372</v>
      </c>
      <c r="T376" s="2">
        <v>372</v>
      </c>
    </row>
    <row r="377" spans="1:32">
      <c r="A377" s="7">
        <f>MAX($A$1:$A376)+1</f>
        <v>376</v>
      </c>
      <c r="B377" s="2" t="str">
        <f t="shared" si="15"/>
        <v>Em Lim</v>
      </c>
      <c r="C377" s="2" t="str">
        <f t="shared" si="16"/>
        <v>Isabelle Côté</v>
      </c>
      <c r="D377" s="2" t="str">
        <f t="shared" si="20"/>
        <v>BMSC19</v>
      </c>
      <c r="E377" s="7" t="str">
        <f>IF(ISERROR(VLOOKUP($D377,SITES!$A:$E,2,FALSE)),"",VLOOKUP($D377,SITES!$A:$E,2,FALSE))</f>
        <v>Ed King SW Pyramid</v>
      </c>
      <c r="F377" s="4">
        <f>IF(ISERROR(VLOOKUP($D377,SITES!$A:$E,3,FALSE)),"",VLOOKUP($D377,SITES!$A:$E,3,FALSE))</f>
        <v>48.828601837158203</v>
      </c>
      <c r="G377" s="18">
        <f>IF(ISERROR(VLOOKUP($D377,SITES!$A:$E,4,FALSE)),"",VLOOKUP($D377,SITES!$A:$E,4,FALSE))</f>
        <v>-125.221298217773</v>
      </c>
      <c r="H377" s="5" t="str">
        <f t="shared" si="21"/>
        <v>10/05/2023</v>
      </c>
      <c r="I377" s="2">
        <f t="shared" si="17"/>
        <v>1.5</v>
      </c>
      <c r="J377" s="2">
        <f t="shared" si="22"/>
        <v>270</v>
      </c>
      <c r="K377" s="6">
        <f t="shared" si="23"/>
        <v>0.46875</v>
      </c>
      <c r="L377" s="2" t="str">
        <f t="shared" si="18"/>
        <v>EGL</v>
      </c>
      <c r="M377" s="2">
        <f t="shared" si="25"/>
        <v>6.5</v>
      </c>
      <c r="N377" s="2">
        <f t="shared" ref="N377:N395" si="27">IF(ISERROR(N376),IF(ISERROR(N375),IF(ISERROR(N374),"BLANK",N374),N375),N376)</f>
        <v>2</v>
      </c>
      <c r="O377" s="2">
        <f t="shared" si="26"/>
        <v>1</v>
      </c>
      <c r="P377" s="27" t="s">
        <v>186</v>
      </c>
      <c r="Q377" s="7" t="str">
        <f>IF($N377=1,IF(ISERROR(VLOOKUP($P377,'M1'!$A:$C,Q$2,FALSE)),"NOT PRESENT",VLOOKUP($P377,'M1'!$A:$C,Q$2,FALSE)),IF($N377=2,IF(ISERROR(VLOOKUP(DATA!$P120,'M2'!$A:$C,Q$2,FALSE)),"NOT PRESENT",VLOOKUP(DATA!$P120,'M2'!$A:$C,Q$2,FALSE)),IF($N377=0,IF(ISERROR(VLOOKUP($P377,'M1'!$A:$C,Q$2,FALSE)),IF(ISERROR(VLOOKUP(DATA!$P120,'M2'!$A:$C,Q$2,FALSE)),"NOT PRESENT",VLOOKUP(DATA!$P120,'M2'!$A:$C,Q$2,FALSE)),VLOOKUP($P377,'M1'!$A:$C,Q$2,FALSE)),"SPECIFY METHOD")))</f>
        <v>NOT PRESENT</v>
      </c>
      <c r="R377" s="7" t="str">
        <f>IF($N377=1,IF(ISERROR(VLOOKUP($P377,'M1'!$A:$C,R$2,FALSE)),"NOT PRESENT",VLOOKUP($P377,'M1'!$A:$C,R$2,FALSE)),IF($N377=2,IF(ISERROR(VLOOKUP(DATA!$P120,'M2'!$A:$C,R$2,FALSE)),"NOT PRESENT",VLOOKUP(DATA!$P120,'M2'!$A:$C,R$2,FALSE)),IF($N377=0,IF(ISERROR(VLOOKUP($P377,'M1'!$A:$C,R$2,FALSE)),IF(ISERROR(VLOOKUP(DATA!$P120,'M2'!$A:$C,R$2,FALSE)),"NOT PRESENT",VLOOKUP(DATA!$P120,'M2'!$A:$C,R$2,FALSE)),VLOOKUP($P377,'M1'!$A:$C,R$2,FALSE)),"SPECIFY METHOD")))</f>
        <v>NOT PRESENT</v>
      </c>
      <c r="S377" s="20">
        <f t="shared" si="19"/>
        <v>13</v>
      </c>
      <c r="T377" s="2">
        <v>13</v>
      </c>
    </row>
    <row r="378" spans="1:32">
      <c r="A378" s="7">
        <f>MAX($A$1:$A377)+1</f>
        <v>377</v>
      </c>
      <c r="B378" s="2" t="str">
        <f t="shared" si="15"/>
        <v>Em Lim</v>
      </c>
      <c r="C378" s="2" t="str">
        <f t="shared" si="16"/>
        <v>Isabelle Côté</v>
      </c>
      <c r="D378" s="2" t="str">
        <f t="shared" si="20"/>
        <v>BMSC19</v>
      </c>
      <c r="E378" s="7" t="str">
        <f>IF(ISERROR(VLOOKUP($D378,SITES!$A:$E,2,FALSE)),"",VLOOKUP($D378,SITES!$A:$E,2,FALSE))</f>
        <v>Ed King SW Pyramid</v>
      </c>
      <c r="F378" s="4">
        <f>IF(ISERROR(VLOOKUP($D378,SITES!$A:$E,3,FALSE)),"",VLOOKUP($D378,SITES!$A:$E,3,FALSE))</f>
        <v>48.828601837158203</v>
      </c>
      <c r="G378" s="18">
        <f>IF(ISERROR(VLOOKUP($D378,SITES!$A:$E,4,FALSE)),"",VLOOKUP($D378,SITES!$A:$E,4,FALSE))</f>
        <v>-125.221298217773</v>
      </c>
      <c r="H378" s="5" t="str">
        <f t="shared" si="21"/>
        <v>10/05/2023</v>
      </c>
      <c r="I378" s="2">
        <f t="shared" si="17"/>
        <v>1.5</v>
      </c>
      <c r="J378" s="2">
        <f t="shared" si="22"/>
        <v>270</v>
      </c>
      <c r="K378" s="6">
        <f t="shared" si="23"/>
        <v>0.46875</v>
      </c>
      <c r="L378" s="2" t="str">
        <f t="shared" si="18"/>
        <v>EGL</v>
      </c>
      <c r="M378" s="2">
        <f t="shared" si="25"/>
        <v>6.5</v>
      </c>
      <c r="N378" s="2">
        <f t="shared" si="27"/>
        <v>2</v>
      </c>
      <c r="O378" s="2">
        <f t="shared" si="26"/>
        <v>1</v>
      </c>
      <c r="P378" s="49" t="s">
        <v>181</v>
      </c>
      <c r="Q378" s="30" t="str">
        <f>IF($N378=1,IF(ISERROR(VLOOKUP($P378,'M1'!$A:$C,Q$2,FALSE)),"NOT PRESENT",VLOOKUP($P378,'M1'!$A:$C,Q$2,FALSE)),IF($N378=2,IF(ISERROR(VLOOKUP(DATA!$P121,'M2'!$A:$C,Q$2,FALSE)),"NOT PRESENT",VLOOKUP(DATA!$P121,'M2'!$A:$C,Q$2,FALSE)),IF($N378=0,IF(ISERROR(VLOOKUP($P378,'M1'!$A:$C,Q$2,FALSE)),IF(ISERROR(VLOOKUP(DATA!$P121,'M2'!$A:$C,Q$2,FALSE)),"NOT PRESENT",VLOOKUP(DATA!$P121,'M2'!$A:$C,Q$2,FALSE)),VLOOKUP($P378,'M1'!$A:$C,Q$2,FALSE)),"SPECIFY METHOD")))</f>
        <v>NOT PRESENT</v>
      </c>
      <c r="R378" s="30" t="str">
        <f>IF($N378=1,IF(ISERROR(VLOOKUP($P378,'M1'!$A:$C,R$2,FALSE)),"NOT PRESENT",VLOOKUP($P378,'M1'!$A:$C,R$2,FALSE)),IF($N378=2,IF(ISERROR(VLOOKUP(DATA!$P121,'M2'!$A:$C,R$2,FALSE)),"NOT PRESENT",VLOOKUP(DATA!$P121,'M2'!$A:$C,R$2,FALSE)),IF($N378=0,IF(ISERROR(VLOOKUP($P378,'M1'!$A:$C,R$2,FALSE)),IF(ISERROR(VLOOKUP(DATA!$P121,'M2'!$A:$C,R$2,FALSE)),"NOT PRESENT",VLOOKUP(DATA!$P121,'M2'!$A:$C,R$2,FALSE)),VLOOKUP($P378,'M1'!$A:$C,R$2,FALSE)),"SPECIFY METHOD")))</f>
        <v>NOT PRESENT</v>
      </c>
      <c r="S378" s="31">
        <f t="shared" si="19"/>
        <v>40</v>
      </c>
      <c r="T378" s="2">
        <v>40</v>
      </c>
    </row>
    <row r="379" spans="1:32">
      <c r="A379" s="7">
        <f>MAX($A$1:$A378)+1</f>
        <v>378</v>
      </c>
      <c r="B379" s="2" t="str">
        <f t="shared" si="15"/>
        <v>Em Lim</v>
      </c>
      <c r="C379" s="2" t="str">
        <f t="shared" si="16"/>
        <v>Isabelle Côté</v>
      </c>
      <c r="D379" s="2" t="str">
        <f t="shared" si="20"/>
        <v>BMSC19</v>
      </c>
      <c r="E379" s="7" t="str">
        <f>IF(ISERROR(VLOOKUP($D379,SITES!$A:$E,2,FALSE)),"",VLOOKUP($D379,SITES!$A:$E,2,FALSE))</f>
        <v>Ed King SW Pyramid</v>
      </c>
      <c r="F379" s="4">
        <f>IF(ISERROR(VLOOKUP($D379,SITES!$A:$E,3,FALSE)),"",VLOOKUP($D379,SITES!$A:$E,3,FALSE))</f>
        <v>48.828601837158203</v>
      </c>
      <c r="G379" s="18">
        <f>IF(ISERROR(VLOOKUP($D379,SITES!$A:$E,4,FALSE)),"",VLOOKUP($D379,SITES!$A:$E,4,FALSE))</f>
        <v>-125.221298217773</v>
      </c>
      <c r="H379" s="5" t="str">
        <f t="shared" si="21"/>
        <v>10/05/2023</v>
      </c>
      <c r="I379" s="2">
        <f t="shared" si="17"/>
        <v>1.5</v>
      </c>
      <c r="J379" s="2">
        <f t="shared" si="22"/>
        <v>270</v>
      </c>
      <c r="K379" s="6">
        <f t="shared" si="23"/>
        <v>0.46875</v>
      </c>
      <c r="L379" s="2" t="str">
        <f t="shared" si="18"/>
        <v>EGL</v>
      </c>
      <c r="M379" s="2">
        <f t="shared" si="25"/>
        <v>6.5</v>
      </c>
      <c r="N379" s="2">
        <f t="shared" si="27"/>
        <v>2</v>
      </c>
      <c r="O379" s="2">
        <f t="shared" si="26"/>
        <v>1</v>
      </c>
      <c r="P379" s="27" t="s">
        <v>180</v>
      </c>
      <c r="Q379" s="7" t="str">
        <f>IF($N379=1,IF(ISERROR(VLOOKUP($P379,'M1'!$A:$C,Q$2,FALSE)),"NOT PRESENT",VLOOKUP($P379,'M1'!$A:$C,Q$2,FALSE)),IF($N379=2,IF(ISERROR(VLOOKUP(DATA!$P122,'M2'!$A:$C,Q$2,FALSE)),"NOT PRESENT",VLOOKUP(DATA!$P122,'M2'!$A:$C,Q$2,FALSE)),IF($N379=0,IF(ISERROR(VLOOKUP($P379,'M1'!$A:$C,Q$2,FALSE)),IF(ISERROR(VLOOKUP(DATA!$P122,'M2'!$A:$C,Q$2,FALSE)),"NOT PRESENT",VLOOKUP(DATA!$P122,'M2'!$A:$C,Q$2,FALSE)),VLOOKUP($P379,'M1'!$A:$C,Q$2,FALSE)),"SPECIFY METHOD")))</f>
        <v>NOT PRESENT</v>
      </c>
      <c r="R379" s="7" t="str">
        <f>IF($N379=1,IF(ISERROR(VLOOKUP($P379,'M1'!$A:$C,R$2,FALSE)),"NOT PRESENT",VLOOKUP($P379,'M1'!$A:$C,R$2,FALSE)),IF($N379=2,IF(ISERROR(VLOOKUP(DATA!$P122,'M2'!$A:$C,R$2,FALSE)),"NOT PRESENT",VLOOKUP(DATA!$P122,'M2'!$A:$C,R$2,FALSE)),IF($N379=0,IF(ISERROR(VLOOKUP($P379,'M1'!$A:$C,R$2,FALSE)),IF(ISERROR(VLOOKUP(DATA!$P122,'M2'!$A:$C,R$2,FALSE)),"NOT PRESENT",VLOOKUP(DATA!$P122,'M2'!$A:$C,R$2,FALSE)),VLOOKUP($P379,'M1'!$A:$C,R$2,FALSE)),"SPECIFY METHOD")))</f>
        <v>NOT PRESENT</v>
      </c>
      <c r="S379" s="20">
        <f t="shared" si="19"/>
        <v>27</v>
      </c>
      <c r="T379" s="2">
        <v>27</v>
      </c>
    </row>
    <row r="380" spans="1:32">
      <c r="A380" s="7">
        <f>MAX($A$1:$A379)+1</f>
        <v>379</v>
      </c>
      <c r="B380" s="2" t="str">
        <f t="shared" si="15"/>
        <v>Em Lim</v>
      </c>
      <c r="C380" s="2" t="str">
        <f t="shared" si="16"/>
        <v>Isabelle Côté</v>
      </c>
      <c r="D380" s="2" t="str">
        <f t="shared" si="20"/>
        <v>BMSC19</v>
      </c>
      <c r="E380" s="7" t="str">
        <f>IF(ISERROR(VLOOKUP($D380,SITES!$A:$E,2,FALSE)),"",VLOOKUP($D380,SITES!$A:$E,2,FALSE))</f>
        <v>Ed King SW Pyramid</v>
      </c>
      <c r="F380" s="4">
        <f>IF(ISERROR(VLOOKUP($D380,SITES!$A:$E,3,FALSE)),"",VLOOKUP($D380,SITES!$A:$E,3,FALSE))</f>
        <v>48.828601837158203</v>
      </c>
      <c r="G380" s="18">
        <f>IF(ISERROR(VLOOKUP($D380,SITES!$A:$E,4,FALSE)),"",VLOOKUP($D380,SITES!$A:$E,4,FALSE))</f>
        <v>-125.221298217773</v>
      </c>
      <c r="H380" s="5" t="str">
        <f t="shared" si="21"/>
        <v>10/05/2023</v>
      </c>
      <c r="I380" s="2">
        <f t="shared" si="17"/>
        <v>1.5</v>
      </c>
      <c r="J380" s="2">
        <f t="shared" si="22"/>
        <v>270</v>
      </c>
      <c r="K380" s="6">
        <f t="shared" si="23"/>
        <v>0.46875</v>
      </c>
      <c r="L380" s="2" t="str">
        <f t="shared" si="18"/>
        <v>EGL</v>
      </c>
      <c r="M380" s="2">
        <f t="shared" si="25"/>
        <v>6.5</v>
      </c>
      <c r="N380" s="2">
        <f t="shared" si="27"/>
        <v>2</v>
      </c>
      <c r="O380" s="2">
        <f t="shared" si="26"/>
        <v>1</v>
      </c>
      <c r="P380" s="27" t="s">
        <v>190</v>
      </c>
      <c r="Q380" s="7" t="str">
        <f>IF($N380=1,IF(ISERROR(VLOOKUP($P380,'M1'!$A:$C,Q$2,FALSE)),"NOT PRESENT",VLOOKUP($P380,'M1'!$A:$C,Q$2,FALSE)),IF($N380=2,IF(ISERROR(VLOOKUP(DATA!$P123,'M2'!$A:$C,Q$2,FALSE)),"NOT PRESENT",VLOOKUP(DATA!$P123,'M2'!$A:$C,Q$2,FALSE)),IF($N380=0,IF(ISERROR(VLOOKUP($P380,'M1'!$A:$C,Q$2,FALSE)),IF(ISERROR(VLOOKUP(DATA!$P123,'M2'!$A:$C,Q$2,FALSE)),"NOT PRESENT",VLOOKUP(DATA!$P123,'M2'!$A:$C,Q$2,FALSE)),VLOOKUP($P380,'M1'!$A:$C,Q$2,FALSE)),"SPECIFY METHOD")))</f>
        <v>NOT PRESENT</v>
      </c>
      <c r="R380" s="7" t="str">
        <f>IF($N380=1,IF(ISERROR(VLOOKUP($P380,'M1'!$A:$C,R$2,FALSE)),"NOT PRESENT",VLOOKUP($P380,'M1'!$A:$C,R$2,FALSE)),IF($N380=2,IF(ISERROR(VLOOKUP(DATA!$P123,'M2'!$A:$C,R$2,FALSE)),"NOT PRESENT",VLOOKUP(DATA!$P123,'M2'!$A:$C,R$2,FALSE)),IF($N380=0,IF(ISERROR(VLOOKUP($P380,'M1'!$A:$C,R$2,FALSE)),IF(ISERROR(VLOOKUP(DATA!$P123,'M2'!$A:$C,R$2,FALSE)),"NOT PRESENT",VLOOKUP(DATA!$P123,'M2'!$A:$C,R$2,FALSE)),VLOOKUP($P380,'M1'!$A:$C,R$2,FALSE)),"SPECIFY METHOD")))</f>
        <v>NOT PRESENT</v>
      </c>
      <c r="S380" s="20">
        <f t="shared" si="19"/>
        <v>4</v>
      </c>
      <c r="T380" s="2">
        <v>4</v>
      </c>
    </row>
    <row r="381" spans="1:32">
      <c r="A381" s="7">
        <f>MAX($A$1:$A380)+1</f>
        <v>380</v>
      </c>
      <c r="B381" s="2" t="str">
        <f t="shared" si="15"/>
        <v>Em Lim</v>
      </c>
      <c r="C381" s="2" t="str">
        <f t="shared" si="16"/>
        <v>Isabelle Côté</v>
      </c>
      <c r="D381" s="2" t="str">
        <f t="shared" si="20"/>
        <v>BMSC19</v>
      </c>
      <c r="E381" s="7" t="str">
        <f>IF(ISERROR(VLOOKUP($D381,SITES!$A:$E,2,FALSE)),"",VLOOKUP($D381,SITES!$A:$E,2,FALSE))</f>
        <v>Ed King SW Pyramid</v>
      </c>
      <c r="F381" s="4">
        <f>IF(ISERROR(VLOOKUP($D381,SITES!$A:$E,3,FALSE)),"",VLOOKUP($D381,SITES!$A:$E,3,FALSE))</f>
        <v>48.828601837158203</v>
      </c>
      <c r="G381" s="18">
        <f>IF(ISERROR(VLOOKUP($D381,SITES!$A:$E,4,FALSE)),"",VLOOKUP($D381,SITES!$A:$E,4,FALSE))</f>
        <v>-125.221298217773</v>
      </c>
      <c r="H381" s="5" t="str">
        <f t="shared" si="21"/>
        <v>10/05/2023</v>
      </c>
      <c r="I381" s="2">
        <f t="shared" si="17"/>
        <v>1.5</v>
      </c>
      <c r="J381" s="2">
        <f t="shared" si="22"/>
        <v>270</v>
      </c>
      <c r="K381" s="6">
        <f t="shared" si="23"/>
        <v>0.46875</v>
      </c>
      <c r="L381" s="2" t="str">
        <f t="shared" si="18"/>
        <v>EGL</v>
      </c>
      <c r="M381" s="2">
        <f t="shared" si="25"/>
        <v>6.5</v>
      </c>
      <c r="N381" s="2">
        <f t="shared" si="27"/>
        <v>2</v>
      </c>
      <c r="O381" s="2">
        <f t="shared" si="26"/>
        <v>1</v>
      </c>
      <c r="P381" s="27" t="s">
        <v>196</v>
      </c>
      <c r="Q381" s="7" t="str">
        <f>IF($N381=1,IF(ISERROR(VLOOKUP($P381,'M1'!$A:$C,Q$2,FALSE)),"NOT PRESENT",VLOOKUP($P381,'M1'!$A:$C,Q$2,FALSE)),IF($N381=2,IF(ISERROR(VLOOKUP(DATA!$P124,'M2'!$A:$C,Q$2,FALSE)),"NOT PRESENT",VLOOKUP(DATA!$P124,'M2'!$A:$C,Q$2,FALSE)),IF($N381=0,IF(ISERROR(VLOOKUP($P381,'M1'!$A:$C,Q$2,FALSE)),IF(ISERROR(VLOOKUP(DATA!$P124,'M2'!$A:$C,Q$2,FALSE)),"NOT PRESENT",VLOOKUP(DATA!$P124,'M2'!$A:$C,Q$2,FALSE)),VLOOKUP($P381,'M1'!$A:$C,Q$2,FALSE)),"SPECIFY METHOD")))</f>
        <v>NOT PRESENT</v>
      </c>
      <c r="R381" s="7" t="str">
        <f>IF($N381=1,IF(ISERROR(VLOOKUP($P381,'M1'!$A:$C,R$2,FALSE)),"NOT PRESENT",VLOOKUP($P381,'M1'!$A:$C,R$2,FALSE)),IF($N381=2,IF(ISERROR(VLOOKUP(DATA!$P124,'M2'!$A:$C,R$2,FALSE)),"NOT PRESENT",VLOOKUP(DATA!$P124,'M2'!$A:$C,R$2,FALSE)),IF($N381=0,IF(ISERROR(VLOOKUP($P381,'M1'!$A:$C,R$2,FALSE)),IF(ISERROR(VLOOKUP(DATA!$P124,'M2'!$A:$C,R$2,FALSE)),"NOT PRESENT",VLOOKUP(DATA!$P124,'M2'!$A:$C,R$2,FALSE)),VLOOKUP($P381,'M1'!$A:$C,R$2,FALSE)),"SPECIFY METHOD")))</f>
        <v>NOT PRESENT</v>
      </c>
      <c r="S381" s="20">
        <f t="shared" si="19"/>
        <v>11</v>
      </c>
      <c r="T381" s="2">
        <v>11</v>
      </c>
    </row>
    <row r="382" spans="1:32">
      <c r="A382" s="7">
        <f>MAX($A$1:$A381)+1</f>
        <v>381</v>
      </c>
      <c r="B382" s="2" t="str">
        <f t="shared" si="15"/>
        <v>Em Lim</v>
      </c>
      <c r="C382" s="2" t="str">
        <f t="shared" si="16"/>
        <v>Isabelle Côté</v>
      </c>
      <c r="D382" s="2" t="str">
        <f t="shared" si="20"/>
        <v>BMSC19</v>
      </c>
      <c r="E382" s="7" t="str">
        <f>IF(ISERROR(VLOOKUP($D382,SITES!$A:$E,2,FALSE)),"",VLOOKUP($D382,SITES!$A:$E,2,FALSE))</f>
        <v>Ed King SW Pyramid</v>
      </c>
      <c r="F382" s="4">
        <f>IF(ISERROR(VLOOKUP($D382,SITES!$A:$E,3,FALSE)),"",VLOOKUP($D382,SITES!$A:$E,3,FALSE))</f>
        <v>48.828601837158203</v>
      </c>
      <c r="G382" s="18">
        <f>IF(ISERROR(VLOOKUP($D382,SITES!$A:$E,4,FALSE)),"",VLOOKUP($D382,SITES!$A:$E,4,FALSE))</f>
        <v>-125.221298217773</v>
      </c>
      <c r="H382" s="5" t="str">
        <f t="shared" si="21"/>
        <v>10/05/2023</v>
      </c>
      <c r="I382" s="2">
        <f t="shared" si="17"/>
        <v>1.5</v>
      </c>
      <c r="J382" s="2">
        <f t="shared" si="22"/>
        <v>270</v>
      </c>
      <c r="K382" s="6">
        <f t="shared" si="23"/>
        <v>0.46875</v>
      </c>
      <c r="L382" s="2" t="str">
        <f t="shared" si="18"/>
        <v>EGL</v>
      </c>
      <c r="M382" s="2">
        <f t="shared" si="25"/>
        <v>6.5</v>
      </c>
      <c r="N382" s="2">
        <f t="shared" si="27"/>
        <v>2</v>
      </c>
      <c r="O382" s="2">
        <f t="shared" si="26"/>
        <v>1</v>
      </c>
      <c r="P382" s="27" t="s">
        <v>219</v>
      </c>
      <c r="Q382" s="7" t="str">
        <f>IF($N382=1,IF(ISERROR(VLOOKUP($P382,'M1'!$A:$C,Q$2,FALSE)),"NOT PRESENT",VLOOKUP($P382,'M1'!$A:$C,Q$2,FALSE)),IF($N382=2,IF(ISERROR(VLOOKUP(DATA!$P125,'M2'!$A:$C,Q$2,FALSE)),"NOT PRESENT",VLOOKUP(DATA!$P125,'M2'!$A:$C,Q$2,FALSE)),IF($N382=0,IF(ISERROR(VLOOKUP($P382,'M1'!$A:$C,Q$2,FALSE)),IF(ISERROR(VLOOKUP(DATA!$P125,'M2'!$A:$C,Q$2,FALSE)),"NOT PRESENT",VLOOKUP(DATA!$P125,'M2'!$A:$C,Q$2,FALSE)),VLOOKUP($P382,'M1'!$A:$C,Q$2,FALSE)),"SPECIFY METHOD")))</f>
        <v>NOT PRESENT</v>
      </c>
      <c r="R382" s="7" t="str">
        <f>IF($N382=1,IF(ISERROR(VLOOKUP($P382,'M1'!$A:$C,R$2,FALSE)),"NOT PRESENT",VLOOKUP($P382,'M1'!$A:$C,R$2,FALSE)),IF($N382=2,IF(ISERROR(VLOOKUP(DATA!$P125,'M2'!$A:$C,R$2,FALSE)),"NOT PRESENT",VLOOKUP(DATA!$P125,'M2'!$A:$C,R$2,FALSE)),IF($N382=0,IF(ISERROR(VLOOKUP($P382,'M1'!$A:$C,R$2,FALSE)),IF(ISERROR(VLOOKUP(DATA!$P125,'M2'!$A:$C,R$2,FALSE)),"NOT PRESENT",VLOOKUP(DATA!$P125,'M2'!$A:$C,R$2,FALSE)),VLOOKUP($P382,'M1'!$A:$C,R$2,FALSE)),"SPECIFY METHOD")))</f>
        <v>NOT PRESENT</v>
      </c>
      <c r="S382" s="20">
        <f t="shared" si="19"/>
        <v>19</v>
      </c>
      <c r="T382" s="2">
        <v>19</v>
      </c>
    </row>
    <row r="383" spans="1:32">
      <c r="A383" s="7">
        <f>MAX($A$1:$A382)+1</f>
        <v>382</v>
      </c>
      <c r="B383" s="2" t="str">
        <f t="shared" si="15"/>
        <v>Em Lim</v>
      </c>
      <c r="C383" s="2" t="str">
        <f t="shared" si="16"/>
        <v>Isabelle Côté</v>
      </c>
      <c r="D383" s="2" t="str">
        <f t="shared" si="20"/>
        <v>BMSC19</v>
      </c>
      <c r="E383" s="7" t="str">
        <f>IF(ISERROR(VLOOKUP($D383,SITES!$A:$E,2,FALSE)),"",VLOOKUP($D383,SITES!$A:$E,2,FALSE))</f>
        <v>Ed King SW Pyramid</v>
      </c>
      <c r="F383" s="4">
        <f>IF(ISERROR(VLOOKUP($D383,SITES!$A:$E,3,FALSE)),"",VLOOKUP($D383,SITES!$A:$E,3,FALSE))</f>
        <v>48.828601837158203</v>
      </c>
      <c r="G383" s="18">
        <f>IF(ISERROR(VLOOKUP($D383,SITES!$A:$E,4,FALSE)),"",VLOOKUP($D383,SITES!$A:$E,4,FALSE))</f>
        <v>-125.221298217773</v>
      </c>
      <c r="H383" s="5" t="str">
        <f t="shared" si="21"/>
        <v>10/05/2023</v>
      </c>
      <c r="I383" s="2">
        <f t="shared" si="17"/>
        <v>1.5</v>
      </c>
      <c r="J383" s="2">
        <f t="shared" si="22"/>
        <v>270</v>
      </c>
      <c r="K383" s="6">
        <f t="shared" si="23"/>
        <v>0.46875</v>
      </c>
      <c r="L383" s="2" t="str">
        <f t="shared" si="18"/>
        <v>EGL</v>
      </c>
      <c r="M383" s="2">
        <f t="shared" si="25"/>
        <v>6.5</v>
      </c>
      <c r="N383" s="2">
        <f t="shared" si="27"/>
        <v>2</v>
      </c>
      <c r="O383" s="2">
        <f t="shared" si="26"/>
        <v>1</v>
      </c>
      <c r="P383" s="27" t="s">
        <v>184</v>
      </c>
      <c r="Q383" s="7" t="str">
        <f>IF($N383=1,IF(ISERROR(VLOOKUP($P383,'M1'!$A:$C,Q$2,FALSE)),"NOT PRESENT",VLOOKUP($P383,'M1'!$A:$C,Q$2,FALSE)),IF($N383=2,IF(ISERROR(VLOOKUP(DATA!$P126,'M2'!$A:$C,Q$2,FALSE)),"NOT PRESENT",VLOOKUP(DATA!$P126,'M2'!$A:$C,Q$2,FALSE)),IF($N383=0,IF(ISERROR(VLOOKUP($P383,'M1'!$A:$C,Q$2,FALSE)),IF(ISERROR(VLOOKUP(DATA!$P126,'M2'!$A:$C,Q$2,FALSE)),"NOT PRESENT",VLOOKUP(DATA!$P126,'M2'!$A:$C,Q$2,FALSE)),VLOOKUP($P383,'M1'!$A:$C,Q$2,FALSE)),"SPECIFY METHOD")))</f>
        <v>NOT PRESENT</v>
      </c>
      <c r="R383" s="7" t="str">
        <f>IF($N383=1,IF(ISERROR(VLOOKUP($P383,'M1'!$A:$C,R$2,FALSE)),"NOT PRESENT",VLOOKUP($P383,'M1'!$A:$C,R$2,FALSE)),IF($N383=2,IF(ISERROR(VLOOKUP(DATA!$P126,'M2'!$A:$C,R$2,FALSE)),"NOT PRESENT",VLOOKUP(DATA!$P126,'M2'!$A:$C,R$2,FALSE)),IF($N383=0,IF(ISERROR(VLOOKUP($P383,'M1'!$A:$C,R$2,FALSE)),IF(ISERROR(VLOOKUP(DATA!$P126,'M2'!$A:$C,R$2,FALSE)),"NOT PRESENT",VLOOKUP(DATA!$P126,'M2'!$A:$C,R$2,FALSE)),VLOOKUP($P383,'M1'!$A:$C,R$2,FALSE)),"SPECIFY METHOD")))</f>
        <v>NOT PRESENT</v>
      </c>
      <c r="S383" s="20">
        <f t="shared" si="19"/>
        <v>13</v>
      </c>
      <c r="T383" s="2">
        <v>13</v>
      </c>
    </row>
    <row r="384" spans="1:32">
      <c r="A384" s="7">
        <f>MAX($A$1:$A383)+1</f>
        <v>383</v>
      </c>
      <c r="B384" s="2" t="str">
        <f t="shared" si="15"/>
        <v>Em Lim</v>
      </c>
      <c r="C384" s="2" t="str">
        <f t="shared" si="16"/>
        <v>Isabelle Côté</v>
      </c>
      <c r="D384" s="2" t="str">
        <f t="shared" si="20"/>
        <v>BMSC19</v>
      </c>
      <c r="E384" s="7" t="str">
        <f>IF(ISERROR(VLOOKUP($D384,SITES!$A:$E,2,FALSE)),"",VLOOKUP($D384,SITES!$A:$E,2,FALSE))</f>
        <v>Ed King SW Pyramid</v>
      </c>
      <c r="F384" s="4">
        <f>IF(ISERROR(VLOOKUP($D384,SITES!$A:$E,3,FALSE)),"",VLOOKUP($D384,SITES!$A:$E,3,FALSE))</f>
        <v>48.828601837158203</v>
      </c>
      <c r="G384" s="18">
        <f>IF(ISERROR(VLOOKUP($D384,SITES!$A:$E,4,FALSE)),"",VLOOKUP($D384,SITES!$A:$E,4,FALSE))</f>
        <v>-125.221298217773</v>
      </c>
      <c r="H384" s="5" t="str">
        <f t="shared" si="21"/>
        <v>10/05/2023</v>
      </c>
      <c r="I384" s="2">
        <f t="shared" si="17"/>
        <v>1.5</v>
      </c>
      <c r="J384" s="2">
        <f t="shared" si="22"/>
        <v>270</v>
      </c>
      <c r="K384" s="6">
        <f t="shared" si="23"/>
        <v>0.46875</v>
      </c>
      <c r="L384" s="2" t="str">
        <f t="shared" si="18"/>
        <v>EGL</v>
      </c>
      <c r="M384" s="2">
        <f t="shared" si="25"/>
        <v>6.5</v>
      </c>
      <c r="N384" s="2">
        <f t="shared" si="27"/>
        <v>2</v>
      </c>
      <c r="O384" s="2">
        <f t="shared" si="26"/>
        <v>1</v>
      </c>
      <c r="P384" s="27" t="s">
        <v>179</v>
      </c>
      <c r="Q384" s="7" t="str">
        <f>IF($N384=1,IF(ISERROR(VLOOKUP($P384,'M1'!$A:$C,Q$2,FALSE)),"NOT PRESENT",VLOOKUP($P384,'M1'!$A:$C,Q$2,FALSE)),IF($N384=2,IF(ISERROR(VLOOKUP(DATA!$P127,'M2'!$A:$C,Q$2,FALSE)),"NOT PRESENT",VLOOKUP(DATA!$P127,'M2'!$A:$C,Q$2,FALSE)),IF($N384=0,IF(ISERROR(VLOOKUP($P384,'M1'!$A:$C,Q$2,FALSE)),IF(ISERROR(VLOOKUP(DATA!$P127,'M2'!$A:$C,Q$2,FALSE)),"NOT PRESENT",VLOOKUP(DATA!$P127,'M2'!$A:$C,Q$2,FALSE)),VLOOKUP($P384,'M1'!$A:$C,Q$2,FALSE)),"SPECIFY METHOD")))</f>
        <v>NOT PRESENT</v>
      </c>
      <c r="R384" s="7" t="str">
        <f>IF($N384=1,IF(ISERROR(VLOOKUP($P384,'M1'!$A:$C,R$2,FALSE)),"NOT PRESENT",VLOOKUP($P384,'M1'!$A:$C,R$2,FALSE)),IF($N384=2,IF(ISERROR(VLOOKUP(DATA!$P127,'M2'!$A:$C,R$2,FALSE)),"NOT PRESENT",VLOOKUP(DATA!$P127,'M2'!$A:$C,R$2,FALSE)),IF($N384=0,IF(ISERROR(VLOOKUP($P384,'M1'!$A:$C,R$2,FALSE)),IF(ISERROR(VLOOKUP(DATA!$P127,'M2'!$A:$C,R$2,FALSE)),"NOT PRESENT",VLOOKUP(DATA!$P127,'M2'!$A:$C,R$2,FALSE)),VLOOKUP($P384,'M1'!$A:$C,R$2,FALSE)),"SPECIFY METHOD")))</f>
        <v>NOT PRESENT</v>
      </c>
      <c r="S384" s="20">
        <f t="shared" si="19"/>
        <v>4</v>
      </c>
      <c r="T384" s="2">
        <v>4</v>
      </c>
    </row>
    <row r="385" spans="1:31">
      <c r="A385" s="7">
        <f>MAX($A$1:$A384)+1</f>
        <v>384</v>
      </c>
      <c r="B385" s="2" t="str">
        <f t="shared" si="15"/>
        <v>Em Lim</v>
      </c>
      <c r="C385" s="2" t="str">
        <f t="shared" si="16"/>
        <v>Isabelle Côté</v>
      </c>
      <c r="D385" s="2" t="str">
        <f t="shared" si="20"/>
        <v>BMSC19</v>
      </c>
      <c r="E385" s="7" t="str">
        <f>IF(ISERROR(VLOOKUP($D385,SITES!$A:$E,2,FALSE)),"",VLOOKUP($D385,SITES!$A:$E,2,FALSE))</f>
        <v>Ed King SW Pyramid</v>
      </c>
      <c r="F385" s="4">
        <f>IF(ISERROR(VLOOKUP($D385,SITES!$A:$E,3,FALSE)),"",VLOOKUP($D385,SITES!$A:$E,3,FALSE))</f>
        <v>48.828601837158203</v>
      </c>
      <c r="G385" s="18">
        <f>IF(ISERROR(VLOOKUP($D385,SITES!$A:$E,4,FALSE)),"",VLOOKUP($D385,SITES!$A:$E,4,FALSE))</f>
        <v>-125.221298217773</v>
      </c>
      <c r="H385" s="5" t="str">
        <f t="shared" si="21"/>
        <v>10/05/2023</v>
      </c>
      <c r="I385" s="2">
        <f t="shared" si="17"/>
        <v>1.5</v>
      </c>
      <c r="J385" s="2">
        <f t="shared" si="22"/>
        <v>270</v>
      </c>
      <c r="K385" s="6">
        <f t="shared" si="23"/>
        <v>0.46875</v>
      </c>
      <c r="L385" s="2" t="str">
        <f t="shared" si="18"/>
        <v>EGL</v>
      </c>
      <c r="M385" s="2">
        <f t="shared" si="25"/>
        <v>6.5</v>
      </c>
      <c r="N385" s="2">
        <f t="shared" si="27"/>
        <v>2</v>
      </c>
      <c r="O385" s="2">
        <f t="shared" si="26"/>
        <v>1</v>
      </c>
      <c r="P385" s="27" t="s">
        <v>203</v>
      </c>
      <c r="Q385" s="7" t="str">
        <f>IF($N385=1,IF(ISERROR(VLOOKUP($P385,'M1'!$A:$C,Q$2,FALSE)),"NOT PRESENT",VLOOKUP($P385,'M1'!$A:$C,Q$2,FALSE)),IF($N385=2,IF(ISERROR(VLOOKUP(DATA!$P128,'M2'!$A:$C,Q$2,FALSE)),"NOT PRESENT",VLOOKUP(DATA!$P128,'M2'!$A:$C,Q$2,FALSE)),IF($N385=0,IF(ISERROR(VLOOKUP($P385,'M1'!$A:$C,Q$2,FALSE)),IF(ISERROR(VLOOKUP(DATA!$P128,'M2'!$A:$C,Q$2,FALSE)),"NOT PRESENT",VLOOKUP(DATA!$P128,'M2'!$A:$C,Q$2,FALSE)),VLOOKUP($P385,'M1'!$A:$C,Q$2,FALSE)),"SPECIFY METHOD")))</f>
        <v>NOT PRESENT</v>
      </c>
      <c r="R385" s="7" t="str">
        <f>IF($N385=1,IF(ISERROR(VLOOKUP($P385,'M1'!$A:$C,R$2,FALSE)),"NOT PRESENT",VLOOKUP($P385,'M1'!$A:$C,R$2,FALSE)),IF($N385=2,IF(ISERROR(VLOOKUP(DATA!$P128,'M2'!$A:$C,R$2,FALSE)),"NOT PRESENT",VLOOKUP(DATA!$P128,'M2'!$A:$C,R$2,FALSE)),IF($N385=0,IF(ISERROR(VLOOKUP($P385,'M1'!$A:$C,R$2,FALSE)),IF(ISERROR(VLOOKUP(DATA!$P128,'M2'!$A:$C,R$2,FALSE)),"NOT PRESENT",VLOOKUP(DATA!$P128,'M2'!$A:$C,R$2,FALSE)),VLOOKUP($P385,'M1'!$A:$C,R$2,FALSE)),"SPECIFY METHOD")))</f>
        <v>NOT PRESENT</v>
      </c>
      <c r="S385" s="20">
        <f t="shared" si="19"/>
        <v>16</v>
      </c>
      <c r="T385" s="2">
        <v>16</v>
      </c>
    </row>
    <row r="386" spans="1:31">
      <c r="A386" s="7">
        <f>MAX($A$1:$A385)+1</f>
        <v>385</v>
      </c>
      <c r="B386" s="2" t="str">
        <f t="shared" si="15"/>
        <v>Em Lim</v>
      </c>
      <c r="C386" s="2" t="str">
        <f t="shared" si="16"/>
        <v>Isabelle Côté</v>
      </c>
      <c r="D386" s="2" t="str">
        <f t="shared" si="20"/>
        <v>BMSC19</v>
      </c>
      <c r="E386" s="7" t="str">
        <f>IF(ISERROR(VLOOKUP($D386,SITES!$A:$E,2,FALSE)),"",VLOOKUP($D386,SITES!$A:$E,2,FALSE))</f>
        <v>Ed King SW Pyramid</v>
      </c>
      <c r="F386" s="4">
        <f>IF(ISERROR(VLOOKUP($D386,SITES!$A:$E,3,FALSE)),"",VLOOKUP($D386,SITES!$A:$E,3,FALSE))</f>
        <v>48.828601837158203</v>
      </c>
      <c r="G386" s="18">
        <f>IF(ISERROR(VLOOKUP($D386,SITES!$A:$E,4,FALSE)),"",VLOOKUP($D386,SITES!$A:$E,4,FALSE))</f>
        <v>-125.221298217773</v>
      </c>
      <c r="H386" s="5" t="str">
        <f t="shared" si="21"/>
        <v>10/05/2023</v>
      </c>
      <c r="I386" s="2">
        <f t="shared" si="17"/>
        <v>1.5</v>
      </c>
      <c r="J386" s="2">
        <f t="shared" si="22"/>
        <v>270</v>
      </c>
      <c r="K386" s="6">
        <f t="shared" si="23"/>
        <v>0.46875</v>
      </c>
      <c r="L386" s="2" t="str">
        <f t="shared" si="18"/>
        <v>EGL</v>
      </c>
      <c r="M386" s="2">
        <f t="shared" si="25"/>
        <v>6.5</v>
      </c>
      <c r="N386" s="2">
        <f t="shared" si="27"/>
        <v>2</v>
      </c>
      <c r="O386" s="2">
        <f t="shared" si="26"/>
        <v>1</v>
      </c>
      <c r="P386" s="27" t="s">
        <v>183</v>
      </c>
      <c r="Q386" s="7" t="str">
        <f>IF($N386=1,IF(ISERROR(VLOOKUP($P386,'M1'!$A:$C,Q$2,FALSE)),"NOT PRESENT",VLOOKUP($P386,'M1'!$A:$C,Q$2,FALSE)),IF($N386=2,IF(ISERROR(VLOOKUP(DATA!$P129,'M2'!$A:$C,Q$2,FALSE)),"NOT PRESENT",VLOOKUP(DATA!$P129,'M2'!$A:$C,Q$2,FALSE)),IF($N386=0,IF(ISERROR(VLOOKUP($P386,'M1'!$A:$C,Q$2,FALSE)),IF(ISERROR(VLOOKUP(DATA!$P129,'M2'!$A:$C,Q$2,FALSE)),"NOT PRESENT",VLOOKUP(DATA!$P129,'M2'!$A:$C,Q$2,FALSE)),VLOOKUP($P386,'M1'!$A:$C,Q$2,FALSE)),"SPECIFY METHOD")))</f>
        <v>NOT PRESENT</v>
      </c>
      <c r="R386" s="7" t="str">
        <f>IF($N386=1,IF(ISERROR(VLOOKUP($P386,'M1'!$A:$C,R$2,FALSE)),"NOT PRESENT",VLOOKUP($P386,'M1'!$A:$C,R$2,FALSE)),IF($N386=2,IF(ISERROR(VLOOKUP(DATA!$P129,'M2'!$A:$C,R$2,FALSE)),"NOT PRESENT",VLOOKUP(DATA!$P129,'M2'!$A:$C,R$2,FALSE)),IF($N386=0,IF(ISERROR(VLOOKUP($P386,'M1'!$A:$C,R$2,FALSE)),IF(ISERROR(VLOOKUP(DATA!$P129,'M2'!$A:$C,R$2,FALSE)),"NOT PRESENT",VLOOKUP(DATA!$P129,'M2'!$A:$C,R$2,FALSE)),VLOOKUP($P386,'M1'!$A:$C,R$2,FALSE)),"SPECIFY METHOD")))</f>
        <v>NOT PRESENT</v>
      </c>
      <c r="S386" s="20">
        <f t="shared" si="19"/>
        <v>1</v>
      </c>
      <c r="T386" s="2">
        <v>1</v>
      </c>
    </row>
    <row r="387" spans="1:31">
      <c r="A387" s="7">
        <f>MAX($A$1:$A386)+1</f>
        <v>386</v>
      </c>
      <c r="B387" s="2" t="str">
        <f t="shared" si="15"/>
        <v>Em Lim</v>
      </c>
      <c r="C387" s="2" t="str">
        <f t="shared" si="16"/>
        <v>Isabelle Côté</v>
      </c>
      <c r="D387" s="2" t="str">
        <f t="shared" si="20"/>
        <v>BMSC19</v>
      </c>
      <c r="E387" s="7" t="str">
        <f>IF(ISERROR(VLOOKUP($D387,SITES!$A:$E,2,FALSE)),"",VLOOKUP($D387,SITES!$A:$E,2,FALSE))</f>
        <v>Ed King SW Pyramid</v>
      </c>
      <c r="F387" s="4">
        <f>IF(ISERROR(VLOOKUP($D387,SITES!$A:$E,3,FALSE)),"",VLOOKUP($D387,SITES!$A:$E,3,FALSE))</f>
        <v>48.828601837158203</v>
      </c>
      <c r="G387" s="18">
        <f>IF(ISERROR(VLOOKUP($D387,SITES!$A:$E,4,FALSE)),"",VLOOKUP($D387,SITES!$A:$E,4,FALSE))</f>
        <v>-125.221298217773</v>
      </c>
      <c r="H387" s="5" t="str">
        <f t="shared" si="21"/>
        <v>10/05/2023</v>
      </c>
      <c r="I387" s="2">
        <f t="shared" si="17"/>
        <v>1.5</v>
      </c>
      <c r="J387" s="2">
        <f t="shared" si="22"/>
        <v>270</v>
      </c>
      <c r="K387" s="6">
        <f t="shared" si="23"/>
        <v>0.46875</v>
      </c>
      <c r="L387" s="2" t="str">
        <f t="shared" si="18"/>
        <v>EGL</v>
      </c>
      <c r="M387" s="2">
        <f t="shared" si="25"/>
        <v>6.5</v>
      </c>
      <c r="N387" s="2">
        <f t="shared" si="27"/>
        <v>2</v>
      </c>
      <c r="O387" s="2">
        <f t="shared" si="26"/>
        <v>1</v>
      </c>
      <c r="P387" s="27" t="s">
        <v>202</v>
      </c>
      <c r="Q387" s="7" t="str">
        <f>IF($N387=1,IF(ISERROR(VLOOKUP($P387,'M1'!$A:$C,Q$2,FALSE)),"NOT PRESENT",VLOOKUP($P387,'M1'!$A:$C,Q$2,FALSE)),IF($N387=2,IF(ISERROR(VLOOKUP(DATA!$P130,'M2'!$A:$C,Q$2,FALSE)),"NOT PRESENT",VLOOKUP(DATA!$P130,'M2'!$A:$C,Q$2,FALSE)),IF($N387=0,IF(ISERROR(VLOOKUP($P387,'M1'!$A:$C,Q$2,FALSE)),IF(ISERROR(VLOOKUP(DATA!$P130,'M2'!$A:$C,Q$2,FALSE)),"NOT PRESENT",VLOOKUP(DATA!$P130,'M2'!$A:$C,Q$2,FALSE)),VLOOKUP($P387,'M1'!$A:$C,Q$2,FALSE)),"SPECIFY METHOD")))</f>
        <v>NOT PRESENT</v>
      </c>
      <c r="R387" s="7" t="str">
        <f>IF($N387=1,IF(ISERROR(VLOOKUP($P387,'M1'!$A:$C,R$2,FALSE)),"NOT PRESENT",VLOOKUP($P387,'M1'!$A:$C,R$2,FALSE)),IF($N387=2,IF(ISERROR(VLOOKUP(DATA!$P130,'M2'!$A:$C,R$2,FALSE)),"NOT PRESENT",VLOOKUP(DATA!$P130,'M2'!$A:$C,R$2,FALSE)),IF($N387=0,IF(ISERROR(VLOOKUP($P387,'M1'!$A:$C,R$2,FALSE)),IF(ISERROR(VLOOKUP(DATA!$P130,'M2'!$A:$C,R$2,FALSE)),"NOT PRESENT",VLOOKUP(DATA!$P130,'M2'!$A:$C,R$2,FALSE)),VLOOKUP($P387,'M1'!$A:$C,R$2,FALSE)),"SPECIFY METHOD")))</f>
        <v>NOT PRESENT</v>
      </c>
      <c r="S387" s="20">
        <f t="shared" si="19"/>
        <v>10</v>
      </c>
      <c r="T387" s="2">
        <v>10</v>
      </c>
    </row>
    <row r="388" spans="1:31">
      <c r="A388" s="7">
        <f>MAX($A$1:$A387)+1</f>
        <v>387</v>
      </c>
      <c r="B388" s="2" t="str">
        <f t="shared" si="15"/>
        <v>Em Lim</v>
      </c>
      <c r="C388" s="2" t="str">
        <f t="shared" si="16"/>
        <v>Isabelle Côté</v>
      </c>
      <c r="D388" s="2" t="str">
        <f t="shared" si="20"/>
        <v>BMSC19</v>
      </c>
      <c r="E388" s="7" t="str">
        <f>IF(ISERROR(VLOOKUP($D388,SITES!$A:$E,2,FALSE)),"",VLOOKUP($D388,SITES!$A:$E,2,FALSE))</f>
        <v>Ed King SW Pyramid</v>
      </c>
      <c r="F388" s="4">
        <f>IF(ISERROR(VLOOKUP($D388,SITES!$A:$E,3,FALSE)),"",VLOOKUP($D388,SITES!$A:$E,3,FALSE))</f>
        <v>48.828601837158203</v>
      </c>
      <c r="G388" s="18">
        <f>IF(ISERROR(VLOOKUP($D388,SITES!$A:$E,4,FALSE)),"",VLOOKUP($D388,SITES!$A:$E,4,FALSE))</f>
        <v>-125.221298217773</v>
      </c>
      <c r="H388" s="5" t="str">
        <f t="shared" si="21"/>
        <v>10/05/2023</v>
      </c>
      <c r="I388" s="2">
        <f t="shared" si="17"/>
        <v>1.5</v>
      </c>
      <c r="J388" s="2">
        <f t="shared" si="22"/>
        <v>270</v>
      </c>
      <c r="K388" s="6">
        <f t="shared" si="23"/>
        <v>0.46875</v>
      </c>
      <c r="L388" s="2" t="str">
        <f t="shared" si="18"/>
        <v>EGL</v>
      </c>
      <c r="M388" s="2">
        <f t="shared" si="25"/>
        <v>6.5</v>
      </c>
      <c r="N388" s="2">
        <f t="shared" si="27"/>
        <v>2</v>
      </c>
      <c r="O388" s="2">
        <f t="shared" si="26"/>
        <v>1</v>
      </c>
      <c r="P388" s="27" t="s">
        <v>210</v>
      </c>
      <c r="Q388" s="7" t="str">
        <f>IF($N388=1,IF(ISERROR(VLOOKUP($P388,'M1'!$A:$C,Q$2,FALSE)),"NOT PRESENT",VLOOKUP($P388,'M1'!$A:$C,Q$2,FALSE)),IF($N388=2,IF(ISERROR(VLOOKUP(DATA!$P131,'M2'!$A:$C,Q$2,FALSE)),"NOT PRESENT",VLOOKUP(DATA!$P131,'M2'!$A:$C,Q$2,FALSE)),IF($N388=0,IF(ISERROR(VLOOKUP($P388,'M1'!$A:$C,Q$2,FALSE)),IF(ISERROR(VLOOKUP(DATA!$P131,'M2'!$A:$C,Q$2,FALSE)),"NOT PRESENT",VLOOKUP(DATA!$P131,'M2'!$A:$C,Q$2,FALSE)),VLOOKUP($P388,'M1'!$A:$C,Q$2,FALSE)),"SPECIFY METHOD")))</f>
        <v>NOT PRESENT</v>
      </c>
      <c r="R388" s="7" t="str">
        <f>IF($N388=1,IF(ISERROR(VLOOKUP($P388,'M1'!$A:$C,R$2,FALSE)),"NOT PRESENT",VLOOKUP($P388,'M1'!$A:$C,R$2,FALSE)),IF($N388=2,IF(ISERROR(VLOOKUP(DATA!$P131,'M2'!$A:$C,R$2,FALSE)),"NOT PRESENT",VLOOKUP(DATA!$P131,'M2'!$A:$C,R$2,FALSE)),IF($N388=0,IF(ISERROR(VLOOKUP($P388,'M1'!$A:$C,R$2,FALSE)),IF(ISERROR(VLOOKUP(DATA!$P131,'M2'!$A:$C,R$2,FALSE)),"NOT PRESENT",VLOOKUP(DATA!$P131,'M2'!$A:$C,R$2,FALSE)),VLOOKUP($P388,'M1'!$A:$C,R$2,FALSE)),"SPECIFY METHOD")))</f>
        <v>NOT PRESENT</v>
      </c>
      <c r="S388" s="20">
        <f t="shared" si="19"/>
        <v>1</v>
      </c>
      <c r="T388" s="2">
        <v>1</v>
      </c>
    </row>
    <row r="389" spans="1:31">
      <c r="A389" s="7">
        <f>MAX($A$1:$A388)+1</f>
        <v>388</v>
      </c>
      <c r="B389" s="2" t="str">
        <f t="shared" si="15"/>
        <v>Em Lim</v>
      </c>
      <c r="C389" s="2" t="str">
        <f t="shared" si="16"/>
        <v>Isabelle Côté</v>
      </c>
      <c r="D389" s="2" t="str">
        <f t="shared" si="20"/>
        <v>BMSC19</v>
      </c>
      <c r="E389" s="7" t="str">
        <f>IF(ISERROR(VLOOKUP($D389,SITES!$A:$E,2,FALSE)),"",VLOOKUP($D389,SITES!$A:$E,2,FALSE))</f>
        <v>Ed King SW Pyramid</v>
      </c>
      <c r="F389" s="4">
        <f>IF(ISERROR(VLOOKUP($D389,SITES!$A:$E,3,FALSE)),"",VLOOKUP($D389,SITES!$A:$E,3,FALSE))</f>
        <v>48.828601837158203</v>
      </c>
      <c r="G389" s="18">
        <f>IF(ISERROR(VLOOKUP($D389,SITES!$A:$E,4,FALSE)),"",VLOOKUP($D389,SITES!$A:$E,4,FALSE))</f>
        <v>-125.221298217773</v>
      </c>
      <c r="H389" s="5" t="str">
        <f t="shared" si="21"/>
        <v>10/05/2023</v>
      </c>
      <c r="I389" s="2">
        <f t="shared" si="17"/>
        <v>1.5</v>
      </c>
      <c r="J389" s="2">
        <f t="shared" si="22"/>
        <v>270</v>
      </c>
      <c r="K389" s="6">
        <f t="shared" si="23"/>
        <v>0.46875</v>
      </c>
      <c r="L389" s="2" t="str">
        <f t="shared" si="18"/>
        <v>EGL</v>
      </c>
      <c r="M389" s="2">
        <f t="shared" si="25"/>
        <v>6.5</v>
      </c>
      <c r="N389" s="2">
        <f t="shared" si="27"/>
        <v>2</v>
      </c>
      <c r="O389" s="2">
        <f t="shared" si="26"/>
        <v>1</v>
      </c>
      <c r="P389" s="27" t="s">
        <v>182</v>
      </c>
      <c r="Q389" s="7" t="str">
        <f>IF($N389=1,IF(ISERROR(VLOOKUP($P389,'M1'!$A:$C,Q$2,FALSE)),"NOT PRESENT",VLOOKUP($P389,'M1'!$A:$C,Q$2,FALSE)),IF($N389=2,IF(ISERROR(VLOOKUP(DATA!$P132,'M2'!$A:$C,Q$2,FALSE)),"NOT PRESENT",VLOOKUP(DATA!$P132,'M2'!$A:$C,Q$2,FALSE)),IF($N389=0,IF(ISERROR(VLOOKUP($P389,'M1'!$A:$C,Q$2,FALSE)),IF(ISERROR(VLOOKUP(DATA!$P132,'M2'!$A:$C,Q$2,FALSE)),"NOT PRESENT",VLOOKUP(DATA!$P132,'M2'!$A:$C,Q$2,FALSE)),VLOOKUP($P389,'M1'!$A:$C,Q$2,FALSE)),"SPECIFY METHOD")))</f>
        <v>NOT PRESENT</v>
      </c>
      <c r="R389" s="7" t="str">
        <f>IF($N389=1,IF(ISERROR(VLOOKUP($P389,'M1'!$A:$C,R$2,FALSE)),"NOT PRESENT",VLOOKUP($P389,'M1'!$A:$C,R$2,FALSE)),IF($N389=2,IF(ISERROR(VLOOKUP(DATA!$P132,'M2'!$A:$C,R$2,FALSE)),"NOT PRESENT",VLOOKUP(DATA!$P132,'M2'!$A:$C,R$2,FALSE)),IF($N389=0,IF(ISERROR(VLOOKUP($P389,'M1'!$A:$C,R$2,FALSE)),IF(ISERROR(VLOOKUP(DATA!$P132,'M2'!$A:$C,R$2,FALSE)),"NOT PRESENT",VLOOKUP(DATA!$P132,'M2'!$A:$C,R$2,FALSE)),VLOOKUP($P389,'M1'!$A:$C,R$2,FALSE)),"SPECIFY METHOD")))</f>
        <v>NOT PRESENT</v>
      </c>
      <c r="S389" s="20">
        <f t="shared" si="19"/>
        <v>1</v>
      </c>
      <c r="T389" s="2">
        <v>1</v>
      </c>
    </row>
    <row r="390" spans="1:31">
      <c r="A390" s="7">
        <f>MAX($A$1:$A389)+1</f>
        <v>389</v>
      </c>
      <c r="B390" s="2" t="str">
        <f t="shared" si="15"/>
        <v>Em Lim</v>
      </c>
      <c r="C390" s="2" t="str">
        <f t="shared" si="16"/>
        <v>Isabelle Côté</v>
      </c>
      <c r="D390" s="2" t="str">
        <f t="shared" si="20"/>
        <v>BMSC19</v>
      </c>
      <c r="E390" s="7" t="str">
        <f>IF(ISERROR(VLOOKUP($D390,SITES!$A:$E,2,FALSE)),"",VLOOKUP($D390,SITES!$A:$E,2,FALSE))</f>
        <v>Ed King SW Pyramid</v>
      </c>
      <c r="F390" s="4">
        <f>IF(ISERROR(VLOOKUP($D390,SITES!$A:$E,3,FALSE)),"",VLOOKUP($D390,SITES!$A:$E,3,FALSE))</f>
        <v>48.828601837158203</v>
      </c>
      <c r="G390" s="18">
        <f>IF(ISERROR(VLOOKUP($D390,SITES!$A:$E,4,FALSE)),"",VLOOKUP($D390,SITES!$A:$E,4,FALSE))</f>
        <v>-125.221298217773</v>
      </c>
      <c r="H390" s="5" t="str">
        <f t="shared" si="21"/>
        <v>10/05/2023</v>
      </c>
      <c r="I390" s="2">
        <f t="shared" si="17"/>
        <v>1.5</v>
      </c>
      <c r="J390" s="2">
        <f t="shared" si="22"/>
        <v>270</v>
      </c>
      <c r="K390" s="6">
        <f t="shared" si="23"/>
        <v>0.46875</v>
      </c>
      <c r="L390" s="2" t="str">
        <f t="shared" si="18"/>
        <v>EGL</v>
      </c>
      <c r="M390" s="2">
        <f t="shared" si="25"/>
        <v>6.5</v>
      </c>
      <c r="N390" s="2">
        <f t="shared" si="27"/>
        <v>2</v>
      </c>
      <c r="O390" s="2">
        <f t="shared" si="26"/>
        <v>1</v>
      </c>
      <c r="P390" s="27" t="s">
        <v>194</v>
      </c>
      <c r="Q390" s="7" t="str">
        <f>IF($N390=1,IF(ISERROR(VLOOKUP($P390,'M1'!$A:$C,Q$2,FALSE)),"NOT PRESENT",VLOOKUP($P390,'M1'!$A:$C,Q$2,FALSE)),IF($N390=2,IF(ISERROR(VLOOKUP(DATA!$P133,'M2'!$A:$C,Q$2,FALSE)),"NOT PRESENT",VLOOKUP(DATA!$P133,'M2'!$A:$C,Q$2,FALSE)),IF($N390=0,IF(ISERROR(VLOOKUP($P390,'M1'!$A:$C,Q$2,FALSE)),IF(ISERROR(VLOOKUP(DATA!$P133,'M2'!$A:$C,Q$2,FALSE)),"NOT PRESENT",VLOOKUP(DATA!$P133,'M2'!$A:$C,Q$2,FALSE)),VLOOKUP($P390,'M1'!$A:$C,Q$2,FALSE)),"SPECIFY METHOD")))</f>
        <v>NOT PRESENT</v>
      </c>
      <c r="R390" s="7" t="str">
        <f>IF($N390=1,IF(ISERROR(VLOOKUP($P390,'M1'!$A:$C,R$2,FALSE)),"NOT PRESENT",VLOOKUP($P390,'M1'!$A:$C,R$2,FALSE)),IF($N390=2,IF(ISERROR(VLOOKUP(DATA!$P133,'M2'!$A:$C,R$2,FALSE)),"NOT PRESENT",VLOOKUP(DATA!$P133,'M2'!$A:$C,R$2,FALSE)),IF($N390=0,IF(ISERROR(VLOOKUP($P390,'M1'!$A:$C,R$2,FALSE)),IF(ISERROR(VLOOKUP(DATA!$P133,'M2'!$A:$C,R$2,FALSE)),"NOT PRESENT",VLOOKUP(DATA!$P133,'M2'!$A:$C,R$2,FALSE)),VLOOKUP($P390,'M1'!$A:$C,R$2,FALSE)),"SPECIFY METHOD")))</f>
        <v>NOT PRESENT</v>
      </c>
      <c r="S390" s="20">
        <f t="shared" si="19"/>
        <v>5</v>
      </c>
      <c r="T390" s="2">
        <v>0</v>
      </c>
      <c r="U390" s="2">
        <v>3</v>
      </c>
      <c r="V390" s="2">
        <v>2</v>
      </c>
    </row>
    <row r="391" spans="1:31">
      <c r="A391" s="7">
        <f>MAX($A$1:$A390)+1</f>
        <v>390</v>
      </c>
      <c r="B391" s="2" t="str">
        <f t="shared" si="15"/>
        <v>Em Lim</v>
      </c>
      <c r="C391" s="2" t="str">
        <f t="shared" si="16"/>
        <v>Isabelle Côté</v>
      </c>
      <c r="D391" s="2" t="str">
        <f t="shared" si="20"/>
        <v>BMSC19</v>
      </c>
      <c r="E391" s="7" t="str">
        <f>IF(ISERROR(VLOOKUP($D391,SITES!$A:$E,2,FALSE)),"",VLOOKUP($D391,SITES!$A:$E,2,FALSE))</f>
        <v>Ed King SW Pyramid</v>
      </c>
      <c r="F391" s="4">
        <f>IF(ISERROR(VLOOKUP($D391,SITES!$A:$E,3,FALSE)),"",VLOOKUP($D391,SITES!$A:$E,3,FALSE))</f>
        <v>48.828601837158203</v>
      </c>
      <c r="G391" s="18">
        <f>IF(ISERROR(VLOOKUP($D391,SITES!$A:$E,4,FALSE)),"",VLOOKUP($D391,SITES!$A:$E,4,FALSE))</f>
        <v>-125.221298217773</v>
      </c>
      <c r="H391" s="5" t="str">
        <f t="shared" si="21"/>
        <v>10/05/2023</v>
      </c>
      <c r="I391" s="2">
        <f t="shared" si="17"/>
        <v>1.5</v>
      </c>
      <c r="J391" s="2">
        <f t="shared" si="22"/>
        <v>270</v>
      </c>
      <c r="K391" s="6">
        <f t="shared" si="23"/>
        <v>0.46875</v>
      </c>
      <c r="L391" s="2" t="str">
        <f t="shared" si="18"/>
        <v>EGL</v>
      </c>
      <c r="M391" s="2">
        <f t="shared" si="25"/>
        <v>6.5</v>
      </c>
      <c r="N391" s="2">
        <f t="shared" si="27"/>
        <v>2</v>
      </c>
      <c r="O391" s="2">
        <f t="shared" si="26"/>
        <v>1</v>
      </c>
      <c r="P391" s="27" t="s">
        <v>225</v>
      </c>
      <c r="Q391" s="7" t="str">
        <f>IF($N391=1,IF(ISERROR(VLOOKUP($P391,'M1'!$A:$C,Q$2,FALSE)),"NOT PRESENT",VLOOKUP($P391,'M1'!$A:$C,Q$2,FALSE)),IF($N391=2,IF(ISERROR(VLOOKUP(DATA!$P134,'M2'!$A:$C,Q$2,FALSE)),"NOT PRESENT",VLOOKUP(DATA!$P134,'M2'!$A:$C,Q$2,FALSE)),IF($N391=0,IF(ISERROR(VLOOKUP($P391,'M1'!$A:$C,Q$2,FALSE)),IF(ISERROR(VLOOKUP(DATA!$P134,'M2'!$A:$C,Q$2,FALSE)),"NOT PRESENT",VLOOKUP(DATA!$P134,'M2'!$A:$C,Q$2,FALSE)),VLOOKUP($P391,'M1'!$A:$C,Q$2,FALSE)),"SPECIFY METHOD")))</f>
        <v>NOT PRESENT</v>
      </c>
      <c r="R391" s="7" t="str">
        <f>IF($N391=1,IF(ISERROR(VLOOKUP($P391,'M1'!$A:$C,R$2,FALSE)),"NOT PRESENT",VLOOKUP($P391,'M1'!$A:$C,R$2,FALSE)),IF($N391=2,IF(ISERROR(VLOOKUP(DATA!$P134,'M2'!$A:$C,R$2,FALSE)),"NOT PRESENT",VLOOKUP(DATA!$P134,'M2'!$A:$C,R$2,FALSE)),IF($N391=0,IF(ISERROR(VLOOKUP($P391,'M1'!$A:$C,R$2,FALSE)),IF(ISERROR(VLOOKUP(DATA!$P134,'M2'!$A:$C,R$2,FALSE)),"NOT PRESENT",VLOOKUP(DATA!$P134,'M2'!$A:$C,R$2,FALSE)),VLOOKUP($P391,'M1'!$A:$C,R$2,FALSE)),"SPECIFY METHOD")))</f>
        <v>NOT PRESENT</v>
      </c>
      <c r="S391" s="20">
        <f t="shared" si="19"/>
        <v>2</v>
      </c>
      <c r="T391" s="2">
        <v>2</v>
      </c>
    </row>
    <row r="392" spans="1:31">
      <c r="A392" s="7">
        <f>MAX($A$1:$A391)+1</f>
        <v>391</v>
      </c>
      <c r="B392" s="2" t="str">
        <f t="shared" si="15"/>
        <v>Em Lim</v>
      </c>
      <c r="C392" s="2" t="str">
        <f t="shared" si="16"/>
        <v>Isabelle Côté</v>
      </c>
      <c r="D392" s="2" t="str">
        <f t="shared" si="20"/>
        <v>BMSC19</v>
      </c>
      <c r="E392" s="7" t="str">
        <f>IF(ISERROR(VLOOKUP($D392,SITES!$A:$E,2,FALSE)),"",VLOOKUP($D392,SITES!$A:$E,2,FALSE))</f>
        <v>Ed King SW Pyramid</v>
      </c>
      <c r="F392" s="4">
        <f>IF(ISERROR(VLOOKUP($D392,SITES!$A:$E,3,FALSE)),"",VLOOKUP($D392,SITES!$A:$E,3,FALSE))</f>
        <v>48.828601837158203</v>
      </c>
      <c r="G392" s="18">
        <f>IF(ISERROR(VLOOKUP($D392,SITES!$A:$E,4,FALSE)),"",VLOOKUP($D392,SITES!$A:$E,4,FALSE))</f>
        <v>-125.221298217773</v>
      </c>
      <c r="H392" s="5" t="str">
        <f t="shared" si="21"/>
        <v>10/05/2023</v>
      </c>
      <c r="I392" s="2">
        <f t="shared" si="17"/>
        <v>1.5</v>
      </c>
      <c r="J392" s="2">
        <f t="shared" si="22"/>
        <v>270</v>
      </c>
      <c r="K392" s="6">
        <f t="shared" si="23"/>
        <v>0.46875</v>
      </c>
      <c r="L392" s="2" t="str">
        <f t="shared" si="18"/>
        <v>EGL</v>
      </c>
      <c r="M392" s="2">
        <f t="shared" si="25"/>
        <v>6.5</v>
      </c>
      <c r="N392" s="2">
        <f t="shared" si="27"/>
        <v>2</v>
      </c>
      <c r="O392" s="2">
        <f t="shared" si="26"/>
        <v>1</v>
      </c>
      <c r="P392" s="27" t="s">
        <v>189</v>
      </c>
      <c r="Q392" s="7" t="str">
        <f>IF($N392=1,IF(ISERROR(VLOOKUP($P392,'M1'!$A:$C,Q$2,FALSE)),"NOT PRESENT",VLOOKUP($P392,'M1'!$A:$C,Q$2,FALSE)),IF($N392=2,IF(ISERROR(VLOOKUP(DATA!$P135,'M2'!$A:$C,Q$2,FALSE)),"NOT PRESENT",VLOOKUP(DATA!$P135,'M2'!$A:$C,Q$2,FALSE)),IF($N392=0,IF(ISERROR(VLOOKUP($P392,'M1'!$A:$C,Q$2,FALSE)),IF(ISERROR(VLOOKUP(DATA!$P135,'M2'!$A:$C,Q$2,FALSE)),"NOT PRESENT",VLOOKUP(DATA!$P135,'M2'!$A:$C,Q$2,FALSE)),VLOOKUP($P392,'M1'!$A:$C,Q$2,FALSE)),"SPECIFY METHOD")))</f>
        <v>NOT PRESENT</v>
      </c>
      <c r="R392" s="7" t="str">
        <f>IF($N392=1,IF(ISERROR(VLOOKUP($P392,'M1'!$A:$C,R$2,FALSE)),"NOT PRESENT",VLOOKUP($P392,'M1'!$A:$C,R$2,FALSE)),IF($N392=2,IF(ISERROR(VLOOKUP(DATA!$P135,'M2'!$A:$C,R$2,FALSE)),"NOT PRESENT",VLOOKUP(DATA!$P135,'M2'!$A:$C,R$2,FALSE)),IF($N392=0,IF(ISERROR(VLOOKUP($P392,'M1'!$A:$C,R$2,FALSE)),IF(ISERROR(VLOOKUP(DATA!$P135,'M2'!$A:$C,R$2,FALSE)),"NOT PRESENT",VLOOKUP(DATA!$P135,'M2'!$A:$C,R$2,FALSE)),VLOOKUP($P392,'M1'!$A:$C,R$2,FALSE)),"SPECIFY METHOD")))</f>
        <v>NOT PRESENT</v>
      </c>
      <c r="S392" s="20">
        <f t="shared" si="19"/>
        <v>1</v>
      </c>
      <c r="T392" s="2">
        <v>1</v>
      </c>
    </row>
    <row r="393" spans="1:31">
      <c r="A393" s="7">
        <f>MAX($A$1:$A392)+1</f>
        <v>392</v>
      </c>
      <c r="B393" s="2" t="str">
        <f t="shared" si="15"/>
        <v>Em Lim</v>
      </c>
      <c r="C393" s="2" t="str">
        <f t="shared" si="16"/>
        <v>Isabelle Côté</v>
      </c>
      <c r="D393" s="2" t="str">
        <f t="shared" si="20"/>
        <v>BMSC19</v>
      </c>
      <c r="E393" s="7" t="str">
        <f>IF(ISERROR(VLOOKUP($D393,SITES!$A:$E,2,FALSE)),"",VLOOKUP($D393,SITES!$A:$E,2,FALSE))</f>
        <v>Ed King SW Pyramid</v>
      </c>
      <c r="F393" s="4">
        <f>IF(ISERROR(VLOOKUP($D393,SITES!$A:$E,3,FALSE)),"",VLOOKUP($D393,SITES!$A:$E,3,FALSE))</f>
        <v>48.828601837158203</v>
      </c>
      <c r="G393" s="18">
        <f>IF(ISERROR(VLOOKUP($D393,SITES!$A:$E,4,FALSE)),"",VLOOKUP($D393,SITES!$A:$E,4,FALSE))</f>
        <v>-125.221298217773</v>
      </c>
      <c r="H393" s="5" t="str">
        <f t="shared" si="21"/>
        <v>10/05/2023</v>
      </c>
      <c r="I393" s="2">
        <f t="shared" si="17"/>
        <v>1.5</v>
      </c>
      <c r="J393" s="2">
        <f t="shared" si="22"/>
        <v>270</v>
      </c>
      <c r="K393" s="6">
        <f t="shared" si="23"/>
        <v>0.46875</v>
      </c>
      <c r="L393" s="2" t="str">
        <f t="shared" si="18"/>
        <v>EGL</v>
      </c>
      <c r="M393" s="2">
        <f t="shared" si="25"/>
        <v>6.5</v>
      </c>
      <c r="N393" s="2">
        <f t="shared" si="27"/>
        <v>2</v>
      </c>
      <c r="O393" s="2">
        <f t="shared" si="26"/>
        <v>1</v>
      </c>
      <c r="P393" s="27" t="s">
        <v>187</v>
      </c>
      <c r="Q393" s="7" t="str">
        <f>IF($N393=1,IF(ISERROR(VLOOKUP($P393,'M1'!$A:$C,Q$2,FALSE)),"NOT PRESENT",VLOOKUP($P393,'M1'!$A:$C,Q$2,FALSE)),IF($N393=2,IF(ISERROR(VLOOKUP(DATA!$P136,'M2'!$A:$C,Q$2,FALSE)),"NOT PRESENT",VLOOKUP(DATA!$P136,'M2'!$A:$C,Q$2,FALSE)),IF($N393=0,IF(ISERROR(VLOOKUP($P393,'M1'!$A:$C,Q$2,FALSE)),IF(ISERROR(VLOOKUP(DATA!$P136,'M2'!$A:$C,Q$2,FALSE)),"NOT PRESENT",VLOOKUP(DATA!$P136,'M2'!$A:$C,Q$2,FALSE)),VLOOKUP($P393,'M1'!$A:$C,Q$2,FALSE)),"SPECIFY METHOD")))</f>
        <v>NOT PRESENT</v>
      </c>
      <c r="R393" s="7" t="str">
        <f>IF($N393=1,IF(ISERROR(VLOOKUP($P393,'M1'!$A:$C,R$2,FALSE)),"NOT PRESENT",VLOOKUP($P393,'M1'!$A:$C,R$2,FALSE)),IF($N393=2,IF(ISERROR(VLOOKUP(DATA!$P136,'M2'!$A:$C,R$2,FALSE)),"NOT PRESENT",VLOOKUP(DATA!$P136,'M2'!$A:$C,R$2,FALSE)),IF($N393=0,IF(ISERROR(VLOOKUP($P393,'M1'!$A:$C,R$2,FALSE)),IF(ISERROR(VLOOKUP(DATA!$P136,'M2'!$A:$C,R$2,FALSE)),"NOT PRESENT",VLOOKUP(DATA!$P136,'M2'!$A:$C,R$2,FALSE)),VLOOKUP($P393,'M1'!$A:$C,R$2,FALSE)),"SPECIFY METHOD")))</f>
        <v>NOT PRESENT</v>
      </c>
      <c r="S393" s="20">
        <f t="shared" si="19"/>
        <v>1</v>
      </c>
      <c r="T393" s="2">
        <v>1</v>
      </c>
    </row>
    <row r="394" spans="1:31">
      <c r="A394" s="7">
        <f>MAX($A$1:$A393)+1</f>
        <v>393</v>
      </c>
      <c r="B394" s="2" t="str">
        <f t="shared" si="15"/>
        <v>Em Lim</v>
      </c>
      <c r="C394" s="2" t="str">
        <f t="shared" si="16"/>
        <v>Isabelle Côté</v>
      </c>
      <c r="D394" s="2" t="str">
        <f t="shared" si="20"/>
        <v>BMSC19</v>
      </c>
      <c r="E394" s="7" t="str">
        <f>IF(ISERROR(VLOOKUP($D394,SITES!$A:$E,2,FALSE)),"",VLOOKUP($D394,SITES!$A:$E,2,FALSE))</f>
        <v>Ed King SW Pyramid</v>
      </c>
      <c r="F394" s="4">
        <f>IF(ISERROR(VLOOKUP($D394,SITES!$A:$E,3,FALSE)),"",VLOOKUP($D394,SITES!$A:$E,3,FALSE))</f>
        <v>48.828601837158203</v>
      </c>
      <c r="G394" s="18">
        <f>IF(ISERROR(VLOOKUP($D394,SITES!$A:$E,4,FALSE)),"",VLOOKUP($D394,SITES!$A:$E,4,FALSE))</f>
        <v>-125.221298217773</v>
      </c>
      <c r="H394" s="5" t="str">
        <f t="shared" si="21"/>
        <v>10/05/2023</v>
      </c>
      <c r="I394" s="2">
        <f t="shared" si="17"/>
        <v>1.5</v>
      </c>
      <c r="J394" s="2">
        <f t="shared" si="22"/>
        <v>270</v>
      </c>
      <c r="K394" s="6">
        <f t="shared" si="23"/>
        <v>0.46875</v>
      </c>
      <c r="L394" s="2" t="str">
        <f t="shared" si="18"/>
        <v>EGL</v>
      </c>
      <c r="M394" s="2">
        <f t="shared" si="25"/>
        <v>6.5</v>
      </c>
      <c r="N394" s="2">
        <f t="shared" si="27"/>
        <v>2</v>
      </c>
      <c r="O394" s="2">
        <f t="shared" si="26"/>
        <v>1</v>
      </c>
      <c r="P394" s="27" t="s">
        <v>181</v>
      </c>
      <c r="Q394" s="30" t="str">
        <f>IF($N394=1,IF(ISERROR(VLOOKUP($P394,'M1'!$A:$C,Q$2,FALSE)),"NOT PRESENT",VLOOKUP($P394,'M1'!$A:$C,Q$2,FALSE)),IF($N394=2,IF(ISERROR(VLOOKUP(DATA!$P137,'M2'!$A:$C,Q$2,FALSE)),"NOT PRESENT",VLOOKUP(DATA!$P137,'M2'!$A:$C,Q$2,FALSE)),IF($N394=0,IF(ISERROR(VLOOKUP($P394,'M1'!$A:$C,Q$2,FALSE)),IF(ISERROR(VLOOKUP(DATA!$P137,'M2'!$A:$C,Q$2,FALSE)),"NOT PRESENT",VLOOKUP(DATA!$P137,'M2'!$A:$C,Q$2,FALSE)),VLOOKUP($P394,'M1'!$A:$C,Q$2,FALSE)),"SPECIFY METHOD")))</f>
        <v>NOT PRESENT</v>
      </c>
      <c r="R394" s="30" t="str">
        <f>IF($N394=1,IF(ISERROR(VLOOKUP($P394,'M1'!$A:$C,R$2,FALSE)),"NOT PRESENT",VLOOKUP($P394,'M1'!$A:$C,R$2,FALSE)),IF($N394=2,IF(ISERROR(VLOOKUP(DATA!$P137,'M2'!$A:$C,R$2,FALSE)),"NOT PRESENT",VLOOKUP(DATA!$P137,'M2'!$A:$C,R$2,FALSE)),IF($N394=0,IF(ISERROR(VLOOKUP($P394,'M1'!$A:$C,R$2,FALSE)),IF(ISERROR(VLOOKUP(DATA!$P137,'M2'!$A:$C,R$2,FALSE)),"NOT PRESENT",VLOOKUP(DATA!$P137,'M2'!$A:$C,R$2,FALSE)),VLOOKUP($P394,'M1'!$A:$C,R$2,FALSE)),"SPECIFY METHOD")))</f>
        <v>NOT PRESENT</v>
      </c>
      <c r="S394" s="20">
        <f t="shared" si="19"/>
        <v>10</v>
      </c>
      <c r="T394" s="2">
        <v>10</v>
      </c>
    </row>
    <row r="395" spans="1:31">
      <c r="A395" s="7">
        <f>MAX($A$1:$A394)+1</f>
        <v>394</v>
      </c>
      <c r="B395" s="2" t="str">
        <f t="shared" si="15"/>
        <v>Em Lim</v>
      </c>
      <c r="C395" s="2" t="str">
        <f t="shared" si="16"/>
        <v>Isabelle Côté</v>
      </c>
      <c r="D395" s="2" t="str">
        <f t="shared" si="20"/>
        <v>BMSC19</v>
      </c>
      <c r="E395" s="7" t="str">
        <f>IF(ISERROR(VLOOKUP($D395,SITES!$A:$E,2,FALSE)),"",VLOOKUP($D395,SITES!$A:$E,2,FALSE))</f>
        <v>Ed King SW Pyramid</v>
      </c>
      <c r="F395" s="4">
        <f>IF(ISERROR(VLOOKUP($D395,SITES!$A:$E,3,FALSE)),"",VLOOKUP($D395,SITES!$A:$E,3,FALSE))</f>
        <v>48.828601837158203</v>
      </c>
      <c r="G395" s="18">
        <f>IF(ISERROR(VLOOKUP($D395,SITES!$A:$E,4,FALSE)),"",VLOOKUP($D395,SITES!$A:$E,4,FALSE))</f>
        <v>-125.221298217773</v>
      </c>
      <c r="H395" s="5" t="str">
        <f t="shared" si="21"/>
        <v>10/05/2023</v>
      </c>
      <c r="I395" s="2">
        <f t="shared" si="17"/>
        <v>1.5</v>
      </c>
      <c r="J395" s="2">
        <f t="shared" si="22"/>
        <v>270</v>
      </c>
      <c r="K395" s="6">
        <f t="shared" si="23"/>
        <v>0.46875</v>
      </c>
      <c r="L395" s="2" t="str">
        <f t="shared" si="18"/>
        <v>EGL</v>
      </c>
      <c r="M395" s="2">
        <f t="shared" si="25"/>
        <v>6.5</v>
      </c>
      <c r="N395" s="2">
        <f t="shared" si="27"/>
        <v>2</v>
      </c>
      <c r="O395" s="2">
        <f t="shared" si="26"/>
        <v>1</v>
      </c>
      <c r="P395" s="27" t="s">
        <v>185</v>
      </c>
      <c r="Q395" s="7" t="str">
        <f>IF($N395=1,IF(ISERROR(VLOOKUP($P395,'M1'!$A:$C,Q$2,FALSE)),"NOT PRESENT",VLOOKUP($P395,'M1'!$A:$C,Q$2,FALSE)),IF($N395=2,IF(ISERROR(VLOOKUP(DATA!$P138,'M2'!$A:$C,Q$2,FALSE)),"NOT PRESENT",VLOOKUP(DATA!$P138,'M2'!$A:$C,Q$2,FALSE)),IF($N395=0,IF(ISERROR(VLOOKUP($P395,'M1'!$A:$C,Q$2,FALSE)),IF(ISERROR(VLOOKUP(DATA!$P138,'M2'!$A:$C,Q$2,FALSE)),"NOT PRESENT",VLOOKUP(DATA!$P138,'M2'!$A:$C,Q$2,FALSE)),VLOOKUP($P395,'M1'!$A:$C,Q$2,FALSE)),"SPECIFY METHOD")))</f>
        <v>NOT PRESENT</v>
      </c>
      <c r="R395" s="7" t="str">
        <f>IF($N395=1,IF(ISERROR(VLOOKUP($P395,'M1'!$A:$C,R$2,FALSE)),"NOT PRESENT",VLOOKUP($P395,'M1'!$A:$C,R$2,FALSE)),IF($N395=2,IF(ISERROR(VLOOKUP(DATA!$P138,'M2'!$A:$C,R$2,FALSE)),"NOT PRESENT",VLOOKUP(DATA!$P138,'M2'!$A:$C,R$2,FALSE)),IF($N395=0,IF(ISERROR(VLOOKUP($P395,'M1'!$A:$C,R$2,FALSE)),IF(ISERROR(VLOOKUP(DATA!$P138,'M2'!$A:$C,R$2,FALSE)),"NOT PRESENT",VLOOKUP(DATA!$P138,'M2'!$A:$C,R$2,FALSE)),VLOOKUP($P395,'M1'!$A:$C,R$2,FALSE)),"SPECIFY METHOD")))</f>
        <v>NOT PRESENT</v>
      </c>
      <c r="S395" s="20">
        <f t="shared" si="19"/>
        <v>1</v>
      </c>
      <c r="T395" s="2">
        <v>1</v>
      </c>
    </row>
    <row r="396" spans="1:31">
      <c r="A396" s="7">
        <f>MAX($A$1:$A395)+1</f>
        <v>395</v>
      </c>
      <c r="B396" s="2" t="str">
        <f t="shared" si="15"/>
        <v>Em Lim</v>
      </c>
      <c r="C396" s="2" t="str">
        <f t="shared" si="16"/>
        <v>Isabelle Côté</v>
      </c>
      <c r="D396" s="2" t="str">
        <f t="shared" si="20"/>
        <v>BMSC19</v>
      </c>
      <c r="E396" s="7" t="str">
        <f>IF(ISERROR(VLOOKUP($D396,SITES!$A:$E,2,FALSE)),"",VLOOKUP($D396,SITES!$A:$E,2,FALSE))</f>
        <v>Ed King SW Pyramid</v>
      </c>
      <c r="F396" s="4">
        <f>IF(ISERROR(VLOOKUP($D396,SITES!$A:$E,3,FALSE)),"",VLOOKUP($D396,SITES!$A:$E,3,FALSE))</f>
        <v>48.828601837158203</v>
      </c>
      <c r="G396" s="18">
        <f>IF(ISERROR(VLOOKUP($D396,SITES!$A:$E,4,FALSE)),"",VLOOKUP($D396,SITES!$A:$E,4,FALSE))</f>
        <v>-125.221298217773</v>
      </c>
      <c r="H396" s="5" t="str">
        <f t="shared" si="21"/>
        <v>10/05/2023</v>
      </c>
      <c r="I396" s="2">
        <f t="shared" si="17"/>
        <v>1.5</v>
      </c>
      <c r="J396" s="2">
        <f t="shared" si="22"/>
        <v>270</v>
      </c>
      <c r="K396" s="6">
        <f t="shared" si="23"/>
        <v>0.46875</v>
      </c>
      <c r="L396" s="2" t="str">
        <f t="shared" si="18"/>
        <v>EGL</v>
      </c>
      <c r="M396" s="2">
        <f t="shared" si="25"/>
        <v>6.5</v>
      </c>
      <c r="N396" s="2">
        <v>0</v>
      </c>
      <c r="O396" s="2">
        <v>0</v>
      </c>
      <c r="P396" s="27" t="s">
        <v>223</v>
      </c>
      <c r="Q396" s="7" t="str">
        <f>IF($N396=1,IF(ISERROR(VLOOKUP($P396,'M1'!$A:$C,Q$2,FALSE)),"NOT PRESENT",VLOOKUP($P396,'M1'!$A:$C,Q$2,FALSE)),IF($N396=2,IF(ISERROR(VLOOKUP(DATA!$P139,'M2'!$A:$C,Q$2,FALSE)),"NOT PRESENT",VLOOKUP(DATA!$P139,'M2'!$A:$C,Q$2,FALSE)),IF($N396=0,IF(ISERROR(VLOOKUP($P396,'M1'!$A:$C,Q$2,FALSE)),IF(ISERROR(VLOOKUP(DATA!$P139,'M2'!$A:$C,Q$2,FALSE)),"NOT PRESENT",VLOOKUP(DATA!$P139,'M2'!$A:$C,Q$2,FALSE)),VLOOKUP($P396,'M1'!$A:$C,Q$2,FALSE)),"SPECIFY METHOD")))</f>
        <v>NOT PRESENT</v>
      </c>
      <c r="R396" s="7" t="str">
        <f>IF($N396=1,IF(ISERROR(VLOOKUP($P396,'M1'!$A:$C,R$2,FALSE)),"NOT PRESENT",VLOOKUP($P396,'M1'!$A:$C,R$2,FALSE)),IF($N396=2,IF(ISERROR(VLOOKUP(DATA!$P139,'M2'!$A:$C,R$2,FALSE)),"NOT PRESENT",VLOOKUP(DATA!$P139,'M2'!$A:$C,R$2,FALSE)),IF($N396=0,IF(ISERROR(VLOOKUP($P396,'M1'!$A:$C,R$2,FALSE)),IF(ISERROR(VLOOKUP(DATA!$P139,'M2'!$A:$C,R$2,FALSE)),"NOT PRESENT",VLOOKUP(DATA!$P139,'M2'!$A:$C,R$2,FALSE)),VLOOKUP($P396,'M1'!$A:$C,R$2,FALSE)),"SPECIFY METHOD")))</f>
        <v>NOT PRESENT</v>
      </c>
      <c r="S396" s="20">
        <f t="shared" si="19"/>
        <v>1</v>
      </c>
      <c r="T396" s="2">
        <v>0</v>
      </c>
      <c r="V396" s="2">
        <v>1</v>
      </c>
    </row>
    <row r="397" spans="1:31">
      <c r="A397" s="7">
        <f>MAX($A$1:$A396)+1</f>
        <v>396</v>
      </c>
      <c r="B397" s="2" t="str">
        <f t="shared" si="15"/>
        <v>Em Lim</v>
      </c>
      <c r="C397" s="2" t="str">
        <f t="shared" si="16"/>
        <v>Isabelle Côté</v>
      </c>
      <c r="D397" s="2" t="str">
        <f t="shared" si="20"/>
        <v>BMSC19</v>
      </c>
      <c r="E397" s="7" t="str">
        <f>IF(ISERROR(VLOOKUP($D397,SITES!$A:$E,2,FALSE)),"",VLOOKUP($D397,SITES!$A:$E,2,FALSE))</f>
        <v>Ed King SW Pyramid</v>
      </c>
      <c r="F397" s="4">
        <f>IF(ISERROR(VLOOKUP($D397,SITES!$A:$E,3,FALSE)),"",VLOOKUP($D397,SITES!$A:$E,3,FALSE))</f>
        <v>48.828601837158203</v>
      </c>
      <c r="G397" s="18">
        <f>IF(ISERROR(VLOOKUP($D397,SITES!$A:$E,4,FALSE)),"",VLOOKUP($D397,SITES!$A:$E,4,FALSE))</f>
        <v>-125.221298217773</v>
      </c>
      <c r="H397" s="5" t="str">
        <f t="shared" si="21"/>
        <v>10/05/2023</v>
      </c>
      <c r="I397" s="2">
        <f t="shared" si="17"/>
        <v>1.5</v>
      </c>
      <c r="J397" s="2">
        <f t="shared" si="22"/>
        <v>270</v>
      </c>
      <c r="K397" s="6">
        <f t="shared" si="23"/>
        <v>0.46875</v>
      </c>
      <c r="L397" s="2" t="str">
        <f t="shared" si="18"/>
        <v>EGL</v>
      </c>
      <c r="M397" s="2">
        <f t="shared" si="25"/>
        <v>6.5</v>
      </c>
      <c r="N397" s="2">
        <f>IF(ISERROR(N396),IF(ISERROR(N395),IF(ISERROR(N394),"BLANK",N394),N395),N396)</f>
        <v>0</v>
      </c>
      <c r="O397" s="2">
        <f>IF(ISERROR(O396),IF(ISERROR(O395),IF(ISERROR(O394),"BLANK",O394),O395),O396)</f>
        <v>0</v>
      </c>
      <c r="P397" s="27" t="s">
        <v>200</v>
      </c>
      <c r="Q397" s="7" t="str">
        <f>IF($N397=1,IF(ISERROR(VLOOKUP($P397,'M1'!$A:$C,Q$2,FALSE)),"NOT PRESENT",VLOOKUP($P397,'M1'!$A:$C,Q$2,FALSE)),IF($N397=2,IF(ISERROR(VLOOKUP(DATA!$P140,'M2'!$A:$C,Q$2,FALSE)),"NOT PRESENT",VLOOKUP(DATA!$P140,'M2'!$A:$C,Q$2,FALSE)),IF($N397=0,IF(ISERROR(VLOOKUP($P397,'M1'!$A:$C,Q$2,FALSE)),IF(ISERROR(VLOOKUP(DATA!$P140,'M2'!$A:$C,Q$2,FALSE)),"NOT PRESENT",VLOOKUP(DATA!$P140,'M2'!$A:$C,Q$2,FALSE)),VLOOKUP($P397,'M1'!$A:$C,Q$2,FALSE)),"SPECIFY METHOD")))</f>
        <v>NOT PRESENT</v>
      </c>
      <c r="R397" s="7" t="str">
        <f>IF($N397=1,IF(ISERROR(VLOOKUP($P397,'M1'!$A:$C,R$2,FALSE)),"NOT PRESENT",VLOOKUP($P397,'M1'!$A:$C,R$2,FALSE)),IF($N397=2,IF(ISERROR(VLOOKUP(DATA!$P140,'M2'!$A:$C,R$2,FALSE)),"NOT PRESENT",VLOOKUP(DATA!$P140,'M2'!$A:$C,R$2,FALSE)),IF($N397=0,IF(ISERROR(VLOOKUP($P397,'M1'!$A:$C,R$2,FALSE)),IF(ISERROR(VLOOKUP(DATA!$P140,'M2'!$A:$C,R$2,FALSE)),"NOT PRESENT",VLOOKUP(DATA!$P140,'M2'!$A:$C,R$2,FALSE)),VLOOKUP($P397,'M1'!$A:$C,R$2,FALSE)),"SPECIFY METHOD")))</f>
        <v>NOT PRESENT</v>
      </c>
      <c r="S397" s="20">
        <f t="shared" si="19"/>
        <v>18</v>
      </c>
      <c r="T397" s="2">
        <v>0</v>
      </c>
      <c r="Z397" s="2">
        <v>5</v>
      </c>
      <c r="AA397" s="2">
        <v>10</v>
      </c>
      <c r="AB397" s="2">
        <v>3</v>
      </c>
    </row>
    <row r="398" spans="1:31">
      <c r="A398" s="7">
        <f>MAX($A$1:$A397)+1</f>
        <v>397</v>
      </c>
      <c r="B398" s="2" t="s">
        <v>171</v>
      </c>
      <c r="C398" s="2" t="s">
        <v>170</v>
      </c>
      <c r="D398" s="2" t="s">
        <v>24</v>
      </c>
      <c r="E398" s="7" t="s">
        <v>482</v>
      </c>
      <c r="F398" s="4">
        <v>48.828601837158203</v>
      </c>
      <c r="G398" s="18">
        <v>-125.221298217773</v>
      </c>
      <c r="H398" s="5" t="s">
        <v>7</v>
      </c>
      <c r="I398" s="2">
        <v>2</v>
      </c>
      <c r="J398" s="2">
        <v>270</v>
      </c>
      <c r="K398" s="6">
        <v>0.42708333333333331</v>
      </c>
      <c r="L398" s="2" t="s">
        <v>172</v>
      </c>
      <c r="M398" s="2">
        <v>6.5</v>
      </c>
      <c r="N398" s="2">
        <v>1</v>
      </c>
      <c r="O398" s="2">
        <v>2</v>
      </c>
      <c r="P398" s="2" t="s">
        <v>232</v>
      </c>
      <c r="Q398" s="7" t="s">
        <v>43</v>
      </c>
      <c r="R398" s="7" t="s">
        <v>324</v>
      </c>
      <c r="S398" s="20">
        <v>5</v>
      </c>
      <c r="T398" s="2">
        <v>0</v>
      </c>
      <c r="AD398" s="2">
        <v>4</v>
      </c>
      <c r="AE398" s="2">
        <v>1</v>
      </c>
    </row>
    <row r="399" spans="1:31">
      <c r="A399" s="7">
        <f>MAX($A$1:$A398)+1</f>
        <v>398</v>
      </c>
      <c r="B399" s="2" t="s">
        <v>171</v>
      </c>
      <c r="C399" s="2" t="s">
        <v>170</v>
      </c>
      <c r="D399" s="2" t="s">
        <v>24</v>
      </c>
      <c r="E399" s="7" t="s">
        <v>482</v>
      </c>
      <c r="F399" s="4">
        <v>48.828601837158203</v>
      </c>
      <c r="G399" s="18">
        <v>-125.221298217773</v>
      </c>
      <c r="H399" s="5" t="s">
        <v>7</v>
      </c>
      <c r="I399" s="2">
        <v>2</v>
      </c>
      <c r="J399" s="2">
        <v>270</v>
      </c>
      <c r="K399" s="6">
        <v>0.42708333333333331</v>
      </c>
      <c r="L399" s="2" t="s">
        <v>172</v>
      </c>
      <c r="M399" s="2">
        <v>6.5</v>
      </c>
      <c r="N399" s="2">
        <v>1</v>
      </c>
      <c r="O399" s="2">
        <v>2</v>
      </c>
      <c r="P399" s="2" t="s">
        <v>380</v>
      </c>
      <c r="Q399" s="7" t="s">
        <v>52</v>
      </c>
      <c r="R399" s="7" t="s">
        <v>381</v>
      </c>
      <c r="S399" s="20">
        <v>1</v>
      </c>
      <c r="T399" s="2">
        <v>0</v>
      </c>
      <c r="Y399" s="2">
        <v>1</v>
      </c>
    </row>
    <row r="400" spans="1:31">
      <c r="A400" s="7">
        <f>MAX($A$1:$A399)+1</f>
        <v>399</v>
      </c>
      <c r="B400" s="2" t="s">
        <v>171</v>
      </c>
      <c r="C400" s="2" t="s">
        <v>170</v>
      </c>
      <c r="D400" s="2" t="s">
        <v>24</v>
      </c>
      <c r="E400" s="7" t="s">
        <v>482</v>
      </c>
      <c r="F400" s="4">
        <v>48.828601837158203</v>
      </c>
      <c r="G400" s="18">
        <v>-125.221298217773</v>
      </c>
      <c r="H400" s="5" t="s">
        <v>7</v>
      </c>
      <c r="I400" s="2">
        <v>2</v>
      </c>
      <c r="J400" s="2">
        <v>270</v>
      </c>
      <c r="K400" s="6">
        <v>0.42708333333333331</v>
      </c>
      <c r="L400" s="2" t="s">
        <v>172</v>
      </c>
      <c r="M400" s="2">
        <v>6.5</v>
      </c>
      <c r="N400" s="2">
        <v>1</v>
      </c>
      <c r="O400" s="2">
        <v>2</v>
      </c>
      <c r="P400" s="2" t="s">
        <v>338</v>
      </c>
      <c r="Q400" s="7" t="s">
        <v>101</v>
      </c>
      <c r="R400" s="7" t="s">
        <v>339</v>
      </c>
      <c r="S400" s="20">
        <v>1</v>
      </c>
      <c r="T400" s="2">
        <v>0</v>
      </c>
      <c r="W400" s="2">
        <v>1</v>
      </c>
    </row>
    <row r="401" spans="1:32">
      <c r="A401" s="7">
        <f>MAX($A$1:$A400)+1</f>
        <v>400</v>
      </c>
      <c r="B401" s="2" t="s">
        <v>171</v>
      </c>
      <c r="C401" s="2" t="s">
        <v>170</v>
      </c>
      <c r="D401" s="2" t="s">
        <v>24</v>
      </c>
      <c r="E401" s="7" t="s">
        <v>482</v>
      </c>
      <c r="F401" s="4">
        <v>48.828601837158203</v>
      </c>
      <c r="G401" s="18">
        <v>-125.221298217773</v>
      </c>
      <c r="H401" s="5" t="s">
        <v>7</v>
      </c>
      <c r="I401" s="2">
        <v>2</v>
      </c>
      <c r="J401" s="2">
        <v>270</v>
      </c>
      <c r="K401" s="6">
        <v>0.42708333333333331</v>
      </c>
      <c r="L401" s="2" t="s">
        <v>172</v>
      </c>
      <c r="M401" s="2">
        <v>6.5</v>
      </c>
      <c r="N401" s="2">
        <v>1</v>
      </c>
      <c r="O401" s="2">
        <v>2</v>
      </c>
      <c r="P401" s="2" t="s">
        <v>231</v>
      </c>
      <c r="Q401" s="7" t="s">
        <v>48</v>
      </c>
      <c r="R401" s="7" t="s">
        <v>365</v>
      </c>
      <c r="S401" s="20">
        <v>1</v>
      </c>
      <c r="T401" s="2">
        <v>0</v>
      </c>
      <c r="AC401" s="2">
        <v>1</v>
      </c>
    </row>
    <row r="402" spans="1:32">
      <c r="A402" s="7">
        <f>MAX($A$1:$A401)+1</f>
        <v>401</v>
      </c>
      <c r="B402" s="2" t="s">
        <v>171</v>
      </c>
      <c r="C402" s="2" t="s">
        <v>170</v>
      </c>
      <c r="D402" s="2" t="s">
        <v>24</v>
      </c>
      <c r="E402" s="7" t="s">
        <v>482</v>
      </c>
      <c r="F402" s="4">
        <v>48.828601837158203</v>
      </c>
      <c r="G402" s="18">
        <v>-125.221298217773</v>
      </c>
      <c r="H402" s="5" t="s">
        <v>7</v>
      </c>
      <c r="I402" s="2">
        <v>2</v>
      </c>
      <c r="J402" s="2">
        <v>270</v>
      </c>
      <c r="K402" s="6">
        <v>0.42708333333333331</v>
      </c>
      <c r="L402" s="2" t="s">
        <v>172</v>
      </c>
      <c r="M402" s="2">
        <v>6.5</v>
      </c>
      <c r="N402" s="2">
        <v>1</v>
      </c>
      <c r="O402" s="2">
        <v>2</v>
      </c>
      <c r="P402" s="2" t="s">
        <v>237</v>
      </c>
      <c r="Q402" s="7" t="s">
        <v>51</v>
      </c>
      <c r="R402" s="7" t="s">
        <v>368</v>
      </c>
      <c r="S402" s="20">
        <v>1</v>
      </c>
      <c r="T402" s="2">
        <v>0</v>
      </c>
      <c r="AF402" s="2">
        <v>1</v>
      </c>
    </row>
    <row r="403" spans="1:32">
      <c r="A403" s="7">
        <f>MAX($A$1:$A402)+1</f>
        <v>402</v>
      </c>
      <c r="B403" s="2" t="s">
        <v>171</v>
      </c>
      <c r="C403" s="2" t="s">
        <v>170</v>
      </c>
      <c r="D403" s="2" t="s">
        <v>24</v>
      </c>
      <c r="E403" s="7" t="s">
        <v>482</v>
      </c>
      <c r="F403" s="4">
        <v>48.828601837158203</v>
      </c>
      <c r="G403" s="18">
        <v>-125.221298217773</v>
      </c>
      <c r="H403" s="5" t="s">
        <v>7</v>
      </c>
      <c r="I403" s="2">
        <v>2</v>
      </c>
      <c r="J403" s="2">
        <v>270</v>
      </c>
      <c r="K403" s="6">
        <v>0.42708333333333331</v>
      </c>
      <c r="L403" s="2" t="s">
        <v>172</v>
      </c>
      <c r="M403" s="2">
        <v>6.5</v>
      </c>
      <c r="N403" s="2">
        <v>2</v>
      </c>
      <c r="O403" s="2">
        <v>2</v>
      </c>
      <c r="P403" s="2" t="s">
        <v>241</v>
      </c>
      <c r="Q403" s="7" t="s">
        <v>63</v>
      </c>
      <c r="R403" s="7" t="s">
        <v>294</v>
      </c>
      <c r="S403" s="20">
        <v>356</v>
      </c>
      <c r="T403" s="2">
        <v>356</v>
      </c>
    </row>
    <row r="404" spans="1:32">
      <c r="A404" s="7">
        <f>MAX($A$1:$A403)+1</f>
        <v>403</v>
      </c>
      <c r="B404" s="2" t="s">
        <v>171</v>
      </c>
      <c r="C404" s="2" t="s">
        <v>170</v>
      </c>
      <c r="D404" s="2" t="s">
        <v>24</v>
      </c>
      <c r="E404" s="7" t="s">
        <v>482</v>
      </c>
      <c r="F404" s="4">
        <v>48.828601837158203</v>
      </c>
      <c r="G404" s="18">
        <v>-125.221298217773</v>
      </c>
      <c r="H404" s="5" t="s">
        <v>7</v>
      </c>
      <c r="I404" s="2">
        <v>2</v>
      </c>
      <c r="J404" s="2">
        <v>270</v>
      </c>
      <c r="K404" s="6">
        <v>0.42708333333333331</v>
      </c>
      <c r="L404" s="2" t="s">
        <v>172</v>
      </c>
      <c r="M404" s="2">
        <v>6.5</v>
      </c>
      <c r="N404" s="2">
        <v>2</v>
      </c>
      <c r="O404" s="2">
        <v>2</v>
      </c>
      <c r="P404" s="2" t="s">
        <v>246</v>
      </c>
      <c r="Q404" s="7" t="s">
        <v>66</v>
      </c>
      <c r="R404" s="7" t="s">
        <v>318</v>
      </c>
      <c r="S404" s="20">
        <v>26</v>
      </c>
      <c r="T404" s="2">
        <v>0</v>
      </c>
      <c r="U404" s="2">
        <v>1</v>
      </c>
      <c r="V404" s="2">
        <v>9</v>
      </c>
      <c r="W404" s="2">
        <v>7</v>
      </c>
      <c r="X404" s="2">
        <v>8</v>
      </c>
      <c r="Y404" s="2">
        <v>1</v>
      </c>
    </row>
    <row r="405" spans="1:32">
      <c r="A405" s="7">
        <f>MAX($A$1:$A404)+1</f>
        <v>404</v>
      </c>
      <c r="B405" s="2" t="s">
        <v>171</v>
      </c>
      <c r="C405" s="2" t="s">
        <v>170</v>
      </c>
      <c r="D405" s="2" t="s">
        <v>24</v>
      </c>
      <c r="E405" s="7" t="s">
        <v>482</v>
      </c>
      <c r="F405" s="4">
        <v>48.828601837158203</v>
      </c>
      <c r="G405" s="18">
        <v>-125.221298217773</v>
      </c>
      <c r="H405" s="5" t="s">
        <v>7</v>
      </c>
      <c r="I405" s="2">
        <v>2</v>
      </c>
      <c r="J405" s="2">
        <v>270</v>
      </c>
      <c r="K405" s="6">
        <v>0.42708333333333331</v>
      </c>
      <c r="L405" s="2" t="s">
        <v>172</v>
      </c>
      <c r="M405" s="2">
        <v>6.5</v>
      </c>
      <c r="N405" s="2">
        <v>2</v>
      </c>
      <c r="O405" s="2">
        <v>2</v>
      </c>
      <c r="P405" s="2" t="s">
        <v>314</v>
      </c>
      <c r="Q405" s="7" t="s">
        <v>71</v>
      </c>
      <c r="R405" s="7" t="s">
        <v>315</v>
      </c>
      <c r="S405" s="20">
        <v>23</v>
      </c>
      <c r="T405" s="2">
        <v>23</v>
      </c>
    </row>
    <row r="406" spans="1:32">
      <c r="A406" s="7">
        <f>MAX($A$1:$A405)+1</f>
        <v>405</v>
      </c>
      <c r="B406" s="2" t="s">
        <v>171</v>
      </c>
      <c r="C406" s="2" t="s">
        <v>170</v>
      </c>
      <c r="D406" s="2" t="s">
        <v>24</v>
      </c>
      <c r="E406" s="7" t="s">
        <v>482</v>
      </c>
      <c r="F406" s="4">
        <v>48.828601837158203</v>
      </c>
      <c r="G406" s="18">
        <v>-125.221298217773</v>
      </c>
      <c r="H406" s="5" t="s">
        <v>7</v>
      </c>
      <c r="I406" s="2">
        <v>2</v>
      </c>
      <c r="J406" s="2">
        <v>270</v>
      </c>
      <c r="K406" s="6">
        <v>0.42708333333333331</v>
      </c>
      <c r="L406" s="2" t="s">
        <v>172</v>
      </c>
      <c r="M406" s="2">
        <v>6.5</v>
      </c>
      <c r="N406" s="2">
        <v>2</v>
      </c>
      <c r="O406" s="2">
        <v>2</v>
      </c>
      <c r="P406" s="2" t="s">
        <v>483</v>
      </c>
      <c r="Q406" s="7" t="s">
        <v>149</v>
      </c>
      <c r="R406" s="7" t="s">
        <v>484</v>
      </c>
      <c r="S406" s="20">
        <v>4</v>
      </c>
      <c r="T406" s="2">
        <v>4</v>
      </c>
    </row>
    <row r="407" spans="1:32">
      <c r="A407" s="7">
        <f>MAX($A$1:$A406)+1</f>
        <v>406</v>
      </c>
      <c r="B407" s="2" t="s">
        <v>171</v>
      </c>
      <c r="C407" s="2" t="s">
        <v>170</v>
      </c>
      <c r="D407" s="2" t="s">
        <v>24</v>
      </c>
      <c r="E407" s="7" t="s">
        <v>482</v>
      </c>
      <c r="F407" s="4">
        <v>48.828601837158203</v>
      </c>
      <c r="G407" s="18">
        <v>-125.221298217773</v>
      </c>
      <c r="H407" s="5" t="s">
        <v>7</v>
      </c>
      <c r="I407" s="2">
        <v>2</v>
      </c>
      <c r="J407" s="2">
        <v>270</v>
      </c>
      <c r="K407" s="6">
        <v>0.42708333333333331</v>
      </c>
      <c r="L407" s="2" t="s">
        <v>172</v>
      </c>
      <c r="M407" s="2">
        <v>6.5</v>
      </c>
      <c r="N407" s="2">
        <v>2</v>
      </c>
      <c r="O407" s="2">
        <v>2</v>
      </c>
      <c r="P407" s="2" t="s">
        <v>239</v>
      </c>
      <c r="Q407" s="7" t="s">
        <v>80</v>
      </c>
      <c r="R407" s="7" t="s">
        <v>300</v>
      </c>
      <c r="S407" s="20">
        <v>11</v>
      </c>
      <c r="T407" s="2">
        <v>11</v>
      </c>
    </row>
    <row r="408" spans="1:32">
      <c r="A408" s="7">
        <f>MAX($A$1:$A407)+1</f>
        <v>407</v>
      </c>
      <c r="B408" s="2" t="s">
        <v>171</v>
      </c>
      <c r="C408" s="2" t="s">
        <v>170</v>
      </c>
      <c r="D408" s="2" t="s">
        <v>24</v>
      </c>
      <c r="E408" s="7" t="s">
        <v>482</v>
      </c>
      <c r="F408" s="4">
        <v>48.828601837158203</v>
      </c>
      <c r="G408" s="18">
        <v>-125.221298217773</v>
      </c>
      <c r="H408" s="5" t="s">
        <v>7</v>
      </c>
      <c r="I408" s="2">
        <v>2</v>
      </c>
      <c r="J408" s="2">
        <v>270</v>
      </c>
      <c r="K408" s="6">
        <v>0.42708333333333331</v>
      </c>
      <c r="L408" s="2" t="s">
        <v>172</v>
      </c>
      <c r="M408" s="2">
        <v>6.5</v>
      </c>
      <c r="N408" s="2">
        <v>2</v>
      </c>
      <c r="O408" s="2">
        <v>2</v>
      </c>
      <c r="P408" s="2" t="s">
        <v>333</v>
      </c>
      <c r="Q408" s="7" t="s">
        <v>102</v>
      </c>
      <c r="R408" s="7" t="s">
        <v>334</v>
      </c>
      <c r="S408" s="20">
        <v>9</v>
      </c>
      <c r="T408" s="2">
        <v>9</v>
      </c>
    </row>
    <row r="409" spans="1:32">
      <c r="A409" s="7">
        <f>MAX($A$1:$A408)+1</f>
        <v>408</v>
      </c>
      <c r="B409" s="2" t="s">
        <v>171</v>
      </c>
      <c r="C409" s="2" t="s">
        <v>170</v>
      </c>
      <c r="D409" s="2" t="s">
        <v>24</v>
      </c>
      <c r="E409" s="7" t="s">
        <v>482</v>
      </c>
      <c r="F409" s="4">
        <v>48.828601837158203</v>
      </c>
      <c r="G409" s="18">
        <v>-125.221298217773</v>
      </c>
      <c r="H409" s="5" t="s">
        <v>7</v>
      </c>
      <c r="I409" s="2">
        <v>2</v>
      </c>
      <c r="J409" s="2">
        <v>270</v>
      </c>
      <c r="K409" s="6">
        <v>0.42708333333333331</v>
      </c>
      <c r="L409" s="2" t="s">
        <v>172</v>
      </c>
      <c r="M409" s="2">
        <v>6.5</v>
      </c>
      <c r="N409" s="2">
        <v>2</v>
      </c>
      <c r="O409" s="2">
        <v>2</v>
      </c>
      <c r="P409" s="2" t="s">
        <v>238</v>
      </c>
      <c r="Q409" s="7" t="s">
        <v>69</v>
      </c>
      <c r="R409" s="7" t="s">
        <v>313</v>
      </c>
      <c r="S409" s="20">
        <v>10</v>
      </c>
      <c r="T409" s="2">
        <v>10</v>
      </c>
    </row>
    <row r="410" spans="1:32">
      <c r="A410" s="7">
        <f>MAX($A$1:$A409)+1</f>
        <v>409</v>
      </c>
      <c r="B410" s="2" t="s">
        <v>171</v>
      </c>
      <c r="C410" s="2" t="s">
        <v>170</v>
      </c>
      <c r="D410" s="2" t="s">
        <v>24</v>
      </c>
      <c r="E410" s="7" t="s">
        <v>482</v>
      </c>
      <c r="F410" s="4">
        <v>48.828601837158203</v>
      </c>
      <c r="G410" s="18">
        <v>-125.221298217773</v>
      </c>
      <c r="H410" s="5" t="s">
        <v>7</v>
      </c>
      <c r="I410" s="2">
        <v>2</v>
      </c>
      <c r="J410" s="2">
        <v>270</v>
      </c>
      <c r="K410" s="6">
        <v>0.42708333333333331</v>
      </c>
      <c r="L410" s="2" t="s">
        <v>172</v>
      </c>
      <c r="M410" s="2">
        <v>6.5</v>
      </c>
      <c r="N410" s="2">
        <v>2</v>
      </c>
      <c r="O410" s="2">
        <v>2</v>
      </c>
      <c r="P410" s="2" t="s">
        <v>244</v>
      </c>
      <c r="Q410" s="7" t="s">
        <v>65</v>
      </c>
      <c r="R410" s="7" t="s">
        <v>307</v>
      </c>
      <c r="S410" s="20">
        <v>11</v>
      </c>
      <c r="T410" s="2">
        <v>11</v>
      </c>
    </row>
    <row r="411" spans="1:32">
      <c r="A411" s="7">
        <f>MAX($A$1:$A410)+1</f>
        <v>410</v>
      </c>
      <c r="B411" s="2" t="s">
        <v>171</v>
      </c>
      <c r="C411" s="2" t="s">
        <v>170</v>
      </c>
      <c r="D411" s="2" t="s">
        <v>24</v>
      </c>
      <c r="E411" s="7" t="s">
        <v>482</v>
      </c>
      <c r="F411" s="4">
        <v>48.828601837158203</v>
      </c>
      <c r="G411" s="18">
        <v>-125.221298217773</v>
      </c>
      <c r="H411" s="5" t="s">
        <v>7</v>
      </c>
      <c r="I411" s="2">
        <v>2</v>
      </c>
      <c r="J411" s="2">
        <v>270</v>
      </c>
      <c r="K411" s="6">
        <v>0.42708333333333331</v>
      </c>
      <c r="L411" s="2" t="s">
        <v>172</v>
      </c>
      <c r="M411" s="2">
        <v>6.5</v>
      </c>
      <c r="N411" s="2">
        <v>2</v>
      </c>
      <c r="O411" s="2">
        <v>2</v>
      </c>
      <c r="P411" s="2" t="s">
        <v>350</v>
      </c>
      <c r="Q411" s="7" t="s">
        <v>83</v>
      </c>
      <c r="R411" s="7" t="s">
        <v>351</v>
      </c>
      <c r="S411" s="20">
        <v>1</v>
      </c>
      <c r="T411" s="2">
        <v>1</v>
      </c>
    </row>
    <row r="412" spans="1:32">
      <c r="A412" s="7">
        <f>MAX($A$1:$A411)+1</f>
        <v>411</v>
      </c>
      <c r="B412" s="2" t="s">
        <v>171</v>
      </c>
      <c r="C412" s="2" t="s">
        <v>170</v>
      </c>
      <c r="D412" s="2" t="s">
        <v>24</v>
      </c>
      <c r="E412" s="7" t="s">
        <v>482</v>
      </c>
      <c r="F412" s="4">
        <v>48.828601837158203</v>
      </c>
      <c r="G412" s="18">
        <v>-125.221298217773</v>
      </c>
      <c r="H412" s="5" t="s">
        <v>7</v>
      </c>
      <c r="I412" s="2">
        <v>2</v>
      </c>
      <c r="J412" s="2">
        <v>270</v>
      </c>
      <c r="K412" s="6">
        <v>0.42708333333333331</v>
      </c>
      <c r="L412" s="2" t="s">
        <v>172</v>
      </c>
      <c r="M412" s="2">
        <v>6.5</v>
      </c>
      <c r="N412" s="2">
        <v>2</v>
      </c>
      <c r="O412" s="2">
        <v>2</v>
      </c>
      <c r="P412" s="2" t="s">
        <v>247</v>
      </c>
      <c r="Q412" s="7" t="s">
        <v>64</v>
      </c>
      <c r="R412" s="7" t="s">
        <v>293</v>
      </c>
      <c r="S412" s="20">
        <v>12</v>
      </c>
      <c r="T412" s="2">
        <v>12</v>
      </c>
    </row>
    <row r="413" spans="1:32">
      <c r="A413" s="7">
        <f>MAX($A$1:$A412)+1</f>
        <v>412</v>
      </c>
      <c r="B413" s="2" t="s">
        <v>171</v>
      </c>
      <c r="C413" s="2" t="s">
        <v>170</v>
      </c>
      <c r="D413" s="2" t="s">
        <v>24</v>
      </c>
      <c r="E413" s="7" t="s">
        <v>482</v>
      </c>
      <c r="F413" s="4">
        <v>48.828601837158203</v>
      </c>
      <c r="G413" s="18">
        <v>-125.221298217773</v>
      </c>
      <c r="H413" s="5" t="s">
        <v>7</v>
      </c>
      <c r="I413" s="2">
        <v>2</v>
      </c>
      <c r="J413" s="2">
        <v>270</v>
      </c>
      <c r="K413" s="6">
        <v>0.42708333333333331</v>
      </c>
      <c r="L413" s="2" t="s">
        <v>172</v>
      </c>
      <c r="M413" s="2">
        <v>6.5</v>
      </c>
      <c r="N413" s="2">
        <v>2</v>
      </c>
      <c r="O413" s="2">
        <v>2</v>
      </c>
      <c r="P413" s="2" t="s">
        <v>243</v>
      </c>
      <c r="Q413" s="7" t="s">
        <v>85</v>
      </c>
      <c r="R413" s="7" t="s">
        <v>312</v>
      </c>
      <c r="S413" s="20">
        <v>14</v>
      </c>
      <c r="T413" s="2">
        <v>14</v>
      </c>
    </row>
    <row r="414" spans="1:32">
      <c r="A414" s="7">
        <f>MAX($A$1:$A413)+1</f>
        <v>413</v>
      </c>
      <c r="B414" s="2" t="s">
        <v>171</v>
      </c>
      <c r="C414" s="2" t="s">
        <v>170</v>
      </c>
      <c r="D414" s="2" t="s">
        <v>24</v>
      </c>
      <c r="E414" s="7" t="s">
        <v>482</v>
      </c>
      <c r="F414" s="4">
        <v>48.828601837158203</v>
      </c>
      <c r="G414" s="18">
        <v>-125.221298217773</v>
      </c>
      <c r="H414" s="5" t="s">
        <v>7</v>
      </c>
      <c r="I414" s="2">
        <v>2</v>
      </c>
      <c r="J414" s="2">
        <v>270</v>
      </c>
      <c r="K414" s="6">
        <v>0.42708333333333331</v>
      </c>
      <c r="L414" s="2" t="s">
        <v>172</v>
      </c>
      <c r="M414" s="2">
        <v>6.5</v>
      </c>
      <c r="N414" s="2">
        <v>2</v>
      </c>
      <c r="O414" s="2">
        <v>2</v>
      </c>
      <c r="P414" s="2" t="s">
        <v>419</v>
      </c>
      <c r="Q414" s="7" t="s">
        <v>139</v>
      </c>
      <c r="R414" s="7" t="s">
        <v>420</v>
      </c>
      <c r="S414" s="20">
        <v>4</v>
      </c>
      <c r="T414" s="2">
        <v>4</v>
      </c>
    </row>
    <row r="415" spans="1:32">
      <c r="A415" s="7">
        <f>MAX($A$1:$A414)+1</f>
        <v>414</v>
      </c>
      <c r="B415" s="2" t="s">
        <v>171</v>
      </c>
      <c r="C415" s="2" t="s">
        <v>170</v>
      </c>
      <c r="D415" s="2" t="s">
        <v>24</v>
      </c>
      <c r="E415" s="7" t="s">
        <v>482</v>
      </c>
      <c r="F415" s="4">
        <v>48.828601837158203</v>
      </c>
      <c r="G415" s="18">
        <v>-125.221298217773</v>
      </c>
      <c r="H415" s="5" t="s">
        <v>7</v>
      </c>
      <c r="I415" s="2">
        <v>2</v>
      </c>
      <c r="J415" s="2">
        <v>270</v>
      </c>
      <c r="K415" s="6">
        <v>0.42708333333333331</v>
      </c>
      <c r="L415" s="2" t="s">
        <v>172</v>
      </c>
      <c r="M415" s="2">
        <v>6.5</v>
      </c>
      <c r="N415" s="2">
        <v>2</v>
      </c>
      <c r="O415" s="2">
        <v>2</v>
      </c>
      <c r="P415" s="2" t="s">
        <v>250</v>
      </c>
      <c r="Q415" s="7" t="s">
        <v>46</v>
      </c>
      <c r="R415" s="7" t="s">
        <v>295</v>
      </c>
      <c r="S415" s="20">
        <v>3</v>
      </c>
      <c r="V415" s="2">
        <v>3</v>
      </c>
    </row>
    <row r="416" spans="1:32">
      <c r="A416" s="7">
        <f>MAX($A$1:$A415)+1</f>
        <v>415</v>
      </c>
      <c r="B416" s="2" t="s">
        <v>171</v>
      </c>
      <c r="C416" s="2" t="s">
        <v>170</v>
      </c>
      <c r="D416" s="2" t="s">
        <v>24</v>
      </c>
      <c r="E416" s="7" t="s">
        <v>482</v>
      </c>
      <c r="F416" s="4">
        <v>48.828601837158203</v>
      </c>
      <c r="G416" s="18">
        <v>-125.221298217773</v>
      </c>
      <c r="H416" s="5" t="s">
        <v>7</v>
      </c>
      <c r="I416" s="2">
        <v>2</v>
      </c>
      <c r="J416" s="2">
        <v>270</v>
      </c>
      <c r="K416" s="6">
        <v>0.42708333333333331</v>
      </c>
      <c r="L416" s="2" t="s">
        <v>172</v>
      </c>
      <c r="M416" s="2">
        <v>6.5</v>
      </c>
      <c r="N416" s="2">
        <v>2</v>
      </c>
      <c r="O416" s="2">
        <v>2</v>
      </c>
      <c r="P416" s="2" t="s">
        <v>335</v>
      </c>
      <c r="Q416" s="7" t="s">
        <v>91</v>
      </c>
      <c r="R416" s="7" t="s">
        <v>336</v>
      </c>
      <c r="S416" s="20">
        <v>4</v>
      </c>
      <c r="T416" s="2">
        <v>4</v>
      </c>
    </row>
    <row r="417" spans="1:28">
      <c r="A417" s="7">
        <f>MAX($A$1:$A416)+1</f>
        <v>416</v>
      </c>
      <c r="B417" s="2" t="s">
        <v>171</v>
      </c>
      <c r="C417" s="2" t="s">
        <v>170</v>
      </c>
      <c r="D417" s="2" t="s">
        <v>24</v>
      </c>
      <c r="E417" s="7" t="s">
        <v>482</v>
      </c>
      <c r="F417" s="4">
        <v>48.828601837158203</v>
      </c>
      <c r="G417" s="18">
        <v>-125.221298217773</v>
      </c>
      <c r="H417" s="5" t="s">
        <v>7</v>
      </c>
      <c r="I417" s="2">
        <v>2</v>
      </c>
      <c r="J417" s="2">
        <v>270</v>
      </c>
      <c r="K417" s="6">
        <v>0.42708333333333331</v>
      </c>
      <c r="L417" s="2" t="s">
        <v>172</v>
      </c>
      <c r="M417" s="2">
        <v>6.5</v>
      </c>
      <c r="N417" s="2">
        <v>2</v>
      </c>
      <c r="O417" s="2">
        <v>2</v>
      </c>
      <c r="P417" s="2" t="s">
        <v>338</v>
      </c>
      <c r="Q417" s="7" t="s">
        <v>101</v>
      </c>
      <c r="R417" s="7" t="s">
        <v>339</v>
      </c>
      <c r="S417" s="20">
        <v>5</v>
      </c>
      <c r="V417" s="2">
        <v>2</v>
      </c>
      <c r="W417" s="2">
        <v>2</v>
      </c>
      <c r="X417" s="2">
        <v>1</v>
      </c>
    </row>
    <row r="418" spans="1:28">
      <c r="A418" s="7">
        <f>MAX($A$1:$A417)+1</f>
        <v>417</v>
      </c>
      <c r="B418" s="2" t="s">
        <v>171</v>
      </c>
      <c r="C418" s="2" t="s">
        <v>170</v>
      </c>
      <c r="D418" s="2" t="s">
        <v>24</v>
      </c>
      <c r="E418" s="7" t="s">
        <v>482</v>
      </c>
      <c r="F418" s="4">
        <v>48.828601837158203</v>
      </c>
      <c r="G418" s="18">
        <v>-125.221298217773</v>
      </c>
      <c r="H418" s="5" t="s">
        <v>7</v>
      </c>
      <c r="I418" s="2">
        <v>2</v>
      </c>
      <c r="J418" s="2">
        <v>270</v>
      </c>
      <c r="K418" s="6">
        <v>0.42708333333333331</v>
      </c>
      <c r="L418" s="2" t="s">
        <v>172</v>
      </c>
      <c r="M418" s="2">
        <v>6.5</v>
      </c>
      <c r="N418" s="2">
        <v>2</v>
      </c>
      <c r="O418" s="2">
        <v>2</v>
      </c>
      <c r="P418" s="2" t="s">
        <v>248</v>
      </c>
      <c r="Q418" s="7" t="s">
        <v>78</v>
      </c>
      <c r="R418" s="7" t="s">
        <v>349</v>
      </c>
      <c r="S418" s="20">
        <v>1</v>
      </c>
      <c r="W418" s="2">
        <v>1</v>
      </c>
    </row>
    <row r="419" spans="1:28">
      <c r="A419" s="7">
        <f>MAX($A$1:$A418)+1</f>
        <v>418</v>
      </c>
      <c r="B419" s="2" t="s">
        <v>171</v>
      </c>
      <c r="C419" s="2" t="s">
        <v>170</v>
      </c>
      <c r="D419" s="2" t="s">
        <v>24</v>
      </c>
      <c r="E419" s="7" t="s">
        <v>482</v>
      </c>
      <c r="F419" s="4">
        <v>48.828601837158203</v>
      </c>
      <c r="G419" s="18">
        <v>-125.221298217773</v>
      </c>
      <c r="H419" s="5" t="s">
        <v>7</v>
      </c>
      <c r="I419" s="2">
        <v>2</v>
      </c>
      <c r="J419" s="2">
        <v>270</v>
      </c>
      <c r="K419" s="6">
        <v>0.42708333333333331</v>
      </c>
      <c r="L419" s="2" t="s">
        <v>172</v>
      </c>
      <c r="M419" s="2">
        <v>6.5</v>
      </c>
      <c r="N419" s="2">
        <v>2</v>
      </c>
      <c r="O419" s="2">
        <v>2</v>
      </c>
      <c r="P419" s="2" t="s">
        <v>240</v>
      </c>
      <c r="Q419" s="7" t="s">
        <v>74</v>
      </c>
      <c r="R419" s="7" t="s">
        <v>459</v>
      </c>
      <c r="S419" s="20">
        <v>4</v>
      </c>
      <c r="T419" s="2">
        <v>4</v>
      </c>
    </row>
    <row r="420" spans="1:28">
      <c r="A420" s="7">
        <f>MAX($A$1:$A419)+1</f>
        <v>419</v>
      </c>
      <c r="B420" s="2" t="s">
        <v>171</v>
      </c>
      <c r="C420" s="2" t="s">
        <v>170</v>
      </c>
      <c r="D420" s="2" t="s">
        <v>24</v>
      </c>
      <c r="E420" s="7" t="s">
        <v>482</v>
      </c>
      <c r="F420" s="4">
        <v>48.828601837158203</v>
      </c>
      <c r="G420" s="18">
        <v>-125.221298217773</v>
      </c>
      <c r="H420" s="5" t="s">
        <v>7</v>
      </c>
      <c r="I420" s="2">
        <v>2</v>
      </c>
      <c r="J420" s="2">
        <v>270</v>
      </c>
      <c r="K420" s="6">
        <v>0.42708333333333331</v>
      </c>
      <c r="L420" s="2" t="s">
        <v>172</v>
      </c>
      <c r="M420" s="2">
        <v>6.5</v>
      </c>
      <c r="N420" s="2">
        <v>2</v>
      </c>
      <c r="O420" s="2">
        <v>2</v>
      </c>
      <c r="P420" s="2" t="s">
        <v>296</v>
      </c>
      <c r="Q420" s="7" t="s">
        <v>75</v>
      </c>
      <c r="R420" s="7" t="s">
        <v>297</v>
      </c>
      <c r="S420" s="20">
        <v>6</v>
      </c>
      <c r="T420" s="2">
        <v>6</v>
      </c>
    </row>
    <row r="421" spans="1:28">
      <c r="A421" s="7">
        <f>MAX($A$1:$A420)+1</f>
        <v>420</v>
      </c>
      <c r="B421" s="2" t="s">
        <v>171</v>
      </c>
      <c r="C421" s="2" t="s">
        <v>170</v>
      </c>
      <c r="D421" s="2" t="s">
        <v>24</v>
      </c>
      <c r="E421" s="7" t="s">
        <v>482</v>
      </c>
      <c r="F421" s="4">
        <v>48.828601837158203</v>
      </c>
      <c r="G421" s="18">
        <v>-125.221298217773</v>
      </c>
      <c r="H421" s="5" t="s">
        <v>7</v>
      </c>
      <c r="I421" s="2">
        <v>2</v>
      </c>
      <c r="J421" s="2">
        <v>270</v>
      </c>
      <c r="K421" s="6">
        <v>0.42708333333333331</v>
      </c>
      <c r="L421" s="2" t="s">
        <v>172</v>
      </c>
      <c r="M421" s="2">
        <v>6.5</v>
      </c>
      <c r="N421" s="2">
        <v>2</v>
      </c>
      <c r="O421" s="2">
        <v>2</v>
      </c>
      <c r="P421" s="2" t="s">
        <v>395</v>
      </c>
      <c r="Q421" s="7" t="s">
        <v>81</v>
      </c>
      <c r="R421" s="7" t="s">
        <v>396</v>
      </c>
      <c r="S421" s="20">
        <v>1</v>
      </c>
      <c r="T421" s="2">
        <v>1</v>
      </c>
    </row>
    <row r="422" spans="1:28">
      <c r="A422" s="7">
        <f>MAX($A$1:$A421)+1</f>
        <v>421</v>
      </c>
      <c r="B422" s="2" t="s">
        <v>171</v>
      </c>
      <c r="C422" s="2" t="s">
        <v>170</v>
      </c>
      <c r="D422" s="2" t="s">
        <v>24</v>
      </c>
      <c r="E422" s="7" t="s">
        <v>482</v>
      </c>
      <c r="F422" s="4">
        <v>48.828601837158203</v>
      </c>
      <c r="G422" s="18">
        <v>-125.221298217773</v>
      </c>
      <c r="H422" s="5" t="s">
        <v>7</v>
      </c>
      <c r="I422" s="2">
        <v>2</v>
      </c>
      <c r="J422" s="2">
        <v>270</v>
      </c>
      <c r="K422" s="6">
        <v>0.42708333333333331</v>
      </c>
      <c r="L422" s="2" t="s">
        <v>172</v>
      </c>
      <c r="M422" s="2">
        <v>6.5</v>
      </c>
      <c r="N422" s="2">
        <v>2</v>
      </c>
      <c r="O422" s="2">
        <v>2</v>
      </c>
      <c r="P422" s="2" t="s">
        <v>331</v>
      </c>
      <c r="Q422" s="7" t="s">
        <v>67</v>
      </c>
      <c r="R422" s="7" t="s">
        <v>332</v>
      </c>
      <c r="S422" s="20">
        <v>1</v>
      </c>
      <c r="T422" s="2">
        <v>1</v>
      </c>
    </row>
    <row r="423" spans="1:28">
      <c r="A423" s="7">
        <f>MAX($A$1:$A422)+1</f>
        <v>422</v>
      </c>
      <c r="B423" s="2" t="s">
        <v>171</v>
      </c>
      <c r="C423" s="2" t="s">
        <v>170</v>
      </c>
      <c r="D423" s="2" t="s">
        <v>24</v>
      </c>
      <c r="E423" s="7" t="s">
        <v>482</v>
      </c>
      <c r="F423" s="4">
        <v>48.828601837158203</v>
      </c>
      <c r="G423" s="18">
        <v>-125.221298217773</v>
      </c>
      <c r="H423" s="5" t="s">
        <v>7</v>
      </c>
      <c r="I423" s="2">
        <v>2</v>
      </c>
      <c r="J423" s="2">
        <v>270</v>
      </c>
      <c r="K423" s="6">
        <v>0.42708333333333331</v>
      </c>
      <c r="L423" s="2" t="s">
        <v>172</v>
      </c>
      <c r="M423" s="2">
        <v>6.5</v>
      </c>
      <c r="N423" s="2">
        <v>2</v>
      </c>
      <c r="O423" s="2">
        <v>2</v>
      </c>
      <c r="P423" s="2" t="s">
        <v>340</v>
      </c>
      <c r="Q423" s="7" t="s">
        <v>114</v>
      </c>
      <c r="R423" s="7" t="s">
        <v>341</v>
      </c>
      <c r="S423" s="20">
        <v>1</v>
      </c>
      <c r="T423" s="2">
        <v>1</v>
      </c>
    </row>
    <row r="424" spans="1:28">
      <c r="A424" s="7">
        <f>MAX($A$1:$A423)+1</f>
        <v>423</v>
      </c>
      <c r="B424" s="2" t="s">
        <v>171</v>
      </c>
      <c r="C424" s="2" t="s">
        <v>170</v>
      </c>
      <c r="D424" s="2" t="s">
        <v>24</v>
      </c>
      <c r="E424" s="7" t="s">
        <v>482</v>
      </c>
      <c r="F424" s="4">
        <v>48.828601837158203</v>
      </c>
      <c r="G424" s="18">
        <v>-125.221298217773</v>
      </c>
      <c r="H424" s="5" t="s">
        <v>7</v>
      </c>
      <c r="I424" s="2">
        <v>2</v>
      </c>
      <c r="J424" s="2">
        <v>270</v>
      </c>
      <c r="K424" s="6">
        <v>0.42708333333333331</v>
      </c>
      <c r="L424" s="2" t="s">
        <v>172</v>
      </c>
      <c r="M424" s="2">
        <v>6.5</v>
      </c>
      <c r="N424" s="2">
        <v>2</v>
      </c>
      <c r="O424" s="2">
        <v>2</v>
      </c>
      <c r="P424" s="2" t="s">
        <v>316</v>
      </c>
      <c r="Q424" s="7" t="s">
        <v>123</v>
      </c>
      <c r="R424" s="7" t="s">
        <v>317</v>
      </c>
      <c r="S424" s="20">
        <v>1</v>
      </c>
      <c r="T424" s="2">
        <v>1</v>
      </c>
    </row>
    <row r="425" spans="1:28">
      <c r="A425" s="7">
        <f>MAX($A$1:$A424)+1</f>
        <v>424</v>
      </c>
      <c r="B425" s="2" t="s">
        <v>171</v>
      </c>
      <c r="C425" s="2" t="s">
        <v>170</v>
      </c>
      <c r="D425" s="2" t="s">
        <v>24</v>
      </c>
      <c r="E425" s="7" t="s">
        <v>482</v>
      </c>
      <c r="F425" s="4">
        <v>48.828601837158203</v>
      </c>
      <c r="G425" s="18">
        <v>-125.221298217773</v>
      </c>
      <c r="H425" s="5" t="s">
        <v>7</v>
      </c>
      <c r="I425" s="2">
        <v>2</v>
      </c>
      <c r="J425" s="2">
        <v>270</v>
      </c>
      <c r="K425" s="6">
        <v>0.42708333333333331</v>
      </c>
      <c r="L425" s="2" t="s">
        <v>172</v>
      </c>
      <c r="M425" s="2">
        <v>6.5</v>
      </c>
      <c r="N425" s="2">
        <v>2</v>
      </c>
      <c r="O425" s="2">
        <v>2</v>
      </c>
      <c r="P425" s="2" t="s">
        <v>342</v>
      </c>
      <c r="Q425" s="7" t="s">
        <v>126</v>
      </c>
      <c r="R425" s="7" t="s">
        <v>329</v>
      </c>
      <c r="S425" s="20">
        <v>0</v>
      </c>
      <c r="T425" s="2">
        <v>0</v>
      </c>
    </row>
    <row r="426" spans="1:28">
      <c r="A426" s="7">
        <f>MAX($A$1:$A425)+1</f>
        <v>425</v>
      </c>
      <c r="B426" s="2" t="s">
        <v>171</v>
      </c>
      <c r="C426" s="2" t="s">
        <v>170</v>
      </c>
      <c r="D426" s="2" t="s">
        <v>24</v>
      </c>
      <c r="E426" s="7" t="s">
        <v>482</v>
      </c>
      <c r="F426" s="4">
        <v>48.828601837158203</v>
      </c>
      <c r="G426" s="18">
        <v>-125.221298217773</v>
      </c>
      <c r="H426" s="5" t="s">
        <v>7</v>
      </c>
      <c r="I426" s="2">
        <v>2</v>
      </c>
      <c r="J426" s="2">
        <v>270</v>
      </c>
      <c r="K426" s="6">
        <v>0.42708333333333331</v>
      </c>
      <c r="L426" s="2" t="s">
        <v>172</v>
      </c>
      <c r="M426" s="2">
        <v>6.5</v>
      </c>
      <c r="N426" s="2">
        <v>0</v>
      </c>
      <c r="O426" s="2">
        <v>0</v>
      </c>
      <c r="P426" s="2" t="s">
        <v>251</v>
      </c>
      <c r="Q426" s="7" t="s">
        <v>73</v>
      </c>
      <c r="R426" s="7" t="s">
        <v>325</v>
      </c>
      <c r="S426" s="20">
        <v>1</v>
      </c>
      <c r="T426" s="2">
        <v>1</v>
      </c>
    </row>
    <row r="427" spans="1:28">
      <c r="A427" s="7">
        <f>MAX($A$1:$A426)+1</f>
        <v>426</v>
      </c>
      <c r="B427" s="2" t="str">
        <f t="shared" ref="B427:B455" si="28">IF(ISERROR(B426),IF(ISERROR(B425),IF(ISERROR(B424),"BLANK",B424),B425),B426)</f>
        <v>Em Lim</v>
      </c>
      <c r="C427" s="2" t="str">
        <f t="shared" ref="C427:C455" si="29">IF(ISERROR(C426),IF(ISERROR(C425),IF(ISERROR(C424),"BLANK",C424),C425),C426)</f>
        <v>Jasmin Schuster</v>
      </c>
      <c r="D427" s="27" t="s">
        <v>23</v>
      </c>
      <c r="E427" s="7" t="str">
        <f>IF(ISERROR(VLOOKUP($D427,SITES!$A:$E,2,FALSE)),"",VLOOKUP($D427,SITES!$A:$E,2,FALSE))</f>
        <v>Kirby</v>
      </c>
      <c r="F427" s="4">
        <f>IF(ISERROR(VLOOKUP($D427,SITES!$A:$E,3,FALSE)),"",VLOOKUP($D427,SITES!$A:$E,3,FALSE))</f>
        <v>48.850399017333899</v>
      </c>
      <c r="G427" s="18">
        <f>IF(ISERROR(VLOOKUP($D427,SITES!$A:$E,4,FALSE)),"",VLOOKUP($D427,SITES!$A:$E,4,FALSE))</f>
        <v>-125.198768615722</v>
      </c>
      <c r="H427" s="5" t="str">
        <f t="shared" ref="H427:H455" si="30">IF(ISERROR(H426),IF(ISERROR(H425),IF(ISERROR(H424),"BLANK",H424),H425),H426)</f>
        <v>10/05/2023</v>
      </c>
      <c r="I427" s="2">
        <v>1.5</v>
      </c>
      <c r="J427" s="2">
        <v>60</v>
      </c>
      <c r="K427" s="6">
        <v>0.5625</v>
      </c>
      <c r="L427" s="2" t="str">
        <f t="shared" ref="L427:L455" si="31">IF(ISERROR(L426),IF(ISERROR(L425),IF(ISERROR(L424),"BLANK",L424),L425),L426)</f>
        <v>EGL</v>
      </c>
      <c r="M427" s="2">
        <v>7</v>
      </c>
      <c r="N427" s="2">
        <v>1</v>
      </c>
      <c r="O427" s="2">
        <v>1</v>
      </c>
      <c r="P427" s="27" t="s">
        <v>174</v>
      </c>
      <c r="Q427" s="7" t="str">
        <f>IF($N427=1,IF(ISERROR(VLOOKUP($P427,'M1'!$A:$C,Q$2,FALSE)),"NOT PRESENT",VLOOKUP($P427,'M1'!$A:$C,Q$2,FALSE)),IF($N427=2,IF(ISERROR(VLOOKUP(DATA!$P87,'M2'!$A:$C,Q$2,FALSE)),"NOT PRESENT",VLOOKUP(DATA!$P87,'M2'!$A:$C,Q$2,FALSE)),IF($N427=0,IF(ISERROR(VLOOKUP($P427,'M1'!$A:$C,Q$2,FALSE)),IF(ISERROR(VLOOKUP(DATA!$P87,'M2'!$A:$C,Q$2,FALSE)),"NOT PRESENT",VLOOKUP(DATA!$P87,'M2'!$A:$C,Q$2,FALSE)),VLOOKUP($P427,'M1'!$A:$C,Q$2,FALSE)),"SPECIFY METHOD")))</f>
        <v>NOT PRESENT</v>
      </c>
      <c r="R427" s="7" t="str">
        <f>IF($N427=1,IF(ISERROR(VLOOKUP($P427,'M1'!$A:$C,R$2,FALSE)),"NOT PRESENT",VLOOKUP($P427,'M1'!$A:$C,R$2,FALSE)),IF($N427=2,IF(ISERROR(VLOOKUP(DATA!$P87,'M2'!$A:$C,R$2,FALSE)),"NOT PRESENT",VLOOKUP(DATA!$P87,'M2'!$A:$C,R$2,FALSE)),IF($N427=0,IF(ISERROR(VLOOKUP($P427,'M1'!$A:$C,R$2,FALSE)),IF(ISERROR(VLOOKUP(DATA!$P87,'M2'!$A:$C,R$2,FALSE)),"NOT PRESENT",VLOOKUP(DATA!$P87,'M2'!$A:$C,R$2,FALSE)),VLOOKUP($P427,'M1'!$A:$C,R$2,FALSE)),"SPECIFY METHOD")))</f>
        <v>NOT PRESENT</v>
      </c>
      <c r="S427" s="20">
        <f t="shared" ref="S427:S455" si="32">SUM(T427:AV427)</f>
        <v>5</v>
      </c>
      <c r="T427" s="2">
        <v>0</v>
      </c>
      <c r="AA427" s="2">
        <v>2</v>
      </c>
      <c r="AB427" s="2">
        <v>3</v>
      </c>
    </row>
    <row r="428" spans="1:28">
      <c r="A428" s="7">
        <f>MAX($A$1:$A427)+1</f>
        <v>427</v>
      </c>
      <c r="B428" s="2" t="str">
        <f t="shared" si="28"/>
        <v>Em Lim</v>
      </c>
      <c r="C428" s="2" t="str">
        <f t="shared" si="29"/>
        <v>Jasmin Schuster</v>
      </c>
      <c r="D428" s="2" t="str">
        <f t="shared" ref="D428:D455" si="33">IF(ISERROR(D427),IF(ISERROR(D426),IF(ISERROR(D425),"BLANK",D425),D426),D427)</f>
        <v>BMSC2</v>
      </c>
      <c r="E428" s="7" t="str">
        <f>IF(ISERROR(VLOOKUP($D428,SITES!$A:$E,2,FALSE)),"",VLOOKUP($D428,SITES!$A:$E,2,FALSE))</f>
        <v>Kirby</v>
      </c>
      <c r="F428" s="4">
        <f>IF(ISERROR(VLOOKUP($D428,SITES!$A:$E,3,FALSE)),"",VLOOKUP($D428,SITES!$A:$E,3,FALSE))</f>
        <v>48.850399017333899</v>
      </c>
      <c r="G428" s="18">
        <f>IF(ISERROR(VLOOKUP($D428,SITES!$A:$E,4,FALSE)),"",VLOOKUP($D428,SITES!$A:$E,4,FALSE))</f>
        <v>-125.198768615722</v>
      </c>
      <c r="H428" s="5" t="str">
        <f t="shared" si="30"/>
        <v>10/05/2023</v>
      </c>
      <c r="I428" s="2">
        <f t="shared" ref="I428:I455" si="34">IF(ISERROR(I427),IF(ISERROR(I426),IF(ISERROR(I425),"BLANK",I425),I426),I427)</f>
        <v>1.5</v>
      </c>
      <c r="J428" s="2">
        <f t="shared" ref="J428:J455" si="35">IF(ISERROR(J427),IF(ISERROR(J426),IF(ISERROR(J425),"BLANK",J425),J426),J427)</f>
        <v>60</v>
      </c>
      <c r="K428" s="6">
        <f t="shared" ref="K428:K455" si="36">IF(ISERROR(K427),IF(ISERROR(K426),IF(ISERROR(K425),"BLANK",K425),K426),K427)</f>
        <v>0.5625</v>
      </c>
      <c r="L428" s="2" t="str">
        <f t="shared" si="31"/>
        <v>EGL</v>
      </c>
      <c r="M428" s="2">
        <f t="shared" ref="M428:M455" si="37">IF(ISERROR(M427),IF(ISERROR(M426),IF(ISERROR(M425),"BLANK",M425),M426),M427)</f>
        <v>7</v>
      </c>
      <c r="N428" s="2">
        <v>2</v>
      </c>
      <c r="O428" s="2">
        <f t="shared" ref="O428:O453" si="38">IF(ISERROR(O427),IF(ISERROR(O426),IF(ISERROR(O425),"BLANK",O425),O426),O427)</f>
        <v>1</v>
      </c>
      <c r="P428" s="27" t="s">
        <v>178</v>
      </c>
      <c r="Q428" s="7" t="str">
        <f>IF($N428=1,IF(ISERROR(VLOOKUP($P428,'M1'!$A:$C,Q$2,FALSE)),"NOT PRESENT",VLOOKUP($P428,'M1'!$A:$C,Q$2,FALSE)),IF($N428=2,IF(ISERROR(VLOOKUP(DATA!$P88,'M2'!$A:$C,Q$2,FALSE)),"NOT PRESENT",VLOOKUP(DATA!$P88,'M2'!$A:$C,Q$2,FALSE)),IF($N428=0,IF(ISERROR(VLOOKUP($P428,'M1'!$A:$C,Q$2,FALSE)),IF(ISERROR(VLOOKUP(DATA!$P88,'M2'!$A:$C,Q$2,FALSE)),"NOT PRESENT",VLOOKUP(DATA!$P88,'M2'!$A:$C,Q$2,FALSE)),VLOOKUP($P428,'M1'!$A:$C,Q$2,FALSE)),"SPECIFY METHOD")))</f>
        <v>NOT PRESENT</v>
      </c>
      <c r="R428" s="7" t="str">
        <f>IF($N428=1,IF(ISERROR(VLOOKUP($P428,'M1'!$A:$C,R$2,FALSE)),"NOT PRESENT",VLOOKUP($P428,'M1'!$A:$C,R$2,FALSE)),IF($N428=2,IF(ISERROR(VLOOKUP(DATA!$P88,'M2'!$A:$C,R$2,FALSE)),"NOT PRESENT",VLOOKUP(DATA!$P88,'M2'!$A:$C,R$2,FALSE)),IF($N428=0,IF(ISERROR(VLOOKUP($P428,'M1'!$A:$C,R$2,FALSE)),IF(ISERROR(VLOOKUP(DATA!$P88,'M2'!$A:$C,R$2,FALSE)),"NOT PRESENT",VLOOKUP(DATA!$P88,'M2'!$A:$C,R$2,FALSE)),VLOOKUP($P428,'M1'!$A:$C,R$2,FALSE)),"SPECIFY METHOD")))</f>
        <v>NOT PRESENT</v>
      </c>
      <c r="S428" s="20">
        <f t="shared" si="32"/>
        <v>500</v>
      </c>
      <c r="T428" s="2">
        <v>500</v>
      </c>
    </row>
    <row r="429" spans="1:28">
      <c r="A429" s="7">
        <f>MAX($A$1:$A428)+1</f>
        <v>428</v>
      </c>
      <c r="B429" s="2" t="str">
        <f t="shared" si="28"/>
        <v>Em Lim</v>
      </c>
      <c r="C429" s="2" t="str">
        <f t="shared" si="29"/>
        <v>Jasmin Schuster</v>
      </c>
      <c r="D429" s="2" t="str">
        <f t="shared" si="33"/>
        <v>BMSC2</v>
      </c>
      <c r="E429" s="7" t="str">
        <f>IF(ISERROR(VLOOKUP($D429,SITES!$A:$E,2,FALSE)),"",VLOOKUP($D429,SITES!$A:$E,2,FALSE))</f>
        <v>Kirby</v>
      </c>
      <c r="F429" s="4">
        <f>IF(ISERROR(VLOOKUP($D429,SITES!$A:$E,3,FALSE)),"",VLOOKUP($D429,SITES!$A:$E,3,FALSE))</f>
        <v>48.850399017333899</v>
      </c>
      <c r="G429" s="18">
        <f>IF(ISERROR(VLOOKUP($D429,SITES!$A:$E,4,FALSE)),"",VLOOKUP($D429,SITES!$A:$E,4,FALSE))</f>
        <v>-125.198768615722</v>
      </c>
      <c r="H429" s="5" t="str">
        <f t="shared" si="30"/>
        <v>10/05/2023</v>
      </c>
      <c r="I429" s="2">
        <f t="shared" si="34"/>
        <v>1.5</v>
      </c>
      <c r="J429" s="2">
        <f t="shared" si="35"/>
        <v>60</v>
      </c>
      <c r="K429" s="6">
        <f t="shared" si="36"/>
        <v>0.5625</v>
      </c>
      <c r="L429" s="2" t="str">
        <f t="shared" si="31"/>
        <v>EGL</v>
      </c>
      <c r="M429" s="2">
        <f t="shared" si="37"/>
        <v>7</v>
      </c>
      <c r="N429" s="2">
        <f t="shared" ref="N429:N453" si="39">IF(ISERROR(N428),IF(ISERROR(N427),IF(ISERROR(N426),"BLANK",N426),N427),N428)</f>
        <v>2</v>
      </c>
      <c r="O429" s="2">
        <f t="shared" si="38"/>
        <v>1</v>
      </c>
      <c r="P429" s="27" t="s">
        <v>188</v>
      </c>
      <c r="Q429" s="7" t="str">
        <f>IF($N429=1,IF(ISERROR(VLOOKUP($P429,'M1'!$A:$C,Q$2,FALSE)),"NOT PRESENT",VLOOKUP($P429,'M1'!$A:$C,Q$2,FALSE)),IF($N429=2,IF(ISERROR(VLOOKUP(DATA!$P89,'M2'!$A:$C,Q$2,FALSE)),"NOT PRESENT",VLOOKUP(DATA!$P89,'M2'!$A:$C,Q$2,FALSE)),IF($N429=0,IF(ISERROR(VLOOKUP($P429,'M1'!$A:$C,Q$2,FALSE)),IF(ISERROR(VLOOKUP(DATA!$P89,'M2'!$A:$C,Q$2,FALSE)),"NOT PRESENT",VLOOKUP(DATA!$P89,'M2'!$A:$C,Q$2,FALSE)),VLOOKUP($P429,'M1'!$A:$C,Q$2,FALSE)),"SPECIFY METHOD")))</f>
        <v>NOT PRESENT</v>
      </c>
      <c r="R429" s="7" t="str">
        <f>IF($N429=1,IF(ISERROR(VLOOKUP($P429,'M1'!$A:$C,R$2,FALSE)),"NOT PRESENT",VLOOKUP($P429,'M1'!$A:$C,R$2,FALSE)),IF($N429=2,IF(ISERROR(VLOOKUP(DATA!$P89,'M2'!$A:$C,R$2,FALSE)),"NOT PRESENT",VLOOKUP(DATA!$P89,'M2'!$A:$C,R$2,FALSE)),IF($N429=0,IF(ISERROR(VLOOKUP($P429,'M1'!$A:$C,R$2,FALSE)),IF(ISERROR(VLOOKUP(DATA!$P89,'M2'!$A:$C,R$2,FALSE)),"NOT PRESENT",VLOOKUP(DATA!$P89,'M2'!$A:$C,R$2,FALSE)),VLOOKUP($P429,'M1'!$A:$C,R$2,FALSE)),"SPECIFY METHOD")))</f>
        <v>NOT PRESENT</v>
      </c>
      <c r="S429" s="20">
        <f t="shared" si="32"/>
        <v>2</v>
      </c>
      <c r="T429" s="2">
        <v>2</v>
      </c>
    </row>
    <row r="430" spans="1:28">
      <c r="A430" s="7">
        <f>MAX($A$1:$A429)+1</f>
        <v>429</v>
      </c>
      <c r="B430" s="2" t="str">
        <f t="shared" si="28"/>
        <v>Em Lim</v>
      </c>
      <c r="C430" s="2" t="str">
        <f t="shared" si="29"/>
        <v>Jasmin Schuster</v>
      </c>
      <c r="D430" s="2" t="str">
        <f t="shared" si="33"/>
        <v>BMSC2</v>
      </c>
      <c r="E430" s="7" t="str">
        <f>IF(ISERROR(VLOOKUP($D430,SITES!$A:$E,2,FALSE)),"",VLOOKUP($D430,SITES!$A:$E,2,FALSE))</f>
        <v>Kirby</v>
      </c>
      <c r="F430" s="4">
        <f>IF(ISERROR(VLOOKUP($D430,SITES!$A:$E,3,FALSE)),"",VLOOKUP($D430,SITES!$A:$E,3,FALSE))</f>
        <v>48.850399017333899</v>
      </c>
      <c r="G430" s="18">
        <f>IF(ISERROR(VLOOKUP($D430,SITES!$A:$E,4,FALSE)),"",VLOOKUP($D430,SITES!$A:$E,4,FALSE))</f>
        <v>-125.198768615722</v>
      </c>
      <c r="H430" s="5" t="str">
        <f t="shared" si="30"/>
        <v>10/05/2023</v>
      </c>
      <c r="I430" s="2">
        <f t="shared" si="34"/>
        <v>1.5</v>
      </c>
      <c r="J430" s="2">
        <f t="shared" si="35"/>
        <v>60</v>
      </c>
      <c r="K430" s="6">
        <f t="shared" si="36"/>
        <v>0.5625</v>
      </c>
      <c r="L430" s="2" t="str">
        <f t="shared" si="31"/>
        <v>EGL</v>
      </c>
      <c r="M430" s="2">
        <f t="shared" si="37"/>
        <v>7</v>
      </c>
      <c r="N430" s="2">
        <f t="shared" si="39"/>
        <v>2</v>
      </c>
      <c r="O430" s="2">
        <f t="shared" si="38"/>
        <v>1</v>
      </c>
      <c r="P430" s="27" t="s">
        <v>202</v>
      </c>
      <c r="Q430" s="7" t="str">
        <f>IF($N430=1,IF(ISERROR(VLOOKUP($P430,'M1'!$A:$C,Q$2,FALSE)),"NOT PRESENT",VLOOKUP($P430,'M1'!$A:$C,Q$2,FALSE)),IF($N430=2,IF(ISERROR(VLOOKUP(DATA!$P90,'M2'!$A:$C,Q$2,FALSE)),"NOT PRESENT",VLOOKUP(DATA!$P90,'M2'!$A:$C,Q$2,FALSE)),IF($N430=0,IF(ISERROR(VLOOKUP($P430,'M1'!$A:$C,Q$2,FALSE)),IF(ISERROR(VLOOKUP(DATA!$P90,'M2'!$A:$C,Q$2,FALSE)),"NOT PRESENT",VLOOKUP(DATA!$P90,'M2'!$A:$C,Q$2,FALSE)),VLOOKUP($P430,'M1'!$A:$C,Q$2,FALSE)),"SPECIFY METHOD")))</f>
        <v>NOT PRESENT</v>
      </c>
      <c r="R430" s="7" t="str">
        <f>IF($N430=1,IF(ISERROR(VLOOKUP($P430,'M1'!$A:$C,R$2,FALSE)),"NOT PRESENT",VLOOKUP($P430,'M1'!$A:$C,R$2,FALSE)),IF($N430=2,IF(ISERROR(VLOOKUP(DATA!$P90,'M2'!$A:$C,R$2,FALSE)),"NOT PRESENT",VLOOKUP(DATA!$P90,'M2'!$A:$C,R$2,FALSE)),IF($N430=0,IF(ISERROR(VLOOKUP($P430,'M1'!$A:$C,R$2,FALSE)),IF(ISERROR(VLOOKUP(DATA!$P90,'M2'!$A:$C,R$2,FALSE)),"NOT PRESENT",VLOOKUP(DATA!$P90,'M2'!$A:$C,R$2,FALSE)),VLOOKUP($P430,'M1'!$A:$C,R$2,FALSE)),"SPECIFY METHOD")))</f>
        <v>NOT PRESENT</v>
      </c>
      <c r="S430" s="20">
        <f t="shared" si="32"/>
        <v>14</v>
      </c>
      <c r="T430" s="2">
        <v>14</v>
      </c>
    </row>
    <row r="431" spans="1:28">
      <c r="A431" s="7">
        <f>MAX($A$1:$A430)+1</f>
        <v>430</v>
      </c>
      <c r="B431" s="2" t="str">
        <f t="shared" si="28"/>
        <v>Em Lim</v>
      </c>
      <c r="C431" s="2" t="str">
        <f t="shared" si="29"/>
        <v>Jasmin Schuster</v>
      </c>
      <c r="D431" s="2" t="str">
        <f t="shared" si="33"/>
        <v>BMSC2</v>
      </c>
      <c r="E431" s="7" t="str">
        <f>IF(ISERROR(VLOOKUP($D431,SITES!$A:$E,2,FALSE)),"",VLOOKUP($D431,SITES!$A:$E,2,FALSE))</f>
        <v>Kirby</v>
      </c>
      <c r="F431" s="4">
        <f>IF(ISERROR(VLOOKUP($D431,SITES!$A:$E,3,FALSE)),"",VLOOKUP($D431,SITES!$A:$E,3,FALSE))</f>
        <v>48.850399017333899</v>
      </c>
      <c r="G431" s="18">
        <f>IF(ISERROR(VLOOKUP($D431,SITES!$A:$E,4,FALSE)),"",VLOOKUP($D431,SITES!$A:$E,4,FALSE))</f>
        <v>-125.198768615722</v>
      </c>
      <c r="H431" s="5" t="str">
        <f t="shared" si="30"/>
        <v>10/05/2023</v>
      </c>
      <c r="I431" s="2">
        <f t="shared" si="34"/>
        <v>1.5</v>
      </c>
      <c r="J431" s="2">
        <f t="shared" si="35"/>
        <v>60</v>
      </c>
      <c r="K431" s="6">
        <f t="shared" si="36"/>
        <v>0.5625</v>
      </c>
      <c r="L431" s="2" t="str">
        <f t="shared" si="31"/>
        <v>EGL</v>
      </c>
      <c r="M431" s="2">
        <f t="shared" si="37"/>
        <v>7</v>
      </c>
      <c r="N431" s="2">
        <f t="shared" si="39"/>
        <v>2</v>
      </c>
      <c r="O431" s="2">
        <f t="shared" si="38"/>
        <v>1</v>
      </c>
      <c r="P431" s="27" t="s">
        <v>184</v>
      </c>
      <c r="Q431" s="7" t="str">
        <f>IF($N431=1,IF(ISERROR(VLOOKUP($P431,'M1'!$A:$C,Q$2,FALSE)),"NOT PRESENT",VLOOKUP($P431,'M1'!$A:$C,Q$2,FALSE)),IF($N431=2,IF(ISERROR(VLOOKUP(DATA!$P91,'M2'!$A:$C,Q$2,FALSE)),"NOT PRESENT",VLOOKUP(DATA!$P91,'M2'!$A:$C,Q$2,FALSE)),IF($N431=0,IF(ISERROR(VLOOKUP($P431,'M1'!$A:$C,Q$2,FALSE)),IF(ISERROR(VLOOKUP(DATA!$P91,'M2'!$A:$C,Q$2,FALSE)),"NOT PRESENT",VLOOKUP(DATA!$P91,'M2'!$A:$C,Q$2,FALSE)),VLOOKUP($P431,'M1'!$A:$C,Q$2,FALSE)),"SPECIFY METHOD")))</f>
        <v>NOT PRESENT</v>
      </c>
      <c r="R431" s="7" t="str">
        <f>IF($N431=1,IF(ISERROR(VLOOKUP($P431,'M1'!$A:$C,R$2,FALSE)),"NOT PRESENT",VLOOKUP($P431,'M1'!$A:$C,R$2,FALSE)),IF($N431=2,IF(ISERROR(VLOOKUP(DATA!$P91,'M2'!$A:$C,R$2,FALSE)),"NOT PRESENT",VLOOKUP(DATA!$P91,'M2'!$A:$C,R$2,FALSE)),IF($N431=0,IF(ISERROR(VLOOKUP($P431,'M1'!$A:$C,R$2,FALSE)),IF(ISERROR(VLOOKUP(DATA!$P91,'M2'!$A:$C,R$2,FALSE)),"NOT PRESENT",VLOOKUP(DATA!$P91,'M2'!$A:$C,R$2,FALSE)),VLOOKUP($P431,'M1'!$A:$C,R$2,FALSE)),"SPECIFY METHOD")))</f>
        <v>NOT PRESENT</v>
      </c>
      <c r="S431" s="20">
        <f t="shared" si="32"/>
        <v>39</v>
      </c>
      <c r="T431" s="2">
        <v>39</v>
      </c>
    </row>
    <row r="432" spans="1:28">
      <c r="A432" s="7">
        <f>MAX($A$1:$A431)+1</f>
        <v>431</v>
      </c>
      <c r="B432" s="2" t="str">
        <f t="shared" si="28"/>
        <v>Em Lim</v>
      </c>
      <c r="C432" s="2" t="str">
        <f t="shared" si="29"/>
        <v>Jasmin Schuster</v>
      </c>
      <c r="D432" s="2" t="str">
        <f t="shared" si="33"/>
        <v>BMSC2</v>
      </c>
      <c r="E432" s="7" t="str">
        <f>IF(ISERROR(VLOOKUP($D432,SITES!$A:$E,2,FALSE)),"",VLOOKUP($D432,SITES!$A:$E,2,FALSE))</f>
        <v>Kirby</v>
      </c>
      <c r="F432" s="4">
        <f>IF(ISERROR(VLOOKUP($D432,SITES!$A:$E,3,FALSE)),"",VLOOKUP($D432,SITES!$A:$E,3,FALSE))</f>
        <v>48.850399017333899</v>
      </c>
      <c r="G432" s="18">
        <f>IF(ISERROR(VLOOKUP($D432,SITES!$A:$E,4,FALSE)),"",VLOOKUP($D432,SITES!$A:$E,4,FALSE))</f>
        <v>-125.198768615722</v>
      </c>
      <c r="H432" s="5" t="str">
        <f t="shared" si="30"/>
        <v>10/05/2023</v>
      </c>
      <c r="I432" s="2">
        <f t="shared" si="34"/>
        <v>1.5</v>
      </c>
      <c r="J432" s="2">
        <f t="shared" si="35"/>
        <v>60</v>
      </c>
      <c r="K432" s="6">
        <f t="shared" si="36"/>
        <v>0.5625</v>
      </c>
      <c r="L432" s="2" t="str">
        <f t="shared" si="31"/>
        <v>EGL</v>
      </c>
      <c r="M432" s="2">
        <f t="shared" si="37"/>
        <v>7</v>
      </c>
      <c r="N432" s="2">
        <f t="shared" si="39"/>
        <v>2</v>
      </c>
      <c r="O432" s="2">
        <f t="shared" si="38"/>
        <v>1</v>
      </c>
      <c r="P432" s="27" t="s">
        <v>181</v>
      </c>
      <c r="Q432" s="30" t="str">
        <f>IF($N432=1,IF(ISERROR(VLOOKUP($P432,'M1'!$A:$C,Q$2,FALSE)),"NOT PRESENT",VLOOKUP($P432,'M1'!$A:$C,Q$2,FALSE)),IF($N432=2,IF(ISERROR(VLOOKUP(DATA!$P92,'M2'!$A:$C,Q$2,FALSE)),"NOT PRESENT",VLOOKUP(DATA!$P92,'M2'!$A:$C,Q$2,FALSE)),IF($N432=0,IF(ISERROR(VLOOKUP($P432,'M1'!$A:$C,Q$2,FALSE)),IF(ISERROR(VLOOKUP(DATA!$P92,'M2'!$A:$C,Q$2,FALSE)),"NOT PRESENT",VLOOKUP(DATA!$P92,'M2'!$A:$C,Q$2,FALSE)),VLOOKUP($P432,'M1'!$A:$C,Q$2,FALSE)),"SPECIFY METHOD")))</f>
        <v>NOT PRESENT</v>
      </c>
      <c r="R432" s="30" t="str">
        <f>IF($N432=1,IF(ISERROR(VLOOKUP($P432,'M1'!$A:$C,R$2,FALSE)),"NOT PRESENT",VLOOKUP($P432,'M1'!$A:$C,R$2,FALSE)),IF($N432=2,IF(ISERROR(VLOOKUP(DATA!$P92,'M2'!$A:$C,R$2,FALSE)),"NOT PRESENT",VLOOKUP(DATA!$P92,'M2'!$A:$C,R$2,FALSE)),IF($N432=0,IF(ISERROR(VLOOKUP($P432,'M1'!$A:$C,R$2,FALSE)),IF(ISERROR(VLOOKUP(DATA!$P92,'M2'!$A:$C,R$2,FALSE)),"NOT PRESENT",VLOOKUP(DATA!$P92,'M2'!$A:$C,R$2,FALSE)),VLOOKUP($P432,'M1'!$A:$C,R$2,FALSE)),"SPECIFY METHOD")))</f>
        <v>NOT PRESENT</v>
      </c>
      <c r="S432" s="20">
        <f t="shared" si="32"/>
        <v>22</v>
      </c>
      <c r="T432" s="2">
        <v>22</v>
      </c>
    </row>
    <row r="433" spans="1:26">
      <c r="A433" s="7">
        <f>MAX($A$1:$A432)+1</f>
        <v>432</v>
      </c>
      <c r="B433" s="2" t="str">
        <f t="shared" si="28"/>
        <v>Em Lim</v>
      </c>
      <c r="C433" s="2" t="str">
        <f t="shared" si="29"/>
        <v>Jasmin Schuster</v>
      </c>
      <c r="D433" s="2" t="str">
        <f t="shared" si="33"/>
        <v>BMSC2</v>
      </c>
      <c r="E433" s="7" t="str">
        <f>IF(ISERROR(VLOOKUP($D433,SITES!$A:$E,2,FALSE)),"",VLOOKUP($D433,SITES!$A:$E,2,FALSE))</f>
        <v>Kirby</v>
      </c>
      <c r="F433" s="4">
        <f>IF(ISERROR(VLOOKUP($D433,SITES!$A:$E,3,FALSE)),"",VLOOKUP($D433,SITES!$A:$E,3,FALSE))</f>
        <v>48.850399017333899</v>
      </c>
      <c r="G433" s="18">
        <f>IF(ISERROR(VLOOKUP($D433,SITES!$A:$E,4,FALSE)),"",VLOOKUP($D433,SITES!$A:$E,4,FALSE))</f>
        <v>-125.198768615722</v>
      </c>
      <c r="H433" s="5" t="str">
        <f t="shared" si="30"/>
        <v>10/05/2023</v>
      </c>
      <c r="I433" s="2">
        <f t="shared" si="34"/>
        <v>1.5</v>
      </c>
      <c r="J433" s="2">
        <f t="shared" si="35"/>
        <v>60</v>
      </c>
      <c r="K433" s="6">
        <f t="shared" si="36"/>
        <v>0.5625</v>
      </c>
      <c r="L433" s="2" t="str">
        <f t="shared" si="31"/>
        <v>EGL</v>
      </c>
      <c r="M433" s="2">
        <f t="shared" si="37"/>
        <v>7</v>
      </c>
      <c r="N433" s="2">
        <f t="shared" si="39"/>
        <v>2</v>
      </c>
      <c r="O433" s="2">
        <f t="shared" si="38"/>
        <v>1</v>
      </c>
      <c r="P433" s="27" t="s">
        <v>182</v>
      </c>
      <c r="Q433" s="7" t="str">
        <f>IF($N433=1,IF(ISERROR(VLOOKUP($P433,'M1'!$A:$C,Q$2,FALSE)),"NOT PRESENT",VLOOKUP($P433,'M1'!$A:$C,Q$2,FALSE)),IF($N433=2,IF(ISERROR(VLOOKUP(DATA!$P93,'M2'!$A:$C,Q$2,FALSE)),"NOT PRESENT",VLOOKUP(DATA!$P93,'M2'!$A:$C,Q$2,FALSE)),IF($N433=0,IF(ISERROR(VLOOKUP($P433,'M1'!$A:$C,Q$2,FALSE)),IF(ISERROR(VLOOKUP(DATA!$P93,'M2'!$A:$C,Q$2,FALSE)),"NOT PRESENT",VLOOKUP(DATA!$P93,'M2'!$A:$C,Q$2,FALSE)),VLOOKUP($P433,'M1'!$A:$C,Q$2,FALSE)),"SPECIFY METHOD")))</f>
        <v>NOT PRESENT</v>
      </c>
      <c r="R433" s="7" t="str">
        <f>IF($N433=1,IF(ISERROR(VLOOKUP($P433,'M1'!$A:$C,R$2,FALSE)),"NOT PRESENT",VLOOKUP($P433,'M1'!$A:$C,R$2,FALSE)),IF($N433=2,IF(ISERROR(VLOOKUP(DATA!$P93,'M2'!$A:$C,R$2,FALSE)),"NOT PRESENT",VLOOKUP(DATA!$P93,'M2'!$A:$C,R$2,FALSE)),IF($N433=0,IF(ISERROR(VLOOKUP($P433,'M1'!$A:$C,R$2,FALSE)),IF(ISERROR(VLOOKUP(DATA!$P93,'M2'!$A:$C,R$2,FALSE)),"NOT PRESENT",VLOOKUP(DATA!$P93,'M2'!$A:$C,R$2,FALSE)),VLOOKUP($P433,'M1'!$A:$C,R$2,FALSE)),"SPECIFY METHOD")))</f>
        <v>NOT PRESENT</v>
      </c>
      <c r="S433" s="20">
        <f t="shared" si="32"/>
        <v>21</v>
      </c>
      <c r="T433" s="2">
        <v>21</v>
      </c>
    </row>
    <row r="434" spans="1:26">
      <c r="A434" s="7">
        <f>MAX($A$1:$A433)+1</f>
        <v>433</v>
      </c>
      <c r="B434" s="2" t="str">
        <f t="shared" si="28"/>
        <v>Em Lim</v>
      </c>
      <c r="C434" s="2" t="str">
        <f t="shared" si="29"/>
        <v>Jasmin Schuster</v>
      </c>
      <c r="D434" s="2" t="str">
        <f t="shared" si="33"/>
        <v>BMSC2</v>
      </c>
      <c r="E434" s="7" t="str">
        <f>IF(ISERROR(VLOOKUP($D434,SITES!$A:$E,2,FALSE)),"",VLOOKUP($D434,SITES!$A:$E,2,FALSE))</f>
        <v>Kirby</v>
      </c>
      <c r="F434" s="4">
        <f>IF(ISERROR(VLOOKUP($D434,SITES!$A:$E,3,FALSE)),"",VLOOKUP($D434,SITES!$A:$E,3,FALSE))</f>
        <v>48.850399017333899</v>
      </c>
      <c r="G434" s="18">
        <f>IF(ISERROR(VLOOKUP($D434,SITES!$A:$E,4,FALSE)),"",VLOOKUP($D434,SITES!$A:$E,4,FALSE))</f>
        <v>-125.198768615722</v>
      </c>
      <c r="H434" s="5" t="str">
        <f t="shared" si="30"/>
        <v>10/05/2023</v>
      </c>
      <c r="I434" s="2">
        <f t="shared" si="34"/>
        <v>1.5</v>
      </c>
      <c r="J434" s="2">
        <f t="shared" si="35"/>
        <v>60</v>
      </c>
      <c r="K434" s="6">
        <f t="shared" si="36"/>
        <v>0.5625</v>
      </c>
      <c r="L434" s="2" t="str">
        <f t="shared" si="31"/>
        <v>EGL</v>
      </c>
      <c r="M434" s="2">
        <f t="shared" si="37"/>
        <v>7</v>
      </c>
      <c r="N434" s="2">
        <f t="shared" si="39"/>
        <v>2</v>
      </c>
      <c r="O434" s="2">
        <f t="shared" si="38"/>
        <v>1</v>
      </c>
      <c r="P434" s="27" t="s">
        <v>195</v>
      </c>
      <c r="Q434" s="7" t="str">
        <f>IF($N434=1,IF(ISERROR(VLOOKUP($P434,'M1'!$A:$C,Q$2,FALSE)),"NOT PRESENT",VLOOKUP($P434,'M1'!$A:$C,Q$2,FALSE)),IF($N434=2,IF(ISERROR(VLOOKUP(DATA!$P94,'M2'!$A:$C,Q$2,FALSE)),"NOT PRESENT",VLOOKUP(DATA!$P94,'M2'!$A:$C,Q$2,FALSE)),IF($N434=0,IF(ISERROR(VLOOKUP($P434,'M1'!$A:$C,Q$2,FALSE)),IF(ISERROR(VLOOKUP(DATA!$P94,'M2'!$A:$C,Q$2,FALSE)),"NOT PRESENT",VLOOKUP(DATA!$P94,'M2'!$A:$C,Q$2,FALSE)),VLOOKUP($P434,'M1'!$A:$C,Q$2,FALSE)),"SPECIFY METHOD")))</f>
        <v>NOT PRESENT</v>
      </c>
      <c r="R434" s="7" t="str">
        <f>IF($N434=1,IF(ISERROR(VLOOKUP($P434,'M1'!$A:$C,R$2,FALSE)),"NOT PRESENT",VLOOKUP($P434,'M1'!$A:$C,R$2,FALSE)),IF($N434=2,IF(ISERROR(VLOOKUP(DATA!$P94,'M2'!$A:$C,R$2,FALSE)),"NOT PRESENT",VLOOKUP(DATA!$P94,'M2'!$A:$C,R$2,FALSE)),IF($N434=0,IF(ISERROR(VLOOKUP($P434,'M1'!$A:$C,R$2,FALSE)),IF(ISERROR(VLOOKUP(DATA!$P94,'M2'!$A:$C,R$2,FALSE)),"NOT PRESENT",VLOOKUP(DATA!$P94,'M2'!$A:$C,R$2,FALSE)),VLOOKUP($P434,'M1'!$A:$C,R$2,FALSE)),"SPECIFY METHOD")))</f>
        <v>NOT PRESENT</v>
      </c>
      <c r="S434" s="20">
        <f t="shared" si="32"/>
        <v>1</v>
      </c>
      <c r="T434" s="2">
        <v>1</v>
      </c>
    </row>
    <row r="435" spans="1:26">
      <c r="A435" s="7">
        <f>MAX($A$1:$A434)+1</f>
        <v>434</v>
      </c>
      <c r="B435" s="2" t="str">
        <f t="shared" si="28"/>
        <v>Em Lim</v>
      </c>
      <c r="C435" s="2" t="str">
        <f t="shared" si="29"/>
        <v>Jasmin Schuster</v>
      </c>
      <c r="D435" s="2" t="str">
        <f t="shared" si="33"/>
        <v>BMSC2</v>
      </c>
      <c r="E435" s="7" t="str">
        <f>IF(ISERROR(VLOOKUP($D435,SITES!$A:$E,2,FALSE)),"",VLOOKUP($D435,SITES!$A:$E,2,FALSE))</f>
        <v>Kirby</v>
      </c>
      <c r="F435" s="4">
        <f>IF(ISERROR(VLOOKUP($D435,SITES!$A:$E,3,FALSE)),"",VLOOKUP($D435,SITES!$A:$E,3,FALSE))</f>
        <v>48.850399017333899</v>
      </c>
      <c r="G435" s="18">
        <f>IF(ISERROR(VLOOKUP($D435,SITES!$A:$E,4,FALSE)),"",VLOOKUP($D435,SITES!$A:$E,4,FALSE))</f>
        <v>-125.198768615722</v>
      </c>
      <c r="H435" s="5" t="str">
        <f t="shared" si="30"/>
        <v>10/05/2023</v>
      </c>
      <c r="I435" s="2">
        <f t="shared" si="34"/>
        <v>1.5</v>
      </c>
      <c r="J435" s="2">
        <f t="shared" si="35"/>
        <v>60</v>
      </c>
      <c r="K435" s="6">
        <f t="shared" si="36"/>
        <v>0.5625</v>
      </c>
      <c r="L435" s="2" t="str">
        <f t="shared" si="31"/>
        <v>EGL</v>
      </c>
      <c r="M435" s="2">
        <f t="shared" si="37"/>
        <v>7</v>
      </c>
      <c r="N435" s="2">
        <f t="shared" si="39"/>
        <v>2</v>
      </c>
      <c r="O435" s="2">
        <f t="shared" si="38"/>
        <v>1</v>
      </c>
      <c r="P435" s="27" t="s">
        <v>193</v>
      </c>
      <c r="Q435" s="7" t="str">
        <f>IF($N435=1,IF(ISERROR(VLOOKUP($P435,'M1'!$A:$C,Q$2,FALSE)),"NOT PRESENT",VLOOKUP($P435,'M1'!$A:$C,Q$2,FALSE)),IF($N435=2,IF(ISERROR(VLOOKUP(DATA!$P95,'M2'!$A:$C,Q$2,FALSE)),"NOT PRESENT",VLOOKUP(DATA!$P95,'M2'!$A:$C,Q$2,FALSE)),IF($N435=0,IF(ISERROR(VLOOKUP($P435,'M1'!$A:$C,Q$2,FALSE)),IF(ISERROR(VLOOKUP(DATA!$P95,'M2'!$A:$C,Q$2,FALSE)),"NOT PRESENT",VLOOKUP(DATA!$P95,'M2'!$A:$C,Q$2,FALSE)),VLOOKUP($P435,'M1'!$A:$C,Q$2,FALSE)),"SPECIFY METHOD")))</f>
        <v>NOT PRESENT</v>
      </c>
      <c r="R435" s="7" t="str">
        <f>IF($N435=1,IF(ISERROR(VLOOKUP($P435,'M1'!$A:$C,R$2,FALSE)),"NOT PRESENT",VLOOKUP($P435,'M1'!$A:$C,R$2,FALSE)),IF($N435=2,IF(ISERROR(VLOOKUP(DATA!$P95,'M2'!$A:$C,R$2,FALSE)),"NOT PRESENT",VLOOKUP(DATA!$P95,'M2'!$A:$C,R$2,FALSE)),IF($N435=0,IF(ISERROR(VLOOKUP($P435,'M1'!$A:$C,R$2,FALSE)),IF(ISERROR(VLOOKUP(DATA!$P95,'M2'!$A:$C,R$2,FALSE)),"NOT PRESENT",VLOOKUP(DATA!$P95,'M2'!$A:$C,R$2,FALSE)),VLOOKUP($P435,'M1'!$A:$C,R$2,FALSE)),"SPECIFY METHOD")))</f>
        <v>NOT PRESENT</v>
      </c>
      <c r="S435" s="20">
        <f t="shared" si="32"/>
        <v>2</v>
      </c>
      <c r="T435" s="2">
        <v>0</v>
      </c>
      <c r="U435" s="2">
        <v>1</v>
      </c>
      <c r="X435" s="2">
        <v>1</v>
      </c>
    </row>
    <row r="436" spans="1:26">
      <c r="A436" s="7">
        <f>MAX($A$1:$A435)+1</f>
        <v>435</v>
      </c>
      <c r="B436" s="2" t="str">
        <f t="shared" si="28"/>
        <v>Em Lim</v>
      </c>
      <c r="C436" s="2" t="str">
        <f t="shared" si="29"/>
        <v>Jasmin Schuster</v>
      </c>
      <c r="D436" s="2" t="str">
        <f t="shared" si="33"/>
        <v>BMSC2</v>
      </c>
      <c r="E436" s="7" t="str">
        <f>IF(ISERROR(VLOOKUP($D436,SITES!$A:$E,2,FALSE)),"",VLOOKUP($D436,SITES!$A:$E,2,FALSE))</f>
        <v>Kirby</v>
      </c>
      <c r="F436" s="4">
        <f>IF(ISERROR(VLOOKUP($D436,SITES!$A:$E,3,FALSE)),"",VLOOKUP($D436,SITES!$A:$E,3,FALSE))</f>
        <v>48.850399017333899</v>
      </c>
      <c r="G436" s="18">
        <f>IF(ISERROR(VLOOKUP($D436,SITES!$A:$E,4,FALSE)),"",VLOOKUP($D436,SITES!$A:$E,4,FALSE))</f>
        <v>-125.198768615722</v>
      </c>
      <c r="H436" s="5" t="str">
        <f t="shared" si="30"/>
        <v>10/05/2023</v>
      </c>
      <c r="I436" s="2">
        <f t="shared" si="34"/>
        <v>1.5</v>
      </c>
      <c r="J436" s="2">
        <f t="shared" si="35"/>
        <v>60</v>
      </c>
      <c r="K436" s="6">
        <f t="shared" si="36"/>
        <v>0.5625</v>
      </c>
      <c r="L436" s="2" t="str">
        <f t="shared" si="31"/>
        <v>EGL</v>
      </c>
      <c r="M436" s="2">
        <f t="shared" si="37"/>
        <v>7</v>
      </c>
      <c r="N436" s="2">
        <f t="shared" si="39"/>
        <v>2</v>
      </c>
      <c r="O436" s="2">
        <f t="shared" si="38"/>
        <v>1</v>
      </c>
      <c r="P436" s="27" t="s">
        <v>179</v>
      </c>
      <c r="Q436" s="7" t="str">
        <f>IF($N436=1,IF(ISERROR(VLOOKUP($P436,'M1'!$A:$C,Q$2,FALSE)),"NOT PRESENT",VLOOKUP($P436,'M1'!$A:$C,Q$2,FALSE)),IF($N436=2,IF(ISERROR(VLOOKUP(DATA!$P96,'M2'!$A:$C,Q$2,FALSE)),"NOT PRESENT",VLOOKUP(DATA!$P96,'M2'!$A:$C,Q$2,FALSE)),IF($N436=0,IF(ISERROR(VLOOKUP($P436,'M1'!$A:$C,Q$2,FALSE)),IF(ISERROR(VLOOKUP(DATA!$P96,'M2'!$A:$C,Q$2,FALSE)),"NOT PRESENT",VLOOKUP(DATA!$P96,'M2'!$A:$C,Q$2,FALSE)),VLOOKUP($P436,'M1'!$A:$C,Q$2,FALSE)),"SPECIFY METHOD")))</f>
        <v>NOT PRESENT</v>
      </c>
      <c r="R436" s="7" t="str">
        <f>IF($N436=1,IF(ISERROR(VLOOKUP($P436,'M1'!$A:$C,R$2,FALSE)),"NOT PRESENT",VLOOKUP($P436,'M1'!$A:$C,R$2,FALSE)),IF($N436=2,IF(ISERROR(VLOOKUP(DATA!$P96,'M2'!$A:$C,R$2,FALSE)),"NOT PRESENT",VLOOKUP(DATA!$P96,'M2'!$A:$C,R$2,FALSE)),IF($N436=0,IF(ISERROR(VLOOKUP($P436,'M1'!$A:$C,R$2,FALSE)),IF(ISERROR(VLOOKUP(DATA!$P96,'M2'!$A:$C,R$2,FALSE)),"NOT PRESENT",VLOOKUP(DATA!$P96,'M2'!$A:$C,R$2,FALSE)),VLOOKUP($P436,'M1'!$A:$C,R$2,FALSE)),"SPECIFY METHOD")))</f>
        <v>NOT PRESENT</v>
      </c>
      <c r="S436" s="20">
        <f t="shared" si="32"/>
        <v>20</v>
      </c>
      <c r="T436" s="2">
        <v>20</v>
      </c>
    </row>
    <row r="437" spans="1:26">
      <c r="A437" s="7">
        <f>MAX($A$1:$A436)+1</f>
        <v>436</v>
      </c>
      <c r="B437" s="2" t="str">
        <f t="shared" si="28"/>
        <v>Em Lim</v>
      </c>
      <c r="C437" s="2" t="str">
        <f t="shared" si="29"/>
        <v>Jasmin Schuster</v>
      </c>
      <c r="D437" s="2" t="str">
        <f t="shared" si="33"/>
        <v>BMSC2</v>
      </c>
      <c r="E437" s="7" t="str">
        <f>IF(ISERROR(VLOOKUP($D437,SITES!$A:$E,2,FALSE)),"",VLOOKUP($D437,SITES!$A:$E,2,FALSE))</f>
        <v>Kirby</v>
      </c>
      <c r="F437" s="4">
        <f>IF(ISERROR(VLOOKUP($D437,SITES!$A:$E,3,FALSE)),"",VLOOKUP($D437,SITES!$A:$E,3,FALSE))</f>
        <v>48.850399017333899</v>
      </c>
      <c r="G437" s="18">
        <f>IF(ISERROR(VLOOKUP($D437,SITES!$A:$E,4,FALSE)),"",VLOOKUP($D437,SITES!$A:$E,4,FALSE))</f>
        <v>-125.198768615722</v>
      </c>
      <c r="H437" s="5" t="str">
        <f t="shared" si="30"/>
        <v>10/05/2023</v>
      </c>
      <c r="I437" s="2">
        <f t="shared" si="34"/>
        <v>1.5</v>
      </c>
      <c r="J437" s="2">
        <f t="shared" si="35"/>
        <v>60</v>
      </c>
      <c r="K437" s="6">
        <f t="shared" si="36"/>
        <v>0.5625</v>
      </c>
      <c r="L437" s="2" t="str">
        <f t="shared" si="31"/>
        <v>EGL</v>
      </c>
      <c r="M437" s="2">
        <f t="shared" si="37"/>
        <v>7</v>
      </c>
      <c r="N437" s="2">
        <f t="shared" si="39"/>
        <v>2</v>
      </c>
      <c r="O437" s="2">
        <f t="shared" si="38"/>
        <v>1</v>
      </c>
      <c r="P437" s="27" t="s">
        <v>190</v>
      </c>
      <c r="Q437" s="7" t="str">
        <f>IF($N437=1,IF(ISERROR(VLOOKUP($P437,'M1'!$A:$C,Q$2,FALSE)),"NOT PRESENT",VLOOKUP($P437,'M1'!$A:$C,Q$2,FALSE)),IF($N437=2,IF(ISERROR(VLOOKUP(DATA!$P97,'M2'!$A:$C,Q$2,FALSE)),"NOT PRESENT",VLOOKUP(DATA!$P97,'M2'!$A:$C,Q$2,FALSE)),IF($N437=0,IF(ISERROR(VLOOKUP($P437,'M1'!$A:$C,Q$2,FALSE)),IF(ISERROR(VLOOKUP(DATA!$P97,'M2'!$A:$C,Q$2,FALSE)),"NOT PRESENT",VLOOKUP(DATA!$P97,'M2'!$A:$C,Q$2,FALSE)),VLOOKUP($P437,'M1'!$A:$C,Q$2,FALSE)),"SPECIFY METHOD")))</f>
        <v>NOT PRESENT</v>
      </c>
      <c r="R437" s="7" t="str">
        <f>IF($N437=1,IF(ISERROR(VLOOKUP($P437,'M1'!$A:$C,R$2,FALSE)),"NOT PRESENT",VLOOKUP($P437,'M1'!$A:$C,R$2,FALSE)),IF($N437=2,IF(ISERROR(VLOOKUP(DATA!$P97,'M2'!$A:$C,R$2,FALSE)),"NOT PRESENT",VLOOKUP(DATA!$P97,'M2'!$A:$C,R$2,FALSE)),IF($N437=0,IF(ISERROR(VLOOKUP($P437,'M1'!$A:$C,R$2,FALSE)),IF(ISERROR(VLOOKUP(DATA!$P97,'M2'!$A:$C,R$2,FALSE)),"NOT PRESENT",VLOOKUP(DATA!$P97,'M2'!$A:$C,R$2,FALSE)),VLOOKUP($P437,'M1'!$A:$C,R$2,FALSE)),"SPECIFY METHOD")))</f>
        <v>NOT PRESENT</v>
      </c>
      <c r="S437" s="20">
        <f t="shared" si="32"/>
        <v>9</v>
      </c>
      <c r="T437" s="2">
        <v>9</v>
      </c>
    </row>
    <row r="438" spans="1:26">
      <c r="A438" s="7">
        <f>MAX($A$1:$A437)+1</f>
        <v>437</v>
      </c>
      <c r="B438" s="2" t="str">
        <f t="shared" si="28"/>
        <v>Em Lim</v>
      </c>
      <c r="C438" s="2" t="str">
        <f t="shared" si="29"/>
        <v>Jasmin Schuster</v>
      </c>
      <c r="D438" s="2" t="str">
        <f t="shared" si="33"/>
        <v>BMSC2</v>
      </c>
      <c r="E438" s="7" t="str">
        <f>IF(ISERROR(VLOOKUP($D438,SITES!$A:$E,2,FALSE)),"",VLOOKUP($D438,SITES!$A:$E,2,FALSE))</f>
        <v>Kirby</v>
      </c>
      <c r="F438" s="4">
        <f>IF(ISERROR(VLOOKUP($D438,SITES!$A:$E,3,FALSE)),"",VLOOKUP($D438,SITES!$A:$E,3,FALSE))</f>
        <v>48.850399017333899</v>
      </c>
      <c r="G438" s="18">
        <f>IF(ISERROR(VLOOKUP($D438,SITES!$A:$E,4,FALSE)),"",VLOOKUP($D438,SITES!$A:$E,4,FALSE))</f>
        <v>-125.198768615722</v>
      </c>
      <c r="H438" s="5" t="str">
        <f t="shared" si="30"/>
        <v>10/05/2023</v>
      </c>
      <c r="I438" s="2">
        <f t="shared" si="34"/>
        <v>1.5</v>
      </c>
      <c r="J438" s="2">
        <f t="shared" si="35"/>
        <v>60</v>
      </c>
      <c r="K438" s="6">
        <f t="shared" si="36"/>
        <v>0.5625</v>
      </c>
      <c r="L438" s="2" t="str">
        <f t="shared" si="31"/>
        <v>EGL</v>
      </c>
      <c r="M438" s="2">
        <f t="shared" si="37"/>
        <v>7</v>
      </c>
      <c r="N438" s="2">
        <f t="shared" si="39"/>
        <v>2</v>
      </c>
      <c r="O438" s="2">
        <f t="shared" si="38"/>
        <v>1</v>
      </c>
      <c r="P438" s="27" t="s">
        <v>218</v>
      </c>
      <c r="Q438" s="7" t="str">
        <f>IF($N438=1,IF(ISERROR(VLOOKUP($P438,'M1'!$A:$C,Q$2,FALSE)),"NOT PRESENT",VLOOKUP($P438,'M1'!$A:$C,Q$2,FALSE)),IF($N438=2,IF(ISERROR(VLOOKUP(DATA!$P98,'M2'!$A:$C,Q$2,FALSE)),"NOT PRESENT",VLOOKUP(DATA!$P98,'M2'!$A:$C,Q$2,FALSE)),IF($N438=0,IF(ISERROR(VLOOKUP($P438,'M1'!$A:$C,Q$2,FALSE)),IF(ISERROR(VLOOKUP(DATA!$P98,'M2'!$A:$C,Q$2,FALSE)),"NOT PRESENT",VLOOKUP(DATA!$P98,'M2'!$A:$C,Q$2,FALSE)),VLOOKUP($P438,'M1'!$A:$C,Q$2,FALSE)),"SPECIFY METHOD")))</f>
        <v>NOT PRESENT</v>
      </c>
      <c r="R438" s="7" t="str">
        <f>IF($N438=1,IF(ISERROR(VLOOKUP($P438,'M1'!$A:$C,R$2,FALSE)),"NOT PRESENT",VLOOKUP($P438,'M1'!$A:$C,R$2,FALSE)),IF($N438=2,IF(ISERROR(VLOOKUP(DATA!$P98,'M2'!$A:$C,R$2,FALSE)),"NOT PRESENT",VLOOKUP(DATA!$P98,'M2'!$A:$C,R$2,FALSE)),IF($N438=0,IF(ISERROR(VLOOKUP($P438,'M1'!$A:$C,R$2,FALSE)),IF(ISERROR(VLOOKUP(DATA!$P98,'M2'!$A:$C,R$2,FALSE)),"NOT PRESENT",VLOOKUP(DATA!$P98,'M2'!$A:$C,R$2,FALSE)),VLOOKUP($P438,'M1'!$A:$C,R$2,FALSE)),"SPECIFY METHOD")))</f>
        <v>NOT PRESENT</v>
      </c>
      <c r="S438" s="20">
        <f t="shared" si="32"/>
        <v>1</v>
      </c>
      <c r="T438" s="2">
        <v>1</v>
      </c>
    </row>
    <row r="439" spans="1:26">
      <c r="A439" s="7">
        <f>MAX($A$1:$A438)+1</f>
        <v>438</v>
      </c>
      <c r="B439" s="2" t="str">
        <f t="shared" si="28"/>
        <v>Em Lim</v>
      </c>
      <c r="C439" s="2" t="str">
        <f t="shared" si="29"/>
        <v>Jasmin Schuster</v>
      </c>
      <c r="D439" s="2" t="str">
        <f t="shared" si="33"/>
        <v>BMSC2</v>
      </c>
      <c r="E439" s="7" t="str">
        <f>IF(ISERROR(VLOOKUP($D439,SITES!$A:$E,2,FALSE)),"",VLOOKUP($D439,SITES!$A:$E,2,FALSE))</f>
        <v>Kirby</v>
      </c>
      <c r="F439" s="4">
        <f>IF(ISERROR(VLOOKUP($D439,SITES!$A:$E,3,FALSE)),"",VLOOKUP($D439,SITES!$A:$E,3,FALSE))</f>
        <v>48.850399017333899</v>
      </c>
      <c r="G439" s="18">
        <f>IF(ISERROR(VLOOKUP($D439,SITES!$A:$E,4,FALSE)),"",VLOOKUP($D439,SITES!$A:$E,4,FALSE))</f>
        <v>-125.198768615722</v>
      </c>
      <c r="H439" s="5" t="str">
        <f t="shared" si="30"/>
        <v>10/05/2023</v>
      </c>
      <c r="I439" s="2">
        <f t="shared" si="34"/>
        <v>1.5</v>
      </c>
      <c r="J439" s="2">
        <f t="shared" si="35"/>
        <v>60</v>
      </c>
      <c r="K439" s="6">
        <f t="shared" si="36"/>
        <v>0.5625</v>
      </c>
      <c r="L439" s="2" t="str">
        <f t="shared" si="31"/>
        <v>EGL</v>
      </c>
      <c r="M439" s="2">
        <f t="shared" si="37"/>
        <v>7</v>
      </c>
      <c r="N439" s="2">
        <f t="shared" si="39"/>
        <v>2</v>
      </c>
      <c r="O439" s="2">
        <f t="shared" si="38"/>
        <v>1</v>
      </c>
      <c r="P439" s="27" t="s">
        <v>194</v>
      </c>
      <c r="Q439" s="7" t="str">
        <f>IF($N439=1,IF(ISERROR(VLOOKUP($P439,'M1'!$A:$C,Q$2,FALSE)),"NOT PRESENT",VLOOKUP($P439,'M1'!$A:$C,Q$2,FALSE)),IF($N439=2,IF(ISERROR(VLOOKUP(DATA!$P99,'M2'!$A:$C,Q$2,FALSE)),"NOT PRESENT",VLOOKUP(DATA!$P99,'M2'!$A:$C,Q$2,FALSE)),IF($N439=0,IF(ISERROR(VLOOKUP($P439,'M1'!$A:$C,Q$2,FALSE)),IF(ISERROR(VLOOKUP(DATA!$P99,'M2'!$A:$C,Q$2,FALSE)),"NOT PRESENT",VLOOKUP(DATA!$P99,'M2'!$A:$C,Q$2,FALSE)),VLOOKUP($P439,'M1'!$A:$C,Q$2,FALSE)),"SPECIFY METHOD")))</f>
        <v>NOT PRESENT</v>
      </c>
      <c r="R439" s="7" t="str">
        <f>IF($N439=1,IF(ISERROR(VLOOKUP($P439,'M1'!$A:$C,R$2,FALSE)),"NOT PRESENT",VLOOKUP($P439,'M1'!$A:$C,R$2,FALSE)),IF($N439=2,IF(ISERROR(VLOOKUP(DATA!$P99,'M2'!$A:$C,R$2,FALSE)),"NOT PRESENT",VLOOKUP(DATA!$P99,'M2'!$A:$C,R$2,FALSE)),IF($N439=0,IF(ISERROR(VLOOKUP($P439,'M1'!$A:$C,R$2,FALSE)),IF(ISERROR(VLOOKUP(DATA!$P99,'M2'!$A:$C,R$2,FALSE)),"NOT PRESENT",VLOOKUP(DATA!$P99,'M2'!$A:$C,R$2,FALSE)),VLOOKUP($P439,'M1'!$A:$C,R$2,FALSE)),"SPECIFY METHOD")))</f>
        <v>NOT PRESENT</v>
      </c>
      <c r="S439" s="20">
        <f t="shared" si="32"/>
        <v>3</v>
      </c>
      <c r="T439" s="2">
        <v>0</v>
      </c>
      <c r="U439" s="2">
        <v>3</v>
      </c>
    </row>
    <row r="440" spans="1:26">
      <c r="A440" s="7">
        <f>MAX($A$1:$A439)+1</f>
        <v>439</v>
      </c>
      <c r="B440" s="2" t="str">
        <f t="shared" si="28"/>
        <v>Em Lim</v>
      </c>
      <c r="C440" s="2" t="str">
        <f t="shared" si="29"/>
        <v>Jasmin Schuster</v>
      </c>
      <c r="D440" s="2" t="str">
        <f t="shared" si="33"/>
        <v>BMSC2</v>
      </c>
      <c r="E440" s="7" t="str">
        <f>IF(ISERROR(VLOOKUP($D440,SITES!$A:$E,2,FALSE)),"",VLOOKUP($D440,SITES!$A:$E,2,FALSE))</f>
        <v>Kirby</v>
      </c>
      <c r="F440" s="4">
        <f>IF(ISERROR(VLOOKUP($D440,SITES!$A:$E,3,FALSE)),"",VLOOKUP($D440,SITES!$A:$E,3,FALSE))</f>
        <v>48.850399017333899</v>
      </c>
      <c r="G440" s="18">
        <f>IF(ISERROR(VLOOKUP($D440,SITES!$A:$E,4,FALSE)),"",VLOOKUP($D440,SITES!$A:$E,4,FALSE))</f>
        <v>-125.198768615722</v>
      </c>
      <c r="H440" s="5" t="str">
        <f t="shared" si="30"/>
        <v>10/05/2023</v>
      </c>
      <c r="I440" s="2">
        <f t="shared" si="34"/>
        <v>1.5</v>
      </c>
      <c r="J440" s="2">
        <f t="shared" si="35"/>
        <v>60</v>
      </c>
      <c r="K440" s="6">
        <f t="shared" si="36"/>
        <v>0.5625</v>
      </c>
      <c r="L440" s="2" t="str">
        <f t="shared" si="31"/>
        <v>EGL</v>
      </c>
      <c r="M440" s="2">
        <f t="shared" si="37"/>
        <v>7</v>
      </c>
      <c r="N440" s="2">
        <f t="shared" si="39"/>
        <v>2</v>
      </c>
      <c r="O440" s="2">
        <f t="shared" si="38"/>
        <v>1</v>
      </c>
      <c r="P440" s="27" t="s">
        <v>219</v>
      </c>
      <c r="Q440" s="7" t="str">
        <f>IF($N440=1,IF(ISERROR(VLOOKUP($P440,'M1'!$A:$C,Q$2,FALSE)),"NOT PRESENT",VLOOKUP($P440,'M1'!$A:$C,Q$2,FALSE)),IF($N440=2,IF(ISERROR(VLOOKUP(DATA!$P100,'M2'!$A:$C,Q$2,FALSE)),"NOT PRESENT",VLOOKUP(DATA!$P100,'M2'!$A:$C,Q$2,FALSE)),IF($N440=0,IF(ISERROR(VLOOKUP($P440,'M1'!$A:$C,Q$2,FALSE)),IF(ISERROR(VLOOKUP(DATA!$P100,'M2'!$A:$C,Q$2,FALSE)),"NOT PRESENT",VLOOKUP(DATA!$P100,'M2'!$A:$C,Q$2,FALSE)),VLOOKUP($P440,'M1'!$A:$C,Q$2,FALSE)),"SPECIFY METHOD")))</f>
        <v>NOT PRESENT</v>
      </c>
      <c r="R440" s="7" t="str">
        <f>IF($N440=1,IF(ISERROR(VLOOKUP($P440,'M1'!$A:$C,R$2,FALSE)),"NOT PRESENT",VLOOKUP($P440,'M1'!$A:$C,R$2,FALSE)),IF($N440=2,IF(ISERROR(VLOOKUP(DATA!$P100,'M2'!$A:$C,R$2,FALSE)),"NOT PRESENT",VLOOKUP(DATA!$P100,'M2'!$A:$C,R$2,FALSE)),IF($N440=0,IF(ISERROR(VLOOKUP($P440,'M1'!$A:$C,R$2,FALSE)),IF(ISERROR(VLOOKUP(DATA!$P100,'M2'!$A:$C,R$2,FALSE)),"NOT PRESENT",VLOOKUP(DATA!$P100,'M2'!$A:$C,R$2,FALSE)),VLOOKUP($P440,'M1'!$A:$C,R$2,FALSE)),"SPECIFY METHOD")))</f>
        <v>NOT PRESENT</v>
      </c>
      <c r="S440" s="20">
        <f t="shared" si="32"/>
        <v>3</v>
      </c>
      <c r="T440" s="2">
        <v>3</v>
      </c>
    </row>
    <row r="441" spans="1:26">
      <c r="A441" s="7">
        <f>MAX($A$1:$A440)+1</f>
        <v>440</v>
      </c>
      <c r="B441" s="2" t="str">
        <f t="shared" si="28"/>
        <v>Em Lim</v>
      </c>
      <c r="C441" s="2" t="str">
        <f t="shared" si="29"/>
        <v>Jasmin Schuster</v>
      </c>
      <c r="D441" s="2" t="str">
        <f t="shared" si="33"/>
        <v>BMSC2</v>
      </c>
      <c r="E441" s="7" t="str">
        <f>IF(ISERROR(VLOOKUP($D441,SITES!$A:$E,2,FALSE)),"",VLOOKUP($D441,SITES!$A:$E,2,FALSE))</f>
        <v>Kirby</v>
      </c>
      <c r="F441" s="4">
        <f>IF(ISERROR(VLOOKUP($D441,SITES!$A:$E,3,FALSE)),"",VLOOKUP($D441,SITES!$A:$E,3,FALSE))</f>
        <v>48.850399017333899</v>
      </c>
      <c r="G441" s="18">
        <f>IF(ISERROR(VLOOKUP($D441,SITES!$A:$E,4,FALSE)),"",VLOOKUP($D441,SITES!$A:$E,4,FALSE))</f>
        <v>-125.198768615722</v>
      </c>
      <c r="H441" s="5" t="str">
        <f t="shared" si="30"/>
        <v>10/05/2023</v>
      </c>
      <c r="I441" s="2">
        <f t="shared" si="34"/>
        <v>1.5</v>
      </c>
      <c r="J441" s="2">
        <f t="shared" si="35"/>
        <v>60</v>
      </c>
      <c r="K441" s="6">
        <f t="shared" si="36"/>
        <v>0.5625</v>
      </c>
      <c r="L441" s="2" t="str">
        <f t="shared" si="31"/>
        <v>EGL</v>
      </c>
      <c r="M441" s="2">
        <f t="shared" si="37"/>
        <v>7</v>
      </c>
      <c r="N441" s="2">
        <f t="shared" si="39"/>
        <v>2</v>
      </c>
      <c r="O441" s="2">
        <f t="shared" si="38"/>
        <v>1</v>
      </c>
      <c r="P441" s="27" t="s">
        <v>185</v>
      </c>
      <c r="Q441" s="7" t="str">
        <f>IF($N441=1,IF(ISERROR(VLOOKUP($P441,'M1'!$A:$C,Q$2,FALSE)),"NOT PRESENT",VLOOKUP($P441,'M1'!$A:$C,Q$2,FALSE)),IF($N441=2,IF(ISERROR(VLOOKUP(DATA!$P101,'M2'!$A:$C,Q$2,FALSE)),"NOT PRESENT",VLOOKUP(DATA!$P101,'M2'!$A:$C,Q$2,FALSE)),IF($N441=0,IF(ISERROR(VLOOKUP($P441,'M1'!$A:$C,Q$2,FALSE)),IF(ISERROR(VLOOKUP(DATA!$P101,'M2'!$A:$C,Q$2,FALSE)),"NOT PRESENT",VLOOKUP(DATA!$P101,'M2'!$A:$C,Q$2,FALSE)),VLOOKUP($P441,'M1'!$A:$C,Q$2,FALSE)),"SPECIFY METHOD")))</f>
        <v>NOT PRESENT</v>
      </c>
      <c r="R441" s="7" t="str">
        <f>IF($N441=1,IF(ISERROR(VLOOKUP($P441,'M1'!$A:$C,R$2,FALSE)),"NOT PRESENT",VLOOKUP($P441,'M1'!$A:$C,R$2,FALSE)),IF($N441=2,IF(ISERROR(VLOOKUP(DATA!$P101,'M2'!$A:$C,R$2,FALSE)),"NOT PRESENT",VLOOKUP(DATA!$P101,'M2'!$A:$C,R$2,FALSE)),IF($N441=0,IF(ISERROR(VLOOKUP($P441,'M1'!$A:$C,R$2,FALSE)),IF(ISERROR(VLOOKUP(DATA!$P101,'M2'!$A:$C,R$2,FALSE)),"NOT PRESENT",VLOOKUP(DATA!$P101,'M2'!$A:$C,R$2,FALSE)),VLOOKUP($P441,'M1'!$A:$C,R$2,FALSE)),"SPECIFY METHOD")))</f>
        <v>NOT PRESENT</v>
      </c>
      <c r="S441" s="20">
        <f t="shared" si="32"/>
        <v>2</v>
      </c>
      <c r="T441" s="2">
        <v>2</v>
      </c>
    </row>
    <row r="442" spans="1:26">
      <c r="A442" s="7">
        <f>MAX($A$1:$A441)+1</f>
        <v>441</v>
      </c>
      <c r="B442" s="2" t="str">
        <f t="shared" si="28"/>
        <v>Em Lim</v>
      </c>
      <c r="C442" s="2" t="str">
        <f t="shared" si="29"/>
        <v>Jasmin Schuster</v>
      </c>
      <c r="D442" s="2" t="str">
        <f t="shared" si="33"/>
        <v>BMSC2</v>
      </c>
      <c r="E442" s="7" t="str">
        <f>IF(ISERROR(VLOOKUP($D442,SITES!$A:$E,2,FALSE)),"",VLOOKUP($D442,SITES!$A:$E,2,FALSE))</f>
        <v>Kirby</v>
      </c>
      <c r="F442" s="4">
        <f>IF(ISERROR(VLOOKUP($D442,SITES!$A:$E,3,FALSE)),"",VLOOKUP($D442,SITES!$A:$E,3,FALSE))</f>
        <v>48.850399017333899</v>
      </c>
      <c r="G442" s="18">
        <f>IF(ISERROR(VLOOKUP($D442,SITES!$A:$E,4,FALSE)),"",VLOOKUP($D442,SITES!$A:$E,4,FALSE))</f>
        <v>-125.198768615722</v>
      </c>
      <c r="H442" s="5" t="str">
        <f t="shared" si="30"/>
        <v>10/05/2023</v>
      </c>
      <c r="I442" s="2">
        <f t="shared" si="34"/>
        <v>1.5</v>
      </c>
      <c r="J442" s="2">
        <f t="shared" si="35"/>
        <v>60</v>
      </c>
      <c r="K442" s="6">
        <f t="shared" si="36"/>
        <v>0.5625</v>
      </c>
      <c r="L442" s="2" t="str">
        <f t="shared" si="31"/>
        <v>EGL</v>
      </c>
      <c r="M442" s="2">
        <f t="shared" si="37"/>
        <v>7</v>
      </c>
      <c r="N442" s="2">
        <f t="shared" si="39"/>
        <v>2</v>
      </c>
      <c r="O442" s="2">
        <f t="shared" si="38"/>
        <v>1</v>
      </c>
      <c r="P442" s="27" t="s">
        <v>198</v>
      </c>
      <c r="Q442" s="7" t="str">
        <f>IF($N442=1,IF(ISERROR(VLOOKUP($P442,'M1'!$A:$C,Q$2,FALSE)),"NOT PRESENT",VLOOKUP($P442,'M1'!$A:$C,Q$2,FALSE)),IF($N442=2,IF(ISERROR(VLOOKUP(DATA!$P102,'M2'!$A:$C,Q$2,FALSE)),"NOT PRESENT",VLOOKUP(DATA!$P102,'M2'!$A:$C,Q$2,FALSE)),IF($N442=0,IF(ISERROR(VLOOKUP($P442,'M1'!$A:$C,Q$2,FALSE)),IF(ISERROR(VLOOKUP(DATA!$P102,'M2'!$A:$C,Q$2,FALSE)),"NOT PRESENT",VLOOKUP(DATA!$P102,'M2'!$A:$C,Q$2,FALSE)),VLOOKUP($P442,'M1'!$A:$C,Q$2,FALSE)),"SPECIFY METHOD")))</f>
        <v>NOT PRESENT</v>
      </c>
      <c r="R442" s="7" t="str">
        <f>IF($N442=1,IF(ISERROR(VLOOKUP($P442,'M1'!$A:$C,R$2,FALSE)),"NOT PRESENT",VLOOKUP($P442,'M1'!$A:$C,R$2,FALSE)),IF($N442=2,IF(ISERROR(VLOOKUP(DATA!$P102,'M2'!$A:$C,R$2,FALSE)),"NOT PRESENT",VLOOKUP(DATA!$P102,'M2'!$A:$C,R$2,FALSE)),IF($N442=0,IF(ISERROR(VLOOKUP($P442,'M1'!$A:$C,R$2,FALSE)),IF(ISERROR(VLOOKUP(DATA!$P102,'M2'!$A:$C,R$2,FALSE)),"NOT PRESENT",VLOOKUP(DATA!$P102,'M2'!$A:$C,R$2,FALSE)),VLOOKUP($P442,'M1'!$A:$C,R$2,FALSE)),"SPECIFY METHOD")))</f>
        <v>NOT PRESENT</v>
      </c>
      <c r="S442" s="20">
        <f t="shared" si="32"/>
        <v>1</v>
      </c>
      <c r="T442" s="2">
        <v>1</v>
      </c>
    </row>
    <row r="443" spans="1:26">
      <c r="A443" s="7">
        <f>MAX($A$1:$A442)+1</f>
        <v>442</v>
      </c>
      <c r="B443" s="2" t="str">
        <f t="shared" si="28"/>
        <v>Em Lim</v>
      </c>
      <c r="C443" s="2" t="str">
        <f t="shared" si="29"/>
        <v>Jasmin Schuster</v>
      </c>
      <c r="D443" s="2" t="str">
        <f t="shared" si="33"/>
        <v>BMSC2</v>
      </c>
      <c r="E443" s="7" t="str">
        <f>IF(ISERROR(VLOOKUP($D443,SITES!$A:$E,2,FALSE)),"",VLOOKUP($D443,SITES!$A:$E,2,FALSE))</f>
        <v>Kirby</v>
      </c>
      <c r="F443" s="4">
        <f>IF(ISERROR(VLOOKUP($D443,SITES!$A:$E,3,FALSE)),"",VLOOKUP($D443,SITES!$A:$E,3,FALSE))</f>
        <v>48.850399017333899</v>
      </c>
      <c r="G443" s="18">
        <f>IF(ISERROR(VLOOKUP($D443,SITES!$A:$E,4,FALSE)),"",VLOOKUP($D443,SITES!$A:$E,4,FALSE))</f>
        <v>-125.198768615722</v>
      </c>
      <c r="H443" s="5" t="str">
        <f t="shared" si="30"/>
        <v>10/05/2023</v>
      </c>
      <c r="I443" s="2">
        <f t="shared" si="34"/>
        <v>1.5</v>
      </c>
      <c r="J443" s="2">
        <f t="shared" si="35"/>
        <v>60</v>
      </c>
      <c r="K443" s="6">
        <f t="shared" si="36"/>
        <v>0.5625</v>
      </c>
      <c r="L443" s="2" t="str">
        <f t="shared" si="31"/>
        <v>EGL</v>
      </c>
      <c r="M443" s="2">
        <f t="shared" si="37"/>
        <v>7</v>
      </c>
      <c r="N443" s="2">
        <f t="shared" si="39"/>
        <v>2</v>
      </c>
      <c r="O443" s="2">
        <f t="shared" si="38"/>
        <v>1</v>
      </c>
      <c r="P443" s="27" t="s">
        <v>220</v>
      </c>
      <c r="Q443" s="7" t="str">
        <f>IF($N443=1,IF(ISERROR(VLOOKUP($P443,'M1'!$A:$C,Q$2,FALSE)),"NOT PRESENT",VLOOKUP($P443,'M1'!$A:$C,Q$2,FALSE)),IF($N443=2,IF(ISERROR(VLOOKUP(DATA!$P103,'M2'!$A:$C,Q$2,FALSE)),"NOT PRESENT",VLOOKUP(DATA!$P103,'M2'!$A:$C,Q$2,FALSE)),IF($N443=0,IF(ISERROR(VLOOKUP($P443,'M1'!$A:$C,Q$2,FALSE)),IF(ISERROR(VLOOKUP(DATA!$P103,'M2'!$A:$C,Q$2,FALSE)),"NOT PRESENT",VLOOKUP(DATA!$P103,'M2'!$A:$C,Q$2,FALSE)),VLOOKUP($P443,'M1'!$A:$C,Q$2,FALSE)),"SPECIFY METHOD")))</f>
        <v>NOT PRESENT</v>
      </c>
      <c r="R443" s="7" t="str">
        <f>IF($N443=1,IF(ISERROR(VLOOKUP($P443,'M1'!$A:$C,R$2,FALSE)),"NOT PRESENT",VLOOKUP($P443,'M1'!$A:$C,R$2,FALSE)),IF($N443=2,IF(ISERROR(VLOOKUP(DATA!$P103,'M2'!$A:$C,R$2,FALSE)),"NOT PRESENT",VLOOKUP(DATA!$P103,'M2'!$A:$C,R$2,FALSE)),IF($N443=0,IF(ISERROR(VLOOKUP($P443,'M1'!$A:$C,R$2,FALSE)),IF(ISERROR(VLOOKUP(DATA!$P103,'M2'!$A:$C,R$2,FALSE)),"NOT PRESENT",VLOOKUP(DATA!$P103,'M2'!$A:$C,R$2,FALSE)),VLOOKUP($P443,'M1'!$A:$C,R$2,FALSE)),"SPECIFY METHOD")))</f>
        <v>NOT PRESENT</v>
      </c>
      <c r="S443" s="20">
        <f t="shared" si="32"/>
        <v>1</v>
      </c>
      <c r="T443" s="2">
        <v>1</v>
      </c>
    </row>
    <row r="444" spans="1:26">
      <c r="A444" s="7">
        <f>MAX($A$1:$A443)+1</f>
        <v>443</v>
      </c>
      <c r="B444" s="2" t="str">
        <f t="shared" si="28"/>
        <v>Em Lim</v>
      </c>
      <c r="C444" s="2" t="str">
        <f t="shared" si="29"/>
        <v>Jasmin Schuster</v>
      </c>
      <c r="D444" s="2" t="str">
        <f t="shared" si="33"/>
        <v>BMSC2</v>
      </c>
      <c r="E444" s="7" t="str">
        <f>IF(ISERROR(VLOOKUP($D444,SITES!$A:$E,2,FALSE)),"",VLOOKUP($D444,SITES!$A:$E,2,FALSE))</f>
        <v>Kirby</v>
      </c>
      <c r="F444" s="4">
        <f>IF(ISERROR(VLOOKUP($D444,SITES!$A:$E,3,FALSE)),"",VLOOKUP($D444,SITES!$A:$E,3,FALSE))</f>
        <v>48.850399017333899</v>
      </c>
      <c r="G444" s="18">
        <f>IF(ISERROR(VLOOKUP($D444,SITES!$A:$E,4,FALSE)),"",VLOOKUP($D444,SITES!$A:$E,4,FALSE))</f>
        <v>-125.198768615722</v>
      </c>
      <c r="H444" s="5" t="str">
        <f t="shared" si="30"/>
        <v>10/05/2023</v>
      </c>
      <c r="I444" s="2">
        <f t="shared" si="34"/>
        <v>1.5</v>
      </c>
      <c r="J444" s="2">
        <f t="shared" si="35"/>
        <v>60</v>
      </c>
      <c r="K444" s="6">
        <f t="shared" si="36"/>
        <v>0.5625</v>
      </c>
      <c r="L444" s="2" t="str">
        <f t="shared" si="31"/>
        <v>EGL</v>
      </c>
      <c r="M444" s="2">
        <f t="shared" si="37"/>
        <v>7</v>
      </c>
      <c r="N444" s="2">
        <f t="shared" si="39"/>
        <v>2</v>
      </c>
      <c r="O444" s="2">
        <f t="shared" si="38"/>
        <v>1</v>
      </c>
      <c r="P444" s="27" t="s">
        <v>186</v>
      </c>
      <c r="Q444" s="7" t="str">
        <f>IF($N444=1,IF(ISERROR(VLOOKUP($P444,'M1'!$A:$C,Q$2,FALSE)),"NOT PRESENT",VLOOKUP($P444,'M1'!$A:$C,Q$2,FALSE)),IF($N444=2,IF(ISERROR(VLOOKUP(DATA!$P104,'M2'!$A:$C,Q$2,FALSE)),"NOT PRESENT",VLOOKUP(DATA!$P104,'M2'!$A:$C,Q$2,FALSE)),IF($N444=0,IF(ISERROR(VLOOKUP($P444,'M1'!$A:$C,Q$2,FALSE)),IF(ISERROR(VLOOKUP(DATA!$P104,'M2'!$A:$C,Q$2,FALSE)),"NOT PRESENT",VLOOKUP(DATA!$P104,'M2'!$A:$C,Q$2,FALSE)),VLOOKUP($P444,'M1'!$A:$C,Q$2,FALSE)),"SPECIFY METHOD")))</f>
        <v>NOT PRESENT</v>
      </c>
      <c r="R444" s="7" t="str">
        <f>IF($N444=1,IF(ISERROR(VLOOKUP($P444,'M1'!$A:$C,R$2,FALSE)),"NOT PRESENT",VLOOKUP($P444,'M1'!$A:$C,R$2,FALSE)),IF($N444=2,IF(ISERROR(VLOOKUP(DATA!$P104,'M2'!$A:$C,R$2,FALSE)),"NOT PRESENT",VLOOKUP(DATA!$P104,'M2'!$A:$C,R$2,FALSE)),IF($N444=0,IF(ISERROR(VLOOKUP($P444,'M1'!$A:$C,R$2,FALSE)),IF(ISERROR(VLOOKUP(DATA!$P104,'M2'!$A:$C,R$2,FALSE)),"NOT PRESENT",VLOOKUP(DATA!$P104,'M2'!$A:$C,R$2,FALSE)),VLOOKUP($P444,'M1'!$A:$C,R$2,FALSE)),"SPECIFY METHOD")))</f>
        <v>NOT PRESENT</v>
      </c>
      <c r="S444" s="20">
        <f t="shared" si="32"/>
        <v>2</v>
      </c>
      <c r="T444" s="2">
        <v>2</v>
      </c>
    </row>
    <row r="445" spans="1:26">
      <c r="A445" s="7">
        <f>MAX($A$1:$A444)+1</f>
        <v>444</v>
      </c>
      <c r="B445" s="2" t="str">
        <f t="shared" si="28"/>
        <v>Em Lim</v>
      </c>
      <c r="C445" s="2" t="str">
        <f t="shared" si="29"/>
        <v>Jasmin Schuster</v>
      </c>
      <c r="D445" s="2" t="str">
        <f t="shared" si="33"/>
        <v>BMSC2</v>
      </c>
      <c r="E445" s="7" t="str">
        <f>IF(ISERROR(VLOOKUP($D445,SITES!$A:$E,2,FALSE)),"",VLOOKUP($D445,SITES!$A:$E,2,FALSE))</f>
        <v>Kirby</v>
      </c>
      <c r="F445" s="4">
        <f>IF(ISERROR(VLOOKUP($D445,SITES!$A:$E,3,FALSE)),"",VLOOKUP($D445,SITES!$A:$E,3,FALSE))</f>
        <v>48.850399017333899</v>
      </c>
      <c r="G445" s="18">
        <f>IF(ISERROR(VLOOKUP($D445,SITES!$A:$E,4,FALSE)),"",VLOOKUP($D445,SITES!$A:$E,4,FALSE))</f>
        <v>-125.198768615722</v>
      </c>
      <c r="H445" s="5" t="str">
        <f t="shared" si="30"/>
        <v>10/05/2023</v>
      </c>
      <c r="I445" s="2">
        <f t="shared" si="34"/>
        <v>1.5</v>
      </c>
      <c r="J445" s="2">
        <f t="shared" si="35"/>
        <v>60</v>
      </c>
      <c r="K445" s="6">
        <f t="shared" si="36"/>
        <v>0.5625</v>
      </c>
      <c r="L445" s="2" t="str">
        <f t="shared" si="31"/>
        <v>EGL</v>
      </c>
      <c r="M445" s="2">
        <f t="shared" si="37"/>
        <v>7</v>
      </c>
      <c r="N445" s="2">
        <f t="shared" si="39"/>
        <v>2</v>
      </c>
      <c r="O445" s="2">
        <f t="shared" si="38"/>
        <v>1</v>
      </c>
      <c r="P445" s="27" t="s">
        <v>183</v>
      </c>
      <c r="Q445" s="7" t="str">
        <f>IF($N445=1,IF(ISERROR(VLOOKUP($P445,'M1'!$A:$C,Q$2,FALSE)),"NOT PRESENT",VLOOKUP($P445,'M1'!$A:$C,Q$2,FALSE)),IF($N445=2,IF(ISERROR(VLOOKUP(DATA!$P105,'M2'!$A:$C,Q$2,FALSE)),"NOT PRESENT",VLOOKUP(DATA!$P105,'M2'!$A:$C,Q$2,FALSE)),IF($N445=0,IF(ISERROR(VLOOKUP($P445,'M1'!$A:$C,Q$2,FALSE)),IF(ISERROR(VLOOKUP(DATA!$P105,'M2'!$A:$C,Q$2,FALSE)),"NOT PRESENT",VLOOKUP(DATA!$P105,'M2'!$A:$C,Q$2,FALSE)),VLOOKUP($P445,'M1'!$A:$C,Q$2,FALSE)),"SPECIFY METHOD")))</f>
        <v>NOT PRESENT</v>
      </c>
      <c r="R445" s="7" t="str">
        <f>IF($N445=1,IF(ISERROR(VLOOKUP($P445,'M1'!$A:$C,R$2,FALSE)),"NOT PRESENT",VLOOKUP($P445,'M1'!$A:$C,R$2,FALSE)),IF($N445=2,IF(ISERROR(VLOOKUP(DATA!$P105,'M2'!$A:$C,R$2,FALSE)),"NOT PRESENT",VLOOKUP(DATA!$P105,'M2'!$A:$C,R$2,FALSE)),IF($N445=0,IF(ISERROR(VLOOKUP($P445,'M1'!$A:$C,R$2,FALSE)),IF(ISERROR(VLOOKUP(DATA!$P105,'M2'!$A:$C,R$2,FALSE)),"NOT PRESENT",VLOOKUP(DATA!$P105,'M2'!$A:$C,R$2,FALSE)),VLOOKUP($P445,'M1'!$A:$C,R$2,FALSE)),"SPECIFY METHOD")))</f>
        <v>NOT PRESENT</v>
      </c>
      <c r="S445" s="20">
        <f t="shared" si="32"/>
        <v>1</v>
      </c>
      <c r="T445" s="2">
        <v>1</v>
      </c>
    </row>
    <row r="446" spans="1:26">
      <c r="A446" s="7">
        <f>MAX($A$1:$A445)+1</f>
        <v>445</v>
      </c>
      <c r="B446" s="2" t="str">
        <f t="shared" si="28"/>
        <v>Em Lim</v>
      </c>
      <c r="C446" s="2" t="str">
        <f t="shared" si="29"/>
        <v>Jasmin Schuster</v>
      </c>
      <c r="D446" s="2" t="str">
        <f t="shared" si="33"/>
        <v>BMSC2</v>
      </c>
      <c r="E446" s="7" t="str">
        <f>IF(ISERROR(VLOOKUP($D446,SITES!$A:$E,2,FALSE)),"",VLOOKUP($D446,SITES!$A:$E,2,FALSE))</f>
        <v>Kirby</v>
      </c>
      <c r="F446" s="4">
        <f>IF(ISERROR(VLOOKUP($D446,SITES!$A:$E,3,FALSE)),"",VLOOKUP($D446,SITES!$A:$E,3,FALSE))</f>
        <v>48.850399017333899</v>
      </c>
      <c r="G446" s="18">
        <f>IF(ISERROR(VLOOKUP($D446,SITES!$A:$E,4,FALSE)),"",VLOOKUP($D446,SITES!$A:$E,4,FALSE))</f>
        <v>-125.198768615722</v>
      </c>
      <c r="H446" s="5" t="str">
        <f t="shared" si="30"/>
        <v>10/05/2023</v>
      </c>
      <c r="I446" s="2">
        <f t="shared" si="34"/>
        <v>1.5</v>
      </c>
      <c r="J446" s="2">
        <f t="shared" si="35"/>
        <v>60</v>
      </c>
      <c r="K446" s="6">
        <f t="shared" si="36"/>
        <v>0.5625</v>
      </c>
      <c r="L446" s="2" t="str">
        <f t="shared" si="31"/>
        <v>EGL</v>
      </c>
      <c r="M446" s="2">
        <f t="shared" si="37"/>
        <v>7</v>
      </c>
      <c r="N446" s="2">
        <f t="shared" si="39"/>
        <v>2</v>
      </c>
      <c r="O446" s="2">
        <f t="shared" si="38"/>
        <v>1</v>
      </c>
      <c r="P446" s="27" t="s">
        <v>206</v>
      </c>
      <c r="Q446" s="7" t="str">
        <f>IF($N446=1,IF(ISERROR(VLOOKUP($P446,'M1'!$A:$C,Q$2,FALSE)),"NOT PRESENT",VLOOKUP($P446,'M1'!$A:$C,Q$2,FALSE)),IF($N446=2,IF(ISERROR(VLOOKUP(DATA!$P106,'M2'!$A:$C,Q$2,FALSE)),"NOT PRESENT",VLOOKUP(DATA!$P106,'M2'!$A:$C,Q$2,FALSE)),IF($N446=0,IF(ISERROR(VLOOKUP($P446,'M1'!$A:$C,Q$2,FALSE)),IF(ISERROR(VLOOKUP(DATA!$P106,'M2'!$A:$C,Q$2,FALSE)),"NOT PRESENT",VLOOKUP(DATA!$P106,'M2'!$A:$C,Q$2,FALSE)),VLOOKUP($P446,'M1'!$A:$C,Q$2,FALSE)),"SPECIFY METHOD")))</f>
        <v>NOT PRESENT</v>
      </c>
      <c r="R446" s="7" t="str">
        <f>IF($N446=1,IF(ISERROR(VLOOKUP($P446,'M1'!$A:$C,R$2,FALSE)),"NOT PRESENT",VLOOKUP($P446,'M1'!$A:$C,R$2,FALSE)),IF($N446=2,IF(ISERROR(VLOOKUP(DATA!$P106,'M2'!$A:$C,R$2,FALSE)),"NOT PRESENT",VLOOKUP(DATA!$P106,'M2'!$A:$C,R$2,FALSE)),IF($N446=0,IF(ISERROR(VLOOKUP($P446,'M1'!$A:$C,R$2,FALSE)),IF(ISERROR(VLOOKUP(DATA!$P106,'M2'!$A:$C,R$2,FALSE)),"NOT PRESENT",VLOOKUP(DATA!$P106,'M2'!$A:$C,R$2,FALSE)),VLOOKUP($P446,'M1'!$A:$C,R$2,FALSE)),"SPECIFY METHOD")))</f>
        <v>NOT PRESENT</v>
      </c>
      <c r="S446" s="20">
        <f t="shared" si="32"/>
        <v>2</v>
      </c>
      <c r="T446" s="2">
        <v>0</v>
      </c>
      <c r="Z446" s="2">
        <v>2</v>
      </c>
    </row>
    <row r="447" spans="1:26">
      <c r="A447" s="7">
        <f>MAX($A$1:$A446)+1</f>
        <v>446</v>
      </c>
      <c r="B447" s="2" t="str">
        <f t="shared" si="28"/>
        <v>Em Lim</v>
      </c>
      <c r="C447" s="2" t="str">
        <f t="shared" si="29"/>
        <v>Jasmin Schuster</v>
      </c>
      <c r="D447" s="2" t="str">
        <f t="shared" si="33"/>
        <v>BMSC2</v>
      </c>
      <c r="E447" s="7" t="str">
        <f>IF(ISERROR(VLOOKUP($D447,SITES!$A:$E,2,FALSE)),"",VLOOKUP($D447,SITES!$A:$E,2,FALSE))</f>
        <v>Kirby</v>
      </c>
      <c r="F447" s="4">
        <f>IF(ISERROR(VLOOKUP($D447,SITES!$A:$E,3,FALSE)),"",VLOOKUP($D447,SITES!$A:$E,3,FALSE))</f>
        <v>48.850399017333899</v>
      </c>
      <c r="G447" s="18">
        <f>IF(ISERROR(VLOOKUP($D447,SITES!$A:$E,4,FALSE)),"",VLOOKUP($D447,SITES!$A:$E,4,FALSE))</f>
        <v>-125.198768615722</v>
      </c>
      <c r="H447" s="5" t="str">
        <f t="shared" si="30"/>
        <v>10/05/2023</v>
      </c>
      <c r="I447" s="2">
        <f t="shared" si="34"/>
        <v>1.5</v>
      </c>
      <c r="J447" s="2">
        <f t="shared" si="35"/>
        <v>60</v>
      </c>
      <c r="K447" s="6">
        <f t="shared" si="36"/>
        <v>0.5625</v>
      </c>
      <c r="L447" s="2" t="str">
        <f t="shared" si="31"/>
        <v>EGL</v>
      </c>
      <c r="M447" s="2">
        <f t="shared" si="37"/>
        <v>7</v>
      </c>
      <c r="N447" s="2">
        <f t="shared" si="39"/>
        <v>2</v>
      </c>
      <c r="O447" s="2">
        <f t="shared" si="38"/>
        <v>1</v>
      </c>
      <c r="P447" s="27" t="s">
        <v>221</v>
      </c>
      <c r="Q447" s="7" t="str">
        <f>IF($N447=1,IF(ISERROR(VLOOKUP($P447,'M1'!$A:$C,Q$2,FALSE)),"NOT PRESENT",VLOOKUP($P447,'M1'!$A:$C,Q$2,FALSE)),IF($N447=2,IF(ISERROR(VLOOKUP(DATA!$P107,'M2'!$A:$C,Q$2,FALSE)),"NOT PRESENT",VLOOKUP(DATA!$P107,'M2'!$A:$C,Q$2,FALSE)),IF($N447=0,IF(ISERROR(VLOOKUP($P447,'M1'!$A:$C,Q$2,FALSE)),IF(ISERROR(VLOOKUP(DATA!$P107,'M2'!$A:$C,Q$2,FALSE)),"NOT PRESENT",VLOOKUP(DATA!$P107,'M2'!$A:$C,Q$2,FALSE)),VLOOKUP($P447,'M1'!$A:$C,Q$2,FALSE)),"SPECIFY METHOD")))</f>
        <v>NOT PRESENT</v>
      </c>
      <c r="R447" s="7" t="str">
        <f>IF($N447=1,IF(ISERROR(VLOOKUP($P447,'M1'!$A:$C,R$2,FALSE)),"NOT PRESENT",VLOOKUP($P447,'M1'!$A:$C,R$2,FALSE)),IF($N447=2,IF(ISERROR(VLOOKUP(DATA!$P107,'M2'!$A:$C,R$2,FALSE)),"NOT PRESENT",VLOOKUP(DATA!$P107,'M2'!$A:$C,R$2,FALSE)),IF($N447=0,IF(ISERROR(VLOOKUP($P447,'M1'!$A:$C,R$2,FALSE)),IF(ISERROR(VLOOKUP(DATA!$P107,'M2'!$A:$C,R$2,FALSE)),"NOT PRESENT",VLOOKUP(DATA!$P107,'M2'!$A:$C,R$2,FALSE)),VLOOKUP($P447,'M1'!$A:$C,R$2,FALSE)),"SPECIFY METHOD")))</f>
        <v>NOT PRESENT</v>
      </c>
      <c r="S447" s="20">
        <f t="shared" si="32"/>
        <v>1</v>
      </c>
      <c r="T447" s="2">
        <v>1</v>
      </c>
    </row>
    <row r="448" spans="1:26">
      <c r="A448" s="7">
        <f>MAX($A$1:$A447)+1</f>
        <v>447</v>
      </c>
      <c r="B448" s="2" t="str">
        <f t="shared" si="28"/>
        <v>Em Lim</v>
      </c>
      <c r="C448" s="2" t="str">
        <f t="shared" si="29"/>
        <v>Jasmin Schuster</v>
      </c>
      <c r="D448" s="2" t="str">
        <f t="shared" si="33"/>
        <v>BMSC2</v>
      </c>
      <c r="E448" s="7" t="str">
        <f>IF(ISERROR(VLOOKUP($D448,SITES!$A:$E,2,FALSE)),"",VLOOKUP($D448,SITES!$A:$E,2,FALSE))</f>
        <v>Kirby</v>
      </c>
      <c r="F448" s="4">
        <f>IF(ISERROR(VLOOKUP($D448,SITES!$A:$E,3,FALSE)),"",VLOOKUP($D448,SITES!$A:$E,3,FALSE))</f>
        <v>48.850399017333899</v>
      </c>
      <c r="G448" s="18">
        <f>IF(ISERROR(VLOOKUP($D448,SITES!$A:$E,4,FALSE)),"",VLOOKUP($D448,SITES!$A:$E,4,FALSE))</f>
        <v>-125.198768615722</v>
      </c>
      <c r="H448" s="5" t="str">
        <f t="shared" si="30"/>
        <v>10/05/2023</v>
      </c>
      <c r="I448" s="2">
        <f t="shared" si="34"/>
        <v>1.5</v>
      </c>
      <c r="J448" s="2">
        <f t="shared" si="35"/>
        <v>60</v>
      </c>
      <c r="K448" s="6">
        <f t="shared" si="36"/>
        <v>0.5625</v>
      </c>
      <c r="L448" s="2" t="str">
        <f t="shared" si="31"/>
        <v>EGL</v>
      </c>
      <c r="M448" s="2">
        <f t="shared" si="37"/>
        <v>7</v>
      </c>
      <c r="N448" s="2">
        <f t="shared" si="39"/>
        <v>2</v>
      </c>
      <c r="O448" s="2">
        <f t="shared" si="38"/>
        <v>1</v>
      </c>
      <c r="P448" s="27" t="s">
        <v>173</v>
      </c>
      <c r="Q448" s="7" t="str">
        <f>IF($N448=1,IF(ISERROR(VLOOKUP($P448,'M1'!$A:$C,Q$2,FALSE)),"NOT PRESENT",VLOOKUP($P448,'M1'!$A:$C,Q$2,FALSE)),IF($N448=2,IF(ISERROR(VLOOKUP(DATA!$P108,'M2'!$A:$C,Q$2,FALSE)),"NOT PRESENT",VLOOKUP(DATA!$P108,'M2'!$A:$C,Q$2,FALSE)),IF($N448=0,IF(ISERROR(VLOOKUP($P448,'M1'!$A:$C,Q$2,FALSE)),IF(ISERROR(VLOOKUP(DATA!$P108,'M2'!$A:$C,Q$2,FALSE)),"NOT PRESENT",VLOOKUP(DATA!$P108,'M2'!$A:$C,Q$2,FALSE)),VLOOKUP($P448,'M1'!$A:$C,Q$2,FALSE)),"SPECIFY METHOD")))</f>
        <v>NOT PRESENT</v>
      </c>
      <c r="R448" s="7" t="str">
        <f>IF($N448=1,IF(ISERROR(VLOOKUP($P448,'M1'!$A:$C,R$2,FALSE)),"NOT PRESENT",VLOOKUP($P448,'M1'!$A:$C,R$2,FALSE)),IF($N448=2,IF(ISERROR(VLOOKUP(DATA!$P108,'M2'!$A:$C,R$2,FALSE)),"NOT PRESENT",VLOOKUP(DATA!$P108,'M2'!$A:$C,R$2,FALSE)),IF($N448=0,IF(ISERROR(VLOOKUP($P448,'M1'!$A:$C,R$2,FALSE)),IF(ISERROR(VLOOKUP(DATA!$P108,'M2'!$A:$C,R$2,FALSE)),"NOT PRESENT",VLOOKUP(DATA!$P108,'M2'!$A:$C,R$2,FALSE)),VLOOKUP($P448,'M1'!$A:$C,R$2,FALSE)),"SPECIFY METHOD")))</f>
        <v>NOT PRESENT</v>
      </c>
      <c r="S448" s="20">
        <f t="shared" si="32"/>
        <v>1</v>
      </c>
      <c r="T448" s="2">
        <v>0</v>
      </c>
      <c r="V448" s="2">
        <v>1</v>
      </c>
    </row>
    <row r="449" spans="1:28">
      <c r="A449" s="7">
        <f>MAX($A$1:$A448)+1</f>
        <v>448</v>
      </c>
      <c r="B449" s="2" t="str">
        <f t="shared" si="28"/>
        <v>Em Lim</v>
      </c>
      <c r="C449" s="2" t="str">
        <f t="shared" si="29"/>
        <v>Jasmin Schuster</v>
      </c>
      <c r="D449" s="2" t="str">
        <f t="shared" si="33"/>
        <v>BMSC2</v>
      </c>
      <c r="E449" s="7" t="str">
        <f>IF(ISERROR(VLOOKUP($D449,SITES!$A:$E,2,FALSE)),"",VLOOKUP($D449,SITES!$A:$E,2,FALSE))</f>
        <v>Kirby</v>
      </c>
      <c r="F449" s="4">
        <f>IF(ISERROR(VLOOKUP($D449,SITES!$A:$E,3,FALSE)),"",VLOOKUP($D449,SITES!$A:$E,3,FALSE))</f>
        <v>48.850399017333899</v>
      </c>
      <c r="G449" s="18">
        <f>IF(ISERROR(VLOOKUP($D449,SITES!$A:$E,4,FALSE)),"",VLOOKUP($D449,SITES!$A:$E,4,FALSE))</f>
        <v>-125.198768615722</v>
      </c>
      <c r="H449" s="5" t="str">
        <f t="shared" si="30"/>
        <v>10/05/2023</v>
      </c>
      <c r="I449" s="2">
        <f t="shared" si="34"/>
        <v>1.5</v>
      </c>
      <c r="J449" s="2">
        <f t="shared" si="35"/>
        <v>60</v>
      </c>
      <c r="K449" s="6">
        <f t="shared" si="36"/>
        <v>0.5625</v>
      </c>
      <c r="L449" s="2" t="str">
        <f t="shared" si="31"/>
        <v>EGL</v>
      </c>
      <c r="M449" s="2">
        <f t="shared" si="37"/>
        <v>7</v>
      </c>
      <c r="N449" s="2">
        <f t="shared" si="39"/>
        <v>2</v>
      </c>
      <c r="O449" s="2">
        <f t="shared" si="38"/>
        <v>1</v>
      </c>
      <c r="P449" s="27" t="s">
        <v>222</v>
      </c>
      <c r="Q449" s="7" t="str">
        <f>IF($N449=1,IF(ISERROR(VLOOKUP($P449,'M1'!$A:$C,Q$2,FALSE)),"NOT PRESENT",VLOOKUP($P449,'M1'!$A:$C,Q$2,FALSE)),IF($N449=2,IF(ISERROR(VLOOKUP(DATA!$P109,'M2'!$A:$C,Q$2,FALSE)),"NOT PRESENT",VLOOKUP(DATA!$P109,'M2'!$A:$C,Q$2,FALSE)),IF($N449=0,IF(ISERROR(VLOOKUP($P449,'M1'!$A:$C,Q$2,FALSE)),IF(ISERROR(VLOOKUP(DATA!$P109,'M2'!$A:$C,Q$2,FALSE)),"NOT PRESENT",VLOOKUP(DATA!$P109,'M2'!$A:$C,Q$2,FALSE)),VLOOKUP($P449,'M1'!$A:$C,Q$2,FALSE)),"SPECIFY METHOD")))</f>
        <v>NOT PRESENT</v>
      </c>
      <c r="R449" s="7" t="str">
        <f>IF($N449=1,IF(ISERROR(VLOOKUP($P449,'M1'!$A:$C,R$2,FALSE)),"NOT PRESENT",VLOOKUP($P449,'M1'!$A:$C,R$2,FALSE)),IF($N449=2,IF(ISERROR(VLOOKUP(DATA!$P109,'M2'!$A:$C,R$2,FALSE)),"NOT PRESENT",VLOOKUP(DATA!$P109,'M2'!$A:$C,R$2,FALSE)),IF($N449=0,IF(ISERROR(VLOOKUP($P449,'M1'!$A:$C,R$2,FALSE)),IF(ISERROR(VLOOKUP(DATA!$P109,'M2'!$A:$C,R$2,FALSE)),"NOT PRESENT",VLOOKUP(DATA!$P109,'M2'!$A:$C,R$2,FALSE)),VLOOKUP($P449,'M1'!$A:$C,R$2,FALSE)),"SPECIFY METHOD")))</f>
        <v>NOT PRESENT</v>
      </c>
      <c r="S449" s="20">
        <f t="shared" si="32"/>
        <v>1</v>
      </c>
      <c r="T449" s="2">
        <v>1</v>
      </c>
    </row>
    <row r="450" spans="1:28">
      <c r="A450" s="7">
        <f>MAX($A$1:$A449)+1</f>
        <v>449</v>
      </c>
      <c r="B450" s="2" t="str">
        <f t="shared" si="28"/>
        <v>Em Lim</v>
      </c>
      <c r="C450" s="2" t="str">
        <f t="shared" si="29"/>
        <v>Jasmin Schuster</v>
      </c>
      <c r="D450" s="2" t="str">
        <f t="shared" si="33"/>
        <v>BMSC2</v>
      </c>
      <c r="E450" s="7" t="str">
        <f>IF(ISERROR(VLOOKUP($D450,SITES!$A:$E,2,FALSE)),"",VLOOKUP($D450,SITES!$A:$E,2,FALSE))</f>
        <v>Kirby</v>
      </c>
      <c r="F450" s="4">
        <f>IF(ISERROR(VLOOKUP($D450,SITES!$A:$E,3,FALSE)),"",VLOOKUP($D450,SITES!$A:$E,3,FALSE))</f>
        <v>48.850399017333899</v>
      </c>
      <c r="G450" s="18">
        <f>IF(ISERROR(VLOOKUP($D450,SITES!$A:$E,4,FALSE)),"",VLOOKUP($D450,SITES!$A:$E,4,FALSE))</f>
        <v>-125.198768615722</v>
      </c>
      <c r="H450" s="5" t="str">
        <f t="shared" si="30"/>
        <v>10/05/2023</v>
      </c>
      <c r="I450" s="2">
        <f t="shared" si="34"/>
        <v>1.5</v>
      </c>
      <c r="J450" s="2">
        <f t="shared" si="35"/>
        <v>60</v>
      </c>
      <c r="K450" s="6">
        <f t="shared" si="36"/>
        <v>0.5625</v>
      </c>
      <c r="L450" s="2" t="str">
        <f t="shared" si="31"/>
        <v>EGL</v>
      </c>
      <c r="M450" s="2">
        <f t="shared" si="37"/>
        <v>7</v>
      </c>
      <c r="N450" s="2">
        <f t="shared" si="39"/>
        <v>2</v>
      </c>
      <c r="O450" s="2">
        <f t="shared" si="38"/>
        <v>1</v>
      </c>
      <c r="P450" s="27" t="s">
        <v>223</v>
      </c>
      <c r="Q450" s="7" t="str">
        <f>IF($N450=1,IF(ISERROR(VLOOKUP($P450,'M1'!$A:$C,Q$2,FALSE)),"NOT PRESENT",VLOOKUP($P450,'M1'!$A:$C,Q$2,FALSE)),IF($N450=2,IF(ISERROR(VLOOKUP(DATA!$P110,'M2'!$A:$C,Q$2,FALSE)),"NOT PRESENT",VLOOKUP(DATA!$P110,'M2'!$A:$C,Q$2,FALSE)),IF($N450=0,IF(ISERROR(VLOOKUP($P450,'M1'!$A:$C,Q$2,FALSE)),IF(ISERROR(VLOOKUP(DATA!$P110,'M2'!$A:$C,Q$2,FALSE)),"NOT PRESENT",VLOOKUP(DATA!$P110,'M2'!$A:$C,Q$2,FALSE)),VLOOKUP($P450,'M1'!$A:$C,Q$2,FALSE)),"SPECIFY METHOD")))</f>
        <v>NOT PRESENT</v>
      </c>
      <c r="R450" s="7" t="str">
        <f>IF($N450=1,IF(ISERROR(VLOOKUP($P450,'M1'!$A:$C,R$2,FALSE)),"NOT PRESENT",VLOOKUP($P450,'M1'!$A:$C,R$2,FALSE)),IF($N450=2,IF(ISERROR(VLOOKUP(DATA!$P110,'M2'!$A:$C,R$2,FALSE)),"NOT PRESENT",VLOOKUP(DATA!$P110,'M2'!$A:$C,R$2,FALSE)),IF($N450=0,IF(ISERROR(VLOOKUP($P450,'M1'!$A:$C,R$2,FALSE)),IF(ISERROR(VLOOKUP(DATA!$P110,'M2'!$A:$C,R$2,FALSE)),"NOT PRESENT",VLOOKUP(DATA!$P110,'M2'!$A:$C,R$2,FALSE)),VLOOKUP($P450,'M1'!$A:$C,R$2,FALSE)),"SPECIFY METHOD")))</f>
        <v>NOT PRESENT</v>
      </c>
      <c r="S450" s="20">
        <f t="shared" si="32"/>
        <v>2</v>
      </c>
      <c r="T450" s="2">
        <v>0</v>
      </c>
      <c r="V450" s="2">
        <v>2</v>
      </c>
    </row>
    <row r="451" spans="1:28">
      <c r="A451" s="7">
        <f>MAX($A$1:$A450)+1</f>
        <v>450</v>
      </c>
      <c r="B451" s="2" t="str">
        <f t="shared" si="28"/>
        <v>Em Lim</v>
      </c>
      <c r="C451" s="2" t="str">
        <f t="shared" si="29"/>
        <v>Jasmin Schuster</v>
      </c>
      <c r="D451" s="2" t="str">
        <f t="shared" si="33"/>
        <v>BMSC2</v>
      </c>
      <c r="E451" s="7" t="str">
        <f>IF(ISERROR(VLOOKUP($D451,SITES!$A:$E,2,FALSE)),"",VLOOKUP($D451,SITES!$A:$E,2,FALSE))</f>
        <v>Kirby</v>
      </c>
      <c r="F451" s="4">
        <f>IF(ISERROR(VLOOKUP($D451,SITES!$A:$E,3,FALSE)),"",VLOOKUP($D451,SITES!$A:$E,3,FALSE))</f>
        <v>48.850399017333899</v>
      </c>
      <c r="G451" s="18">
        <f>IF(ISERROR(VLOOKUP($D451,SITES!$A:$E,4,FALSE)),"",VLOOKUP($D451,SITES!$A:$E,4,FALSE))</f>
        <v>-125.198768615722</v>
      </c>
      <c r="H451" s="5" t="str">
        <f t="shared" si="30"/>
        <v>10/05/2023</v>
      </c>
      <c r="I451" s="2">
        <f t="shared" si="34"/>
        <v>1.5</v>
      </c>
      <c r="J451" s="2">
        <f t="shared" si="35"/>
        <v>60</v>
      </c>
      <c r="K451" s="6">
        <f t="shared" si="36"/>
        <v>0.5625</v>
      </c>
      <c r="L451" s="2" t="str">
        <f t="shared" si="31"/>
        <v>EGL</v>
      </c>
      <c r="M451" s="2">
        <f t="shared" si="37"/>
        <v>7</v>
      </c>
      <c r="N451" s="2">
        <f t="shared" si="39"/>
        <v>2</v>
      </c>
      <c r="O451" s="2">
        <f t="shared" si="38"/>
        <v>1</v>
      </c>
      <c r="P451" s="27" t="s">
        <v>180</v>
      </c>
      <c r="Q451" s="7" t="str">
        <f>IF($N451=1,IF(ISERROR(VLOOKUP($P451,'M1'!$A:$C,Q$2,FALSE)),"NOT PRESENT",VLOOKUP($P451,'M1'!$A:$C,Q$2,FALSE)),IF($N451=2,IF(ISERROR(VLOOKUP(DATA!$P111,'M2'!$A:$C,Q$2,FALSE)),"NOT PRESENT",VLOOKUP(DATA!$P111,'M2'!$A:$C,Q$2,FALSE)),IF($N451=0,IF(ISERROR(VLOOKUP($P451,'M1'!$A:$C,Q$2,FALSE)),IF(ISERROR(VLOOKUP(DATA!$P111,'M2'!$A:$C,Q$2,FALSE)),"NOT PRESENT",VLOOKUP(DATA!$P111,'M2'!$A:$C,Q$2,FALSE)),VLOOKUP($P451,'M1'!$A:$C,Q$2,FALSE)),"SPECIFY METHOD")))</f>
        <v>NOT PRESENT</v>
      </c>
      <c r="R451" s="7" t="str">
        <f>IF($N451=1,IF(ISERROR(VLOOKUP($P451,'M1'!$A:$C,R$2,FALSE)),"NOT PRESENT",VLOOKUP($P451,'M1'!$A:$C,R$2,FALSE)),IF($N451=2,IF(ISERROR(VLOOKUP(DATA!$P111,'M2'!$A:$C,R$2,FALSE)),"NOT PRESENT",VLOOKUP(DATA!$P111,'M2'!$A:$C,R$2,FALSE)),IF($N451=0,IF(ISERROR(VLOOKUP($P451,'M1'!$A:$C,R$2,FALSE)),IF(ISERROR(VLOOKUP(DATA!$P111,'M2'!$A:$C,R$2,FALSE)),"NOT PRESENT",VLOOKUP(DATA!$P111,'M2'!$A:$C,R$2,FALSE)),VLOOKUP($P451,'M1'!$A:$C,R$2,FALSE)),"SPECIFY METHOD")))</f>
        <v>NOT PRESENT</v>
      </c>
      <c r="S451" s="20">
        <f t="shared" si="32"/>
        <v>1</v>
      </c>
      <c r="T451" s="2">
        <v>1</v>
      </c>
    </row>
    <row r="452" spans="1:28">
      <c r="A452" s="7">
        <f>MAX($A$1:$A451)+1</f>
        <v>451</v>
      </c>
      <c r="B452" s="2" t="str">
        <f t="shared" si="28"/>
        <v>Em Lim</v>
      </c>
      <c r="C452" s="2" t="str">
        <f t="shared" si="29"/>
        <v>Jasmin Schuster</v>
      </c>
      <c r="D452" s="2" t="str">
        <f t="shared" si="33"/>
        <v>BMSC2</v>
      </c>
      <c r="E452" s="7" t="str">
        <f>IF(ISERROR(VLOOKUP($D452,SITES!$A:$E,2,FALSE)),"",VLOOKUP($D452,SITES!$A:$E,2,FALSE))</f>
        <v>Kirby</v>
      </c>
      <c r="F452" s="4">
        <f>IF(ISERROR(VLOOKUP($D452,SITES!$A:$E,3,FALSE)),"",VLOOKUP($D452,SITES!$A:$E,3,FALSE))</f>
        <v>48.850399017333899</v>
      </c>
      <c r="G452" s="18">
        <f>IF(ISERROR(VLOOKUP($D452,SITES!$A:$E,4,FALSE)),"",VLOOKUP($D452,SITES!$A:$E,4,FALSE))</f>
        <v>-125.198768615722</v>
      </c>
      <c r="H452" s="5" t="str">
        <f t="shared" si="30"/>
        <v>10/05/2023</v>
      </c>
      <c r="I452" s="2">
        <f t="shared" si="34"/>
        <v>1.5</v>
      </c>
      <c r="J452" s="2">
        <f t="shared" si="35"/>
        <v>60</v>
      </c>
      <c r="K452" s="6">
        <f t="shared" si="36"/>
        <v>0.5625</v>
      </c>
      <c r="L452" s="2" t="str">
        <f t="shared" si="31"/>
        <v>EGL</v>
      </c>
      <c r="M452" s="2">
        <f t="shared" si="37"/>
        <v>7</v>
      </c>
      <c r="N452" s="2">
        <f t="shared" si="39"/>
        <v>2</v>
      </c>
      <c r="O452" s="2">
        <f t="shared" si="38"/>
        <v>1</v>
      </c>
      <c r="P452" s="27" t="s">
        <v>196</v>
      </c>
      <c r="Q452" s="7" t="str">
        <f>IF($N452=1,IF(ISERROR(VLOOKUP($P452,'M1'!$A:$C,Q$2,FALSE)),"NOT PRESENT",VLOOKUP($P452,'M1'!$A:$C,Q$2,FALSE)),IF($N452=2,IF(ISERROR(VLOOKUP(DATA!$P112,'M2'!$A:$C,Q$2,FALSE)),"NOT PRESENT",VLOOKUP(DATA!$P112,'M2'!$A:$C,Q$2,FALSE)),IF($N452=0,IF(ISERROR(VLOOKUP($P452,'M1'!$A:$C,Q$2,FALSE)),IF(ISERROR(VLOOKUP(DATA!$P112,'M2'!$A:$C,Q$2,FALSE)),"NOT PRESENT",VLOOKUP(DATA!$P112,'M2'!$A:$C,Q$2,FALSE)),VLOOKUP($P452,'M1'!$A:$C,Q$2,FALSE)),"SPECIFY METHOD")))</f>
        <v>NOT PRESENT</v>
      </c>
      <c r="R452" s="7" t="str">
        <f>IF($N452=1,IF(ISERROR(VLOOKUP($P452,'M1'!$A:$C,R$2,FALSE)),"NOT PRESENT",VLOOKUP($P452,'M1'!$A:$C,R$2,FALSE)),IF($N452=2,IF(ISERROR(VLOOKUP(DATA!$P112,'M2'!$A:$C,R$2,FALSE)),"NOT PRESENT",VLOOKUP(DATA!$P112,'M2'!$A:$C,R$2,FALSE)),IF($N452=0,IF(ISERROR(VLOOKUP($P452,'M1'!$A:$C,R$2,FALSE)),IF(ISERROR(VLOOKUP(DATA!$P112,'M2'!$A:$C,R$2,FALSE)),"NOT PRESENT",VLOOKUP(DATA!$P112,'M2'!$A:$C,R$2,FALSE)),VLOOKUP($P452,'M1'!$A:$C,R$2,FALSE)),"SPECIFY METHOD")))</f>
        <v>NOT PRESENT</v>
      </c>
      <c r="S452" s="20">
        <f t="shared" si="32"/>
        <v>2</v>
      </c>
      <c r="T452" s="2">
        <v>2</v>
      </c>
    </row>
    <row r="453" spans="1:28">
      <c r="A453" s="7">
        <f>MAX($A$1:$A452)+1</f>
        <v>452</v>
      </c>
      <c r="B453" s="2" t="str">
        <f t="shared" si="28"/>
        <v>Em Lim</v>
      </c>
      <c r="C453" s="2" t="str">
        <f t="shared" si="29"/>
        <v>Jasmin Schuster</v>
      </c>
      <c r="D453" s="2" t="str">
        <f t="shared" si="33"/>
        <v>BMSC2</v>
      </c>
      <c r="E453" s="7" t="str">
        <f>IF(ISERROR(VLOOKUP($D453,SITES!$A:$E,2,FALSE)),"",VLOOKUP($D453,SITES!$A:$E,2,FALSE))</f>
        <v>Kirby</v>
      </c>
      <c r="F453" s="4">
        <f>IF(ISERROR(VLOOKUP($D453,SITES!$A:$E,3,FALSE)),"",VLOOKUP($D453,SITES!$A:$E,3,FALSE))</f>
        <v>48.850399017333899</v>
      </c>
      <c r="G453" s="18">
        <f>IF(ISERROR(VLOOKUP($D453,SITES!$A:$E,4,FALSE)),"",VLOOKUP($D453,SITES!$A:$E,4,FALSE))</f>
        <v>-125.198768615722</v>
      </c>
      <c r="H453" s="5" t="str">
        <f t="shared" si="30"/>
        <v>10/05/2023</v>
      </c>
      <c r="I453" s="2">
        <f t="shared" si="34"/>
        <v>1.5</v>
      </c>
      <c r="J453" s="2">
        <f t="shared" si="35"/>
        <v>60</v>
      </c>
      <c r="K453" s="6">
        <f t="shared" si="36"/>
        <v>0.5625</v>
      </c>
      <c r="L453" s="2" t="str">
        <f t="shared" si="31"/>
        <v>EGL</v>
      </c>
      <c r="M453" s="2">
        <f t="shared" si="37"/>
        <v>7</v>
      </c>
      <c r="N453" s="2">
        <f t="shared" si="39"/>
        <v>2</v>
      </c>
      <c r="O453" s="2">
        <f t="shared" si="38"/>
        <v>1</v>
      </c>
      <c r="P453" s="27" t="s">
        <v>199</v>
      </c>
      <c r="Q453" s="7" t="str">
        <f>IF($N453=1,IF(ISERROR(VLOOKUP($P453,'M1'!$A:$C,Q$2,FALSE)),"NOT PRESENT",VLOOKUP($P453,'M1'!$A:$C,Q$2,FALSE)),IF($N453=2,IF(ISERROR(VLOOKUP(DATA!$P113,'M2'!$A:$C,Q$2,FALSE)),"NOT PRESENT",VLOOKUP(DATA!$P113,'M2'!$A:$C,Q$2,FALSE)),IF($N453=0,IF(ISERROR(VLOOKUP($P453,'M1'!$A:$C,Q$2,FALSE)),IF(ISERROR(VLOOKUP(DATA!$P113,'M2'!$A:$C,Q$2,FALSE)),"NOT PRESENT",VLOOKUP(DATA!$P113,'M2'!$A:$C,Q$2,FALSE)),VLOOKUP($P453,'M1'!$A:$C,Q$2,FALSE)),"SPECIFY METHOD")))</f>
        <v>NOT PRESENT</v>
      </c>
      <c r="R453" s="7" t="str">
        <f>IF($N453=1,IF(ISERROR(VLOOKUP($P453,'M1'!$A:$C,R$2,FALSE)),"NOT PRESENT",VLOOKUP($P453,'M1'!$A:$C,R$2,FALSE)),IF($N453=2,IF(ISERROR(VLOOKUP(DATA!$P113,'M2'!$A:$C,R$2,FALSE)),"NOT PRESENT",VLOOKUP(DATA!$P113,'M2'!$A:$C,R$2,FALSE)),IF($N453=0,IF(ISERROR(VLOOKUP($P453,'M1'!$A:$C,R$2,FALSE)),IF(ISERROR(VLOOKUP(DATA!$P113,'M2'!$A:$C,R$2,FALSE)),"NOT PRESENT",VLOOKUP(DATA!$P113,'M2'!$A:$C,R$2,FALSE)),VLOOKUP($P453,'M1'!$A:$C,R$2,FALSE)),"SPECIFY METHOD")))</f>
        <v>NOT PRESENT</v>
      </c>
      <c r="S453" s="20">
        <f t="shared" si="32"/>
        <v>1</v>
      </c>
      <c r="T453" s="2">
        <v>1</v>
      </c>
    </row>
    <row r="454" spans="1:28">
      <c r="A454" s="7">
        <f>MAX($A$1:$A453)+1</f>
        <v>453</v>
      </c>
      <c r="B454" s="2" t="str">
        <f t="shared" si="28"/>
        <v>Em Lim</v>
      </c>
      <c r="C454" s="2" t="str">
        <f t="shared" si="29"/>
        <v>Jasmin Schuster</v>
      </c>
      <c r="D454" s="2" t="str">
        <f t="shared" si="33"/>
        <v>BMSC2</v>
      </c>
      <c r="E454" s="7" t="str">
        <f>IF(ISERROR(VLOOKUP($D454,SITES!$A:$E,2,FALSE)),"",VLOOKUP($D454,SITES!$A:$E,2,FALSE))</f>
        <v>Kirby</v>
      </c>
      <c r="F454" s="4">
        <f>IF(ISERROR(VLOOKUP($D454,SITES!$A:$E,3,FALSE)),"",VLOOKUP($D454,SITES!$A:$E,3,FALSE))</f>
        <v>48.850399017333899</v>
      </c>
      <c r="G454" s="18">
        <f>IF(ISERROR(VLOOKUP($D454,SITES!$A:$E,4,FALSE)),"",VLOOKUP($D454,SITES!$A:$E,4,FALSE))</f>
        <v>-125.198768615722</v>
      </c>
      <c r="H454" s="5" t="str">
        <f t="shared" si="30"/>
        <v>10/05/2023</v>
      </c>
      <c r="I454" s="2">
        <f t="shared" si="34"/>
        <v>1.5</v>
      </c>
      <c r="J454" s="2">
        <f t="shared" si="35"/>
        <v>60</v>
      </c>
      <c r="K454" s="6">
        <f t="shared" si="36"/>
        <v>0.5625</v>
      </c>
      <c r="L454" s="2" t="str">
        <f t="shared" si="31"/>
        <v>EGL</v>
      </c>
      <c r="M454" s="2">
        <f t="shared" si="37"/>
        <v>7</v>
      </c>
      <c r="N454" s="2">
        <v>0</v>
      </c>
      <c r="O454" s="2">
        <v>0</v>
      </c>
      <c r="P454" s="27" t="s">
        <v>206</v>
      </c>
      <c r="Q454" s="7" t="str">
        <f>IF($N454=1,IF(ISERROR(VLOOKUP($P454,'M1'!$A:$C,Q$2,FALSE)),"NOT PRESENT",VLOOKUP($P454,'M1'!$A:$C,Q$2,FALSE)),IF($N454=2,IF(ISERROR(VLOOKUP(DATA!$P114,'M2'!$A:$C,Q$2,FALSE)),"NOT PRESENT",VLOOKUP(DATA!$P114,'M2'!$A:$C,Q$2,FALSE)),IF($N454=0,IF(ISERROR(VLOOKUP($P454,'M1'!$A:$C,Q$2,FALSE)),IF(ISERROR(VLOOKUP(DATA!$P114,'M2'!$A:$C,Q$2,FALSE)),"NOT PRESENT",VLOOKUP(DATA!$P114,'M2'!$A:$C,Q$2,FALSE)),VLOOKUP($P454,'M1'!$A:$C,Q$2,FALSE)),"SPECIFY METHOD")))</f>
        <v>NOT PRESENT</v>
      </c>
      <c r="R454" s="7" t="str">
        <f>IF($N454=1,IF(ISERROR(VLOOKUP($P454,'M1'!$A:$C,R$2,FALSE)),"NOT PRESENT",VLOOKUP($P454,'M1'!$A:$C,R$2,FALSE)),IF($N454=2,IF(ISERROR(VLOOKUP(DATA!$P114,'M2'!$A:$C,R$2,FALSE)),"NOT PRESENT",VLOOKUP(DATA!$P114,'M2'!$A:$C,R$2,FALSE)),IF($N454=0,IF(ISERROR(VLOOKUP($P454,'M1'!$A:$C,R$2,FALSE)),IF(ISERROR(VLOOKUP(DATA!$P114,'M2'!$A:$C,R$2,FALSE)),"NOT PRESENT",VLOOKUP(DATA!$P114,'M2'!$A:$C,R$2,FALSE)),VLOOKUP($P454,'M1'!$A:$C,R$2,FALSE)),"SPECIFY METHOD")))</f>
        <v>NOT PRESENT</v>
      </c>
      <c r="S454" s="20">
        <f t="shared" si="32"/>
        <v>2</v>
      </c>
      <c r="T454" s="2">
        <v>0</v>
      </c>
      <c r="Y454" s="2">
        <v>2</v>
      </c>
    </row>
    <row r="455" spans="1:28">
      <c r="A455" s="7">
        <f>MAX($A$1:$A454)+1</f>
        <v>454</v>
      </c>
      <c r="B455" s="2" t="str">
        <f t="shared" si="28"/>
        <v>Em Lim</v>
      </c>
      <c r="C455" s="2" t="str">
        <f t="shared" si="29"/>
        <v>Jasmin Schuster</v>
      </c>
      <c r="D455" s="2" t="str">
        <f t="shared" si="33"/>
        <v>BMSC2</v>
      </c>
      <c r="E455" s="7" t="str">
        <f>IF(ISERROR(VLOOKUP($D455,SITES!$A:$E,2,FALSE)),"",VLOOKUP($D455,SITES!$A:$E,2,FALSE))</f>
        <v>Kirby</v>
      </c>
      <c r="F455" s="4">
        <f>IF(ISERROR(VLOOKUP($D455,SITES!$A:$E,3,FALSE)),"",VLOOKUP($D455,SITES!$A:$E,3,FALSE))</f>
        <v>48.850399017333899</v>
      </c>
      <c r="G455" s="18">
        <f>IF(ISERROR(VLOOKUP($D455,SITES!$A:$E,4,FALSE)),"",VLOOKUP($D455,SITES!$A:$E,4,FALSE))</f>
        <v>-125.198768615722</v>
      </c>
      <c r="H455" s="5" t="str">
        <f t="shared" si="30"/>
        <v>10/05/2023</v>
      </c>
      <c r="I455" s="2">
        <f t="shared" si="34"/>
        <v>1.5</v>
      </c>
      <c r="J455" s="2">
        <f t="shared" si="35"/>
        <v>60</v>
      </c>
      <c r="K455" s="6">
        <f t="shared" si="36"/>
        <v>0.5625</v>
      </c>
      <c r="L455" s="2" t="str">
        <f t="shared" si="31"/>
        <v>EGL</v>
      </c>
      <c r="M455" s="2">
        <f t="shared" si="37"/>
        <v>7</v>
      </c>
      <c r="N455" s="2">
        <f>IF(ISERROR(N454),IF(ISERROR(N453),IF(ISERROR(N452),"BLANK",N452),N453),N454)</f>
        <v>0</v>
      </c>
      <c r="O455" s="2">
        <f>IF(ISERROR(O454),IF(ISERROR(O453),IF(ISERROR(O452),"BLANK",O452),O453),O454)</f>
        <v>0</v>
      </c>
      <c r="P455" s="27" t="s">
        <v>194</v>
      </c>
      <c r="Q455" s="7" t="str">
        <f>IF($N455=1,IF(ISERROR(VLOOKUP($P455,'M1'!$A:$C,Q$2,FALSE)),"NOT PRESENT",VLOOKUP($P455,'M1'!$A:$C,Q$2,FALSE)),IF($N455=2,IF(ISERROR(VLOOKUP(DATA!$P115,'M2'!$A:$C,Q$2,FALSE)),"NOT PRESENT",VLOOKUP(DATA!$P115,'M2'!$A:$C,Q$2,FALSE)),IF($N455=0,IF(ISERROR(VLOOKUP($P455,'M1'!$A:$C,Q$2,FALSE)),IF(ISERROR(VLOOKUP(DATA!$P115,'M2'!$A:$C,Q$2,FALSE)),"NOT PRESENT",VLOOKUP(DATA!$P115,'M2'!$A:$C,Q$2,FALSE)),VLOOKUP($P455,'M1'!$A:$C,Q$2,FALSE)),"SPECIFY METHOD")))</f>
        <v>NOT PRESENT</v>
      </c>
      <c r="R455" s="7" t="str">
        <f>IF($N455=1,IF(ISERROR(VLOOKUP($P455,'M1'!$A:$C,R$2,FALSE)),"NOT PRESENT",VLOOKUP($P455,'M1'!$A:$C,R$2,FALSE)),IF($N455=2,IF(ISERROR(VLOOKUP(DATA!$P115,'M2'!$A:$C,R$2,FALSE)),"NOT PRESENT",VLOOKUP(DATA!$P115,'M2'!$A:$C,R$2,FALSE)),IF($N455=0,IF(ISERROR(VLOOKUP($P455,'M1'!$A:$C,R$2,FALSE)),IF(ISERROR(VLOOKUP(DATA!$P115,'M2'!$A:$C,R$2,FALSE)),"NOT PRESENT",VLOOKUP(DATA!$P115,'M2'!$A:$C,R$2,FALSE)),VLOOKUP($P455,'M1'!$A:$C,R$2,FALSE)),"SPECIFY METHOD")))</f>
        <v>NOT PRESENT</v>
      </c>
      <c r="S455" s="20">
        <f t="shared" si="32"/>
        <v>1</v>
      </c>
      <c r="T455" s="2">
        <v>0</v>
      </c>
      <c r="V455" s="2">
        <v>1</v>
      </c>
    </row>
    <row r="456" spans="1:28">
      <c r="A456" s="7">
        <f>MAX($A$1:$A455)+1</f>
        <v>455</v>
      </c>
      <c r="B456" s="2" t="s">
        <v>171</v>
      </c>
      <c r="C456" s="2" t="s">
        <v>170</v>
      </c>
      <c r="D456" s="2" t="s">
        <v>23</v>
      </c>
      <c r="E456" s="7" t="s">
        <v>478</v>
      </c>
      <c r="F456" s="4">
        <v>48.850399017333899</v>
      </c>
      <c r="G456" s="18">
        <v>-125.198768615722</v>
      </c>
      <c r="H456" s="5" t="s">
        <v>6</v>
      </c>
      <c r="I456" s="2">
        <v>1.5</v>
      </c>
      <c r="J456" s="2">
        <v>0</v>
      </c>
      <c r="K456" s="6">
        <v>0.5625</v>
      </c>
      <c r="L456" s="2" t="s">
        <v>172</v>
      </c>
      <c r="M456" s="2">
        <v>7</v>
      </c>
      <c r="N456" s="2">
        <v>1</v>
      </c>
      <c r="O456" s="2">
        <v>2</v>
      </c>
      <c r="P456" s="2" t="s">
        <v>232</v>
      </c>
      <c r="Q456" s="7" t="s">
        <v>43</v>
      </c>
      <c r="R456" s="7" t="s">
        <v>324</v>
      </c>
      <c r="S456" s="20">
        <v>1</v>
      </c>
      <c r="T456" s="2">
        <v>0</v>
      </c>
      <c r="AB456" s="2">
        <v>1</v>
      </c>
    </row>
    <row r="457" spans="1:28">
      <c r="A457" s="7">
        <f>MAX($A$1:$A456)+1</f>
        <v>456</v>
      </c>
      <c r="B457" s="2" t="s">
        <v>171</v>
      </c>
      <c r="C457" s="2" t="s">
        <v>170</v>
      </c>
      <c r="D457" s="2" t="s">
        <v>23</v>
      </c>
      <c r="E457" s="7" t="s">
        <v>478</v>
      </c>
      <c r="F457" s="4">
        <v>48.850399017333899</v>
      </c>
      <c r="G457" s="18">
        <v>-125.198768615722</v>
      </c>
      <c r="H457" s="5" t="s">
        <v>6</v>
      </c>
      <c r="I457" s="2">
        <v>1.5</v>
      </c>
      <c r="J457" s="2">
        <v>0</v>
      </c>
      <c r="K457" s="6">
        <v>0.5625</v>
      </c>
      <c r="L457" s="2" t="s">
        <v>172</v>
      </c>
      <c r="M457" s="2">
        <v>7</v>
      </c>
      <c r="N457" s="2">
        <v>1</v>
      </c>
      <c r="O457" s="2">
        <v>2</v>
      </c>
      <c r="P457" s="2" t="s">
        <v>479</v>
      </c>
      <c r="Q457" s="7" t="s">
        <v>480</v>
      </c>
      <c r="R457" s="7" t="s">
        <v>481</v>
      </c>
      <c r="S457" s="20">
        <v>80</v>
      </c>
      <c r="T457" s="2">
        <v>0</v>
      </c>
      <c r="U457" s="2">
        <v>80</v>
      </c>
    </row>
    <row r="458" spans="1:28">
      <c r="A458" s="7">
        <f>MAX($A$1:$A457)+1</f>
        <v>457</v>
      </c>
      <c r="B458" s="2" t="s">
        <v>171</v>
      </c>
      <c r="C458" s="2" t="s">
        <v>170</v>
      </c>
      <c r="D458" s="2" t="s">
        <v>23</v>
      </c>
      <c r="E458" s="7" t="s">
        <v>478</v>
      </c>
      <c r="F458" s="4">
        <v>48.850399017333899</v>
      </c>
      <c r="G458" s="18">
        <v>-125.198768615722</v>
      </c>
      <c r="H458" s="5" t="s">
        <v>6</v>
      </c>
      <c r="I458" s="2">
        <v>1.5</v>
      </c>
      <c r="J458" s="2">
        <v>0</v>
      </c>
      <c r="K458" s="6">
        <v>0.5625</v>
      </c>
      <c r="L458" s="2" t="s">
        <v>172</v>
      </c>
      <c r="M458" s="2">
        <v>7</v>
      </c>
      <c r="N458" s="2">
        <v>2</v>
      </c>
      <c r="O458" s="2">
        <v>2</v>
      </c>
      <c r="P458" s="2" t="s">
        <v>241</v>
      </c>
      <c r="Q458" s="7" t="s">
        <v>63</v>
      </c>
      <c r="R458" s="7" t="s">
        <v>294</v>
      </c>
      <c r="S458" s="20">
        <v>381</v>
      </c>
      <c r="T458" s="2">
        <v>381</v>
      </c>
    </row>
    <row r="459" spans="1:28">
      <c r="A459" s="7">
        <f>MAX($A$1:$A458)+1</f>
        <v>458</v>
      </c>
      <c r="B459" s="2" t="s">
        <v>171</v>
      </c>
      <c r="C459" s="2" t="s">
        <v>170</v>
      </c>
      <c r="D459" s="2" t="s">
        <v>23</v>
      </c>
      <c r="E459" s="7" t="s">
        <v>478</v>
      </c>
      <c r="F459" s="4">
        <v>48.850399017333899</v>
      </c>
      <c r="G459" s="18">
        <v>-125.198768615722</v>
      </c>
      <c r="H459" s="5" t="s">
        <v>6</v>
      </c>
      <c r="I459" s="2">
        <v>1.5</v>
      </c>
      <c r="J459" s="2">
        <v>0</v>
      </c>
      <c r="K459" s="6">
        <v>0.5625</v>
      </c>
      <c r="L459" s="2" t="s">
        <v>172</v>
      </c>
      <c r="M459" s="2">
        <v>7</v>
      </c>
      <c r="N459" s="2">
        <v>2</v>
      </c>
      <c r="O459" s="2">
        <v>2</v>
      </c>
      <c r="P459" s="2" t="s">
        <v>247</v>
      </c>
      <c r="Q459" s="7" t="s">
        <v>64</v>
      </c>
      <c r="R459" s="7" t="s">
        <v>293</v>
      </c>
      <c r="S459" s="20">
        <v>6</v>
      </c>
      <c r="T459" s="2">
        <v>6</v>
      </c>
    </row>
    <row r="460" spans="1:28">
      <c r="A460" s="7">
        <f>MAX($A$1:$A459)+1</f>
        <v>459</v>
      </c>
      <c r="B460" s="2" t="s">
        <v>171</v>
      </c>
      <c r="C460" s="2" t="s">
        <v>170</v>
      </c>
      <c r="D460" s="2" t="s">
        <v>23</v>
      </c>
      <c r="E460" s="7" t="s">
        <v>478</v>
      </c>
      <c r="F460" s="4">
        <v>48.850399017333899</v>
      </c>
      <c r="G460" s="18">
        <v>-125.198768615722</v>
      </c>
      <c r="H460" s="5" t="s">
        <v>6</v>
      </c>
      <c r="I460" s="2">
        <v>1.5</v>
      </c>
      <c r="J460" s="2">
        <v>0</v>
      </c>
      <c r="K460" s="6">
        <v>0.5625</v>
      </c>
      <c r="L460" s="2" t="s">
        <v>172</v>
      </c>
      <c r="M460" s="2">
        <v>7</v>
      </c>
      <c r="N460" s="2">
        <v>2</v>
      </c>
      <c r="O460" s="2">
        <v>2</v>
      </c>
      <c r="P460" s="2" t="s">
        <v>296</v>
      </c>
      <c r="Q460" s="7" t="s">
        <v>75</v>
      </c>
      <c r="R460" s="4" t="s">
        <v>297</v>
      </c>
      <c r="S460" s="20">
        <v>8</v>
      </c>
      <c r="T460" s="2">
        <v>8</v>
      </c>
    </row>
    <row r="461" spans="1:28">
      <c r="A461" s="7">
        <f>MAX($A$1:$A460)+1</f>
        <v>460</v>
      </c>
      <c r="B461" s="2" t="s">
        <v>171</v>
      </c>
      <c r="C461" s="2" t="s">
        <v>170</v>
      </c>
      <c r="D461" s="2" t="s">
        <v>23</v>
      </c>
      <c r="E461" s="7" t="s">
        <v>478</v>
      </c>
      <c r="F461" s="4">
        <v>48.850399017333899</v>
      </c>
      <c r="G461" s="18">
        <v>-125.198768615722</v>
      </c>
      <c r="H461" s="5" t="s">
        <v>6</v>
      </c>
      <c r="I461" s="2">
        <v>1.5</v>
      </c>
      <c r="J461" s="2">
        <v>0</v>
      </c>
      <c r="K461" s="6">
        <v>0.5625</v>
      </c>
      <c r="L461" s="2" t="s">
        <v>172</v>
      </c>
      <c r="M461" s="2">
        <v>7</v>
      </c>
      <c r="N461" s="2">
        <v>2</v>
      </c>
      <c r="O461" s="2">
        <v>2</v>
      </c>
      <c r="P461" s="2" t="s">
        <v>246</v>
      </c>
      <c r="Q461" s="7" t="s">
        <v>66</v>
      </c>
      <c r="R461" s="4" t="s">
        <v>318</v>
      </c>
      <c r="S461" s="20">
        <v>14</v>
      </c>
      <c r="T461" s="2">
        <v>0</v>
      </c>
      <c r="U461" s="2">
        <v>1</v>
      </c>
      <c r="V461" s="2">
        <v>7</v>
      </c>
      <c r="W461" s="2">
        <v>5</v>
      </c>
      <c r="X461" s="2">
        <v>1</v>
      </c>
    </row>
    <row r="462" spans="1:28">
      <c r="A462" s="7">
        <f>MAX($A$1:$A461)+1</f>
        <v>461</v>
      </c>
      <c r="B462" s="2" t="s">
        <v>171</v>
      </c>
      <c r="C462" s="2" t="s">
        <v>170</v>
      </c>
      <c r="D462" s="2" t="s">
        <v>23</v>
      </c>
      <c r="E462" s="7" t="s">
        <v>478</v>
      </c>
      <c r="F462" s="4">
        <v>48.850399017333899</v>
      </c>
      <c r="G462" s="18">
        <v>-125.198768615722</v>
      </c>
      <c r="H462" s="5" t="s">
        <v>6</v>
      </c>
      <c r="I462" s="2">
        <v>1.5</v>
      </c>
      <c r="J462" s="2">
        <v>0</v>
      </c>
      <c r="K462" s="6">
        <v>0.5625</v>
      </c>
      <c r="L462" s="2" t="s">
        <v>172</v>
      </c>
      <c r="M462" s="2">
        <v>7</v>
      </c>
      <c r="N462" s="2">
        <v>2</v>
      </c>
      <c r="O462" s="2">
        <v>2</v>
      </c>
      <c r="P462" s="2" t="s">
        <v>331</v>
      </c>
      <c r="Q462" s="7" t="s">
        <v>67</v>
      </c>
      <c r="R462" s="4" t="s">
        <v>332</v>
      </c>
      <c r="S462" s="20">
        <v>22</v>
      </c>
      <c r="T462" s="2">
        <v>22</v>
      </c>
    </row>
    <row r="463" spans="1:28">
      <c r="A463" s="7">
        <f>MAX($A$1:$A462)+1</f>
        <v>462</v>
      </c>
      <c r="B463" s="2" t="s">
        <v>171</v>
      </c>
      <c r="C463" s="2" t="s">
        <v>170</v>
      </c>
      <c r="D463" s="2" t="s">
        <v>23</v>
      </c>
      <c r="E463" s="7" t="s">
        <v>478</v>
      </c>
      <c r="F463" s="4">
        <v>48.850399017333899</v>
      </c>
      <c r="G463" s="18">
        <v>-125.198768615722</v>
      </c>
      <c r="H463" s="5" t="s">
        <v>6</v>
      </c>
      <c r="I463" s="2">
        <v>1.5</v>
      </c>
      <c r="J463" s="2">
        <v>0</v>
      </c>
      <c r="K463" s="6">
        <v>0.5625</v>
      </c>
      <c r="L463" s="2" t="s">
        <v>172</v>
      </c>
      <c r="M463" s="2">
        <v>7</v>
      </c>
      <c r="N463" s="2">
        <v>2</v>
      </c>
      <c r="O463" s="2">
        <v>2</v>
      </c>
      <c r="P463" s="2" t="s">
        <v>243</v>
      </c>
      <c r="Q463" s="7" t="s">
        <v>85</v>
      </c>
      <c r="R463" s="4" t="s">
        <v>312</v>
      </c>
      <c r="S463" s="20">
        <v>22</v>
      </c>
      <c r="T463" s="2">
        <v>22</v>
      </c>
    </row>
    <row r="464" spans="1:28">
      <c r="A464" s="7">
        <f>MAX($A$1:$A463)+1</f>
        <v>463</v>
      </c>
      <c r="B464" s="2" t="s">
        <v>171</v>
      </c>
      <c r="C464" s="2" t="s">
        <v>170</v>
      </c>
      <c r="D464" s="2" t="s">
        <v>23</v>
      </c>
      <c r="E464" s="7" t="s">
        <v>478</v>
      </c>
      <c r="F464" s="4">
        <v>48.850399017333899</v>
      </c>
      <c r="G464" s="18">
        <v>-125.198768615722</v>
      </c>
      <c r="H464" s="5" t="s">
        <v>6</v>
      </c>
      <c r="I464" s="2">
        <v>1.5</v>
      </c>
      <c r="J464" s="2">
        <v>0</v>
      </c>
      <c r="K464" s="6">
        <v>0.5625</v>
      </c>
      <c r="L464" s="2" t="s">
        <v>172</v>
      </c>
      <c r="M464" s="2">
        <v>7</v>
      </c>
      <c r="N464" s="2">
        <v>2</v>
      </c>
      <c r="O464" s="2">
        <v>2</v>
      </c>
      <c r="P464" s="2" t="s">
        <v>250</v>
      </c>
      <c r="Q464" s="7" t="s">
        <v>46</v>
      </c>
      <c r="R464" s="4" t="s">
        <v>295</v>
      </c>
      <c r="S464" s="20">
        <v>6</v>
      </c>
      <c r="T464" s="2">
        <v>0</v>
      </c>
      <c r="U464" s="2">
        <v>2</v>
      </c>
      <c r="V464" s="2">
        <v>3</v>
      </c>
      <c r="W464" s="2">
        <v>1</v>
      </c>
    </row>
    <row r="465" spans="1:31">
      <c r="A465" s="7">
        <f>MAX($A$1:$A464)+1</f>
        <v>464</v>
      </c>
      <c r="B465" s="2" t="s">
        <v>171</v>
      </c>
      <c r="C465" s="2" t="s">
        <v>170</v>
      </c>
      <c r="D465" s="2" t="s">
        <v>23</v>
      </c>
      <c r="E465" s="7" t="s">
        <v>478</v>
      </c>
      <c r="F465" s="4">
        <v>48.850399017333899</v>
      </c>
      <c r="G465" s="18">
        <v>-125.198768615722</v>
      </c>
      <c r="H465" s="5" t="s">
        <v>6</v>
      </c>
      <c r="I465" s="2">
        <v>1.5</v>
      </c>
      <c r="J465" s="2">
        <v>0</v>
      </c>
      <c r="K465" s="6">
        <v>0.5625</v>
      </c>
      <c r="L465" s="2" t="s">
        <v>172</v>
      </c>
      <c r="M465" s="2">
        <v>7</v>
      </c>
      <c r="N465" s="2">
        <v>2</v>
      </c>
      <c r="O465" s="2">
        <v>2</v>
      </c>
      <c r="P465" s="2" t="s">
        <v>238</v>
      </c>
      <c r="Q465" s="7" t="s">
        <v>69</v>
      </c>
      <c r="R465" s="4" t="s">
        <v>313</v>
      </c>
      <c r="S465" s="20">
        <v>22</v>
      </c>
      <c r="T465" s="2">
        <v>22</v>
      </c>
    </row>
    <row r="466" spans="1:31">
      <c r="A466" s="7">
        <f>MAX($A$1:$A465)+1</f>
        <v>465</v>
      </c>
      <c r="B466" s="2" t="s">
        <v>171</v>
      </c>
      <c r="C466" s="2" t="s">
        <v>170</v>
      </c>
      <c r="D466" s="2" t="s">
        <v>23</v>
      </c>
      <c r="E466" s="7" t="s">
        <v>478</v>
      </c>
      <c r="F466" s="4">
        <v>48.850399017333899</v>
      </c>
      <c r="G466" s="18">
        <v>-125.198768615722</v>
      </c>
      <c r="H466" s="5" t="s">
        <v>6</v>
      </c>
      <c r="I466" s="2">
        <v>1.5</v>
      </c>
      <c r="J466" s="2">
        <v>0</v>
      </c>
      <c r="K466" s="6">
        <v>0.5625</v>
      </c>
      <c r="L466" s="2" t="s">
        <v>172</v>
      </c>
      <c r="M466" s="2">
        <v>7</v>
      </c>
      <c r="N466" s="2">
        <v>2</v>
      </c>
      <c r="O466" s="2">
        <v>2</v>
      </c>
      <c r="P466" s="2" t="s">
        <v>314</v>
      </c>
      <c r="Q466" s="7" t="s">
        <v>71</v>
      </c>
      <c r="R466" s="4" t="s">
        <v>315</v>
      </c>
      <c r="S466" s="20">
        <v>1</v>
      </c>
      <c r="T466" s="2">
        <v>1</v>
      </c>
    </row>
    <row r="467" spans="1:31">
      <c r="A467" s="7">
        <f>MAX($A$1:$A466)+1</f>
        <v>466</v>
      </c>
      <c r="B467" s="2" t="s">
        <v>171</v>
      </c>
      <c r="C467" s="2" t="s">
        <v>170</v>
      </c>
      <c r="D467" s="2" t="s">
        <v>23</v>
      </c>
      <c r="E467" s="7" t="s">
        <v>478</v>
      </c>
      <c r="F467" s="4">
        <v>48.850399017333899</v>
      </c>
      <c r="G467" s="18">
        <v>-125.198768615722</v>
      </c>
      <c r="H467" s="5" t="s">
        <v>6</v>
      </c>
      <c r="I467" s="2">
        <v>1.5</v>
      </c>
      <c r="J467" s="2">
        <v>0</v>
      </c>
      <c r="K467" s="6">
        <v>0.5625</v>
      </c>
      <c r="L467" s="2" t="s">
        <v>172</v>
      </c>
      <c r="M467" s="2">
        <v>7</v>
      </c>
      <c r="N467" s="2">
        <v>2</v>
      </c>
      <c r="O467" s="2">
        <v>2</v>
      </c>
      <c r="P467" s="2" t="s">
        <v>419</v>
      </c>
      <c r="Q467" s="7" t="s">
        <v>139</v>
      </c>
      <c r="R467" s="4" t="s">
        <v>420</v>
      </c>
      <c r="S467" s="20">
        <v>1</v>
      </c>
      <c r="T467" s="2">
        <v>1</v>
      </c>
    </row>
    <row r="468" spans="1:31">
      <c r="A468" s="7">
        <f>MAX($A$1:$A467)+1</f>
        <v>467</v>
      </c>
      <c r="B468" s="2" t="s">
        <v>171</v>
      </c>
      <c r="C468" s="2" t="s">
        <v>170</v>
      </c>
      <c r="D468" s="2" t="s">
        <v>23</v>
      </c>
      <c r="E468" s="7" t="s">
        <v>478</v>
      </c>
      <c r="F468" s="4">
        <v>48.850399017333899</v>
      </c>
      <c r="G468" s="18">
        <v>-125.198768615722</v>
      </c>
      <c r="H468" s="5" t="s">
        <v>6</v>
      </c>
      <c r="I468" s="2">
        <v>1.5</v>
      </c>
      <c r="J468" s="2">
        <v>0</v>
      </c>
      <c r="K468" s="6">
        <v>0.5625</v>
      </c>
      <c r="L468" s="2" t="s">
        <v>172</v>
      </c>
      <c r="M468" s="2">
        <v>7</v>
      </c>
      <c r="N468" s="2">
        <v>2</v>
      </c>
      <c r="O468" s="2">
        <v>2</v>
      </c>
      <c r="P468" s="2" t="s">
        <v>305</v>
      </c>
      <c r="Q468" s="7" t="s">
        <v>89</v>
      </c>
      <c r="R468" s="4" t="s">
        <v>306</v>
      </c>
      <c r="S468" s="20">
        <v>2</v>
      </c>
      <c r="T468" s="2">
        <v>0</v>
      </c>
      <c r="W468" s="2">
        <v>1</v>
      </c>
      <c r="Z468" s="2">
        <v>1</v>
      </c>
    </row>
    <row r="469" spans="1:31">
      <c r="A469" s="7">
        <f>MAX($A$1:$A468)+1</f>
        <v>468</v>
      </c>
      <c r="B469" s="2" t="s">
        <v>171</v>
      </c>
      <c r="C469" s="2" t="s">
        <v>170</v>
      </c>
      <c r="D469" s="2" t="s">
        <v>23</v>
      </c>
      <c r="E469" s="7" t="s">
        <v>478</v>
      </c>
      <c r="F469" s="4">
        <v>48.850399017333899</v>
      </c>
      <c r="G469" s="18">
        <v>-125.198768615722</v>
      </c>
      <c r="H469" s="5" t="s">
        <v>6</v>
      </c>
      <c r="I469" s="2">
        <v>1.5</v>
      </c>
      <c r="J469" s="2">
        <v>0</v>
      </c>
      <c r="K469" s="6">
        <v>0.5625</v>
      </c>
      <c r="L469" s="2" t="s">
        <v>172</v>
      </c>
      <c r="M469" s="2">
        <v>7</v>
      </c>
      <c r="N469" s="2">
        <v>2</v>
      </c>
      <c r="O469" s="2">
        <v>2</v>
      </c>
      <c r="P469" s="2" t="s">
        <v>333</v>
      </c>
      <c r="Q469" s="7" t="s">
        <v>102</v>
      </c>
      <c r="R469" s="4" t="s">
        <v>334</v>
      </c>
      <c r="S469" s="20">
        <v>2</v>
      </c>
      <c r="T469" s="2">
        <v>2</v>
      </c>
    </row>
    <row r="470" spans="1:31">
      <c r="A470" s="7">
        <f>MAX($A$1:$A469)+1</f>
        <v>469</v>
      </c>
      <c r="B470" s="2" t="s">
        <v>171</v>
      </c>
      <c r="C470" s="2" t="s">
        <v>170</v>
      </c>
      <c r="D470" s="2" t="s">
        <v>23</v>
      </c>
      <c r="E470" s="7" t="s">
        <v>478</v>
      </c>
      <c r="F470" s="4">
        <v>48.850399017333899</v>
      </c>
      <c r="G470" s="18">
        <v>-125.198768615722</v>
      </c>
      <c r="H470" s="5" t="s">
        <v>6</v>
      </c>
      <c r="I470" s="2">
        <v>1.5</v>
      </c>
      <c r="J470" s="2">
        <v>0</v>
      </c>
      <c r="K470" s="6">
        <v>0.5625</v>
      </c>
      <c r="L470" s="2" t="s">
        <v>172</v>
      </c>
      <c r="M470" s="2">
        <v>7</v>
      </c>
      <c r="N470" s="2">
        <v>2</v>
      </c>
      <c r="O470" s="2">
        <v>2</v>
      </c>
      <c r="P470" s="2" t="s">
        <v>298</v>
      </c>
      <c r="Q470" s="7" t="s">
        <v>99</v>
      </c>
      <c r="R470" s="4" t="s">
        <v>299</v>
      </c>
      <c r="S470" s="20">
        <v>2</v>
      </c>
      <c r="T470" s="2">
        <v>2</v>
      </c>
    </row>
    <row r="471" spans="1:31">
      <c r="A471" s="7">
        <f>MAX($A$1:$A470)+1</f>
        <v>470</v>
      </c>
      <c r="B471" s="2" t="s">
        <v>171</v>
      </c>
      <c r="C471" s="2" t="s">
        <v>170</v>
      </c>
      <c r="D471" s="2" t="s">
        <v>23</v>
      </c>
      <c r="E471" s="7" t="s">
        <v>478</v>
      </c>
      <c r="F471" s="4">
        <v>48.850399017333899</v>
      </c>
      <c r="G471" s="18">
        <v>-125.198768615722</v>
      </c>
      <c r="H471" s="5" t="s">
        <v>6</v>
      </c>
      <c r="I471" s="2">
        <v>1.5</v>
      </c>
      <c r="J471" s="2">
        <v>0</v>
      </c>
      <c r="K471" s="6">
        <v>0.5625</v>
      </c>
      <c r="L471" s="2" t="s">
        <v>172</v>
      </c>
      <c r="M471" s="2">
        <v>7</v>
      </c>
      <c r="N471" s="2">
        <v>2</v>
      </c>
      <c r="O471" s="2">
        <v>2</v>
      </c>
      <c r="P471" s="2" t="s">
        <v>251</v>
      </c>
      <c r="Q471" s="7" t="s">
        <v>73</v>
      </c>
      <c r="R471" s="4" t="s">
        <v>325</v>
      </c>
      <c r="S471" s="20">
        <v>1</v>
      </c>
      <c r="T471" s="2">
        <v>1</v>
      </c>
    </row>
    <row r="472" spans="1:31">
      <c r="A472" s="7">
        <f>MAX($A$1:$A471)+1</f>
        <v>471</v>
      </c>
      <c r="B472" s="2" t="s">
        <v>171</v>
      </c>
      <c r="C472" s="2" t="s">
        <v>170</v>
      </c>
      <c r="D472" s="2" t="s">
        <v>23</v>
      </c>
      <c r="E472" s="7" t="s">
        <v>478</v>
      </c>
      <c r="F472" s="4">
        <v>48.850399017333899</v>
      </c>
      <c r="G472" s="18">
        <v>-125.198768615722</v>
      </c>
      <c r="H472" s="5" t="s">
        <v>6</v>
      </c>
      <c r="I472" s="2">
        <v>1.5</v>
      </c>
      <c r="J472" s="2">
        <v>0</v>
      </c>
      <c r="K472" s="6">
        <v>0.5625</v>
      </c>
      <c r="L472" s="2" t="s">
        <v>172</v>
      </c>
      <c r="M472" s="2">
        <v>7</v>
      </c>
      <c r="N472" s="2">
        <v>2</v>
      </c>
      <c r="O472" s="2">
        <v>2</v>
      </c>
      <c r="P472" s="2" t="s">
        <v>310</v>
      </c>
      <c r="Q472" s="7" t="s">
        <v>98</v>
      </c>
      <c r="R472" s="4" t="s">
        <v>311</v>
      </c>
      <c r="S472" s="20">
        <v>1</v>
      </c>
      <c r="T472" s="2">
        <v>1</v>
      </c>
    </row>
    <row r="473" spans="1:31">
      <c r="A473" s="7">
        <f>MAX($A$1:$A472)+1</f>
        <v>472</v>
      </c>
      <c r="B473" s="2" t="s">
        <v>171</v>
      </c>
      <c r="C473" s="2" t="s">
        <v>170</v>
      </c>
      <c r="D473" s="2" t="s">
        <v>23</v>
      </c>
      <c r="E473" s="7" t="s">
        <v>478</v>
      </c>
      <c r="F473" s="4">
        <v>48.850399017333899</v>
      </c>
      <c r="G473" s="18">
        <v>-125.198768615722</v>
      </c>
      <c r="H473" s="5" t="s">
        <v>6</v>
      </c>
      <c r="I473" s="2">
        <v>1.5</v>
      </c>
      <c r="J473" s="2">
        <v>0</v>
      </c>
      <c r="K473" s="6">
        <v>0.5625</v>
      </c>
      <c r="L473" s="2" t="s">
        <v>172</v>
      </c>
      <c r="M473" s="2">
        <v>7</v>
      </c>
      <c r="N473" s="2">
        <v>2</v>
      </c>
      <c r="O473" s="2">
        <v>2</v>
      </c>
      <c r="P473" s="2" t="s">
        <v>388</v>
      </c>
      <c r="Q473" s="7" t="s">
        <v>82</v>
      </c>
      <c r="R473" s="4" t="s">
        <v>389</v>
      </c>
      <c r="S473" s="20">
        <v>1</v>
      </c>
      <c r="T473" s="2">
        <v>1</v>
      </c>
    </row>
    <row r="474" spans="1:31">
      <c r="A474" s="7">
        <f>MAX($A$1:$A473)+1</f>
        <v>473</v>
      </c>
      <c r="B474" s="2" t="s">
        <v>171</v>
      </c>
      <c r="C474" s="2" t="s">
        <v>170</v>
      </c>
      <c r="D474" s="2" t="s">
        <v>23</v>
      </c>
      <c r="E474" s="7" t="s">
        <v>478</v>
      </c>
      <c r="F474" s="4">
        <v>48.850399017333899</v>
      </c>
      <c r="G474" s="18">
        <v>-125.198768615722</v>
      </c>
      <c r="H474" s="5" t="s">
        <v>6</v>
      </c>
      <c r="I474" s="2">
        <v>1.5</v>
      </c>
      <c r="J474" s="2">
        <v>0</v>
      </c>
      <c r="K474" s="6">
        <v>0.5625</v>
      </c>
      <c r="L474" s="2" t="s">
        <v>172</v>
      </c>
      <c r="M474" s="2">
        <v>7</v>
      </c>
      <c r="N474" s="2">
        <v>2</v>
      </c>
      <c r="O474" s="2">
        <v>2</v>
      </c>
      <c r="P474" s="2" t="s">
        <v>248</v>
      </c>
      <c r="Q474" s="7" t="s">
        <v>78</v>
      </c>
      <c r="R474" s="4" t="s">
        <v>349</v>
      </c>
      <c r="S474" s="20">
        <v>1</v>
      </c>
      <c r="T474" s="2">
        <v>1</v>
      </c>
    </row>
    <row r="475" spans="1:31">
      <c r="A475" s="7">
        <f>MAX($A$1:$A474)+1</f>
        <v>474</v>
      </c>
      <c r="B475" s="2" t="s">
        <v>171</v>
      </c>
      <c r="C475" s="2" t="s">
        <v>170</v>
      </c>
      <c r="D475" s="2" t="s">
        <v>23</v>
      </c>
      <c r="E475" s="7" t="s">
        <v>478</v>
      </c>
      <c r="F475" s="4">
        <v>48.850399017333899</v>
      </c>
      <c r="G475" s="18">
        <v>-125.198768615722</v>
      </c>
      <c r="H475" s="5" t="s">
        <v>6</v>
      </c>
      <c r="I475" s="2">
        <v>1.5</v>
      </c>
      <c r="J475" s="2">
        <v>0</v>
      </c>
      <c r="K475" s="6">
        <v>0.5625</v>
      </c>
      <c r="L475" s="2" t="s">
        <v>172</v>
      </c>
      <c r="M475" s="2">
        <v>7</v>
      </c>
      <c r="N475" s="2">
        <v>2</v>
      </c>
      <c r="O475" s="2">
        <v>2</v>
      </c>
      <c r="P475" s="2" t="s">
        <v>239</v>
      </c>
      <c r="Q475" s="7" t="s">
        <v>80</v>
      </c>
      <c r="R475" s="4" t="s">
        <v>300</v>
      </c>
      <c r="S475" s="20">
        <v>1</v>
      </c>
      <c r="T475" s="2">
        <v>1</v>
      </c>
    </row>
    <row r="476" spans="1:31">
      <c r="A476" s="7">
        <f>MAX($A$1:$A475)+1</f>
        <v>475</v>
      </c>
      <c r="B476" s="2" t="s">
        <v>171</v>
      </c>
      <c r="C476" s="2" t="s">
        <v>170</v>
      </c>
      <c r="D476" s="2" t="s">
        <v>23</v>
      </c>
      <c r="E476" s="7" t="s">
        <v>478</v>
      </c>
      <c r="F476" s="4">
        <v>48.850399017333899</v>
      </c>
      <c r="G476" s="18">
        <v>-125.198768615722</v>
      </c>
      <c r="H476" s="5" t="s">
        <v>6</v>
      </c>
      <c r="I476" s="2">
        <v>1.5</v>
      </c>
      <c r="J476" s="2">
        <v>0</v>
      </c>
      <c r="K476" s="6">
        <v>0.5625</v>
      </c>
      <c r="L476" s="2" t="s">
        <v>172</v>
      </c>
      <c r="M476" s="2">
        <v>7</v>
      </c>
      <c r="N476" s="2">
        <v>2</v>
      </c>
      <c r="O476" s="2">
        <v>2</v>
      </c>
      <c r="P476" s="2" t="s">
        <v>342</v>
      </c>
      <c r="Q476" s="7" t="s">
        <v>126</v>
      </c>
      <c r="R476" s="4" t="s">
        <v>329</v>
      </c>
      <c r="S476" s="20">
        <v>0</v>
      </c>
      <c r="T476" s="2">
        <v>0</v>
      </c>
    </row>
    <row r="477" spans="1:31">
      <c r="A477" s="7">
        <f>MAX($A$1:$A476)+1</f>
        <v>476</v>
      </c>
      <c r="B477" s="2" t="s">
        <v>171</v>
      </c>
      <c r="C477" s="2" t="s">
        <v>170</v>
      </c>
      <c r="D477" s="2" t="s">
        <v>23</v>
      </c>
      <c r="E477" s="7" t="s">
        <v>478</v>
      </c>
      <c r="F477" s="4">
        <v>48.850399017333899</v>
      </c>
      <c r="G477" s="18">
        <v>-125.198768615722</v>
      </c>
      <c r="H477" s="5" t="s">
        <v>6</v>
      </c>
      <c r="I477" s="2">
        <v>1.5</v>
      </c>
      <c r="J477" s="2">
        <v>0</v>
      </c>
      <c r="K477" s="6">
        <v>0.5625</v>
      </c>
      <c r="L477" s="2" t="s">
        <v>172</v>
      </c>
      <c r="M477" s="2">
        <v>7</v>
      </c>
      <c r="N477" s="2">
        <v>0</v>
      </c>
      <c r="O477" s="2">
        <v>2</v>
      </c>
      <c r="P477" s="2" t="s">
        <v>305</v>
      </c>
      <c r="Q477" s="7" t="s">
        <v>89</v>
      </c>
      <c r="R477" s="7" t="s">
        <v>306</v>
      </c>
      <c r="S477" s="20">
        <v>2</v>
      </c>
      <c r="T477" s="2">
        <v>0</v>
      </c>
      <c r="Y477" s="2">
        <v>1</v>
      </c>
      <c r="AA477" s="2">
        <v>1</v>
      </c>
    </row>
    <row r="478" spans="1:31">
      <c r="A478" s="7">
        <f>MAX($A$1:$A477)+1</f>
        <v>477</v>
      </c>
      <c r="B478" s="2" t="s">
        <v>171</v>
      </c>
      <c r="C478" s="2" t="s">
        <v>170</v>
      </c>
      <c r="D478" s="2" t="s">
        <v>23</v>
      </c>
      <c r="E478" s="7" t="s">
        <v>478</v>
      </c>
      <c r="F478" s="4">
        <v>48.850399017333899</v>
      </c>
      <c r="G478" s="18">
        <v>-125.198768615722</v>
      </c>
      <c r="H478" s="5" t="s">
        <v>6</v>
      </c>
      <c r="I478" s="2">
        <v>1.5</v>
      </c>
      <c r="J478" s="2">
        <v>0</v>
      </c>
      <c r="K478" s="6">
        <v>0.5625</v>
      </c>
      <c r="L478" s="2" t="s">
        <v>172</v>
      </c>
      <c r="M478" s="2">
        <v>7</v>
      </c>
      <c r="N478" s="2">
        <v>0</v>
      </c>
      <c r="O478" s="2">
        <v>2</v>
      </c>
      <c r="P478" s="2" t="s">
        <v>316</v>
      </c>
      <c r="Q478" s="7" t="s">
        <v>123</v>
      </c>
      <c r="R478" s="4" t="s">
        <v>317</v>
      </c>
      <c r="S478" s="20">
        <v>1</v>
      </c>
      <c r="T478" s="2">
        <v>1</v>
      </c>
    </row>
    <row r="479" spans="1:31">
      <c r="A479" s="7">
        <f>MAX($A$1:$A478)+1</f>
        <v>478</v>
      </c>
      <c r="B479" s="2" t="str">
        <f t="shared" ref="B479:B505" si="40">IF(ISERROR(B478),IF(ISERROR(B477),IF(ISERROR(B476),"BLANK",B476),B477),B478)</f>
        <v>Em Lim</v>
      </c>
      <c r="C479" s="2" t="str">
        <f t="shared" ref="C479:C505" si="41">IF(ISERROR(C478),IF(ISERROR(C477),IF(ISERROR(C476),"BLANK",C476),C477),C478)</f>
        <v>Jasmin Schuster</v>
      </c>
      <c r="D479" s="27" t="s">
        <v>25</v>
      </c>
      <c r="E479" s="7" t="str">
        <f>IF(ISERROR(VLOOKUP($D479,SITES!$A:$E,2,FALSE)),"",VLOOKUP($D479,SITES!$A:$E,2,FALSE))</f>
        <v>Ed King East</v>
      </c>
      <c r="F479" s="4">
        <f>IF(ISERROR(VLOOKUP($D479,SITES!$A:$E,3,FALSE)),"",VLOOKUP($D479,SITES!$A:$E,3,FALSE))</f>
        <v>48.835666656494098</v>
      </c>
      <c r="G479" s="18">
        <f>IF(ISERROR(VLOOKUP($D479,SITES!$A:$E,4,FALSE)),"",VLOOKUP($D479,SITES!$A:$E,4,FALSE))</f>
        <v>-125.214797973632</v>
      </c>
      <c r="H479" s="5" t="str">
        <f t="shared" ref="H479:H505" si="42">IF(ISERROR(H478),IF(ISERROR(H477),IF(ISERROR(H476),"BLANK",H476),H477),H478)</f>
        <v>09/05/2023</v>
      </c>
      <c r="I479" s="2">
        <v>2.5</v>
      </c>
      <c r="J479" s="2">
        <v>300</v>
      </c>
      <c r="K479" s="6">
        <v>0.52430555555555558</v>
      </c>
      <c r="L479" s="2" t="str">
        <f t="shared" ref="L479:L505" si="43">IF(ISERROR(L478),IF(ISERROR(L477),IF(ISERROR(L476),"BLANK",L476),L477),L478)</f>
        <v>EGL</v>
      </c>
      <c r="M479" s="2">
        <f t="shared" ref="M479:M505" si="44">IF(ISERROR(M478),IF(ISERROR(M477),IF(ISERROR(M476),"BLANK",M476),M477),M478)</f>
        <v>7</v>
      </c>
      <c r="N479" s="2">
        <v>1</v>
      </c>
      <c r="O479" s="2">
        <v>1</v>
      </c>
      <c r="P479" s="27" t="s">
        <v>174</v>
      </c>
      <c r="Q479" s="7" t="str">
        <f>IF($N479=1,IF(ISERROR(VLOOKUP($P479,'M1'!$A:$C,Q$2,FALSE)),"NOT PRESENT",VLOOKUP($P479,'M1'!$A:$C,Q$2,FALSE)),IF($N479=2,IF(ISERROR(VLOOKUP(DATA!$P141,'M2'!$A:$C,Q$2,FALSE)),"NOT PRESENT",VLOOKUP(DATA!$P141,'M2'!$A:$C,Q$2,FALSE)),IF($N479=0,IF(ISERROR(VLOOKUP($P479,'M1'!$A:$C,Q$2,FALSE)),IF(ISERROR(VLOOKUP(DATA!$P141,'M2'!$A:$C,Q$2,FALSE)),"NOT PRESENT",VLOOKUP(DATA!$P141,'M2'!$A:$C,Q$2,FALSE)),VLOOKUP($P479,'M1'!$A:$C,Q$2,FALSE)),"SPECIFY METHOD")))</f>
        <v>NOT PRESENT</v>
      </c>
      <c r="R479" s="4" t="str">
        <f>IF($N479=1,IF(ISERROR(VLOOKUP($P479,'M1'!$A:$C,R$2,FALSE)),"NOT PRESENT",VLOOKUP($P479,'M1'!$A:$C,R$2,FALSE)),IF($N479=2,IF(ISERROR(VLOOKUP(DATA!$P141,'M2'!$A:$C,R$2,FALSE)),"NOT PRESENT",VLOOKUP(DATA!$P141,'M2'!$A:$C,R$2,FALSE)),IF($N479=0,IF(ISERROR(VLOOKUP($P479,'M1'!$A:$C,R$2,FALSE)),IF(ISERROR(VLOOKUP(DATA!$P141,'M2'!$A:$C,R$2,FALSE)),"NOT PRESENT",VLOOKUP(DATA!$P141,'M2'!$A:$C,R$2,FALSE)),VLOOKUP($P479,'M1'!$A:$C,R$2,FALSE)),"SPECIFY METHOD")))</f>
        <v>NOT PRESENT</v>
      </c>
      <c r="S479" s="20">
        <f t="shared" ref="S479:S505" si="45">SUM(T479:AV479)</f>
        <v>6</v>
      </c>
      <c r="T479" s="2">
        <v>0</v>
      </c>
      <c r="AC479" s="2">
        <v>3</v>
      </c>
      <c r="AD479" s="2">
        <v>2</v>
      </c>
      <c r="AE479" s="2">
        <v>1</v>
      </c>
    </row>
    <row r="480" spans="1:31">
      <c r="A480" s="7">
        <f>MAX($A$1:$A479)+1</f>
        <v>479</v>
      </c>
      <c r="B480" s="2" t="str">
        <f t="shared" si="40"/>
        <v>Em Lim</v>
      </c>
      <c r="C480" s="2" t="str">
        <f t="shared" si="41"/>
        <v>Jasmin Schuster</v>
      </c>
      <c r="D480" s="2" t="str">
        <f t="shared" ref="D480:D505" si="46">IF(ISERROR(D479),IF(ISERROR(D478),IF(ISERROR(D477),"BLANK",D477),D478),D479)</f>
        <v>BMSC20</v>
      </c>
      <c r="E480" s="7" t="str">
        <f>IF(ISERROR(VLOOKUP($D480,SITES!$A:$E,2,FALSE)),"",VLOOKUP($D480,SITES!$A:$E,2,FALSE))</f>
        <v>Ed King East</v>
      </c>
      <c r="F480" s="4">
        <f>IF(ISERROR(VLOOKUP($D480,SITES!$A:$E,3,FALSE)),"",VLOOKUP($D480,SITES!$A:$E,3,FALSE))</f>
        <v>48.835666656494098</v>
      </c>
      <c r="G480" s="18">
        <f>IF(ISERROR(VLOOKUP($D480,SITES!$A:$E,4,FALSE)),"",VLOOKUP($D480,SITES!$A:$E,4,FALSE))</f>
        <v>-125.214797973632</v>
      </c>
      <c r="H480" s="5" t="str">
        <f t="shared" si="42"/>
        <v>09/05/2023</v>
      </c>
      <c r="I480" s="2">
        <f t="shared" ref="I480:I505" si="47">IF(ISERROR(I479),IF(ISERROR(I478),IF(ISERROR(I477),"BLANK",I477),I478),I479)</f>
        <v>2.5</v>
      </c>
      <c r="J480" s="2">
        <f t="shared" ref="J480:J505" si="48">IF(ISERROR(J479),IF(ISERROR(J478),IF(ISERROR(J477),"BLANK",J477),J478),J479)</f>
        <v>300</v>
      </c>
      <c r="K480" s="6">
        <f t="shared" ref="K480:K505" si="49">IF(ISERROR(K479),IF(ISERROR(K478),IF(ISERROR(K477),"BLANK",K477),K478),K479)</f>
        <v>0.52430555555555558</v>
      </c>
      <c r="L480" s="2" t="str">
        <f t="shared" si="43"/>
        <v>EGL</v>
      </c>
      <c r="M480" s="2">
        <f t="shared" si="44"/>
        <v>7</v>
      </c>
      <c r="N480" s="2">
        <f>IF(ISERROR(N479),IF(ISERROR(N478),IF(ISERROR(N477),"BLANK",N477),N478),N479)</f>
        <v>1</v>
      </c>
      <c r="O480" s="2">
        <f>IF(ISERROR(O479),IF(ISERROR(O478),IF(ISERROR(O477),"BLANK",O477),O478),O479)</f>
        <v>1</v>
      </c>
      <c r="P480" s="27" t="s">
        <v>226</v>
      </c>
      <c r="Q480" s="7" t="str">
        <f>IF($N480=1,IF(ISERROR(VLOOKUP($P480,'M1'!$A:$C,Q$2,FALSE)),"NOT PRESENT",VLOOKUP($P480,'M1'!$A:$C,Q$2,FALSE)),IF($N480=2,IF(ISERROR(VLOOKUP(DATA!$P142,'M2'!$A:$C,Q$2,FALSE)),"NOT PRESENT",VLOOKUP(DATA!$P142,'M2'!$A:$C,Q$2,FALSE)),IF($N480=0,IF(ISERROR(VLOOKUP($P480,'M1'!$A:$C,Q$2,FALSE)),IF(ISERROR(VLOOKUP(DATA!$P142,'M2'!$A:$C,Q$2,FALSE)),"NOT PRESENT",VLOOKUP(DATA!$P142,'M2'!$A:$C,Q$2,FALSE)),VLOOKUP($P480,'M1'!$A:$C,Q$2,FALSE)),"SPECIFY METHOD")))</f>
        <v>NOT PRESENT</v>
      </c>
      <c r="R480" s="4" t="str">
        <f>IF($N480=1,IF(ISERROR(VLOOKUP($P480,'M1'!$A:$C,R$2,FALSE)),"NOT PRESENT",VLOOKUP($P480,'M1'!$A:$C,R$2,FALSE)),IF($N480=2,IF(ISERROR(VLOOKUP(DATA!$P142,'M2'!$A:$C,R$2,FALSE)),"NOT PRESENT",VLOOKUP(DATA!$P142,'M2'!$A:$C,R$2,FALSE)),IF($N480=0,IF(ISERROR(VLOOKUP($P480,'M1'!$A:$C,R$2,FALSE)),IF(ISERROR(VLOOKUP(DATA!$P142,'M2'!$A:$C,R$2,FALSE)),"NOT PRESENT",VLOOKUP(DATA!$P142,'M2'!$A:$C,R$2,FALSE)),VLOOKUP($P480,'M1'!$A:$C,R$2,FALSE)),"SPECIFY METHOD")))</f>
        <v>NOT PRESENT</v>
      </c>
      <c r="S480" s="20">
        <f t="shared" si="45"/>
        <v>1</v>
      </c>
      <c r="T480" s="2">
        <v>0</v>
      </c>
      <c r="Z480" s="2">
        <v>1</v>
      </c>
    </row>
    <row r="481" spans="1:29">
      <c r="A481" s="7">
        <f>MAX($A$1:$A480)+1</f>
        <v>480</v>
      </c>
      <c r="B481" s="2" t="str">
        <f t="shared" si="40"/>
        <v>Em Lim</v>
      </c>
      <c r="C481" s="2" t="str">
        <f t="shared" si="41"/>
        <v>Jasmin Schuster</v>
      </c>
      <c r="D481" s="2" t="str">
        <f t="shared" si="46"/>
        <v>BMSC20</v>
      </c>
      <c r="E481" s="7" t="str">
        <f>IF(ISERROR(VLOOKUP($D481,SITES!$A:$E,2,FALSE)),"",VLOOKUP($D481,SITES!$A:$E,2,FALSE))</f>
        <v>Ed King East</v>
      </c>
      <c r="F481" s="4">
        <f>IF(ISERROR(VLOOKUP($D481,SITES!$A:$E,3,FALSE)),"",VLOOKUP($D481,SITES!$A:$E,3,FALSE))</f>
        <v>48.835666656494098</v>
      </c>
      <c r="G481" s="18">
        <f>IF(ISERROR(VLOOKUP($D481,SITES!$A:$E,4,FALSE)),"",VLOOKUP($D481,SITES!$A:$E,4,FALSE))</f>
        <v>-125.214797973632</v>
      </c>
      <c r="H481" s="5" t="str">
        <f t="shared" si="42"/>
        <v>09/05/2023</v>
      </c>
      <c r="I481" s="2">
        <f t="shared" si="47"/>
        <v>2.5</v>
      </c>
      <c r="J481" s="2">
        <f t="shared" si="48"/>
        <v>300</v>
      </c>
      <c r="K481" s="6">
        <f t="shared" si="49"/>
        <v>0.52430555555555558</v>
      </c>
      <c r="L481" s="2" t="str">
        <f t="shared" si="43"/>
        <v>EGL</v>
      </c>
      <c r="M481" s="2">
        <f t="shared" si="44"/>
        <v>7</v>
      </c>
      <c r="N481" s="2">
        <f>IF(ISERROR(N480),IF(ISERROR(N479),IF(ISERROR(N478),"BLANK",N478),N479),N480)</f>
        <v>1</v>
      </c>
      <c r="O481" s="2">
        <f>IF(ISERROR(O480),IF(ISERROR(O479),IF(ISERROR(O478),"BLANK",O478),O479),O480)</f>
        <v>1</v>
      </c>
      <c r="P481" s="27" t="s">
        <v>200</v>
      </c>
      <c r="Q481" s="7" t="str">
        <f>IF($N481=1,IF(ISERROR(VLOOKUP($P481,'M1'!$A:$C,Q$2,FALSE)),"NOT PRESENT",VLOOKUP($P481,'M1'!$A:$C,Q$2,FALSE)),IF($N481=2,IF(ISERROR(VLOOKUP(DATA!$P143,'M2'!$A:$C,Q$2,FALSE)),"NOT PRESENT",VLOOKUP(DATA!$P143,'M2'!$A:$C,Q$2,FALSE)),IF($N481=0,IF(ISERROR(VLOOKUP($P481,'M1'!$A:$C,Q$2,FALSE)),IF(ISERROR(VLOOKUP(DATA!$P143,'M2'!$A:$C,Q$2,FALSE)),"NOT PRESENT",VLOOKUP(DATA!$P143,'M2'!$A:$C,Q$2,FALSE)),VLOOKUP($P481,'M1'!$A:$C,Q$2,FALSE)),"SPECIFY METHOD")))</f>
        <v>NOT PRESENT</v>
      </c>
      <c r="R481" s="4" t="str">
        <f>IF($N481=1,IF(ISERROR(VLOOKUP($P481,'M1'!$A:$C,R$2,FALSE)),"NOT PRESENT",VLOOKUP($P481,'M1'!$A:$C,R$2,FALSE)),IF($N481=2,IF(ISERROR(VLOOKUP(DATA!$P143,'M2'!$A:$C,R$2,FALSE)),"NOT PRESENT",VLOOKUP(DATA!$P143,'M2'!$A:$C,R$2,FALSE)),IF($N481=0,IF(ISERROR(VLOOKUP($P481,'M1'!$A:$C,R$2,FALSE)),IF(ISERROR(VLOOKUP(DATA!$P143,'M2'!$A:$C,R$2,FALSE)),"NOT PRESENT",VLOOKUP(DATA!$P143,'M2'!$A:$C,R$2,FALSE)),VLOOKUP($P481,'M1'!$A:$C,R$2,FALSE)),"SPECIFY METHOD")))</f>
        <v>NOT PRESENT</v>
      </c>
      <c r="S481" s="20">
        <f t="shared" si="45"/>
        <v>16</v>
      </c>
      <c r="T481" s="2">
        <v>0</v>
      </c>
      <c r="Z481" s="2">
        <v>3</v>
      </c>
      <c r="AA481" s="2">
        <v>6</v>
      </c>
      <c r="AB481" s="2">
        <v>4</v>
      </c>
      <c r="AC481" s="2">
        <v>3</v>
      </c>
    </row>
    <row r="482" spans="1:29">
      <c r="A482" s="7">
        <f>MAX($A$1:$A481)+1</f>
        <v>481</v>
      </c>
      <c r="B482" s="2" t="str">
        <f t="shared" si="40"/>
        <v>Em Lim</v>
      </c>
      <c r="C482" s="2" t="str">
        <f t="shared" si="41"/>
        <v>Jasmin Schuster</v>
      </c>
      <c r="D482" s="2" t="str">
        <f t="shared" si="46"/>
        <v>BMSC20</v>
      </c>
      <c r="E482" s="7" t="str">
        <f>IF(ISERROR(VLOOKUP($D482,SITES!$A:$E,2,FALSE)),"",VLOOKUP($D482,SITES!$A:$E,2,FALSE))</f>
        <v>Ed King East</v>
      </c>
      <c r="F482" s="4">
        <f>IF(ISERROR(VLOOKUP($D482,SITES!$A:$E,3,FALSE)),"",VLOOKUP($D482,SITES!$A:$E,3,FALSE))</f>
        <v>48.835666656494098</v>
      </c>
      <c r="G482" s="18">
        <f>IF(ISERROR(VLOOKUP($D482,SITES!$A:$E,4,FALSE)),"",VLOOKUP($D482,SITES!$A:$E,4,FALSE))</f>
        <v>-125.214797973632</v>
      </c>
      <c r="H482" s="5" t="str">
        <f t="shared" si="42"/>
        <v>09/05/2023</v>
      </c>
      <c r="I482" s="2">
        <f t="shared" si="47"/>
        <v>2.5</v>
      </c>
      <c r="J482" s="2">
        <f t="shared" si="48"/>
        <v>300</v>
      </c>
      <c r="K482" s="6">
        <f t="shared" si="49"/>
        <v>0.52430555555555558</v>
      </c>
      <c r="L482" s="2" t="str">
        <f t="shared" si="43"/>
        <v>EGL</v>
      </c>
      <c r="M482" s="2">
        <f t="shared" si="44"/>
        <v>7</v>
      </c>
      <c r="N482" s="2">
        <v>2</v>
      </c>
      <c r="O482" s="2">
        <f t="shared" ref="O482:O505" si="50">IF(ISERROR(O481),IF(ISERROR(O480),IF(ISERROR(O479),"BLANK",O479),O480),O481)</f>
        <v>1</v>
      </c>
      <c r="P482" s="27" t="s">
        <v>178</v>
      </c>
      <c r="Q482" s="7" t="str">
        <f>IF($N482=1,IF(ISERROR(VLOOKUP($P482,'M1'!$A:$C,Q$2,FALSE)),"NOT PRESENT",VLOOKUP($P482,'M1'!$A:$C,Q$2,FALSE)),IF($N482=2,IF(ISERROR(VLOOKUP(DATA!$P144,'M2'!$A:$C,Q$2,FALSE)),"NOT PRESENT",VLOOKUP(DATA!$P144,'M2'!$A:$C,Q$2,FALSE)),IF($N482=0,IF(ISERROR(VLOOKUP($P482,'M1'!$A:$C,Q$2,FALSE)),IF(ISERROR(VLOOKUP(DATA!$P144,'M2'!$A:$C,Q$2,FALSE)),"NOT PRESENT",VLOOKUP(DATA!$P144,'M2'!$A:$C,Q$2,FALSE)),VLOOKUP($P482,'M1'!$A:$C,Q$2,FALSE)),"SPECIFY METHOD")))</f>
        <v>NOT PRESENT</v>
      </c>
      <c r="R482" s="4" t="str">
        <f>IF($N482=1,IF(ISERROR(VLOOKUP($P482,'M1'!$A:$C,R$2,FALSE)),"NOT PRESENT",VLOOKUP($P482,'M1'!$A:$C,R$2,FALSE)),IF($N482=2,IF(ISERROR(VLOOKUP(DATA!$P144,'M2'!$A:$C,R$2,FALSE)),"NOT PRESENT",VLOOKUP(DATA!$P144,'M2'!$A:$C,R$2,FALSE)),IF($N482=0,IF(ISERROR(VLOOKUP($P482,'M1'!$A:$C,R$2,FALSE)),IF(ISERROR(VLOOKUP(DATA!$P144,'M2'!$A:$C,R$2,FALSE)),"NOT PRESENT",VLOOKUP(DATA!$P144,'M2'!$A:$C,R$2,FALSE)),VLOOKUP($P482,'M1'!$A:$C,R$2,FALSE)),"SPECIFY METHOD")))</f>
        <v>NOT PRESENT</v>
      </c>
      <c r="S482" s="20">
        <f t="shared" si="45"/>
        <v>422</v>
      </c>
      <c r="T482" s="2">
        <v>422</v>
      </c>
    </row>
    <row r="483" spans="1:29">
      <c r="A483" s="7">
        <f>MAX($A$1:$A482)+1</f>
        <v>482</v>
      </c>
      <c r="B483" s="2" t="str">
        <f t="shared" si="40"/>
        <v>Em Lim</v>
      </c>
      <c r="C483" s="2" t="str">
        <f t="shared" si="41"/>
        <v>Jasmin Schuster</v>
      </c>
      <c r="D483" s="2" t="str">
        <f t="shared" si="46"/>
        <v>BMSC20</v>
      </c>
      <c r="E483" s="7" t="str">
        <f>IF(ISERROR(VLOOKUP($D483,SITES!$A:$E,2,FALSE)),"",VLOOKUP($D483,SITES!$A:$E,2,FALSE))</f>
        <v>Ed King East</v>
      </c>
      <c r="F483" s="4">
        <f>IF(ISERROR(VLOOKUP($D483,SITES!$A:$E,3,FALSE)),"",VLOOKUP($D483,SITES!$A:$E,3,FALSE))</f>
        <v>48.835666656494098</v>
      </c>
      <c r="G483" s="18">
        <f>IF(ISERROR(VLOOKUP($D483,SITES!$A:$E,4,FALSE)),"",VLOOKUP($D483,SITES!$A:$E,4,FALSE))</f>
        <v>-125.214797973632</v>
      </c>
      <c r="H483" s="5" t="str">
        <f t="shared" si="42"/>
        <v>09/05/2023</v>
      </c>
      <c r="I483" s="2">
        <f t="shared" si="47"/>
        <v>2.5</v>
      </c>
      <c r="J483" s="2">
        <f t="shared" si="48"/>
        <v>300</v>
      </c>
      <c r="K483" s="6">
        <f t="shared" si="49"/>
        <v>0.52430555555555558</v>
      </c>
      <c r="L483" s="2" t="str">
        <f t="shared" si="43"/>
        <v>EGL</v>
      </c>
      <c r="M483" s="2">
        <f t="shared" si="44"/>
        <v>7</v>
      </c>
      <c r="N483" s="2">
        <f t="shared" ref="N483:N505" si="51">IF(ISERROR(N482),IF(ISERROR(N481),IF(ISERROR(N480),"BLANK",N480),N481),N482)</f>
        <v>2</v>
      </c>
      <c r="O483" s="2">
        <f t="shared" si="50"/>
        <v>1</v>
      </c>
      <c r="P483" s="27" t="s">
        <v>203</v>
      </c>
      <c r="Q483" s="7" t="str">
        <f>IF($N483=1,IF(ISERROR(VLOOKUP($P483,'M1'!$A:$C,Q$2,FALSE)),"NOT PRESENT",VLOOKUP($P483,'M1'!$A:$C,Q$2,FALSE)),IF($N483=2,IF(ISERROR(VLOOKUP(DATA!$P145,'M2'!$A:$C,Q$2,FALSE)),"NOT PRESENT",VLOOKUP(DATA!$P145,'M2'!$A:$C,Q$2,FALSE)),IF($N483=0,IF(ISERROR(VLOOKUP($P483,'M1'!$A:$C,Q$2,FALSE)),IF(ISERROR(VLOOKUP(DATA!$P145,'M2'!$A:$C,Q$2,FALSE)),"NOT PRESENT",VLOOKUP(DATA!$P145,'M2'!$A:$C,Q$2,FALSE)),VLOOKUP($P483,'M1'!$A:$C,Q$2,FALSE)),"SPECIFY METHOD")))</f>
        <v>NOT PRESENT</v>
      </c>
      <c r="R483" s="4" t="str">
        <f>IF($N483=1,IF(ISERROR(VLOOKUP($P483,'M1'!$A:$C,R$2,FALSE)),"NOT PRESENT",VLOOKUP($P483,'M1'!$A:$C,R$2,FALSE)),IF($N483=2,IF(ISERROR(VLOOKUP(DATA!$P145,'M2'!$A:$C,R$2,FALSE)),"NOT PRESENT",VLOOKUP(DATA!$P145,'M2'!$A:$C,R$2,FALSE)),IF($N483=0,IF(ISERROR(VLOOKUP($P483,'M1'!$A:$C,R$2,FALSE)),IF(ISERROR(VLOOKUP(DATA!$P145,'M2'!$A:$C,R$2,FALSE)),"NOT PRESENT",VLOOKUP(DATA!$P145,'M2'!$A:$C,R$2,FALSE)),VLOOKUP($P483,'M1'!$A:$C,R$2,FALSE)),"SPECIFY METHOD")))</f>
        <v>NOT PRESENT</v>
      </c>
      <c r="S483" s="20">
        <f t="shared" si="45"/>
        <v>14</v>
      </c>
      <c r="T483" s="2">
        <v>14</v>
      </c>
    </row>
    <row r="484" spans="1:29">
      <c r="A484" s="7">
        <f>MAX($A$1:$A483)+1</f>
        <v>483</v>
      </c>
      <c r="B484" s="2" t="str">
        <f t="shared" si="40"/>
        <v>Em Lim</v>
      </c>
      <c r="C484" s="2" t="str">
        <f t="shared" si="41"/>
        <v>Jasmin Schuster</v>
      </c>
      <c r="D484" s="2" t="str">
        <f t="shared" si="46"/>
        <v>BMSC20</v>
      </c>
      <c r="E484" s="7" t="str">
        <f>IF(ISERROR(VLOOKUP($D484,SITES!$A:$E,2,FALSE)),"",VLOOKUP($D484,SITES!$A:$E,2,FALSE))</f>
        <v>Ed King East</v>
      </c>
      <c r="F484" s="4">
        <f>IF(ISERROR(VLOOKUP($D484,SITES!$A:$E,3,FALSE)),"",VLOOKUP($D484,SITES!$A:$E,3,FALSE))</f>
        <v>48.835666656494098</v>
      </c>
      <c r="G484" s="18">
        <f>IF(ISERROR(VLOOKUP($D484,SITES!$A:$E,4,FALSE)),"",VLOOKUP($D484,SITES!$A:$E,4,FALSE))</f>
        <v>-125.214797973632</v>
      </c>
      <c r="H484" s="5" t="str">
        <f t="shared" si="42"/>
        <v>09/05/2023</v>
      </c>
      <c r="I484" s="2">
        <f t="shared" si="47"/>
        <v>2.5</v>
      </c>
      <c r="J484" s="2">
        <f t="shared" si="48"/>
        <v>300</v>
      </c>
      <c r="K484" s="6">
        <f t="shared" si="49"/>
        <v>0.52430555555555558</v>
      </c>
      <c r="L484" s="2" t="str">
        <f t="shared" si="43"/>
        <v>EGL</v>
      </c>
      <c r="M484" s="2">
        <f t="shared" si="44"/>
        <v>7</v>
      </c>
      <c r="N484" s="2">
        <f t="shared" si="51"/>
        <v>2</v>
      </c>
      <c r="O484" s="2">
        <f t="shared" si="50"/>
        <v>1</v>
      </c>
      <c r="P484" s="27" t="s">
        <v>196</v>
      </c>
      <c r="Q484" s="7" t="str">
        <f>IF($N484=1,IF(ISERROR(VLOOKUP($P484,'M1'!$A:$C,Q$2,FALSE)),"NOT PRESENT",VLOOKUP($P484,'M1'!$A:$C,Q$2,FALSE)),IF($N484=2,IF(ISERROR(VLOOKUP(DATA!$P146,'M2'!$A:$C,Q$2,FALSE)),"NOT PRESENT",VLOOKUP(DATA!$P146,'M2'!$A:$C,Q$2,FALSE)),IF($N484=0,IF(ISERROR(VLOOKUP($P484,'M1'!$A:$C,Q$2,FALSE)),IF(ISERROR(VLOOKUP(DATA!$P146,'M2'!$A:$C,Q$2,FALSE)),"NOT PRESENT",VLOOKUP(DATA!$P146,'M2'!$A:$C,Q$2,FALSE)),VLOOKUP($P484,'M1'!$A:$C,Q$2,FALSE)),"SPECIFY METHOD")))</f>
        <v>NOT PRESENT</v>
      </c>
      <c r="R484" s="4" t="str">
        <f>IF($N484=1,IF(ISERROR(VLOOKUP($P484,'M1'!$A:$C,R$2,FALSE)),"NOT PRESENT",VLOOKUP($P484,'M1'!$A:$C,R$2,FALSE)),IF($N484=2,IF(ISERROR(VLOOKUP(DATA!$P146,'M2'!$A:$C,R$2,FALSE)),"NOT PRESENT",VLOOKUP(DATA!$P146,'M2'!$A:$C,R$2,FALSE)),IF($N484=0,IF(ISERROR(VLOOKUP($P484,'M1'!$A:$C,R$2,FALSE)),IF(ISERROR(VLOOKUP(DATA!$P146,'M2'!$A:$C,R$2,FALSE)),"NOT PRESENT",VLOOKUP(DATA!$P146,'M2'!$A:$C,R$2,FALSE)),VLOOKUP($P484,'M1'!$A:$C,R$2,FALSE)),"SPECIFY METHOD")))</f>
        <v>NOT PRESENT</v>
      </c>
      <c r="S484" s="20">
        <f t="shared" si="45"/>
        <v>17</v>
      </c>
      <c r="T484" s="2">
        <v>17</v>
      </c>
    </row>
    <row r="485" spans="1:29">
      <c r="A485" s="7">
        <f>MAX($A$1:$A484)+1</f>
        <v>484</v>
      </c>
      <c r="B485" s="2" t="str">
        <f t="shared" si="40"/>
        <v>Em Lim</v>
      </c>
      <c r="C485" s="2" t="str">
        <f t="shared" si="41"/>
        <v>Jasmin Schuster</v>
      </c>
      <c r="D485" s="2" t="str">
        <f t="shared" si="46"/>
        <v>BMSC20</v>
      </c>
      <c r="E485" s="7" t="str">
        <f>IF(ISERROR(VLOOKUP($D485,SITES!$A:$E,2,FALSE)),"",VLOOKUP($D485,SITES!$A:$E,2,FALSE))</f>
        <v>Ed King East</v>
      </c>
      <c r="F485" s="4">
        <f>IF(ISERROR(VLOOKUP($D485,SITES!$A:$E,3,FALSE)),"",VLOOKUP($D485,SITES!$A:$E,3,FALSE))</f>
        <v>48.835666656494098</v>
      </c>
      <c r="G485" s="18">
        <f>IF(ISERROR(VLOOKUP($D485,SITES!$A:$E,4,FALSE)),"",VLOOKUP($D485,SITES!$A:$E,4,FALSE))</f>
        <v>-125.214797973632</v>
      </c>
      <c r="H485" s="5" t="str">
        <f t="shared" si="42"/>
        <v>09/05/2023</v>
      </c>
      <c r="I485" s="2">
        <f t="shared" si="47"/>
        <v>2.5</v>
      </c>
      <c r="J485" s="2">
        <f t="shared" si="48"/>
        <v>300</v>
      </c>
      <c r="K485" s="6">
        <f t="shared" si="49"/>
        <v>0.52430555555555558</v>
      </c>
      <c r="L485" s="2" t="str">
        <f t="shared" si="43"/>
        <v>EGL</v>
      </c>
      <c r="M485" s="2">
        <f t="shared" si="44"/>
        <v>7</v>
      </c>
      <c r="N485" s="2">
        <f t="shared" si="51"/>
        <v>2</v>
      </c>
      <c r="O485" s="2">
        <f t="shared" si="50"/>
        <v>1</v>
      </c>
      <c r="P485" s="27" t="s">
        <v>180</v>
      </c>
      <c r="Q485" s="7" t="str">
        <f>IF($N485=1,IF(ISERROR(VLOOKUP($P485,'M1'!$A:$C,Q$2,FALSE)),"NOT PRESENT",VLOOKUP($P485,'M1'!$A:$C,Q$2,FALSE)),IF($N485=2,IF(ISERROR(VLOOKUP(DATA!$P147,'M2'!$A:$C,Q$2,FALSE)),"NOT PRESENT",VLOOKUP(DATA!$P147,'M2'!$A:$C,Q$2,FALSE)),IF($N485=0,IF(ISERROR(VLOOKUP($P485,'M1'!$A:$C,Q$2,FALSE)),IF(ISERROR(VLOOKUP(DATA!$P147,'M2'!$A:$C,Q$2,FALSE)),"NOT PRESENT",VLOOKUP(DATA!$P147,'M2'!$A:$C,Q$2,FALSE)),VLOOKUP($P485,'M1'!$A:$C,Q$2,FALSE)),"SPECIFY METHOD")))</f>
        <v>NOT PRESENT</v>
      </c>
      <c r="R485" s="4" t="str">
        <f>IF($N485=1,IF(ISERROR(VLOOKUP($P485,'M1'!$A:$C,R$2,FALSE)),"NOT PRESENT",VLOOKUP($P485,'M1'!$A:$C,R$2,FALSE)),IF($N485=2,IF(ISERROR(VLOOKUP(DATA!$P147,'M2'!$A:$C,R$2,FALSE)),"NOT PRESENT",VLOOKUP(DATA!$P147,'M2'!$A:$C,R$2,FALSE)),IF($N485=0,IF(ISERROR(VLOOKUP($P485,'M1'!$A:$C,R$2,FALSE)),IF(ISERROR(VLOOKUP(DATA!$P147,'M2'!$A:$C,R$2,FALSE)),"NOT PRESENT",VLOOKUP(DATA!$P147,'M2'!$A:$C,R$2,FALSE)),VLOOKUP($P485,'M1'!$A:$C,R$2,FALSE)),"SPECIFY METHOD")))</f>
        <v>NOT PRESENT</v>
      </c>
      <c r="S485" s="20">
        <f t="shared" si="45"/>
        <v>45</v>
      </c>
      <c r="T485" s="2">
        <v>45</v>
      </c>
    </row>
    <row r="486" spans="1:29">
      <c r="A486" s="7">
        <f>MAX($A$1:$A485)+1</f>
        <v>485</v>
      </c>
      <c r="B486" s="2" t="str">
        <f t="shared" si="40"/>
        <v>Em Lim</v>
      </c>
      <c r="C486" s="2" t="str">
        <f t="shared" si="41"/>
        <v>Jasmin Schuster</v>
      </c>
      <c r="D486" s="2" t="str">
        <f t="shared" si="46"/>
        <v>BMSC20</v>
      </c>
      <c r="E486" s="7" t="str">
        <f>IF(ISERROR(VLOOKUP($D486,SITES!$A:$E,2,FALSE)),"",VLOOKUP($D486,SITES!$A:$E,2,FALSE))</f>
        <v>Ed King East</v>
      </c>
      <c r="F486" s="4">
        <f>IF(ISERROR(VLOOKUP($D486,SITES!$A:$E,3,FALSE)),"",VLOOKUP($D486,SITES!$A:$E,3,FALSE))</f>
        <v>48.835666656494098</v>
      </c>
      <c r="G486" s="18">
        <f>IF(ISERROR(VLOOKUP($D486,SITES!$A:$E,4,FALSE)),"",VLOOKUP($D486,SITES!$A:$E,4,FALSE))</f>
        <v>-125.214797973632</v>
      </c>
      <c r="H486" s="5" t="str">
        <f t="shared" si="42"/>
        <v>09/05/2023</v>
      </c>
      <c r="I486" s="2">
        <f t="shared" si="47"/>
        <v>2.5</v>
      </c>
      <c r="J486" s="2">
        <f t="shared" si="48"/>
        <v>300</v>
      </c>
      <c r="K486" s="6">
        <f t="shared" si="49"/>
        <v>0.52430555555555558</v>
      </c>
      <c r="L486" s="2" t="str">
        <f t="shared" si="43"/>
        <v>EGL</v>
      </c>
      <c r="M486" s="2">
        <f t="shared" si="44"/>
        <v>7</v>
      </c>
      <c r="N486" s="2">
        <f t="shared" si="51"/>
        <v>2</v>
      </c>
      <c r="O486" s="2">
        <f t="shared" si="50"/>
        <v>1</v>
      </c>
      <c r="P486" s="27" t="s">
        <v>219</v>
      </c>
      <c r="Q486" s="7" t="str">
        <f>IF($N486=1,IF(ISERROR(VLOOKUP($P486,'M1'!$A:$C,Q$2,FALSE)),"NOT PRESENT",VLOOKUP($P486,'M1'!$A:$C,Q$2,FALSE)),IF($N486=2,IF(ISERROR(VLOOKUP(DATA!$P148,'M2'!$A:$C,Q$2,FALSE)),"NOT PRESENT",VLOOKUP(DATA!$P148,'M2'!$A:$C,Q$2,FALSE)),IF($N486=0,IF(ISERROR(VLOOKUP($P486,'M1'!$A:$C,Q$2,FALSE)),IF(ISERROR(VLOOKUP(DATA!$P148,'M2'!$A:$C,Q$2,FALSE)),"NOT PRESENT",VLOOKUP(DATA!$P148,'M2'!$A:$C,Q$2,FALSE)),VLOOKUP($P486,'M1'!$A:$C,Q$2,FALSE)),"SPECIFY METHOD")))</f>
        <v>NOT PRESENT</v>
      </c>
      <c r="R486" s="4" t="str">
        <f>IF($N486=1,IF(ISERROR(VLOOKUP($P486,'M1'!$A:$C,R$2,FALSE)),"NOT PRESENT",VLOOKUP($P486,'M1'!$A:$C,R$2,FALSE)),IF($N486=2,IF(ISERROR(VLOOKUP(DATA!$P148,'M2'!$A:$C,R$2,FALSE)),"NOT PRESENT",VLOOKUP(DATA!$P148,'M2'!$A:$C,R$2,FALSE)),IF($N486=0,IF(ISERROR(VLOOKUP($P486,'M1'!$A:$C,R$2,FALSE)),IF(ISERROR(VLOOKUP(DATA!$P148,'M2'!$A:$C,R$2,FALSE)),"NOT PRESENT",VLOOKUP(DATA!$P148,'M2'!$A:$C,R$2,FALSE)),VLOOKUP($P486,'M1'!$A:$C,R$2,FALSE)),"SPECIFY METHOD")))</f>
        <v>NOT PRESENT</v>
      </c>
      <c r="S486" s="20">
        <f t="shared" si="45"/>
        <v>16</v>
      </c>
      <c r="T486" s="2">
        <v>16</v>
      </c>
    </row>
    <row r="487" spans="1:29">
      <c r="A487" s="7">
        <f>MAX($A$1:$A486)+1</f>
        <v>486</v>
      </c>
      <c r="B487" s="2" t="str">
        <f t="shared" si="40"/>
        <v>Em Lim</v>
      </c>
      <c r="C487" s="2" t="str">
        <f t="shared" si="41"/>
        <v>Jasmin Schuster</v>
      </c>
      <c r="D487" s="2" t="str">
        <f t="shared" si="46"/>
        <v>BMSC20</v>
      </c>
      <c r="E487" s="7" t="str">
        <f>IF(ISERROR(VLOOKUP($D487,SITES!$A:$E,2,FALSE)),"",VLOOKUP($D487,SITES!$A:$E,2,FALSE))</f>
        <v>Ed King East</v>
      </c>
      <c r="F487" s="4">
        <f>IF(ISERROR(VLOOKUP($D487,SITES!$A:$E,3,FALSE)),"",VLOOKUP($D487,SITES!$A:$E,3,FALSE))</f>
        <v>48.835666656494098</v>
      </c>
      <c r="G487" s="18">
        <f>IF(ISERROR(VLOOKUP($D487,SITES!$A:$E,4,FALSE)),"",VLOOKUP($D487,SITES!$A:$E,4,FALSE))</f>
        <v>-125.214797973632</v>
      </c>
      <c r="H487" s="5" t="str">
        <f t="shared" si="42"/>
        <v>09/05/2023</v>
      </c>
      <c r="I487" s="2">
        <f t="shared" si="47"/>
        <v>2.5</v>
      </c>
      <c r="J487" s="2">
        <f t="shared" si="48"/>
        <v>300</v>
      </c>
      <c r="K487" s="6">
        <f t="shared" si="49"/>
        <v>0.52430555555555558</v>
      </c>
      <c r="L487" s="2" t="str">
        <f t="shared" si="43"/>
        <v>EGL</v>
      </c>
      <c r="M487" s="2">
        <f t="shared" si="44"/>
        <v>7</v>
      </c>
      <c r="N487" s="2">
        <f t="shared" si="51"/>
        <v>2</v>
      </c>
      <c r="O487" s="2">
        <f t="shared" si="50"/>
        <v>1</v>
      </c>
      <c r="P487" s="27" t="s">
        <v>190</v>
      </c>
      <c r="Q487" s="7" t="str">
        <f>IF($N487=1,IF(ISERROR(VLOOKUP($P487,'M1'!$A:$C,Q$2,FALSE)),"NOT PRESENT",VLOOKUP($P487,'M1'!$A:$C,Q$2,FALSE)),IF($N487=2,IF(ISERROR(VLOOKUP(DATA!$P149,'M2'!$A:$C,Q$2,FALSE)),"NOT PRESENT",VLOOKUP(DATA!$P149,'M2'!$A:$C,Q$2,FALSE)),IF($N487=0,IF(ISERROR(VLOOKUP($P487,'M1'!$A:$C,Q$2,FALSE)),IF(ISERROR(VLOOKUP(DATA!$P149,'M2'!$A:$C,Q$2,FALSE)),"NOT PRESENT",VLOOKUP(DATA!$P149,'M2'!$A:$C,Q$2,FALSE)),VLOOKUP($P487,'M1'!$A:$C,Q$2,FALSE)),"SPECIFY METHOD")))</f>
        <v>NOT PRESENT</v>
      </c>
      <c r="R487" s="4" t="str">
        <f>IF($N487=1,IF(ISERROR(VLOOKUP($P487,'M1'!$A:$C,R$2,FALSE)),"NOT PRESENT",VLOOKUP($P487,'M1'!$A:$C,R$2,FALSE)),IF($N487=2,IF(ISERROR(VLOOKUP(DATA!$P149,'M2'!$A:$C,R$2,FALSE)),"NOT PRESENT",VLOOKUP(DATA!$P149,'M2'!$A:$C,R$2,FALSE)),IF($N487=0,IF(ISERROR(VLOOKUP($P487,'M1'!$A:$C,R$2,FALSE)),IF(ISERROR(VLOOKUP(DATA!$P149,'M2'!$A:$C,R$2,FALSE)),"NOT PRESENT",VLOOKUP(DATA!$P149,'M2'!$A:$C,R$2,FALSE)),VLOOKUP($P487,'M1'!$A:$C,R$2,FALSE)),"SPECIFY METHOD")))</f>
        <v>NOT PRESENT</v>
      </c>
      <c r="S487" s="20">
        <f t="shared" si="45"/>
        <v>21</v>
      </c>
      <c r="T487" s="2">
        <v>21</v>
      </c>
    </row>
    <row r="488" spans="1:29">
      <c r="A488" s="7">
        <f>MAX($A$1:$A487)+1</f>
        <v>487</v>
      </c>
      <c r="B488" s="2" t="str">
        <f t="shared" si="40"/>
        <v>Em Lim</v>
      </c>
      <c r="C488" s="2" t="str">
        <f t="shared" si="41"/>
        <v>Jasmin Schuster</v>
      </c>
      <c r="D488" s="2" t="str">
        <f t="shared" si="46"/>
        <v>BMSC20</v>
      </c>
      <c r="E488" s="7" t="str">
        <f>IF(ISERROR(VLOOKUP($D488,SITES!$A:$E,2,FALSE)),"",VLOOKUP($D488,SITES!$A:$E,2,FALSE))</f>
        <v>Ed King East</v>
      </c>
      <c r="F488" s="4">
        <f>IF(ISERROR(VLOOKUP($D488,SITES!$A:$E,3,FALSE)),"",VLOOKUP($D488,SITES!$A:$E,3,FALSE))</f>
        <v>48.835666656494098</v>
      </c>
      <c r="G488" s="18">
        <f>IF(ISERROR(VLOOKUP($D488,SITES!$A:$E,4,FALSE)),"",VLOOKUP($D488,SITES!$A:$E,4,FALSE))</f>
        <v>-125.214797973632</v>
      </c>
      <c r="H488" s="5" t="str">
        <f t="shared" si="42"/>
        <v>09/05/2023</v>
      </c>
      <c r="I488" s="2">
        <f t="shared" si="47"/>
        <v>2.5</v>
      </c>
      <c r="J488" s="2">
        <f t="shared" si="48"/>
        <v>300</v>
      </c>
      <c r="K488" s="6">
        <f t="shared" si="49"/>
        <v>0.52430555555555558</v>
      </c>
      <c r="L488" s="2" t="str">
        <f t="shared" si="43"/>
        <v>EGL</v>
      </c>
      <c r="M488" s="2">
        <f t="shared" si="44"/>
        <v>7</v>
      </c>
      <c r="N488" s="2">
        <f t="shared" si="51"/>
        <v>2</v>
      </c>
      <c r="O488" s="2">
        <f t="shared" si="50"/>
        <v>1</v>
      </c>
      <c r="P488" s="27" t="s">
        <v>202</v>
      </c>
      <c r="Q488" s="7" t="str">
        <f>IF($N488=1,IF(ISERROR(VLOOKUP($P488,'M1'!$A:$C,Q$2,FALSE)),"NOT PRESENT",VLOOKUP($P488,'M1'!$A:$C,Q$2,FALSE)),IF($N488=2,IF(ISERROR(VLOOKUP(DATA!$P150,'M2'!$A:$C,Q$2,FALSE)),"NOT PRESENT",VLOOKUP(DATA!$P150,'M2'!$A:$C,Q$2,FALSE)),IF($N488=0,IF(ISERROR(VLOOKUP($P488,'M1'!$A:$C,Q$2,FALSE)),IF(ISERROR(VLOOKUP(DATA!$P150,'M2'!$A:$C,Q$2,FALSE)),"NOT PRESENT",VLOOKUP(DATA!$P150,'M2'!$A:$C,Q$2,FALSE)),VLOOKUP($P488,'M1'!$A:$C,Q$2,FALSE)),"SPECIFY METHOD")))</f>
        <v>NOT PRESENT</v>
      </c>
      <c r="R488" s="4" t="str">
        <f>IF($N488=1,IF(ISERROR(VLOOKUP($P488,'M1'!$A:$C,R$2,FALSE)),"NOT PRESENT",VLOOKUP($P488,'M1'!$A:$C,R$2,FALSE)),IF($N488=2,IF(ISERROR(VLOOKUP(DATA!$P150,'M2'!$A:$C,R$2,FALSE)),"NOT PRESENT",VLOOKUP(DATA!$P150,'M2'!$A:$C,R$2,FALSE)),IF($N488=0,IF(ISERROR(VLOOKUP($P488,'M1'!$A:$C,R$2,FALSE)),IF(ISERROR(VLOOKUP(DATA!$P150,'M2'!$A:$C,R$2,FALSE)),"NOT PRESENT",VLOOKUP(DATA!$P150,'M2'!$A:$C,R$2,FALSE)),VLOOKUP($P488,'M1'!$A:$C,R$2,FALSE)),"SPECIFY METHOD")))</f>
        <v>NOT PRESENT</v>
      </c>
      <c r="S488" s="20">
        <f t="shared" si="45"/>
        <v>11</v>
      </c>
      <c r="T488" s="2">
        <v>11</v>
      </c>
    </row>
    <row r="489" spans="1:29">
      <c r="A489" s="7">
        <f>MAX($A$1:$A488)+1</f>
        <v>488</v>
      </c>
      <c r="B489" s="2" t="str">
        <f t="shared" si="40"/>
        <v>Em Lim</v>
      </c>
      <c r="C489" s="2" t="str">
        <f t="shared" si="41"/>
        <v>Jasmin Schuster</v>
      </c>
      <c r="D489" s="2" t="str">
        <f t="shared" si="46"/>
        <v>BMSC20</v>
      </c>
      <c r="E489" s="7" t="str">
        <f>IF(ISERROR(VLOOKUP($D489,SITES!$A:$E,2,FALSE)),"",VLOOKUP($D489,SITES!$A:$E,2,FALSE))</f>
        <v>Ed King East</v>
      </c>
      <c r="F489" s="4">
        <f>IF(ISERROR(VLOOKUP($D489,SITES!$A:$E,3,FALSE)),"",VLOOKUP($D489,SITES!$A:$E,3,FALSE))</f>
        <v>48.835666656494098</v>
      </c>
      <c r="G489" s="18">
        <f>IF(ISERROR(VLOOKUP($D489,SITES!$A:$E,4,FALSE)),"",VLOOKUP($D489,SITES!$A:$E,4,FALSE))</f>
        <v>-125.214797973632</v>
      </c>
      <c r="H489" s="5" t="str">
        <f t="shared" si="42"/>
        <v>09/05/2023</v>
      </c>
      <c r="I489" s="2">
        <f t="shared" si="47"/>
        <v>2.5</v>
      </c>
      <c r="J489" s="2">
        <f t="shared" si="48"/>
        <v>300</v>
      </c>
      <c r="K489" s="6">
        <f t="shared" si="49"/>
        <v>0.52430555555555558</v>
      </c>
      <c r="L489" s="2" t="str">
        <f t="shared" si="43"/>
        <v>EGL</v>
      </c>
      <c r="M489" s="2">
        <f t="shared" si="44"/>
        <v>7</v>
      </c>
      <c r="N489" s="2">
        <f t="shared" si="51"/>
        <v>2</v>
      </c>
      <c r="O489" s="2">
        <f t="shared" si="50"/>
        <v>1</v>
      </c>
      <c r="P489" s="27" t="s">
        <v>184</v>
      </c>
      <c r="Q489" s="7" t="str">
        <f>IF($N489=1,IF(ISERROR(VLOOKUP($P489,'M1'!$A:$C,Q$2,FALSE)),"NOT PRESENT",VLOOKUP($P489,'M1'!$A:$C,Q$2,FALSE)),IF($N489=2,IF(ISERROR(VLOOKUP(DATA!$P151,'M2'!$A:$C,Q$2,FALSE)),"NOT PRESENT",VLOOKUP(DATA!$P151,'M2'!$A:$C,Q$2,FALSE)),IF($N489=0,IF(ISERROR(VLOOKUP($P489,'M1'!$A:$C,Q$2,FALSE)),IF(ISERROR(VLOOKUP(DATA!$P151,'M2'!$A:$C,Q$2,FALSE)),"NOT PRESENT",VLOOKUP(DATA!$P151,'M2'!$A:$C,Q$2,FALSE)),VLOOKUP($P489,'M1'!$A:$C,Q$2,FALSE)),"SPECIFY METHOD")))</f>
        <v>NOT PRESENT</v>
      </c>
      <c r="R489" s="4" t="str">
        <f>IF($N489=1,IF(ISERROR(VLOOKUP($P489,'M1'!$A:$C,R$2,FALSE)),"NOT PRESENT",VLOOKUP($P489,'M1'!$A:$C,R$2,FALSE)),IF($N489=2,IF(ISERROR(VLOOKUP(DATA!$P151,'M2'!$A:$C,R$2,FALSE)),"NOT PRESENT",VLOOKUP(DATA!$P151,'M2'!$A:$C,R$2,FALSE)),IF($N489=0,IF(ISERROR(VLOOKUP($P489,'M1'!$A:$C,R$2,FALSE)),IF(ISERROR(VLOOKUP(DATA!$P151,'M2'!$A:$C,R$2,FALSE)),"NOT PRESENT",VLOOKUP(DATA!$P151,'M2'!$A:$C,R$2,FALSE)),VLOOKUP($P489,'M1'!$A:$C,R$2,FALSE)),"SPECIFY METHOD")))</f>
        <v>NOT PRESENT</v>
      </c>
      <c r="S489" s="20">
        <f t="shared" si="45"/>
        <v>7</v>
      </c>
      <c r="T489" s="2">
        <v>7</v>
      </c>
    </row>
    <row r="490" spans="1:29">
      <c r="A490" s="7">
        <f>MAX($A$1:$A489)+1</f>
        <v>489</v>
      </c>
      <c r="B490" s="2" t="str">
        <f t="shared" si="40"/>
        <v>Em Lim</v>
      </c>
      <c r="C490" s="2" t="str">
        <f t="shared" si="41"/>
        <v>Jasmin Schuster</v>
      </c>
      <c r="D490" s="2" t="str">
        <f t="shared" si="46"/>
        <v>BMSC20</v>
      </c>
      <c r="E490" s="7" t="str">
        <f>IF(ISERROR(VLOOKUP($D490,SITES!$A:$E,2,FALSE)),"",VLOOKUP($D490,SITES!$A:$E,2,FALSE))</f>
        <v>Ed King East</v>
      </c>
      <c r="F490" s="4">
        <f>IF(ISERROR(VLOOKUP($D490,SITES!$A:$E,3,FALSE)),"",VLOOKUP($D490,SITES!$A:$E,3,FALSE))</f>
        <v>48.835666656494098</v>
      </c>
      <c r="G490" s="18">
        <f>IF(ISERROR(VLOOKUP($D490,SITES!$A:$E,4,FALSE)),"",VLOOKUP($D490,SITES!$A:$E,4,FALSE))</f>
        <v>-125.214797973632</v>
      </c>
      <c r="H490" s="5" t="str">
        <f t="shared" si="42"/>
        <v>09/05/2023</v>
      </c>
      <c r="I490" s="2">
        <f t="shared" si="47"/>
        <v>2.5</v>
      </c>
      <c r="J490" s="2">
        <f t="shared" si="48"/>
        <v>300</v>
      </c>
      <c r="K490" s="6">
        <f t="shared" si="49"/>
        <v>0.52430555555555558</v>
      </c>
      <c r="L490" s="2" t="str">
        <f t="shared" si="43"/>
        <v>EGL</v>
      </c>
      <c r="M490" s="2">
        <f t="shared" si="44"/>
        <v>7</v>
      </c>
      <c r="N490" s="2">
        <f t="shared" si="51"/>
        <v>2</v>
      </c>
      <c r="O490" s="2">
        <f t="shared" si="50"/>
        <v>1</v>
      </c>
      <c r="P490" s="27" t="s">
        <v>193</v>
      </c>
      <c r="Q490" s="7" t="str">
        <f>IF($N490=1,IF(ISERROR(VLOOKUP($P490,'M1'!$A:$C,Q$2,FALSE)),"NOT PRESENT",VLOOKUP($P490,'M1'!$A:$C,Q$2,FALSE)),IF($N490=2,IF(ISERROR(VLOOKUP(DATA!$P152,'M2'!$A:$C,Q$2,FALSE)),"NOT PRESENT",VLOOKUP(DATA!$P152,'M2'!$A:$C,Q$2,FALSE)),IF($N490=0,IF(ISERROR(VLOOKUP($P490,'M1'!$A:$C,Q$2,FALSE)),IF(ISERROR(VLOOKUP(DATA!$P152,'M2'!$A:$C,Q$2,FALSE)),"NOT PRESENT",VLOOKUP(DATA!$P152,'M2'!$A:$C,Q$2,FALSE)),VLOOKUP($P490,'M1'!$A:$C,Q$2,FALSE)),"SPECIFY METHOD")))</f>
        <v>NOT PRESENT</v>
      </c>
      <c r="R490" s="4" t="str">
        <f>IF($N490=1,IF(ISERROR(VLOOKUP($P490,'M1'!$A:$C,R$2,FALSE)),"NOT PRESENT",VLOOKUP($P490,'M1'!$A:$C,R$2,FALSE)),IF($N490=2,IF(ISERROR(VLOOKUP(DATA!$P152,'M2'!$A:$C,R$2,FALSE)),"NOT PRESENT",VLOOKUP(DATA!$P152,'M2'!$A:$C,R$2,FALSE)),IF($N490=0,IF(ISERROR(VLOOKUP($P490,'M1'!$A:$C,R$2,FALSE)),IF(ISERROR(VLOOKUP(DATA!$P152,'M2'!$A:$C,R$2,FALSE)),"NOT PRESENT",VLOOKUP(DATA!$P152,'M2'!$A:$C,R$2,FALSE)),VLOOKUP($P490,'M1'!$A:$C,R$2,FALSE)),"SPECIFY METHOD")))</f>
        <v>NOT PRESENT</v>
      </c>
      <c r="S490" s="20">
        <f t="shared" si="45"/>
        <v>2</v>
      </c>
      <c r="V490" s="2">
        <v>1</v>
      </c>
      <c r="Y490" s="2">
        <v>1</v>
      </c>
    </row>
    <row r="491" spans="1:29">
      <c r="A491" s="7">
        <f>MAX($A$1:$A490)+1</f>
        <v>490</v>
      </c>
      <c r="B491" s="2" t="str">
        <f t="shared" si="40"/>
        <v>Em Lim</v>
      </c>
      <c r="C491" s="2" t="str">
        <f t="shared" si="41"/>
        <v>Jasmin Schuster</v>
      </c>
      <c r="D491" s="2" t="str">
        <f t="shared" si="46"/>
        <v>BMSC20</v>
      </c>
      <c r="E491" s="7" t="str">
        <f>IF(ISERROR(VLOOKUP($D491,SITES!$A:$E,2,FALSE)),"",VLOOKUP($D491,SITES!$A:$E,2,FALSE))</f>
        <v>Ed King East</v>
      </c>
      <c r="F491" s="4">
        <f>IF(ISERROR(VLOOKUP($D491,SITES!$A:$E,3,FALSE)),"",VLOOKUP($D491,SITES!$A:$E,3,FALSE))</f>
        <v>48.835666656494098</v>
      </c>
      <c r="G491" s="18">
        <f>IF(ISERROR(VLOOKUP($D491,SITES!$A:$E,4,FALSE)),"",VLOOKUP($D491,SITES!$A:$E,4,FALSE))</f>
        <v>-125.214797973632</v>
      </c>
      <c r="H491" s="5" t="str">
        <f t="shared" si="42"/>
        <v>09/05/2023</v>
      </c>
      <c r="I491" s="2">
        <f t="shared" si="47"/>
        <v>2.5</v>
      </c>
      <c r="J491" s="2">
        <f t="shared" si="48"/>
        <v>300</v>
      </c>
      <c r="K491" s="6">
        <f t="shared" si="49"/>
        <v>0.52430555555555558</v>
      </c>
      <c r="L491" s="2" t="str">
        <f t="shared" si="43"/>
        <v>EGL</v>
      </c>
      <c r="M491" s="2">
        <f t="shared" si="44"/>
        <v>7</v>
      </c>
      <c r="N491" s="2">
        <f t="shared" si="51"/>
        <v>2</v>
      </c>
      <c r="O491" s="2">
        <f t="shared" si="50"/>
        <v>1</v>
      </c>
      <c r="P491" s="27" t="s">
        <v>194</v>
      </c>
      <c r="Q491" s="7" t="str">
        <f>IF($N491=1,IF(ISERROR(VLOOKUP($P491,'M1'!$A:$C,Q$2,FALSE)),"NOT PRESENT",VLOOKUP($P491,'M1'!$A:$C,Q$2,FALSE)),IF($N491=2,IF(ISERROR(VLOOKUP(DATA!$P153,'M2'!$A:$C,Q$2,FALSE)),"NOT PRESENT",VLOOKUP(DATA!$P153,'M2'!$A:$C,Q$2,FALSE)),IF($N491=0,IF(ISERROR(VLOOKUP($P491,'M1'!$A:$C,Q$2,FALSE)),IF(ISERROR(VLOOKUP(DATA!$P153,'M2'!$A:$C,Q$2,FALSE)),"NOT PRESENT",VLOOKUP(DATA!$P153,'M2'!$A:$C,Q$2,FALSE)),VLOOKUP($P491,'M1'!$A:$C,Q$2,FALSE)),"SPECIFY METHOD")))</f>
        <v>NOT PRESENT</v>
      </c>
      <c r="R491" s="4" t="str">
        <f>IF($N491=1,IF(ISERROR(VLOOKUP($P491,'M1'!$A:$C,R$2,FALSE)),"NOT PRESENT",VLOOKUP($P491,'M1'!$A:$C,R$2,FALSE)),IF($N491=2,IF(ISERROR(VLOOKUP(DATA!$P153,'M2'!$A:$C,R$2,FALSE)),"NOT PRESENT",VLOOKUP(DATA!$P153,'M2'!$A:$C,R$2,FALSE)),IF($N491=0,IF(ISERROR(VLOOKUP($P491,'M1'!$A:$C,R$2,FALSE)),IF(ISERROR(VLOOKUP(DATA!$P153,'M2'!$A:$C,R$2,FALSE)),"NOT PRESENT",VLOOKUP(DATA!$P153,'M2'!$A:$C,R$2,FALSE)),VLOOKUP($P491,'M1'!$A:$C,R$2,FALSE)),"SPECIFY METHOD")))</f>
        <v>NOT PRESENT</v>
      </c>
      <c r="S491" s="20">
        <f t="shared" si="45"/>
        <v>2</v>
      </c>
      <c r="T491" s="2">
        <v>0</v>
      </c>
      <c r="U491" s="2">
        <v>2</v>
      </c>
    </row>
    <row r="492" spans="1:29">
      <c r="A492" s="7">
        <f>MAX($A$1:$A491)+1</f>
        <v>491</v>
      </c>
      <c r="B492" s="2" t="str">
        <f t="shared" si="40"/>
        <v>Em Lim</v>
      </c>
      <c r="C492" s="2" t="str">
        <f t="shared" si="41"/>
        <v>Jasmin Schuster</v>
      </c>
      <c r="D492" s="2" t="str">
        <f t="shared" si="46"/>
        <v>BMSC20</v>
      </c>
      <c r="E492" s="7" t="str">
        <f>IF(ISERROR(VLOOKUP($D492,SITES!$A:$E,2,FALSE)),"",VLOOKUP($D492,SITES!$A:$E,2,FALSE))</f>
        <v>Ed King East</v>
      </c>
      <c r="F492" s="4">
        <f>IF(ISERROR(VLOOKUP($D492,SITES!$A:$E,3,FALSE)),"",VLOOKUP($D492,SITES!$A:$E,3,FALSE))</f>
        <v>48.835666656494098</v>
      </c>
      <c r="G492" s="18">
        <f>IF(ISERROR(VLOOKUP($D492,SITES!$A:$E,4,FALSE)),"",VLOOKUP($D492,SITES!$A:$E,4,FALSE))</f>
        <v>-125.214797973632</v>
      </c>
      <c r="H492" s="5" t="str">
        <f t="shared" si="42"/>
        <v>09/05/2023</v>
      </c>
      <c r="I492" s="2">
        <f t="shared" si="47"/>
        <v>2.5</v>
      </c>
      <c r="J492" s="2">
        <f t="shared" si="48"/>
        <v>300</v>
      </c>
      <c r="K492" s="6">
        <f t="shared" si="49"/>
        <v>0.52430555555555558</v>
      </c>
      <c r="L492" s="2" t="str">
        <f t="shared" si="43"/>
        <v>EGL</v>
      </c>
      <c r="M492" s="2">
        <f t="shared" si="44"/>
        <v>7</v>
      </c>
      <c r="N492" s="2">
        <f t="shared" si="51"/>
        <v>2</v>
      </c>
      <c r="O492" s="2">
        <f t="shared" si="50"/>
        <v>1</v>
      </c>
      <c r="P492" s="27" t="s">
        <v>223</v>
      </c>
      <c r="Q492" s="7" t="str">
        <f>IF($N492=1,IF(ISERROR(VLOOKUP($P492,'M1'!$A:$C,Q$2,FALSE)),"NOT PRESENT",VLOOKUP($P492,'M1'!$A:$C,Q$2,FALSE)),IF($N492=2,IF(ISERROR(VLOOKUP(DATA!$P154,'M2'!$A:$C,Q$2,FALSE)),"NOT PRESENT",VLOOKUP(DATA!$P154,'M2'!$A:$C,Q$2,FALSE)),IF($N492=0,IF(ISERROR(VLOOKUP($P492,'M1'!$A:$C,Q$2,FALSE)),IF(ISERROR(VLOOKUP(DATA!$P154,'M2'!$A:$C,Q$2,FALSE)),"NOT PRESENT",VLOOKUP(DATA!$P154,'M2'!$A:$C,Q$2,FALSE)),VLOOKUP($P492,'M1'!$A:$C,Q$2,FALSE)),"SPECIFY METHOD")))</f>
        <v>NOT PRESENT</v>
      </c>
      <c r="R492" s="4" t="str">
        <f>IF($N492=1,IF(ISERROR(VLOOKUP($P492,'M1'!$A:$C,R$2,FALSE)),"NOT PRESENT",VLOOKUP($P492,'M1'!$A:$C,R$2,FALSE)),IF($N492=2,IF(ISERROR(VLOOKUP(DATA!$P154,'M2'!$A:$C,R$2,FALSE)),"NOT PRESENT",VLOOKUP(DATA!$P154,'M2'!$A:$C,R$2,FALSE)),IF($N492=0,IF(ISERROR(VLOOKUP($P492,'M1'!$A:$C,R$2,FALSE)),IF(ISERROR(VLOOKUP(DATA!$P154,'M2'!$A:$C,R$2,FALSE)),"NOT PRESENT",VLOOKUP(DATA!$P154,'M2'!$A:$C,R$2,FALSE)),VLOOKUP($P492,'M1'!$A:$C,R$2,FALSE)),"SPECIFY METHOD")))</f>
        <v>NOT PRESENT</v>
      </c>
      <c r="S492" s="20">
        <f t="shared" si="45"/>
        <v>1</v>
      </c>
      <c r="T492" s="2">
        <v>0</v>
      </c>
      <c r="V492" s="2">
        <v>1</v>
      </c>
    </row>
    <row r="493" spans="1:29">
      <c r="A493" s="7">
        <f>MAX($A$1:$A492)+1</f>
        <v>492</v>
      </c>
      <c r="B493" s="2" t="str">
        <f t="shared" si="40"/>
        <v>Em Lim</v>
      </c>
      <c r="C493" s="2" t="str">
        <f t="shared" si="41"/>
        <v>Jasmin Schuster</v>
      </c>
      <c r="D493" s="2" t="str">
        <f t="shared" si="46"/>
        <v>BMSC20</v>
      </c>
      <c r="E493" s="7" t="str">
        <f>IF(ISERROR(VLOOKUP($D493,SITES!$A:$E,2,FALSE)),"",VLOOKUP($D493,SITES!$A:$E,2,FALSE))</f>
        <v>Ed King East</v>
      </c>
      <c r="F493" s="4">
        <f>IF(ISERROR(VLOOKUP($D493,SITES!$A:$E,3,FALSE)),"",VLOOKUP($D493,SITES!$A:$E,3,FALSE))</f>
        <v>48.835666656494098</v>
      </c>
      <c r="G493" s="18">
        <f>IF(ISERROR(VLOOKUP($D493,SITES!$A:$E,4,FALSE)),"",VLOOKUP($D493,SITES!$A:$E,4,FALSE))</f>
        <v>-125.214797973632</v>
      </c>
      <c r="H493" s="5" t="str">
        <f t="shared" si="42"/>
        <v>09/05/2023</v>
      </c>
      <c r="I493" s="2">
        <f t="shared" si="47"/>
        <v>2.5</v>
      </c>
      <c r="J493" s="2">
        <f t="shared" si="48"/>
        <v>300</v>
      </c>
      <c r="K493" s="6">
        <f t="shared" si="49"/>
        <v>0.52430555555555558</v>
      </c>
      <c r="L493" s="2" t="str">
        <f t="shared" si="43"/>
        <v>EGL</v>
      </c>
      <c r="M493" s="2">
        <f t="shared" si="44"/>
        <v>7</v>
      </c>
      <c r="N493" s="2">
        <f t="shared" si="51"/>
        <v>2</v>
      </c>
      <c r="O493" s="2">
        <f t="shared" si="50"/>
        <v>1</v>
      </c>
      <c r="P493" s="27" t="s">
        <v>183</v>
      </c>
      <c r="Q493" s="7" t="str">
        <f>IF($N493=1,IF(ISERROR(VLOOKUP($P493,'M1'!$A:$C,Q$2,FALSE)),"NOT PRESENT",VLOOKUP($P493,'M1'!$A:$C,Q$2,FALSE)),IF($N493=2,IF(ISERROR(VLOOKUP(DATA!$P155,'M2'!$A:$C,Q$2,FALSE)),"NOT PRESENT",VLOOKUP(DATA!$P155,'M2'!$A:$C,Q$2,FALSE)),IF($N493=0,IF(ISERROR(VLOOKUP($P493,'M1'!$A:$C,Q$2,FALSE)),IF(ISERROR(VLOOKUP(DATA!$P155,'M2'!$A:$C,Q$2,FALSE)),"NOT PRESENT",VLOOKUP(DATA!$P155,'M2'!$A:$C,Q$2,FALSE)),VLOOKUP($P493,'M1'!$A:$C,Q$2,FALSE)),"SPECIFY METHOD")))</f>
        <v>NOT PRESENT</v>
      </c>
      <c r="R493" s="4" t="str">
        <f>IF($N493=1,IF(ISERROR(VLOOKUP($P493,'M1'!$A:$C,R$2,FALSE)),"NOT PRESENT",VLOOKUP($P493,'M1'!$A:$C,R$2,FALSE)),IF($N493=2,IF(ISERROR(VLOOKUP(DATA!$P155,'M2'!$A:$C,R$2,FALSE)),"NOT PRESENT",VLOOKUP(DATA!$P155,'M2'!$A:$C,R$2,FALSE)),IF($N493=0,IF(ISERROR(VLOOKUP($P493,'M1'!$A:$C,R$2,FALSE)),IF(ISERROR(VLOOKUP(DATA!$P155,'M2'!$A:$C,R$2,FALSE)),"NOT PRESENT",VLOOKUP(DATA!$P155,'M2'!$A:$C,R$2,FALSE)),VLOOKUP($P493,'M1'!$A:$C,R$2,FALSE)),"SPECIFY METHOD")))</f>
        <v>NOT PRESENT</v>
      </c>
      <c r="S493" s="20">
        <f t="shared" si="45"/>
        <v>3</v>
      </c>
      <c r="T493" s="2">
        <v>3</v>
      </c>
    </row>
    <row r="494" spans="1:29">
      <c r="A494" s="7">
        <f>MAX($A$1:$A493)+1</f>
        <v>493</v>
      </c>
      <c r="B494" s="2" t="str">
        <f t="shared" si="40"/>
        <v>Em Lim</v>
      </c>
      <c r="C494" s="2" t="str">
        <f t="shared" si="41"/>
        <v>Jasmin Schuster</v>
      </c>
      <c r="D494" s="2" t="str">
        <f t="shared" si="46"/>
        <v>BMSC20</v>
      </c>
      <c r="E494" s="7" t="str">
        <f>IF(ISERROR(VLOOKUP($D494,SITES!$A:$E,2,FALSE)),"",VLOOKUP($D494,SITES!$A:$E,2,FALSE))</f>
        <v>Ed King East</v>
      </c>
      <c r="F494" s="4">
        <f>IF(ISERROR(VLOOKUP($D494,SITES!$A:$E,3,FALSE)),"",VLOOKUP($D494,SITES!$A:$E,3,FALSE))</f>
        <v>48.835666656494098</v>
      </c>
      <c r="G494" s="18">
        <f>IF(ISERROR(VLOOKUP($D494,SITES!$A:$E,4,FALSE)),"",VLOOKUP($D494,SITES!$A:$E,4,FALSE))</f>
        <v>-125.214797973632</v>
      </c>
      <c r="H494" s="5" t="str">
        <f t="shared" si="42"/>
        <v>09/05/2023</v>
      </c>
      <c r="I494" s="2">
        <f t="shared" si="47"/>
        <v>2.5</v>
      </c>
      <c r="J494" s="2">
        <f t="shared" si="48"/>
        <v>300</v>
      </c>
      <c r="K494" s="6">
        <f t="shared" si="49"/>
        <v>0.52430555555555558</v>
      </c>
      <c r="L494" s="2" t="str">
        <f t="shared" si="43"/>
        <v>EGL</v>
      </c>
      <c r="M494" s="2">
        <f t="shared" si="44"/>
        <v>7</v>
      </c>
      <c r="N494" s="2">
        <f t="shared" si="51"/>
        <v>2</v>
      </c>
      <c r="O494" s="2">
        <f t="shared" si="50"/>
        <v>1</v>
      </c>
      <c r="P494" s="27" t="s">
        <v>185</v>
      </c>
      <c r="Q494" s="7" t="str">
        <f>IF($N494=1,IF(ISERROR(VLOOKUP($P494,'M1'!$A:$C,Q$2,FALSE)),"NOT PRESENT",VLOOKUP($P494,'M1'!$A:$C,Q$2,FALSE)),IF($N494=2,IF(ISERROR(VLOOKUP(DATA!$P156,'M2'!$A:$C,Q$2,FALSE)),"NOT PRESENT",VLOOKUP(DATA!$P156,'M2'!$A:$C,Q$2,FALSE)),IF($N494=0,IF(ISERROR(VLOOKUP($P494,'M1'!$A:$C,Q$2,FALSE)),IF(ISERROR(VLOOKUP(DATA!$P156,'M2'!$A:$C,Q$2,FALSE)),"NOT PRESENT",VLOOKUP(DATA!$P156,'M2'!$A:$C,Q$2,FALSE)),VLOOKUP($P494,'M1'!$A:$C,Q$2,FALSE)),"SPECIFY METHOD")))</f>
        <v>NOT PRESENT</v>
      </c>
      <c r="R494" s="4" t="str">
        <f>IF($N494=1,IF(ISERROR(VLOOKUP($P494,'M1'!$A:$C,R$2,FALSE)),"NOT PRESENT",VLOOKUP($P494,'M1'!$A:$C,R$2,FALSE)),IF($N494=2,IF(ISERROR(VLOOKUP(DATA!$P156,'M2'!$A:$C,R$2,FALSE)),"NOT PRESENT",VLOOKUP(DATA!$P156,'M2'!$A:$C,R$2,FALSE)),IF($N494=0,IF(ISERROR(VLOOKUP($P494,'M1'!$A:$C,R$2,FALSE)),IF(ISERROR(VLOOKUP(DATA!$P156,'M2'!$A:$C,R$2,FALSE)),"NOT PRESENT",VLOOKUP(DATA!$P156,'M2'!$A:$C,R$2,FALSE)),VLOOKUP($P494,'M1'!$A:$C,R$2,FALSE)),"SPECIFY METHOD")))</f>
        <v>NOT PRESENT</v>
      </c>
      <c r="S494" s="20">
        <f t="shared" si="45"/>
        <v>1</v>
      </c>
      <c r="T494" s="2">
        <v>1</v>
      </c>
    </row>
    <row r="495" spans="1:29">
      <c r="A495" s="7">
        <f>MAX($A$1:$A494)+1</f>
        <v>494</v>
      </c>
      <c r="B495" s="2" t="str">
        <f t="shared" si="40"/>
        <v>Em Lim</v>
      </c>
      <c r="C495" s="2" t="str">
        <f t="shared" si="41"/>
        <v>Jasmin Schuster</v>
      </c>
      <c r="D495" s="2" t="str">
        <f t="shared" si="46"/>
        <v>BMSC20</v>
      </c>
      <c r="E495" s="7" t="str">
        <f>IF(ISERROR(VLOOKUP($D495,SITES!$A:$E,2,FALSE)),"",VLOOKUP($D495,SITES!$A:$E,2,FALSE))</f>
        <v>Ed King East</v>
      </c>
      <c r="F495" s="4">
        <f>IF(ISERROR(VLOOKUP($D495,SITES!$A:$E,3,FALSE)),"",VLOOKUP($D495,SITES!$A:$E,3,FALSE))</f>
        <v>48.835666656494098</v>
      </c>
      <c r="G495" s="18">
        <f>IF(ISERROR(VLOOKUP($D495,SITES!$A:$E,4,FALSE)),"",VLOOKUP($D495,SITES!$A:$E,4,FALSE))</f>
        <v>-125.214797973632</v>
      </c>
      <c r="H495" s="5" t="str">
        <f t="shared" si="42"/>
        <v>09/05/2023</v>
      </c>
      <c r="I495" s="2">
        <f t="shared" si="47"/>
        <v>2.5</v>
      </c>
      <c r="J495" s="2">
        <f t="shared" si="48"/>
        <v>300</v>
      </c>
      <c r="K495" s="6">
        <f t="shared" si="49"/>
        <v>0.52430555555555558</v>
      </c>
      <c r="L495" s="2" t="str">
        <f t="shared" si="43"/>
        <v>EGL</v>
      </c>
      <c r="M495" s="2">
        <f t="shared" si="44"/>
        <v>7</v>
      </c>
      <c r="N495" s="2">
        <f t="shared" si="51"/>
        <v>2</v>
      </c>
      <c r="O495" s="2">
        <f t="shared" si="50"/>
        <v>1</v>
      </c>
      <c r="P495" s="27" t="s">
        <v>181</v>
      </c>
      <c r="Q495" s="7" t="str">
        <f>IF($N495=1,IF(ISERROR(VLOOKUP($P495,'M1'!$A:$C,Q$2,FALSE)),"NOT PRESENT",VLOOKUP($P495,'M1'!$A:$C,Q$2,FALSE)),IF($N495=2,IF(ISERROR(VLOOKUP(DATA!$P157,'M2'!$A:$C,Q$2,FALSE)),"NOT PRESENT",VLOOKUP(DATA!$P157,'M2'!$A:$C,Q$2,FALSE)),IF($N495=0,IF(ISERROR(VLOOKUP($P495,'M1'!$A:$C,Q$2,FALSE)),IF(ISERROR(VLOOKUP(DATA!$P157,'M2'!$A:$C,Q$2,FALSE)),"NOT PRESENT",VLOOKUP(DATA!$P157,'M2'!$A:$C,Q$2,FALSE)),VLOOKUP($P495,'M1'!$A:$C,Q$2,FALSE)),"SPECIFY METHOD")))</f>
        <v>NOT PRESENT</v>
      </c>
      <c r="R495" s="4" t="str">
        <f>IF($N495=1,IF(ISERROR(VLOOKUP($P495,'M1'!$A:$C,R$2,FALSE)),"NOT PRESENT",VLOOKUP($P495,'M1'!$A:$C,R$2,FALSE)),IF($N495=2,IF(ISERROR(VLOOKUP(DATA!$P157,'M2'!$A:$C,R$2,FALSE)),"NOT PRESENT",VLOOKUP(DATA!$P157,'M2'!$A:$C,R$2,FALSE)),IF($N495=0,IF(ISERROR(VLOOKUP($P495,'M1'!$A:$C,R$2,FALSE)),IF(ISERROR(VLOOKUP(DATA!$P157,'M2'!$A:$C,R$2,FALSE)),"NOT PRESENT",VLOOKUP(DATA!$P157,'M2'!$A:$C,R$2,FALSE)),VLOOKUP($P495,'M1'!$A:$C,R$2,FALSE)),"SPECIFY METHOD")))</f>
        <v>NOT PRESENT</v>
      </c>
      <c r="S495" s="20">
        <f t="shared" si="45"/>
        <v>1</v>
      </c>
      <c r="U495" s="2">
        <v>1</v>
      </c>
    </row>
    <row r="496" spans="1:29">
      <c r="A496" s="7">
        <f>MAX($A$1:$A495)+1</f>
        <v>495</v>
      </c>
      <c r="B496" s="2" t="str">
        <f t="shared" si="40"/>
        <v>Em Lim</v>
      </c>
      <c r="C496" s="2" t="str">
        <f t="shared" si="41"/>
        <v>Jasmin Schuster</v>
      </c>
      <c r="D496" s="2" t="str">
        <f t="shared" si="46"/>
        <v>BMSC20</v>
      </c>
      <c r="E496" s="7" t="str">
        <f>IF(ISERROR(VLOOKUP($D496,SITES!$A:$E,2,FALSE)),"",VLOOKUP($D496,SITES!$A:$E,2,FALSE))</f>
        <v>Ed King East</v>
      </c>
      <c r="F496" s="4">
        <f>IF(ISERROR(VLOOKUP($D496,SITES!$A:$E,3,FALSE)),"",VLOOKUP($D496,SITES!$A:$E,3,FALSE))</f>
        <v>48.835666656494098</v>
      </c>
      <c r="G496" s="18">
        <f>IF(ISERROR(VLOOKUP($D496,SITES!$A:$E,4,FALSE)),"",VLOOKUP($D496,SITES!$A:$E,4,FALSE))</f>
        <v>-125.214797973632</v>
      </c>
      <c r="H496" s="5" t="str">
        <f t="shared" si="42"/>
        <v>09/05/2023</v>
      </c>
      <c r="I496" s="2">
        <f t="shared" si="47"/>
        <v>2.5</v>
      </c>
      <c r="J496" s="2">
        <f t="shared" si="48"/>
        <v>300</v>
      </c>
      <c r="K496" s="6">
        <f t="shared" si="49"/>
        <v>0.52430555555555558</v>
      </c>
      <c r="L496" s="2" t="str">
        <f t="shared" si="43"/>
        <v>EGL</v>
      </c>
      <c r="M496" s="2">
        <f t="shared" si="44"/>
        <v>7</v>
      </c>
      <c r="N496" s="2">
        <f t="shared" si="51"/>
        <v>2</v>
      </c>
      <c r="O496" s="2">
        <f t="shared" si="50"/>
        <v>1</v>
      </c>
      <c r="P496" s="27" t="s">
        <v>173</v>
      </c>
      <c r="Q496" s="7" t="str">
        <f>IF($N496=1,IF(ISERROR(VLOOKUP($P496,'M1'!$A:$C,Q$2,FALSE)),"NOT PRESENT",VLOOKUP($P496,'M1'!$A:$C,Q$2,FALSE)),IF($N496=2,IF(ISERROR(VLOOKUP(DATA!$P158,'M2'!$A:$C,Q$2,FALSE)),"NOT PRESENT",VLOOKUP(DATA!$P158,'M2'!$A:$C,Q$2,FALSE)),IF($N496=0,IF(ISERROR(VLOOKUP($P496,'M1'!$A:$C,Q$2,FALSE)),IF(ISERROR(VLOOKUP(DATA!$P158,'M2'!$A:$C,Q$2,FALSE)),"NOT PRESENT",VLOOKUP(DATA!$P158,'M2'!$A:$C,Q$2,FALSE)),VLOOKUP($P496,'M1'!$A:$C,Q$2,FALSE)),"SPECIFY METHOD")))</f>
        <v>NOT PRESENT</v>
      </c>
      <c r="R496" s="4" t="str">
        <f>IF($N496=1,IF(ISERROR(VLOOKUP($P496,'M1'!$A:$C,R$2,FALSE)),"NOT PRESENT",VLOOKUP($P496,'M1'!$A:$C,R$2,FALSE)),IF($N496=2,IF(ISERROR(VLOOKUP(DATA!$P158,'M2'!$A:$C,R$2,FALSE)),"NOT PRESENT",VLOOKUP(DATA!$P158,'M2'!$A:$C,R$2,FALSE)),IF($N496=0,IF(ISERROR(VLOOKUP($P496,'M1'!$A:$C,R$2,FALSE)),IF(ISERROR(VLOOKUP(DATA!$P158,'M2'!$A:$C,R$2,FALSE)),"NOT PRESENT",VLOOKUP(DATA!$P158,'M2'!$A:$C,R$2,FALSE)),VLOOKUP($P496,'M1'!$A:$C,R$2,FALSE)),"SPECIFY METHOD")))</f>
        <v>NOT PRESENT</v>
      </c>
      <c r="S496" s="20">
        <f t="shared" si="45"/>
        <v>2</v>
      </c>
      <c r="T496" s="2">
        <v>0</v>
      </c>
      <c r="W496" s="2">
        <v>2</v>
      </c>
    </row>
    <row r="497" spans="1:32">
      <c r="A497" s="7">
        <f>MAX($A$1:$A496)+1</f>
        <v>496</v>
      </c>
      <c r="B497" s="2" t="str">
        <f t="shared" si="40"/>
        <v>Em Lim</v>
      </c>
      <c r="C497" s="2" t="str">
        <f t="shared" si="41"/>
        <v>Jasmin Schuster</v>
      </c>
      <c r="D497" s="2" t="str">
        <f t="shared" si="46"/>
        <v>BMSC20</v>
      </c>
      <c r="E497" s="7" t="str">
        <f>IF(ISERROR(VLOOKUP($D497,SITES!$A:$E,2,FALSE)),"",VLOOKUP($D497,SITES!$A:$E,2,FALSE))</f>
        <v>Ed King East</v>
      </c>
      <c r="F497" s="4">
        <f>IF(ISERROR(VLOOKUP($D497,SITES!$A:$E,3,FALSE)),"",VLOOKUP($D497,SITES!$A:$E,3,FALSE))</f>
        <v>48.835666656494098</v>
      </c>
      <c r="G497" s="18">
        <f>IF(ISERROR(VLOOKUP($D497,SITES!$A:$E,4,FALSE)),"",VLOOKUP($D497,SITES!$A:$E,4,FALSE))</f>
        <v>-125.214797973632</v>
      </c>
      <c r="H497" s="5" t="str">
        <f t="shared" si="42"/>
        <v>09/05/2023</v>
      </c>
      <c r="I497" s="2">
        <f t="shared" si="47"/>
        <v>2.5</v>
      </c>
      <c r="J497" s="2">
        <f t="shared" si="48"/>
        <v>300</v>
      </c>
      <c r="K497" s="6">
        <f t="shared" si="49"/>
        <v>0.52430555555555558</v>
      </c>
      <c r="L497" s="2" t="str">
        <f t="shared" si="43"/>
        <v>EGL</v>
      </c>
      <c r="M497" s="2">
        <f t="shared" si="44"/>
        <v>7</v>
      </c>
      <c r="N497" s="2">
        <f t="shared" si="51"/>
        <v>2</v>
      </c>
      <c r="O497" s="2">
        <f t="shared" si="50"/>
        <v>1</v>
      </c>
      <c r="P497" s="27" t="s">
        <v>189</v>
      </c>
      <c r="Q497" s="7" t="str">
        <f>IF($N497=1,IF(ISERROR(VLOOKUP($P497,'M1'!$A:$C,Q$2,FALSE)),"NOT PRESENT",VLOOKUP($P497,'M1'!$A:$C,Q$2,FALSE)),IF($N497=2,IF(ISERROR(VLOOKUP(DATA!$P159,'M2'!$A:$C,Q$2,FALSE)),"NOT PRESENT",VLOOKUP(DATA!$P159,'M2'!$A:$C,Q$2,FALSE)),IF($N497=0,IF(ISERROR(VLOOKUP($P497,'M1'!$A:$C,Q$2,FALSE)),IF(ISERROR(VLOOKUP(DATA!$P159,'M2'!$A:$C,Q$2,FALSE)),"NOT PRESENT",VLOOKUP(DATA!$P159,'M2'!$A:$C,Q$2,FALSE)),VLOOKUP($P497,'M1'!$A:$C,Q$2,FALSE)),"SPECIFY METHOD")))</f>
        <v>NOT PRESENT</v>
      </c>
      <c r="R497" s="4" t="str">
        <f>IF($N497=1,IF(ISERROR(VLOOKUP($P497,'M1'!$A:$C,R$2,FALSE)),"NOT PRESENT",VLOOKUP($P497,'M1'!$A:$C,R$2,FALSE)),IF($N497=2,IF(ISERROR(VLOOKUP(DATA!$P159,'M2'!$A:$C,R$2,FALSE)),"NOT PRESENT",VLOOKUP(DATA!$P159,'M2'!$A:$C,R$2,FALSE)),IF($N497=0,IF(ISERROR(VLOOKUP($P497,'M1'!$A:$C,R$2,FALSE)),IF(ISERROR(VLOOKUP(DATA!$P159,'M2'!$A:$C,R$2,FALSE)),"NOT PRESENT",VLOOKUP(DATA!$P159,'M2'!$A:$C,R$2,FALSE)),VLOOKUP($P497,'M1'!$A:$C,R$2,FALSE)),"SPECIFY METHOD")))</f>
        <v>NOT PRESENT</v>
      </c>
      <c r="S497" s="20">
        <f t="shared" si="45"/>
        <v>2</v>
      </c>
      <c r="T497" s="2">
        <v>0</v>
      </c>
      <c r="U497" s="2">
        <v>2</v>
      </c>
    </row>
    <row r="498" spans="1:32">
      <c r="A498" s="7">
        <f>MAX($A$1:$A497)+1</f>
        <v>497</v>
      </c>
      <c r="B498" s="2" t="str">
        <f t="shared" si="40"/>
        <v>Em Lim</v>
      </c>
      <c r="C498" s="2" t="str">
        <f t="shared" si="41"/>
        <v>Jasmin Schuster</v>
      </c>
      <c r="D498" s="2" t="str">
        <f t="shared" si="46"/>
        <v>BMSC20</v>
      </c>
      <c r="E498" s="7" t="str">
        <f>IF(ISERROR(VLOOKUP($D498,SITES!$A:$E,2,FALSE)),"",VLOOKUP($D498,SITES!$A:$E,2,FALSE))</f>
        <v>Ed King East</v>
      </c>
      <c r="F498" s="4">
        <f>IF(ISERROR(VLOOKUP($D498,SITES!$A:$E,3,FALSE)),"",VLOOKUP($D498,SITES!$A:$E,3,FALSE))</f>
        <v>48.835666656494098</v>
      </c>
      <c r="G498" s="18">
        <f>IF(ISERROR(VLOOKUP($D498,SITES!$A:$E,4,FALSE)),"",VLOOKUP($D498,SITES!$A:$E,4,FALSE))</f>
        <v>-125.214797973632</v>
      </c>
      <c r="H498" s="5" t="str">
        <f t="shared" si="42"/>
        <v>09/05/2023</v>
      </c>
      <c r="I498" s="2">
        <f t="shared" si="47"/>
        <v>2.5</v>
      </c>
      <c r="J498" s="2">
        <f t="shared" si="48"/>
        <v>300</v>
      </c>
      <c r="K498" s="6">
        <f t="shared" si="49"/>
        <v>0.52430555555555558</v>
      </c>
      <c r="L498" s="2" t="str">
        <f t="shared" si="43"/>
        <v>EGL</v>
      </c>
      <c r="M498" s="2">
        <f t="shared" si="44"/>
        <v>7</v>
      </c>
      <c r="N498" s="2">
        <f t="shared" si="51"/>
        <v>2</v>
      </c>
      <c r="O498" s="2">
        <f t="shared" si="50"/>
        <v>1</v>
      </c>
      <c r="P498" s="27" t="s">
        <v>227</v>
      </c>
      <c r="Q498" s="7" t="str">
        <f>IF($N498=1,IF(ISERROR(VLOOKUP($P498,'M1'!$A:$C,Q$2,FALSE)),"NOT PRESENT",VLOOKUP($P498,'M1'!$A:$C,Q$2,FALSE)),IF($N498=2,IF(ISERROR(VLOOKUP(DATA!$P160,'M2'!$A:$C,Q$2,FALSE)),"NOT PRESENT",VLOOKUP(DATA!$P160,'M2'!$A:$C,Q$2,FALSE)),IF($N498=0,IF(ISERROR(VLOOKUP($P498,'M1'!$A:$C,Q$2,FALSE)),IF(ISERROR(VLOOKUP(DATA!$P160,'M2'!$A:$C,Q$2,FALSE)),"NOT PRESENT",VLOOKUP(DATA!$P160,'M2'!$A:$C,Q$2,FALSE)),VLOOKUP($P498,'M1'!$A:$C,Q$2,FALSE)),"SPECIFY METHOD")))</f>
        <v>NOT PRESENT</v>
      </c>
      <c r="R498" s="4" t="str">
        <f>IF($N498=1,IF(ISERROR(VLOOKUP($P498,'M1'!$A:$C,R$2,FALSE)),"NOT PRESENT",VLOOKUP($P498,'M1'!$A:$C,R$2,FALSE)),IF($N498=2,IF(ISERROR(VLOOKUP(DATA!$P160,'M2'!$A:$C,R$2,FALSE)),"NOT PRESENT",VLOOKUP(DATA!$P160,'M2'!$A:$C,R$2,FALSE)),IF($N498=0,IF(ISERROR(VLOOKUP($P498,'M1'!$A:$C,R$2,FALSE)),IF(ISERROR(VLOOKUP(DATA!$P160,'M2'!$A:$C,R$2,FALSE)),"NOT PRESENT",VLOOKUP(DATA!$P160,'M2'!$A:$C,R$2,FALSE)),VLOOKUP($P498,'M1'!$A:$C,R$2,FALSE)),"SPECIFY METHOD")))</f>
        <v>NOT PRESENT</v>
      </c>
      <c r="S498" s="20">
        <f t="shared" si="45"/>
        <v>1</v>
      </c>
      <c r="T498" s="2">
        <v>1</v>
      </c>
    </row>
    <row r="499" spans="1:32">
      <c r="A499" s="7">
        <f>MAX($A$1:$A498)+1</f>
        <v>498</v>
      </c>
      <c r="B499" s="2" t="str">
        <f t="shared" si="40"/>
        <v>Em Lim</v>
      </c>
      <c r="C499" s="2" t="str">
        <f t="shared" si="41"/>
        <v>Jasmin Schuster</v>
      </c>
      <c r="D499" s="2" t="str">
        <f t="shared" si="46"/>
        <v>BMSC20</v>
      </c>
      <c r="E499" s="7" t="str">
        <f>IF(ISERROR(VLOOKUP($D499,SITES!$A:$E,2,FALSE)),"",VLOOKUP($D499,SITES!$A:$E,2,FALSE))</f>
        <v>Ed King East</v>
      </c>
      <c r="F499" s="4">
        <f>IF(ISERROR(VLOOKUP($D499,SITES!$A:$E,3,FALSE)),"",VLOOKUP($D499,SITES!$A:$E,3,FALSE))</f>
        <v>48.835666656494098</v>
      </c>
      <c r="G499" s="18">
        <f>IF(ISERROR(VLOOKUP($D499,SITES!$A:$E,4,FALSE)),"",VLOOKUP($D499,SITES!$A:$E,4,FALSE))</f>
        <v>-125.214797973632</v>
      </c>
      <c r="H499" s="5" t="str">
        <f t="shared" si="42"/>
        <v>09/05/2023</v>
      </c>
      <c r="I499" s="2">
        <f t="shared" si="47"/>
        <v>2.5</v>
      </c>
      <c r="J499" s="2">
        <f t="shared" si="48"/>
        <v>300</v>
      </c>
      <c r="K499" s="6">
        <f t="shared" si="49"/>
        <v>0.52430555555555558</v>
      </c>
      <c r="L499" s="2" t="str">
        <f t="shared" si="43"/>
        <v>EGL</v>
      </c>
      <c r="M499" s="2">
        <f t="shared" si="44"/>
        <v>7</v>
      </c>
      <c r="N499" s="2">
        <f t="shared" si="51"/>
        <v>2</v>
      </c>
      <c r="O499" s="2">
        <f t="shared" si="50"/>
        <v>1</v>
      </c>
      <c r="P499" s="27" t="s">
        <v>207</v>
      </c>
      <c r="Q499" s="7" t="str">
        <f>IF($N499=1,IF(ISERROR(VLOOKUP($P499,'M1'!$A:$C,Q$2,FALSE)),"NOT PRESENT",VLOOKUP($P499,'M1'!$A:$C,Q$2,FALSE)),IF($N499=2,IF(ISERROR(VLOOKUP(DATA!$P161,'M2'!$A:$C,Q$2,FALSE)),"NOT PRESENT",VLOOKUP(DATA!$P161,'M2'!$A:$C,Q$2,FALSE)),IF($N499=0,IF(ISERROR(VLOOKUP($P499,'M1'!$A:$C,Q$2,FALSE)),IF(ISERROR(VLOOKUP(DATA!$P161,'M2'!$A:$C,Q$2,FALSE)),"NOT PRESENT",VLOOKUP(DATA!$P161,'M2'!$A:$C,Q$2,FALSE)),VLOOKUP($P499,'M1'!$A:$C,Q$2,FALSE)),"SPECIFY METHOD")))</f>
        <v>NOT PRESENT</v>
      </c>
      <c r="R499" s="4" t="str">
        <f>IF($N499=1,IF(ISERROR(VLOOKUP($P499,'M1'!$A:$C,R$2,FALSE)),"NOT PRESENT",VLOOKUP($P499,'M1'!$A:$C,R$2,FALSE)),IF($N499=2,IF(ISERROR(VLOOKUP(DATA!$P161,'M2'!$A:$C,R$2,FALSE)),"NOT PRESENT",VLOOKUP(DATA!$P161,'M2'!$A:$C,R$2,FALSE)),IF($N499=0,IF(ISERROR(VLOOKUP($P499,'M1'!$A:$C,R$2,FALSE)),IF(ISERROR(VLOOKUP(DATA!$P161,'M2'!$A:$C,R$2,FALSE)),"NOT PRESENT",VLOOKUP(DATA!$P161,'M2'!$A:$C,R$2,FALSE)),VLOOKUP($P499,'M1'!$A:$C,R$2,FALSE)),"SPECIFY METHOD")))</f>
        <v>NOT PRESENT</v>
      </c>
      <c r="S499" s="20">
        <f t="shared" si="45"/>
        <v>2</v>
      </c>
      <c r="T499" s="2">
        <v>2</v>
      </c>
    </row>
    <row r="500" spans="1:32">
      <c r="A500" s="7">
        <f>MAX($A$1:$A499)+1</f>
        <v>499</v>
      </c>
      <c r="B500" s="2" t="str">
        <f t="shared" si="40"/>
        <v>Em Lim</v>
      </c>
      <c r="C500" s="2" t="str">
        <f t="shared" si="41"/>
        <v>Jasmin Schuster</v>
      </c>
      <c r="D500" s="2" t="str">
        <f t="shared" si="46"/>
        <v>BMSC20</v>
      </c>
      <c r="E500" s="7" t="str">
        <f>IF(ISERROR(VLOOKUP($D500,SITES!$A:$E,2,FALSE)),"",VLOOKUP($D500,SITES!$A:$E,2,FALSE))</f>
        <v>Ed King East</v>
      </c>
      <c r="F500" s="4">
        <f>IF(ISERROR(VLOOKUP($D500,SITES!$A:$E,3,FALSE)),"",VLOOKUP($D500,SITES!$A:$E,3,FALSE))</f>
        <v>48.835666656494098</v>
      </c>
      <c r="G500" s="18">
        <f>IF(ISERROR(VLOOKUP($D500,SITES!$A:$E,4,FALSE)),"",VLOOKUP($D500,SITES!$A:$E,4,FALSE))</f>
        <v>-125.214797973632</v>
      </c>
      <c r="H500" s="5" t="str">
        <f t="shared" si="42"/>
        <v>09/05/2023</v>
      </c>
      <c r="I500" s="2">
        <f t="shared" si="47"/>
        <v>2.5</v>
      </c>
      <c r="J500" s="2">
        <f t="shared" si="48"/>
        <v>300</v>
      </c>
      <c r="K500" s="6">
        <f t="shared" si="49"/>
        <v>0.52430555555555558</v>
      </c>
      <c r="L500" s="2" t="str">
        <f t="shared" si="43"/>
        <v>EGL</v>
      </c>
      <c r="M500" s="2">
        <f t="shared" si="44"/>
        <v>7</v>
      </c>
      <c r="N500" s="2">
        <f t="shared" si="51"/>
        <v>2</v>
      </c>
      <c r="O500" s="2">
        <f t="shared" si="50"/>
        <v>1</v>
      </c>
      <c r="P500" s="27" t="s">
        <v>228</v>
      </c>
      <c r="Q500" s="7" t="str">
        <f>IF($N500=1,IF(ISERROR(VLOOKUP($P500,'M1'!$A:$C,Q$2,FALSE)),"NOT PRESENT",VLOOKUP($P500,'M1'!$A:$C,Q$2,FALSE)),IF($N500=2,IF(ISERROR(VLOOKUP(DATA!$P162,'M2'!$A:$C,Q$2,FALSE)),"NOT PRESENT",VLOOKUP(DATA!$P162,'M2'!$A:$C,Q$2,FALSE)),IF($N500=0,IF(ISERROR(VLOOKUP($P500,'M1'!$A:$C,Q$2,FALSE)),IF(ISERROR(VLOOKUP(DATA!$P162,'M2'!$A:$C,Q$2,FALSE)),"NOT PRESENT",VLOOKUP(DATA!$P162,'M2'!$A:$C,Q$2,FALSE)),VLOOKUP($P500,'M1'!$A:$C,Q$2,FALSE)),"SPECIFY METHOD")))</f>
        <v>NOT PRESENT</v>
      </c>
      <c r="R500" s="4" t="str">
        <f>IF($N500=1,IF(ISERROR(VLOOKUP($P500,'M1'!$A:$C,R$2,FALSE)),"NOT PRESENT",VLOOKUP($P500,'M1'!$A:$C,R$2,FALSE)),IF($N500=2,IF(ISERROR(VLOOKUP(DATA!$P162,'M2'!$A:$C,R$2,FALSE)),"NOT PRESENT",VLOOKUP(DATA!$P162,'M2'!$A:$C,R$2,FALSE)),IF($N500=0,IF(ISERROR(VLOOKUP($P500,'M1'!$A:$C,R$2,FALSE)),IF(ISERROR(VLOOKUP(DATA!$P162,'M2'!$A:$C,R$2,FALSE)),"NOT PRESENT",VLOOKUP(DATA!$P162,'M2'!$A:$C,R$2,FALSE)),VLOOKUP($P500,'M1'!$A:$C,R$2,FALSE)),"SPECIFY METHOD")))</f>
        <v>NOT PRESENT</v>
      </c>
      <c r="S500" s="20">
        <f t="shared" si="45"/>
        <v>1</v>
      </c>
      <c r="T500" s="2">
        <v>1</v>
      </c>
    </row>
    <row r="501" spans="1:32">
      <c r="A501" s="7">
        <f>MAX($A$1:$A500)+1</f>
        <v>500</v>
      </c>
      <c r="B501" s="2" t="str">
        <f t="shared" si="40"/>
        <v>Em Lim</v>
      </c>
      <c r="C501" s="2" t="str">
        <f t="shared" si="41"/>
        <v>Jasmin Schuster</v>
      </c>
      <c r="D501" s="2" t="str">
        <f t="shared" si="46"/>
        <v>BMSC20</v>
      </c>
      <c r="E501" s="7" t="str">
        <f>IF(ISERROR(VLOOKUP($D501,SITES!$A:$E,2,FALSE)),"",VLOOKUP($D501,SITES!$A:$E,2,FALSE))</f>
        <v>Ed King East</v>
      </c>
      <c r="F501" s="4">
        <f>IF(ISERROR(VLOOKUP($D501,SITES!$A:$E,3,FALSE)),"",VLOOKUP($D501,SITES!$A:$E,3,FALSE))</f>
        <v>48.835666656494098</v>
      </c>
      <c r="G501" s="18">
        <f>IF(ISERROR(VLOOKUP($D501,SITES!$A:$E,4,FALSE)),"",VLOOKUP($D501,SITES!$A:$E,4,FALSE))</f>
        <v>-125.214797973632</v>
      </c>
      <c r="H501" s="5" t="str">
        <f t="shared" si="42"/>
        <v>09/05/2023</v>
      </c>
      <c r="I501" s="2">
        <f t="shared" si="47"/>
        <v>2.5</v>
      </c>
      <c r="J501" s="2">
        <f t="shared" si="48"/>
        <v>300</v>
      </c>
      <c r="K501" s="6">
        <f t="shared" si="49"/>
        <v>0.52430555555555558</v>
      </c>
      <c r="L501" s="2" t="str">
        <f t="shared" si="43"/>
        <v>EGL</v>
      </c>
      <c r="M501" s="2">
        <f t="shared" si="44"/>
        <v>7</v>
      </c>
      <c r="N501" s="2">
        <f t="shared" si="51"/>
        <v>2</v>
      </c>
      <c r="O501" s="2">
        <f t="shared" si="50"/>
        <v>1</v>
      </c>
      <c r="P501" s="27" t="s">
        <v>175</v>
      </c>
      <c r="Q501" s="7" t="str">
        <f>IF($N501=1,IF(ISERROR(VLOOKUP($P501,'M1'!$A:$C,Q$2,FALSE)),"NOT PRESENT",VLOOKUP($P501,'M1'!$A:$C,Q$2,FALSE)),IF($N501=2,IF(ISERROR(VLOOKUP(DATA!$P163,'M2'!$A:$C,Q$2,FALSE)),"NOT PRESENT",VLOOKUP(DATA!$P163,'M2'!$A:$C,Q$2,FALSE)),IF($N501=0,IF(ISERROR(VLOOKUP($P501,'M1'!$A:$C,Q$2,FALSE)),IF(ISERROR(VLOOKUP(DATA!$P163,'M2'!$A:$C,Q$2,FALSE)),"NOT PRESENT",VLOOKUP(DATA!$P163,'M2'!$A:$C,Q$2,FALSE)),VLOOKUP($P501,'M1'!$A:$C,Q$2,FALSE)),"SPECIFY METHOD")))</f>
        <v>NOT PRESENT</v>
      </c>
      <c r="R501" s="4" t="str">
        <f>IF($N501=1,IF(ISERROR(VLOOKUP($P501,'M1'!$A:$C,R$2,FALSE)),"NOT PRESENT",VLOOKUP($P501,'M1'!$A:$C,R$2,FALSE)),IF($N501=2,IF(ISERROR(VLOOKUP(DATA!$P163,'M2'!$A:$C,R$2,FALSE)),"NOT PRESENT",VLOOKUP(DATA!$P163,'M2'!$A:$C,R$2,FALSE)),IF($N501=0,IF(ISERROR(VLOOKUP($P501,'M1'!$A:$C,R$2,FALSE)),IF(ISERROR(VLOOKUP(DATA!$P163,'M2'!$A:$C,R$2,FALSE)),"NOT PRESENT",VLOOKUP(DATA!$P163,'M2'!$A:$C,R$2,FALSE)),VLOOKUP($P501,'M1'!$A:$C,R$2,FALSE)),"SPECIFY METHOD")))</f>
        <v>NOT PRESENT</v>
      </c>
      <c r="S501" s="20">
        <f t="shared" si="45"/>
        <v>2</v>
      </c>
      <c r="T501" s="2">
        <v>0</v>
      </c>
      <c r="X501" s="2">
        <v>1</v>
      </c>
      <c r="Z501" s="2">
        <v>1</v>
      </c>
    </row>
    <row r="502" spans="1:32">
      <c r="A502" s="7">
        <f>MAX($A$1:$A501)+1</f>
        <v>501</v>
      </c>
      <c r="B502" s="2" t="str">
        <f t="shared" si="40"/>
        <v>Em Lim</v>
      </c>
      <c r="C502" s="2" t="str">
        <f t="shared" si="41"/>
        <v>Jasmin Schuster</v>
      </c>
      <c r="D502" s="2" t="str">
        <f t="shared" si="46"/>
        <v>BMSC20</v>
      </c>
      <c r="E502" s="7" t="str">
        <f>IF(ISERROR(VLOOKUP($D502,SITES!$A:$E,2,FALSE)),"",VLOOKUP($D502,SITES!$A:$E,2,FALSE))</f>
        <v>Ed King East</v>
      </c>
      <c r="F502" s="4">
        <f>IF(ISERROR(VLOOKUP($D502,SITES!$A:$E,3,FALSE)),"",VLOOKUP($D502,SITES!$A:$E,3,FALSE))</f>
        <v>48.835666656494098</v>
      </c>
      <c r="G502" s="18">
        <f>IF(ISERROR(VLOOKUP($D502,SITES!$A:$E,4,FALSE)),"",VLOOKUP($D502,SITES!$A:$E,4,FALSE))</f>
        <v>-125.214797973632</v>
      </c>
      <c r="H502" s="5" t="str">
        <f t="shared" si="42"/>
        <v>09/05/2023</v>
      </c>
      <c r="I502" s="2">
        <f t="shared" si="47"/>
        <v>2.5</v>
      </c>
      <c r="J502" s="2">
        <f t="shared" si="48"/>
        <v>300</v>
      </c>
      <c r="K502" s="6">
        <f t="shared" si="49"/>
        <v>0.52430555555555558</v>
      </c>
      <c r="L502" s="2" t="str">
        <f t="shared" si="43"/>
        <v>EGL</v>
      </c>
      <c r="M502" s="2">
        <f t="shared" si="44"/>
        <v>7</v>
      </c>
      <c r="N502" s="2">
        <f t="shared" si="51"/>
        <v>2</v>
      </c>
      <c r="O502" s="2">
        <f t="shared" si="50"/>
        <v>1</v>
      </c>
      <c r="P502" s="27" t="s">
        <v>199</v>
      </c>
      <c r="Q502" s="7" t="str">
        <f>IF($N502=1,IF(ISERROR(VLOOKUP($P502,'M1'!$A:$C,Q$2,FALSE)),"NOT PRESENT",VLOOKUP($P502,'M1'!$A:$C,Q$2,FALSE)),IF($N502=2,IF(ISERROR(VLOOKUP(DATA!$P164,'M2'!$A:$C,Q$2,FALSE)),"NOT PRESENT",VLOOKUP(DATA!$P164,'M2'!$A:$C,Q$2,FALSE)),IF($N502=0,IF(ISERROR(VLOOKUP($P502,'M1'!$A:$C,Q$2,FALSE)),IF(ISERROR(VLOOKUP(DATA!$P164,'M2'!$A:$C,Q$2,FALSE)),"NOT PRESENT",VLOOKUP(DATA!$P164,'M2'!$A:$C,Q$2,FALSE)),VLOOKUP($P502,'M1'!$A:$C,Q$2,FALSE)),"SPECIFY METHOD")))</f>
        <v>NOT PRESENT</v>
      </c>
      <c r="R502" s="4" t="str">
        <f>IF($N502=1,IF(ISERROR(VLOOKUP($P502,'M1'!$A:$C,R$2,FALSE)),"NOT PRESENT",VLOOKUP($P502,'M1'!$A:$C,R$2,FALSE)),IF($N502=2,IF(ISERROR(VLOOKUP(DATA!$P164,'M2'!$A:$C,R$2,FALSE)),"NOT PRESENT",VLOOKUP(DATA!$P164,'M2'!$A:$C,R$2,FALSE)),IF($N502=0,IF(ISERROR(VLOOKUP($P502,'M1'!$A:$C,R$2,FALSE)),IF(ISERROR(VLOOKUP(DATA!$P164,'M2'!$A:$C,R$2,FALSE)),"NOT PRESENT",VLOOKUP(DATA!$P164,'M2'!$A:$C,R$2,FALSE)),VLOOKUP($P502,'M1'!$A:$C,R$2,FALSE)),"SPECIFY METHOD")))</f>
        <v>NOT PRESENT</v>
      </c>
      <c r="S502" s="20">
        <f t="shared" si="45"/>
        <v>2</v>
      </c>
      <c r="T502" s="2">
        <v>2</v>
      </c>
    </row>
    <row r="503" spans="1:32">
      <c r="A503" s="7">
        <f>MAX($A$1:$A502)+1</f>
        <v>502</v>
      </c>
      <c r="B503" s="2" t="str">
        <f t="shared" si="40"/>
        <v>Em Lim</v>
      </c>
      <c r="C503" s="2" t="str">
        <f t="shared" si="41"/>
        <v>Jasmin Schuster</v>
      </c>
      <c r="D503" s="2" t="str">
        <f t="shared" si="46"/>
        <v>BMSC20</v>
      </c>
      <c r="E503" s="7" t="str">
        <f>IF(ISERROR(VLOOKUP($D503,SITES!$A:$E,2,FALSE)),"",VLOOKUP($D503,SITES!$A:$E,2,FALSE))</f>
        <v>Ed King East</v>
      </c>
      <c r="F503" s="4">
        <f>IF(ISERROR(VLOOKUP($D503,SITES!$A:$E,3,FALSE)),"",VLOOKUP($D503,SITES!$A:$E,3,FALSE))</f>
        <v>48.835666656494098</v>
      </c>
      <c r="G503" s="18">
        <f>IF(ISERROR(VLOOKUP($D503,SITES!$A:$E,4,FALSE)),"",VLOOKUP($D503,SITES!$A:$E,4,FALSE))</f>
        <v>-125.214797973632</v>
      </c>
      <c r="H503" s="5" t="str">
        <f t="shared" si="42"/>
        <v>09/05/2023</v>
      </c>
      <c r="I503" s="2">
        <f t="shared" si="47"/>
        <v>2.5</v>
      </c>
      <c r="J503" s="2">
        <f t="shared" si="48"/>
        <v>300</v>
      </c>
      <c r="K503" s="6">
        <f t="shared" si="49"/>
        <v>0.52430555555555558</v>
      </c>
      <c r="L503" s="2" t="str">
        <f t="shared" si="43"/>
        <v>EGL</v>
      </c>
      <c r="M503" s="2">
        <f t="shared" si="44"/>
        <v>7</v>
      </c>
      <c r="N503" s="2">
        <f t="shared" si="51"/>
        <v>2</v>
      </c>
      <c r="O503" s="2">
        <f t="shared" si="50"/>
        <v>1</v>
      </c>
      <c r="P503" s="27" t="s">
        <v>229</v>
      </c>
      <c r="Q503" s="7" t="str">
        <f>IF($N503=1,IF(ISERROR(VLOOKUP($P503,'M1'!$A:$C,Q$2,FALSE)),"NOT PRESENT",VLOOKUP($P503,'M1'!$A:$C,Q$2,FALSE)),IF($N503=2,IF(ISERROR(VLOOKUP(DATA!$P165,'M2'!$A:$C,Q$2,FALSE)),"NOT PRESENT",VLOOKUP(DATA!$P165,'M2'!$A:$C,Q$2,FALSE)),IF($N503=0,IF(ISERROR(VLOOKUP($P503,'M1'!$A:$C,Q$2,FALSE)),IF(ISERROR(VLOOKUP(DATA!$P165,'M2'!$A:$C,Q$2,FALSE)),"NOT PRESENT",VLOOKUP(DATA!$P165,'M2'!$A:$C,Q$2,FALSE)),VLOOKUP($P503,'M1'!$A:$C,Q$2,FALSE)),"SPECIFY METHOD")))</f>
        <v>NOT PRESENT</v>
      </c>
      <c r="R503" s="4" t="str">
        <f>IF($N503=1,IF(ISERROR(VLOOKUP($P503,'M1'!$A:$C,R$2,FALSE)),"NOT PRESENT",VLOOKUP($P503,'M1'!$A:$C,R$2,FALSE)),IF($N503=2,IF(ISERROR(VLOOKUP(DATA!$P165,'M2'!$A:$C,R$2,FALSE)),"NOT PRESENT",VLOOKUP(DATA!$P165,'M2'!$A:$C,R$2,FALSE)),IF($N503=0,IF(ISERROR(VLOOKUP($P503,'M1'!$A:$C,R$2,FALSE)),IF(ISERROR(VLOOKUP(DATA!$P165,'M2'!$A:$C,R$2,FALSE)),"NOT PRESENT",VLOOKUP(DATA!$P165,'M2'!$A:$C,R$2,FALSE)),VLOOKUP($P503,'M1'!$A:$C,R$2,FALSE)),"SPECIFY METHOD")))</f>
        <v>NOT PRESENT</v>
      </c>
      <c r="S503" s="20">
        <f t="shared" si="45"/>
        <v>1</v>
      </c>
      <c r="T503" s="2">
        <v>1</v>
      </c>
    </row>
    <row r="504" spans="1:32">
      <c r="A504" s="7">
        <f>MAX($A$1:$A503)+1</f>
        <v>503</v>
      </c>
      <c r="B504" s="2" t="str">
        <f t="shared" si="40"/>
        <v>Em Lim</v>
      </c>
      <c r="C504" s="2" t="str">
        <f t="shared" si="41"/>
        <v>Jasmin Schuster</v>
      </c>
      <c r="D504" s="2" t="str">
        <f t="shared" si="46"/>
        <v>BMSC20</v>
      </c>
      <c r="E504" s="7" t="str">
        <f>IF(ISERROR(VLOOKUP($D504,SITES!$A:$E,2,FALSE)),"",VLOOKUP($D504,SITES!$A:$E,2,FALSE))</f>
        <v>Ed King East</v>
      </c>
      <c r="F504" s="4">
        <f>IF(ISERROR(VLOOKUP($D504,SITES!$A:$E,3,FALSE)),"",VLOOKUP($D504,SITES!$A:$E,3,FALSE))</f>
        <v>48.835666656494098</v>
      </c>
      <c r="G504" s="18">
        <f>IF(ISERROR(VLOOKUP($D504,SITES!$A:$E,4,FALSE)),"",VLOOKUP($D504,SITES!$A:$E,4,FALSE))</f>
        <v>-125.214797973632</v>
      </c>
      <c r="H504" s="5" t="str">
        <f t="shared" si="42"/>
        <v>09/05/2023</v>
      </c>
      <c r="I504" s="2">
        <f t="shared" si="47"/>
        <v>2.5</v>
      </c>
      <c r="J504" s="2">
        <f t="shared" si="48"/>
        <v>300</v>
      </c>
      <c r="K504" s="6">
        <f t="shared" si="49"/>
        <v>0.52430555555555558</v>
      </c>
      <c r="L504" s="2" t="str">
        <f t="shared" si="43"/>
        <v>EGL</v>
      </c>
      <c r="M504" s="2">
        <f t="shared" si="44"/>
        <v>7</v>
      </c>
      <c r="N504" s="2">
        <f t="shared" si="51"/>
        <v>2</v>
      </c>
      <c r="O504" s="2">
        <f t="shared" si="50"/>
        <v>1</v>
      </c>
      <c r="P504" s="27" t="s">
        <v>179</v>
      </c>
      <c r="Q504" s="7" t="str">
        <f>IF($N504=1,IF(ISERROR(VLOOKUP($P504,'M1'!$A:$C,Q$2,FALSE)),"NOT PRESENT",VLOOKUP($P504,'M1'!$A:$C,Q$2,FALSE)),IF($N504=2,IF(ISERROR(VLOOKUP(DATA!$P166,'M2'!$A:$C,Q$2,FALSE)),"NOT PRESENT",VLOOKUP(DATA!$P166,'M2'!$A:$C,Q$2,FALSE)),IF($N504=0,IF(ISERROR(VLOOKUP($P504,'M1'!$A:$C,Q$2,FALSE)),IF(ISERROR(VLOOKUP(DATA!$P166,'M2'!$A:$C,Q$2,FALSE)),"NOT PRESENT",VLOOKUP(DATA!$P166,'M2'!$A:$C,Q$2,FALSE)),VLOOKUP($P504,'M1'!$A:$C,Q$2,FALSE)),"SPECIFY METHOD")))</f>
        <v>NOT PRESENT</v>
      </c>
      <c r="R504" s="4" t="str">
        <f>IF($N504=1,IF(ISERROR(VLOOKUP($P504,'M1'!$A:$C,R$2,FALSE)),"NOT PRESENT",VLOOKUP($P504,'M1'!$A:$C,R$2,FALSE)),IF($N504=2,IF(ISERROR(VLOOKUP(DATA!$P166,'M2'!$A:$C,R$2,FALSE)),"NOT PRESENT",VLOOKUP(DATA!$P166,'M2'!$A:$C,R$2,FALSE)),IF($N504=0,IF(ISERROR(VLOOKUP($P504,'M1'!$A:$C,R$2,FALSE)),IF(ISERROR(VLOOKUP(DATA!$P166,'M2'!$A:$C,R$2,FALSE)),"NOT PRESENT",VLOOKUP(DATA!$P166,'M2'!$A:$C,R$2,FALSE)),VLOOKUP($P504,'M1'!$A:$C,R$2,FALSE)),"SPECIFY METHOD")))</f>
        <v>NOT PRESENT</v>
      </c>
      <c r="S504" s="20">
        <f t="shared" si="45"/>
        <v>2</v>
      </c>
      <c r="T504" s="2">
        <v>2</v>
      </c>
    </row>
    <row r="505" spans="1:32">
      <c r="A505" s="7">
        <f>MAX($A$1:$A504)+1</f>
        <v>504</v>
      </c>
      <c r="B505" s="2" t="str">
        <f t="shared" si="40"/>
        <v>Em Lim</v>
      </c>
      <c r="C505" s="2" t="str">
        <f t="shared" si="41"/>
        <v>Jasmin Schuster</v>
      </c>
      <c r="D505" s="2" t="str">
        <f t="shared" si="46"/>
        <v>BMSC20</v>
      </c>
      <c r="E505" s="7" t="str">
        <f>IF(ISERROR(VLOOKUP($D505,SITES!$A:$E,2,FALSE)),"",VLOOKUP($D505,SITES!$A:$E,2,FALSE))</f>
        <v>Ed King East</v>
      </c>
      <c r="F505" s="4">
        <f>IF(ISERROR(VLOOKUP($D505,SITES!$A:$E,3,FALSE)),"",VLOOKUP($D505,SITES!$A:$E,3,FALSE))</f>
        <v>48.835666656494098</v>
      </c>
      <c r="G505" s="18">
        <f>IF(ISERROR(VLOOKUP($D505,SITES!$A:$E,4,FALSE)),"",VLOOKUP($D505,SITES!$A:$E,4,FALSE))</f>
        <v>-125.214797973632</v>
      </c>
      <c r="H505" s="5" t="str">
        <f t="shared" si="42"/>
        <v>09/05/2023</v>
      </c>
      <c r="I505" s="2">
        <f t="shared" si="47"/>
        <v>2.5</v>
      </c>
      <c r="J505" s="2">
        <f t="shared" si="48"/>
        <v>300</v>
      </c>
      <c r="K505" s="6">
        <f t="shared" si="49"/>
        <v>0.52430555555555558</v>
      </c>
      <c r="L505" s="2" t="str">
        <f t="shared" si="43"/>
        <v>EGL</v>
      </c>
      <c r="M505" s="2">
        <f t="shared" si="44"/>
        <v>7</v>
      </c>
      <c r="N505" s="2">
        <f t="shared" si="51"/>
        <v>2</v>
      </c>
      <c r="O505" s="2">
        <f t="shared" si="50"/>
        <v>1</v>
      </c>
      <c r="P505" s="27" t="s">
        <v>206</v>
      </c>
      <c r="Q505" s="7" t="str">
        <f>IF($N505=1,IF(ISERROR(VLOOKUP($P505,'M1'!$A:$C,Q$2,FALSE)),"NOT PRESENT",VLOOKUP($P505,'M1'!$A:$C,Q$2,FALSE)),IF($N505=2,IF(ISERROR(VLOOKUP(DATA!$P167,'M2'!$A:$C,Q$2,FALSE)),"NOT PRESENT",VLOOKUP(DATA!$P167,'M2'!$A:$C,Q$2,FALSE)),IF($N505=0,IF(ISERROR(VLOOKUP($P505,'M1'!$A:$C,Q$2,FALSE)),IF(ISERROR(VLOOKUP(DATA!$P167,'M2'!$A:$C,Q$2,FALSE)),"NOT PRESENT",VLOOKUP(DATA!$P167,'M2'!$A:$C,Q$2,FALSE)),VLOOKUP($P505,'M1'!$A:$C,Q$2,FALSE)),"SPECIFY METHOD")))</f>
        <v>NOT PRESENT</v>
      </c>
      <c r="R505" s="4" t="str">
        <f>IF($N505=1,IF(ISERROR(VLOOKUP($P505,'M1'!$A:$C,R$2,FALSE)),"NOT PRESENT",VLOOKUP($P505,'M1'!$A:$C,R$2,FALSE)),IF($N505=2,IF(ISERROR(VLOOKUP(DATA!$P167,'M2'!$A:$C,R$2,FALSE)),"NOT PRESENT",VLOOKUP(DATA!$P167,'M2'!$A:$C,R$2,FALSE)),IF($N505=0,IF(ISERROR(VLOOKUP($P505,'M1'!$A:$C,R$2,FALSE)),IF(ISERROR(VLOOKUP(DATA!$P167,'M2'!$A:$C,R$2,FALSE)),"NOT PRESENT",VLOOKUP(DATA!$P167,'M2'!$A:$C,R$2,FALSE)),VLOOKUP($P505,'M1'!$A:$C,R$2,FALSE)),"SPECIFY METHOD")))</f>
        <v>NOT PRESENT</v>
      </c>
      <c r="S505" s="20">
        <f t="shared" si="45"/>
        <v>1</v>
      </c>
      <c r="T505" s="2">
        <v>0</v>
      </c>
      <c r="U505" s="2">
        <v>1</v>
      </c>
    </row>
    <row r="506" spans="1:32">
      <c r="A506" s="7">
        <f>MAX($A$1:$A505)+1</f>
        <v>505</v>
      </c>
      <c r="B506" s="2" t="s">
        <v>171</v>
      </c>
      <c r="C506" s="2" t="s">
        <v>170</v>
      </c>
      <c r="D506" s="2" t="s">
        <v>25</v>
      </c>
      <c r="E506" s="7" t="s">
        <v>485</v>
      </c>
      <c r="F506" s="4">
        <v>48.835666656494098</v>
      </c>
      <c r="G506" s="18">
        <v>-125.214797973632</v>
      </c>
      <c r="H506" s="5" t="s">
        <v>7</v>
      </c>
      <c r="I506" s="2">
        <v>2.5</v>
      </c>
      <c r="J506" s="2">
        <v>300</v>
      </c>
      <c r="K506" s="6">
        <v>0.52430555555555558</v>
      </c>
      <c r="L506" s="2" t="s">
        <v>172</v>
      </c>
      <c r="M506" s="2">
        <v>6.5</v>
      </c>
      <c r="N506" s="2">
        <v>1</v>
      </c>
      <c r="O506" s="2">
        <v>2</v>
      </c>
      <c r="P506" s="2" t="s">
        <v>232</v>
      </c>
      <c r="Q506" s="7" t="s">
        <v>43</v>
      </c>
      <c r="R506" s="4" t="s">
        <v>324</v>
      </c>
      <c r="S506" s="20">
        <v>11</v>
      </c>
      <c r="T506" s="2">
        <v>0</v>
      </c>
      <c r="AA506" s="2">
        <v>2</v>
      </c>
      <c r="AB506" s="2">
        <v>4</v>
      </c>
      <c r="AC506" s="2">
        <v>3</v>
      </c>
      <c r="AD506" s="2">
        <v>1</v>
      </c>
      <c r="AE506" s="2">
        <v>1</v>
      </c>
    </row>
    <row r="507" spans="1:32">
      <c r="A507" s="7">
        <f>MAX($A$1:$A506)+1</f>
        <v>506</v>
      </c>
      <c r="B507" s="2" t="s">
        <v>171</v>
      </c>
      <c r="C507" s="2" t="s">
        <v>170</v>
      </c>
      <c r="D507" s="2" t="s">
        <v>25</v>
      </c>
      <c r="E507" s="7" t="s">
        <v>485</v>
      </c>
      <c r="F507" s="4">
        <v>48.835666656494098</v>
      </c>
      <c r="G507" s="18">
        <v>-125.214797973632</v>
      </c>
      <c r="H507" s="5" t="s">
        <v>7</v>
      </c>
      <c r="I507" s="2">
        <v>2.5</v>
      </c>
      <c r="J507" s="2">
        <v>300</v>
      </c>
      <c r="K507" s="6">
        <v>0.52430555555555558</v>
      </c>
      <c r="L507" s="2" t="s">
        <v>172</v>
      </c>
      <c r="M507" s="2">
        <v>6.5</v>
      </c>
      <c r="N507" s="2">
        <v>1</v>
      </c>
      <c r="O507" s="2">
        <v>2</v>
      </c>
      <c r="P507" s="2" t="s">
        <v>231</v>
      </c>
      <c r="Q507" s="7" t="s">
        <v>48</v>
      </c>
      <c r="R507" s="4" t="s">
        <v>365</v>
      </c>
      <c r="S507" s="20">
        <v>11</v>
      </c>
      <c r="T507" s="2">
        <v>0</v>
      </c>
      <c r="AA507" s="2">
        <v>1</v>
      </c>
      <c r="AB507" s="2">
        <v>6</v>
      </c>
      <c r="AC507" s="2">
        <v>3</v>
      </c>
      <c r="AD507" s="2">
        <v>1</v>
      </c>
    </row>
    <row r="508" spans="1:32">
      <c r="A508" s="7">
        <f>MAX($A$1:$A507)+1</f>
        <v>507</v>
      </c>
      <c r="B508" s="2" t="s">
        <v>171</v>
      </c>
      <c r="C508" s="2" t="s">
        <v>170</v>
      </c>
      <c r="D508" s="2" t="s">
        <v>25</v>
      </c>
      <c r="E508" s="7" t="s">
        <v>485</v>
      </c>
      <c r="F508" s="4">
        <v>48.835666656494098</v>
      </c>
      <c r="G508" s="18">
        <v>-125.214797973632</v>
      </c>
      <c r="H508" s="5" t="s">
        <v>7</v>
      </c>
      <c r="I508" s="2">
        <v>2.5</v>
      </c>
      <c r="J508" s="2">
        <v>300</v>
      </c>
      <c r="K508" s="6">
        <v>0.52430555555555558</v>
      </c>
      <c r="L508" s="2" t="s">
        <v>172</v>
      </c>
      <c r="M508" s="2">
        <v>6.5</v>
      </c>
      <c r="N508" s="2">
        <v>1</v>
      </c>
      <c r="O508" s="2">
        <v>2</v>
      </c>
      <c r="P508" s="2" t="s">
        <v>237</v>
      </c>
      <c r="Q508" s="7" t="s">
        <v>51</v>
      </c>
      <c r="R508" s="4" t="s">
        <v>368</v>
      </c>
      <c r="S508" s="20">
        <v>1</v>
      </c>
      <c r="T508" s="2">
        <v>0</v>
      </c>
      <c r="AF508" s="2">
        <v>1</v>
      </c>
    </row>
    <row r="509" spans="1:32">
      <c r="A509" s="7">
        <f>MAX($A$1:$A508)+1</f>
        <v>508</v>
      </c>
      <c r="B509" s="2" t="s">
        <v>171</v>
      </c>
      <c r="C509" s="2" t="s">
        <v>170</v>
      </c>
      <c r="D509" s="2" t="s">
        <v>25</v>
      </c>
      <c r="E509" s="7" t="s">
        <v>485</v>
      </c>
      <c r="F509" s="4">
        <v>48.835666656494098</v>
      </c>
      <c r="G509" s="18">
        <v>-125.214797973632</v>
      </c>
      <c r="H509" s="5" t="s">
        <v>7</v>
      </c>
      <c r="I509" s="2">
        <v>2.5</v>
      </c>
      <c r="J509" s="2">
        <v>300</v>
      </c>
      <c r="K509" s="6">
        <v>0.52430555555555558</v>
      </c>
      <c r="L509" s="2" t="s">
        <v>172</v>
      </c>
      <c r="M509" s="2">
        <v>6.5</v>
      </c>
      <c r="N509" s="2">
        <v>2</v>
      </c>
      <c r="O509" s="2">
        <v>2</v>
      </c>
      <c r="P509" s="2" t="s">
        <v>241</v>
      </c>
      <c r="Q509" s="7" t="s">
        <v>63</v>
      </c>
      <c r="R509" s="4" t="s">
        <v>294</v>
      </c>
      <c r="S509" s="20">
        <v>367</v>
      </c>
      <c r="T509" s="2">
        <v>367</v>
      </c>
    </row>
    <row r="510" spans="1:32">
      <c r="A510" s="7">
        <f>MAX($A$1:$A509)+1</f>
        <v>509</v>
      </c>
      <c r="B510" s="2" t="s">
        <v>171</v>
      </c>
      <c r="C510" s="2" t="s">
        <v>170</v>
      </c>
      <c r="D510" s="2" t="s">
        <v>25</v>
      </c>
      <c r="E510" s="7" t="s">
        <v>485</v>
      </c>
      <c r="F510" s="4">
        <v>48.835666656494098</v>
      </c>
      <c r="G510" s="18">
        <v>-125.214797973632</v>
      </c>
      <c r="H510" s="5" t="s">
        <v>7</v>
      </c>
      <c r="I510" s="2">
        <v>2.5</v>
      </c>
      <c r="J510" s="2">
        <v>300</v>
      </c>
      <c r="K510" s="6">
        <v>0.52430555555555558</v>
      </c>
      <c r="L510" s="2" t="s">
        <v>172</v>
      </c>
      <c r="M510" s="2">
        <v>6.5</v>
      </c>
      <c r="N510" s="2">
        <v>2</v>
      </c>
      <c r="O510" s="2">
        <v>2</v>
      </c>
      <c r="P510" s="2" t="s">
        <v>239</v>
      </c>
      <c r="Q510" s="7" t="s">
        <v>80</v>
      </c>
      <c r="R510" s="4" t="s">
        <v>300</v>
      </c>
      <c r="S510" s="20">
        <v>7</v>
      </c>
      <c r="T510" s="2">
        <v>7</v>
      </c>
    </row>
    <row r="511" spans="1:32">
      <c r="A511" s="7">
        <f>MAX($A$1:$A510)+1</f>
        <v>510</v>
      </c>
      <c r="B511" s="2" t="s">
        <v>171</v>
      </c>
      <c r="C511" s="2" t="s">
        <v>170</v>
      </c>
      <c r="D511" s="2" t="s">
        <v>25</v>
      </c>
      <c r="E511" s="7" t="s">
        <v>485</v>
      </c>
      <c r="F511" s="4">
        <v>48.835666656494098</v>
      </c>
      <c r="G511" s="18">
        <v>-125.214797973632</v>
      </c>
      <c r="H511" s="5" t="s">
        <v>7</v>
      </c>
      <c r="I511" s="2">
        <v>2.5</v>
      </c>
      <c r="J511" s="2">
        <v>300</v>
      </c>
      <c r="K511" s="6">
        <v>0.52430555555555558</v>
      </c>
      <c r="L511" s="2" t="s">
        <v>172</v>
      </c>
      <c r="M511" s="2">
        <v>6.5</v>
      </c>
      <c r="N511" s="2">
        <v>2</v>
      </c>
      <c r="O511" s="2">
        <v>2</v>
      </c>
      <c r="P511" s="2" t="s">
        <v>244</v>
      </c>
      <c r="Q511" s="7" t="s">
        <v>65</v>
      </c>
      <c r="R511" s="4" t="s">
        <v>307</v>
      </c>
      <c r="S511" s="20">
        <v>30</v>
      </c>
      <c r="T511" s="2">
        <v>30</v>
      </c>
    </row>
    <row r="512" spans="1:32">
      <c r="A512" s="7">
        <f>MAX($A$1:$A511)+1</f>
        <v>511</v>
      </c>
      <c r="B512" s="2" t="s">
        <v>171</v>
      </c>
      <c r="C512" s="2" t="s">
        <v>170</v>
      </c>
      <c r="D512" s="2" t="s">
        <v>25</v>
      </c>
      <c r="E512" s="7" t="s">
        <v>485</v>
      </c>
      <c r="F512" s="4">
        <v>48.835666656494098</v>
      </c>
      <c r="G512" s="18">
        <v>-125.214797973632</v>
      </c>
      <c r="H512" s="5" t="s">
        <v>7</v>
      </c>
      <c r="I512" s="2">
        <v>2.5</v>
      </c>
      <c r="J512" s="2">
        <v>300</v>
      </c>
      <c r="K512" s="6">
        <v>0.52430555555555558</v>
      </c>
      <c r="L512" s="2" t="s">
        <v>172</v>
      </c>
      <c r="M512" s="2">
        <v>6.5</v>
      </c>
      <c r="N512" s="2">
        <v>2</v>
      </c>
      <c r="O512" s="2">
        <v>2</v>
      </c>
      <c r="P512" s="2" t="s">
        <v>247</v>
      </c>
      <c r="Q512" s="7" t="s">
        <v>64</v>
      </c>
      <c r="R512" s="4" t="s">
        <v>293</v>
      </c>
      <c r="S512" s="20">
        <v>4</v>
      </c>
      <c r="T512" s="2">
        <v>4</v>
      </c>
    </row>
    <row r="513" spans="1:24">
      <c r="A513" s="7">
        <f>MAX($A$1:$A512)+1</f>
        <v>512</v>
      </c>
      <c r="B513" s="2" t="s">
        <v>171</v>
      </c>
      <c r="C513" s="2" t="s">
        <v>170</v>
      </c>
      <c r="D513" s="2" t="s">
        <v>25</v>
      </c>
      <c r="E513" s="7" t="s">
        <v>485</v>
      </c>
      <c r="F513" s="4">
        <v>48.835666656494098</v>
      </c>
      <c r="G513" s="18">
        <v>-125.214797973632</v>
      </c>
      <c r="H513" s="5" t="s">
        <v>7</v>
      </c>
      <c r="I513" s="2">
        <v>2.5</v>
      </c>
      <c r="J513" s="2">
        <v>300</v>
      </c>
      <c r="K513" s="6">
        <v>0.52430555555555558</v>
      </c>
      <c r="L513" s="2" t="s">
        <v>172</v>
      </c>
      <c r="M513" s="2">
        <v>6.5</v>
      </c>
      <c r="N513" s="2">
        <v>2</v>
      </c>
      <c r="O513" s="2">
        <v>2</v>
      </c>
      <c r="P513" s="2" t="s">
        <v>314</v>
      </c>
      <c r="Q513" s="7" t="s">
        <v>71</v>
      </c>
      <c r="R513" s="4" t="s">
        <v>315</v>
      </c>
      <c r="S513" s="20">
        <v>3</v>
      </c>
      <c r="T513" s="2">
        <v>3</v>
      </c>
    </row>
    <row r="514" spans="1:24">
      <c r="A514" s="7">
        <f>MAX($A$1:$A513)+1</f>
        <v>513</v>
      </c>
      <c r="B514" s="2" t="s">
        <v>171</v>
      </c>
      <c r="C514" s="2" t="s">
        <v>170</v>
      </c>
      <c r="D514" s="2" t="s">
        <v>25</v>
      </c>
      <c r="E514" s="7" t="s">
        <v>485</v>
      </c>
      <c r="F514" s="4">
        <v>48.835666656494098</v>
      </c>
      <c r="G514" s="18">
        <v>-125.214797973632</v>
      </c>
      <c r="H514" s="5" t="s">
        <v>7</v>
      </c>
      <c r="I514" s="2">
        <v>2.5</v>
      </c>
      <c r="J514" s="2">
        <v>300</v>
      </c>
      <c r="K514" s="6">
        <v>0.52430555555555558</v>
      </c>
      <c r="L514" s="2" t="s">
        <v>172</v>
      </c>
      <c r="M514" s="2">
        <v>6.5</v>
      </c>
      <c r="N514" s="2">
        <v>2</v>
      </c>
      <c r="O514" s="2">
        <v>2</v>
      </c>
      <c r="P514" s="2" t="s">
        <v>252</v>
      </c>
      <c r="Q514" s="7" t="s">
        <v>76</v>
      </c>
      <c r="R514" s="4" t="s">
        <v>413</v>
      </c>
      <c r="S514" s="20">
        <v>2</v>
      </c>
      <c r="T514" s="2">
        <v>2</v>
      </c>
    </row>
    <row r="515" spans="1:24">
      <c r="A515" s="7">
        <f>MAX($A$1:$A514)+1</f>
        <v>514</v>
      </c>
      <c r="B515" s="2" t="s">
        <v>171</v>
      </c>
      <c r="C515" s="2" t="s">
        <v>170</v>
      </c>
      <c r="D515" s="2" t="s">
        <v>25</v>
      </c>
      <c r="E515" s="7" t="s">
        <v>485</v>
      </c>
      <c r="F515" s="4">
        <v>48.835666656494098</v>
      </c>
      <c r="G515" s="18">
        <v>-125.214797973632</v>
      </c>
      <c r="H515" s="5" t="s">
        <v>7</v>
      </c>
      <c r="I515" s="2">
        <v>2.5</v>
      </c>
      <c r="J515" s="2">
        <v>300</v>
      </c>
      <c r="K515" s="6">
        <v>0.52430555555555558</v>
      </c>
      <c r="L515" s="2" t="s">
        <v>172</v>
      </c>
      <c r="M515" s="2">
        <v>6.5</v>
      </c>
      <c r="N515" s="2">
        <v>2</v>
      </c>
      <c r="O515" s="2">
        <v>2</v>
      </c>
      <c r="P515" s="2" t="s">
        <v>296</v>
      </c>
      <c r="Q515" s="7" t="s">
        <v>75</v>
      </c>
      <c r="R515" s="4" t="s">
        <v>297</v>
      </c>
      <c r="S515" s="20">
        <v>21</v>
      </c>
      <c r="T515" s="2">
        <v>21</v>
      </c>
    </row>
    <row r="516" spans="1:24">
      <c r="A516" s="7">
        <f>MAX($A$1:$A515)+1</f>
        <v>515</v>
      </c>
      <c r="B516" s="2" t="s">
        <v>171</v>
      </c>
      <c r="C516" s="2" t="s">
        <v>170</v>
      </c>
      <c r="D516" s="2" t="s">
        <v>25</v>
      </c>
      <c r="E516" s="7" t="s">
        <v>485</v>
      </c>
      <c r="F516" s="4">
        <v>48.835666656494098</v>
      </c>
      <c r="G516" s="18">
        <v>-125.214797973632</v>
      </c>
      <c r="H516" s="5" t="s">
        <v>7</v>
      </c>
      <c r="I516" s="2">
        <v>2.5</v>
      </c>
      <c r="J516" s="2">
        <v>300</v>
      </c>
      <c r="K516" s="6">
        <v>0.52430555555555558</v>
      </c>
      <c r="L516" s="2" t="s">
        <v>172</v>
      </c>
      <c r="M516" s="2">
        <v>6.5</v>
      </c>
      <c r="N516" s="2">
        <v>2</v>
      </c>
      <c r="O516" s="2">
        <v>2</v>
      </c>
      <c r="P516" s="2" t="s">
        <v>333</v>
      </c>
      <c r="Q516" s="7" t="s">
        <v>102</v>
      </c>
      <c r="R516" s="4" t="s">
        <v>334</v>
      </c>
      <c r="S516" s="20">
        <v>16</v>
      </c>
      <c r="T516" s="2">
        <v>16</v>
      </c>
    </row>
    <row r="517" spans="1:24">
      <c r="A517" s="7">
        <f>MAX($A$1:$A516)+1</f>
        <v>516</v>
      </c>
      <c r="B517" s="2" t="s">
        <v>171</v>
      </c>
      <c r="C517" s="2" t="s">
        <v>170</v>
      </c>
      <c r="D517" s="2" t="s">
        <v>25</v>
      </c>
      <c r="E517" s="7" t="s">
        <v>485</v>
      </c>
      <c r="F517" s="4">
        <v>48.835666656494098</v>
      </c>
      <c r="G517" s="18">
        <v>-125.214797973632</v>
      </c>
      <c r="H517" s="5" t="s">
        <v>7</v>
      </c>
      <c r="I517" s="2">
        <v>2.5</v>
      </c>
      <c r="J517" s="2">
        <v>300</v>
      </c>
      <c r="K517" s="6">
        <v>0.52430555555555558</v>
      </c>
      <c r="L517" s="2" t="s">
        <v>172</v>
      </c>
      <c r="M517" s="2">
        <v>6.5</v>
      </c>
      <c r="N517" s="2">
        <v>2</v>
      </c>
      <c r="O517" s="2">
        <v>2</v>
      </c>
      <c r="P517" s="2" t="s">
        <v>250</v>
      </c>
      <c r="Q517" s="7" t="s">
        <v>46</v>
      </c>
      <c r="R517" s="4" t="s">
        <v>295</v>
      </c>
      <c r="S517" s="20">
        <v>4</v>
      </c>
      <c r="T517" s="2">
        <v>0</v>
      </c>
      <c r="U517" s="2">
        <v>1</v>
      </c>
      <c r="V517" s="2">
        <v>3</v>
      </c>
    </row>
    <row r="518" spans="1:24">
      <c r="A518" s="7">
        <f>MAX($A$1:$A517)+1</f>
        <v>517</v>
      </c>
      <c r="B518" s="2" t="s">
        <v>171</v>
      </c>
      <c r="C518" s="2" t="s">
        <v>170</v>
      </c>
      <c r="D518" s="2" t="s">
        <v>25</v>
      </c>
      <c r="E518" s="7" t="s">
        <v>485</v>
      </c>
      <c r="F518" s="4">
        <v>48.835666656494098</v>
      </c>
      <c r="G518" s="18">
        <v>-125.214797973632</v>
      </c>
      <c r="H518" s="5" t="s">
        <v>7</v>
      </c>
      <c r="I518" s="2">
        <v>2.5</v>
      </c>
      <c r="J518" s="2">
        <v>300</v>
      </c>
      <c r="K518" s="6">
        <v>0.52430555555555558</v>
      </c>
      <c r="L518" s="2" t="s">
        <v>172</v>
      </c>
      <c r="M518" s="2">
        <v>6.5</v>
      </c>
      <c r="N518" s="2">
        <v>2</v>
      </c>
      <c r="O518" s="2">
        <v>2</v>
      </c>
      <c r="P518" s="2" t="s">
        <v>419</v>
      </c>
      <c r="Q518" s="7" t="s">
        <v>139</v>
      </c>
      <c r="R518" s="4" t="s">
        <v>420</v>
      </c>
      <c r="S518" s="20">
        <v>5</v>
      </c>
      <c r="T518" s="2">
        <v>5</v>
      </c>
    </row>
    <row r="519" spans="1:24">
      <c r="A519" s="7">
        <f>MAX($A$1:$A518)+1</f>
        <v>518</v>
      </c>
      <c r="B519" s="2" t="s">
        <v>171</v>
      </c>
      <c r="C519" s="2" t="s">
        <v>170</v>
      </c>
      <c r="D519" s="2" t="s">
        <v>25</v>
      </c>
      <c r="E519" s="7" t="s">
        <v>485</v>
      </c>
      <c r="F519" s="4">
        <v>48.835666656494098</v>
      </c>
      <c r="G519" s="18">
        <v>-125.214797973632</v>
      </c>
      <c r="H519" s="5" t="s">
        <v>7</v>
      </c>
      <c r="I519" s="2">
        <v>2.5</v>
      </c>
      <c r="J519" s="2">
        <v>300</v>
      </c>
      <c r="K519" s="6">
        <v>0.52430555555555558</v>
      </c>
      <c r="L519" s="2" t="s">
        <v>172</v>
      </c>
      <c r="M519" s="2">
        <v>6.5</v>
      </c>
      <c r="N519" s="2">
        <v>2</v>
      </c>
      <c r="O519" s="2">
        <v>2</v>
      </c>
      <c r="P519" s="2" t="s">
        <v>243</v>
      </c>
      <c r="Q519" s="7" t="s">
        <v>85</v>
      </c>
      <c r="R519" s="4" t="s">
        <v>312</v>
      </c>
      <c r="S519" s="20">
        <v>8</v>
      </c>
      <c r="T519" s="2">
        <v>8</v>
      </c>
    </row>
    <row r="520" spans="1:24">
      <c r="A520" s="7">
        <f>MAX($A$1:$A519)+1</f>
        <v>519</v>
      </c>
      <c r="B520" s="2" t="s">
        <v>171</v>
      </c>
      <c r="C520" s="2" t="s">
        <v>170</v>
      </c>
      <c r="D520" s="2" t="s">
        <v>25</v>
      </c>
      <c r="E520" s="7" t="s">
        <v>485</v>
      </c>
      <c r="F520" s="4">
        <v>48.835666656494098</v>
      </c>
      <c r="G520" s="18">
        <v>-125.214797973632</v>
      </c>
      <c r="H520" s="5" t="s">
        <v>7</v>
      </c>
      <c r="I520" s="2">
        <v>2.5</v>
      </c>
      <c r="J520" s="2">
        <v>300</v>
      </c>
      <c r="K520" s="6">
        <v>0.52430555555555558</v>
      </c>
      <c r="L520" s="2" t="s">
        <v>172</v>
      </c>
      <c r="M520" s="2">
        <v>6.5</v>
      </c>
      <c r="N520" s="2">
        <v>2</v>
      </c>
      <c r="O520" s="2">
        <v>2</v>
      </c>
      <c r="P520" s="2" t="s">
        <v>238</v>
      </c>
      <c r="Q520" s="7" t="s">
        <v>69</v>
      </c>
      <c r="R520" s="4" t="s">
        <v>313</v>
      </c>
      <c r="S520" s="20">
        <v>4</v>
      </c>
      <c r="T520" s="2">
        <v>4</v>
      </c>
    </row>
    <row r="521" spans="1:24">
      <c r="A521" s="7">
        <f>MAX($A$1:$A520)+1</f>
        <v>520</v>
      </c>
      <c r="B521" s="2" t="s">
        <v>171</v>
      </c>
      <c r="C521" s="2" t="s">
        <v>170</v>
      </c>
      <c r="D521" s="2" t="s">
        <v>25</v>
      </c>
      <c r="E521" s="7" t="s">
        <v>485</v>
      </c>
      <c r="F521" s="4">
        <v>48.835666656494098</v>
      </c>
      <c r="G521" s="18">
        <v>-125.214797973632</v>
      </c>
      <c r="H521" s="5" t="s">
        <v>7</v>
      </c>
      <c r="I521" s="2">
        <v>2.5</v>
      </c>
      <c r="J521" s="2">
        <v>300</v>
      </c>
      <c r="K521" s="6">
        <v>0.52430555555555558</v>
      </c>
      <c r="L521" s="2" t="s">
        <v>172</v>
      </c>
      <c r="M521" s="2">
        <v>6.5</v>
      </c>
      <c r="N521" s="2">
        <v>2</v>
      </c>
      <c r="O521" s="2">
        <v>2</v>
      </c>
      <c r="P521" s="2" t="s">
        <v>248</v>
      </c>
      <c r="Q521" s="7" t="s">
        <v>78</v>
      </c>
      <c r="R521" s="4" t="s">
        <v>349</v>
      </c>
      <c r="S521" s="20">
        <v>2</v>
      </c>
      <c r="T521" s="2">
        <v>0</v>
      </c>
      <c r="W521" s="2">
        <v>2</v>
      </c>
    </row>
    <row r="522" spans="1:24">
      <c r="A522" s="7">
        <f>MAX($A$1:$A521)+1</f>
        <v>521</v>
      </c>
      <c r="B522" s="2" t="s">
        <v>171</v>
      </c>
      <c r="C522" s="2" t="s">
        <v>170</v>
      </c>
      <c r="D522" s="2" t="s">
        <v>25</v>
      </c>
      <c r="E522" s="7" t="s">
        <v>485</v>
      </c>
      <c r="F522" s="4">
        <v>48.835666656494098</v>
      </c>
      <c r="G522" s="18">
        <v>-125.214797973632</v>
      </c>
      <c r="H522" s="5" t="s">
        <v>7</v>
      </c>
      <c r="I522" s="2">
        <v>2.5</v>
      </c>
      <c r="J522" s="2">
        <v>300</v>
      </c>
      <c r="K522" s="6">
        <v>0.52430555555555558</v>
      </c>
      <c r="L522" s="2" t="s">
        <v>172</v>
      </c>
      <c r="M522" s="2">
        <v>6.5</v>
      </c>
      <c r="N522" s="2">
        <v>2</v>
      </c>
      <c r="O522" s="2">
        <v>2</v>
      </c>
      <c r="P522" s="2" t="s">
        <v>483</v>
      </c>
      <c r="Q522" s="7" t="s">
        <v>149</v>
      </c>
      <c r="R522" s="4" t="s">
        <v>484</v>
      </c>
      <c r="S522" s="20">
        <v>1</v>
      </c>
      <c r="T522" s="2">
        <v>1</v>
      </c>
    </row>
    <row r="523" spans="1:24">
      <c r="A523" s="7">
        <f>MAX($A$1:$A522)+1</f>
        <v>522</v>
      </c>
      <c r="B523" s="2" t="s">
        <v>171</v>
      </c>
      <c r="C523" s="2" t="s">
        <v>170</v>
      </c>
      <c r="D523" s="2" t="s">
        <v>25</v>
      </c>
      <c r="E523" s="7" t="s">
        <v>485</v>
      </c>
      <c r="F523" s="4">
        <v>48.835666656494098</v>
      </c>
      <c r="G523" s="18">
        <v>-125.214797973632</v>
      </c>
      <c r="H523" s="5" t="s">
        <v>7</v>
      </c>
      <c r="I523" s="2">
        <v>2.5</v>
      </c>
      <c r="J523" s="2">
        <v>300</v>
      </c>
      <c r="K523" s="6">
        <v>0.52430555555555558</v>
      </c>
      <c r="L523" s="2" t="s">
        <v>172</v>
      </c>
      <c r="M523" s="2">
        <v>6.5</v>
      </c>
      <c r="N523" s="2">
        <v>2</v>
      </c>
      <c r="O523" s="2">
        <v>2</v>
      </c>
      <c r="P523" s="2" t="s">
        <v>251</v>
      </c>
      <c r="Q523" s="7" t="s">
        <v>73</v>
      </c>
      <c r="R523" s="4" t="s">
        <v>325</v>
      </c>
      <c r="S523" s="20">
        <v>1</v>
      </c>
      <c r="T523" s="2">
        <v>1</v>
      </c>
    </row>
    <row r="524" spans="1:24">
      <c r="A524" s="7">
        <f>MAX($A$1:$A523)+1</f>
        <v>523</v>
      </c>
      <c r="B524" s="2" t="s">
        <v>171</v>
      </c>
      <c r="C524" s="2" t="s">
        <v>170</v>
      </c>
      <c r="D524" s="2" t="s">
        <v>25</v>
      </c>
      <c r="E524" s="7" t="s">
        <v>485</v>
      </c>
      <c r="F524" s="4">
        <v>48.835666656494098</v>
      </c>
      <c r="G524" s="18">
        <v>-125.214797973632</v>
      </c>
      <c r="H524" s="5" t="s">
        <v>7</v>
      </c>
      <c r="I524" s="2">
        <v>2.5</v>
      </c>
      <c r="J524" s="2">
        <v>300</v>
      </c>
      <c r="K524" s="6">
        <v>0.52430555555555558</v>
      </c>
      <c r="L524" s="2" t="s">
        <v>172</v>
      </c>
      <c r="M524" s="2">
        <v>6.5</v>
      </c>
      <c r="N524" s="2">
        <v>2</v>
      </c>
      <c r="O524" s="2">
        <v>2</v>
      </c>
      <c r="P524" s="2" t="s">
        <v>340</v>
      </c>
      <c r="Q524" s="7" t="s">
        <v>114</v>
      </c>
      <c r="R524" s="4" t="s">
        <v>341</v>
      </c>
      <c r="S524" s="20">
        <v>1</v>
      </c>
      <c r="T524" s="2">
        <v>1</v>
      </c>
    </row>
    <row r="525" spans="1:24">
      <c r="A525" s="7">
        <f>MAX($A$1:$A524)+1</f>
        <v>524</v>
      </c>
      <c r="B525" s="2" t="s">
        <v>171</v>
      </c>
      <c r="C525" s="2" t="s">
        <v>170</v>
      </c>
      <c r="D525" s="2" t="s">
        <v>25</v>
      </c>
      <c r="E525" s="7" t="s">
        <v>485</v>
      </c>
      <c r="F525" s="4">
        <v>48.835666656494098</v>
      </c>
      <c r="G525" s="18">
        <v>-125.214797973632</v>
      </c>
      <c r="H525" s="5" t="s">
        <v>7</v>
      </c>
      <c r="I525" s="2">
        <v>2.5</v>
      </c>
      <c r="J525" s="2">
        <v>300</v>
      </c>
      <c r="K525" s="6">
        <v>0.52430555555555558</v>
      </c>
      <c r="L525" s="2" t="s">
        <v>172</v>
      </c>
      <c r="M525" s="2">
        <v>6.5</v>
      </c>
      <c r="N525" s="2">
        <v>2</v>
      </c>
      <c r="O525" s="2">
        <v>2</v>
      </c>
      <c r="P525" s="2" t="s">
        <v>246</v>
      </c>
      <c r="Q525" s="7" t="s">
        <v>66</v>
      </c>
      <c r="R525" s="4" t="s">
        <v>318</v>
      </c>
      <c r="S525" s="20">
        <v>3</v>
      </c>
      <c r="T525" s="2">
        <v>0</v>
      </c>
      <c r="V525" s="2">
        <v>2</v>
      </c>
      <c r="W525" s="2">
        <v>1</v>
      </c>
    </row>
    <row r="526" spans="1:24">
      <c r="A526" s="7">
        <f>MAX($A$1:$A525)+1</f>
        <v>525</v>
      </c>
      <c r="B526" s="2" t="s">
        <v>171</v>
      </c>
      <c r="C526" s="2" t="s">
        <v>170</v>
      </c>
      <c r="D526" s="2" t="s">
        <v>25</v>
      </c>
      <c r="E526" s="7" t="s">
        <v>485</v>
      </c>
      <c r="F526" s="4">
        <v>48.835666656494098</v>
      </c>
      <c r="G526" s="18">
        <v>-125.214797973632</v>
      </c>
      <c r="H526" s="5" t="s">
        <v>7</v>
      </c>
      <c r="I526" s="2">
        <v>2.5</v>
      </c>
      <c r="J526" s="2">
        <v>300</v>
      </c>
      <c r="K526" s="6">
        <v>0.52430555555555558</v>
      </c>
      <c r="L526" s="2" t="s">
        <v>172</v>
      </c>
      <c r="M526" s="2">
        <v>6.5</v>
      </c>
      <c r="N526" s="2">
        <v>2</v>
      </c>
      <c r="O526" s="2">
        <v>2</v>
      </c>
      <c r="P526" s="2" t="s">
        <v>249</v>
      </c>
      <c r="Q526" s="7" t="s">
        <v>90</v>
      </c>
      <c r="R526" s="4" t="s">
        <v>352</v>
      </c>
      <c r="S526" s="20">
        <v>2</v>
      </c>
      <c r="T526" s="2">
        <v>2</v>
      </c>
    </row>
    <row r="527" spans="1:24">
      <c r="A527" s="7">
        <f>MAX($A$1:$A526)+1</f>
        <v>526</v>
      </c>
      <c r="B527" s="2" t="s">
        <v>171</v>
      </c>
      <c r="C527" s="2" t="s">
        <v>170</v>
      </c>
      <c r="D527" s="2" t="s">
        <v>25</v>
      </c>
      <c r="E527" s="7" t="s">
        <v>485</v>
      </c>
      <c r="F527" s="4">
        <v>48.835666656494098</v>
      </c>
      <c r="G527" s="18">
        <v>-125.214797973632</v>
      </c>
      <c r="H527" s="5" t="s">
        <v>7</v>
      </c>
      <c r="I527" s="2">
        <v>2.5</v>
      </c>
      <c r="J527" s="2">
        <v>300</v>
      </c>
      <c r="K527" s="6">
        <v>0.52430555555555558</v>
      </c>
      <c r="L527" s="2" t="s">
        <v>172</v>
      </c>
      <c r="M527" s="2">
        <v>6.5</v>
      </c>
      <c r="N527" s="2">
        <v>2</v>
      </c>
      <c r="O527" s="2">
        <v>2</v>
      </c>
      <c r="P527" s="2" t="s">
        <v>338</v>
      </c>
      <c r="Q527" s="7" t="s">
        <v>101</v>
      </c>
      <c r="R527" s="4" t="s">
        <v>339</v>
      </c>
      <c r="S527" s="20">
        <v>2</v>
      </c>
      <c r="T527" s="2">
        <v>0</v>
      </c>
      <c r="U527" s="2">
        <v>1</v>
      </c>
      <c r="V527" s="2">
        <v>1</v>
      </c>
    </row>
    <row r="528" spans="1:24">
      <c r="A528" s="7">
        <f>MAX($A$1:$A527)+1</f>
        <v>527</v>
      </c>
      <c r="B528" s="2" t="s">
        <v>171</v>
      </c>
      <c r="C528" s="2" t="s">
        <v>170</v>
      </c>
      <c r="D528" s="2" t="s">
        <v>25</v>
      </c>
      <c r="E528" s="7" t="s">
        <v>485</v>
      </c>
      <c r="F528" s="4">
        <v>48.835666656494098</v>
      </c>
      <c r="G528" s="18">
        <v>-125.214797973632</v>
      </c>
      <c r="H528" s="5" t="s">
        <v>7</v>
      </c>
      <c r="I528" s="2">
        <v>2.5</v>
      </c>
      <c r="J528" s="2">
        <v>300</v>
      </c>
      <c r="K528" s="6">
        <v>0.52430555555555558</v>
      </c>
      <c r="L528" s="2" t="s">
        <v>172</v>
      </c>
      <c r="M528" s="2">
        <v>6.5</v>
      </c>
      <c r="N528" s="2">
        <v>2</v>
      </c>
      <c r="O528" s="2">
        <v>2</v>
      </c>
      <c r="P528" s="2" t="s">
        <v>305</v>
      </c>
      <c r="Q528" s="7" t="s">
        <v>89</v>
      </c>
      <c r="R528" s="4" t="s">
        <v>306</v>
      </c>
      <c r="S528" s="20">
        <v>1</v>
      </c>
      <c r="T528" s="2">
        <v>0</v>
      </c>
      <c r="X528" s="2">
        <v>1</v>
      </c>
    </row>
    <row r="529" spans="1:29">
      <c r="A529" s="7">
        <f>MAX($A$1:$A528)+1</f>
        <v>528</v>
      </c>
      <c r="B529" s="2" t="s">
        <v>171</v>
      </c>
      <c r="C529" s="2" t="s">
        <v>170</v>
      </c>
      <c r="D529" s="2" t="s">
        <v>25</v>
      </c>
      <c r="E529" s="7" t="s">
        <v>485</v>
      </c>
      <c r="F529" s="4">
        <v>48.835666656494098</v>
      </c>
      <c r="G529" s="18">
        <v>-125.214797973632</v>
      </c>
      <c r="H529" s="5" t="s">
        <v>7</v>
      </c>
      <c r="I529" s="2">
        <v>2.5</v>
      </c>
      <c r="J529" s="2">
        <v>300</v>
      </c>
      <c r="K529" s="6">
        <v>0.52430555555555558</v>
      </c>
      <c r="L529" s="2" t="s">
        <v>172</v>
      </c>
      <c r="M529" s="2">
        <v>6.5</v>
      </c>
      <c r="N529" s="2">
        <v>2</v>
      </c>
      <c r="O529" s="2">
        <v>2</v>
      </c>
      <c r="P529" s="2" t="s">
        <v>230</v>
      </c>
      <c r="Q529" s="7" t="s">
        <v>42</v>
      </c>
      <c r="R529" s="4" t="s">
        <v>321</v>
      </c>
      <c r="S529" s="20">
        <v>1</v>
      </c>
      <c r="T529" s="2">
        <v>0</v>
      </c>
      <c r="W529" s="2">
        <v>1</v>
      </c>
    </row>
    <row r="530" spans="1:29">
      <c r="A530" s="7">
        <f>MAX($A$1:$A529)+1</f>
        <v>529</v>
      </c>
      <c r="B530" s="2" t="s">
        <v>171</v>
      </c>
      <c r="C530" s="2" t="s">
        <v>170</v>
      </c>
      <c r="D530" s="2" t="s">
        <v>25</v>
      </c>
      <c r="E530" s="7" t="s">
        <v>485</v>
      </c>
      <c r="F530" s="4">
        <v>48.835666656494098</v>
      </c>
      <c r="G530" s="18">
        <v>-125.214797973632</v>
      </c>
      <c r="H530" s="5" t="s">
        <v>7</v>
      </c>
      <c r="I530" s="2">
        <v>2.5</v>
      </c>
      <c r="J530" s="2">
        <v>300</v>
      </c>
      <c r="K530" s="6">
        <v>0.52430555555555558</v>
      </c>
      <c r="L530" s="2" t="s">
        <v>172</v>
      </c>
      <c r="M530" s="2">
        <v>6.5</v>
      </c>
      <c r="N530" s="2">
        <v>0</v>
      </c>
      <c r="O530" s="2">
        <v>2</v>
      </c>
      <c r="P530" s="2" t="s">
        <v>231</v>
      </c>
      <c r="Q530" s="7" t="s">
        <v>48</v>
      </c>
      <c r="R530" s="4" t="s">
        <v>365</v>
      </c>
      <c r="S530" s="20">
        <v>1</v>
      </c>
      <c r="T530" s="2">
        <v>0</v>
      </c>
      <c r="AA530" s="2">
        <v>1</v>
      </c>
    </row>
    <row r="531" spans="1:29">
      <c r="A531" s="7">
        <f>MAX($A$1:$A530)+1</f>
        <v>530</v>
      </c>
      <c r="B531" s="2" t="s">
        <v>171</v>
      </c>
      <c r="C531" s="2" t="s">
        <v>170</v>
      </c>
      <c r="D531" s="2" t="s">
        <v>25</v>
      </c>
      <c r="E531" s="7" t="s">
        <v>485</v>
      </c>
      <c r="F531" s="4">
        <v>48.835666656494098</v>
      </c>
      <c r="G531" s="18">
        <v>-125.214797973632</v>
      </c>
      <c r="H531" s="5" t="s">
        <v>7</v>
      </c>
      <c r="I531" s="2">
        <v>2.5</v>
      </c>
      <c r="J531" s="2">
        <v>300</v>
      </c>
      <c r="K531" s="6">
        <v>0.52430555555555558</v>
      </c>
      <c r="L531" s="2" t="s">
        <v>172</v>
      </c>
      <c r="M531" s="2">
        <v>6.5</v>
      </c>
      <c r="N531" s="2">
        <v>0</v>
      </c>
      <c r="O531" s="2">
        <v>2</v>
      </c>
      <c r="P531" s="2" t="s">
        <v>232</v>
      </c>
      <c r="Q531" s="7" t="s">
        <v>43</v>
      </c>
      <c r="R531" s="4" t="s">
        <v>324</v>
      </c>
      <c r="S531" s="20">
        <v>1</v>
      </c>
      <c r="T531" s="2">
        <v>0</v>
      </c>
      <c r="AC531" s="2">
        <v>1</v>
      </c>
    </row>
    <row r="532" spans="1:29">
      <c r="A532" s="7">
        <f>MAX($A$1:$A531)+1</f>
        <v>531</v>
      </c>
      <c r="B532" s="2" t="s">
        <v>171</v>
      </c>
      <c r="C532" s="2" t="s">
        <v>170</v>
      </c>
      <c r="D532" s="2" t="s">
        <v>25</v>
      </c>
      <c r="E532" s="7" t="s">
        <v>485</v>
      </c>
      <c r="F532" s="4">
        <v>48.835666656494098</v>
      </c>
      <c r="G532" s="18">
        <v>-125.214797973632</v>
      </c>
      <c r="H532" s="5" t="s">
        <v>7</v>
      </c>
      <c r="I532" s="2">
        <v>2.5</v>
      </c>
      <c r="J532" s="2">
        <v>300</v>
      </c>
      <c r="K532" s="6">
        <v>0.52430555555555558</v>
      </c>
      <c r="L532" s="2" t="s">
        <v>172</v>
      </c>
      <c r="M532" s="2">
        <v>6.5</v>
      </c>
      <c r="N532" s="2">
        <v>0</v>
      </c>
      <c r="O532" s="2">
        <v>2</v>
      </c>
      <c r="P532" s="2" t="s">
        <v>380</v>
      </c>
      <c r="Q532" s="7" t="s">
        <v>52</v>
      </c>
      <c r="R532" s="4" t="s">
        <v>381</v>
      </c>
      <c r="S532" s="20">
        <v>1</v>
      </c>
      <c r="T532" s="2">
        <v>0</v>
      </c>
      <c r="AA532" s="2">
        <v>1</v>
      </c>
    </row>
    <row r="533" spans="1:29">
      <c r="A533" s="7">
        <f>MAX($A$1:$A532)+1</f>
        <v>532</v>
      </c>
      <c r="B533" s="2" t="s">
        <v>171</v>
      </c>
      <c r="C533" s="2" t="s">
        <v>170</v>
      </c>
      <c r="D533" s="2" t="s">
        <v>25</v>
      </c>
      <c r="E533" s="7" t="s">
        <v>485</v>
      </c>
      <c r="F533" s="4">
        <v>48.835666656494098</v>
      </c>
      <c r="G533" s="18">
        <v>-125.214797973632</v>
      </c>
      <c r="H533" s="5" t="s">
        <v>7</v>
      </c>
      <c r="I533" s="2">
        <v>2.5</v>
      </c>
      <c r="J533" s="2">
        <v>300</v>
      </c>
      <c r="K533" s="6">
        <v>0.52430555555555558</v>
      </c>
      <c r="L533" s="2" t="s">
        <v>172</v>
      </c>
      <c r="M533" s="2">
        <v>6.5</v>
      </c>
      <c r="N533" s="2">
        <v>0</v>
      </c>
      <c r="O533" s="2">
        <v>2</v>
      </c>
      <c r="P533" s="2" t="s">
        <v>316</v>
      </c>
      <c r="Q533" s="7" t="s">
        <v>123</v>
      </c>
      <c r="R533" s="4" t="s">
        <v>317</v>
      </c>
      <c r="S533" s="20">
        <v>1</v>
      </c>
      <c r="T533" s="2">
        <v>1</v>
      </c>
    </row>
    <row r="534" spans="1:29">
      <c r="A534" s="7">
        <f>MAX($A$1:$A533)+1</f>
        <v>533</v>
      </c>
      <c r="B534" s="2" t="s">
        <v>171</v>
      </c>
      <c r="C534" s="2" t="s">
        <v>170</v>
      </c>
      <c r="D534" s="2" t="s">
        <v>25</v>
      </c>
      <c r="E534" s="7" t="s">
        <v>485</v>
      </c>
      <c r="F534" s="4">
        <v>48.835666656494098</v>
      </c>
      <c r="G534" s="18">
        <v>-125.214797973632</v>
      </c>
      <c r="H534" s="5" t="s">
        <v>7</v>
      </c>
      <c r="I534" s="2">
        <v>2.5</v>
      </c>
      <c r="J534" s="2">
        <v>300</v>
      </c>
      <c r="K534" s="6">
        <v>0.52430555555555558</v>
      </c>
      <c r="L534" s="2" t="s">
        <v>172</v>
      </c>
      <c r="M534" s="2">
        <v>6.5</v>
      </c>
      <c r="N534" s="2">
        <v>0</v>
      </c>
      <c r="O534" s="2">
        <v>0</v>
      </c>
      <c r="P534" s="2" t="s">
        <v>335</v>
      </c>
      <c r="Q534" s="7" t="s">
        <v>91</v>
      </c>
      <c r="R534" s="4" t="s">
        <v>336</v>
      </c>
      <c r="S534" s="20">
        <v>1</v>
      </c>
      <c r="T534" s="2">
        <v>1</v>
      </c>
    </row>
    <row r="535" spans="1:29">
      <c r="A535" s="7">
        <f>MAX($A$1:$A534)+1</f>
        <v>534</v>
      </c>
      <c r="B535" s="2" t="s">
        <v>171</v>
      </c>
      <c r="C535" s="2" t="s">
        <v>170</v>
      </c>
      <c r="D535" s="2" t="s">
        <v>25</v>
      </c>
      <c r="E535" s="7" t="s">
        <v>485</v>
      </c>
      <c r="F535" s="4">
        <v>48.835666656494098</v>
      </c>
      <c r="G535" s="18">
        <v>-125.214797973632</v>
      </c>
      <c r="H535" s="5" t="s">
        <v>7</v>
      </c>
      <c r="I535" s="2">
        <v>2.5</v>
      </c>
      <c r="J535" s="2">
        <v>300</v>
      </c>
      <c r="K535" s="6">
        <v>0.52430555555555558</v>
      </c>
      <c r="L535" s="2" t="s">
        <v>172</v>
      </c>
      <c r="M535" s="2">
        <v>6.5</v>
      </c>
      <c r="N535" s="2">
        <v>2</v>
      </c>
      <c r="O535" s="2">
        <v>2</v>
      </c>
      <c r="P535" s="2" t="s">
        <v>342</v>
      </c>
      <c r="Q535" s="7" t="s">
        <v>126</v>
      </c>
      <c r="R535" s="4" t="s">
        <v>329</v>
      </c>
      <c r="S535" s="20">
        <v>0</v>
      </c>
      <c r="T535" s="2">
        <v>0</v>
      </c>
    </row>
    <row r="536" spans="1:29">
      <c r="A536" s="7">
        <f>MAX($A$1:$A535)+1</f>
        <v>535</v>
      </c>
      <c r="B536" s="2" t="str">
        <f t="shared" ref="B536:B563" si="52">IF(ISERROR(B535),IF(ISERROR(B534),IF(ISERROR(B533),"BLANK",B533),B534),B535)</f>
        <v>Em Lim</v>
      </c>
      <c r="C536" s="2" t="str">
        <f t="shared" ref="C536:C563" si="53">IF(ISERROR(C535),IF(ISERROR(C534),IF(ISERROR(C533),"BLANK",C533),C534),C535)</f>
        <v>Jasmin Schuster</v>
      </c>
      <c r="D536" s="27" t="s">
        <v>21</v>
      </c>
      <c r="E536" s="7" t="str">
        <f>IF(ISERROR(VLOOKUP($D536,SITES!$A:$E,2,FALSE)),"",VLOOKUP($D536,SITES!$A:$E,2,FALSE))</f>
        <v>Dixon SW</v>
      </c>
      <c r="F536" s="4">
        <f>IF(ISERROR(VLOOKUP($D536,SITES!$A:$E,3,FALSE)),"",VLOOKUP($D536,SITES!$A:$E,3,FALSE))</f>
        <v>48.85205078125</v>
      </c>
      <c r="G536" s="18">
        <f>IF(ISERROR(VLOOKUP($D536,SITES!$A:$E,4,FALSE)),"",VLOOKUP($D536,SITES!$A:$E,4,FALSE))</f>
        <v>-125.123565673828</v>
      </c>
      <c r="H536" s="5" t="str">
        <f t="shared" ref="H536:H563" si="54">IF(ISERROR(H535),IF(ISERROR(H534),IF(ISERROR(H533),"BLANK",H533),H534),H535)</f>
        <v>10/05/2023</v>
      </c>
      <c r="I536" s="2">
        <v>2</v>
      </c>
      <c r="J536" s="2">
        <f t="shared" ref="J536:J563" si="55">IF(ISERROR(J535),IF(ISERROR(J534),IF(ISERROR(J533),"BLANK",J533),J534),J535)</f>
        <v>300</v>
      </c>
      <c r="K536" s="6">
        <v>0.54166666666666663</v>
      </c>
      <c r="L536" s="2" t="str">
        <f t="shared" ref="L536:L563" si="56">IF(ISERROR(L535),IF(ISERROR(L534),IF(ISERROR(L533),"BLANK",L533),L534),L535)</f>
        <v>EGL</v>
      </c>
      <c r="M536" s="2">
        <v>6</v>
      </c>
      <c r="N536" s="2">
        <v>1</v>
      </c>
      <c r="O536" s="2">
        <v>1</v>
      </c>
      <c r="P536" s="27" t="s">
        <v>173</v>
      </c>
      <c r="Q536" s="7" t="str">
        <f>IF($N536=1,IF(ISERROR(VLOOKUP($P536,'M1'!$A:$C,Q$2,FALSE)),"NOT PRESENT",VLOOKUP($P536,'M1'!$A:$C,Q$2,FALSE)),IF($N536=2,IF(ISERROR(VLOOKUP(DATA!$P32,'M2'!$A:$C,Q$2,FALSE)),"NOT PRESENT",VLOOKUP(DATA!$P32,'M2'!$A:$C,Q$2,FALSE)),IF($N536=0,IF(ISERROR(VLOOKUP($P536,'M1'!$A:$C,Q$2,FALSE)),IF(ISERROR(VLOOKUP(DATA!$P32,'M2'!$A:$C,Q$2,FALSE)),"NOT PRESENT",VLOOKUP(DATA!$P32,'M2'!$A:$C,Q$2,FALSE)),VLOOKUP($P536,'M1'!$A:$C,Q$2,FALSE)),"SPECIFY METHOD")))</f>
        <v>NOT PRESENT</v>
      </c>
      <c r="R536" s="4" t="str">
        <f>IF($N536=1,IF(ISERROR(VLOOKUP($P536,'M1'!$A:$C,R$2,FALSE)),"NOT PRESENT",VLOOKUP($P536,'M1'!$A:$C,R$2,FALSE)),IF($N536=2,IF(ISERROR(VLOOKUP(DATA!$P32,'M2'!$A:$C,R$2,FALSE)),"NOT PRESENT",VLOOKUP(DATA!$P32,'M2'!$A:$C,R$2,FALSE)),IF($N536=0,IF(ISERROR(VLOOKUP($P536,'M1'!$A:$C,R$2,FALSE)),IF(ISERROR(VLOOKUP(DATA!$P32,'M2'!$A:$C,R$2,FALSE)),"NOT PRESENT",VLOOKUP(DATA!$P32,'M2'!$A:$C,R$2,FALSE)),VLOOKUP($P536,'M1'!$A:$C,R$2,FALSE)),"SPECIFY METHOD")))</f>
        <v>NOT PRESENT</v>
      </c>
      <c r="S536" s="20">
        <f t="shared" ref="S536:S563" si="57">SUM(T536:AV536)</f>
        <v>9</v>
      </c>
      <c r="T536" s="2">
        <v>0</v>
      </c>
      <c r="V536" s="2">
        <v>1</v>
      </c>
      <c r="W536" s="2">
        <v>2</v>
      </c>
      <c r="X536" s="2">
        <v>5</v>
      </c>
      <c r="Y536" s="2">
        <v>1</v>
      </c>
    </row>
    <row r="537" spans="1:29">
      <c r="A537" s="7">
        <f>MAX($A$1:$A536)+1</f>
        <v>536</v>
      </c>
      <c r="B537" s="2" t="str">
        <f t="shared" si="52"/>
        <v>Em Lim</v>
      </c>
      <c r="C537" s="2" t="str">
        <f t="shared" si="53"/>
        <v>Jasmin Schuster</v>
      </c>
      <c r="D537" s="2" t="str">
        <f t="shared" ref="D537:D563" si="58">IF(ISERROR(D536),IF(ISERROR(D535),IF(ISERROR(D534),"BLANK",D534),D535),D536)</f>
        <v>BMSC21</v>
      </c>
      <c r="E537" s="7" t="str">
        <f>IF(ISERROR(VLOOKUP($D537,SITES!$A:$E,2,FALSE)),"",VLOOKUP($D537,SITES!$A:$E,2,FALSE))</f>
        <v>Dixon SW</v>
      </c>
      <c r="F537" s="4">
        <f>IF(ISERROR(VLOOKUP($D537,SITES!$A:$E,3,FALSE)),"",VLOOKUP($D537,SITES!$A:$E,3,FALSE))</f>
        <v>48.85205078125</v>
      </c>
      <c r="G537" s="18">
        <f>IF(ISERROR(VLOOKUP($D537,SITES!$A:$E,4,FALSE)),"",VLOOKUP($D537,SITES!$A:$E,4,FALSE))</f>
        <v>-125.123565673828</v>
      </c>
      <c r="H537" s="5" t="str">
        <f t="shared" si="54"/>
        <v>10/05/2023</v>
      </c>
      <c r="I537" s="2">
        <f t="shared" ref="I537:I563" si="59">IF(ISERROR(I536),IF(ISERROR(I535),IF(ISERROR(I534),"BLANK",I534),I535),I536)</f>
        <v>2</v>
      </c>
      <c r="J537" s="2">
        <f t="shared" si="55"/>
        <v>300</v>
      </c>
      <c r="K537" s="6">
        <f t="shared" ref="K537:K563" si="60">IF(ISERROR(K536),IF(ISERROR(K535),IF(ISERROR(K534),"BLANK",K534),K535),K536)</f>
        <v>0.54166666666666663</v>
      </c>
      <c r="L537" s="2" t="str">
        <f t="shared" si="56"/>
        <v>EGL</v>
      </c>
      <c r="M537" s="2">
        <f t="shared" ref="M537:O540" si="61">IF(ISERROR(M536),IF(ISERROR(M535),IF(ISERROR(M534),"BLANK",M534),M535),M536)</f>
        <v>6</v>
      </c>
      <c r="N537" s="2">
        <f t="shared" si="61"/>
        <v>1</v>
      </c>
      <c r="O537" s="2">
        <f t="shared" si="61"/>
        <v>1</v>
      </c>
      <c r="P537" s="27" t="s">
        <v>174</v>
      </c>
      <c r="Q537" s="7" t="str">
        <f>IF($N537=1,IF(ISERROR(VLOOKUP($P537,'M1'!$A:$C,Q$2,FALSE)),"NOT PRESENT",VLOOKUP($P537,'M1'!$A:$C,Q$2,FALSE)),IF($N537=2,IF(ISERROR(VLOOKUP(DATA!$P33,'M2'!$A:$C,Q$2,FALSE)),"NOT PRESENT",VLOOKUP(DATA!$P33,'M2'!$A:$C,Q$2,FALSE)),IF($N537=0,IF(ISERROR(VLOOKUP($P537,'M1'!$A:$C,Q$2,FALSE)),IF(ISERROR(VLOOKUP(DATA!$P33,'M2'!$A:$C,Q$2,FALSE)),"NOT PRESENT",VLOOKUP(DATA!$P33,'M2'!$A:$C,Q$2,FALSE)),VLOOKUP($P537,'M1'!$A:$C,Q$2,FALSE)),"SPECIFY METHOD")))</f>
        <v>NOT PRESENT</v>
      </c>
      <c r="R537" s="4" t="str">
        <f>IF($N537=1,IF(ISERROR(VLOOKUP($P537,'M1'!$A:$C,R$2,FALSE)),"NOT PRESENT",VLOOKUP($P537,'M1'!$A:$C,R$2,FALSE)),IF($N537=2,IF(ISERROR(VLOOKUP(DATA!$P33,'M2'!$A:$C,R$2,FALSE)),"NOT PRESENT",VLOOKUP(DATA!$P33,'M2'!$A:$C,R$2,FALSE)),IF($N537=0,IF(ISERROR(VLOOKUP($P537,'M1'!$A:$C,R$2,FALSE)),IF(ISERROR(VLOOKUP(DATA!$P33,'M2'!$A:$C,R$2,FALSE)),"NOT PRESENT",VLOOKUP(DATA!$P33,'M2'!$A:$C,R$2,FALSE)),VLOOKUP($P537,'M1'!$A:$C,R$2,FALSE)),"SPECIFY METHOD")))</f>
        <v>NOT PRESENT</v>
      </c>
      <c r="S537" s="20">
        <f t="shared" si="57"/>
        <v>10</v>
      </c>
      <c r="T537" s="2">
        <v>0</v>
      </c>
      <c r="X537" s="2">
        <v>1</v>
      </c>
      <c r="Z537" s="2">
        <v>2</v>
      </c>
      <c r="AA537" s="2">
        <v>3</v>
      </c>
      <c r="AB537" s="2">
        <v>3</v>
      </c>
      <c r="AC537" s="2">
        <v>1</v>
      </c>
    </row>
    <row r="538" spans="1:29">
      <c r="A538" s="7">
        <f>MAX($A$1:$A537)+1</f>
        <v>537</v>
      </c>
      <c r="B538" s="2" t="str">
        <f t="shared" si="52"/>
        <v>Em Lim</v>
      </c>
      <c r="C538" s="2" t="str">
        <f t="shared" si="53"/>
        <v>Jasmin Schuster</v>
      </c>
      <c r="D538" s="2" t="str">
        <f t="shared" si="58"/>
        <v>BMSC21</v>
      </c>
      <c r="E538" s="7" t="str">
        <f>IF(ISERROR(VLOOKUP($D538,SITES!$A:$E,2,FALSE)),"",VLOOKUP($D538,SITES!$A:$E,2,FALSE))</f>
        <v>Dixon SW</v>
      </c>
      <c r="F538" s="4">
        <f>IF(ISERROR(VLOOKUP($D538,SITES!$A:$E,3,FALSE)),"",VLOOKUP($D538,SITES!$A:$E,3,FALSE))</f>
        <v>48.85205078125</v>
      </c>
      <c r="G538" s="18">
        <f>IF(ISERROR(VLOOKUP($D538,SITES!$A:$E,4,FALSE)),"",VLOOKUP($D538,SITES!$A:$E,4,FALSE))</f>
        <v>-125.123565673828</v>
      </c>
      <c r="H538" s="5" t="str">
        <f t="shared" si="54"/>
        <v>10/05/2023</v>
      </c>
      <c r="I538" s="2">
        <f t="shared" si="59"/>
        <v>2</v>
      </c>
      <c r="J538" s="2">
        <f t="shared" si="55"/>
        <v>300</v>
      </c>
      <c r="K538" s="6">
        <f t="shared" si="60"/>
        <v>0.54166666666666663</v>
      </c>
      <c r="L538" s="2" t="str">
        <f t="shared" si="56"/>
        <v>EGL</v>
      </c>
      <c r="M538" s="2">
        <f t="shared" si="61"/>
        <v>6</v>
      </c>
      <c r="N538" s="2">
        <f t="shared" si="61"/>
        <v>1</v>
      </c>
      <c r="O538" s="2">
        <f t="shared" si="61"/>
        <v>1</v>
      </c>
      <c r="P538" s="27" t="s">
        <v>194</v>
      </c>
      <c r="Q538" s="7" t="str">
        <f>IF($N538=1,IF(ISERROR(VLOOKUP($P538,'M1'!$A:$C,Q$2,FALSE)),"NOT PRESENT",VLOOKUP($P538,'M1'!$A:$C,Q$2,FALSE)),IF($N538=2,IF(ISERROR(VLOOKUP(DATA!$P34,'M2'!$A:$C,Q$2,FALSE)),"NOT PRESENT",VLOOKUP(DATA!$P34,'M2'!$A:$C,Q$2,FALSE)),IF($N538=0,IF(ISERROR(VLOOKUP($P538,'M1'!$A:$C,Q$2,FALSE)),IF(ISERROR(VLOOKUP(DATA!$P34,'M2'!$A:$C,Q$2,FALSE)),"NOT PRESENT",VLOOKUP(DATA!$P34,'M2'!$A:$C,Q$2,FALSE)),VLOOKUP($P538,'M1'!$A:$C,Q$2,FALSE)),"SPECIFY METHOD")))</f>
        <v>NOT PRESENT</v>
      </c>
      <c r="R538" s="4" t="str">
        <f>IF($N538=1,IF(ISERROR(VLOOKUP($P538,'M1'!$A:$C,R$2,FALSE)),"NOT PRESENT",VLOOKUP($P538,'M1'!$A:$C,R$2,FALSE)),IF($N538=2,IF(ISERROR(VLOOKUP(DATA!$P34,'M2'!$A:$C,R$2,FALSE)),"NOT PRESENT",VLOOKUP(DATA!$P34,'M2'!$A:$C,R$2,FALSE)),IF($N538=0,IF(ISERROR(VLOOKUP($P538,'M1'!$A:$C,R$2,FALSE)),IF(ISERROR(VLOOKUP(DATA!$P34,'M2'!$A:$C,R$2,FALSE)),"NOT PRESENT",VLOOKUP(DATA!$P34,'M2'!$A:$C,R$2,FALSE)),VLOOKUP($P538,'M1'!$A:$C,R$2,FALSE)),"SPECIFY METHOD")))</f>
        <v>NOT PRESENT</v>
      </c>
      <c r="S538" s="20">
        <f t="shared" si="57"/>
        <v>1</v>
      </c>
      <c r="T538" s="2">
        <v>0</v>
      </c>
      <c r="V538" s="2">
        <v>1</v>
      </c>
    </row>
    <row r="539" spans="1:29">
      <c r="A539" s="7">
        <f>MAX($A$1:$A538)+1</f>
        <v>538</v>
      </c>
      <c r="B539" s="2" t="str">
        <f t="shared" si="52"/>
        <v>Em Lim</v>
      </c>
      <c r="C539" s="2" t="str">
        <f t="shared" si="53"/>
        <v>Jasmin Schuster</v>
      </c>
      <c r="D539" s="2" t="str">
        <f t="shared" si="58"/>
        <v>BMSC21</v>
      </c>
      <c r="E539" s="7" t="str">
        <f>IF(ISERROR(VLOOKUP($D539,SITES!$A:$E,2,FALSE)),"",VLOOKUP($D539,SITES!$A:$E,2,FALSE))</f>
        <v>Dixon SW</v>
      </c>
      <c r="F539" s="4">
        <f>IF(ISERROR(VLOOKUP($D539,SITES!$A:$E,3,FALSE)),"",VLOOKUP($D539,SITES!$A:$E,3,FALSE))</f>
        <v>48.85205078125</v>
      </c>
      <c r="G539" s="18">
        <f>IF(ISERROR(VLOOKUP($D539,SITES!$A:$E,4,FALSE)),"",VLOOKUP($D539,SITES!$A:$E,4,FALSE))</f>
        <v>-125.123565673828</v>
      </c>
      <c r="H539" s="5" t="str">
        <f t="shared" si="54"/>
        <v>10/05/2023</v>
      </c>
      <c r="I539" s="2">
        <f t="shared" si="59"/>
        <v>2</v>
      </c>
      <c r="J539" s="2">
        <f t="shared" si="55"/>
        <v>300</v>
      </c>
      <c r="K539" s="6">
        <f t="shared" si="60"/>
        <v>0.54166666666666663</v>
      </c>
      <c r="L539" s="2" t="str">
        <f t="shared" si="56"/>
        <v>EGL</v>
      </c>
      <c r="M539" s="2">
        <f t="shared" si="61"/>
        <v>6</v>
      </c>
      <c r="N539" s="2">
        <f t="shared" si="61"/>
        <v>1</v>
      </c>
      <c r="O539" s="2">
        <f t="shared" si="61"/>
        <v>1</v>
      </c>
      <c r="P539" s="27" t="s">
        <v>177</v>
      </c>
      <c r="Q539" s="7" t="str">
        <f>IF($N539=1,IF(ISERROR(VLOOKUP($P539,'M1'!$A:$C,Q$2,FALSE)),"NOT PRESENT",VLOOKUP($P539,'M1'!$A:$C,Q$2,FALSE)),IF($N539=2,IF(ISERROR(VLOOKUP(DATA!$P35,'M2'!$A:$C,Q$2,FALSE)),"NOT PRESENT",VLOOKUP(DATA!$P35,'M2'!$A:$C,Q$2,FALSE)),IF($N539=0,IF(ISERROR(VLOOKUP($P539,'M1'!$A:$C,Q$2,FALSE)),IF(ISERROR(VLOOKUP(DATA!$P35,'M2'!$A:$C,Q$2,FALSE)),"NOT PRESENT",VLOOKUP(DATA!$P35,'M2'!$A:$C,Q$2,FALSE)),VLOOKUP($P539,'M1'!$A:$C,Q$2,FALSE)),"SPECIFY METHOD")))</f>
        <v>NOT PRESENT</v>
      </c>
      <c r="R539" s="4" t="str">
        <f>IF($N539=1,IF(ISERROR(VLOOKUP($P539,'M1'!$A:$C,R$2,FALSE)),"NOT PRESENT",VLOOKUP($P539,'M1'!$A:$C,R$2,FALSE)),IF($N539=2,IF(ISERROR(VLOOKUP(DATA!$P35,'M2'!$A:$C,R$2,FALSE)),"NOT PRESENT",VLOOKUP(DATA!$P35,'M2'!$A:$C,R$2,FALSE)),IF($N539=0,IF(ISERROR(VLOOKUP($P539,'M1'!$A:$C,R$2,FALSE)),IF(ISERROR(VLOOKUP(DATA!$P35,'M2'!$A:$C,R$2,FALSE)),"NOT PRESENT",VLOOKUP(DATA!$P35,'M2'!$A:$C,R$2,FALSE)),VLOOKUP($P539,'M1'!$A:$C,R$2,FALSE)),"SPECIFY METHOD")))</f>
        <v>NOT PRESENT</v>
      </c>
      <c r="S539" s="20">
        <f t="shared" si="57"/>
        <v>1</v>
      </c>
      <c r="T539" s="2">
        <v>1</v>
      </c>
    </row>
    <row r="540" spans="1:29">
      <c r="A540" s="7">
        <f>MAX($A$1:$A539)+1</f>
        <v>539</v>
      </c>
      <c r="B540" s="2" t="str">
        <f t="shared" si="52"/>
        <v>Em Lim</v>
      </c>
      <c r="C540" s="2" t="str">
        <f t="shared" si="53"/>
        <v>Jasmin Schuster</v>
      </c>
      <c r="D540" s="2" t="str">
        <f t="shared" si="58"/>
        <v>BMSC21</v>
      </c>
      <c r="E540" s="7" t="str">
        <f>IF(ISERROR(VLOOKUP($D540,SITES!$A:$E,2,FALSE)),"",VLOOKUP($D540,SITES!$A:$E,2,FALSE))</f>
        <v>Dixon SW</v>
      </c>
      <c r="F540" s="4">
        <f>IF(ISERROR(VLOOKUP($D540,SITES!$A:$E,3,FALSE)),"",VLOOKUP($D540,SITES!$A:$E,3,FALSE))</f>
        <v>48.85205078125</v>
      </c>
      <c r="G540" s="18">
        <f>IF(ISERROR(VLOOKUP($D540,SITES!$A:$E,4,FALSE)),"",VLOOKUP($D540,SITES!$A:$E,4,FALSE))</f>
        <v>-125.123565673828</v>
      </c>
      <c r="H540" s="5" t="str">
        <f t="shared" si="54"/>
        <v>10/05/2023</v>
      </c>
      <c r="I540" s="2">
        <f t="shared" si="59"/>
        <v>2</v>
      </c>
      <c r="J540" s="2">
        <f t="shared" si="55"/>
        <v>300</v>
      </c>
      <c r="K540" s="6">
        <f t="shared" si="60"/>
        <v>0.54166666666666663</v>
      </c>
      <c r="L540" s="2" t="str">
        <f t="shared" si="56"/>
        <v>EGL</v>
      </c>
      <c r="M540" s="2">
        <f t="shared" si="61"/>
        <v>6</v>
      </c>
      <c r="N540" s="2">
        <f t="shared" si="61"/>
        <v>1</v>
      </c>
      <c r="O540" s="2">
        <f t="shared" si="61"/>
        <v>1</v>
      </c>
      <c r="P540" s="27" t="s">
        <v>200</v>
      </c>
      <c r="Q540" s="7" t="str">
        <f>IF($N540=1,IF(ISERROR(VLOOKUP($P540,'M1'!$A:$C,Q$2,FALSE)),"NOT PRESENT",VLOOKUP($P540,'M1'!$A:$C,Q$2,FALSE)),IF($N540=2,IF(ISERROR(VLOOKUP(DATA!$P36,'M2'!$A:$C,Q$2,FALSE)),"NOT PRESENT",VLOOKUP(DATA!$P36,'M2'!$A:$C,Q$2,FALSE)),IF($N540=0,IF(ISERROR(VLOOKUP($P540,'M1'!$A:$C,Q$2,FALSE)),IF(ISERROR(VLOOKUP(DATA!$P36,'M2'!$A:$C,Q$2,FALSE)),"NOT PRESENT",VLOOKUP(DATA!$P36,'M2'!$A:$C,Q$2,FALSE)),VLOOKUP($P540,'M1'!$A:$C,Q$2,FALSE)),"SPECIFY METHOD")))</f>
        <v>NOT PRESENT</v>
      </c>
      <c r="R540" s="4" t="str">
        <f>IF($N540=1,IF(ISERROR(VLOOKUP($P540,'M1'!$A:$C,R$2,FALSE)),"NOT PRESENT",VLOOKUP($P540,'M1'!$A:$C,R$2,FALSE)),IF($N540=2,IF(ISERROR(VLOOKUP(DATA!$P36,'M2'!$A:$C,R$2,FALSE)),"NOT PRESENT",VLOOKUP(DATA!$P36,'M2'!$A:$C,R$2,FALSE)),IF($N540=0,IF(ISERROR(VLOOKUP($P540,'M1'!$A:$C,R$2,FALSE)),IF(ISERROR(VLOOKUP(DATA!$P36,'M2'!$A:$C,R$2,FALSE)),"NOT PRESENT",VLOOKUP(DATA!$P36,'M2'!$A:$C,R$2,FALSE)),VLOOKUP($P540,'M1'!$A:$C,R$2,FALSE)),"SPECIFY METHOD")))</f>
        <v>NOT PRESENT</v>
      </c>
      <c r="S540" s="20">
        <f t="shared" si="57"/>
        <v>5</v>
      </c>
      <c r="T540" s="2">
        <v>0</v>
      </c>
      <c r="Y540" s="2">
        <v>2</v>
      </c>
      <c r="Z540" s="2">
        <v>3</v>
      </c>
    </row>
    <row r="541" spans="1:29">
      <c r="A541" s="7">
        <f>MAX($A$1:$A540)+1</f>
        <v>540</v>
      </c>
      <c r="B541" s="2" t="str">
        <f t="shared" si="52"/>
        <v>Em Lim</v>
      </c>
      <c r="C541" s="2" t="str">
        <f t="shared" si="53"/>
        <v>Jasmin Schuster</v>
      </c>
      <c r="D541" s="2" t="str">
        <f t="shared" si="58"/>
        <v>BMSC21</v>
      </c>
      <c r="E541" s="7" t="str">
        <f>IF(ISERROR(VLOOKUP($D541,SITES!$A:$E,2,FALSE)),"",VLOOKUP($D541,SITES!$A:$E,2,FALSE))</f>
        <v>Dixon SW</v>
      </c>
      <c r="F541" s="4">
        <f>IF(ISERROR(VLOOKUP($D541,SITES!$A:$E,3,FALSE)),"",VLOOKUP($D541,SITES!$A:$E,3,FALSE))</f>
        <v>48.85205078125</v>
      </c>
      <c r="G541" s="18">
        <f>IF(ISERROR(VLOOKUP($D541,SITES!$A:$E,4,FALSE)),"",VLOOKUP($D541,SITES!$A:$E,4,FALSE))</f>
        <v>-125.123565673828</v>
      </c>
      <c r="H541" s="5" t="str">
        <f t="shared" si="54"/>
        <v>10/05/2023</v>
      </c>
      <c r="I541" s="2">
        <f t="shared" si="59"/>
        <v>2</v>
      </c>
      <c r="J541" s="2">
        <f t="shared" si="55"/>
        <v>300</v>
      </c>
      <c r="K541" s="6">
        <f t="shared" si="60"/>
        <v>0.54166666666666663</v>
      </c>
      <c r="L541" s="2" t="str">
        <f t="shared" si="56"/>
        <v>EGL</v>
      </c>
      <c r="M541" s="2">
        <f t="shared" ref="M541:M563" si="62">IF(ISERROR(M540),IF(ISERROR(M539),IF(ISERROR(M538),"BLANK",M538),M539),M540)</f>
        <v>6</v>
      </c>
      <c r="N541" s="2">
        <v>2</v>
      </c>
      <c r="O541" s="2">
        <f t="shared" ref="O541:O561" si="63">IF(ISERROR(O540),IF(ISERROR(O539),IF(ISERROR(O538),"BLANK",O538),O539),O540)</f>
        <v>1</v>
      </c>
      <c r="P541" s="27" t="s">
        <v>178</v>
      </c>
      <c r="Q541" s="7" t="str">
        <f>IF($N541=1,IF(ISERROR(VLOOKUP($P541,'M1'!$A:$C,Q$2,FALSE)),"NOT PRESENT",VLOOKUP($P541,'M1'!$A:$C,Q$2,FALSE)),IF($N541=2,IF(ISERROR(VLOOKUP(DATA!$P37,'M2'!$A:$C,Q$2,FALSE)),"NOT PRESENT",VLOOKUP(DATA!$P37,'M2'!$A:$C,Q$2,FALSE)),IF($N541=0,IF(ISERROR(VLOOKUP($P541,'M1'!$A:$C,Q$2,FALSE)),IF(ISERROR(VLOOKUP(DATA!$P37,'M2'!$A:$C,Q$2,FALSE)),"NOT PRESENT",VLOOKUP(DATA!$P37,'M2'!$A:$C,Q$2,FALSE)),VLOOKUP($P541,'M1'!$A:$C,Q$2,FALSE)),"SPECIFY METHOD")))</f>
        <v>NOT PRESENT</v>
      </c>
      <c r="R541" s="4" t="str">
        <f>IF($N541=1,IF(ISERROR(VLOOKUP($P541,'M1'!$A:$C,R$2,FALSE)),"NOT PRESENT",VLOOKUP($P541,'M1'!$A:$C,R$2,FALSE)),IF($N541=2,IF(ISERROR(VLOOKUP(DATA!$P37,'M2'!$A:$C,R$2,FALSE)),"NOT PRESENT",VLOOKUP(DATA!$P37,'M2'!$A:$C,R$2,FALSE)),IF($N541=0,IF(ISERROR(VLOOKUP($P541,'M1'!$A:$C,R$2,FALSE)),IF(ISERROR(VLOOKUP(DATA!$P37,'M2'!$A:$C,R$2,FALSE)),"NOT PRESENT",VLOOKUP(DATA!$P37,'M2'!$A:$C,R$2,FALSE)),VLOOKUP($P541,'M1'!$A:$C,R$2,FALSE)),"SPECIFY METHOD")))</f>
        <v>NOT PRESENT</v>
      </c>
      <c r="S541" s="20">
        <f t="shared" si="57"/>
        <v>373</v>
      </c>
      <c r="T541" s="2">
        <v>373</v>
      </c>
    </row>
    <row r="542" spans="1:29">
      <c r="A542" s="7">
        <f>MAX($A$1:$A541)+1</f>
        <v>541</v>
      </c>
      <c r="B542" s="2" t="str">
        <f t="shared" si="52"/>
        <v>Em Lim</v>
      </c>
      <c r="C542" s="2" t="str">
        <f t="shared" si="53"/>
        <v>Jasmin Schuster</v>
      </c>
      <c r="D542" s="2" t="str">
        <f t="shared" si="58"/>
        <v>BMSC21</v>
      </c>
      <c r="E542" s="7" t="str">
        <f>IF(ISERROR(VLOOKUP($D542,SITES!$A:$E,2,FALSE)),"",VLOOKUP($D542,SITES!$A:$E,2,FALSE))</f>
        <v>Dixon SW</v>
      </c>
      <c r="F542" s="4">
        <f>IF(ISERROR(VLOOKUP($D542,SITES!$A:$E,3,FALSE)),"",VLOOKUP($D542,SITES!$A:$E,3,FALSE))</f>
        <v>48.85205078125</v>
      </c>
      <c r="G542" s="18">
        <f>IF(ISERROR(VLOOKUP($D542,SITES!$A:$E,4,FALSE)),"",VLOOKUP($D542,SITES!$A:$E,4,FALSE))</f>
        <v>-125.123565673828</v>
      </c>
      <c r="H542" s="5" t="str">
        <f t="shared" si="54"/>
        <v>10/05/2023</v>
      </c>
      <c r="I542" s="2">
        <f t="shared" si="59"/>
        <v>2</v>
      </c>
      <c r="J542" s="2">
        <f t="shared" si="55"/>
        <v>300</v>
      </c>
      <c r="K542" s="6">
        <f t="shared" si="60"/>
        <v>0.54166666666666663</v>
      </c>
      <c r="L542" s="2" t="str">
        <f t="shared" si="56"/>
        <v>EGL</v>
      </c>
      <c r="M542" s="2">
        <f t="shared" si="62"/>
        <v>6</v>
      </c>
      <c r="N542" s="2">
        <f t="shared" ref="N542:N559" si="64">IF(ISERROR(N541),IF(ISERROR(N540),IF(ISERROR(N539),"BLANK",N539),N540),N541)</f>
        <v>2</v>
      </c>
      <c r="O542" s="2">
        <f t="shared" si="63"/>
        <v>1</v>
      </c>
      <c r="P542" s="27" t="s">
        <v>190</v>
      </c>
      <c r="Q542" s="7" t="str">
        <f>IF($N542=1,IF(ISERROR(VLOOKUP($P542,'M1'!$A:$C,Q$2,FALSE)),"NOT PRESENT",VLOOKUP($P542,'M1'!$A:$C,Q$2,FALSE)),IF($N542=2,IF(ISERROR(VLOOKUP(DATA!$P38,'M2'!$A:$C,Q$2,FALSE)),"NOT PRESENT",VLOOKUP(DATA!$P38,'M2'!$A:$C,Q$2,FALSE)),IF($N542=0,IF(ISERROR(VLOOKUP($P542,'M1'!$A:$C,Q$2,FALSE)),IF(ISERROR(VLOOKUP(DATA!$P38,'M2'!$A:$C,Q$2,FALSE)),"NOT PRESENT",VLOOKUP(DATA!$P38,'M2'!$A:$C,Q$2,FALSE)),VLOOKUP($P542,'M1'!$A:$C,Q$2,FALSE)),"SPECIFY METHOD")))</f>
        <v>NOT PRESENT</v>
      </c>
      <c r="R542" s="4" t="str">
        <f>IF($N542=1,IF(ISERROR(VLOOKUP($P542,'M1'!$A:$C,R$2,FALSE)),"NOT PRESENT",VLOOKUP($P542,'M1'!$A:$C,R$2,FALSE)),IF($N542=2,IF(ISERROR(VLOOKUP(DATA!$P38,'M2'!$A:$C,R$2,FALSE)),"NOT PRESENT",VLOOKUP(DATA!$P38,'M2'!$A:$C,R$2,FALSE)),IF($N542=0,IF(ISERROR(VLOOKUP($P542,'M1'!$A:$C,R$2,FALSE)),IF(ISERROR(VLOOKUP(DATA!$P38,'M2'!$A:$C,R$2,FALSE)),"NOT PRESENT",VLOOKUP(DATA!$P38,'M2'!$A:$C,R$2,FALSE)),VLOOKUP($P542,'M1'!$A:$C,R$2,FALSE)),"SPECIFY METHOD")))</f>
        <v>NOT PRESENT</v>
      </c>
      <c r="S542" s="20">
        <f t="shared" si="57"/>
        <v>17</v>
      </c>
      <c r="T542" s="2">
        <v>17</v>
      </c>
    </row>
    <row r="543" spans="1:29">
      <c r="A543" s="7">
        <f>MAX($A$1:$A542)+1</f>
        <v>542</v>
      </c>
      <c r="B543" s="2" t="str">
        <f t="shared" si="52"/>
        <v>Em Lim</v>
      </c>
      <c r="C543" s="2" t="str">
        <f t="shared" si="53"/>
        <v>Jasmin Schuster</v>
      </c>
      <c r="D543" s="2" t="str">
        <f t="shared" si="58"/>
        <v>BMSC21</v>
      </c>
      <c r="E543" s="7" t="str">
        <f>IF(ISERROR(VLOOKUP($D543,SITES!$A:$E,2,FALSE)),"",VLOOKUP($D543,SITES!$A:$E,2,FALSE))</f>
        <v>Dixon SW</v>
      </c>
      <c r="F543" s="4">
        <f>IF(ISERROR(VLOOKUP($D543,SITES!$A:$E,3,FALSE)),"",VLOOKUP($D543,SITES!$A:$E,3,FALSE))</f>
        <v>48.85205078125</v>
      </c>
      <c r="G543" s="18">
        <f>IF(ISERROR(VLOOKUP($D543,SITES!$A:$E,4,FALSE)),"",VLOOKUP($D543,SITES!$A:$E,4,FALSE))</f>
        <v>-125.123565673828</v>
      </c>
      <c r="H543" s="5" t="str">
        <f t="shared" si="54"/>
        <v>10/05/2023</v>
      </c>
      <c r="I543" s="2">
        <f t="shared" si="59"/>
        <v>2</v>
      </c>
      <c r="J543" s="2">
        <f t="shared" si="55"/>
        <v>300</v>
      </c>
      <c r="K543" s="6">
        <f t="shared" si="60"/>
        <v>0.54166666666666663</v>
      </c>
      <c r="L543" s="2" t="str">
        <f t="shared" si="56"/>
        <v>EGL</v>
      </c>
      <c r="M543" s="2">
        <f t="shared" si="62"/>
        <v>6</v>
      </c>
      <c r="N543" s="2">
        <f t="shared" si="64"/>
        <v>2</v>
      </c>
      <c r="O543" s="2">
        <f t="shared" si="63"/>
        <v>1</v>
      </c>
      <c r="P543" s="27" t="s">
        <v>181</v>
      </c>
      <c r="Q543" s="7" t="str">
        <f>IF($N543=1,IF(ISERROR(VLOOKUP($P543,'M1'!$A:$C,Q$2,FALSE)),"NOT PRESENT",VLOOKUP($P543,'M1'!$A:$C,Q$2,FALSE)),IF($N543=2,IF(ISERROR(VLOOKUP(DATA!$P39,'M2'!$A:$C,Q$2,FALSE)),"NOT PRESENT",VLOOKUP(DATA!$P39,'M2'!$A:$C,Q$2,FALSE)),IF($N543=0,IF(ISERROR(VLOOKUP($P543,'M1'!$A:$C,Q$2,FALSE)),IF(ISERROR(VLOOKUP(DATA!$P39,'M2'!$A:$C,Q$2,FALSE)),"NOT PRESENT",VLOOKUP(DATA!$P39,'M2'!$A:$C,Q$2,FALSE)),VLOOKUP($P543,'M1'!$A:$C,Q$2,FALSE)),"SPECIFY METHOD")))</f>
        <v>NOT PRESENT</v>
      </c>
      <c r="R543" s="4" t="str">
        <f>IF($N543=1,IF(ISERROR(VLOOKUP($P543,'M1'!$A:$C,R$2,FALSE)),"NOT PRESENT",VLOOKUP($P543,'M1'!$A:$C,R$2,FALSE)),IF($N543=2,IF(ISERROR(VLOOKUP(DATA!$P39,'M2'!$A:$C,R$2,FALSE)),"NOT PRESENT",VLOOKUP(DATA!$P39,'M2'!$A:$C,R$2,FALSE)),IF($N543=0,IF(ISERROR(VLOOKUP($P543,'M1'!$A:$C,R$2,FALSE)),IF(ISERROR(VLOOKUP(DATA!$P39,'M2'!$A:$C,R$2,FALSE)),"NOT PRESENT",VLOOKUP(DATA!$P39,'M2'!$A:$C,R$2,FALSE)),VLOOKUP($P543,'M1'!$A:$C,R$2,FALSE)),"SPECIFY METHOD")))</f>
        <v>NOT PRESENT</v>
      </c>
      <c r="S543" s="20">
        <f t="shared" si="57"/>
        <v>59</v>
      </c>
      <c r="T543" s="2">
        <v>0</v>
      </c>
      <c r="U543" s="2">
        <v>16</v>
      </c>
      <c r="V543" s="2">
        <v>25</v>
      </c>
      <c r="W543" s="2">
        <v>17</v>
      </c>
      <c r="X543" s="2">
        <v>1</v>
      </c>
    </row>
    <row r="544" spans="1:29">
      <c r="A544" s="7">
        <f>MAX($A$1:$A543)+1</f>
        <v>543</v>
      </c>
      <c r="B544" s="2" t="str">
        <f t="shared" si="52"/>
        <v>Em Lim</v>
      </c>
      <c r="C544" s="2" t="str">
        <f t="shared" si="53"/>
        <v>Jasmin Schuster</v>
      </c>
      <c r="D544" s="2" t="str">
        <f t="shared" si="58"/>
        <v>BMSC21</v>
      </c>
      <c r="E544" s="7" t="str">
        <f>IF(ISERROR(VLOOKUP($D544,SITES!$A:$E,2,FALSE)),"",VLOOKUP($D544,SITES!$A:$E,2,FALSE))</f>
        <v>Dixon SW</v>
      </c>
      <c r="F544" s="4">
        <f>IF(ISERROR(VLOOKUP($D544,SITES!$A:$E,3,FALSE)),"",VLOOKUP($D544,SITES!$A:$E,3,FALSE))</f>
        <v>48.85205078125</v>
      </c>
      <c r="G544" s="18">
        <f>IF(ISERROR(VLOOKUP($D544,SITES!$A:$E,4,FALSE)),"",VLOOKUP($D544,SITES!$A:$E,4,FALSE))</f>
        <v>-125.123565673828</v>
      </c>
      <c r="H544" s="5" t="str">
        <f t="shared" si="54"/>
        <v>10/05/2023</v>
      </c>
      <c r="I544" s="2">
        <f t="shared" si="59"/>
        <v>2</v>
      </c>
      <c r="J544" s="2">
        <f t="shared" si="55"/>
        <v>300</v>
      </c>
      <c r="K544" s="6">
        <f t="shared" si="60"/>
        <v>0.54166666666666663</v>
      </c>
      <c r="L544" s="2" t="str">
        <f t="shared" si="56"/>
        <v>EGL</v>
      </c>
      <c r="M544" s="2">
        <f t="shared" si="62"/>
        <v>6</v>
      </c>
      <c r="N544" s="2">
        <f t="shared" si="64"/>
        <v>2</v>
      </c>
      <c r="O544" s="2">
        <f t="shared" si="63"/>
        <v>1</v>
      </c>
      <c r="P544" s="27" t="s">
        <v>173</v>
      </c>
      <c r="Q544" s="7" t="str">
        <f>IF($N544=1,IF(ISERROR(VLOOKUP($P544,'M1'!$A:$C,Q$2,FALSE)),"NOT PRESENT",VLOOKUP($P544,'M1'!$A:$C,Q$2,FALSE)),IF($N544=2,IF(ISERROR(VLOOKUP(DATA!$P40,'M2'!$A:$C,Q$2,FALSE)),"NOT PRESENT",VLOOKUP(DATA!$P40,'M2'!$A:$C,Q$2,FALSE)),IF($N544=0,IF(ISERROR(VLOOKUP($P544,'M1'!$A:$C,Q$2,FALSE)),IF(ISERROR(VLOOKUP(DATA!$P40,'M2'!$A:$C,Q$2,FALSE)),"NOT PRESENT",VLOOKUP(DATA!$P40,'M2'!$A:$C,Q$2,FALSE)),VLOOKUP($P544,'M1'!$A:$C,Q$2,FALSE)),"SPECIFY METHOD")))</f>
        <v>NOT PRESENT</v>
      </c>
      <c r="R544" s="4" t="str">
        <f>IF($N544=1,IF(ISERROR(VLOOKUP($P544,'M1'!$A:$C,R$2,FALSE)),"NOT PRESENT",VLOOKUP($P544,'M1'!$A:$C,R$2,FALSE)),IF($N544=2,IF(ISERROR(VLOOKUP(DATA!$P40,'M2'!$A:$C,R$2,FALSE)),"NOT PRESENT",VLOOKUP(DATA!$P40,'M2'!$A:$C,R$2,FALSE)),IF($N544=0,IF(ISERROR(VLOOKUP($P544,'M1'!$A:$C,R$2,FALSE)),IF(ISERROR(VLOOKUP(DATA!$P40,'M2'!$A:$C,R$2,FALSE)),"NOT PRESENT",VLOOKUP(DATA!$P40,'M2'!$A:$C,R$2,FALSE)),VLOOKUP($P544,'M1'!$A:$C,R$2,FALSE)),"SPECIFY METHOD")))</f>
        <v>NOT PRESENT</v>
      </c>
      <c r="S544" s="20">
        <f t="shared" si="57"/>
        <v>25</v>
      </c>
      <c r="T544" s="2">
        <v>0</v>
      </c>
      <c r="U544" s="2">
        <v>9</v>
      </c>
      <c r="V544" s="2">
        <v>8</v>
      </c>
      <c r="W544" s="2">
        <v>7</v>
      </c>
      <c r="X544" s="2">
        <v>1</v>
      </c>
    </row>
    <row r="545" spans="1:25">
      <c r="A545" s="7">
        <f>MAX($A$1:$A544)+1</f>
        <v>544</v>
      </c>
      <c r="B545" s="2" t="str">
        <f t="shared" si="52"/>
        <v>Em Lim</v>
      </c>
      <c r="C545" s="2" t="str">
        <f t="shared" si="53"/>
        <v>Jasmin Schuster</v>
      </c>
      <c r="D545" s="2" t="str">
        <f t="shared" si="58"/>
        <v>BMSC21</v>
      </c>
      <c r="E545" s="7" t="str">
        <f>IF(ISERROR(VLOOKUP($D545,SITES!$A:$E,2,FALSE)),"",VLOOKUP($D545,SITES!$A:$E,2,FALSE))</f>
        <v>Dixon SW</v>
      </c>
      <c r="F545" s="4">
        <f>IF(ISERROR(VLOOKUP($D545,SITES!$A:$E,3,FALSE)),"",VLOOKUP($D545,SITES!$A:$E,3,FALSE))</f>
        <v>48.85205078125</v>
      </c>
      <c r="G545" s="18">
        <f>IF(ISERROR(VLOOKUP($D545,SITES!$A:$E,4,FALSE)),"",VLOOKUP($D545,SITES!$A:$E,4,FALSE))</f>
        <v>-125.123565673828</v>
      </c>
      <c r="H545" s="5" t="str">
        <f t="shared" si="54"/>
        <v>10/05/2023</v>
      </c>
      <c r="I545" s="2">
        <f t="shared" si="59"/>
        <v>2</v>
      </c>
      <c r="J545" s="2">
        <f t="shared" si="55"/>
        <v>300</v>
      </c>
      <c r="K545" s="6">
        <f t="shared" si="60"/>
        <v>0.54166666666666663</v>
      </c>
      <c r="L545" s="2" t="str">
        <f t="shared" si="56"/>
        <v>EGL</v>
      </c>
      <c r="M545" s="2">
        <f t="shared" si="62"/>
        <v>6</v>
      </c>
      <c r="N545" s="2">
        <f t="shared" si="64"/>
        <v>2</v>
      </c>
      <c r="O545" s="2">
        <f t="shared" si="63"/>
        <v>1</v>
      </c>
      <c r="P545" s="27" t="s">
        <v>184</v>
      </c>
      <c r="Q545" s="7" t="str">
        <f>IF($N545=1,IF(ISERROR(VLOOKUP($P545,'M1'!$A:$C,Q$2,FALSE)),"NOT PRESENT",VLOOKUP($P545,'M1'!$A:$C,Q$2,FALSE)),IF($N545=2,IF(ISERROR(VLOOKUP(DATA!$P41,'M2'!$A:$C,Q$2,FALSE)),"NOT PRESENT",VLOOKUP(DATA!$P41,'M2'!$A:$C,Q$2,FALSE)),IF($N545=0,IF(ISERROR(VLOOKUP($P545,'M1'!$A:$C,Q$2,FALSE)),IF(ISERROR(VLOOKUP(DATA!$P41,'M2'!$A:$C,Q$2,FALSE)),"NOT PRESENT",VLOOKUP(DATA!$P41,'M2'!$A:$C,Q$2,FALSE)),VLOOKUP($P545,'M1'!$A:$C,Q$2,FALSE)),"SPECIFY METHOD")))</f>
        <v>NOT PRESENT</v>
      </c>
      <c r="R545" s="4" t="str">
        <f>IF($N545=1,IF(ISERROR(VLOOKUP($P545,'M1'!$A:$C,R$2,FALSE)),"NOT PRESENT",VLOOKUP($P545,'M1'!$A:$C,R$2,FALSE)),IF($N545=2,IF(ISERROR(VLOOKUP(DATA!$P41,'M2'!$A:$C,R$2,FALSE)),"NOT PRESENT",VLOOKUP(DATA!$P41,'M2'!$A:$C,R$2,FALSE)),IF($N545=0,IF(ISERROR(VLOOKUP($P545,'M1'!$A:$C,R$2,FALSE)),IF(ISERROR(VLOOKUP(DATA!$P41,'M2'!$A:$C,R$2,FALSE)),"NOT PRESENT",VLOOKUP(DATA!$P41,'M2'!$A:$C,R$2,FALSE)),VLOOKUP($P545,'M1'!$A:$C,R$2,FALSE)),"SPECIFY METHOD")))</f>
        <v>NOT PRESENT</v>
      </c>
      <c r="S545" s="20">
        <f t="shared" si="57"/>
        <v>42</v>
      </c>
      <c r="T545" s="2">
        <v>42</v>
      </c>
    </row>
    <row r="546" spans="1:25">
      <c r="A546" s="7">
        <f>MAX($A$1:$A545)+1</f>
        <v>545</v>
      </c>
      <c r="B546" s="2" t="str">
        <f t="shared" si="52"/>
        <v>Em Lim</v>
      </c>
      <c r="C546" s="2" t="str">
        <f t="shared" si="53"/>
        <v>Jasmin Schuster</v>
      </c>
      <c r="D546" s="2" t="str">
        <f t="shared" si="58"/>
        <v>BMSC21</v>
      </c>
      <c r="E546" s="7" t="str">
        <f>IF(ISERROR(VLOOKUP($D546,SITES!$A:$E,2,FALSE)),"",VLOOKUP($D546,SITES!$A:$E,2,FALSE))</f>
        <v>Dixon SW</v>
      </c>
      <c r="F546" s="4">
        <f>IF(ISERROR(VLOOKUP($D546,SITES!$A:$E,3,FALSE)),"",VLOOKUP($D546,SITES!$A:$E,3,FALSE))</f>
        <v>48.85205078125</v>
      </c>
      <c r="G546" s="18">
        <f>IF(ISERROR(VLOOKUP($D546,SITES!$A:$E,4,FALSE)),"",VLOOKUP($D546,SITES!$A:$E,4,FALSE))</f>
        <v>-125.123565673828</v>
      </c>
      <c r="H546" s="5" t="str">
        <f t="shared" si="54"/>
        <v>10/05/2023</v>
      </c>
      <c r="I546" s="2">
        <f t="shared" si="59"/>
        <v>2</v>
      </c>
      <c r="J546" s="2">
        <f t="shared" si="55"/>
        <v>300</v>
      </c>
      <c r="K546" s="6">
        <f t="shared" si="60"/>
        <v>0.54166666666666663</v>
      </c>
      <c r="L546" s="2" t="str">
        <f t="shared" si="56"/>
        <v>EGL</v>
      </c>
      <c r="M546" s="2">
        <f t="shared" si="62"/>
        <v>6</v>
      </c>
      <c r="N546" s="2">
        <f t="shared" si="64"/>
        <v>2</v>
      </c>
      <c r="O546" s="2">
        <f t="shared" si="63"/>
        <v>1</v>
      </c>
      <c r="P546" s="27" t="s">
        <v>179</v>
      </c>
      <c r="Q546" s="7" t="str">
        <f>IF($N546=1,IF(ISERROR(VLOOKUP($P546,'M1'!$A:$C,Q$2,FALSE)),"NOT PRESENT",VLOOKUP($P546,'M1'!$A:$C,Q$2,FALSE)),IF($N546=2,IF(ISERROR(VLOOKUP(DATA!$P42,'M2'!$A:$C,Q$2,FALSE)),"NOT PRESENT",VLOOKUP(DATA!$P42,'M2'!$A:$C,Q$2,FALSE)),IF($N546=0,IF(ISERROR(VLOOKUP($P546,'M1'!$A:$C,Q$2,FALSE)),IF(ISERROR(VLOOKUP(DATA!$P42,'M2'!$A:$C,Q$2,FALSE)),"NOT PRESENT",VLOOKUP(DATA!$P42,'M2'!$A:$C,Q$2,FALSE)),VLOOKUP($P546,'M1'!$A:$C,Q$2,FALSE)),"SPECIFY METHOD")))</f>
        <v>NOT PRESENT</v>
      </c>
      <c r="R546" s="4" t="str">
        <f>IF($N546=1,IF(ISERROR(VLOOKUP($P546,'M1'!$A:$C,R$2,FALSE)),"NOT PRESENT",VLOOKUP($P546,'M1'!$A:$C,R$2,FALSE)),IF($N546=2,IF(ISERROR(VLOOKUP(DATA!$P42,'M2'!$A:$C,R$2,FALSE)),"NOT PRESENT",VLOOKUP(DATA!$P42,'M2'!$A:$C,R$2,FALSE)),IF($N546=0,IF(ISERROR(VLOOKUP($P546,'M1'!$A:$C,R$2,FALSE)),IF(ISERROR(VLOOKUP(DATA!$P42,'M2'!$A:$C,R$2,FALSE)),"NOT PRESENT",VLOOKUP(DATA!$P42,'M2'!$A:$C,R$2,FALSE)),VLOOKUP($P546,'M1'!$A:$C,R$2,FALSE)),"SPECIFY METHOD")))</f>
        <v>NOT PRESENT</v>
      </c>
      <c r="S546" s="20">
        <f t="shared" si="57"/>
        <v>15</v>
      </c>
      <c r="T546" s="2">
        <v>15</v>
      </c>
    </row>
    <row r="547" spans="1:25">
      <c r="A547" s="7">
        <f>MAX($A$1:$A546)+1</f>
        <v>546</v>
      </c>
      <c r="B547" s="2" t="str">
        <f t="shared" si="52"/>
        <v>Em Lim</v>
      </c>
      <c r="C547" s="2" t="str">
        <f t="shared" si="53"/>
        <v>Jasmin Schuster</v>
      </c>
      <c r="D547" s="2" t="str">
        <f t="shared" si="58"/>
        <v>BMSC21</v>
      </c>
      <c r="E547" s="7" t="str">
        <f>IF(ISERROR(VLOOKUP($D547,SITES!$A:$E,2,FALSE)),"",VLOOKUP($D547,SITES!$A:$E,2,FALSE))</f>
        <v>Dixon SW</v>
      </c>
      <c r="F547" s="4">
        <f>IF(ISERROR(VLOOKUP($D547,SITES!$A:$E,3,FALSE)),"",VLOOKUP($D547,SITES!$A:$E,3,FALSE))</f>
        <v>48.85205078125</v>
      </c>
      <c r="G547" s="18">
        <f>IF(ISERROR(VLOOKUP($D547,SITES!$A:$E,4,FALSE)),"",VLOOKUP($D547,SITES!$A:$E,4,FALSE))</f>
        <v>-125.123565673828</v>
      </c>
      <c r="H547" s="5" t="str">
        <f t="shared" si="54"/>
        <v>10/05/2023</v>
      </c>
      <c r="I547" s="2">
        <f t="shared" si="59"/>
        <v>2</v>
      </c>
      <c r="J547" s="2">
        <f t="shared" si="55"/>
        <v>300</v>
      </c>
      <c r="K547" s="6">
        <f t="shared" si="60"/>
        <v>0.54166666666666663</v>
      </c>
      <c r="L547" s="2" t="str">
        <f t="shared" si="56"/>
        <v>EGL</v>
      </c>
      <c r="M547" s="2">
        <f t="shared" si="62"/>
        <v>6</v>
      </c>
      <c r="N547" s="2">
        <f t="shared" si="64"/>
        <v>2</v>
      </c>
      <c r="O547" s="2">
        <f t="shared" si="63"/>
        <v>1</v>
      </c>
      <c r="P547" s="27" t="s">
        <v>180</v>
      </c>
      <c r="Q547" s="7" t="str">
        <f>IF($N547=1,IF(ISERROR(VLOOKUP($P547,'M1'!$A:$C,Q$2,FALSE)),"NOT PRESENT",VLOOKUP($P547,'M1'!$A:$C,Q$2,FALSE)),IF($N547=2,IF(ISERROR(VLOOKUP(DATA!$P43,'M2'!$A:$C,Q$2,FALSE)),"NOT PRESENT",VLOOKUP(DATA!$P43,'M2'!$A:$C,Q$2,FALSE)),IF($N547=0,IF(ISERROR(VLOOKUP($P547,'M1'!$A:$C,Q$2,FALSE)),IF(ISERROR(VLOOKUP(DATA!$P43,'M2'!$A:$C,Q$2,FALSE)),"NOT PRESENT",VLOOKUP(DATA!$P43,'M2'!$A:$C,Q$2,FALSE)),VLOOKUP($P547,'M1'!$A:$C,Q$2,FALSE)),"SPECIFY METHOD")))</f>
        <v>NOT PRESENT</v>
      </c>
      <c r="R547" s="4" t="str">
        <f>IF($N547=1,IF(ISERROR(VLOOKUP($P547,'M1'!$A:$C,R$2,FALSE)),"NOT PRESENT",VLOOKUP($P547,'M1'!$A:$C,R$2,FALSE)),IF($N547=2,IF(ISERROR(VLOOKUP(DATA!$P43,'M2'!$A:$C,R$2,FALSE)),"NOT PRESENT",VLOOKUP(DATA!$P43,'M2'!$A:$C,R$2,FALSE)),IF($N547=0,IF(ISERROR(VLOOKUP($P547,'M1'!$A:$C,R$2,FALSE)),IF(ISERROR(VLOOKUP(DATA!$P43,'M2'!$A:$C,R$2,FALSE)),"NOT PRESENT",VLOOKUP(DATA!$P43,'M2'!$A:$C,R$2,FALSE)),VLOOKUP($P547,'M1'!$A:$C,R$2,FALSE)),"SPECIFY METHOD")))</f>
        <v>NOT PRESENT</v>
      </c>
      <c r="S547" s="20">
        <f t="shared" si="57"/>
        <v>18</v>
      </c>
      <c r="T547" s="2">
        <v>18</v>
      </c>
    </row>
    <row r="548" spans="1:25">
      <c r="A548" s="7">
        <f>MAX($A$1:$A547)+1</f>
        <v>547</v>
      </c>
      <c r="B548" s="2" t="str">
        <f t="shared" si="52"/>
        <v>Em Lim</v>
      </c>
      <c r="C548" s="2" t="str">
        <f t="shared" si="53"/>
        <v>Jasmin Schuster</v>
      </c>
      <c r="D548" s="2" t="str">
        <f t="shared" si="58"/>
        <v>BMSC21</v>
      </c>
      <c r="E548" s="7" t="str">
        <f>IF(ISERROR(VLOOKUP($D548,SITES!$A:$E,2,FALSE)),"",VLOOKUP($D548,SITES!$A:$E,2,FALSE))</f>
        <v>Dixon SW</v>
      </c>
      <c r="F548" s="4">
        <f>IF(ISERROR(VLOOKUP($D548,SITES!$A:$E,3,FALSE)),"",VLOOKUP($D548,SITES!$A:$E,3,FALSE))</f>
        <v>48.85205078125</v>
      </c>
      <c r="G548" s="18">
        <f>IF(ISERROR(VLOOKUP($D548,SITES!$A:$E,4,FALSE)),"",VLOOKUP($D548,SITES!$A:$E,4,FALSE))</f>
        <v>-125.123565673828</v>
      </c>
      <c r="H548" s="5" t="str">
        <f t="shared" si="54"/>
        <v>10/05/2023</v>
      </c>
      <c r="I548" s="2">
        <f t="shared" si="59"/>
        <v>2</v>
      </c>
      <c r="J548" s="2">
        <f t="shared" si="55"/>
        <v>300</v>
      </c>
      <c r="K548" s="6">
        <f t="shared" si="60"/>
        <v>0.54166666666666663</v>
      </c>
      <c r="L548" s="2" t="str">
        <f t="shared" si="56"/>
        <v>EGL</v>
      </c>
      <c r="M548" s="2">
        <f t="shared" si="62"/>
        <v>6</v>
      </c>
      <c r="N548" s="2">
        <f t="shared" si="64"/>
        <v>2</v>
      </c>
      <c r="O548" s="2">
        <f t="shared" si="63"/>
        <v>1</v>
      </c>
      <c r="P548" s="27" t="s">
        <v>193</v>
      </c>
      <c r="Q548" s="7" t="str">
        <f>IF($N548=1,IF(ISERROR(VLOOKUP($P548,'M1'!$A:$C,Q$2,FALSE)),"NOT PRESENT",VLOOKUP($P548,'M1'!$A:$C,Q$2,FALSE)),IF($N548=2,IF(ISERROR(VLOOKUP(DATA!$P44,'M2'!$A:$C,Q$2,FALSE)),"NOT PRESENT",VLOOKUP(DATA!$P44,'M2'!$A:$C,Q$2,FALSE)),IF($N548=0,IF(ISERROR(VLOOKUP($P548,'M1'!$A:$C,Q$2,FALSE)),IF(ISERROR(VLOOKUP(DATA!$P44,'M2'!$A:$C,Q$2,FALSE)),"NOT PRESENT",VLOOKUP(DATA!$P44,'M2'!$A:$C,Q$2,FALSE)),VLOOKUP($P548,'M1'!$A:$C,Q$2,FALSE)),"SPECIFY METHOD")))</f>
        <v>NOT PRESENT</v>
      </c>
      <c r="R548" s="4" t="str">
        <f>IF($N548=1,IF(ISERROR(VLOOKUP($P548,'M1'!$A:$C,R$2,FALSE)),"NOT PRESENT",VLOOKUP($P548,'M1'!$A:$C,R$2,FALSE)),IF($N548=2,IF(ISERROR(VLOOKUP(DATA!$P44,'M2'!$A:$C,R$2,FALSE)),"NOT PRESENT",VLOOKUP(DATA!$P44,'M2'!$A:$C,R$2,FALSE)),IF($N548=0,IF(ISERROR(VLOOKUP($P548,'M1'!$A:$C,R$2,FALSE)),IF(ISERROR(VLOOKUP(DATA!$P44,'M2'!$A:$C,R$2,FALSE)),"NOT PRESENT",VLOOKUP(DATA!$P44,'M2'!$A:$C,R$2,FALSE)),VLOOKUP($P548,'M1'!$A:$C,R$2,FALSE)),"SPECIFY METHOD")))</f>
        <v>NOT PRESENT</v>
      </c>
      <c r="S548" s="20">
        <f t="shared" si="57"/>
        <v>11</v>
      </c>
      <c r="T548" s="2">
        <v>0</v>
      </c>
      <c r="V548" s="2">
        <v>2</v>
      </c>
      <c r="W548" s="2">
        <v>5</v>
      </c>
      <c r="X548" s="2">
        <v>4</v>
      </c>
    </row>
    <row r="549" spans="1:25">
      <c r="A549" s="7">
        <f>MAX($A$1:$A548)+1</f>
        <v>548</v>
      </c>
      <c r="B549" s="2" t="str">
        <f t="shared" si="52"/>
        <v>Em Lim</v>
      </c>
      <c r="C549" s="2" t="str">
        <f t="shared" si="53"/>
        <v>Jasmin Schuster</v>
      </c>
      <c r="D549" s="2" t="str">
        <f t="shared" si="58"/>
        <v>BMSC21</v>
      </c>
      <c r="E549" s="7" t="str">
        <f>IF(ISERROR(VLOOKUP($D549,SITES!$A:$E,2,FALSE)),"",VLOOKUP($D549,SITES!$A:$E,2,FALSE))</f>
        <v>Dixon SW</v>
      </c>
      <c r="F549" s="4">
        <f>IF(ISERROR(VLOOKUP($D549,SITES!$A:$E,3,FALSE)),"",VLOOKUP($D549,SITES!$A:$E,3,FALSE))</f>
        <v>48.85205078125</v>
      </c>
      <c r="G549" s="18">
        <f>IF(ISERROR(VLOOKUP($D549,SITES!$A:$E,4,FALSE)),"",VLOOKUP($D549,SITES!$A:$E,4,FALSE))</f>
        <v>-125.123565673828</v>
      </c>
      <c r="H549" s="5" t="str">
        <f t="shared" si="54"/>
        <v>10/05/2023</v>
      </c>
      <c r="I549" s="2">
        <f t="shared" si="59"/>
        <v>2</v>
      </c>
      <c r="J549" s="2">
        <f t="shared" si="55"/>
        <v>300</v>
      </c>
      <c r="K549" s="6">
        <f t="shared" si="60"/>
        <v>0.54166666666666663</v>
      </c>
      <c r="L549" s="2" t="str">
        <f t="shared" si="56"/>
        <v>EGL</v>
      </c>
      <c r="M549" s="2">
        <f t="shared" si="62"/>
        <v>6</v>
      </c>
      <c r="N549" s="2">
        <f t="shared" si="64"/>
        <v>2</v>
      </c>
      <c r="O549" s="2">
        <f t="shared" si="63"/>
        <v>1</v>
      </c>
      <c r="P549" s="27" t="s">
        <v>201</v>
      </c>
      <c r="Q549" s="7" t="str">
        <f>IF($N549=1,IF(ISERROR(VLOOKUP($P549,'M1'!$A:$C,Q$2,FALSE)),"NOT PRESENT",VLOOKUP($P549,'M1'!$A:$C,Q$2,FALSE)),IF($N549=2,IF(ISERROR(VLOOKUP(DATA!$P45,'M2'!$A:$C,Q$2,FALSE)),"NOT PRESENT",VLOOKUP(DATA!$P45,'M2'!$A:$C,Q$2,FALSE)),IF($N549=0,IF(ISERROR(VLOOKUP($P549,'M1'!$A:$C,Q$2,FALSE)),IF(ISERROR(VLOOKUP(DATA!$P45,'M2'!$A:$C,Q$2,FALSE)),"NOT PRESENT",VLOOKUP(DATA!$P45,'M2'!$A:$C,Q$2,FALSE)),VLOOKUP($P549,'M1'!$A:$C,Q$2,FALSE)),"SPECIFY METHOD")))</f>
        <v>NOT PRESENT</v>
      </c>
      <c r="R549" s="4" t="str">
        <f>IF($N549=1,IF(ISERROR(VLOOKUP($P549,'M1'!$A:$C,R$2,FALSE)),"NOT PRESENT",VLOOKUP($P549,'M1'!$A:$C,R$2,FALSE)),IF($N549=2,IF(ISERROR(VLOOKUP(DATA!$P45,'M2'!$A:$C,R$2,FALSE)),"NOT PRESENT",VLOOKUP(DATA!$P45,'M2'!$A:$C,R$2,FALSE)),IF($N549=0,IF(ISERROR(VLOOKUP($P549,'M1'!$A:$C,R$2,FALSE)),IF(ISERROR(VLOOKUP(DATA!$P45,'M2'!$A:$C,R$2,FALSE)),"NOT PRESENT",VLOOKUP(DATA!$P45,'M2'!$A:$C,R$2,FALSE)),VLOOKUP($P549,'M1'!$A:$C,R$2,FALSE)),"SPECIFY METHOD")))</f>
        <v>NOT PRESENT</v>
      </c>
      <c r="S549" s="20">
        <f t="shared" si="57"/>
        <v>1</v>
      </c>
      <c r="T549" s="2">
        <v>1</v>
      </c>
    </row>
    <row r="550" spans="1:25">
      <c r="A550" s="7">
        <f>MAX($A$1:$A549)+1</f>
        <v>549</v>
      </c>
      <c r="B550" s="2" t="str">
        <f t="shared" si="52"/>
        <v>Em Lim</v>
      </c>
      <c r="C550" s="2" t="str">
        <f t="shared" si="53"/>
        <v>Jasmin Schuster</v>
      </c>
      <c r="D550" s="2" t="str">
        <f t="shared" si="58"/>
        <v>BMSC21</v>
      </c>
      <c r="E550" s="7" t="str">
        <f>IF(ISERROR(VLOOKUP($D550,SITES!$A:$E,2,FALSE)),"",VLOOKUP($D550,SITES!$A:$E,2,FALSE))</f>
        <v>Dixon SW</v>
      </c>
      <c r="F550" s="4">
        <f>IF(ISERROR(VLOOKUP($D550,SITES!$A:$E,3,FALSE)),"",VLOOKUP($D550,SITES!$A:$E,3,FALSE))</f>
        <v>48.85205078125</v>
      </c>
      <c r="G550" s="18">
        <f>IF(ISERROR(VLOOKUP($D550,SITES!$A:$E,4,FALSE)),"",VLOOKUP($D550,SITES!$A:$E,4,FALSE))</f>
        <v>-125.123565673828</v>
      </c>
      <c r="H550" s="5" t="str">
        <f t="shared" si="54"/>
        <v>10/05/2023</v>
      </c>
      <c r="I550" s="2">
        <f t="shared" si="59"/>
        <v>2</v>
      </c>
      <c r="J550" s="2">
        <f t="shared" si="55"/>
        <v>300</v>
      </c>
      <c r="K550" s="6">
        <f t="shared" si="60"/>
        <v>0.54166666666666663</v>
      </c>
      <c r="L550" s="2" t="str">
        <f t="shared" si="56"/>
        <v>EGL</v>
      </c>
      <c r="M550" s="2">
        <f t="shared" si="62"/>
        <v>6</v>
      </c>
      <c r="N550" s="2">
        <f t="shared" si="64"/>
        <v>2</v>
      </c>
      <c r="O550" s="2">
        <f t="shared" si="63"/>
        <v>1</v>
      </c>
      <c r="P550" s="27" t="s">
        <v>186</v>
      </c>
      <c r="Q550" s="7" t="str">
        <f>IF($N550=1,IF(ISERROR(VLOOKUP($P550,'M1'!$A:$C,Q$2,FALSE)),"NOT PRESENT",VLOOKUP($P550,'M1'!$A:$C,Q$2,FALSE)),IF($N550=2,IF(ISERROR(VLOOKUP(DATA!$P46,'M2'!$A:$C,Q$2,FALSE)),"NOT PRESENT",VLOOKUP(DATA!$P46,'M2'!$A:$C,Q$2,FALSE)),IF($N550=0,IF(ISERROR(VLOOKUP($P550,'M1'!$A:$C,Q$2,FALSE)),IF(ISERROR(VLOOKUP(DATA!$P46,'M2'!$A:$C,Q$2,FALSE)),"NOT PRESENT",VLOOKUP(DATA!$P46,'M2'!$A:$C,Q$2,FALSE)),VLOOKUP($P550,'M1'!$A:$C,Q$2,FALSE)),"SPECIFY METHOD")))</f>
        <v>NOT PRESENT</v>
      </c>
      <c r="R550" s="4" t="str">
        <f>IF($N550=1,IF(ISERROR(VLOOKUP($P550,'M1'!$A:$C,R$2,FALSE)),"NOT PRESENT",VLOOKUP($P550,'M1'!$A:$C,R$2,FALSE)),IF($N550=2,IF(ISERROR(VLOOKUP(DATA!$P46,'M2'!$A:$C,R$2,FALSE)),"NOT PRESENT",VLOOKUP(DATA!$P46,'M2'!$A:$C,R$2,FALSE)),IF($N550=0,IF(ISERROR(VLOOKUP($P550,'M1'!$A:$C,R$2,FALSE)),IF(ISERROR(VLOOKUP(DATA!$P46,'M2'!$A:$C,R$2,FALSE)),"NOT PRESENT",VLOOKUP(DATA!$P46,'M2'!$A:$C,R$2,FALSE)),VLOOKUP($P550,'M1'!$A:$C,R$2,FALSE)),"SPECIFY METHOD")))</f>
        <v>NOT PRESENT</v>
      </c>
      <c r="S550" s="20">
        <f t="shared" si="57"/>
        <v>1</v>
      </c>
      <c r="T550" s="2">
        <v>1</v>
      </c>
    </row>
    <row r="551" spans="1:25">
      <c r="A551" s="7">
        <f>MAX($A$1:$A550)+1</f>
        <v>550</v>
      </c>
      <c r="B551" s="2" t="str">
        <f t="shared" si="52"/>
        <v>Em Lim</v>
      </c>
      <c r="C551" s="2" t="str">
        <f t="shared" si="53"/>
        <v>Jasmin Schuster</v>
      </c>
      <c r="D551" s="2" t="str">
        <f t="shared" si="58"/>
        <v>BMSC21</v>
      </c>
      <c r="E551" s="7" t="str">
        <f>IF(ISERROR(VLOOKUP($D551,SITES!$A:$E,2,FALSE)),"",VLOOKUP($D551,SITES!$A:$E,2,FALSE))</f>
        <v>Dixon SW</v>
      </c>
      <c r="F551" s="4">
        <f>IF(ISERROR(VLOOKUP($D551,SITES!$A:$E,3,FALSE)),"",VLOOKUP($D551,SITES!$A:$E,3,FALSE))</f>
        <v>48.85205078125</v>
      </c>
      <c r="G551" s="18">
        <f>IF(ISERROR(VLOOKUP($D551,SITES!$A:$E,4,FALSE)),"",VLOOKUP($D551,SITES!$A:$E,4,FALSE))</f>
        <v>-125.123565673828</v>
      </c>
      <c r="H551" s="5" t="str">
        <f t="shared" si="54"/>
        <v>10/05/2023</v>
      </c>
      <c r="I551" s="2">
        <f t="shared" si="59"/>
        <v>2</v>
      </c>
      <c r="J551" s="2">
        <f t="shared" si="55"/>
        <v>300</v>
      </c>
      <c r="K551" s="6">
        <f t="shared" si="60"/>
        <v>0.54166666666666663</v>
      </c>
      <c r="L551" s="2" t="str">
        <f t="shared" si="56"/>
        <v>EGL</v>
      </c>
      <c r="M551" s="2">
        <f t="shared" si="62"/>
        <v>6</v>
      </c>
      <c r="N551" s="2">
        <f t="shared" si="64"/>
        <v>2</v>
      </c>
      <c r="O551" s="2">
        <f t="shared" si="63"/>
        <v>1</v>
      </c>
      <c r="P551" s="27" t="s">
        <v>182</v>
      </c>
      <c r="Q551" s="7" t="str">
        <f>IF($N551=1,IF(ISERROR(VLOOKUP($P551,'M1'!$A:$C,Q$2,FALSE)),"NOT PRESENT",VLOOKUP($P551,'M1'!$A:$C,Q$2,FALSE)),IF($N551=2,IF(ISERROR(VLOOKUP(DATA!$P47,'M2'!$A:$C,Q$2,FALSE)),"NOT PRESENT",VLOOKUP(DATA!$P47,'M2'!$A:$C,Q$2,FALSE)),IF($N551=0,IF(ISERROR(VLOOKUP($P551,'M1'!$A:$C,Q$2,FALSE)),IF(ISERROR(VLOOKUP(DATA!$P47,'M2'!$A:$C,Q$2,FALSE)),"NOT PRESENT",VLOOKUP(DATA!$P47,'M2'!$A:$C,Q$2,FALSE)),VLOOKUP($P551,'M1'!$A:$C,Q$2,FALSE)),"SPECIFY METHOD")))</f>
        <v>NOT PRESENT</v>
      </c>
      <c r="R551" s="4" t="str">
        <f>IF($N551=1,IF(ISERROR(VLOOKUP($P551,'M1'!$A:$C,R$2,FALSE)),"NOT PRESENT",VLOOKUP($P551,'M1'!$A:$C,R$2,FALSE)),IF($N551=2,IF(ISERROR(VLOOKUP(DATA!$P47,'M2'!$A:$C,R$2,FALSE)),"NOT PRESENT",VLOOKUP(DATA!$P47,'M2'!$A:$C,R$2,FALSE)),IF($N551=0,IF(ISERROR(VLOOKUP($P551,'M1'!$A:$C,R$2,FALSE)),IF(ISERROR(VLOOKUP(DATA!$P47,'M2'!$A:$C,R$2,FALSE)),"NOT PRESENT",VLOOKUP(DATA!$P47,'M2'!$A:$C,R$2,FALSE)),VLOOKUP($P551,'M1'!$A:$C,R$2,FALSE)),"SPECIFY METHOD")))</f>
        <v>NOT PRESENT</v>
      </c>
      <c r="S551" s="20">
        <f t="shared" si="57"/>
        <v>7</v>
      </c>
      <c r="T551" s="2">
        <v>7</v>
      </c>
    </row>
    <row r="552" spans="1:25">
      <c r="A552" s="7">
        <f>MAX($A$1:$A551)+1</f>
        <v>551</v>
      </c>
      <c r="B552" s="2" t="str">
        <f t="shared" si="52"/>
        <v>Em Lim</v>
      </c>
      <c r="C552" s="2" t="str">
        <f t="shared" si="53"/>
        <v>Jasmin Schuster</v>
      </c>
      <c r="D552" s="2" t="str">
        <f t="shared" si="58"/>
        <v>BMSC21</v>
      </c>
      <c r="E552" s="7" t="str">
        <f>IF(ISERROR(VLOOKUP($D552,SITES!$A:$E,2,FALSE)),"",VLOOKUP($D552,SITES!$A:$E,2,FALSE))</f>
        <v>Dixon SW</v>
      </c>
      <c r="F552" s="4">
        <f>IF(ISERROR(VLOOKUP($D552,SITES!$A:$E,3,FALSE)),"",VLOOKUP($D552,SITES!$A:$E,3,FALSE))</f>
        <v>48.85205078125</v>
      </c>
      <c r="G552" s="18">
        <f>IF(ISERROR(VLOOKUP($D552,SITES!$A:$E,4,FALSE)),"",VLOOKUP($D552,SITES!$A:$E,4,FALSE))</f>
        <v>-125.123565673828</v>
      </c>
      <c r="H552" s="5" t="str">
        <f t="shared" si="54"/>
        <v>10/05/2023</v>
      </c>
      <c r="I552" s="2">
        <f t="shared" si="59"/>
        <v>2</v>
      </c>
      <c r="J552" s="2">
        <f t="shared" si="55"/>
        <v>300</v>
      </c>
      <c r="K552" s="6">
        <f t="shared" si="60"/>
        <v>0.54166666666666663</v>
      </c>
      <c r="L552" s="2" t="str">
        <f t="shared" si="56"/>
        <v>EGL</v>
      </c>
      <c r="M552" s="2">
        <f t="shared" si="62"/>
        <v>6</v>
      </c>
      <c r="N552" s="2">
        <f t="shared" si="64"/>
        <v>2</v>
      </c>
      <c r="O552" s="2">
        <f t="shared" si="63"/>
        <v>1</v>
      </c>
      <c r="P552" s="27" t="s">
        <v>202</v>
      </c>
      <c r="Q552" s="7" t="str">
        <f>IF($N552=1,IF(ISERROR(VLOOKUP($P552,'M1'!$A:$C,Q$2,FALSE)),"NOT PRESENT",VLOOKUP($P552,'M1'!$A:$C,Q$2,FALSE)),IF($N552=2,IF(ISERROR(VLOOKUP(DATA!$P48,'M2'!$A:$C,Q$2,FALSE)),"NOT PRESENT",VLOOKUP(DATA!$P48,'M2'!$A:$C,Q$2,FALSE)),IF($N552=0,IF(ISERROR(VLOOKUP($P552,'M1'!$A:$C,Q$2,FALSE)),IF(ISERROR(VLOOKUP(DATA!$P48,'M2'!$A:$C,Q$2,FALSE)),"NOT PRESENT",VLOOKUP(DATA!$P48,'M2'!$A:$C,Q$2,FALSE)),VLOOKUP($P552,'M1'!$A:$C,Q$2,FALSE)),"SPECIFY METHOD")))</f>
        <v>NOT PRESENT</v>
      </c>
      <c r="R552" s="4" t="str">
        <f>IF($N552=1,IF(ISERROR(VLOOKUP($P552,'M1'!$A:$C,R$2,FALSE)),"NOT PRESENT",VLOOKUP($P552,'M1'!$A:$C,R$2,FALSE)),IF($N552=2,IF(ISERROR(VLOOKUP(DATA!$P48,'M2'!$A:$C,R$2,FALSE)),"NOT PRESENT",VLOOKUP(DATA!$P48,'M2'!$A:$C,R$2,FALSE)),IF($N552=0,IF(ISERROR(VLOOKUP($P552,'M1'!$A:$C,R$2,FALSE)),IF(ISERROR(VLOOKUP(DATA!$P48,'M2'!$A:$C,R$2,FALSE)),"NOT PRESENT",VLOOKUP(DATA!$P48,'M2'!$A:$C,R$2,FALSE)),VLOOKUP($P552,'M1'!$A:$C,R$2,FALSE)),"SPECIFY METHOD")))</f>
        <v>NOT PRESENT</v>
      </c>
      <c r="S552" s="20">
        <f t="shared" si="57"/>
        <v>11</v>
      </c>
      <c r="T552" s="2">
        <v>11</v>
      </c>
    </row>
    <row r="553" spans="1:25">
      <c r="A553" s="7">
        <f>MAX($A$1:$A552)+1</f>
        <v>552</v>
      </c>
      <c r="B553" s="2" t="str">
        <f t="shared" si="52"/>
        <v>Em Lim</v>
      </c>
      <c r="C553" s="2" t="str">
        <f t="shared" si="53"/>
        <v>Jasmin Schuster</v>
      </c>
      <c r="D553" s="2" t="str">
        <f t="shared" si="58"/>
        <v>BMSC21</v>
      </c>
      <c r="E553" s="7" t="str">
        <f>IF(ISERROR(VLOOKUP($D553,SITES!$A:$E,2,FALSE)),"",VLOOKUP($D553,SITES!$A:$E,2,FALSE))</f>
        <v>Dixon SW</v>
      </c>
      <c r="F553" s="4">
        <f>IF(ISERROR(VLOOKUP($D553,SITES!$A:$E,3,FALSE)),"",VLOOKUP($D553,SITES!$A:$E,3,FALSE))</f>
        <v>48.85205078125</v>
      </c>
      <c r="G553" s="18">
        <f>IF(ISERROR(VLOOKUP($D553,SITES!$A:$E,4,FALSE)),"",VLOOKUP($D553,SITES!$A:$E,4,FALSE))</f>
        <v>-125.123565673828</v>
      </c>
      <c r="H553" s="5" t="str">
        <f t="shared" si="54"/>
        <v>10/05/2023</v>
      </c>
      <c r="I553" s="2">
        <f t="shared" si="59"/>
        <v>2</v>
      </c>
      <c r="J553" s="2">
        <f t="shared" si="55"/>
        <v>300</v>
      </c>
      <c r="K553" s="6">
        <f t="shared" si="60"/>
        <v>0.54166666666666663</v>
      </c>
      <c r="L553" s="2" t="str">
        <f t="shared" si="56"/>
        <v>EGL</v>
      </c>
      <c r="M553" s="2">
        <f t="shared" si="62"/>
        <v>6</v>
      </c>
      <c r="N553" s="2">
        <f t="shared" si="64"/>
        <v>2</v>
      </c>
      <c r="O553" s="2">
        <f t="shared" si="63"/>
        <v>1</v>
      </c>
      <c r="P553" s="27" t="s">
        <v>188</v>
      </c>
      <c r="Q553" s="7" t="str">
        <f>IF($N553=1,IF(ISERROR(VLOOKUP($P553,'M1'!$A:$C,Q$2,FALSE)),"NOT PRESENT",VLOOKUP($P553,'M1'!$A:$C,Q$2,FALSE)),IF($N553=2,IF(ISERROR(VLOOKUP(DATA!$P49,'M2'!$A:$C,Q$2,FALSE)),"NOT PRESENT",VLOOKUP(DATA!$P49,'M2'!$A:$C,Q$2,FALSE)),IF($N553=0,IF(ISERROR(VLOOKUP($P553,'M1'!$A:$C,Q$2,FALSE)),IF(ISERROR(VLOOKUP(DATA!$P49,'M2'!$A:$C,Q$2,FALSE)),"NOT PRESENT",VLOOKUP(DATA!$P49,'M2'!$A:$C,Q$2,FALSE)),VLOOKUP($P553,'M1'!$A:$C,Q$2,FALSE)),"SPECIFY METHOD")))</f>
        <v>NOT PRESENT</v>
      </c>
      <c r="R553" s="4" t="str">
        <f>IF($N553=1,IF(ISERROR(VLOOKUP($P553,'M1'!$A:$C,R$2,FALSE)),"NOT PRESENT",VLOOKUP($P553,'M1'!$A:$C,R$2,FALSE)),IF($N553=2,IF(ISERROR(VLOOKUP(DATA!$P49,'M2'!$A:$C,R$2,FALSE)),"NOT PRESENT",VLOOKUP(DATA!$P49,'M2'!$A:$C,R$2,FALSE)),IF($N553=0,IF(ISERROR(VLOOKUP($P553,'M1'!$A:$C,R$2,FALSE)),IF(ISERROR(VLOOKUP(DATA!$P49,'M2'!$A:$C,R$2,FALSE)),"NOT PRESENT",VLOOKUP(DATA!$P49,'M2'!$A:$C,R$2,FALSE)),VLOOKUP($P553,'M1'!$A:$C,R$2,FALSE)),"SPECIFY METHOD")))</f>
        <v>NOT PRESENT</v>
      </c>
      <c r="S553" s="20">
        <f t="shared" si="57"/>
        <v>1</v>
      </c>
      <c r="T553" s="2">
        <v>1</v>
      </c>
    </row>
    <row r="554" spans="1:25">
      <c r="A554" s="7">
        <f>MAX($A$1:$A553)+1</f>
        <v>553</v>
      </c>
      <c r="B554" s="2" t="str">
        <f t="shared" si="52"/>
        <v>Em Lim</v>
      </c>
      <c r="C554" s="2" t="str">
        <f t="shared" si="53"/>
        <v>Jasmin Schuster</v>
      </c>
      <c r="D554" s="2" t="str">
        <f t="shared" si="58"/>
        <v>BMSC21</v>
      </c>
      <c r="E554" s="7" t="str">
        <f>IF(ISERROR(VLOOKUP($D554,SITES!$A:$E,2,FALSE)),"",VLOOKUP($D554,SITES!$A:$E,2,FALSE))</f>
        <v>Dixon SW</v>
      </c>
      <c r="F554" s="4">
        <f>IF(ISERROR(VLOOKUP($D554,SITES!$A:$E,3,FALSE)),"",VLOOKUP($D554,SITES!$A:$E,3,FALSE))</f>
        <v>48.85205078125</v>
      </c>
      <c r="G554" s="18">
        <f>IF(ISERROR(VLOOKUP($D554,SITES!$A:$E,4,FALSE)),"",VLOOKUP($D554,SITES!$A:$E,4,FALSE))</f>
        <v>-125.123565673828</v>
      </c>
      <c r="H554" s="5" t="str">
        <f t="shared" si="54"/>
        <v>10/05/2023</v>
      </c>
      <c r="I554" s="2">
        <f t="shared" si="59"/>
        <v>2</v>
      </c>
      <c r="J554" s="2">
        <f t="shared" si="55"/>
        <v>300</v>
      </c>
      <c r="K554" s="6">
        <f t="shared" si="60"/>
        <v>0.54166666666666663</v>
      </c>
      <c r="L554" s="2" t="str">
        <f t="shared" si="56"/>
        <v>EGL</v>
      </c>
      <c r="M554" s="2">
        <f t="shared" si="62"/>
        <v>6</v>
      </c>
      <c r="N554" s="2">
        <f t="shared" si="64"/>
        <v>2</v>
      </c>
      <c r="O554" s="2">
        <f t="shared" si="63"/>
        <v>1</v>
      </c>
      <c r="P554" s="27" t="s">
        <v>194</v>
      </c>
      <c r="Q554" s="7" t="str">
        <f>IF($N554=1,IF(ISERROR(VLOOKUP($P554,'M1'!$A:$C,Q$2,FALSE)),"NOT PRESENT",VLOOKUP($P554,'M1'!$A:$C,Q$2,FALSE)),IF($N554=2,IF(ISERROR(VLOOKUP(DATA!$P50,'M2'!$A:$C,Q$2,FALSE)),"NOT PRESENT",VLOOKUP(DATA!$P50,'M2'!$A:$C,Q$2,FALSE)),IF($N554=0,IF(ISERROR(VLOOKUP($P554,'M1'!$A:$C,Q$2,FALSE)),IF(ISERROR(VLOOKUP(DATA!$P50,'M2'!$A:$C,Q$2,FALSE)),"NOT PRESENT",VLOOKUP(DATA!$P50,'M2'!$A:$C,Q$2,FALSE)),VLOOKUP($P554,'M1'!$A:$C,Q$2,FALSE)),"SPECIFY METHOD")))</f>
        <v>NOT PRESENT</v>
      </c>
      <c r="R554" s="4" t="str">
        <f>IF($N554=1,IF(ISERROR(VLOOKUP($P554,'M1'!$A:$C,R$2,FALSE)),"NOT PRESENT",VLOOKUP($P554,'M1'!$A:$C,R$2,FALSE)),IF($N554=2,IF(ISERROR(VLOOKUP(DATA!$P50,'M2'!$A:$C,R$2,FALSE)),"NOT PRESENT",VLOOKUP(DATA!$P50,'M2'!$A:$C,R$2,FALSE)),IF($N554=0,IF(ISERROR(VLOOKUP($P554,'M1'!$A:$C,R$2,FALSE)),IF(ISERROR(VLOOKUP(DATA!$P50,'M2'!$A:$C,R$2,FALSE)),"NOT PRESENT",VLOOKUP(DATA!$P50,'M2'!$A:$C,R$2,FALSE)),VLOOKUP($P554,'M1'!$A:$C,R$2,FALSE)),"SPECIFY METHOD")))</f>
        <v>NOT PRESENT</v>
      </c>
      <c r="S554" s="20">
        <f t="shared" si="57"/>
        <v>4</v>
      </c>
      <c r="T554" s="2">
        <v>0</v>
      </c>
      <c r="U554" s="2">
        <v>4</v>
      </c>
    </row>
    <row r="555" spans="1:25">
      <c r="A555" s="7">
        <f>MAX($A$1:$A554)+1</f>
        <v>554</v>
      </c>
      <c r="B555" s="2" t="str">
        <f t="shared" si="52"/>
        <v>Em Lim</v>
      </c>
      <c r="C555" s="2" t="str">
        <f t="shared" si="53"/>
        <v>Jasmin Schuster</v>
      </c>
      <c r="D555" s="2" t="str">
        <f t="shared" si="58"/>
        <v>BMSC21</v>
      </c>
      <c r="E555" s="7" t="str">
        <f>IF(ISERROR(VLOOKUP($D555,SITES!$A:$E,2,FALSE)),"",VLOOKUP($D555,SITES!$A:$E,2,FALSE))</f>
        <v>Dixon SW</v>
      </c>
      <c r="F555" s="4">
        <f>IF(ISERROR(VLOOKUP($D555,SITES!$A:$E,3,FALSE)),"",VLOOKUP($D555,SITES!$A:$E,3,FALSE))</f>
        <v>48.85205078125</v>
      </c>
      <c r="G555" s="18">
        <f>IF(ISERROR(VLOOKUP($D555,SITES!$A:$E,4,FALSE)),"",VLOOKUP($D555,SITES!$A:$E,4,FALSE))</f>
        <v>-125.123565673828</v>
      </c>
      <c r="H555" s="5" t="str">
        <f t="shared" si="54"/>
        <v>10/05/2023</v>
      </c>
      <c r="I555" s="2">
        <f t="shared" si="59"/>
        <v>2</v>
      </c>
      <c r="J555" s="2">
        <f t="shared" si="55"/>
        <v>300</v>
      </c>
      <c r="K555" s="6">
        <f t="shared" si="60"/>
        <v>0.54166666666666663</v>
      </c>
      <c r="L555" s="2" t="str">
        <f t="shared" si="56"/>
        <v>EGL</v>
      </c>
      <c r="M555" s="2">
        <f t="shared" si="62"/>
        <v>6</v>
      </c>
      <c r="N555" s="2">
        <f t="shared" si="64"/>
        <v>2</v>
      </c>
      <c r="O555" s="2">
        <f t="shared" si="63"/>
        <v>1</v>
      </c>
      <c r="P555" s="27" t="s">
        <v>196</v>
      </c>
      <c r="Q555" s="7" t="str">
        <f>IF($N555=1,IF(ISERROR(VLOOKUP($P555,'M1'!$A:$C,Q$2,FALSE)),"NOT PRESENT",VLOOKUP($P555,'M1'!$A:$C,Q$2,FALSE)),IF($N555=2,IF(ISERROR(VLOOKUP(DATA!$P51,'M2'!$A:$C,Q$2,FALSE)),"NOT PRESENT",VLOOKUP(DATA!$P51,'M2'!$A:$C,Q$2,FALSE)),IF($N555=0,IF(ISERROR(VLOOKUP($P555,'M1'!$A:$C,Q$2,FALSE)),IF(ISERROR(VLOOKUP(DATA!$P51,'M2'!$A:$C,Q$2,FALSE)),"NOT PRESENT",VLOOKUP(DATA!$P51,'M2'!$A:$C,Q$2,FALSE)),VLOOKUP($P555,'M1'!$A:$C,Q$2,FALSE)),"SPECIFY METHOD")))</f>
        <v>NOT PRESENT</v>
      </c>
      <c r="R555" s="4" t="str">
        <f>IF($N555=1,IF(ISERROR(VLOOKUP($P555,'M1'!$A:$C,R$2,FALSE)),"NOT PRESENT",VLOOKUP($P555,'M1'!$A:$C,R$2,FALSE)),IF($N555=2,IF(ISERROR(VLOOKUP(DATA!$P51,'M2'!$A:$C,R$2,FALSE)),"NOT PRESENT",VLOOKUP(DATA!$P51,'M2'!$A:$C,R$2,FALSE)),IF($N555=0,IF(ISERROR(VLOOKUP($P555,'M1'!$A:$C,R$2,FALSE)),IF(ISERROR(VLOOKUP(DATA!$P51,'M2'!$A:$C,R$2,FALSE)),"NOT PRESENT",VLOOKUP(DATA!$P51,'M2'!$A:$C,R$2,FALSE)),VLOOKUP($P555,'M1'!$A:$C,R$2,FALSE)),"SPECIFY METHOD")))</f>
        <v>NOT PRESENT</v>
      </c>
      <c r="S555" s="20">
        <f t="shared" si="57"/>
        <v>3</v>
      </c>
      <c r="T555" s="2">
        <v>3</v>
      </c>
    </row>
    <row r="556" spans="1:25">
      <c r="A556" s="7">
        <f>MAX($A$1:$A555)+1</f>
        <v>555</v>
      </c>
      <c r="B556" s="2" t="str">
        <f t="shared" si="52"/>
        <v>Em Lim</v>
      </c>
      <c r="C556" s="2" t="str">
        <f t="shared" si="53"/>
        <v>Jasmin Schuster</v>
      </c>
      <c r="D556" s="2" t="str">
        <f t="shared" si="58"/>
        <v>BMSC21</v>
      </c>
      <c r="E556" s="7" t="str">
        <f>IF(ISERROR(VLOOKUP($D556,SITES!$A:$E,2,FALSE)),"",VLOOKUP($D556,SITES!$A:$E,2,FALSE))</f>
        <v>Dixon SW</v>
      </c>
      <c r="F556" s="4">
        <f>IF(ISERROR(VLOOKUP($D556,SITES!$A:$E,3,FALSE)),"",VLOOKUP($D556,SITES!$A:$E,3,FALSE))</f>
        <v>48.85205078125</v>
      </c>
      <c r="G556" s="18">
        <f>IF(ISERROR(VLOOKUP($D556,SITES!$A:$E,4,FALSE)),"",VLOOKUP($D556,SITES!$A:$E,4,FALSE))</f>
        <v>-125.123565673828</v>
      </c>
      <c r="H556" s="5" t="str">
        <f t="shared" si="54"/>
        <v>10/05/2023</v>
      </c>
      <c r="I556" s="2">
        <f t="shared" si="59"/>
        <v>2</v>
      </c>
      <c r="J556" s="2">
        <f t="shared" si="55"/>
        <v>300</v>
      </c>
      <c r="K556" s="6">
        <f t="shared" si="60"/>
        <v>0.54166666666666663</v>
      </c>
      <c r="L556" s="2" t="str">
        <f t="shared" si="56"/>
        <v>EGL</v>
      </c>
      <c r="M556" s="2">
        <f t="shared" si="62"/>
        <v>6</v>
      </c>
      <c r="N556" s="2">
        <f t="shared" si="64"/>
        <v>2</v>
      </c>
      <c r="O556" s="2">
        <f t="shared" si="63"/>
        <v>1</v>
      </c>
      <c r="P556" s="27" t="s">
        <v>203</v>
      </c>
      <c r="Q556" s="7" t="str">
        <f>IF($N556=1,IF(ISERROR(VLOOKUP($P556,'M1'!$A:$C,Q$2,FALSE)),"NOT PRESENT",VLOOKUP($P556,'M1'!$A:$C,Q$2,FALSE)),IF($N556=2,IF(ISERROR(VLOOKUP(DATA!$P52,'M2'!$A:$C,Q$2,FALSE)),"NOT PRESENT",VLOOKUP(DATA!$P52,'M2'!$A:$C,Q$2,FALSE)),IF($N556=0,IF(ISERROR(VLOOKUP($P556,'M1'!$A:$C,Q$2,FALSE)),IF(ISERROR(VLOOKUP(DATA!$P52,'M2'!$A:$C,Q$2,FALSE)),"NOT PRESENT",VLOOKUP(DATA!$P52,'M2'!$A:$C,Q$2,FALSE)),VLOOKUP($P556,'M1'!$A:$C,Q$2,FALSE)),"SPECIFY METHOD")))</f>
        <v>NOT PRESENT</v>
      </c>
      <c r="R556" s="4" t="str">
        <f>IF($N556=1,IF(ISERROR(VLOOKUP($P556,'M1'!$A:$C,R$2,FALSE)),"NOT PRESENT",VLOOKUP($P556,'M1'!$A:$C,R$2,FALSE)),IF($N556=2,IF(ISERROR(VLOOKUP(DATA!$P52,'M2'!$A:$C,R$2,FALSE)),"NOT PRESENT",VLOOKUP(DATA!$P52,'M2'!$A:$C,R$2,FALSE)),IF($N556=0,IF(ISERROR(VLOOKUP($P556,'M1'!$A:$C,R$2,FALSE)),IF(ISERROR(VLOOKUP(DATA!$P52,'M2'!$A:$C,R$2,FALSE)),"NOT PRESENT",VLOOKUP(DATA!$P52,'M2'!$A:$C,R$2,FALSE)),VLOOKUP($P556,'M1'!$A:$C,R$2,FALSE)),"SPECIFY METHOD")))</f>
        <v>NOT PRESENT</v>
      </c>
      <c r="S556" s="20">
        <f t="shared" si="57"/>
        <v>1</v>
      </c>
      <c r="T556" s="2">
        <v>1</v>
      </c>
    </row>
    <row r="557" spans="1:25">
      <c r="A557" s="7">
        <f>MAX($A$1:$A556)+1</f>
        <v>556</v>
      </c>
      <c r="B557" s="2" t="str">
        <f t="shared" si="52"/>
        <v>Em Lim</v>
      </c>
      <c r="C557" s="2" t="str">
        <f t="shared" si="53"/>
        <v>Jasmin Schuster</v>
      </c>
      <c r="D557" s="2" t="str">
        <f t="shared" si="58"/>
        <v>BMSC21</v>
      </c>
      <c r="E557" s="7" t="str">
        <f>IF(ISERROR(VLOOKUP($D557,SITES!$A:$E,2,FALSE)),"",VLOOKUP($D557,SITES!$A:$E,2,FALSE))</f>
        <v>Dixon SW</v>
      </c>
      <c r="F557" s="4">
        <f>IF(ISERROR(VLOOKUP($D557,SITES!$A:$E,3,FALSE)),"",VLOOKUP($D557,SITES!$A:$E,3,FALSE))</f>
        <v>48.85205078125</v>
      </c>
      <c r="G557" s="18">
        <f>IF(ISERROR(VLOOKUP($D557,SITES!$A:$E,4,FALSE)),"",VLOOKUP($D557,SITES!$A:$E,4,FALSE))</f>
        <v>-125.123565673828</v>
      </c>
      <c r="H557" s="5" t="str">
        <f t="shared" si="54"/>
        <v>10/05/2023</v>
      </c>
      <c r="I557" s="2">
        <f t="shared" si="59"/>
        <v>2</v>
      </c>
      <c r="J557" s="2">
        <f t="shared" si="55"/>
        <v>300</v>
      </c>
      <c r="K557" s="6">
        <f t="shared" si="60"/>
        <v>0.54166666666666663</v>
      </c>
      <c r="L557" s="2" t="str">
        <f t="shared" si="56"/>
        <v>EGL</v>
      </c>
      <c r="M557" s="2">
        <f t="shared" si="62"/>
        <v>6</v>
      </c>
      <c r="N557" s="2">
        <f t="shared" si="64"/>
        <v>2</v>
      </c>
      <c r="O557" s="2">
        <f t="shared" si="63"/>
        <v>1</v>
      </c>
      <c r="P557" s="27" t="s">
        <v>204</v>
      </c>
      <c r="Q557" s="7" t="str">
        <f>IF($N557=1,IF(ISERROR(VLOOKUP($P557,'M1'!$A:$C,Q$2,FALSE)),"NOT PRESENT",VLOOKUP($P557,'M1'!$A:$C,Q$2,FALSE)),IF($N557=2,IF(ISERROR(VLOOKUP(DATA!$P53,'M2'!$A:$C,Q$2,FALSE)),"NOT PRESENT",VLOOKUP(DATA!$P53,'M2'!$A:$C,Q$2,FALSE)),IF($N557=0,IF(ISERROR(VLOOKUP($P557,'M1'!$A:$C,Q$2,FALSE)),IF(ISERROR(VLOOKUP(DATA!$P53,'M2'!$A:$C,Q$2,FALSE)),"NOT PRESENT",VLOOKUP(DATA!$P53,'M2'!$A:$C,Q$2,FALSE)),VLOOKUP($P557,'M1'!$A:$C,Q$2,FALSE)),"SPECIFY METHOD")))</f>
        <v>NOT PRESENT</v>
      </c>
      <c r="R557" s="4" t="str">
        <f>IF($N557=1,IF(ISERROR(VLOOKUP($P557,'M1'!$A:$C,R$2,FALSE)),"NOT PRESENT",VLOOKUP($P557,'M1'!$A:$C,R$2,FALSE)),IF($N557=2,IF(ISERROR(VLOOKUP(DATA!$P53,'M2'!$A:$C,R$2,FALSE)),"NOT PRESENT",VLOOKUP(DATA!$P53,'M2'!$A:$C,R$2,FALSE)),IF($N557=0,IF(ISERROR(VLOOKUP($P557,'M1'!$A:$C,R$2,FALSE)),IF(ISERROR(VLOOKUP(DATA!$P53,'M2'!$A:$C,R$2,FALSE)),"NOT PRESENT",VLOOKUP(DATA!$P53,'M2'!$A:$C,R$2,FALSE)),VLOOKUP($P557,'M1'!$A:$C,R$2,FALSE)),"SPECIFY METHOD")))</f>
        <v>NOT PRESENT</v>
      </c>
      <c r="S557" s="20">
        <f t="shared" si="57"/>
        <v>1</v>
      </c>
      <c r="T557" s="2">
        <v>1</v>
      </c>
    </row>
    <row r="558" spans="1:25">
      <c r="A558" s="7">
        <f>MAX($A$1:$A557)+1</f>
        <v>557</v>
      </c>
      <c r="B558" s="2" t="str">
        <f t="shared" si="52"/>
        <v>Em Lim</v>
      </c>
      <c r="C558" s="2" t="str">
        <f t="shared" si="53"/>
        <v>Jasmin Schuster</v>
      </c>
      <c r="D558" s="2" t="str">
        <f t="shared" si="58"/>
        <v>BMSC21</v>
      </c>
      <c r="E558" s="7" t="str">
        <f>IF(ISERROR(VLOOKUP($D558,SITES!$A:$E,2,FALSE)),"",VLOOKUP($D558,SITES!$A:$E,2,FALSE))</f>
        <v>Dixon SW</v>
      </c>
      <c r="F558" s="4">
        <f>IF(ISERROR(VLOOKUP($D558,SITES!$A:$E,3,FALSE)),"",VLOOKUP($D558,SITES!$A:$E,3,FALSE))</f>
        <v>48.85205078125</v>
      </c>
      <c r="G558" s="18">
        <f>IF(ISERROR(VLOOKUP($D558,SITES!$A:$E,4,FALSE)),"",VLOOKUP($D558,SITES!$A:$E,4,FALSE))</f>
        <v>-125.123565673828</v>
      </c>
      <c r="H558" s="5" t="str">
        <f t="shared" si="54"/>
        <v>10/05/2023</v>
      </c>
      <c r="I558" s="2">
        <f t="shared" si="59"/>
        <v>2</v>
      </c>
      <c r="J558" s="2">
        <f t="shared" si="55"/>
        <v>300</v>
      </c>
      <c r="K558" s="6">
        <f t="shared" si="60"/>
        <v>0.54166666666666663</v>
      </c>
      <c r="L558" s="2" t="str">
        <f t="shared" si="56"/>
        <v>EGL</v>
      </c>
      <c r="M558" s="2">
        <f t="shared" si="62"/>
        <v>6</v>
      </c>
      <c r="N558" s="2">
        <f t="shared" si="64"/>
        <v>2</v>
      </c>
      <c r="O558" s="2">
        <f t="shared" si="63"/>
        <v>1</v>
      </c>
      <c r="P558" s="27" t="s">
        <v>205</v>
      </c>
      <c r="Q558" s="7" t="str">
        <f>IF($N558=1,IF(ISERROR(VLOOKUP($P558,'M1'!$A:$C,Q$2,FALSE)),"NOT PRESENT",VLOOKUP($P558,'M1'!$A:$C,Q$2,FALSE)),IF($N558=2,IF(ISERROR(VLOOKUP(DATA!$P54,'M2'!$A:$C,Q$2,FALSE)),"NOT PRESENT",VLOOKUP(DATA!$P54,'M2'!$A:$C,Q$2,FALSE)),IF($N558=0,IF(ISERROR(VLOOKUP($P558,'M1'!$A:$C,Q$2,FALSE)),IF(ISERROR(VLOOKUP(DATA!$P54,'M2'!$A:$C,Q$2,FALSE)),"NOT PRESENT",VLOOKUP(DATA!$P54,'M2'!$A:$C,Q$2,FALSE)),VLOOKUP($P558,'M1'!$A:$C,Q$2,FALSE)),"SPECIFY METHOD")))</f>
        <v>NOT PRESENT</v>
      </c>
      <c r="R558" s="4" t="str">
        <f>IF($N558=1,IF(ISERROR(VLOOKUP($P558,'M1'!$A:$C,R$2,FALSE)),"NOT PRESENT",VLOOKUP($P558,'M1'!$A:$C,R$2,FALSE)),IF($N558=2,IF(ISERROR(VLOOKUP(DATA!$P54,'M2'!$A:$C,R$2,FALSE)),"NOT PRESENT",VLOOKUP(DATA!$P54,'M2'!$A:$C,R$2,FALSE)),IF($N558=0,IF(ISERROR(VLOOKUP($P558,'M1'!$A:$C,R$2,FALSE)),IF(ISERROR(VLOOKUP(DATA!$P54,'M2'!$A:$C,R$2,FALSE)),"NOT PRESENT",VLOOKUP(DATA!$P54,'M2'!$A:$C,R$2,FALSE)),VLOOKUP($P558,'M1'!$A:$C,R$2,FALSE)),"SPECIFY METHOD")))</f>
        <v>NOT PRESENT</v>
      </c>
      <c r="S558" s="20">
        <f t="shared" si="57"/>
        <v>1</v>
      </c>
      <c r="T558" s="2">
        <v>1</v>
      </c>
    </row>
    <row r="559" spans="1:25">
      <c r="A559" s="7">
        <f>MAX($A$1:$A558)+1</f>
        <v>558</v>
      </c>
      <c r="B559" s="2" t="str">
        <f t="shared" si="52"/>
        <v>Em Lim</v>
      </c>
      <c r="C559" s="2" t="str">
        <f t="shared" si="53"/>
        <v>Jasmin Schuster</v>
      </c>
      <c r="D559" s="2" t="str">
        <f t="shared" si="58"/>
        <v>BMSC21</v>
      </c>
      <c r="E559" s="7" t="str">
        <f>IF(ISERROR(VLOOKUP($D559,SITES!$A:$E,2,FALSE)),"",VLOOKUP($D559,SITES!$A:$E,2,FALSE))</f>
        <v>Dixon SW</v>
      </c>
      <c r="F559" s="4">
        <f>IF(ISERROR(VLOOKUP($D559,SITES!$A:$E,3,FALSE)),"",VLOOKUP($D559,SITES!$A:$E,3,FALSE))</f>
        <v>48.85205078125</v>
      </c>
      <c r="G559" s="18">
        <f>IF(ISERROR(VLOOKUP($D559,SITES!$A:$E,4,FALSE)),"",VLOOKUP($D559,SITES!$A:$E,4,FALSE))</f>
        <v>-125.123565673828</v>
      </c>
      <c r="H559" s="5" t="str">
        <f t="shared" si="54"/>
        <v>10/05/2023</v>
      </c>
      <c r="I559" s="2">
        <f t="shared" si="59"/>
        <v>2</v>
      </c>
      <c r="J559" s="2">
        <f t="shared" si="55"/>
        <v>300</v>
      </c>
      <c r="K559" s="6">
        <f t="shared" si="60"/>
        <v>0.54166666666666663</v>
      </c>
      <c r="L559" s="2" t="str">
        <f t="shared" si="56"/>
        <v>EGL</v>
      </c>
      <c r="M559" s="2">
        <f t="shared" si="62"/>
        <v>6</v>
      </c>
      <c r="N559" s="2">
        <f t="shared" si="64"/>
        <v>2</v>
      </c>
      <c r="O559" s="2">
        <f t="shared" si="63"/>
        <v>1</v>
      </c>
      <c r="P559" s="27" t="s">
        <v>206</v>
      </c>
      <c r="Q559" s="7" t="str">
        <f>IF($N559=1,IF(ISERROR(VLOOKUP($P559,'M1'!$A:$C,Q$2,FALSE)),"NOT PRESENT",VLOOKUP($P559,'M1'!$A:$C,Q$2,FALSE)),IF($N559=2,IF(ISERROR(VLOOKUP(DATA!$P55,'M2'!$A:$C,Q$2,FALSE)),"NOT PRESENT",VLOOKUP(DATA!$P55,'M2'!$A:$C,Q$2,FALSE)),IF($N559=0,IF(ISERROR(VLOOKUP($P559,'M1'!$A:$C,Q$2,FALSE)),IF(ISERROR(VLOOKUP(DATA!$P55,'M2'!$A:$C,Q$2,FALSE)),"NOT PRESENT",VLOOKUP(DATA!$P55,'M2'!$A:$C,Q$2,FALSE)),VLOOKUP($P559,'M1'!$A:$C,Q$2,FALSE)),"SPECIFY METHOD")))</f>
        <v>NOT PRESENT</v>
      </c>
      <c r="R559" s="4" t="str">
        <f>IF($N559=1,IF(ISERROR(VLOOKUP($P559,'M1'!$A:$C,R$2,FALSE)),"NOT PRESENT",VLOOKUP($P559,'M1'!$A:$C,R$2,FALSE)),IF($N559=2,IF(ISERROR(VLOOKUP(DATA!$P55,'M2'!$A:$C,R$2,FALSE)),"NOT PRESENT",VLOOKUP(DATA!$P55,'M2'!$A:$C,R$2,FALSE)),IF($N559=0,IF(ISERROR(VLOOKUP($P559,'M1'!$A:$C,R$2,FALSE)),IF(ISERROR(VLOOKUP(DATA!$P55,'M2'!$A:$C,R$2,FALSE)),"NOT PRESENT",VLOOKUP(DATA!$P55,'M2'!$A:$C,R$2,FALSE)),VLOOKUP($P559,'M1'!$A:$C,R$2,FALSE)),"SPECIFY METHOD")))</f>
        <v>NOT PRESENT</v>
      </c>
      <c r="S559" s="20">
        <f t="shared" si="57"/>
        <v>1</v>
      </c>
      <c r="T559" s="2">
        <v>0</v>
      </c>
      <c r="U559" s="2">
        <v>1</v>
      </c>
    </row>
    <row r="560" spans="1:25">
      <c r="A560" s="7">
        <f>MAX($A$1:$A559)+1</f>
        <v>559</v>
      </c>
      <c r="B560" s="2" t="str">
        <f t="shared" si="52"/>
        <v>Em Lim</v>
      </c>
      <c r="C560" s="2" t="str">
        <f t="shared" si="53"/>
        <v>Jasmin Schuster</v>
      </c>
      <c r="D560" s="2" t="str">
        <f t="shared" si="58"/>
        <v>BMSC21</v>
      </c>
      <c r="E560" s="7" t="str">
        <f>IF(ISERROR(VLOOKUP($D560,SITES!$A:$E,2,FALSE)),"",VLOOKUP($D560,SITES!$A:$E,2,FALSE))</f>
        <v>Dixon SW</v>
      </c>
      <c r="F560" s="4">
        <f>IF(ISERROR(VLOOKUP($D560,SITES!$A:$E,3,FALSE)),"",VLOOKUP($D560,SITES!$A:$E,3,FALSE))</f>
        <v>48.85205078125</v>
      </c>
      <c r="G560" s="18">
        <f>IF(ISERROR(VLOOKUP($D560,SITES!$A:$E,4,FALSE)),"",VLOOKUP($D560,SITES!$A:$E,4,FALSE))</f>
        <v>-125.123565673828</v>
      </c>
      <c r="H560" s="5" t="str">
        <f t="shared" si="54"/>
        <v>10/05/2023</v>
      </c>
      <c r="I560" s="2">
        <f t="shared" si="59"/>
        <v>2</v>
      </c>
      <c r="J560" s="2">
        <f t="shared" si="55"/>
        <v>300</v>
      </c>
      <c r="K560" s="6">
        <f t="shared" si="60"/>
        <v>0.54166666666666663</v>
      </c>
      <c r="L560" s="2" t="str">
        <f t="shared" si="56"/>
        <v>EGL</v>
      </c>
      <c r="M560" s="2">
        <f t="shared" si="62"/>
        <v>6</v>
      </c>
      <c r="N560" s="27">
        <v>0</v>
      </c>
      <c r="O560" s="2">
        <f t="shared" si="63"/>
        <v>1</v>
      </c>
      <c r="P560" s="27" t="s">
        <v>175</v>
      </c>
      <c r="Q560" s="7" t="str">
        <f>IF($N560=1,IF(ISERROR(VLOOKUP($P560,'M1'!$A:$C,Q$2,FALSE)),"NOT PRESENT",VLOOKUP($P560,'M1'!$A:$C,Q$2,FALSE)),IF($N560=2,IF(ISERROR(VLOOKUP(DATA!$P56,'M2'!$A:$C,Q$2,FALSE)),"NOT PRESENT",VLOOKUP(DATA!$P56,'M2'!$A:$C,Q$2,FALSE)),IF($N560=0,IF(ISERROR(VLOOKUP($P560,'M1'!$A:$C,Q$2,FALSE)),IF(ISERROR(VLOOKUP(DATA!$P56,'M2'!$A:$C,Q$2,FALSE)),"NOT PRESENT",VLOOKUP(DATA!$P56,'M2'!$A:$C,Q$2,FALSE)),VLOOKUP($P560,'M1'!$A:$C,Q$2,FALSE)),"SPECIFY METHOD")))</f>
        <v>NOT PRESENT</v>
      </c>
      <c r="R560" s="4" t="str">
        <f>IF($N560=1,IF(ISERROR(VLOOKUP($P560,'M1'!$A:$C,R$2,FALSE)),"NOT PRESENT",VLOOKUP($P560,'M1'!$A:$C,R$2,FALSE)),IF($N560=2,IF(ISERROR(VLOOKUP(DATA!$P56,'M2'!$A:$C,R$2,FALSE)),"NOT PRESENT",VLOOKUP(DATA!$P56,'M2'!$A:$C,R$2,FALSE)),IF($N560=0,IF(ISERROR(VLOOKUP($P560,'M1'!$A:$C,R$2,FALSE)),IF(ISERROR(VLOOKUP(DATA!$P56,'M2'!$A:$C,R$2,FALSE)),"NOT PRESENT",VLOOKUP(DATA!$P56,'M2'!$A:$C,R$2,FALSE)),VLOOKUP($P560,'M1'!$A:$C,R$2,FALSE)),"SPECIFY METHOD")))</f>
        <v>NOT PRESENT</v>
      </c>
      <c r="S560" s="20">
        <f t="shared" si="57"/>
        <v>2</v>
      </c>
      <c r="T560" s="2">
        <v>0</v>
      </c>
      <c r="X560" s="2">
        <v>1</v>
      </c>
      <c r="Y560" s="2">
        <v>1</v>
      </c>
    </row>
    <row r="561" spans="1:32">
      <c r="A561" s="7">
        <f>MAX($A$1:$A560)+1</f>
        <v>560</v>
      </c>
      <c r="B561" s="2" t="str">
        <f t="shared" si="52"/>
        <v>Em Lim</v>
      </c>
      <c r="C561" s="2" t="str">
        <f t="shared" si="53"/>
        <v>Jasmin Schuster</v>
      </c>
      <c r="D561" s="2" t="str">
        <f t="shared" si="58"/>
        <v>BMSC21</v>
      </c>
      <c r="E561" s="7" t="str">
        <f>IF(ISERROR(VLOOKUP($D561,SITES!$A:$E,2,FALSE)),"",VLOOKUP($D561,SITES!$A:$E,2,FALSE))</f>
        <v>Dixon SW</v>
      </c>
      <c r="F561" s="4">
        <f>IF(ISERROR(VLOOKUP($D561,SITES!$A:$E,3,FALSE)),"",VLOOKUP($D561,SITES!$A:$E,3,FALSE))</f>
        <v>48.85205078125</v>
      </c>
      <c r="G561" s="18">
        <f>IF(ISERROR(VLOOKUP($D561,SITES!$A:$E,4,FALSE)),"",VLOOKUP($D561,SITES!$A:$E,4,FALSE))</f>
        <v>-125.123565673828</v>
      </c>
      <c r="H561" s="5" t="str">
        <f t="shared" si="54"/>
        <v>10/05/2023</v>
      </c>
      <c r="I561" s="2">
        <f t="shared" si="59"/>
        <v>2</v>
      </c>
      <c r="J561" s="2">
        <f t="shared" si="55"/>
        <v>300</v>
      </c>
      <c r="K561" s="6">
        <f t="shared" si="60"/>
        <v>0.54166666666666663</v>
      </c>
      <c r="L561" s="2" t="str">
        <f t="shared" si="56"/>
        <v>EGL</v>
      </c>
      <c r="M561" s="2">
        <f t="shared" si="62"/>
        <v>6</v>
      </c>
      <c r="N561" s="2">
        <v>2</v>
      </c>
      <c r="O561" s="2">
        <f t="shared" si="63"/>
        <v>1</v>
      </c>
      <c r="P561" s="27" t="s">
        <v>207</v>
      </c>
      <c r="Q561" s="7" t="str">
        <f>IF($N561=1,IF(ISERROR(VLOOKUP($P561,'M1'!$A:$C,Q$2,FALSE)),"NOT PRESENT",VLOOKUP($P561,'M1'!$A:$C,Q$2,FALSE)),IF($N561=2,IF(ISERROR(VLOOKUP(DATA!$P57,'M2'!$A:$C,Q$2,FALSE)),"NOT PRESENT",VLOOKUP(DATA!$P57,'M2'!$A:$C,Q$2,FALSE)),IF($N561=0,IF(ISERROR(VLOOKUP($P561,'M1'!$A:$C,Q$2,FALSE)),IF(ISERROR(VLOOKUP(DATA!$P57,'M2'!$A:$C,Q$2,FALSE)),"NOT PRESENT",VLOOKUP(DATA!$P57,'M2'!$A:$C,Q$2,FALSE)),VLOOKUP($P561,'M1'!$A:$C,Q$2,FALSE)),"SPECIFY METHOD")))</f>
        <v>NOT PRESENT</v>
      </c>
      <c r="R561" s="4" t="str">
        <f>IF($N561=1,IF(ISERROR(VLOOKUP($P561,'M1'!$A:$C,R$2,FALSE)),"NOT PRESENT",VLOOKUP($P561,'M1'!$A:$C,R$2,FALSE)),IF($N561=2,IF(ISERROR(VLOOKUP(DATA!$P57,'M2'!$A:$C,R$2,FALSE)),"NOT PRESENT",VLOOKUP(DATA!$P57,'M2'!$A:$C,R$2,FALSE)),IF($N561=0,IF(ISERROR(VLOOKUP($P561,'M1'!$A:$C,R$2,FALSE)),IF(ISERROR(VLOOKUP(DATA!$P57,'M2'!$A:$C,R$2,FALSE)),"NOT PRESENT",VLOOKUP(DATA!$P57,'M2'!$A:$C,R$2,FALSE)),VLOOKUP($P561,'M1'!$A:$C,R$2,FALSE)),"SPECIFY METHOD")))</f>
        <v>NOT PRESENT</v>
      </c>
      <c r="S561" s="20">
        <f t="shared" si="57"/>
        <v>1</v>
      </c>
      <c r="T561" s="2">
        <v>1</v>
      </c>
    </row>
    <row r="562" spans="1:32">
      <c r="A562" s="7">
        <f>MAX($A$1:$A561)+1</f>
        <v>561</v>
      </c>
      <c r="B562" s="2" t="str">
        <f t="shared" si="52"/>
        <v>Em Lim</v>
      </c>
      <c r="C562" s="2" t="str">
        <f t="shared" si="53"/>
        <v>Jasmin Schuster</v>
      </c>
      <c r="D562" s="2" t="str">
        <f t="shared" si="58"/>
        <v>BMSC21</v>
      </c>
      <c r="E562" s="7" t="str">
        <f>IF(ISERROR(VLOOKUP($D562,SITES!$A:$E,2,FALSE)),"",VLOOKUP($D562,SITES!$A:$E,2,FALSE))</f>
        <v>Dixon SW</v>
      </c>
      <c r="F562" s="4">
        <f>IF(ISERROR(VLOOKUP($D562,SITES!$A:$E,3,FALSE)),"",VLOOKUP($D562,SITES!$A:$E,3,FALSE))</f>
        <v>48.85205078125</v>
      </c>
      <c r="G562" s="18">
        <f>IF(ISERROR(VLOOKUP($D562,SITES!$A:$E,4,FALSE)),"",VLOOKUP($D562,SITES!$A:$E,4,FALSE))</f>
        <v>-125.123565673828</v>
      </c>
      <c r="H562" s="5" t="str">
        <f t="shared" si="54"/>
        <v>10/05/2023</v>
      </c>
      <c r="I562" s="2">
        <f t="shared" si="59"/>
        <v>2</v>
      </c>
      <c r="J562" s="2">
        <f t="shared" si="55"/>
        <v>300</v>
      </c>
      <c r="K562" s="6">
        <f t="shared" si="60"/>
        <v>0.54166666666666663</v>
      </c>
      <c r="L562" s="2" t="str">
        <f t="shared" si="56"/>
        <v>EGL</v>
      </c>
      <c r="M562" s="2">
        <f t="shared" si="62"/>
        <v>6</v>
      </c>
      <c r="N562" s="2">
        <v>0</v>
      </c>
      <c r="O562" s="2">
        <v>0</v>
      </c>
      <c r="P562" s="27" t="s">
        <v>208</v>
      </c>
      <c r="Q562" s="7" t="str">
        <f>IF($N562=1,IF(ISERROR(VLOOKUP($P562,'M1'!$A:$C,Q$2,FALSE)),"NOT PRESENT",VLOOKUP($P562,'M1'!$A:$C,Q$2,FALSE)),IF($N562=2,IF(ISERROR(VLOOKUP(DATA!$P58,'M2'!$A:$C,Q$2,FALSE)),"NOT PRESENT",VLOOKUP(DATA!$P58,'M2'!$A:$C,Q$2,FALSE)),IF($N562=0,IF(ISERROR(VLOOKUP($P562,'M1'!$A:$C,Q$2,FALSE)),IF(ISERROR(VLOOKUP(DATA!$P58,'M2'!$A:$C,Q$2,FALSE)),"NOT PRESENT",VLOOKUP(DATA!$P58,'M2'!$A:$C,Q$2,FALSE)),VLOOKUP($P562,'M1'!$A:$C,Q$2,FALSE)),"SPECIFY METHOD")))</f>
        <v>NOT PRESENT</v>
      </c>
      <c r="R562" s="4" t="str">
        <f>IF($N562=1,IF(ISERROR(VLOOKUP($P562,'M1'!$A:$C,R$2,FALSE)),"NOT PRESENT",VLOOKUP($P562,'M1'!$A:$C,R$2,FALSE)),IF($N562=2,IF(ISERROR(VLOOKUP(DATA!$P58,'M2'!$A:$C,R$2,FALSE)),"NOT PRESENT",VLOOKUP(DATA!$P58,'M2'!$A:$C,R$2,FALSE)),IF($N562=0,IF(ISERROR(VLOOKUP($P562,'M1'!$A:$C,R$2,FALSE)),IF(ISERROR(VLOOKUP(DATA!$P58,'M2'!$A:$C,R$2,FALSE)),"NOT PRESENT",VLOOKUP(DATA!$P58,'M2'!$A:$C,R$2,FALSE)),VLOOKUP($P562,'M1'!$A:$C,R$2,FALSE)),"SPECIFY METHOD")))</f>
        <v>NOT PRESENT</v>
      </c>
      <c r="S562" s="20">
        <f t="shared" si="57"/>
        <v>1</v>
      </c>
      <c r="T562" s="2">
        <v>0</v>
      </c>
      <c r="AA562" s="2">
        <v>1</v>
      </c>
    </row>
    <row r="563" spans="1:32">
      <c r="A563" s="7">
        <f>MAX($A$1:$A562)+1</f>
        <v>562</v>
      </c>
      <c r="B563" s="2" t="str">
        <f t="shared" si="52"/>
        <v>Em Lim</v>
      </c>
      <c r="C563" s="2" t="str">
        <f t="shared" si="53"/>
        <v>Jasmin Schuster</v>
      </c>
      <c r="D563" s="2" t="str">
        <f t="shared" si="58"/>
        <v>BMSC21</v>
      </c>
      <c r="E563" s="7" t="str">
        <f>IF(ISERROR(VLOOKUP($D563,SITES!$A:$E,2,FALSE)),"",VLOOKUP($D563,SITES!$A:$E,2,FALSE))</f>
        <v>Dixon SW</v>
      </c>
      <c r="F563" s="4">
        <f>IF(ISERROR(VLOOKUP($D563,SITES!$A:$E,3,FALSE)),"",VLOOKUP($D563,SITES!$A:$E,3,FALSE))</f>
        <v>48.85205078125</v>
      </c>
      <c r="G563" s="18">
        <f>IF(ISERROR(VLOOKUP($D563,SITES!$A:$E,4,FALSE)),"",VLOOKUP($D563,SITES!$A:$E,4,FALSE))</f>
        <v>-125.123565673828</v>
      </c>
      <c r="H563" s="5" t="str">
        <f t="shared" si="54"/>
        <v>10/05/2023</v>
      </c>
      <c r="I563" s="2">
        <f t="shared" si="59"/>
        <v>2</v>
      </c>
      <c r="J563" s="2">
        <f t="shared" si="55"/>
        <v>300</v>
      </c>
      <c r="K563" s="6">
        <f t="shared" si="60"/>
        <v>0.54166666666666663</v>
      </c>
      <c r="L563" s="2" t="str">
        <f t="shared" si="56"/>
        <v>EGL</v>
      </c>
      <c r="M563" s="2">
        <f t="shared" si="62"/>
        <v>6</v>
      </c>
      <c r="N563" s="2">
        <f>IF(ISERROR(N562),IF(ISERROR(N561),IF(ISERROR(N560),"BLANK",N560),N561),N562)</f>
        <v>0</v>
      </c>
      <c r="O563" s="2">
        <f>IF(ISERROR(O562),IF(ISERROR(O561),IF(ISERROR(O560),"BLANK",O560),O561),O562)</f>
        <v>0</v>
      </c>
      <c r="P563" s="27" t="s">
        <v>206</v>
      </c>
      <c r="Q563" s="7" t="str">
        <f>IF($N563=1,IF(ISERROR(VLOOKUP($P563,'M1'!$A:$C,Q$2,FALSE)),"NOT PRESENT",VLOOKUP($P563,'M1'!$A:$C,Q$2,FALSE)),IF($N563=2,IF(ISERROR(VLOOKUP(DATA!$P59,'M2'!$A:$C,Q$2,FALSE)),"NOT PRESENT",VLOOKUP(DATA!$P59,'M2'!$A:$C,Q$2,FALSE)),IF($N563=0,IF(ISERROR(VLOOKUP($P563,'M1'!$A:$C,Q$2,FALSE)),IF(ISERROR(VLOOKUP(DATA!$P59,'M2'!$A:$C,Q$2,FALSE)),"NOT PRESENT",VLOOKUP(DATA!$P59,'M2'!$A:$C,Q$2,FALSE)),VLOOKUP($P563,'M1'!$A:$C,Q$2,FALSE)),"SPECIFY METHOD")))</f>
        <v>NOT PRESENT</v>
      </c>
      <c r="R563" s="4" t="str">
        <f>IF($N563=1,IF(ISERROR(VLOOKUP($P563,'M1'!$A:$C,R$2,FALSE)),"NOT PRESENT",VLOOKUP($P563,'M1'!$A:$C,R$2,FALSE)),IF($N563=2,IF(ISERROR(VLOOKUP(DATA!$P59,'M2'!$A:$C,R$2,FALSE)),"NOT PRESENT",VLOOKUP(DATA!$P59,'M2'!$A:$C,R$2,FALSE)),IF($N563=0,IF(ISERROR(VLOOKUP($P563,'M1'!$A:$C,R$2,FALSE)),IF(ISERROR(VLOOKUP(DATA!$P59,'M2'!$A:$C,R$2,FALSE)),"NOT PRESENT",VLOOKUP(DATA!$P59,'M2'!$A:$C,R$2,FALSE)),VLOOKUP($P563,'M1'!$A:$C,R$2,FALSE)),"SPECIFY METHOD")))</f>
        <v>NOT PRESENT</v>
      </c>
      <c r="S563" s="20">
        <f t="shared" si="57"/>
        <v>1</v>
      </c>
      <c r="T563" s="2">
        <v>0</v>
      </c>
      <c r="Z563" s="2">
        <v>1</v>
      </c>
    </row>
    <row r="564" spans="1:32">
      <c r="A564" s="7">
        <f>MAX($A$1:$A563)+1</f>
        <v>563</v>
      </c>
      <c r="B564" s="2" t="s">
        <v>171</v>
      </c>
      <c r="C564" s="2" t="s">
        <v>170</v>
      </c>
      <c r="D564" s="2" t="s">
        <v>21</v>
      </c>
      <c r="E564" s="7" t="s">
        <v>460</v>
      </c>
      <c r="F564" s="4">
        <v>48.85205078125</v>
      </c>
      <c r="G564" s="18">
        <v>-125.123565673828</v>
      </c>
      <c r="H564" s="5" t="s">
        <v>5</v>
      </c>
      <c r="I564" s="2">
        <v>2</v>
      </c>
      <c r="J564" s="2">
        <v>90</v>
      </c>
      <c r="K564" s="6">
        <v>0.54097222222222219</v>
      </c>
      <c r="L564" s="2" t="s">
        <v>172</v>
      </c>
      <c r="M564" s="2">
        <v>6</v>
      </c>
      <c r="N564" s="2">
        <v>1</v>
      </c>
      <c r="O564" s="2">
        <v>2</v>
      </c>
      <c r="P564" s="2" t="s">
        <v>230</v>
      </c>
      <c r="Q564" s="7" t="s">
        <v>42</v>
      </c>
      <c r="R564" s="4" t="s">
        <v>321</v>
      </c>
      <c r="S564" s="20">
        <v>6</v>
      </c>
      <c r="T564" s="2">
        <v>0</v>
      </c>
      <c r="V564" s="2">
        <v>1</v>
      </c>
      <c r="W564" s="2">
        <v>3</v>
      </c>
      <c r="X564" s="2">
        <v>2</v>
      </c>
    </row>
    <row r="565" spans="1:32">
      <c r="A565" s="7">
        <f>MAX($A$1:$A564)+1</f>
        <v>564</v>
      </c>
      <c r="B565" s="2" t="s">
        <v>171</v>
      </c>
      <c r="C565" s="2" t="s">
        <v>170</v>
      </c>
      <c r="D565" s="2" t="s">
        <v>21</v>
      </c>
      <c r="E565" s="7" t="s">
        <v>460</v>
      </c>
      <c r="F565" s="4">
        <v>48.85205078125</v>
      </c>
      <c r="G565" s="18">
        <v>-125.123565673828</v>
      </c>
      <c r="H565" s="5" t="s">
        <v>5</v>
      </c>
      <c r="I565" s="2">
        <v>2</v>
      </c>
      <c r="J565" s="2">
        <f t="shared" ref="J565:J588" si="65">IF(ISERROR(J564),IF(ISERROR(J563),IF(ISERROR(J562),"BLANK",J562),J563),J564)</f>
        <v>90</v>
      </c>
      <c r="K565" s="6">
        <v>0.54097222222222219</v>
      </c>
      <c r="L565" s="2" t="s">
        <v>172</v>
      </c>
      <c r="M565" s="2">
        <v>6</v>
      </c>
      <c r="N565" s="2">
        <v>1</v>
      </c>
      <c r="O565" s="2">
        <v>2</v>
      </c>
      <c r="P565" s="2" t="s">
        <v>232</v>
      </c>
      <c r="Q565" s="7" t="s">
        <v>43</v>
      </c>
      <c r="R565" s="4" t="s">
        <v>324</v>
      </c>
      <c r="S565" s="20">
        <v>7</v>
      </c>
      <c r="T565" s="2">
        <v>0</v>
      </c>
      <c r="Z565" s="2">
        <v>1</v>
      </c>
      <c r="AA565" s="2">
        <v>1</v>
      </c>
      <c r="AB565" s="2">
        <v>2</v>
      </c>
      <c r="AC565" s="2">
        <v>3</v>
      </c>
    </row>
    <row r="566" spans="1:32">
      <c r="A566" s="7">
        <f>MAX($A$1:$A565)+1</f>
        <v>565</v>
      </c>
      <c r="B566" s="2" t="s">
        <v>171</v>
      </c>
      <c r="C566" s="2" t="s">
        <v>170</v>
      </c>
      <c r="D566" s="2" t="s">
        <v>21</v>
      </c>
      <c r="E566" s="7" t="s">
        <v>460</v>
      </c>
      <c r="F566" s="4">
        <v>48.85205078125</v>
      </c>
      <c r="G566" s="18">
        <v>-125.123565673828</v>
      </c>
      <c r="H566" s="5" t="s">
        <v>5</v>
      </c>
      <c r="I566" s="2">
        <v>2</v>
      </c>
      <c r="J566" s="2">
        <f t="shared" si="65"/>
        <v>90</v>
      </c>
      <c r="K566" s="6">
        <v>0.54097222222222219</v>
      </c>
      <c r="L566" s="2" t="s">
        <v>172</v>
      </c>
      <c r="M566" s="2">
        <v>6</v>
      </c>
      <c r="N566" s="2">
        <v>1</v>
      </c>
      <c r="O566" s="2">
        <v>2</v>
      </c>
      <c r="P566" s="2" t="s">
        <v>237</v>
      </c>
      <c r="Q566" s="7" t="s">
        <v>51</v>
      </c>
      <c r="R566" s="4" t="s">
        <v>368</v>
      </c>
      <c r="S566" s="20">
        <v>3</v>
      </c>
      <c r="T566" s="2">
        <v>0</v>
      </c>
      <c r="AD566" s="2">
        <v>1</v>
      </c>
      <c r="AE566" s="2">
        <v>1</v>
      </c>
      <c r="AF566" s="2">
        <v>1</v>
      </c>
    </row>
    <row r="567" spans="1:32">
      <c r="A567" s="7">
        <f>MAX($A$1:$A566)+1</f>
        <v>566</v>
      </c>
      <c r="B567" s="2" t="s">
        <v>171</v>
      </c>
      <c r="C567" s="2" t="s">
        <v>170</v>
      </c>
      <c r="D567" s="2" t="s">
        <v>21</v>
      </c>
      <c r="E567" s="7" t="s">
        <v>460</v>
      </c>
      <c r="F567" s="4">
        <v>48.85205078125</v>
      </c>
      <c r="G567" s="18">
        <v>-125.123565673828</v>
      </c>
      <c r="H567" s="5" t="s">
        <v>5</v>
      </c>
      <c r="I567" s="2">
        <v>2</v>
      </c>
      <c r="J567" s="2">
        <f t="shared" si="65"/>
        <v>90</v>
      </c>
      <c r="K567" s="6">
        <v>0.54097222222222219</v>
      </c>
      <c r="L567" s="2" t="s">
        <v>172</v>
      </c>
      <c r="M567" s="2">
        <v>6</v>
      </c>
      <c r="N567" s="2">
        <v>2</v>
      </c>
      <c r="O567" s="2">
        <v>2</v>
      </c>
      <c r="P567" s="2" t="s">
        <v>241</v>
      </c>
      <c r="Q567" s="7" t="s">
        <v>63</v>
      </c>
      <c r="R567" s="4" t="s">
        <v>294</v>
      </c>
      <c r="S567" s="20">
        <v>244</v>
      </c>
      <c r="T567" s="2">
        <v>244</v>
      </c>
    </row>
    <row r="568" spans="1:32">
      <c r="A568" s="7">
        <f>MAX($A$1:$A567)+1</f>
        <v>567</v>
      </c>
      <c r="B568" s="2" t="s">
        <v>171</v>
      </c>
      <c r="C568" s="2" t="s">
        <v>170</v>
      </c>
      <c r="D568" s="2" t="s">
        <v>21</v>
      </c>
      <c r="E568" s="7" t="s">
        <v>460</v>
      </c>
      <c r="F568" s="4">
        <v>48.85205078125</v>
      </c>
      <c r="G568" s="18">
        <v>-125.123565673828</v>
      </c>
      <c r="H568" s="5" t="s">
        <v>5</v>
      </c>
      <c r="I568" s="2">
        <v>2</v>
      </c>
      <c r="J568" s="2">
        <f t="shared" si="65"/>
        <v>90</v>
      </c>
      <c r="K568" s="6">
        <v>0.54097222222222219</v>
      </c>
      <c r="L568" s="2" t="s">
        <v>172</v>
      </c>
      <c r="M568" s="2">
        <v>6</v>
      </c>
      <c r="N568" s="2">
        <v>2</v>
      </c>
      <c r="O568" s="2">
        <v>2</v>
      </c>
      <c r="P568" s="2" t="s">
        <v>246</v>
      </c>
      <c r="Q568" s="7" t="s">
        <v>66</v>
      </c>
      <c r="R568" s="4" t="s">
        <v>318</v>
      </c>
      <c r="S568" s="20">
        <v>82</v>
      </c>
      <c r="T568" s="2">
        <v>82</v>
      </c>
    </row>
    <row r="569" spans="1:32">
      <c r="A569" s="7">
        <f>MAX($A$1:$A568)+1</f>
        <v>568</v>
      </c>
      <c r="B569" s="2" t="s">
        <v>171</v>
      </c>
      <c r="C569" s="2" t="s">
        <v>170</v>
      </c>
      <c r="D569" s="2" t="s">
        <v>21</v>
      </c>
      <c r="E569" s="7" t="s">
        <v>460</v>
      </c>
      <c r="F569" s="4">
        <v>48.85205078125</v>
      </c>
      <c r="G569" s="18">
        <v>-125.123565673828</v>
      </c>
      <c r="H569" s="5" t="s">
        <v>5</v>
      </c>
      <c r="I569" s="2">
        <v>2</v>
      </c>
      <c r="J569" s="2">
        <f t="shared" si="65"/>
        <v>90</v>
      </c>
      <c r="K569" s="6">
        <v>0.54097222222222219</v>
      </c>
      <c r="L569" s="2" t="s">
        <v>172</v>
      </c>
      <c r="M569" s="2">
        <v>6</v>
      </c>
      <c r="N569" s="2">
        <v>2</v>
      </c>
      <c r="O569" s="2">
        <v>2</v>
      </c>
      <c r="P569" s="2" t="s">
        <v>331</v>
      </c>
      <c r="Q569" s="7" t="s">
        <v>67</v>
      </c>
      <c r="R569" s="4" t="s">
        <v>332</v>
      </c>
      <c r="S569" s="20">
        <v>13</v>
      </c>
      <c r="T569" s="2">
        <v>13</v>
      </c>
    </row>
    <row r="570" spans="1:32">
      <c r="A570" s="7">
        <f>MAX($A$1:$A569)+1</f>
        <v>569</v>
      </c>
      <c r="B570" s="2" t="s">
        <v>171</v>
      </c>
      <c r="C570" s="2" t="s">
        <v>170</v>
      </c>
      <c r="D570" s="2" t="s">
        <v>21</v>
      </c>
      <c r="E570" s="7" t="s">
        <v>460</v>
      </c>
      <c r="F570" s="4">
        <v>48.85205078125</v>
      </c>
      <c r="G570" s="18">
        <v>-125.123565673828</v>
      </c>
      <c r="H570" s="5" t="s">
        <v>5</v>
      </c>
      <c r="I570" s="2">
        <v>2</v>
      </c>
      <c r="J570" s="2">
        <f t="shared" si="65"/>
        <v>90</v>
      </c>
      <c r="K570" s="6">
        <v>0.54097222222222219</v>
      </c>
      <c r="L570" s="2" t="s">
        <v>172</v>
      </c>
      <c r="M570" s="2">
        <v>6</v>
      </c>
      <c r="N570" s="2">
        <v>2</v>
      </c>
      <c r="O570" s="2">
        <v>2</v>
      </c>
      <c r="P570" s="2" t="s">
        <v>247</v>
      </c>
      <c r="Q570" s="7" t="s">
        <v>64</v>
      </c>
      <c r="R570" s="4" t="s">
        <v>293</v>
      </c>
      <c r="S570" s="20">
        <v>14</v>
      </c>
      <c r="T570" s="2">
        <v>14</v>
      </c>
    </row>
    <row r="571" spans="1:32">
      <c r="A571" s="7">
        <f>MAX($A$1:$A570)+1</f>
        <v>570</v>
      </c>
      <c r="B571" s="2" t="s">
        <v>171</v>
      </c>
      <c r="C571" s="2" t="s">
        <v>170</v>
      </c>
      <c r="D571" s="2" t="s">
        <v>21</v>
      </c>
      <c r="E571" s="7" t="s">
        <v>460</v>
      </c>
      <c r="F571" s="4">
        <v>48.85205078125</v>
      </c>
      <c r="G571" s="18">
        <v>-125.123565673828</v>
      </c>
      <c r="H571" s="5" t="s">
        <v>5</v>
      </c>
      <c r="I571" s="2">
        <v>2</v>
      </c>
      <c r="J571" s="2">
        <f t="shared" si="65"/>
        <v>90</v>
      </c>
      <c r="K571" s="6">
        <v>0.54097222222222219</v>
      </c>
      <c r="L571" s="2" t="s">
        <v>172</v>
      </c>
      <c r="M571" s="2">
        <v>6</v>
      </c>
      <c r="N571" s="2">
        <v>2</v>
      </c>
      <c r="O571" s="2">
        <v>2</v>
      </c>
      <c r="P571" s="2" t="s">
        <v>243</v>
      </c>
      <c r="Q571" s="7" t="s">
        <v>85</v>
      </c>
      <c r="R571" s="4" t="s">
        <v>312</v>
      </c>
      <c r="S571" s="20">
        <v>11</v>
      </c>
      <c r="T571" s="2">
        <v>11</v>
      </c>
    </row>
    <row r="572" spans="1:32">
      <c r="A572" s="7">
        <f>MAX($A$1:$A571)+1</f>
        <v>571</v>
      </c>
      <c r="B572" s="2" t="s">
        <v>171</v>
      </c>
      <c r="C572" s="2" t="s">
        <v>170</v>
      </c>
      <c r="D572" s="2" t="s">
        <v>21</v>
      </c>
      <c r="E572" s="7" t="s">
        <v>460</v>
      </c>
      <c r="F572" s="4">
        <v>48.85205078125</v>
      </c>
      <c r="G572" s="18">
        <v>-125.123565673828</v>
      </c>
      <c r="H572" s="5" t="s">
        <v>5</v>
      </c>
      <c r="I572" s="2">
        <v>2</v>
      </c>
      <c r="J572" s="2">
        <f t="shared" si="65"/>
        <v>90</v>
      </c>
      <c r="K572" s="6">
        <v>0.54097222222222219</v>
      </c>
      <c r="L572" s="2" t="s">
        <v>172</v>
      </c>
      <c r="M572" s="2">
        <v>6</v>
      </c>
      <c r="N572" s="2">
        <v>2</v>
      </c>
      <c r="O572" s="2">
        <v>2</v>
      </c>
      <c r="P572" s="2" t="s">
        <v>238</v>
      </c>
      <c r="Q572" s="7" t="s">
        <v>69</v>
      </c>
      <c r="R572" s="4" t="s">
        <v>313</v>
      </c>
      <c r="S572" s="20">
        <v>29</v>
      </c>
      <c r="T572" s="2">
        <v>29</v>
      </c>
    </row>
    <row r="573" spans="1:32">
      <c r="A573" s="7">
        <f>MAX($A$1:$A572)+1</f>
        <v>572</v>
      </c>
      <c r="B573" s="2" t="s">
        <v>171</v>
      </c>
      <c r="C573" s="2" t="s">
        <v>170</v>
      </c>
      <c r="D573" s="2" t="s">
        <v>21</v>
      </c>
      <c r="E573" s="7" t="s">
        <v>460</v>
      </c>
      <c r="F573" s="4">
        <v>48.85205078125</v>
      </c>
      <c r="G573" s="18">
        <v>-125.123565673828</v>
      </c>
      <c r="H573" s="5" t="s">
        <v>5</v>
      </c>
      <c r="I573" s="2">
        <v>2</v>
      </c>
      <c r="J573" s="2">
        <f t="shared" si="65"/>
        <v>90</v>
      </c>
      <c r="K573" s="6">
        <v>0.54097222222222219</v>
      </c>
      <c r="L573" s="2" t="s">
        <v>172</v>
      </c>
      <c r="M573" s="2">
        <v>6</v>
      </c>
      <c r="N573" s="2">
        <v>2</v>
      </c>
      <c r="O573" s="2">
        <v>2</v>
      </c>
      <c r="P573" s="2" t="s">
        <v>248</v>
      </c>
      <c r="Q573" s="7" t="s">
        <v>78</v>
      </c>
      <c r="R573" s="4" t="s">
        <v>349</v>
      </c>
      <c r="S573" s="20">
        <v>5</v>
      </c>
      <c r="T573" s="2">
        <v>0</v>
      </c>
      <c r="V573" s="2">
        <v>2</v>
      </c>
      <c r="W573" s="2">
        <v>1</v>
      </c>
      <c r="X573" s="2">
        <v>1</v>
      </c>
      <c r="Z573" s="2">
        <v>1</v>
      </c>
    </row>
    <row r="574" spans="1:32">
      <c r="A574" s="7">
        <f>MAX($A$1:$A573)+1</f>
        <v>573</v>
      </c>
      <c r="B574" s="2" t="s">
        <v>171</v>
      </c>
      <c r="C574" s="2" t="s">
        <v>170</v>
      </c>
      <c r="D574" s="2" t="s">
        <v>21</v>
      </c>
      <c r="E574" s="7" t="s">
        <v>460</v>
      </c>
      <c r="F574" s="4">
        <v>48.85205078125</v>
      </c>
      <c r="G574" s="18">
        <v>-125.123565673828</v>
      </c>
      <c r="H574" s="5" t="s">
        <v>5</v>
      </c>
      <c r="I574" s="2">
        <v>2</v>
      </c>
      <c r="J574" s="2">
        <f t="shared" si="65"/>
        <v>90</v>
      </c>
      <c r="K574" s="6">
        <v>0.54097222222222219</v>
      </c>
      <c r="L574" s="2" t="s">
        <v>172</v>
      </c>
      <c r="M574" s="2">
        <v>6</v>
      </c>
      <c r="N574" s="2">
        <v>2</v>
      </c>
      <c r="O574" s="2">
        <v>2</v>
      </c>
      <c r="P574" s="2" t="s">
        <v>296</v>
      </c>
      <c r="Q574" s="7" t="s">
        <v>75</v>
      </c>
      <c r="R574" s="4" t="s">
        <v>297</v>
      </c>
      <c r="S574" s="20">
        <v>9</v>
      </c>
      <c r="T574" s="2">
        <v>9</v>
      </c>
    </row>
    <row r="575" spans="1:32">
      <c r="A575" s="7">
        <f>MAX($A$1:$A574)+1</f>
        <v>574</v>
      </c>
      <c r="B575" s="2" t="s">
        <v>171</v>
      </c>
      <c r="C575" s="2" t="s">
        <v>170</v>
      </c>
      <c r="D575" s="2" t="s">
        <v>21</v>
      </c>
      <c r="E575" s="7" t="s">
        <v>460</v>
      </c>
      <c r="F575" s="4">
        <v>48.85205078125</v>
      </c>
      <c r="G575" s="18">
        <v>-125.123565673828</v>
      </c>
      <c r="H575" s="5" t="s">
        <v>5</v>
      </c>
      <c r="I575" s="2">
        <v>2</v>
      </c>
      <c r="J575" s="2">
        <f t="shared" si="65"/>
        <v>90</v>
      </c>
      <c r="K575" s="6">
        <v>0.54097222222222219</v>
      </c>
      <c r="L575" s="2" t="s">
        <v>172</v>
      </c>
      <c r="M575" s="2">
        <v>6</v>
      </c>
      <c r="N575" s="2">
        <v>2</v>
      </c>
      <c r="O575" s="2">
        <v>2</v>
      </c>
      <c r="P575" s="2" t="s">
        <v>239</v>
      </c>
      <c r="Q575" s="7" t="s">
        <v>80</v>
      </c>
      <c r="R575" s="4" t="s">
        <v>300</v>
      </c>
      <c r="S575" s="20">
        <v>6</v>
      </c>
      <c r="T575" s="2">
        <v>6</v>
      </c>
    </row>
    <row r="576" spans="1:32">
      <c r="A576" s="7">
        <f>MAX($A$1:$A575)+1</f>
        <v>575</v>
      </c>
      <c r="B576" s="2" t="s">
        <v>171</v>
      </c>
      <c r="C576" s="2" t="s">
        <v>170</v>
      </c>
      <c r="D576" s="2" t="s">
        <v>21</v>
      </c>
      <c r="E576" s="7" t="s">
        <v>460</v>
      </c>
      <c r="F576" s="4">
        <v>48.85205078125</v>
      </c>
      <c r="G576" s="18">
        <v>-125.123565673828</v>
      </c>
      <c r="H576" s="5" t="s">
        <v>5</v>
      </c>
      <c r="I576" s="2">
        <v>2</v>
      </c>
      <c r="J576" s="2">
        <f t="shared" si="65"/>
        <v>90</v>
      </c>
      <c r="K576" s="6">
        <v>0.54097222222222219</v>
      </c>
      <c r="L576" s="2" t="s">
        <v>172</v>
      </c>
      <c r="M576" s="2">
        <v>6</v>
      </c>
      <c r="N576" s="2">
        <v>2</v>
      </c>
      <c r="O576" s="2">
        <v>2</v>
      </c>
      <c r="P576" s="2" t="s">
        <v>316</v>
      </c>
      <c r="Q576" s="7" t="s">
        <v>123</v>
      </c>
      <c r="R576" s="4" t="s">
        <v>317</v>
      </c>
      <c r="S576" s="20">
        <v>2</v>
      </c>
      <c r="T576" s="2">
        <v>2</v>
      </c>
    </row>
    <row r="577" spans="1:26">
      <c r="A577" s="7">
        <f>MAX($A$1:$A576)+1</f>
        <v>576</v>
      </c>
      <c r="B577" s="2" t="s">
        <v>171</v>
      </c>
      <c r="C577" s="2" t="s">
        <v>170</v>
      </c>
      <c r="D577" s="2" t="s">
        <v>21</v>
      </c>
      <c r="E577" s="7" t="s">
        <v>460</v>
      </c>
      <c r="F577" s="4">
        <v>48.85205078125</v>
      </c>
      <c r="G577" s="18">
        <v>-125.123565673828</v>
      </c>
      <c r="H577" s="5" t="s">
        <v>5</v>
      </c>
      <c r="I577" s="2">
        <v>2</v>
      </c>
      <c r="J577" s="2">
        <f t="shared" si="65"/>
        <v>90</v>
      </c>
      <c r="K577" s="6">
        <v>0.54097222222222219</v>
      </c>
      <c r="L577" s="2" t="s">
        <v>172</v>
      </c>
      <c r="M577" s="2">
        <v>6</v>
      </c>
      <c r="N577" s="2">
        <v>2</v>
      </c>
      <c r="O577" s="2">
        <v>2</v>
      </c>
      <c r="P577" s="2" t="s">
        <v>314</v>
      </c>
      <c r="Q577" s="7" t="s">
        <v>71</v>
      </c>
      <c r="R577" s="4" t="s">
        <v>315</v>
      </c>
      <c r="S577" s="20">
        <v>2</v>
      </c>
      <c r="T577" s="2">
        <v>2</v>
      </c>
    </row>
    <row r="578" spans="1:26">
      <c r="A578" s="7">
        <f>MAX($A$1:$A577)+1</f>
        <v>577</v>
      </c>
      <c r="B578" s="2" t="s">
        <v>171</v>
      </c>
      <c r="C578" s="2" t="s">
        <v>170</v>
      </c>
      <c r="D578" s="2" t="s">
        <v>21</v>
      </c>
      <c r="E578" s="7" t="s">
        <v>460</v>
      </c>
      <c r="F578" s="4">
        <v>48.85205078125</v>
      </c>
      <c r="G578" s="18">
        <v>-125.123565673828</v>
      </c>
      <c r="H578" s="5" t="s">
        <v>5</v>
      </c>
      <c r="I578" s="2">
        <v>2</v>
      </c>
      <c r="J578" s="2">
        <f t="shared" si="65"/>
        <v>90</v>
      </c>
      <c r="K578" s="6">
        <v>0.54097222222222219</v>
      </c>
      <c r="L578" s="2" t="s">
        <v>172</v>
      </c>
      <c r="M578" s="2">
        <v>6</v>
      </c>
      <c r="N578" s="2">
        <v>2</v>
      </c>
      <c r="O578" s="2">
        <v>2</v>
      </c>
      <c r="P578" s="2" t="s">
        <v>298</v>
      </c>
      <c r="Q578" s="7" t="s">
        <v>99</v>
      </c>
      <c r="R578" s="4" t="s">
        <v>299</v>
      </c>
      <c r="S578" s="20">
        <v>2</v>
      </c>
      <c r="T578" s="2">
        <v>2</v>
      </c>
    </row>
    <row r="579" spans="1:26">
      <c r="A579" s="7">
        <f>MAX($A$1:$A578)+1</f>
        <v>578</v>
      </c>
      <c r="B579" s="2" t="s">
        <v>171</v>
      </c>
      <c r="C579" s="2" t="s">
        <v>170</v>
      </c>
      <c r="D579" s="2" t="s">
        <v>21</v>
      </c>
      <c r="E579" s="7" t="s">
        <v>460</v>
      </c>
      <c r="F579" s="4">
        <v>48.85205078125</v>
      </c>
      <c r="G579" s="18">
        <v>-125.123565673828</v>
      </c>
      <c r="H579" s="5" t="s">
        <v>5</v>
      </c>
      <c r="I579" s="2">
        <v>2</v>
      </c>
      <c r="J579" s="2">
        <f t="shared" si="65"/>
        <v>90</v>
      </c>
      <c r="K579" s="6">
        <v>0.54097222222222219</v>
      </c>
      <c r="L579" s="2" t="s">
        <v>172</v>
      </c>
      <c r="M579" s="2">
        <v>6</v>
      </c>
      <c r="N579" s="2">
        <v>2</v>
      </c>
      <c r="O579" s="2">
        <v>2</v>
      </c>
      <c r="P579" s="2" t="s">
        <v>244</v>
      </c>
      <c r="Q579" s="7" t="s">
        <v>65</v>
      </c>
      <c r="R579" s="4" t="s">
        <v>307</v>
      </c>
      <c r="S579" s="20">
        <v>11</v>
      </c>
      <c r="T579" s="2">
        <v>11</v>
      </c>
    </row>
    <row r="580" spans="1:26">
      <c r="A580" s="7">
        <f>MAX($A$1:$A579)+1</f>
        <v>579</v>
      </c>
      <c r="B580" s="2" t="s">
        <v>171</v>
      </c>
      <c r="C580" s="2" t="s">
        <v>170</v>
      </c>
      <c r="D580" s="2" t="s">
        <v>21</v>
      </c>
      <c r="E580" s="7" t="s">
        <v>460</v>
      </c>
      <c r="F580" s="4">
        <v>48.85205078125</v>
      </c>
      <c r="G580" s="18">
        <v>-125.123565673828</v>
      </c>
      <c r="H580" s="5" t="s">
        <v>5</v>
      </c>
      <c r="I580" s="2">
        <v>2</v>
      </c>
      <c r="J580" s="2">
        <f t="shared" si="65"/>
        <v>90</v>
      </c>
      <c r="K580" s="6">
        <v>0.54097222222222219</v>
      </c>
      <c r="L580" s="2" t="s">
        <v>172</v>
      </c>
      <c r="M580" s="2">
        <v>6</v>
      </c>
      <c r="N580" s="2">
        <v>2</v>
      </c>
      <c r="O580" s="2">
        <v>2</v>
      </c>
      <c r="P580" s="2" t="s">
        <v>230</v>
      </c>
      <c r="Q580" s="7" t="s">
        <v>42</v>
      </c>
      <c r="R580" s="4" t="s">
        <v>321</v>
      </c>
      <c r="S580" s="20">
        <v>12</v>
      </c>
      <c r="T580" s="2">
        <v>0</v>
      </c>
      <c r="U580" s="2">
        <v>1</v>
      </c>
      <c r="V580" s="2">
        <v>7</v>
      </c>
      <c r="W580" s="2">
        <v>3</v>
      </c>
      <c r="X580" s="2">
        <v>1</v>
      </c>
    </row>
    <row r="581" spans="1:26">
      <c r="A581" s="7">
        <f>MAX($A$1:$A580)+1</f>
        <v>580</v>
      </c>
      <c r="B581" s="2" t="s">
        <v>171</v>
      </c>
      <c r="C581" s="2" t="s">
        <v>170</v>
      </c>
      <c r="D581" s="2" t="s">
        <v>21</v>
      </c>
      <c r="E581" s="7" t="s">
        <v>460</v>
      </c>
      <c r="F581" s="4">
        <v>48.85205078125</v>
      </c>
      <c r="G581" s="18">
        <v>-125.123565673828</v>
      </c>
      <c r="H581" s="5" t="s">
        <v>5</v>
      </c>
      <c r="I581" s="2">
        <v>2</v>
      </c>
      <c r="J581" s="2">
        <f t="shared" si="65"/>
        <v>90</v>
      </c>
      <c r="K581" s="6">
        <v>0.54097222222222219</v>
      </c>
      <c r="L581" s="2" t="s">
        <v>172</v>
      </c>
      <c r="M581" s="2">
        <v>6</v>
      </c>
      <c r="N581" s="2">
        <v>2</v>
      </c>
      <c r="O581" s="2">
        <v>2</v>
      </c>
      <c r="P581" s="2" t="s">
        <v>340</v>
      </c>
      <c r="Q581" s="7" t="s">
        <v>114</v>
      </c>
      <c r="R581" s="4" t="s">
        <v>341</v>
      </c>
      <c r="S581" s="20">
        <v>1</v>
      </c>
      <c r="T581" s="2">
        <v>1</v>
      </c>
    </row>
    <row r="582" spans="1:26">
      <c r="A582" s="7">
        <f>MAX($A$1:$A581)+1</f>
        <v>581</v>
      </c>
      <c r="B582" s="2" t="s">
        <v>171</v>
      </c>
      <c r="C582" s="2" t="s">
        <v>170</v>
      </c>
      <c r="D582" s="2" t="s">
        <v>21</v>
      </c>
      <c r="E582" s="7" t="s">
        <v>460</v>
      </c>
      <c r="F582" s="4">
        <v>48.85205078125</v>
      </c>
      <c r="G582" s="18">
        <v>-125.123565673828</v>
      </c>
      <c r="H582" s="5" t="s">
        <v>5</v>
      </c>
      <c r="I582" s="2">
        <v>2</v>
      </c>
      <c r="J582" s="2">
        <f t="shared" si="65"/>
        <v>90</v>
      </c>
      <c r="K582" s="6">
        <v>0.54097222222222219</v>
      </c>
      <c r="L582" s="2" t="s">
        <v>172</v>
      </c>
      <c r="M582" s="2">
        <v>6</v>
      </c>
      <c r="N582" s="2">
        <v>2</v>
      </c>
      <c r="O582" s="2">
        <v>2</v>
      </c>
      <c r="P582" s="2" t="s">
        <v>250</v>
      </c>
      <c r="Q582" s="7" t="s">
        <v>46</v>
      </c>
      <c r="R582" s="4" t="s">
        <v>295</v>
      </c>
      <c r="S582" s="20">
        <v>7</v>
      </c>
      <c r="T582" s="2">
        <v>0</v>
      </c>
      <c r="U582" s="2">
        <v>1</v>
      </c>
      <c r="V582" s="2">
        <v>5</v>
      </c>
      <c r="W582" s="2">
        <v>1</v>
      </c>
    </row>
    <row r="583" spans="1:26">
      <c r="A583" s="7">
        <f>MAX($A$1:$A582)+1</f>
        <v>582</v>
      </c>
      <c r="B583" s="2" t="s">
        <v>171</v>
      </c>
      <c r="C583" s="2" t="s">
        <v>170</v>
      </c>
      <c r="D583" s="2" t="s">
        <v>21</v>
      </c>
      <c r="E583" s="7" t="s">
        <v>460</v>
      </c>
      <c r="F583" s="4">
        <v>48.85205078125</v>
      </c>
      <c r="G583" s="18">
        <v>-125.123565673828</v>
      </c>
      <c r="H583" s="5" t="s">
        <v>5</v>
      </c>
      <c r="I583" s="2">
        <v>2</v>
      </c>
      <c r="J583" s="2">
        <f t="shared" si="65"/>
        <v>90</v>
      </c>
      <c r="K583" s="6">
        <v>0.54097222222222219</v>
      </c>
      <c r="L583" s="2" t="s">
        <v>172</v>
      </c>
      <c r="M583" s="2">
        <v>6</v>
      </c>
      <c r="N583" s="2">
        <v>2</v>
      </c>
      <c r="O583" s="2">
        <v>2</v>
      </c>
      <c r="P583" s="2" t="s">
        <v>461</v>
      </c>
      <c r="Q583" s="7" t="s">
        <v>462</v>
      </c>
      <c r="R583" s="4" t="s">
        <v>463</v>
      </c>
      <c r="S583" s="20">
        <v>1</v>
      </c>
      <c r="T583" s="2">
        <v>1</v>
      </c>
    </row>
    <row r="584" spans="1:26">
      <c r="A584" s="7">
        <f>MAX($A$1:$A583)+1</f>
        <v>583</v>
      </c>
      <c r="B584" s="2" t="s">
        <v>171</v>
      </c>
      <c r="C584" s="2" t="s">
        <v>170</v>
      </c>
      <c r="D584" s="2" t="s">
        <v>21</v>
      </c>
      <c r="E584" s="7" t="s">
        <v>460</v>
      </c>
      <c r="F584" s="4">
        <v>48.85205078125</v>
      </c>
      <c r="G584" s="18">
        <v>-125.123565673828</v>
      </c>
      <c r="H584" s="5" t="s">
        <v>5</v>
      </c>
      <c r="I584" s="2">
        <v>2</v>
      </c>
      <c r="J584" s="2">
        <f t="shared" si="65"/>
        <v>90</v>
      </c>
      <c r="K584" s="6">
        <v>0.54097222222222219</v>
      </c>
      <c r="L584" s="2" t="s">
        <v>172</v>
      </c>
      <c r="M584" s="2">
        <v>6</v>
      </c>
      <c r="N584" s="2">
        <v>2</v>
      </c>
      <c r="O584" s="2">
        <v>2</v>
      </c>
      <c r="P584" s="2" t="s">
        <v>240</v>
      </c>
      <c r="Q584" s="7" t="s">
        <v>74</v>
      </c>
      <c r="R584" s="4" t="s">
        <v>459</v>
      </c>
      <c r="S584" s="20">
        <v>2</v>
      </c>
      <c r="T584" s="2">
        <v>2</v>
      </c>
    </row>
    <row r="585" spans="1:26">
      <c r="A585" s="7">
        <f>MAX($A$1:$A584)+1</f>
        <v>584</v>
      </c>
      <c r="B585" s="2" t="s">
        <v>171</v>
      </c>
      <c r="C585" s="2" t="s">
        <v>170</v>
      </c>
      <c r="D585" s="2" t="s">
        <v>21</v>
      </c>
      <c r="E585" s="7" t="s">
        <v>460</v>
      </c>
      <c r="F585" s="4">
        <v>48.85205078125</v>
      </c>
      <c r="G585" s="18">
        <v>-125.123565673828</v>
      </c>
      <c r="H585" s="5" t="s">
        <v>5</v>
      </c>
      <c r="I585" s="2">
        <v>2</v>
      </c>
      <c r="J585" s="2">
        <f t="shared" si="65"/>
        <v>90</v>
      </c>
      <c r="K585" s="6">
        <v>0.54097222222222219</v>
      </c>
      <c r="L585" s="2" t="s">
        <v>172</v>
      </c>
      <c r="M585" s="2">
        <v>6</v>
      </c>
      <c r="N585" s="2">
        <v>2</v>
      </c>
      <c r="O585" s="2">
        <v>2</v>
      </c>
      <c r="P585" s="2" t="s">
        <v>419</v>
      </c>
      <c r="Q585" s="7" t="s">
        <v>139</v>
      </c>
      <c r="R585" s="4" t="s">
        <v>420</v>
      </c>
      <c r="S585" s="20">
        <v>1</v>
      </c>
      <c r="T585" s="2">
        <v>1</v>
      </c>
    </row>
    <row r="586" spans="1:26">
      <c r="A586" s="7">
        <f>MAX($A$1:$A585)+1</f>
        <v>585</v>
      </c>
      <c r="B586" s="2" t="s">
        <v>171</v>
      </c>
      <c r="C586" s="2" t="s">
        <v>170</v>
      </c>
      <c r="D586" s="2" t="s">
        <v>21</v>
      </c>
      <c r="E586" s="7" t="s">
        <v>460</v>
      </c>
      <c r="F586" s="4">
        <v>48.85205078125</v>
      </c>
      <c r="G586" s="18">
        <v>-125.123565673828</v>
      </c>
      <c r="H586" s="5" t="s">
        <v>5</v>
      </c>
      <c r="I586" s="2">
        <v>2</v>
      </c>
      <c r="J586" s="2">
        <f t="shared" si="65"/>
        <v>90</v>
      </c>
      <c r="K586" s="6">
        <v>0.54097222222222219</v>
      </c>
      <c r="L586" s="2" t="s">
        <v>172</v>
      </c>
      <c r="M586" s="2">
        <v>6</v>
      </c>
      <c r="N586" s="2">
        <v>2</v>
      </c>
      <c r="O586" s="2">
        <v>2</v>
      </c>
      <c r="P586" s="2" t="s">
        <v>249</v>
      </c>
      <c r="Q586" s="7" t="s">
        <v>90</v>
      </c>
      <c r="R586" s="4" t="s">
        <v>352</v>
      </c>
      <c r="S586" s="20">
        <v>1</v>
      </c>
      <c r="T586" s="2">
        <v>1</v>
      </c>
    </row>
    <row r="587" spans="1:26">
      <c r="A587" s="7">
        <f>MAX($A$1:$A586)+1</f>
        <v>586</v>
      </c>
      <c r="B587" s="2" t="s">
        <v>171</v>
      </c>
      <c r="C587" s="2" t="s">
        <v>170</v>
      </c>
      <c r="D587" s="2" t="s">
        <v>21</v>
      </c>
      <c r="E587" s="7" t="s">
        <v>460</v>
      </c>
      <c r="F587" s="4">
        <v>48.85205078125</v>
      </c>
      <c r="G587" s="18">
        <v>-125.123565673828</v>
      </c>
      <c r="H587" s="5" t="s">
        <v>5</v>
      </c>
      <c r="I587" s="2">
        <v>2</v>
      </c>
      <c r="J587" s="2">
        <f t="shared" si="65"/>
        <v>90</v>
      </c>
      <c r="K587" s="6">
        <v>0.54097222222222219</v>
      </c>
      <c r="L587" s="2" t="s">
        <v>172</v>
      </c>
      <c r="M587" s="2">
        <v>6</v>
      </c>
      <c r="N587" s="2">
        <v>0</v>
      </c>
      <c r="O587" s="2">
        <v>2</v>
      </c>
      <c r="P587" s="2" t="s">
        <v>252</v>
      </c>
      <c r="Q587" s="7" t="s">
        <v>76</v>
      </c>
      <c r="R587" s="4" t="s">
        <v>413</v>
      </c>
      <c r="S587" s="20">
        <v>1</v>
      </c>
      <c r="T587" s="2">
        <v>1</v>
      </c>
    </row>
    <row r="588" spans="1:26">
      <c r="A588" s="7">
        <f>MAX($A$1:$A587)+1</f>
        <v>587</v>
      </c>
      <c r="B588" s="2" t="s">
        <v>171</v>
      </c>
      <c r="C588" s="2" t="s">
        <v>170</v>
      </c>
      <c r="D588" s="2" t="s">
        <v>21</v>
      </c>
      <c r="E588" s="7" t="s">
        <v>460</v>
      </c>
      <c r="F588" s="4">
        <v>48.85205078125</v>
      </c>
      <c r="G588" s="18">
        <v>-125.123565673828</v>
      </c>
      <c r="H588" s="5" t="s">
        <v>5</v>
      </c>
      <c r="I588" s="2">
        <v>2</v>
      </c>
      <c r="J588" s="2">
        <f t="shared" si="65"/>
        <v>90</v>
      </c>
      <c r="K588" s="6">
        <v>0.54097222222222219</v>
      </c>
      <c r="L588" s="2" t="s">
        <v>172</v>
      </c>
      <c r="M588" s="2">
        <v>6</v>
      </c>
      <c r="N588" s="2">
        <v>0</v>
      </c>
      <c r="O588" s="2">
        <v>2</v>
      </c>
      <c r="P588" s="2" t="s">
        <v>355</v>
      </c>
      <c r="Q588" s="7" t="s">
        <v>154</v>
      </c>
      <c r="R588" s="4" t="s">
        <v>356</v>
      </c>
      <c r="S588" s="20">
        <v>1</v>
      </c>
      <c r="T588" s="2">
        <v>1</v>
      </c>
    </row>
    <row r="589" spans="1:26">
      <c r="A589" s="7">
        <f>MAX($A$1:$A588)+1</f>
        <v>588</v>
      </c>
      <c r="B589" s="27" t="s">
        <v>170</v>
      </c>
      <c r="C589" s="27" t="s">
        <v>171</v>
      </c>
      <c r="D589" s="27" t="s">
        <v>20</v>
      </c>
      <c r="E589" s="7" t="str">
        <f>IF(ISERROR(VLOOKUP($D589,SITES!$A:$E,2,FALSE)),"",VLOOKUP($D589,SITES!$A:$E,2,FALSE))</f>
        <v>Dixon Inside</v>
      </c>
      <c r="F589" s="4">
        <f>IF(ISERROR(VLOOKUP($D589,SITES!$A:$E,3,FALSE)),"",VLOOKUP($D589,SITES!$A:$E,3,FALSE))</f>
        <v>48.8542671203613</v>
      </c>
      <c r="G589" s="18">
        <f>IF(ISERROR(VLOOKUP($D589,SITES!$A:$E,4,FALSE)),"",VLOOKUP($D589,SITES!$A:$E,4,FALSE))</f>
        <v>-125.11703491210901</v>
      </c>
      <c r="H589" s="28" t="s">
        <v>5</v>
      </c>
      <c r="I589" s="27">
        <v>3</v>
      </c>
      <c r="J589" s="27">
        <v>90</v>
      </c>
      <c r="K589" s="6">
        <v>0.42638888888888887</v>
      </c>
      <c r="L589" s="27" t="s">
        <v>172</v>
      </c>
      <c r="M589" s="27">
        <v>5.5</v>
      </c>
      <c r="N589" s="27">
        <v>1</v>
      </c>
      <c r="O589" s="27">
        <v>2</v>
      </c>
      <c r="P589" s="27" t="s">
        <v>173</v>
      </c>
      <c r="Q589" s="7" t="str">
        <f>IF($N589=1,IF(ISERROR(VLOOKUP($P589,'M1'!$A:$C,Q$2,FALSE)),"NOT PRESENT",VLOOKUP($P589,'M1'!$A:$C,Q$2,FALSE)),IF($N589=2,IF(ISERROR(VLOOKUP(DATA!$P3,'M2'!$A:$C,Q$2,FALSE)),"NOT PRESENT",VLOOKUP(DATA!$P3,'M2'!$A:$C,Q$2,FALSE)),IF($N589=0,IF(ISERROR(VLOOKUP($P589,'M1'!$A:$C,Q$2,FALSE)),IF(ISERROR(VLOOKUP(DATA!$P3,'M2'!$A:$C,Q$2,FALSE)),"NOT PRESENT",VLOOKUP(DATA!$P3,'M2'!$A:$C,Q$2,FALSE)),VLOOKUP($P589,'M1'!$A:$C,Q$2,FALSE)),"SPECIFY METHOD")))</f>
        <v>NOT PRESENT</v>
      </c>
      <c r="R589" s="4" t="str">
        <f>IF($N589=1,IF(ISERROR(VLOOKUP($P589,'M1'!$A:$C,R$2,FALSE)),"NOT PRESENT",VLOOKUP($P589,'M1'!$A:$C,R$2,FALSE)),IF($N589=2,IF(ISERROR(VLOOKUP(DATA!$P3,'M2'!$A:$C,R$2,FALSE)),"NOT PRESENT",VLOOKUP(DATA!$P3,'M2'!$A:$C,R$2,FALSE)),IF($N589=0,IF(ISERROR(VLOOKUP($P589,'M1'!$A:$C,R$2,FALSE)),IF(ISERROR(VLOOKUP(DATA!$P3,'M2'!$A:$C,R$2,FALSE)),"NOT PRESENT",VLOOKUP(DATA!$P3,'M2'!$A:$C,R$2,FALSE)),VLOOKUP($P589,'M1'!$A:$C,R$2,FALSE)),"SPECIFY METHOD")))</f>
        <v>NOT PRESENT</v>
      </c>
      <c r="S589" s="20">
        <f t="shared" ref="S589:S617" si="66">SUM(T589:AV589)</f>
        <v>50</v>
      </c>
      <c r="T589" s="2">
        <v>0</v>
      </c>
      <c r="V589" s="27">
        <v>12</v>
      </c>
      <c r="W589" s="2">
        <v>15</v>
      </c>
      <c r="X589" s="2">
        <v>15</v>
      </c>
      <c r="Y589" s="2">
        <v>8</v>
      </c>
    </row>
    <row r="590" spans="1:26">
      <c r="A590" s="7">
        <f>MAX($A$1:$A589)+1</f>
        <v>589</v>
      </c>
      <c r="B590" s="2" t="str">
        <f t="shared" ref="B590:B617" si="67">IF(ISERROR(B589),IF(ISERROR(B588),IF(ISERROR(B587),"BLANK",B587),B588),B589)</f>
        <v>Jasmin Schuster</v>
      </c>
      <c r="C590" s="2" t="str">
        <f t="shared" ref="C590:C617" si="68">IF(ISERROR(C589),IF(ISERROR(C588),IF(ISERROR(C587),"BLANK",C587),C588),C589)</f>
        <v>Em Lim</v>
      </c>
      <c r="D590" s="2" t="str">
        <f t="shared" ref="D590:D617" si="69">IF(ISERROR(D589),IF(ISERROR(D588),IF(ISERROR(D587),"BLANK",D587),D588),D589)</f>
        <v>BMSC22</v>
      </c>
      <c r="E590" s="7" t="str">
        <f>IF(ISERROR(VLOOKUP($D590,SITES!$A:$E,2,FALSE)),"",VLOOKUP($D590,SITES!$A:$E,2,FALSE))</f>
        <v>Dixon Inside</v>
      </c>
      <c r="F590" s="4">
        <f>IF(ISERROR(VLOOKUP($D590,SITES!$A:$E,3,FALSE)),"",VLOOKUP($D590,SITES!$A:$E,3,FALSE))</f>
        <v>48.8542671203613</v>
      </c>
      <c r="G590" s="18">
        <f>IF(ISERROR(VLOOKUP($D590,SITES!$A:$E,4,FALSE)),"",VLOOKUP($D590,SITES!$A:$E,4,FALSE))</f>
        <v>-125.11703491210901</v>
      </c>
      <c r="H590" s="5" t="str">
        <f t="shared" ref="H590:O593" si="70">IF(ISERROR(H589),IF(ISERROR(H588),IF(ISERROR(H587),"BLANK",H587),H588),H589)</f>
        <v>08/05/2023</v>
      </c>
      <c r="I590" s="2">
        <f t="shared" si="70"/>
        <v>3</v>
      </c>
      <c r="J590" s="2">
        <f t="shared" si="70"/>
        <v>90</v>
      </c>
      <c r="K590" s="6">
        <f t="shared" si="70"/>
        <v>0.42638888888888887</v>
      </c>
      <c r="L590" s="2" t="str">
        <f t="shared" si="70"/>
        <v>EGL</v>
      </c>
      <c r="M590" s="2">
        <f t="shared" si="70"/>
        <v>5.5</v>
      </c>
      <c r="N590" s="2">
        <f t="shared" si="70"/>
        <v>1</v>
      </c>
      <c r="O590" s="2">
        <f t="shared" si="70"/>
        <v>2</v>
      </c>
      <c r="P590" s="27" t="s">
        <v>174</v>
      </c>
      <c r="Q590" s="7" t="str">
        <f>IF($N590=1,IF(ISERROR(VLOOKUP($P590,'M1'!$A:$C,Q$2,FALSE)),"NOT PRESENT",VLOOKUP($P590,'M1'!$A:$C,Q$2,FALSE)),IF($N590=2,IF(ISERROR(VLOOKUP(DATA!$P4,'M2'!$A:$C,Q$2,FALSE)),"NOT PRESENT",VLOOKUP(DATA!$P4,'M2'!$A:$C,Q$2,FALSE)),IF($N590=0,IF(ISERROR(VLOOKUP($P590,'M1'!$A:$C,Q$2,FALSE)),IF(ISERROR(VLOOKUP(DATA!$P4,'M2'!$A:$C,Q$2,FALSE)),"NOT PRESENT",VLOOKUP(DATA!$P4,'M2'!$A:$C,Q$2,FALSE)),VLOOKUP($P590,'M1'!$A:$C,Q$2,FALSE)),"SPECIFY METHOD")))</f>
        <v>NOT PRESENT</v>
      </c>
      <c r="R590" s="4" t="str">
        <f>IF($N590=1,IF(ISERROR(VLOOKUP($P590,'M1'!$A:$C,R$2,FALSE)),"NOT PRESENT",VLOOKUP($P590,'M1'!$A:$C,R$2,FALSE)),IF($N590=2,IF(ISERROR(VLOOKUP(DATA!$P4,'M2'!$A:$C,R$2,FALSE)),"NOT PRESENT",VLOOKUP(DATA!$P4,'M2'!$A:$C,R$2,FALSE)),IF($N590=0,IF(ISERROR(VLOOKUP($P590,'M1'!$A:$C,R$2,FALSE)),IF(ISERROR(VLOOKUP(DATA!$P4,'M2'!$A:$C,R$2,FALSE)),"NOT PRESENT",VLOOKUP(DATA!$P4,'M2'!$A:$C,R$2,FALSE)),VLOOKUP($P590,'M1'!$A:$C,R$2,FALSE)),"SPECIFY METHOD")))</f>
        <v>NOT PRESENT</v>
      </c>
      <c r="S590" s="20">
        <f t="shared" si="66"/>
        <v>1</v>
      </c>
      <c r="T590" s="2">
        <v>0</v>
      </c>
      <c r="Z590" s="2">
        <v>1</v>
      </c>
    </row>
    <row r="591" spans="1:26">
      <c r="A591" s="7">
        <f>MAX($A$1:$A590)+1</f>
        <v>590</v>
      </c>
      <c r="B591" s="2" t="str">
        <f t="shared" si="67"/>
        <v>Jasmin Schuster</v>
      </c>
      <c r="C591" s="2" t="str">
        <f t="shared" si="68"/>
        <v>Em Lim</v>
      </c>
      <c r="D591" s="2" t="str">
        <f t="shared" si="69"/>
        <v>BMSC22</v>
      </c>
      <c r="E591" s="7" t="str">
        <f>IF(ISERROR(VLOOKUP($D591,SITES!$A:$E,2,FALSE)),"",VLOOKUP($D591,SITES!$A:$E,2,FALSE))</f>
        <v>Dixon Inside</v>
      </c>
      <c r="F591" s="4">
        <f>IF(ISERROR(VLOOKUP($D591,SITES!$A:$E,3,FALSE)),"",VLOOKUP($D591,SITES!$A:$E,3,FALSE))</f>
        <v>48.8542671203613</v>
      </c>
      <c r="G591" s="18">
        <f>IF(ISERROR(VLOOKUP($D591,SITES!$A:$E,4,FALSE)),"",VLOOKUP($D591,SITES!$A:$E,4,FALSE))</f>
        <v>-125.11703491210901</v>
      </c>
      <c r="H591" s="5" t="str">
        <f t="shared" si="70"/>
        <v>08/05/2023</v>
      </c>
      <c r="I591" s="2">
        <f t="shared" si="70"/>
        <v>3</v>
      </c>
      <c r="J591" s="2">
        <f t="shared" si="70"/>
        <v>90</v>
      </c>
      <c r="K591" s="6">
        <f t="shared" si="70"/>
        <v>0.42638888888888887</v>
      </c>
      <c r="L591" s="2" t="str">
        <f t="shared" si="70"/>
        <v>EGL</v>
      </c>
      <c r="M591" s="2">
        <f t="shared" si="70"/>
        <v>5.5</v>
      </c>
      <c r="N591" s="2">
        <f t="shared" si="70"/>
        <v>1</v>
      </c>
      <c r="O591" s="2">
        <f t="shared" si="70"/>
        <v>2</v>
      </c>
      <c r="P591" s="27" t="s">
        <v>175</v>
      </c>
      <c r="Q591" s="7" t="str">
        <f>IF($N591=1,IF(ISERROR(VLOOKUP($P591,'M1'!$A:$C,Q$2,FALSE)),"NOT PRESENT",VLOOKUP($P591,'M1'!$A:$C,Q$2,FALSE)),IF($N591=2,IF(ISERROR(VLOOKUP(DATA!$P5,'M2'!$A:$C,Q$2,FALSE)),"NOT PRESENT",VLOOKUP(DATA!$P5,'M2'!$A:$C,Q$2,FALSE)),IF($N591=0,IF(ISERROR(VLOOKUP($P591,'M1'!$A:$C,Q$2,FALSE)),IF(ISERROR(VLOOKUP(DATA!$P5,'M2'!$A:$C,Q$2,FALSE)),"NOT PRESENT",VLOOKUP(DATA!$P5,'M2'!$A:$C,Q$2,FALSE)),VLOOKUP($P591,'M1'!$A:$C,Q$2,FALSE)),"SPECIFY METHOD")))</f>
        <v>NOT PRESENT</v>
      </c>
      <c r="R591" s="4" t="str">
        <f>IF($N591=1,IF(ISERROR(VLOOKUP($P591,'M1'!$A:$C,R$2,FALSE)),"NOT PRESENT",VLOOKUP($P591,'M1'!$A:$C,R$2,FALSE)),IF($N591=2,IF(ISERROR(VLOOKUP(DATA!$P5,'M2'!$A:$C,R$2,FALSE)),"NOT PRESENT",VLOOKUP(DATA!$P5,'M2'!$A:$C,R$2,FALSE)),IF($N591=0,IF(ISERROR(VLOOKUP($P591,'M1'!$A:$C,R$2,FALSE)),IF(ISERROR(VLOOKUP(DATA!$P5,'M2'!$A:$C,R$2,FALSE)),"NOT PRESENT",VLOOKUP(DATA!$P5,'M2'!$A:$C,R$2,FALSE)),VLOOKUP($P591,'M1'!$A:$C,R$2,FALSE)),"SPECIFY METHOD")))</f>
        <v>NOT PRESENT</v>
      </c>
      <c r="S591" s="20">
        <f t="shared" si="66"/>
        <v>1</v>
      </c>
      <c r="T591" s="2">
        <v>0</v>
      </c>
      <c r="X591" s="2">
        <v>1</v>
      </c>
    </row>
    <row r="592" spans="1:26">
      <c r="A592" s="7">
        <f>MAX($A$1:$A591)+1</f>
        <v>591</v>
      </c>
      <c r="B592" s="2" t="str">
        <f t="shared" si="67"/>
        <v>Jasmin Schuster</v>
      </c>
      <c r="C592" s="2" t="str">
        <f t="shared" si="68"/>
        <v>Em Lim</v>
      </c>
      <c r="D592" s="2" t="str">
        <f t="shared" si="69"/>
        <v>BMSC22</v>
      </c>
      <c r="E592" s="7" t="str">
        <f>IF(ISERROR(VLOOKUP($D592,SITES!$A:$E,2,FALSE)),"",VLOOKUP($D592,SITES!$A:$E,2,FALSE))</f>
        <v>Dixon Inside</v>
      </c>
      <c r="F592" s="4">
        <f>IF(ISERROR(VLOOKUP($D592,SITES!$A:$E,3,FALSE)),"",VLOOKUP($D592,SITES!$A:$E,3,FALSE))</f>
        <v>48.8542671203613</v>
      </c>
      <c r="G592" s="18">
        <f>IF(ISERROR(VLOOKUP($D592,SITES!$A:$E,4,FALSE)),"",VLOOKUP($D592,SITES!$A:$E,4,FALSE))</f>
        <v>-125.11703491210901</v>
      </c>
      <c r="H592" s="5" t="str">
        <f t="shared" si="70"/>
        <v>08/05/2023</v>
      </c>
      <c r="I592" s="2">
        <f t="shared" si="70"/>
        <v>3</v>
      </c>
      <c r="J592" s="2">
        <f t="shared" si="70"/>
        <v>90</v>
      </c>
      <c r="K592" s="6">
        <f t="shared" si="70"/>
        <v>0.42638888888888887</v>
      </c>
      <c r="L592" s="2" t="str">
        <f t="shared" si="70"/>
        <v>EGL</v>
      </c>
      <c r="M592" s="2">
        <f t="shared" si="70"/>
        <v>5.5</v>
      </c>
      <c r="N592" s="2">
        <f t="shared" si="70"/>
        <v>1</v>
      </c>
      <c r="O592" s="2">
        <f t="shared" si="70"/>
        <v>2</v>
      </c>
      <c r="P592" s="27" t="s">
        <v>176</v>
      </c>
      <c r="Q592" s="7" t="str">
        <f>IF($N592=1,IF(ISERROR(VLOOKUP($P592,'M1'!$A:$C,Q$2,FALSE)),"NOT PRESENT",VLOOKUP($P592,'M1'!$A:$C,Q$2,FALSE)),IF($N592=2,IF(ISERROR(VLOOKUP(DATA!$P6,'M2'!$A:$C,Q$2,FALSE)),"NOT PRESENT",VLOOKUP(DATA!$P6,'M2'!$A:$C,Q$2,FALSE)),IF($N592=0,IF(ISERROR(VLOOKUP($P592,'M1'!$A:$C,Q$2,FALSE)),IF(ISERROR(VLOOKUP(DATA!$P6,'M2'!$A:$C,Q$2,FALSE)),"NOT PRESENT",VLOOKUP(DATA!$P6,'M2'!$A:$C,Q$2,FALSE)),VLOOKUP($P592,'M1'!$A:$C,Q$2,FALSE)),"SPECIFY METHOD")))</f>
        <v>NOT PRESENT</v>
      </c>
      <c r="R592" s="4" t="str">
        <f>IF($N592=1,IF(ISERROR(VLOOKUP($P592,'M1'!$A:$C,R$2,FALSE)),"NOT PRESENT",VLOOKUP($P592,'M1'!$A:$C,R$2,FALSE)),IF($N592=2,IF(ISERROR(VLOOKUP(DATA!$P6,'M2'!$A:$C,R$2,FALSE)),"NOT PRESENT",VLOOKUP(DATA!$P6,'M2'!$A:$C,R$2,FALSE)),IF($N592=0,IF(ISERROR(VLOOKUP($P592,'M1'!$A:$C,R$2,FALSE)),IF(ISERROR(VLOOKUP(DATA!$P6,'M2'!$A:$C,R$2,FALSE)),"NOT PRESENT",VLOOKUP(DATA!$P6,'M2'!$A:$C,R$2,FALSE)),VLOOKUP($P592,'M1'!$A:$C,R$2,FALSE)),"SPECIFY METHOD")))</f>
        <v>NOT PRESENT</v>
      </c>
      <c r="S592" s="20">
        <f t="shared" si="66"/>
        <v>2</v>
      </c>
      <c r="T592" s="2">
        <v>0</v>
      </c>
      <c r="X592" s="2">
        <v>1</v>
      </c>
      <c r="Y592" s="2">
        <v>1</v>
      </c>
    </row>
    <row r="593" spans="1:24">
      <c r="A593" s="7">
        <f>MAX($A$1:$A592)+1</f>
        <v>592</v>
      </c>
      <c r="B593" s="2" t="str">
        <f t="shared" si="67"/>
        <v>Jasmin Schuster</v>
      </c>
      <c r="C593" s="2" t="str">
        <f t="shared" si="68"/>
        <v>Em Lim</v>
      </c>
      <c r="D593" s="2" t="str">
        <f t="shared" si="69"/>
        <v>BMSC22</v>
      </c>
      <c r="E593" s="7" t="str">
        <f>IF(ISERROR(VLOOKUP($D593,SITES!$A:$E,2,FALSE)),"",VLOOKUP($D593,SITES!$A:$E,2,FALSE))</f>
        <v>Dixon Inside</v>
      </c>
      <c r="F593" s="4">
        <f>IF(ISERROR(VLOOKUP($D593,SITES!$A:$E,3,FALSE)),"",VLOOKUP($D593,SITES!$A:$E,3,FALSE))</f>
        <v>48.8542671203613</v>
      </c>
      <c r="G593" s="18">
        <f>IF(ISERROR(VLOOKUP($D593,SITES!$A:$E,4,FALSE)),"",VLOOKUP($D593,SITES!$A:$E,4,FALSE))</f>
        <v>-125.11703491210901</v>
      </c>
      <c r="H593" s="5" t="str">
        <f t="shared" si="70"/>
        <v>08/05/2023</v>
      </c>
      <c r="I593" s="2">
        <f t="shared" si="70"/>
        <v>3</v>
      </c>
      <c r="J593" s="2">
        <f t="shared" si="70"/>
        <v>90</v>
      </c>
      <c r="K593" s="6">
        <f t="shared" si="70"/>
        <v>0.42638888888888887</v>
      </c>
      <c r="L593" s="2" t="str">
        <f t="shared" si="70"/>
        <v>EGL</v>
      </c>
      <c r="M593" s="2">
        <f t="shared" si="70"/>
        <v>5.5</v>
      </c>
      <c r="N593" s="2">
        <f t="shared" si="70"/>
        <v>1</v>
      </c>
      <c r="O593" s="2">
        <f t="shared" si="70"/>
        <v>2</v>
      </c>
      <c r="P593" s="27" t="s">
        <v>177</v>
      </c>
      <c r="Q593" s="7" t="str">
        <f>IF($N593=1,IF(ISERROR(VLOOKUP($P593,'M1'!$A:$C,Q$2,FALSE)),"NOT PRESENT",VLOOKUP($P593,'M1'!$A:$C,Q$2,FALSE)),IF($N593=2,IF(ISERROR(VLOOKUP(DATA!$P7,'M2'!$A:$C,Q$2,FALSE)),"NOT PRESENT",VLOOKUP(DATA!$P7,'M2'!$A:$C,Q$2,FALSE)),IF($N593=0,IF(ISERROR(VLOOKUP($P593,'M1'!$A:$C,Q$2,FALSE)),IF(ISERROR(VLOOKUP(DATA!$P7,'M2'!$A:$C,Q$2,FALSE)),"NOT PRESENT",VLOOKUP(DATA!$P7,'M2'!$A:$C,Q$2,FALSE)),VLOOKUP($P593,'M1'!$A:$C,Q$2,FALSE)),"SPECIFY METHOD")))</f>
        <v>NOT PRESENT</v>
      </c>
      <c r="R593" s="4" t="str">
        <f>IF($N593=1,IF(ISERROR(VLOOKUP($P593,'M1'!$A:$C,R$2,FALSE)),"NOT PRESENT",VLOOKUP($P593,'M1'!$A:$C,R$2,FALSE)),IF($N593=2,IF(ISERROR(VLOOKUP(DATA!$P7,'M2'!$A:$C,R$2,FALSE)),"NOT PRESENT",VLOOKUP(DATA!$P7,'M2'!$A:$C,R$2,FALSE)),IF($N593=0,IF(ISERROR(VLOOKUP($P593,'M1'!$A:$C,R$2,FALSE)),IF(ISERROR(VLOOKUP(DATA!$P7,'M2'!$A:$C,R$2,FALSE)),"NOT PRESENT",VLOOKUP(DATA!$P7,'M2'!$A:$C,R$2,FALSE)),VLOOKUP($P593,'M1'!$A:$C,R$2,FALSE)),"SPECIFY METHOD")))</f>
        <v>NOT PRESENT</v>
      </c>
      <c r="S593" s="20">
        <f t="shared" si="66"/>
        <v>1</v>
      </c>
      <c r="T593" s="2">
        <v>1</v>
      </c>
    </row>
    <row r="594" spans="1:24">
      <c r="A594" s="7">
        <f>MAX($A$1:$A593)+1</f>
        <v>593</v>
      </c>
      <c r="B594" s="2" t="str">
        <f t="shared" si="67"/>
        <v>Jasmin Schuster</v>
      </c>
      <c r="C594" s="2" t="str">
        <f t="shared" si="68"/>
        <v>Em Lim</v>
      </c>
      <c r="D594" s="2" t="str">
        <f t="shared" si="69"/>
        <v>BMSC22</v>
      </c>
      <c r="E594" s="7" t="str">
        <f>IF(ISERROR(VLOOKUP($D594,SITES!$A:$E,2,FALSE)),"",VLOOKUP($D594,SITES!$A:$E,2,FALSE))</f>
        <v>Dixon Inside</v>
      </c>
      <c r="F594" s="4">
        <f>IF(ISERROR(VLOOKUP($D594,SITES!$A:$E,3,FALSE)),"",VLOOKUP($D594,SITES!$A:$E,3,FALSE))</f>
        <v>48.8542671203613</v>
      </c>
      <c r="G594" s="18">
        <f>IF(ISERROR(VLOOKUP($D594,SITES!$A:$E,4,FALSE)),"",VLOOKUP($D594,SITES!$A:$E,4,FALSE))</f>
        <v>-125.11703491210901</v>
      </c>
      <c r="H594" s="5" t="str">
        <f t="shared" ref="H594:H617" si="71">IF(ISERROR(H593),IF(ISERROR(H592),IF(ISERROR(H591),"BLANK",H591),H592),H593)</f>
        <v>08/05/2023</v>
      </c>
      <c r="I594" s="2">
        <f t="shared" ref="I594:I617" si="72">IF(ISERROR(I593),IF(ISERROR(I592),IF(ISERROR(I591),"BLANK",I591),I592),I593)</f>
        <v>3</v>
      </c>
      <c r="J594" s="2">
        <f t="shared" ref="J594:J617" si="73">IF(ISERROR(J593),IF(ISERROR(J592),IF(ISERROR(J591),"BLANK",J591),J592),J593)</f>
        <v>90</v>
      </c>
      <c r="K594" s="6">
        <f t="shared" ref="K594:K617" si="74">IF(ISERROR(K593),IF(ISERROR(K592),IF(ISERROR(K591),"BLANK",K591),K592),K593)</f>
        <v>0.42638888888888887</v>
      </c>
      <c r="L594" s="2" t="str">
        <f t="shared" ref="L594:L617" si="75">IF(ISERROR(L593),IF(ISERROR(L592),IF(ISERROR(L591),"BLANK",L591),L592),L593)</f>
        <v>EGL</v>
      </c>
      <c r="M594" s="2">
        <f t="shared" ref="M594:M617" si="76">IF(ISERROR(M593),IF(ISERROR(M592),IF(ISERROR(M591),"BLANK",M591),M592),M593)</f>
        <v>5.5</v>
      </c>
      <c r="N594" s="2">
        <v>2</v>
      </c>
      <c r="O594" s="2">
        <f t="shared" ref="O594:O617" si="77">IF(ISERROR(O593),IF(ISERROR(O592),IF(ISERROR(O591),"BLANK",O591),O592),O593)</f>
        <v>2</v>
      </c>
      <c r="P594" s="27" t="s">
        <v>178</v>
      </c>
      <c r="Q594" s="7" t="str">
        <f>IF($N594=1,IF(ISERROR(VLOOKUP($P594,'M1'!$A:$C,Q$2,FALSE)),"NOT PRESENT",VLOOKUP($P594,'M1'!$A:$C,Q$2,FALSE)),IF($N594=2,IF(ISERROR(VLOOKUP(DATA!$P8,'M2'!$A:$C,Q$2,FALSE)),"NOT PRESENT",VLOOKUP(DATA!$P8,'M2'!$A:$C,Q$2,FALSE)),IF($N594=0,IF(ISERROR(VLOOKUP($P594,'M1'!$A:$C,Q$2,FALSE)),IF(ISERROR(VLOOKUP(DATA!$P8,'M2'!$A:$C,Q$2,FALSE)),"NOT PRESENT",VLOOKUP(DATA!$P8,'M2'!$A:$C,Q$2,FALSE)),VLOOKUP($P594,'M1'!$A:$C,Q$2,FALSE)),"SPECIFY METHOD")))</f>
        <v>NOT PRESENT</v>
      </c>
      <c r="R594" s="4" t="str">
        <f>IF($N594=1,IF(ISERROR(VLOOKUP($P594,'M1'!$A:$C,R$2,FALSE)),"NOT PRESENT",VLOOKUP($P594,'M1'!$A:$C,R$2,FALSE)),IF($N594=2,IF(ISERROR(VLOOKUP(DATA!$P8,'M2'!$A:$C,R$2,FALSE)),"NOT PRESENT",VLOOKUP(DATA!$P8,'M2'!$A:$C,R$2,FALSE)),IF($N594=0,IF(ISERROR(VLOOKUP($P594,'M1'!$A:$C,R$2,FALSE)),IF(ISERROR(VLOOKUP(DATA!$P8,'M2'!$A:$C,R$2,FALSE)),"NOT PRESENT",VLOOKUP(DATA!$P8,'M2'!$A:$C,R$2,FALSE)),VLOOKUP($P594,'M1'!$A:$C,R$2,FALSE)),"SPECIFY METHOD")))</f>
        <v>NOT PRESENT</v>
      </c>
      <c r="S594" s="20">
        <f t="shared" si="66"/>
        <v>52</v>
      </c>
      <c r="T594" s="2">
        <v>52</v>
      </c>
    </row>
    <row r="595" spans="1:24">
      <c r="A595" s="7">
        <f>MAX($A$1:$A594)+1</f>
        <v>594</v>
      </c>
      <c r="B595" s="2" t="str">
        <f t="shared" si="67"/>
        <v>Jasmin Schuster</v>
      </c>
      <c r="C595" s="2" t="str">
        <f t="shared" si="68"/>
        <v>Em Lim</v>
      </c>
      <c r="D595" s="2" t="str">
        <f t="shared" si="69"/>
        <v>BMSC22</v>
      </c>
      <c r="E595" s="7" t="str">
        <f>IF(ISERROR(VLOOKUP($D595,SITES!$A:$E,2,FALSE)),"",VLOOKUP($D595,SITES!$A:$E,2,FALSE))</f>
        <v>Dixon Inside</v>
      </c>
      <c r="F595" s="4">
        <f>IF(ISERROR(VLOOKUP($D595,SITES!$A:$E,3,FALSE)),"",VLOOKUP($D595,SITES!$A:$E,3,FALSE))</f>
        <v>48.8542671203613</v>
      </c>
      <c r="G595" s="18">
        <f>IF(ISERROR(VLOOKUP($D595,SITES!$A:$E,4,FALSE)),"",VLOOKUP($D595,SITES!$A:$E,4,FALSE))</f>
        <v>-125.11703491210901</v>
      </c>
      <c r="H595" s="5" t="str">
        <f t="shared" si="71"/>
        <v>08/05/2023</v>
      </c>
      <c r="I595" s="2">
        <f t="shared" si="72"/>
        <v>3</v>
      </c>
      <c r="J595" s="2">
        <f t="shared" si="73"/>
        <v>90</v>
      </c>
      <c r="K595" s="6">
        <f t="shared" si="74"/>
        <v>0.42638888888888887</v>
      </c>
      <c r="L595" s="2" t="str">
        <f t="shared" si="75"/>
        <v>EGL</v>
      </c>
      <c r="M595" s="2">
        <f t="shared" si="76"/>
        <v>5.5</v>
      </c>
      <c r="N595" s="2">
        <f t="shared" ref="N595:N612" si="78">IF(ISERROR(N594),IF(ISERROR(N593),IF(ISERROR(N592),"BLANK",N592),N593),N594)</f>
        <v>2</v>
      </c>
      <c r="O595" s="2">
        <f t="shared" si="77"/>
        <v>2</v>
      </c>
      <c r="P595" s="27" t="s">
        <v>179</v>
      </c>
      <c r="Q595" s="7" t="str">
        <f>IF($N595=1,IF(ISERROR(VLOOKUP($P595,'M1'!$A:$C,Q$2,FALSE)),"NOT PRESENT",VLOOKUP($P595,'M1'!$A:$C,Q$2,FALSE)),IF($N595=2,IF(ISERROR(VLOOKUP(DATA!$P9,'M2'!$A:$C,Q$2,FALSE)),"NOT PRESENT",VLOOKUP(DATA!$P9,'M2'!$A:$C,Q$2,FALSE)),IF($N595=0,IF(ISERROR(VLOOKUP($P595,'M1'!$A:$C,Q$2,FALSE)),IF(ISERROR(VLOOKUP(DATA!$P9,'M2'!$A:$C,Q$2,FALSE)),"NOT PRESENT",VLOOKUP(DATA!$P9,'M2'!$A:$C,Q$2,FALSE)),VLOOKUP($P595,'M1'!$A:$C,Q$2,FALSE)),"SPECIFY METHOD")))</f>
        <v>NOT PRESENT</v>
      </c>
      <c r="R595" s="4" t="str">
        <f>IF($N595=1,IF(ISERROR(VLOOKUP($P595,'M1'!$A:$C,R$2,FALSE)),"NOT PRESENT",VLOOKUP($P595,'M1'!$A:$C,R$2,FALSE)),IF($N595=2,IF(ISERROR(VLOOKUP(DATA!$P9,'M2'!$A:$C,R$2,FALSE)),"NOT PRESENT",VLOOKUP(DATA!$P9,'M2'!$A:$C,R$2,FALSE)),IF($N595=0,IF(ISERROR(VLOOKUP($P595,'M1'!$A:$C,R$2,FALSE)),IF(ISERROR(VLOOKUP(DATA!$P9,'M2'!$A:$C,R$2,FALSE)),"NOT PRESENT",VLOOKUP(DATA!$P9,'M2'!$A:$C,R$2,FALSE)),VLOOKUP($P595,'M1'!$A:$C,R$2,FALSE)),"SPECIFY METHOD")))</f>
        <v>NOT PRESENT</v>
      </c>
      <c r="S595" s="20">
        <f t="shared" si="66"/>
        <v>20</v>
      </c>
      <c r="T595" s="2">
        <v>20</v>
      </c>
    </row>
    <row r="596" spans="1:24">
      <c r="A596" s="7">
        <f>MAX($A$1:$A595)+1</f>
        <v>595</v>
      </c>
      <c r="B596" s="2" t="str">
        <f t="shared" si="67"/>
        <v>Jasmin Schuster</v>
      </c>
      <c r="C596" s="2" t="str">
        <f t="shared" si="68"/>
        <v>Em Lim</v>
      </c>
      <c r="D596" s="2" t="str">
        <f t="shared" si="69"/>
        <v>BMSC22</v>
      </c>
      <c r="E596" s="7" t="str">
        <f>IF(ISERROR(VLOOKUP($D596,SITES!$A:$E,2,FALSE)),"",VLOOKUP($D596,SITES!$A:$E,2,FALSE))</f>
        <v>Dixon Inside</v>
      </c>
      <c r="F596" s="4">
        <f>IF(ISERROR(VLOOKUP($D596,SITES!$A:$E,3,FALSE)),"",VLOOKUP($D596,SITES!$A:$E,3,FALSE))</f>
        <v>48.8542671203613</v>
      </c>
      <c r="G596" s="18">
        <f>IF(ISERROR(VLOOKUP($D596,SITES!$A:$E,4,FALSE)),"",VLOOKUP($D596,SITES!$A:$E,4,FALSE))</f>
        <v>-125.11703491210901</v>
      </c>
      <c r="H596" s="5" t="str">
        <f t="shared" si="71"/>
        <v>08/05/2023</v>
      </c>
      <c r="I596" s="2">
        <f t="shared" si="72"/>
        <v>3</v>
      </c>
      <c r="J596" s="2">
        <f t="shared" si="73"/>
        <v>90</v>
      </c>
      <c r="K596" s="6">
        <f t="shared" si="74"/>
        <v>0.42638888888888887</v>
      </c>
      <c r="L596" s="2" t="str">
        <f t="shared" si="75"/>
        <v>EGL</v>
      </c>
      <c r="M596" s="2">
        <f t="shared" si="76"/>
        <v>5.5</v>
      </c>
      <c r="N596" s="2">
        <f t="shared" si="78"/>
        <v>2</v>
      </c>
      <c r="O596" s="2">
        <f t="shared" si="77"/>
        <v>2</v>
      </c>
      <c r="P596" s="27" t="s">
        <v>180</v>
      </c>
      <c r="Q596" s="7" t="str">
        <f>IF($N596=1,IF(ISERROR(VLOOKUP($P596,'M1'!$A:$C,Q$2,FALSE)),"NOT PRESENT",VLOOKUP($P596,'M1'!$A:$C,Q$2,FALSE)),IF($N596=2,IF(ISERROR(VLOOKUP(DATA!$P10,'M2'!$A:$C,Q$2,FALSE)),"NOT PRESENT",VLOOKUP(DATA!$P10,'M2'!$A:$C,Q$2,FALSE)),IF($N596=0,IF(ISERROR(VLOOKUP($P596,'M1'!$A:$C,Q$2,FALSE)),IF(ISERROR(VLOOKUP(DATA!$P10,'M2'!$A:$C,Q$2,FALSE)),"NOT PRESENT",VLOOKUP(DATA!$P10,'M2'!$A:$C,Q$2,FALSE)),VLOOKUP($P596,'M1'!$A:$C,Q$2,FALSE)),"SPECIFY METHOD")))</f>
        <v>NOT PRESENT</v>
      </c>
      <c r="R596" s="4" t="str">
        <f>IF($N596=1,IF(ISERROR(VLOOKUP($P596,'M1'!$A:$C,R$2,FALSE)),"NOT PRESENT",VLOOKUP($P596,'M1'!$A:$C,R$2,FALSE)),IF($N596=2,IF(ISERROR(VLOOKUP(DATA!$P10,'M2'!$A:$C,R$2,FALSE)),"NOT PRESENT",VLOOKUP(DATA!$P10,'M2'!$A:$C,R$2,FALSE)),IF($N596=0,IF(ISERROR(VLOOKUP($P596,'M1'!$A:$C,R$2,FALSE)),IF(ISERROR(VLOOKUP(DATA!$P10,'M2'!$A:$C,R$2,FALSE)),"NOT PRESENT",VLOOKUP(DATA!$P10,'M2'!$A:$C,R$2,FALSE)),VLOOKUP($P596,'M1'!$A:$C,R$2,FALSE)),"SPECIFY METHOD")))</f>
        <v>NOT PRESENT</v>
      </c>
      <c r="S596" s="20">
        <f t="shared" si="66"/>
        <v>12</v>
      </c>
      <c r="T596" s="2">
        <v>12</v>
      </c>
    </row>
    <row r="597" spans="1:24">
      <c r="A597" s="7">
        <f>MAX($A$1:$A596)+1</f>
        <v>596</v>
      </c>
      <c r="B597" s="2" t="str">
        <f t="shared" si="67"/>
        <v>Jasmin Schuster</v>
      </c>
      <c r="C597" s="2" t="str">
        <f t="shared" si="68"/>
        <v>Em Lim</v>
      </c>
      <c r="D597" s="2" t="str">
        <f t="shared" si="69"/>
        <v>BMSC22</v>
      </c>
      <c r="E597" s="7" t="str">
        <f>IF(ISERROR(VLOOKUP($D597,SITES!$A:$E,2,FALSE)),"",VLOOKUP($D597,SITES!$A:$E,2,FALSE))</f>
        <v>Dixon Inside</v>
      </c>
      <c r="F597" s="4">
        <f>IF(ISERROR(VLOOKUP($D597,SITES!$A:$E,3,FALSE)),"",VLOOKUP($D597,SITES!$A:$E,3,FALSE))</f>
        <v>48.8542671203613</v>
      </c>
      <c r="G597" s="18">
        <f>IF(ISERROR(VLOOKUP($D597,SITES!$A:$E,4,FALSE)),"",VLOOKUP($D597,SITES!$A:$E,4,FALSE))</f>
        <v>-125.11703491210901</v>
      </c>
      <c r="H597" s="5" t="str">
        <f t="shared" si="71"/>
        <v>08/05/2023</v>
      </c>
      <c r="I597" s="2">
        <f t="shared" si="72"/>
        <v>3</v>
      </c>
      <c r="J597" s="2">
        <f t="shared" si="73"/>
        <v>90</v>
      </c>
      <c r="K597" s="6">
        <f t="shared" si="74"/>
        <v>0.42638888888888887</v>
      </c>
      <c r="L597" s="2" t="str">
        <f t="shared" si="75"/>
        <v>EGL</v>
      </c>
      <c r="M597" s="2">
        <f t="shared" si="76"/>
        <v>5.5</v>
      </c>
      <c r="N597" s="2">
        <f t="shared" si="78"/>
        <v>2</v>
      </c>
      <c r="O597" s="2">
        <f t="shared" si="77"/>
        <v>2</v>
      </c>
      <c r="P597" s="27" t="s">
        <v>173</v>
      </c>
      <c r="Q597" s="7" t="str">
        <f>IF($N597=1,IF(ISERROR(VLOOKUP($P597,'M1'!$A:$C,Q$2,FALSE)),"NOT PRESENT",VLOOKUP($P597,'M1'!$A:$C,Q$2,FALSE)),IF($N597=2,IF(ISERROR(VLOOKUP(DATA!$P11,'M2'!$A:$C,Q$2,FALSE)),"NOT PRESENT",VLOOKUP(DATA!$P11,'M2'!$A:$C,Q$2,FALSE)),IF($N597=0,IF(ISERROR(VLOOKUP($P597,'M1'!$A:$C,Q$2,FALSE)),IF(ISERROR(VLOOKUP(DATA!$P11,'M2'!$A:$C,Q$2,FALSE)),"NOT PRESENT",VLOOKUP(DATA!$P11,'M2'!$A:$C,Q$2,FALSE)),VLOOKUP($P597,'M1'!$A:$C,Q$2,FALSE)),"SPECIFY METHOD")))</f>
        <v>NOT PRESENT</v>
      </c>
      <c r="R597" s="4" t="str">
        <f>IF($N597=1,IF(ISERROR(VLOOKUP($P597,'M1'!$A:$C,R$2,FALSE)),"NOT PRESENT",VLOOKUP($P597,'M1'!$A:$C,R$2,FALSE)),IF($N597=2,IF(ISERROR(VLOOKUP(DATA!$P11,'M2'!$A:$C,R$2,FALSE)),"NOT PRESENT",VLOOKUP(DATA!$P11,'M2'!$A:$C,R$2,FALSE)),IF($N597=0,IF(ISERROR(VLOOKUP($P597,'M1'!$A:$C,R$2,FALSE)),IF(ISERROR(VLOOKUP(DATA!$P11,'M2'!$A:$C,R$2,FALSE)),"NOT PRESENT",VLOOKUP(DATA!$P11,'M2'!$A:$C,R$2,FALSE)),VLOOKUP($P597,'M1'!$A:$C,R$2,FALSE)),"SPECIFY METHOD")))</f>
        <v>NOT PRESENT</v>
      </c>
      <c r="S597" s="20">
        <f t="shared" si="66"/>
        <v>117</v>
      </c>
      <c r="T597" s="2">
        <v>0</v>
      </c>
      <c r="U597" s="2">
        <v>23</v>
      </c>
      <c r="V597" s="2">
        <v>44</v>
      </c>
      <c r="W597" s="2">
        <v>40</v>
      </c>
      <c r="X597" s="2">
        <v>10</v>
      </c>
    </row>
    <row r="598" spans="1:24">
      <c r="A598" s="7">
        <f>MAX($A$1:$A597)+1</f>
        <v>597</v>
      </c>
      <c r="B598" s="2" t="str">
        <f t="shared" si="67"/>
        <v>Jasmin Schuster</v>
      </c>
      <c r="C598" s="2" t="str">
        <f t="shared" si="68"/>
        <v>Em Lim</v>
      </c>
      <c r="D598" s="2" t="str">
        <f t="shared" si="69"/>
        <v>BMSC22</v>
      </c>
      <c r="E598" s="7" t="str">
        <f>IF(ISERROR(VLOOKUP($D598,SITES!$A:$E,2,FALSE)),"",VLOOKUP($D598,SITES!$A:$E,2,FALSE))</f>
        <v>Dixon Inside</v>
      </c>
      <c r="F598" s="4">
        <f>IF(ISERROR(VLOOKUP($D598,SITES!$A:$E,3,FALSE)),"",VLOOKUP($D598,SITES!$A:$E,3,FALSE))</f>
        <v>48.8542671203613</v>
      </c>
      <c r="G598" s="18">
        <f>IF(ISERROR(VLOOKUP($D598,SITES!$A:$E,4,FALSE)),"",VLOOKUP($D598,SITES!$A:$E,4,FALSE))</f>
        <v>-125.11703491210901</v>
      </c>
      <c r="H598" s="5" t="str">
        <f t="shared" si="71"/>
        <v>08/05/2023</v>
      </c>
      <c r="I598" s="2">
        <f t="shared" si="72"/>
        <v>3</v>
      </c>
      <c r="J598" s="2">
        <f t="shared" si="73"/>
        <v>90</v>
      </c>
      <c r="K598" s="6">
        <f t="shared" si="74"/>
        <v>0.42638888888888887</v>
      </c>
      <c r="L598" s="2" t="str">
        <f t="shared" si="75"/>
        <v>EGL</v>
      </c>
      <c r="M598" s="2">
        <f t="shared" si="76"/>
        <v>5.5</v>
      </c>
      <c r="N598" s="2">
        <f t="shared" si="78"/>
        <v>2</v>
      </c>
      <c r="O598" s="2">
        <f t="shared" si="77"/>
        <v>2</v>
      </c>
      <c r="P598" s="27" t="s">
        <v>181</v>
      </c>
      <c r="Q598" s="7" t="str">
        <f>IF($N598=1,IF(ISERROR(VLOOKUP($P598,'M1'!$A:$C,Q$2,FALSE)),"NOT PRESENT",VLOOKUP($P598,'M1'!$A:$C,Q$2,FALSE)),IF($N598=2,IF(ISERROR(VLOOKUP(DATA!$P12,'M2'!$A:$C,Q$2,FALSE)),"NOT PRESENT",VLOOKUP(DATA!$P12,'M2'!$A:$C,Q$2,FALSE)),IF($N598=0,IF(ISERROR(VLOOKUP($P598,'M1'!$A:$C,Q$2,FALSE)),IF(ISERROR(VLOOKUP(DATA!$P12,'M2'!$A:$C,Q$2,FALSE)),"NOT PRESENT",VLOOKUP(DATA!$P12,'M2'!$A:$C,Q$2,FALSE)),VLOOKUP($P598,'M1'!$A:$C,Q$2,FALSE)),"SPECIFY METHOD")))</f>
        <v>NOT PRESENT</v>
      </c>
      <c r="R598" s="4" t="str">
        <f>IF($N598=1,IF(ISERROR(VLOOKUP($P598,'M1'!$A:$C,R$2,FALSE)),"NOT PRESENT",VLOOKUP($P598,'M1'!$A:$C,R$2,FALSE)),IF($N598=2,IF(ISERROR(VLOOKUP(DATA!$P12,'M2'!$A:$C,R$2,FALSE)),"NOT PRESENT",VLOOKUP(DATA!$P12,'M2'!$A:$C,R$2,FALSE)),IF($N598=0,IF(ISERROR(VLOOKUP($P598,'M1'!$A:$C,R$2,FALSE)),IF(ISERROR(VLOOKUP(DATA!$P12,'M2'!$A:$C,R$2,FALSE)),"NOT PRESENT",VLOOKUP(DATA!$P12,'M2'!$A:$C,R$2,FALSE)),VLOOKUP($P598,'M1'!$A:$C,R$2,FALSE)),"SPECIFY METHOD")))</f>
        <v>NOT PRESENT</v>
      </c>
      <c r="S598" s="20">
        <f t="shared" si="66"/>
        <v>5</v>
      </c>
      <c r="T598" s="2">
        <v>0</v>
      </c>
      <c r="V598" s="2">
        <v>2</v>
      </c>
      <c r="W598" s="2">
        <v>3</v>
      </c>
    </row>
    <row r="599" spans="1:24">
      <c r="A599" s="7">
        <f>MAX($A$1:$A598)+1</f>
        <v>598</v>
      </c>
      <c r="B599" s="2" t="str">
        <f t="shared" si="67"/>
        <v>Jasmin Schuster</v>
      </c>
      <c r="C599" s="2" t="str">
        <f t="shared" si="68"/>
        <v>Em Lim</v>
      </c>
      <c r="D599" s="2" t="str">
        <f t="shared" si="69"/>
        <v>BMSC22</v>
      </c>
      <c r="E599" s="7" t="str">
        <f>IF(ISERROR(VLOOKUP($D599,SITES!$A:$E,2,FALSE)),"",VLOOKUP($D599,SITES!$A:$E,2,FALSE))</f>
        <v>Dixon Inside</v>
      </c>
      <c r="F599" s="4">
        <f>IF(ISERROR(VLOOKUP($D599,SITES!$A:$E,3,FALSE)),"",VLOOKUP($D599,SITES!$A:$E,3,FALSE))</f>
        <v>48.8542671203613</v>
      </c>
      <c r="G599" s="18">
        <f>IF(ISERROR(VLOOKUP($D599,SITES!$A:$E,4,FALSE)),"",VLOOKUP($D599,SITES!$A:$E,4,FALSE))</f>
        <v>-125.11703491210901</v>
      </c>
      <c r="H599" s="5" t="str">
        <f t="shared" si="71"/>
        <v>08/05/2023</v>
      </c>
      <c r="I599" s="2">
        <f t="shared" si="72"/>
        <v>3</v>
      </c>
      <c r="J599" s="2">
        <f t="shared" si="73"/>
        <v>90</v>
      </c>
      <c r="K599" s="6">
        <f t="shared" si="74"/>
        <v>0.42638888888888887</v>
      </c>
      <c r="L599" s="2" t="str">
        <f t="shared" si="75"/>
        <v>EGL</v>
      </c>
      <c r="M599" s="2">
        <f t="shared" si="76"/>
        <v>5.5</v>
      </c>
      <c r="N599" s="2">
        <f t="shared" si="78"/>
        <v>2</v>
      </c>
      <c r="O599" s="2">
        <f t="shared" si="77"/>
        <v>2</v>
      </c>
      <c r="P599" s="27" t="s">
        <v>182</v>
      </c>
      <c r="Q599" s="7" t="str">
        <f>IF($N599=1,IF(ISERROR(VLOOKUP($P599,'M1'!$A:$C,Q$2,FALSE)),"NOT PRESENT",VLOOKUP($P599,'M1'!$A:$C,Q$2,FALSE)),IF($N599=2,IF(ISERROR(VLOOKUP(DATA!$P13,'M2'!$A:$C,Q$2,FALSE)),"NOT PRESENT",VLOOKUP(DATA!$P13,'M2'!$A:$C,Q$2,FALSE)),IF($N599=0,IF(ISERROR(VLOOKUP($P599,'M1'!$A:$C,Q$2,FALSE)),IF(ISERROR(VLOOKUP(DATA!$P13,'M2'!$A:$C,Q$2,FALSE)),"NOT PRESENT",VLOOKUP(DATA!$P13,'M2'!$A:$C,Q$2,FALSE)),VLOOKUP($P599,'M1'!$A:$C,Q$2,FALSE)),"SPECIFY METHOD")))</f>
        <v>NOT PRESENT</v>
      </c>
      <c r="R599" s="4" t="str">
        <f>IF($N599=1,IF(ISERROR(VLOOKUP($P599,'M1'!$A:$C,R$2,FALSE)),"NOT PRESENT",VLOOKUP($P599,'M1'!$A:$C,R$2,FALSE)),IF($N599=2,IF(ISERROR(VLOOKUP(DATA!$P13,'M2'!$A:$C,R$2,FALSE)),"NOT PRESENT",VLOOKUP(DATA!$P13,'M2'!$A:$C,R$2,FALSE)),IF($N599=0,IF(ISERROR(VLOOKUP($P599,'M1'!$A:$C,R$2,FALSE)),IF(ISERROR(VLOOKUP(DATA!$P13,'M2'!$A:$C,R$2,FALSE)),"NOT PRESENT",VLOOKUP(DATA!$P13,'M2'!$A:$C,R$2,FALSE)),VLOOKUP($P599,'M1'!$A:$C,R$2,FALSE)),"SPECIFY METHOD")))</f>
        <v>NOT PRESENT</v>
      </c>
      <c r="S599" s="20">
        <f t="shared" si="66"/>
        <v>21</v>
      </c>
      <c r="T599" s="2">
        <v>21</v>
      </c>
    </row>
    <row r="600" spans="1:24">
      <c r="A600" s="7">
        <f>MAX($A$1:$A599)+1</f>
        <v>599</v>
      </c>
      <c r="B600" s="2" t="str">
        <f t="shared" si="67"/>
        <v>Jasmin Schuster</v>
      </c>
      <c r="C600" s="2" t="str">
        <f t="shared" si="68"/>
        <v>Em Lim</v>
      </c>
      <c r="D600" s="2" t="str">
        <f t="shared" si="69"/>
        <v>BMSC22</v>
      </c>
      <c r="E600" s="7" t="str">
        <f>IF(ISERROR(VLOOKUP($D600,SITES!$A:$E,2,FALSE)),"",VLOOKUP($D600,SITES!$A:$E,2,FALSE))</f>
        <v>Dixon Inside</v>
      </c>
      <c r="F600" s="4">
        <f>IF(ISERROR(VLOOKUP($D600,SITES!$A:$E,3,FALSE)),"",VLOOKUP($D600,SITES!$A:$E,3,FALSE))</f>
        <v>48.8542671203613</v>
      </c>
      <c r="G600" s="18">
        <f>IF(ISERROR(VLOOKUP($D600,SITES!$A:$E,4,FALSE)),"",VLOOKUP($D600,SITES!$A:$E,4,FALSE))</f>
        <v>-125.11703491210901</v>
      </c>
      <c r="H600" s="5" t="str">
        <f t="shared" si="71"/>
        <v>08/05/2023</v>
      </c>
      <c r="I600" s="2">
        <f t="shared" si="72"/>
        <v>3</v>
      </c>
      <c r="J600" s="2">
        <f t="shared" si="73"/>
        <v>90</v>
      </c>
      <c r="K600" s="6">
        <f t="shared" si="74"/>
        <v>0.42638888888888887</v>
      </c>
      <c r="L600" s="2" t="str">
        <f t="shared" si="75"/>
        <v>EGL</v>
      </c>
      <c r="M600" s="2">
        <f t="shared" si="76"/>
        <v>5.5</v>
      </c>
      <c r="N600" s="2">
        <f t="shared" si="78"/>
        <v>2</v>
      </c>
      <c r="O600" s="2">
        <f t="shared" si="77"/>
        <v>2</v>
      </c>
      <c r="P600" s="27" t="s">
        <v>183</v>
      </c>
      <c r="Q600" s="7" t="str">
        <f>IF($N600=1,IF(ISERROR(VLOOKUP($P600,'M1'!$A:$C,Q$2,FALSE)),"NOT PRESENT",VLOOKUP($P600,'M1'!$A:$C,Q$2,FALSE)),IF($N600=2,IF(ISERROR(VLOOKUP(DATA!$P14,'M2'!$A:$C,Q$2,FALSE)),"NOT PRESENT",VLOOKUP(DATA!$P14,'M2'!$A:$C,Q$2,FALSE)),IF($N600=0,IF(ISERROR(VLOOKUP($P600,'M1'!$A:$C,Q$2,FALSE)),IF(ISERROR(VLOOKUP(DATA!$P14,'M2'!$A:$C,Q$2,FALSE)),"NOT PRESENT",VLOOKUP(DATA!$P14,'M2'!$A:$C,Q$2,FALSE)),VLOOKUP($P600,'M1'!$A:$C,Q$2,FALSE)),"SPECIFY METHOD")))</f>
        <v>NOT PRESENT</v>
      </c>
      <c r="R600" s="4" t="str">
        <f>IF($N600=1,IF(ISERROR(VLOOKUP($P600,'M1'!$A:$C,R$2,FALSE)),"NOT PRESENT",VLOOKUP($P600,'M1'!$A:$C,R$2,FALSE)),IF($N600=2,IF(ISERROR(VLOOKUP(DATA!$P14,'M2'!$A:$C,R$2,FALSE)),"NOT PRESENT",VLOOKUP(DATA!$P14,'M2'!$A:$C,R$2,FALSE)),IF($N600=0,IF(ISERROR(VLOOKUP($P600,'M1'!$A:$C,R$2,FALSE)),IF(ISERROR(VLOOKUP(DATA!$P14,'M2'!$A:$C,R$2,FALSE)),"NOT PRESENT",VLOOKUP(DATA!$P14,'M2'!$A:$C,R$2,FALSE)),VLOOKUP($P600,'M1'!$A:$C,R$2,FALSE)),"SPECIFY METHOD")))</f>
        <v>NOT PRESENT</v>
      </c>
      <c r="S600" s="20">
        <f t="shared" si="66"/>
        <v>6</v>
      </c>
      <c r="T600" s="2">
        <v>6</v>
      </c>
    </row>
    <row r="601" spans="1:24">
      <c r="A601" s="7">
        <f>MAX($A$1:$A600)+1</f>
        <v>600</v>
      </c>
      <c r="B601" s="2" t="str">
        <f t="shared" si="67"/>
        <v>Jasmin Schuster</v>
      </c>
      <c r="C601" s="2" t="str">
        <f t="shared" si="68"/>
        <v>Em Lim</v>
      </c>
      <c r="D601" s="2" t="str">
        <f t="shared" si="69"/>
        <v>BMSC22</v>
      </c>
      <c r="E601" s="7" t="str">
        <f>IF(ISERROR(VLOOKUP($D601,SITES!$A:$E,2,FALSE)),"",VLOOKUP($D601,SITES!$A:$E,2,FALSE))</f>
        <v>Dixon Inside</v>
      </c>
      <c r="F601" s="4">
        <f>IF(ISERROR(VLOOKUP($D601,SITES!$A:$E,3,FALSE)),"",VLOOKUP($D601,SITES!$A:$E,3,FALSE))</f>
        <v>48.8542671203613</v>
      </c>
      <c r="G601" s="18">
        <f>IF(ISERROR(VLOOKUP($D601,SITES!$A:$E,4,FALSE)),"",VLOOKUP($D601,SITES!$A:$E,4,FALSE))</f>
        <v>-125.11703491210901</v>
      </c>
      <c r="H601" s="5" t="str">
        <f t="shared" si="71"/>
        <v>08/05/2023</v>
      </c>
      <c r="I601" s="2">
        <f t="shared" si="72"/>
        <v>3</v>
      </c>
      <c r="J601" s="2">
        <f t="shared" si="73"/>
        <v>90</v>
      </c>
      <c r="K601" s="6">
        <f t="shared" si="74"/>
        <v>0.42638888888888887</v>
      </c>
      <c r="L601" s="2" t="str">
        <f t="shared" si="75"/>
        <v>EGL</v>
      </c>
      <c r="M601" s="2">
        <f t="shared" si="76"/>
        <v>5.5</v>
      </c>
      <c r="N601" s="2">
        <f t="shared" si="78"/>
        <v>2</v>
      </c>
      <c r="O601" s="2">
        <f t="shared" si="77"/>
        <v>2</v>
      </c>
      <c r="P601" s="27" t="s">
        <v>184</v>
      </c>
      <c r="Q601" s="7" t="str">
        <f>IF($N601=1,IF(ISERROR(VLOOKUP($P601,'M1'!$A:$C,Q$2,FALSE)),"NOT PRESENT",VLOOKUP($P601,'M1'!$A:$C,Q$2,FALSE)),IF($N601=2,IF(ISERROR(VLOOKUP(DATA!$P15,'M2'!$A:$C,Q$2,FALSE)),"NOT PRESENT",VLOOKUP(DATA!$P15,'M2'!$A:$C,Q$2,FALSE)),IF($N601=0,IF(ISERROR(VLOOKUP($P601,'M1'!$A:$C,Q$2,FALSE)),IF(ISERROR(VLOOKUP(DATA!$P15,'M2'!$A:$C,Q$2,FALSE)),"NOT PRESENT",VLOOKUP(DATA!$P15,'M2'!$A:$C,Q$2,FALSE)),VLOOKUP($P601,'M1'!$A:$C,Q$2,FALSE)),"SPECIFY METHOD")))</f>
        <v>NOT PRESENT</v>
      </c>
      <c r="R601" s="4" t="str">
        <f>IF($N601=1,IF(ISERROR(VLOOKUP($P601,'M1'!$A:$C,R$2,FALSE)),"NOT PRESENT",VLOOKUP($P601,'M1'!$A:$C,R$2,FALSE)),IF($N601=2,IF(ISERROR(VLOOKUP(DATA!$P15,'M2'!$A:$C,R$2,FALSE)),"NOT PRESENT",VLOOKUP(DATA!$P15,'M2'!$A:$C,R$2,FALSE)),IF($N601=0,IF(ISERROR(VLOOKUP($P601,'M1'!$A:$C,R$2,FALSE)),IF(ISERROR(VLOOKUP(DATA!$P15,'M2'!$A:$C,R$2,FALSE)),"NOT PRESENT",VLOOKUP(DATA!$P15,'M2'!$A:$C,R$2,FALSE)),VLOOKUP($P601,'M1'!$A:$C,R$2,FALSE)),"SPECIFY METHOD")))</f>
        <v>NOT PRESENT</v>
      </c>
      <c r="S601" s="20">
        <f t="shared" si="66"/>
        <v>23</v>
      </c>
      <c r="T601" s="2">
        <v>23</v>
      </c>
    </row>
    <row r="602" spans="1:24">
      <c r="A602" s="7">
        <f>MAX($A$1:$A601)+1</f>
        <v>601</v>
      </c>
      <c r="B602" s="2" t="str">
        <f t="shared" si="67"/>
        <v>Jasmin Schuster</v>
      </c>
      <c r="C602" s="2" t="str">
        <f t="shared" si="68"/>
        <v>Em Lim</v>
      </c>
      <c r="D602" s="2" t="str">
        <f t="shared" si="69"/>
        <v>BMSC22</v>
      </c>
      <c r="E602" s="7" t="str">
        <f>IF(ISERROR(VLOOKUP($D602,SITES!$A:$E,2,FALSE)),"",VLOOKUP($D602,SITES!$A:$E,2,FALSE))</f>
        <v>Dixon Inside</v>
      </c>
      <c r="F602" s="4">
        <f>IF(ISERROR(VLOOKUP($D602,SITES!$A:$E,3,FALSE)),"",VLOOKUP($D602,SITES!$A:$E,3,FALSE))</f>
        <v>48.8542671203613</v>
      </c>
      <c r="G602" s="18">
        <f>IF(ISERROR(VLOOKUP($D602,SITES!$A:$E,4,FALSE)),"",VLOOKUP($D602,SITES!$A:$E,4,FALSE))</f>
        <v>-125.11703491210901</v>
      </c>
      <c r="H602" s="5" t="str">
        <f t="shared" si="71"/>
        <v>08/05/2023</v>
      </c>
      <c r="I602" s="2">
        <f t="shared" si="72"/>
        <v>3</v>
      </c>
      <c r="J602" s="2">
        <f t="shared" si="73"/>
        <v>90</v>
      </c>
      <c r="K602" s="6">
        <f t="shared" si="74"/>
        <v>0.42638888888888887</v>
      </c>
      <c r="L602" s="2" t="str">
        <f t="shared" si="75"/>
        <v>EGL</v>
      </c>
      <c r="M602" s="2">
        <f t="shared" si="76"/>
        <v>5.5</v>
      </c>
      <c r="N602" s="2">
        <f t="shared" si="78"/>
        <v>2</v>
      </c>
      <c r="O602" s="2">
        <f t="shared" si="77"/>
        <v>2</v>
      </c>
      <c r="P602" s="27" t="s">
        <v>185</v>
      </c>
      <c r="Q602" s="7" t="str">
        <f>IF($N602=1,IF(ISERROR(VLOOKUP($P602,'M1'!$A:$C,Q$2,FALSE)),"NOT PRESENT",VLOOKUP($P602,'M1'!$A:$C,Q$2,FALSE)),IF($N602=2,IF(ISERROR(VLOOKUP(DATA!$P16,'M2'!$A:$C,Q$2,FALSE)),"NOT PRESENT",VLOOKUP(DATA!$P16,'M2'!$A:$C,Q$2,FALSE)),IF($N602=0,IF(ISERROR(VLOOKUP($P602,'M1'!$A:$C,Q$2,FALSE)),IF(ISERROR(VLOOKUP(DATA!$P16,'M2'!$A:$C,Q$2,FALSE)),"NOT PRESENT",VLOOKUP(DATA!$P16,'M2'!$A:$C,Q$2,FALSE)),VLOOKUP($P602,'M1'!$A:$C,Q$2,FALSE)),"SPECIFY METHOD")))</f>
        <v>NOT PRESENT</v>
      </c>
      <c r="R602" s="4" t="str">
        <f>IF($N602=1,IF(ISERROR(VLOOKUP($P602,'M1'!$A:$C,R$2,FALSE)),"NOT PRESENT",VLOOKUP($P602,'M1'!$A:$C,R$2,FALSE)),IF($N602=2,IF(ISERROR(VLOOKUP(DATA!$P16,'M2'!$A:$C,R$2,FALSE)),"NOT PRESENT",VLOOKUP(DATA!$P16,'M2'!$A:$C,R$2,FALSE)),IF($N602=0,IF(ISERROR(VLOOKUP($P602,'M1'!$A:$C,R$2,FALSE)),IF(ISERROR(VLOOKUP(DATA!$P16,'M2'!$A:$C,R$2,FALSE)),"NOT PRESENT",VLOOKUP(DATA!$P16,'M2'!$A:$C,R$2,FALSE)),VLOOKUP($P602,'M1'!$A:$C,R$2,FALSE)),"SPECIFY METHOD")))</f>
        <v>NOT PRESENT</v>
      </c>
      <c r="S602" s="20">
        <f t="shared" si="66"/>
        <v>1</v>
      </c>
      <c r="T602" s="2">
        <v>1</v>
      </c>
    </row>
    <row r="603" spans="1:24">
      <c r="A603" s="7">
        <f>MAX($A$1:$A602)+1</f>
        <v>602</v>
      </c>
      <c r="B603" s="2" t="str">
        <f t="shared" si="67"/>
        <v>Jasmin Schuster</v>
      </c>
      <c r="C603" s="2" t="str">
        <f t="shared" si="68"/>
        <v>Em Lim</v>
      </c>
      <c r="D603" s="2" t="str">
        <f t="shared" si="69"/>
        <v>BMSC22</v>
      </c>
      <c r="E603" s="7" t="str">
        <f>IF(ISERROR(VLOOKUP($D603,SITES!$A:$E,2,FALSE)),"",VLOOKUP($D603,SITES!$A:$E,2,FALSE))</f>
        <v>Dixon Inside</v>
      </c>
      <c r="F603" s="4">
        <f>IF(ISERROR(VLOOKUP($D603,SITES!$A:$E,3,FALSE)),"",VLOOKUP($D603,SITES!$A:$E,3,FALSE))</f>
        <v>48.8542671203613</v>
      </c>
      <c r="G603" s="18">
        <f>IF(ISERROR(VLOOKUP($D603,SITES!$A:$E,4,FALSE)),"",VLOOKUP($D603,SITES!$A:$E,4,FALSE))</f>
        <v>-125.11703491210901</v>
      </c>
      <c r="H603" s="5" t="str">
        <f t="shared" si="71"/>
        <v>08/05/2023</v>
      </c>
      <c r="I603" s="2">
        <f t="shared" si="72"/>
        <v>3</v>
      </c>
      <c r="J603" s="2">
        <f t="shared" si="73"/>
        <v>90</v>
      </c>
      <c r="K603" s="6">
        <f t="shared" si="74"/>
        <v>0.42638888888888887</v>
      </c>
      <c r="L603" s="2" t="str">
        <f t="shared" si="75"/>
        <v>EGL</v>
      </c>
      <c r="M603" s="2">
        <f t="shared" si="76"/>
        <v>5.5</v>
      </c>
      <c r="N603" s="2">
        <f t="shared" si="78"/>
        <v>2</v>
      </c>
      <c r="O603" s="2">
        <f t="shared" si="77"/>
        <v>2</v>
      </c>
      <c r="P603" s="27" t="s">
        <v>186</v>
      </c>
      <c r="Q603" s="7" t="str">
        <f>IF($N603=1,IF(ISERROR(VLOOKUP($P603,'M1'!$A:$C,Q$2,FALSE)),"NOT PRESENT",VLOOKUP($P603,'M1'!$A:$C,Q$2,FALSE)),IF($N603=2,IF(ISERROR(VLOOKUP(DATA!$P17,'M2'!$A:$C,Q$2,FALSE)),"NOT PRESENT",VLOOKUP(DATA!$P17,'M2'!$A:$C,Q$2,FALSE)),IF($N603=0,IF(ISERROR(VLOOKUP($P603,'M1'!$A:$C,Q$2,FALSE)),IF(ISERROR(VLOOKUP(DATA!$P17,'M2'!$A:$C,Q$2,FALSE)),"NOT PRESENT",VLOOKUP(DATA!$P17,'M2'!$A:$C,Q$2,FALSE)),VLOOKUP($P603,'M1'!$A:$C,Q$2,FALSE)),"SPECIFY METHOD")))</f>
        <v>NOT PRESENT</v>
      </c>
      <c r="R603" s="4" t="str">
        <f>IF($N603=1,IF(ISERROR(VLOOKUP($P603,'M1'!$A:$C,R$2,FALSE)),"NOT PRESENT",VLOOKUP($P603,'M1'!$A:$C,R$2,FALSE)),IF($N603=2,IF(ISERROR(VLOOKUP(DATA!$P17,'M2'!$A:$C,R$2,FALSE)),"NOT PRESENT",VLOOKUP(DATA!$P17,'M2'!$A:$C,R$2,FALSE)),IF($N603=0,IF(ISERROR(VLOOKUP($P603,'M1'!$A:$C,R$2,FALSE)),IF(ISERROR(VLOOKUP(DATA!$P17,'M2'!$A:$C,R$2,FALSE)),"NOT PRESENT",VLOOKUP(DATA!$P17,'M2'!$A:$C,R$2,FALSE)),VLOOKUP($P603,'M1'!$A:$C,R$2,FALSE)),"SPECIFY METHOD")))</f>
        <v>NOT PRESENT</v>
      </c>
      <c r="S603" s="20">
        <f t="shared" si="66"/>
        <v>1</v>
      </c>
      <c r="T603" s="2">
        <v>1</v>
      </c>
    </row>
    <row r="604" spans="1:24">
      <c r="A604" s="7">
        <f>MAX($A$1:$A603)+1</f>
        <v>603</v>
      </c>
      <c r="B604" s="2" t="str">
        <f t="shared" si="67"/>
        <v>Jasmin Schuster</v>
      </c>
      <c r="C604" s="2" t="str">
        <f t="shared" si="68"/>
        <v>Em Lim</v>
      </c>
      <c r="D604" s="2" t="str">
        <f t="shared" si="69"/>
        <v>BMSC22</v>
      </c>
      <c r="E604" s="7" t="str">
        <f>IF(ISERROR(VLOOKUP($D604,SITES!$A:$E,2,FALSE)),"",VLOOKUP($D604,SITES!$A:$E,2,FALSE))</f>
        <v>Dixon Inside</v>
      </c>
      <c r="F604" s="4">
        <f>IF(ISERROR(VLOOKUP($D604,SITES!$A:$E,3,FALSE)),"",VLOOKUP($D604,SITES!$A:$E,3,FALSE))</f>
        <v>48.8542671203613</v>
      </c>
      <c r="G604" s="18">
        <f>IF(ISERROR(VLOOKUP($D604,SITES!$A:$E,4,FALSE)),"",VLOOKUP($D604,SITES!$A:$E,4,FALSE))</f>
        <v>-125.11703491210901</v>
      </c>
      <c r="H604" s="5" t="str">
        <f t="shared" si="71"/>
        <v>08/05/2023</v>
      </c>
      <c r="I604" s="2">
        <f t="shared" si="72"/>
        <v>3</v>
      </c>
      <c r="J604" s="2">
        <f t="shared" si="73"/>
        <v>90</v>
      </c>
      <c r="K604" s="6">
        <f t="shared" si="74"/>
        <v>0.42638888888888887</v>
      </c>
      <c r="L604" s="2" t="str">
        <f t="shared" si="75"/>
        <v>EGL</v>
      </c>
      <c r="M604" s="2">
        <f t="shared" si="76"/>
        <v>5.5</v>
      </c>
      <c r="N604" s="2">
        <f t="shared" si="78"/>
        <v>2</v>
      </c>
      <c r="O604" s="2">
        <f t="shared" si="77"/>
        <v>2</v>
      </c>
      <c r="P604" s="27" t="s">
        <v>187</v>
      </c>
      <c r="Q604" s="7" t="str">
        <f>IF($N604=1,IF(ISERROR(VLOOKUP($P604,'M1'!$A:$C,Q$2,FALSE)),"NOT PRESENT",VLOOKUP($P604,'M1'!$A:$C,Q$2,FALSE)),IF($N604=2,IF(ISERROR(VLOOKUP(DATA!$P18,'M2'!$A:$C,Q$2,FALSE)),"NOT PRESENT",VLOOKUP(DATA!$P18,'M2'!$A:$C,Q$2,FALSE)),IF($N604=0,IF(ISERROR(VLOOKUP($P604,'M1'!$A:$C,Q$2,FALSE)),IF(ISERROR(VLOOKUP(DATA!$P18,'M2'!$A:$C,Q$2,FALSE)),"NOT PRESENT",VLOOKUP(DATA!$P18,'M2'!$A:$C,Q$2,FALSE)),VLOOKUP($P604,'M1'!$A:$C,Q$2,FALSE)),"SPECIFY METHOD")))</f>
        <v>NOT PRESENT</v>
      </c>
      <c r="R604" s="4" t="str">
        <f>IF($N604=1,IF(ISERROR(VLOOKUP($P604,'M1'!$A:$C,R$2,FALSE)),"NOT PRESENT",VLOOKUP($P604,'M1'!$A:$C,R$2,FALSE)),IF($N604=2,IF(ISERROR(VLOOKUP(DATA!$P18,'M2'!$A:$C,R$2,FALSE)),"NOT PRESENT",VLOOKUP(DATA!$P18,'M2'!$A:$C,R$2,FALSE)),IF($N604=0,IF(ISERROR(VLOOKUP($P604,'M1'!$A:$C,R$2,FALSE)),IF(ISERROR(VLOOKUP(DATA!$P18,'M2'!$A:$C,R$2,FALSE)),"NOT PRESENT",VLOOKUP(DATA!$P18,'M2'!$A:$C,R$2,FALSE)),VLOOKUP($P604,'M1'!$A:$C,R$2,FALSE)),"SPECIFY METHOD")))</f>
        <v>NOT PRESENT</v>
      </c>
      <c r="S604" s="20">
        <f t="shared" si="66"/>
        <v>1</v>
      </c>
      <c r="T604" s="2">
        <v>1</v>
      </c>
    </row>
    <row r="605" spans="1:24">
      <c r="A605" s="7">
        <f>MAX($A$1:$A604)+1</f>
        <v>604</v>
      </c>
      <c r="B605" s="2" t="str">
        <f t="shared" si="67"/>
        <v>Jasmin Schuster</v>
      </c>
      <c r="C605" s="2" t="str">
        <f t="shared" si="68"/>
        <v>Em Lim</v>
      </c>
      <c r="D605" s="2" t="str">
        <f t="shared" si="69"/>
        <v>BMSC22</v>
      </c>
      <c r="E605" s="7" t="str">
        <f>IF(ISERROR(VLOOKUP($D605,SITES!$A:$E,2,FALSE)),"",VLOOKUP($D605,SITES!$A:$E,2,FALSE))</f>
        <v>Dixon Inside</v>
      </c>
      <c r="F605" s="4">
        <f>IF(ISERROR(VLOOKUP($D605,SITES!$A:$E,3,FALSE)),"",VLOOKUP($D605,SITES!$A:$E,3,FALSE))</f>
        <v>48.8542671203613</v>
      </c>
      <c r="G605" s="18">
        <f>IF(ISERROR(VLOOKUP($D605,SITES!$A:$E,4,FALSE)),"",VLOOKUP($D605,SITES!$A:$E,4,FALSE))</f>
        <v>-125.11703491210901</v>
      </c>
      <c r="H605" s="5" t="str">
        <f t="shared" si="71"/>
        <v>08/05/2023</v>
      </c>
      <c r="I605" s="2">
        <f t="shared" si="72"/>
        <v>3</v>
      </c>
      <c r="J605" s="2">
        <f t="shared" si="73"/>
        <v>90</v>
      </c>
      <c r="K605" s="6">
        <f t="shared" si="74"/>
        <v>0.42638888888888887</v>
      </c>
      <c r="L605" s="2" t="str">
        <f t="shared" si="75"/>
        <v>EGL</v>
      </c>
      <c r="M605" s="2">
        <f t="shared" si="76"/>
        <v>5.5</v>
      </c>
      <c r="N605" s="2">
        <f t="shared" si="78"/>
        <v>2</v>
      </c>
      <c r="O605" s="2">
        <f t="shared" si="77"/>
        <v>2</v>
      </c>
      <c r="P605" s="27" t="s">
        <v>188</v>
      </c>
      <c r="Q605" s="7" t="str">
        <f>IF($N605=1,IF(ISERROR(VLOOKUP($P605,'M1'!$A:$C,Q$2,FALSE)),"NOT PRESENT",VLOOKUP($P605,'M1'!$A:$C,Q$2,FALSE)),IF($N605=2,IF(ISERROR(VLOOKUP(DATA!$P19,'M2'!$A:$C,Q$2,FALSE)),"NOT PRESENT",VLOOKUP(DATA!$P19,'M2'!$A:$C,Q$2,FALSE)),IF($N605=0,IF(ISERROR(VLOOKUP($P605,'M1'!$A:$C,Q$2,FALSE)),IF(ISERROR(VLOOKUP(DATA!$P19,'M2'!$A:$C,Q$2,FALSE)),"NOT PRESENT",VLOOKUP(DATA!$P19,'M2'!$A:$C,Q$2,FALSE)),VLOOKUP($P605,'M1'!$A:$C,Q$2,FALSE)),"SPECIFY METHOD")))</f>
        <v>NOT PRESENT</v>
      </c>
      <c r="R605" s="4" t="str">
        <f>IF($N605=1,IF(ISERROR(VLOOKUP($P605,'M1'!$A:$C,R$2,FALSE)),"NOT PRESENT",VLOOKUP($P605,'M1'!$A:$C,R$2,FALSE)),IF($N605=2,IF(ISERROR(VLOOKUP(DATA!$P19,'M2'!$A:$C,R$2,FALSE)),"NOT PRESENT",VLOOKUP(DATA!$P19,'M2'!$A:$C,R$2,FALSE)),IF($N605=0,IF(ISERROR(VLOOKUP($P605,'M1'!$A:$C,R$2,FALSE)),IF(ISERROR(VLOOKUP(DATA!$P19,'M2'!$A:$C,R$2,FALSE)),"NOT PRESENT",VLOOKUP(DATA!$P19,'M2'!$A:$C,R$2,FALSE)),VLOOKUP($P605,'M1'!$A:$C,R$2,FALSE)),"SPECIFY METHOD")))</f>
        <v>NOT PRESENT</v>
      </c>
      <c r="S605" s="20">
        <f t="shared" si="66"/>
        <v>2</v>
      </c>
      <c r="T605" s="2">
        <v>2</v>
      </c>
    </row>
    <row r="606" spans="1:24">
      <c r="A606" s="7">
        <f>MAX($A$1:$A605)+1</f>
        <v>605</v>
      </c>
      <c r="B606" s="2" t="str">
        <f t="shared" si="67"/>
        <v>Jasmin Schuster</v>
      </c>
      <c r="C606" s="2" t="str">
        <f t="shared" si="68"/>
        <v>Em Lim</v>
      </c>
      <c r="D606" s="2" t="str">
        <f t="shared" si="69"/>
        <v>BMSC22</v>
      </c>
      <c r="E606" s="7" t="str">
        <f>IF(ISERROR(VLOOKUP($D606,SITES!$A:$E,2,FALSE)),"",VLOOKUP($D606,SITES!$A:$E,2,FALSE))</f>
        <v>Dixon Inside</v>
      </c>
      <c r="F606" s="4">
        <f>IF(ISERROR(VLOOKUP($D606,SITES!$A:$E,3,FALSE)),"",VLOOKUP($D606,SITES!$A:$E,3,FALSE))</f>
        <v>48.8542671203613</v>
      </c>
      <c r="G606" s="18">
        <f>IF(ISERROR(VLOOKUP($D606,SITES!$A:$E,4,FALSE)),"",VLOOKUP($D606,SITES!$A:$E,4,FALSE))</f>
        <v>-125.11703491210901</v>
      </c>
      <c r="H606" s="5" t="str">
        <f t="shared" si="71"/>
        <v>08/05/2023</v>
      </c>
      <c r="I606" s="2">
        <f t="shared" si="72"/>
        <v>3</v>
      </c>
      <c r="J606" s="2">
        <f t="shared" si="73"/>
        <v>90</v>
      </c>
      <c r="K606" s="6">
        <f t="shared" si="74"/>
        <v>0.42638888888888887</v>
      </c>
      <c r="L606" s="2" t="str">
        <f t="shared" si="75"/>
        <v>EGL</v>
      </c>
      <c r="M606" s="2">
        <f t="shared" si="76"/>
        <v>5.5</v>
      </c>
      <c r="N606" s="2">
        <f t="shared" si="78"/>
        <v>2</v>
      </c>
      <c r="O606" s="2">
        <f t="shared" si="77"/>
        <v>2</v>
      </c>
      <c r="P606" s="27" t="s">
        <v>189</v>
      </c>
      <c r="Q606" s="7" t="str">
        <f>IF($N606=1,IF(ISERROR(VLOOKUP($P606,'M1'!$A:$C,Q$2,FALSE)),"NOT PRESENT",VLOOKUP($P606,'M1'!$A:$C,Q$2,FALSE)),IF($N606=2,IF(ISERROR(VLOOKUP(DATA!$P20,'M2'!$A:$C,Q$2,FALSE)),"NOT PRESENT",VLOOKUP(DATA!$P20,'M2'!$A:$C,Q$2,FALSE)),IF($N606=0,IF(ISERROR(VLOOKUP($P606,'M1'!$A:$C,Q$2,FALSE)),IF(ISERROR(VLOOKUP(DATA!$P20,'M2'!$A:$C,Q$2,FALSE)),"NOT PRESENT",VLOOKUP(DATA!$P20,'M2'!$A:$C,Q$2,FALSE)),VLOOKUP($P606,'M1'!$A:$C,Q$2,FALSE)),"SPECIFY METHOD")))</f>
        <v>NOT PRESENT</v>
      </c>
      <c r="R606" s="4" t="str">
        <f>IF($N606=1,IF(ISERROR(VLOOKUP($P606,'M1'!$A:$C,R$2,FALSE)),"NOT PRESENT",VLOOKUP($P606,'M1'!$A:$C,R$2,FALSE)),IF($N606=2,IF(ISERROR(VLOOKUP(DATA!$P20,'M2'!$A:$C,R$2,FALSE)),"NOT PRESENT",VLOOKUP(DATA!$P20,'M2'!$A:$C,R$2,FALSE)),IF($N606=0,IF(ISERROR(VLOOKUP($P606,'M1'!$A:$C,R$2,FALSE)),IF(ISERROR(VLOOKUP(DATA!$P20,'M2'!$A:$C,R$2,FALSE)),"NOT PRESENT",VLOOKUP(DATA!$P20,'M2'!$A:$C,R$2,FALSE)),VLOOKUP($P606,'M1'!$A:$C,R$2,FALSE)),"SPECIFY METHOD")))</f>
        <v>NOT PRESENT</v>
      </c>
      <c r="S606" s="20">
        <f t="shared" si="66"/>
        <v>7</v>
      </c>
      <c r="T606" s="2">
        <v>7</v>
      </c>
    </row>
    <row r="607" spans="1:24">
      <c r="A607" s="7">
        <f>MAX($A$1:$A606)+1</f>
        <v>606</v>
      </c>
      <c r="B607" s="2" t="str">
        <f t="shared" si="67"/>
        <v>Jasmin Schuster</v>
      </c>
      <c r="C607" s="2" t="str">
        <f t="shared" si="68"/>
        <v>Em Lim</v>
      </c>
      <c r="D607" s="2" t="str">
        <f t="shared" si="69"/>
        <v>BMSC22</v>
      </c>
      <c r="E607" s="7" t="str">
        <f>IF(ISERROR(VLOOKUP($D607,SITES!$A:$E,2,FALSE)),"",VLOOKUP($D607,SITES!$A:$E,2,FALSE))</f>
        <v>Dixon Inside</v>
      </c>
      <c r="F607" s="4">
        <f>IF(ISERROR(VLOOKUP($D607,SITES!$A:$E,3,FALSE)),"",VLOOKUP($D607,SITES!$A:$E,3,FALSE))</f>
        <v>48.8542671203613</v>
      </c>
      <c r="G607" s="18">
        <f>IF(ISERROR(VLOOKUP($D607,SITES!$A:$E,4,FALSE)),"",VLOOKUP($D607,SITES!$A:$E,4,FALSE))</f>
        <v>-125.11703491210901</v>
      </c>
      <c r="H607" s="5" t="str">
        <f t="shared" si="71"/>
        <v>08/05/2023</v>
      </c>
      <c r="I607" s="2">
        <f t="shared" si="72"/>
        <v>3</v>
      </c>
      <c r="J607" s="2">
        <f t="shared" si="73"/>
        <v>90</v>
      </c>
      <c r="K607" s="6">
        <f t="shared" si="74"/>
        <v>0.42638888888888887</v>
      </c>
      <c r="L607" s="2" t="str">
        <f t="shared" si="75"/>
        <v>EGL</v>
      </c>
      <c r="M607" s="2">
        <f t="shared" si="76"/>
        <v>5.5</v>
      </c>
      <c r="N607" s="2">
        <f t="shared" si="78"/>
        <v>2</v>
      </c>
      <c r="O607" s="2">
        <f t="shared" si="77"/>
        <v>2</v>
      </c>
      <c r="P607" s="27" t="s">
        <v>190</v>
      </c>
      <c r="Q607" s="7" t="str">
        <f>IF($N607=1,IF(ISERROR(VLOOKUP($P607,'M1'!$A:$C,Q$2,FALSE)),"NOT PRESENT",VLOOKUP($P607,'M1'!$A:$C,Q$2,FALSE)),IF($N607=2,IF(ISERROR(VLOOKUP(DATA!$P21,'M2'!$A:$C,Q$2,FALSE)),"NOT PRESENT",VLOOKUP(DATA!$P21,'M2'!$A:$C,Q$2,FALSE)),IF($N607=0,IF(ISERROR(VLOOKUP($P607,'M1'!$A:$C,Q$2,FALSE)),IF(ISERROR(VLOOKUP(DATA!$P21,'M2'!$A:$C,Q$2,FALSE)),"NOT PRESENT",VLOOKUP(DATA!$P21,'M2'!$A:$C,Q$2,FALSE)),VLOOKUP($P607,'M1'!$A:$C,Q$2,FALSE)),"SPECIFY METHOD")))</f>
        <v>NOT PRESENT</v>
      </c>
      <c r="R607" s="4" t="str">
        <f>IF($N607=1,IF(ISERROR(VLOOKUP($P607,'M1'!$A:$C,R$2,FALSE)),"NOT PRESENT",VLOOKUP($P607,'M1'!$A:$C,R$2,FALSE)),IF($N607=2,IF(ISERROR(VLOOKUP(DATA!$P21,'M2'!$A:$C,R$2,FALSE)),"NOT PRESENT",VLOOKUP(DATA!$P21,'M2'!$A:$C,R$2,FALSE)),IF($N607=0,IF(ISERROR(VLOOKUP($P607,'M1'!$A:$C,R$2,FALSE)),IF(ISERROR(VLOOKUP(DATA!$P21,'M2'!$A:$C,R$2,FALSE)),"NOT PRESENT",VLOOKUP(DATA!$P21,'M2'!$A:$C,R$2,FALSE)),VLOOKUP($P607,'M1'!$A:$C,R$2,FALSE)),"SPECIFY METHOD")))</f>
        <v>NOT PRESENT</v>
      </c>
      <c r="S607" s="20">
        <f t="shared" si="66"/>
        <v>7</v>
      </c>
      <c r="T607" s="2">
        <v>7</v>
      </c>
    </row>
    <row r="608" spans="1:24">
      <c r="A608" s="7">
        <f>MAX($A$1:$A607)+1</f>
        <v>607</v>
      </c>
      <c r="B608" s="2" t="str">
        <f t="shared" si="67"/>
        <v>Jasmin Schuster</v>
      </c>
      <c r="C608" s="2" t="str">
        <f t="shared" si="68"/>
        <v>Em Lim</v>
      </c>
      <c r="D608" s="2" t="str">
        <f t="shared" si="69"/>
        <v>BMSC22</v>
      </c>
      <c r="E608" s="7" t="str">
        <f>IF(ISERROR(VLOOKUP($D608,SITES!$A:$E,2,FALSE)),"",VLOOKUP($D608,SITES!$A:$E,2,FALSE))</f>
        <v>Dixon Inside</v>
      </c>
      <c r="F608" s="4">
        <f>IF(ISERROR(VLOOKUP($D608,SITES!$A:$E,3,FALSE)),"",VLOOKUP($D608,SITES!$A:$E,3,FALSE))</f>
        <v>48.8542671203613</v>
      </c>
      <c r="G608" s="18">
        <f>IF(ISERROR(VLOOKUP($D608,SITES!$A:$E,4,FALSE)),"",VLOOKUP($D608,SITES!$A:$E,4,FALSE))</f>
        <v>-125.11703491210901</v>
      </c>
      <c r="H608" s="5" t="str">
        <f t="shared" si="71"/>
        <v>08/05/2023</v>
      </c>
      <c r="I608" s="2">
        <f t="shared" si="72"/>
        <v>3</v>
      </c>
      <c r="J608" s="2">
        <f t="shared" si="73"/>
        <v>90</v>
      </c>
      <c r="K608" s="6">
        <f t="shared" si="74"/>
        <v>0.42638888888888887</v>
      </c>
      <c r="L608" s="2" t="str">
        <f t="shared" si="75"/>
        <v>EGL</v>
      </c>
      <c r="M608" s="2">
        <f t="shared" si="76"/>
        <v>5.5</v>
      </c>
      <c r="N608" s="2">
        <f t="shared" si="78"/>
        <v>2</v>
      </c>
      <c r="O608" s="2">
        <f t="shared" si="77"/>
        <v>2</v>
      </c>
      <c r="P608" s="27" t="s">
        <v>191</v>
      </c>
      <c r="Q608" s="7" t="str">
        <f>IF($N608=1,IF(ISERROR(VLOOKUP($P608,'M1'!$A:$C,Q$2,FALSE)),"NOT PRESENT",VLOOKUP($P608,'M1'!$A:$C,Q$2,FALSE)),IF($N608=2,IF(ISERROR(VLOOKUP(DATA!$P22,'M2'!$A:$C,Q$2,FALSE)),"NOT PRESENT",VLOOKUP(DATA!$P22,'M2'!$A:$C,Q$2,FALSE)),IF($N608=0,IF(ISERROR(VLOOKUP($P608,'M1'!$A:$C,Q$2,FALSE)),IF(ISERROR(VLOOKUP(DATA!$P22,'M2'!$A:$C,Q$2,FALSE)),"NOT PRESENT",VLOOKUP(DATA!$P22,'M2'!$A:$C,Q$2,FALSE)),VLOOKUP($P608,'M1'!$A:$C,Q$2,FALSE)),"SPECIFY METHOD")))</f>
        <v>NOT PRESENT</v>
      </c>
      <c r="R608" s="4" t="str">
        <f>IF($N608=1,IF(ISERROR(VLOOKUP($P608,'M1'!$A:$C,R$2,FALSE)),"NOT PRESENT",VLOOKUP($P608,'M1'!$A:$C,R$2,FALSE)),IF($N608=2,IF(ISERROR(VLOOKUP(DATA!$P22,'M2'!$A:$C,R$2,FALSE)),"NOT PRESENT",VLOOKUP(DATA!$P22,'M2'!$A:$C,R$2,FALSE)),IF($N608=0,IF(ISERROR(VLOOKUP($P608,'M1'!$A:$C,R$2,FALSE)),IF(ISERROR(VLOOKUP(DATA!$P22,'M2'!$A:$C,R$2,FALSE)),"NOT PRESENT",VLOOKUP(DATA!$P22,'M2'!$A:$C,R$2,FALSE)),VLOOKUP($P608,'M1'!$A:$C,R$2,FALSE)),"SPECIFY METHOD")))</f>
        <v>NOT PRESENT</v>
      </c>
      <c r="S608" s="20">
        <f t="shared" si="66"/>
        <v>2</v>
      </c>
      <c r="T608" s="2">
        <v>2</v>
      </c>
    </row>
    <row r="609" spans="1:27">
      <c r="A609" s="7">
        <f>MAX($A$1:$A608)+1</f>
        <v>608</v>
      </c>
      <c r="B609" s="2" t="str">
        <f t="shared" si="67"/>
        <v>Jasmin Schuster</v>
      </c>
      <c r="C609" s="2" t="str">
        <f t="shared" si="68"/>
        <v>Em Lim</v>
      </c>
      <c r="D609" s="2" t="str">
        <f t="shared" si="69"/>
        <v>BMSC22</v>
      </c>
      <c r="E609" s="7" t="str">
        <f>IF(ISERROR(VLOOKUP($D609,SITES!$A:$E,2,FALSE)),"",VLOOKUP($D609,SITES!$A:$E,2,FALSE))</f>
        <v>Dixon Inside</v>
      </c>
      <c r="F609" s="4">
        <f>IF(ISERROR(VLOOKUP($D609,SITES!$A:$E,3,FALSE)),"",VLOOKUP($D609,SITES!$A:$E,3,FALSE))</f>
        <v>48.8542671203613</v>
      </c>
      <c r="G609" s="18">
        <f>IF(ISERROR(VLOOKUP($D609,SITES!$A:$E,4,FALSE)),"",VLOOKUP($D609,SITES!$A:$E,4,FALSE))</f>
        <v>-125.11703491210901</v>
      </c>
      <c r="H609" s="5" t="str">
        <f t="shared" si="71"/>
        <v>08/05/2023</v>
      </c>
      <c r="I609" s="2">
        <f t="shared" si="72"/>
        <v>3</v>
      </c>
      <c r="J609" s="2">
        <f t="shared" si="73"/>
        <v>90</v>
      </c>
      <c r="K609" s="6">
        <f t="shared" si="74"/>
        <v>0.42638888888888887</v>
      </c>
      <c r="L609" s="2" t="str">
        <f t="shared" si="75"/>
        <v>EGL</v>
      </c>
      <c r="M609" s="2">
        <f t="shared" si="76"/>
        <v>5.5</v>
      </c>
      <c r="N609" s="2">
        <f t="shared" si="78"/>
        <v>2</v>
      </c>
      <c r="O609" s="2">
        <f t="shared" si="77"/>
        <v>2</v>
      </c>
      <c r="P609" s="27" t="s">
        <v>192</v>
      </c>
      <c r="Q609" s="7" t="str">
        <f>IF($N609=1,IF(ISERROR(VLOOKUP($P609,'M1'!$A:$C,Q$2,FALSE)),"NOT PRESENT",VLOOKUP($P609,'M1'!$A:$C,Q$2,FALSE)),IF($N609=2,IF(ISERROR(VLOOKUP(DATA!$P23,'M2'!$A:$C,Q$2,FALSE)),"NOT PRESENT",VLOOKUP(DATA!$P23,'M2'!$A:$C,Q$2,FALSE)),IF($N609=0,IF(ISERROR(VLOOKUP($P609,'M1'!$A:$C,Q$2,FALSE)),IF(ISERROR(VLOOKUP(DATA!$P23,'M2'!$A:$C,Q$2,FALSE)),"NOT PRESENT",VLOOKUP(DATA!$P23,'M2'!$A:$C,Q$2,FALSE)),VLOOKUP($P609,'M1'!$A:$C,Q$2,FALSE)),"SPECIFY METHOD")))</f>
        <v>NOT PRESENT</v>
      </c>
      <c r="R609" s="4" t="str">
        <f>IF($N609=1,IF(ISERROR(VLOOKUP($P609,'M1'!$A:$C,R$2,FALSE)),"NOT PRESENT",VLOOKUP($P609,'M1'!$A:$C,R$2,FALSE)),IF($N609=2,IF(ISERROR(VLOOKUP(DATA!$P23,'M2'!$A:$C,R$2,FALSE)),"NOT PRESENT",VLOOKUP(DATA!$P23,'M2'!$A:$C,R$2,FALSE)),IF($N609=0,IF(ISERROR(VLOOKUP($P609,'M1'!$A:$C,R$2,FALSE)),IF(ISERROR(VLOOKUP(DATA!$P23,'M2'!$A:$C,R$2,FALSE)),"NOT PRESENT",VLOOKUP(DATA!$P23,'M2'!$A:$C,R$2,FALSE)),VLOOKUP($P609,'M1'!$A:$C,R$2,FALSE)),"SPECIFY METHOD")))</f>
        <v>NOT PRESENT</v>
      </c>
      <c r="S609" s="20">
        <f t="shared" si="66"/>
        <v>1</v>
      </c>
      <c r="T609" s="2">
        <v>1</v>
      </c>
    </row>
    <row r="610" spans="1:27">
      <c r="A610" s="7">
        <f>MAX($A$1:$A609)+1</f>
        <v>609</v>
      </c>
      <c r="B610" s="2" t="str">
        <f t="shared" si="67"/>
        <v>Jasmin Schuster</v>
      </c>
      <c r="C610" s="2" t="str">
        <f t="shared" si="68"/>
        <v>Em Lim</v>
      </c>
      <c r="D610" s="2" t="str">
        <f t="shared" si="69"/>
        <v>BMSC22</v>
      </c>
      <c r="E610" s="7" t="str">
        <f>IF(ISERROR(VLOOKUP($D610,SITES!$A:$E,2,FALSE)),"",VLOOKUP($D610,SITES!$A:$E,2,FALSE))</f>
        <v>Dixon Inside</v>
      </c>
      <c r="F610" s="4">
        <f>IF(ISERROR(VLOOKUP($D610,SITES!$A:$E,3,FALSE)),"",VLOOKUP($D610,SITES!$A:$E,3,FALSE))</f>
        <v>48.8542671203613</v>
      </c>
      <c r="G610" s="18">
        <f>IF(ISERROR(VLOOKUP($D610,SITES!$A:$E,4,FALSE)),"",VLOOKUP($D610,SITES!$A:$E,4,FALSE))</f>
        <v>-125.11703491210901</v>
      </c>
      <c r="H610" s="5" t="str">
        <f t="shared" si="71"/>
        <v>08/05/2023</v>
      </c>
      <c r="I610" s="2">
        <f t="shared" si="72"/>
        <v>3</v>
      </c>
      <c r="J610" s="2">
        <f t="shared" si="73"/>
        <v>90</v>
      </c>
      <c r="K610" s="6">
        <f t="shared" si="74"/>
        <v>0.42638888888888887</v>
      </c>
      <c r="L610" s="2" t="str">
        <f t="shared" si="75"/>
        <v>EGL</v>
      </c>
      <c r="M610" s="2">
        <f t="shared" si="76"/>
        <v>5.5</v>
      </c>
      <c r="N610" s="2">
        <f t="shared" si="78"/>
        <v>2</v>
      </c>
      <c r="O610" s="2">
        <f t="shared" si="77"/>
        <v>2</v>
      </c>
      <c r="P610" s="27" t="s">
        <v>193</v>
      </c>
      <c r="Q610" s="7" t="str">
        <f>IF($N610=1,IF(ISERROR(VLOOKUP($P610,'M1'!$A:$C,Q$2,FALSE)),"NOT PRESENT",VLOOKUP($P610,'M1'!$A:$C,Q$2,FALSE)),IF($N610=2,IF(ISERROR(VLOOKUP(DATA!$P24,'M2'!$A:$C,Q$2,FALSE)),"NOT PRESENT",VLOOKUP(DATA!$P24,'M2'!$A:$C,Q$2,FALSE)),IF($N610=0,IF(ISERROR(VLOOKUP($P610,'M1'!$A:$C,Q$2,FALSE)),IF(ISERROR(VLOOKUP(DATA!$P24,'M2'!$A:$C,Q$2,FALSE)),"NOT PRESENT",VLOOKUP(DATA!$P24,'M2'!$A:$C,Q$2,FALSE)),VLOOKUP($P610,'M1'!$A:$C,Q$2,FALSE)),"SPECIFY METHOD")))</f>
        <v>NOT PRESENT</v>
      </c>
      <c r="R610" s="4" t="str">
        <f>IF($N610=1,IF(ISERROR(VLOOKUP($P610,'M1'!$A:$C,R$2,FALSE)),"NOT PRESENT",VLOOKUP($P610,'M1'!$A:$C,R$2,FALSE)),IF($N610=2,IF(ISERROR(VLOOKUP(DATA!$P24,'M2'!$A:$C,R$2,FALSE)),"NOT PRESENT",VLOOKUP(DATA!$P24,'M2'!$A:$C,R$2,FALSE)),IF($N610=0,IF(ISERROR(VLOOKUP($P610,'M1'!$A:$C,R$2,FALSE)),IF(ISERROR(VLOOKUP(DATA!$P24,'M2'!$A:$C,R$2,FALSE)),"NOT PRESENT",VLOOKUP(DATA!$P24,'M2'!$A:$C,R$2,FALSE)),VLOOKUP($P610,'M1'!$A:$C,R$2,FALSE)),"SPECIFY METHOD")))</f>
        <v>NOT PRESENT</v>
      </c>
      <c r="S610" s="20">
        <f t="shared" si="66"/>
        <v>4</v>
      </c>
      <c r="T610" s="2">
        <v>0</v>
      </c>
      <c r="Y610" s="2">
        <v>3</v>
      </c>
      <c r="Z610" s="2">
        <v>1</v>
      </c>
    </row>
    <row r="611" spans="1:27">
      <c r="A611" s="7">
        <f>MAX($A$1:$A610)+1</f>
        <v>610</v>
      </c>
      <c r="B611" s="2" t="str">
        <f t="shared" si="67"/>
        <v>Jasmin Schuster</v>
      </c>
      <c r="C611" s="2" t="str">
        <f t="shared" si="68"/>
        <v>Em Lim</v>
      </c>
      <c r="D611" s="2" t="str">
        <f t="shared" si="69"/>
        <v>BMSC22</v>
      </c>
      <c r="E611" s="7" t="str">
        <f>IF(ISERROR(VLOOKUP($D611,SITES!$A:$E,2,FALSE)),"",VLOOKUP($D611,SITES!$A:$E,2,FALSE))</f>
        <v>Dixon Inside</v>
      </c>
      <c r="F611" s="4">
        <f>IF(ISERROR(VLOOKUP($D611,SITES!$A:$E,3,FALSE)),"",VLOOKUP($D611,SITES!$A:$E,3,FALSE))</f>
        <v>48.8542671203613</v>
      </c>
      <c r="G611" s="18">
        <f>IF(ISERROR(VLOOKUP($D611,SITES!$A:$E,4,FALSE)),"",VLOOKUP($D611,SITES!$A:$E,4,FALSE))</f>
        <v>-125.11703491210901</v>
      </c>
      <c r="H611" s="5" t="str">
        <f t="shared" si="71"/>
        <v>08/05/2023</v>
      </c>
      <c r="I611" s="2">
        <f t="shared" si="72"/>
        <v>3</v>
      </c>
      <c r="J611" s="2">
        <f t="shared" si="73"/>
        <v>90</v>
      </c>
      <c r="K611" s="6">
        <f t="shared" si="74"/>
        <v>0.42638888888888887</v>
      </c>
      <c r="L611" s="2" t="str">
        <f t="shared" si="75"/>
        <v>EGL</v>
      </c>
      <c r="M611" s="2">
        <f t="shared" si="76"/>
        <v>5.5</v>
      </c>
      <c r="N611" s="2">
        <f t="shared" si="78"/>
        <v>2</v>
      </c>
      <c r="O611" s="2">
        <f t="shared" si="77"/>
        <v>2</v>
      </c>
      <c r="P611" s="27" t="s">
        <v>194</v>
      </c>
      <c r="Q611" s="7" t="str">
        <f>IF($N611=1,IF(ISERROR(VLOOKUP($P611,'M1'!$A:$C,Q$2,FALSE)),"NOT PRESENT",VLOOKUP($P611,'M1'!$A:$C,Q$2,FALSE)),IF($N611=2,IF(ISERROR(VLOOKUP(DATA!$P25,'M2'!$A:$C,Q$2,FALSE)),"NOT PRESENT",VLOOKUP(DATA!$P25,'M2'!$A:$C,Q$2,FALSE)),IF($N611=0,IF(ISERROR(VLOOKUP($P611,'M1'!$A:$C,Q$2,FALSE)),IF(ISERROR(VLOOKUP(DATA!$P25,'M2'!$A:$C,Q$2,FALSE)),"NOT PRESENT",VLOOKUP(DATA!$P25,'M2'!$A:$C,Q$2,FALSE)),VLOOKUP($P611,'M1'!$A:$C,Q$2,FALSE)),"SPECIFY METHOD")))</f>
        <v>NOT PRESENT</v>
      </c>
      <c r="R611" s="4" t="str">
        <f>IF($N611=1,IF(ISERROR(VLOOKUP($P611,'M1'!$A:$C,R$2,FALSE)),"NOT PRESENT",VLOOKUP($P611,'M1'!$A:$C,R$2,FALSE)),IF($N611=2,IF(ISERROR(VLOOKUP(DATA!$P25,'M2'!$A:$C,R$2,FALSE)),"NOT PRESENT",VLOOKUP(DATA!$P25,'M2'!$A:$C,R$2,FALSE)),IF($N611=0,IF(ISERROR(VLOOKUP($P611,'M1'!$A:$C,R$2,FALSE)),IF(ISERROR(VLOOKUP(DATA!$P25,'M2'!$A:$C,R$2,FALSE)),"NOT PRESENT",VLOOKUP(DATA!$P25,'M2'!$A:$C,R$2,FALSE)),VLOOKUP($P611,'M1'!$A:$C,R$2,FALSE)),"SPECIFY METHOD")))</f>
        <v>NOT PRESENT</v>
      </c>
      <c r="S611" s="20">
        <f t="shared" si="66"/>
        <v>1</v>
      </c>
      <c r="T611" s="2">
        <v>0</v>
      </c>
      <c r="U611" s="2">
        <v>1</v>
      </c>
    </row>
    <row r="612" spans="1:27">
      <c r="A612" s="7">
        <f>MAX($A$1:$A611)+1</f>
        <v>611</v>
      </c>
      <c r="B612" s="2" t="str">
        <f t="shared" si="67"/>
        <v>Jasmin Schuster</v>
      </c>
      <c r="C612" s="2" t="str">
        <f t="shared" si="68"/>
        <v>Em Lim</v>
      </c>
      <c r="D612" s="2" t="str">
        <f t="shared" si="69"/>
        <v>BMSC22</v>
      </c>
      <c r="E612" s="7" t="str">
        <f>IF(ISERROR(VLOOKUP($D612,SITES!$A:$E,2,FALSE)),"",VLOOKUP($D612,SITES!$A:$E,2,FALSE))</f>
        <v>Dixon Inside</v>
      </c>
      <c r="F612" s="4">
        <f>IF(ISERROR(VLOOKUP($D612,SITES!$A:$E,3,FALSE)),"",VLOOKUP($D612,SITES!$A:$E,3,FALSE))</f>
        <v>48.8542671203613</v>
      </c>
      <c r="G612" s="18">
        <f>IF(ISERROR(VLOOKUP($D612,SITES!$A:$E,4,FALSE)),"",VLOOKUP($D612,SITES!$A:$E,4,FALSE))</f>
        <v>-125.11703491210901</v>
      </c>
      <c r="H612" s="5" t="str">
        <f t="shared" si="71"/>
        <v>08/05/2023</v>
      </c>
      <c r="I612" s="2">
        <f t="shared" si="72"/>
        <v>3</v>
      </c>
      <c r="J612" s="2">
        <f t="shared" si="73"/>
        <v>90</v>
      </c>
      <c r="K612" s="6">
        <f t="shared" si="74"/>
        <v>0.42638888888888887</v>
      </c>
      <c r="L612" s="2" t="str">
        <f t="shared" si="75"/>
        <v>EGL</v>
      </c>
      <c r="M612" s="2">
        <f t="shared" si="76"/>
        <v>5.5</v>
      </c>
      <c r="N612" s="2">
        <f t="shared" si="78"/>
        <v>2</v>
      </c>
      <c r="O612" s="2">
        <f t="shared" si="77"/>
        <v>2</v>
      </c>
      <c r="P612" s="27" t="s">
        <v>195</v>
      </c>
      <c r="Q612" s="7" t="str">
        <f>IF($N612=1,IF(ISERROR(VLOOKUP($P612,'M1'!$A:$C,Q$2,FALSE)),"NOT PRESENT",VLOOKUP($P612,'M1'!$A:$C,Q$2,FALSE)),IF($N612=2,IF(ISERROR(VLOOKUP(DATA!$P26,'M2'!$A:$C,Q$2,FALSE)),"NOT PRESENT",VLOOKUP(DATA!$P26,'M2'!$A:$C,Q$2,FALSE)),IF($N612=0,IF(ISERROR(VLOOKUP($P612,'M1'!$A:$C,Q$2,FALSE)),IF(ISERROR(VLOOKUP(DATA!$P26,'M2'!$A:$C,Q$2,FALSE)),"NOT PRESENT",VLOOKUP(DATA!$P26,'M2'!$A:$C,Q$2,FALSE)),VLOOKUP($P612,'M1'!$A:$C,Q$2,FALSE)),"SPECIFY METHOD")))</f>
        <v>NOT PRESENT</v>
      </c>
      <c r="R612" s="4" t="str">
        <f>IF($N612=1,IF(ISERROR(VLOOKUP($P612,'M1'!$A:$C,R$2,FALSE)),"NOT PRESENT",VLOOKUP($P612,'M1'!$A:$C,R$2,FALSE)),IF($N612=2,IF(ISERROR(VLOOKUP(DATA!$P26,'M2'!$A:$C,R$2,FALSE)),"NOT PRESENT",VLOOKUP(DATA!$P26,'M2'!$A:$C,R$2,FALSE)),IF($N612=0,IF(ISERROR(VLOOKUP($P612,'M1'!$A:$C,R$2,FALSE)),IF(ISERROR(VLOOKUP(DATA!$P26,'M2'!$A:$C,R$2,FALSE)),"NOT PRESENT",VLOOKUP(DATA!$P26,'M2'!$A:$C,R$2,FALSE)),VLOOKUP($P612,'M1'!$A:$C,R$2,FALSE)),"SPECIFY METHOD")))</f>
        <v>NOT PRESENT</v>
      </c>
      <c r="S612" s="20">
        <f t="shared" si="66"/>
        <v>1</v>
      </c>
      <c r="T612" s="2">
        <v>1</v>
      </c>
    </row>
    <row r="613" spans="1:27">
      <c r="A613" s="7">
        <f>MAX($A$1:$A612)+1</f>
        <v>612</v>
      </c>
      <c r="B613" s="2" t="str">
        <f t="shared" si="67"/>
        <v>Jasmin Schuster</v>
      </c>
      <c r="C613" s="2" t="str">
        <f t="shared" si="68"/>
        <v>Em Lim</v>
      </c>
      <c r="D613" s="2" t="str">
        <f t="shared" si="69"/>
        <v>BMSC22</v>
      </c>
      <c r="E613" s="7" t="str">
        <f>IF(ISERROR(VLOOKUP($D613,SITES!$A:$E,2,FALSE)),"",VLOOKUP($D613,SITES!$A:$E,2,FALSE))</f>
        <v>Dixon Inside</v>
      </c>
      <c r="F613" s="4">
        <f>IF(ISERROR(VLOOKUP($D613,SITES!$A:$E,3,FALSE)),"",VLOOKUP($D613,SITES!$A:$E,3,FALSE))</f>
        <v>48.8542671203613</v>
      </c>
      <c r="G613" s="18">
        <f>IF(ISERROR(VLOOKUP($D613,SITES!$A:$E,4,FALSE)),"",VLOOKUP($D613,SITES!$A:$E,4,FALSE))</f>
        <v>-125.11703491210901</v>
      </c>
      <c r="H613" s="5" t="str">
        <f t="shared" si="71"/>
        <v>08/05/2023</v>
      </c>
      <c r="I613" s="2">
        <f t="shared" si="72"/>
        <v>3</v>
      </c>
      <c r="J613" s="2">
        <f t="shared" si="73"/>
        <v>90</v>
      </c>
      <c r="K613" s="6">
        <f t="shared" si="74"/>
        <v>0.42638888888888887</v>
      </c>
      <c r="L613" s="2" t="str">
        <f t="shared" si="75"/>
        <v>EGL</v>
      </c>
      <c r="M613" s="2">
        <f t="shared" si="76"/>
        <v>5.5</v>
      </c>
      <c r="N613" s="27">
        <v>0</v>
      </c>
      <c r="O613" s="2">
        <f t="shared" si="77"/>
        <v>2</v>
      </c>
      <c r="P613" s="27" t="s">
        <v>174</v>
      </c>
      <c r="Q613" s="7" t="str">
        <f>IF($N613=1,IF(ISERROR(VLOOKUP($P613,'M1'!$A:$C,Q$2,FALSE)),"NOT PRESENT",VLOOKUP($P613,'M1'!$A:$C,Q$2,FALSE)),IF($N613=2,IF(ISERROR(VLOOKUP(DATA!$P27,'M2'!$A:$C,Q$2,FALSE)),"NOT PRESENT",VLOOKUP(DATA!$P27,'M2'!$A:$C,Q$2,FALSE)),IF($N613=0,IF(ISERROR(VLOOKUP($P613,'M1'!$A:$C,Q$2,FALSE)),IF(ISERROR(VLOOKUP(DATA!$P27,'M2'!$A:$C,Q$2,FALSE)),"NOT PRESENT",VLOOKUP(DATA!$P27,'M2'!$A:$C,Q$2,FALSE)),VLOOKUP($P613,'M1'!$A:$C,Q$2,FALSE)),"SPECIFY METHOD")))</f>
        <v>NOT PRESENT</v>
      </c>
      <c r="R613" s="4" t="str">
        <f>IF($N613=1,IF(ISERROR(VLOOKUP($P613,'M1'!$A:$C,R$2,FALSE)),"NOT PRESENT",VLOOKUP($P613,'M1'!$A:$C,R$2,FALSE)),IF($N613=2,IF(ISERROR(VLOOKUP(DATA!$P27,'M2'!$A:$C,R$2,FALSE)),"NOT PRESENT",VLOOKUP(DATA!$P27,'M2'!$A:$C,R$2,FALSE)),IF($N613=0,IF(ISERROR(VLOOKUP($P613,'M1'!$A:$C,R$2,FALSE)),IF(ISERROR(VLOOKUP(DATA!$P27,'M2'!$A:$C,R$2,FALSE)),"NOT PRESENT",VLOOKUP(DATA!$P27,'M2'!$A:$C,R$2,FALSE)),VLOOKUP($P613,'M1'!$A:$C,R$2,FALSE)),"SPECIFY METHOD")))</f>
        <v>NOT PRESENT</v>
      </c>
      <c r="S613" s="20">
        <f t="shared" si="66"/>
        <v>1</v>
      </c>
      <c r="T613" s="2">
        <v>0</v>
      </c>
      <c r="X613" s="2">
        <v>1</v>
      </c>
    </row>
    <row r="614" spans="1:27">
      <c r="A614" s="7">
        <f>MAX($A$1:$A613)+1</f>
        <v>613</v>
      </c>
      <c r="B614" s="2" t="str">
        <f t="shared" si="67"/>
        <v>Jasmin Schuster</v>
      </c>
      <c r="C614" s="2" t="str">
        <f t="shared" si="68"/>
        <v>Em Lim</v>
      </c>
      <c r="D614" s="2" t="str">
        <f t="shared" si="69"/>
        <v>BMSC22</v>
      </c>
      <c r="E614" s="7" t="str">
        <f>IF(ISERROR(VLOOKUP($D614,SITES!$A:$E,2,FALSE)),"",VLOOKUP($D614,SITES!$A:$E,2,FALSE))</f>
        <v>Dixon Inside</v>
      </c>
      <c r="F614" s="4">
        <f>IF(ISERROR(VLOOKUP($D614,SITES!$A:$E,3,FALSE)),"",VLOOKUP($D614,SITES!$A:$E,3,FALSE))</f>
        <v>48.8542671203613</v>
      </c>
      <c r="G614" s="18">
        <f>IF(ISERROR(VLOOKUP($D614,SITES!$A:$E,4,FALSE)),"",VLOOKUP($D614,SITES!$A:$E,4,FALSE))</f>
        <v>-125.11703491210901</v>
      </c>
      <c r="H614" s="5" t="str">
        <f t="shared" si="71"/>
        <v>08/05/2023</v>
      </c>
      <c r="I614" s="2">
        <f t="shared" si="72"/>
        <v>3</v>
      </c>
      <c r="J614" s="2">
        <f t="shared" si="73"/>
        <v>90</v>
      </c>
      <c r="K614" s="6">
        <f t="shared" si="74"/>
        <v>0.42638888888888887</v>
      </c>
      <c r="L614" s="2" t="str">
        <f t="shared" si="75"/>
        <v>EGL</v>
      </c>
      <c r="M614" s="2">
        <f t="shared" si="76"/>
        <v>5.5</v>
      </c>
      <c r="N614" s="2">
        <v>2</v>
      </c>
      <c r="O614" s="2">
        <f t="shared" si="77"/>
        <v>2</v>
      </c>
      <c r="P614" s="27" t="s">
        <v>196</v>
      </c>
      <c r="Q614" s="7" t="str">
        <f>IF($N614=1,IF(ISERROR(VLOOKUP($P614,'M1'!$A:$C,Q$2,FALSE)),"NOT PRESENT",VLOOKUP($P614,'M1'!$A:$C,Q$2,FALSE)),IF($N614=2,IF(ISERROR(VLOOKUP(DATA!$P28,'M2'!$A:$C,Q$2,FALSE)),"NOT PRESENT",VLOOKUP(DATA!$P28,'M2'!$A:$C,Q$2,FALSE)),IF($N614=0,IF(ISERROR(VLOOKUP($P614,'M1'!$A:$C,Q$2,FALSE)),IF(ISERROR(VLOOKUP(DATA!$P28,'M2'!$A:$C,Q$2,FALSE)),"NOT PRESENT",VLOOKUP(DATA!$P28,'M2'!$A:$C,Q$2,FALSE)),VLOOKUP($P614,'M1'!$A:$C,Q$2,FALSE)),"SPECIFY METHOD")))</f>
        <v>NOT PRESENT</v>
      </c>
      <c r="R614" s="4" t="str">
        <f>IF($N614=1,IF(ISERROR(VLOOKUP($P614,'M1'!$A:$C,R$2,FALSE)),"NOT PRESENT",VLOOKUP($P614,'M1'!$A:$C,R$2,FALSE)),IF($N614=2,IF(ISERROR(VLOOKUP(DATA!$P28,'M2'!$A:$C,R$2,FALSE)),"NOT PRESENT",VLOOKUP(DATA!$P28,'M2'!$A:$C,R$2,FALSE)),IF($N614=0,IF(ISERROR(VLOOKUP($P614,'M1'!$A:$C,R$2,FALSE)),IF(ISERROR(VLOOKUP(DATA!$P28,'M2'!$A:$C,R$2,FALSE)),"NOT PRESENT",VLOOKUP(DATA!$P28,'M2'!$A:$C,R$2,FALSE)),VLOOKUP($P614,'M1'!$A:$C,R$2,FALSE)),"SPECIFY METHOD")))</f>
        <v>NOT PRESENT</v>
      </c>
      <c r="S614" s="20">
        <f t="shared" si="66"/>
        <v>1</v>
      </c>
      <c r="T614" s="2">
        <v>1</v>
      </c>
    </row>
    <row r="615" spans="1:27">
      <c r="A615" s="7">
        <f>MAX($A$1:$A614)+1</f>
        <v>614</v>
      </c>
      <c r="B615" s="2" t="str">
        <f t="shared" si="67"/>
        <v>Jasmin Schuster</v>
      </c>
      <c r="C615" s="2" t="str">
        <f t="shared" si="68"/>
        <v>Em Lim</v>
      </c>
      <c r="D615" s="2" t="str">
        <f t="shared" si="69"/>
        <v>BMSC22</v>
      </c>
      <c r="E615" s="7" t="str">
        <f>IF(ISERROR(VLOOKUP($D615,SITES!$A:$E,2,FALSE)),"",VLOOKUP($D615,SITES!$A:$E,2,FALSE))</f>
        <v>Dixon Inside</v>
      </c>
      <c r="F615" s="4">
        <f>IF(ISERROR(VLOOKUP($D615,SITES!$A:$E,3,FALSE)),"",VLOOKUP($D615,SITES!$A:$E,3,FALSE))</f>
        <v>48.8542671203613</v>
      </c>
      <c r="G615" s="18">
        <f>IF(ISERROR(VLOOKUP($D615,SITES!$A:$E,4,FALSE)),"",VLOOKUP($D615,SITES!$A:$E,4,FALSE))</f>
        <v>-125.11703491210901</v>
      </c>
      <c r="H615" s="5" t="str">
        <f t="shared" si="71"/>
        <v>08/05/2023</v>
      </c>
      <c r="I615" s="2">
        <f t="shared" si="72"/>
        <v>3</v>
      </c>
      <c r="J615" s="2">
        <f t="shared" si="73"/>
        <v>90</v>
      </c>
      <c r="K615" s="6">
        <f t="shared" si="74"/>
        <v>0.42638888888888887</v>
      </c>
      <c r="L615" s="2" t="str">
        <f t="shared" si="75"/>
        <v>EGL</v>
      </c>
      <c r="M615" s="2">
        <f t="shared" si="76"/>
        <v>5.5</v>
      </c>
      <c r="N615" s="2">
        <f>IF(ISERROR(N614),IF(ISERROR(N613),IF(ISERROR(N612),"BLANK",N612),N613),N614)</f>
        <v>2</v>
      </c>
      <c r="O615" s="2">
        <f t="shared" si="77"/>
        <v>2</v>
      </c>
      <c r="P615" s="27" t="s">
        <v>197</v>
      </c>
      <c r="Q615" s="7" t="str">
        <f>IF($N615=1,IF(ISERROR(VLOOKUP($P615,'M1'!$A:$C,Q$2,FALSE)),"NOT PRESENT",VLOOKUP($P615,'M1'!$A:$C,Q$2,FALSE)),IF($N615=2,IF(ISERROR(VLOOKUP(DATA!$P29,'M2'!$A:$C,Q$2,FALSE)),"NOT PRESENT",VLOOKUP(DATA!$P29,'M2'!$A:$C,Q$2,FALSE)),IF($N615=0,IF(ISERROR(VLOOKUP($P615,'M1'!$A:$C,Q$2,FALSE)),IF(ISERROR(VLOOKUP(DATA!$P29,'M2'!$A:$C,Q$2,FALSE)),"NOT PRESENT",VLOOKUP(DATA!$P29,'M2'!$A:$C,Q$2,FALSE)),VLOOKUP($P615,'M1'!$A:$C,Q$2,FALSE)),"SPECIFY METHOD")))</f>
        <v>NOT PRESENT</v>
      </c>
      <c r="R615" s="4" t="str">
        <f>IF($N615=1,IF(ISERROR(VLOOKUP($P615,'M1'!$A:$C,R$2,FALSE)),"NOT PRESENT",VLOOKUP($P615,'M1'!$A:$C,R$2,FALSE)),IF($N615=2,IF(ISERROR(VLOOKUP(DATA!$P29,'M2'!$A:$C,R$2,FALSE)),"NOT PRESENT",VLOOKUP(DATA!$P29,'M2'!$A:$C,R$2,FALSE)),IF($N615=0,IF(ISERROR(VLOOKUP($P615,'M1'!$A:$C,R$2,FALSE)),IF(ISERROR(VLOOKUP(DATA!$P29,'M2'!$A:$C,R$2,FALSE)),"NOT PRESENT",VLOOKUP(DATA!$P29,'M2'!$A:$C,R$2,FALSE)),VLOOKUP($P615,'M1'!$A:$C,R$2,FALSE)),"SPECIFY METHOD")))</f>
        <v>NOT PRESENT</v>
      </c>
      <c r="S615" s="20">
        <f t="shared" si="66"/>
        <v>1</v>
      </c>
      <c r="T615" s="2">
        <v>1</v>
      </c>
    </row>
    <row r="616" spans="1:27">
      <c r="A616" s="7">
        <f>MAX($A$1:$A615)+1</f>
        <v>615</v>
      </c>
      <c r="B616" s="2" t="str">
        <f t="shared" si="67"/>
        <v>Jasmin Schuster</v>
      </c>
      <c r="C616" s="2" t="str">
        <f t="shared" si="68"/>
        <v>Em Lim</v>
      </c>
      <c r="D616" s="2" t="str">
        <f t="shared" si="69"/>
        <v>BMSC22</v>
      </c>
      <c r="E616" s="7" t="str">
        <f>IF(ISERROR(VLOOKUP($D616,SITES!$A:$E,2,FALSE)),"",VLOOKUP($D616,SITES!$A:$E,2,FALSE))</f>
        <v>Dixon Inside</v>
      </c>
      <c r="F616" s="4">
        <f>IF(ISERROR(VLOOKUP($D616,SITES!$A:$E,3,FALSE)),"",VLOOKUP($D616,SITES!$A:$E,3,FALSE))</f>
        <v>48.8542671203613</v>
      </c>
      <c r="G616" s="18">
        <f>IF(ISERROR(VLOOKUP($D616,SITES!$A:$E,4,FALSE)),"",VLOOKUP($D616,SITES!$A:$E,4,FALSE))</f>
        <v>-125.11703491210901</v>
      </c>
      <c r="H616" s="5" t="str">
        <f t="shared" si="71"/>
        <v>08/05/2023</v>
      </c>
      <c r="I616" s="2">
        <f t="shared" si="72"/>
        <v>3</v>
      </c>
      <c r="J616" s="2">
        <f t="shared" si="73"/>
        <v>90</v>
      </c>
      <c r="K616" s="6">
        <f t="shared" si="74"/>
        <v>0.42638888888888887</v>
      </c>
      <c r="L616" s="2" t="str">
        <f t="shared" si="75"/>
        <v>EGL</v>
      </c>
      <c r="M616" s="2">
        <f t="shared" si="76"/>
        <v>5.5</v>
      </c>
      <c r="N616" s="2">
        <f>IF(ISERROR(N615),IF(ISERROR(N614),IF(ISERROR(N613),"BLANK",N613),N614),N615)</f>
        <v>2</v>
      </c>
      <c r="O616" s="2">
        <f t="shared" si="77"/>
        <v>2</v>
      </c>
      <c r="P616" s="27" t="s">
        <v>198</v>
      </c>
      <c r="Q616" s="7" t="str">
        <f>IF($N616=1,IF(ISERROR(VLOOKUP($P616,'M1'!$A:$C,Q$2,FALSE)),"NOT PRESENT",VLOOKUP($P616,'M1'!$A:$C,Q$2,FALSE)),IF($N616=2,IF(ISERROR(VLOOKUP(DATA!$P30,'M2'!$A:$C,Q$2,FALSE)),"NOT PRESENT",VLOOKUP(DATA!$P30,'M2'!$A:$C,Q$2,FALSE)),IF($N616=0,IF(ISERROR(VLOOKUP($P616,'M1'!$A:$C,Q$2,FALSE)),IF(ISERROR(VLOOKUP(DATA!$P30,'M2'!$A:$C,Q$2,FALSE)),"NOT PRESENT",VLOOKUP(DATA!$P30,'M2'!$A:$C,Q$2,FALSE)),VLOOKUP($P616,'M1'!$A:$C,Q$2,FALSE)),"SPECIFY METHOD")))</f>
        <v>NOT PRESENT</v>
      </c>
      <c r="R616" s="4" t="str">
        <f>IF($N616=1,IF(ISERROR(VLOOKUP($P616,'M1'!$A:$C,R$2,FALSE)),"NOT PRESENT",VLOOKUP($P616,'M1'!$A:$C,R$2,FALSE)),IF($N616=2,IF(ISERROR(VLOOKUP(DATA!$P30,'M2'!$A:$C,R$2,FALSE)),"NOT PRESENT",VLOOKUP(DATA!$P30,'M2'!$A:$C,R$2,FALSE)),IF($N616=0,IF(ISERROR(VLOOKUP($P616,'M1'!$A:$C,R$2,FALSE)),IF(ISERROR(VLOOKUP(DATA!$P30,'M2'!$A:$C,R$2,FALSE)),"NOT PRESENT",VLOOKUP(DATA!$P30,'M2'!$A:$C,R$2,FALSE)),VLOOKUP($P616,'M1'!$A:$C,R$2,FALSE)),"SPECIFY METHOD")))</f>
        <v>NOT PRESENT</v>
      </c>
      <c r="S616" s="20">
        <f t="shared" si="66"/>
        <v>1</v>
      </c>
      <c r="T616" s="2">
        <v>1</v>
      </c>
    </row>
    <row r="617" spans="1:27">
      <c r="A617" s="7">
        <f>MAX($A$1:$A616)+1</f>
        <v>616</v>
      </c>
      <c r="B617" s="2" t="str">
        <f t="shared" si="67"/>
        <v>Jasmin Schuster</v>
      </c>
      <c r="C617" s="2" t="str">
        <f t="shared" si="68"/>
        <v>Em Lim</v>
      </c>
      <c r="D617" s="2" t="str">
        <f t="shared" si="69"/>
        <v>BMSC22</v>
      </c>
      <c r="E617" s="7" t="str">
        <f>IF(ISERROR(VLOOKUP($D617,SITES!$A:$E,2,FALSE)),"",VLOOKUP($D617,SITES!$A:$E,2,FALSE))</f>
        <v>Dixon Inside</v>
      </c>
      <c r="F617" s="4">
        <f>IF(ISERROR(VLOOKUP($D617,SITES!$A:$E,3,FALSE)),"",VLOOKUP($D617,SITES!$A:$E,3,FALSE))</f>
        <v>48.8542671203613</v>
      </c>
      <c r="G617" s="18">
        <f>IF(ISERROR(VLOOKUP($D617,SITES!$A:$E,4,FALSE)),"",VLOOKUP($D617,SITES!$A:$E,4,FALSE))</f>
        <v>-125.11703491210901</v>
      </c>
      <c r="H617" s="5" t="str">
        <f t="shared" si="71"/>
        <v>08/05/2023</v>
      </c>
      <c r="I617" s="2">
        <f t="shared" si="72"/>
        <v>3</v>
      </c>
      <c r="J617" s="2">
        <f t="shared" si="73"/>
        <v>90</v>
      </c>
      <c r="K617" s="6">
        <f t="shared" si="74"/>
        <v>0.42638888888888887</v>
      </c>
      <c r="L617" s="2" t="str">
        <f t="shared" si="75"/>
        <v>EGL</v>
      </c>
      <c r="M617" s="2">
        <f t="shared" si="76"/>
        <v>5.5</v>
      </c>
      <c r="N617" s="2">
        <f>IF(ISERROR(N616),IF(ISERROR(N615),IF(ISERROR(N614),"BLANK",N614),N615),N616)</f>
        <v>2</v>
      </c>
      <c r="O617" s="2">
        <f t="shared" si="77"/>
        <v>2</v>
      </c>
      <c r="P617" s="27" t="s">
        <v>199</v>
      </c>
      <c r="Q617" s="7" t="str">
        <f>IF($N617=1,IF(ISERROR(VLOOKUP($P617,'M1'!$A:$C,Q$2,FALSE)),"NOT PRESENT",VLOOKUP($P617,'M1'!$A:$C,Q$2,FALSE)),IF($N617=2,IF(ISERROR(VLOOKUP(DATA!$P31,'M2'!$A:$C,Q$2,FALSE)),"NOT PRESENT",VLOOKUP(DATA!$P31,'M2'!$A:$C,Q$2,FALSE)),IF($N617=0,IF(ISERROR(VLOOKUP($P617,'M1'!$A:$C,Q$2,FALSE)),IF(ISERROR(VLOOKUP(DATA!$P31,'M2'!$A:$C,Q$2,FALSE)),"NOT PRESENT",VLOOKUP(DATA!$P31,'M2'!$A:$C,Q$2,FALSE)),VLOOKUP($P617,'M1'!$A:$C,Q$2,FALSE)),"SPECIFY METHOD")))</f>
        <v>NOT PRESENT</v>
      </c>
      <c r="R617" s="4" t="str">
        <f>IF($N617=1,IF(ISERROR(VLOOKUP($P617,'M1'!$A:$C,R$2,FALSE)),"NOT PRESENT",VLOOKUP($P617,'M1'!$A:$C,R$2,FALSE)),IF($N617=2,IF(ISERROR(VLOOKUP(DATA!$P31,'M2'!$A:$C,R$2,FALSE)),"NOT PRESENT",VLOOKUP(DATA!$P31,'M2'!$A:$C,R$2,FALSE)),IF($N617=0,IF(ISERROR(VLOOKUP($P617,'M1'!$A:$C,R$2,FALSE)),IF(ISERROR(VLOOKUP(DATA!$P31,'M2'!$A:$C,R$2,FALSE)),"NOT PRESENT",VLOOKUP(DATA!$P31,'M2'!$A:$C,R$2,FALSE)),VLOOKUP($P617,'M1'!$A:$C,R$2,FALSE)),"SPECIFY METHOD")))</f>
        <v>NOT PRESENT</v>
      </c>
      <c r="S617" s="20">
        <f t="shared" si="66"/>
        <v>1</v>
      </c>
      <c r="T617" s="2">
        <v>1</v>
      </c>
    </row>
    <row r="618" spans="1:27">
      <c r="A618" s="7">
        <f>MAX($A$1:$A617)+1</f>
        <v>617</v>
      </c>
      <c r="B618" s="2" t="s">
        <v>171</v>
      </c>
      <c r="C618" s="2" t="s">
        <v>170</v>
      </c>
      <c r="D618" s="27" t="s">
        <v>20</v>
      </c>
      <c r="E618" s="7" t="s">
        <v>458</v>
      </c>
      <c r="F618" s="4">
        <v>48.8542671203613</v>
      </c>
      <c r="G618" s="18">
        <v>-125.11703491210901</v>
      </c>
      <c r="H618" s="5" t="s">
        <v>5</v>
      </c>
      <c r="I618" s="2">
        <v>3</v>
      </c>
      <c r="J618" s="2">
        <v>90</v>
      </c>
      <c r="K618" s="6">
        <v>0.42708333333333331</v>
      </c>
      <c r="L618" s="2" t="s">
        <v>172</v>
      </c>
      <c r="M618" s="2">
        <v>5.5</v>
      </c>
      <c r="N618" s="2">
        <v>1</v>
      </c>
      <c r="O618" s="2">
        <v>1</v>
      </c>
      <c r="P618" s="2" t="s">
        <v>230</v>
      </c>
      <c r="Q618" s="7" t="s">
        <v>42</v>
      </c>
      <c r="R618" s="4" t="s">
        <v>321</v>
      </c>
      <c r="S618" s="20">
        <v>39</v>
      </c>
      <c r="T618" s="2">
        <v>0</v>
      </c>
      <c r="W618" s="2">
        <v>34</v>
      </c>
      <c r="X618" s="2">
        <v>5</v>
      </c>
    </row>
    <row r="619" spans="1:27">
      <c r="A619" s="7">
        <f>MAX($A$1:$A618)+1</f>
        <v>618</v>
      </c>
      <c r="B619" s="2" t="s">
        <v>171</v>
      </c>
      <c r="C619" s="2" t="s">
        <v>170</v>
      </c>
      <c r="D619" s="2" t="s">
        <v>20</v>
      </c>
      <c r="E619" s="7" t="s">
        <v>458</v>
      </c>
      <c r="F619" s="4">
        <v>48.8542671203613</v>
      </c>
      <c r="G619" s="18">
        <v>-125.11703491210901</v>
      </c>
      <c r="H619" s="5" t="s">
        <v>5</v>
      </c>
      <c r="I619" s="2">
        <v>3</v>
      </c>
      <c r="J619" s="2">
        <v>90</v>
      </c>
      <c r="K619" s="6">
        <v>0.42708333333333331</v>
      </c>
      <c r="L619" s="2" t="s">
        <v>172</v>
      </c>
      <c r="M619" s="2">
        <v>5.5</v>
      </c>
      <c r="N619" s="2">
        <v>1</v>
      </c>
      <c r="O619" s="2">
        <v>1</v>
      </c>
      <c r="P619" s="2" t="s">
        <v>232</v>
      </c>
      <c r="Q619" s="7" t="s">
        <v>43</v>
      </c>
      <c r="R619" s="4" t="s">
        <v>324</v>
      </c>
      <c r="S619" s="20">
        <v>3</v>
      </c>
      <c r="T619" s="2">
        <v>0</v>
      </c>
      <c r="Y619" s="2">
        <v>1</v>
      </c>
      <c r="Z619" s="2">
        <v>1</v>
      </c>
      <c r="AA619" s="2">
        <v>1</v>
      </c>
    </row>
    <row r="620" spans="1:27">
      <c r="A620" s="7">
        <f>MAX($A$1:$A619)+1</f>
        <v>619</v>
      </c>
      <c r="B620" s="2" t="s">
        <v>171</v>
      </c>
      <c r="C620" s="2" t="s">
        <v>170</v>
      </c>
      <c r="D620" s="2" t="s">
        <v>20</v>
      </c>
      <c r="E620" s="7" t="s">
        <v>458</v>
      </c>
      <c r="F620" s="4">
        <v>48.8542671203613</v>
      </c>
      <c r="G620" s="18">
        <v>-125.11703491210901</v>
      </c>
      <c r="H620" s="5" t="s">
        <v>5</v>
      </c>
      <c r="I620" s="2">
        <v>3</v>
      </c>
      <c r="J620" s="2">
        <v>90</v>
      </c>
      <c r="K620" s="6">
        <v>0.42708333333333331</v>
      </c>
      <c r="L620" s="2" t="s">
        <v>172</v>
      </c>
      <c r="M620" s="2">
        <v>5.5</v>
      </c>
      <c r="N620" s="2">
        <v>2</v>
      </c>
      <c r="O620" s="2">
        <v>1</v>
      </c>
      <c r="P620" s="2" t="s">
        <v>230</v>
      </c>
      <c r="Q620" s="7" t="s">
        <v>42</v>
      </c>
      <c r="R620" s="4" t="s">
        <v>321</v>
      </c>
      <c r="S620" s="20">
        <v>148</v>
      </c>
      <c r="T620" s="2">
        <v>0</v>
      </c>
      <c r="U620" s="2">
        <v>5</v>
      </c>
      <c r="V620" s="2">
        <v>59</v>
      </c>
      <c r="W620" s="2">
        <v>52</v>
      </c>
      <c r="X620" s="2">
        <v>28</v>
      </c>
      <c r="Y620" s="2">
        <v>4</v>
      </c>
    </row>
    <row r="621" spans="1:27">
      <c r="A621" s="7">
        <f>MAX($A$1:$A620)+1</f>
        <v>620</v>
      </c>
      <c r="B621" s="2" t="s">
        <v>171</v>
      </c>
      <c r="C621" s="2" t="s">
        <v>170</v>
      </c>
      <c r="D621" s="2" t="s">
        <v>20</v>
      </c>
      <c r="E621" s="7" t="s">
        <v>458</v>
      </c>
      <c r="F621" s="4">
        <v>48.8542671203613</v>
      </c>
      <c r="G621" s="18">
        <v>-125.11703491210901</v>
      </c>
      <c r="H621" s="5" t="s">
        <v>5</v>
      </c>
      <c r="I621" s="2">
        <v>3</v>
      </c>
      <c r="J621" s="2">
        <v>90</v>
      </c>
      <c r="K621" s="6">
        <v>0.42708333333333331</v>
      </c>
      <c r="L621" s="2" t="s">
        <v>172</v>
      </c>
      <c r="M621" s="2">
        <v>5.5</v>
      </c>
      <c r="N621" s="2">
        <v>2</v>
      </c>
      <c r="O621" s="2">
        <v>1</v>
      </c>
      <c r="P621" s="2" t="s">
        <v>316</v>
      </c>
      <c r="Q621" s="7" t="s">
        <v>123</v>
      </c>
      <c r="R621" s="4" t="s">
        <v>317</v>
      </c>
      <c r="S621" s="20">
        <v>3</v>
      </c>
      <c r="T621" s="2">
        <v>3</v>
      </c>
    </row>
    <row r="622" spans="1:27">
      <c r="A622" s="7">
        <f>MAX($A$1:$A621)+1</f>
        <v>621</v>
      </c>
      <c r="B622" s="2" t="s">
        <v>171</v>
      </c>
      <c r="C622" s="2" t="s">
        <v>170</v>
      </c>
      <c r="D622" s="2" t="s">
        <v>20</v>
      </c>
      <c r="E622" s="7" t="s">
        <v>458</v>
      </c>
      <c r="F622" s="4">
        <v>48.8542671203613</v>
      </c>
      <c r="G622" s="18">
        <v>-125.11703491210901</v>
      </c>
      <c r="H622" s="5" t="s">
        <v>5</v>
      </c>
      <c r="I622" s="2">
        <v>3</v>
      </c>
      <c r="J622" s="2">
        <v>90</v>
      </c>
      <c r="K622" s="6">
        <v>0.42708333333333331</v>
      </c>
      <c r="L622" s="2" t="s">
        <v>172</v>
      </c>
      <c r="M622" s="2">
        <v>5.5</v>
      </c>
      <c r="N622" s="2">
        <v>2</v>
      </c>
      <c r="O622" s="2">
        <v>1</v>
      </c>
      <c r="P622" s="2" t="s">
        <v>241</v>
      </c>
      <c r="Q622" s="7" t="s">
        <v>63</v>
      </c>
      <c r="R622" s="4" t="s">
        <v>294</v>
      </c>
      <c r="S622" s="20">
        <v>50</v>
      </c>
      <c r="T622" s="2">
        <v>50</v>
      </c>
    </row>
    <row r="623" spans="1:27">
      <c r="A623" s="7">
        <f>MAX($A$1:$A622)+1</f>
        <v>622</v>
      </c>
      <c r="B623" s="2" t="s">
        <v>171</v>
      </c>
      <c r="C623" s="2" t="s">
        <v>170</v>
      </c>
      <c r="D623" s="2" t="s">
        <v>20</v>
      </c>
      <c r="E623" s="7" t="s">
        <v>458</v>
      </c>
      <c r="F623" s="4">
        <v>48.8542671203613</v>
      </c>
      <c r="G623" s="18">
        <v>-125.11703491210901</v>
      </c>
      <c r="H623" s="5" t="s">
        <v>5</v>
      </c>
      <c r="I623" s="2">
        <v>3</v>
      </c>
      <c r="J623" s="2">
        <v>90</v>
      </c>
      <c r="K623" s="6">
        <v>0.42708333333333331</v>
      </c>
      <c r="L623" s="2" t="s">
        <v>172</v>
      </c>
      <c r="M623" s="2">
        <v>5.5</v>
      </c>
      <c r="N623" s="2">
        <v>2</v>
      </c>
      <c r="O623" s="2">
        <v>1</v>
      </c>
      <c r="P623" s="2" t="s">
        <v>238</v>
      </c>
      <c r="Q623" s="7" t="s">
        <v>69</v>
      </c>
      <c r="R623" s="4" t="s">
        <v>313</v>
      </c>
      <c r="S623" s="20">
        <v>24</v>
      </c>
      <c r="T623" s="2">
        <v>24</v>
      </c>
    </row>
    <row r="624" spans="1:27">
      <c r="A624" s="7">
        <f>MAX($A$1:$A623)+1</f>
        <v>623</v>
      </c>
      <c r="B624" s="2" t="s">
        <v>171</v>
      </c>
      <c r="C624" s="2" t="s">
        <v>170</v>
      </c>
      <c r="D624" s="2" t="s">
        <v>20</v>
      </c>
      <c r="E624" s="7" t="s">
        <v>458</v>
      </c>
      <c r="F624" s="4">
        <v>48.8542671203613</v>
      </c>
      <c r="G624" s="18">
        <v>-125.11703491210901</v>
      </c>
      <c r="H624" s="5" t="s">
        <v>5</v>
      </c>
      <c r="I624" s="2">
        <v>3</v>
      </c>
      <c r="J624" s="2">
        <v>90</v>
      </c>
      <c r="K624" s="6">
        <v>0.42708333333333331</v>
      </c>
      <c r="L624" s="2" t="s">
        <v>172</v>
      </c>
      <c r="M624" s="2">
        <v>5.5</v>
      </c>
      <c r="N624" s="2">
        <v>2</v>
      </c>
      <c r="O624" s="2">
        <v>1</v>
      </c>
      <c r="P624" s="2" t="s">
        <v>331</v>
      </c>
      <c r="Q624" s="7" t="s">
        <v>67</v>
      </c>
      <c r="R624" s="4" t="s">
        <v>332</v>
      </c>
      <c r="S624" s="20">
        <v>16</v>
      </c>
      <c r="T624" s="2">
        <v>16</v>
      </c>
    </row>
    <row r="625" spans="1:28">
      <c r="A625" s="7">
        <f>MAX($A$1:$A624)+1</f>
        <v>624</v>
      </c>
      <c r="B625" s="2" t="s">
        <v>171</v>
      </c>
      <c r="C625" s="2" t="s">
        <v>170</v>
      </c>
      <c r="D625" s="2" t="s">
        <v>20</v>
      </c>
      <c r="E625" s="7" t="s">
        <v>458</v>
      </c>
      <c r="F625" s="4">
        <v>48.8542671203613</v>
      </c>
      <c r="G625" s="18">
        <v>-125.11703491210901</v>
      </c>
      <c r="H625" s="5" t="s">
        <v>5</v>
      </c>
      <c r="I625" s="2">
        <v>3</v>
      </c>
      <c r="J625" s="2">
        <v>90</v>
      </c>
      <c r="K625" s="6">
        <v>0.42708333333333331</v>
      </c>
      <c r="L625" s="2" t="s">
        <v>172</v>
      </c>
      <c r="M625" s="2">
        <v>5.5</v>
      </c>
      <c r="N625" s="2">
        <v>2</v>
      </c>
      <c r="O625" s="2">
        <v>1</v>
      </c>
      <c r="P625" s="2" t="s">
        <v>244</v>
      </c>
      <c r="Q625" s="7" t="s">
        <v>65</v>
      </c>
      <c r="R625" s="4" t="s">
        <v>307</v>
      </c>
      <c r="S625" s="20">
        <v>10</v>
      </c>
      <c r="T625" s="2">
        <v>10</v>
      </c>
    </row>
    <row r="626" spans="1:28">
      <c r="A626" s="7">
        <f>MAX($A$1:$A625)+1</f>
        <v>625</v>
      </c>
      <c r="B626" s="2" t="s">
        <v>171</v>
      </c>
      <c r="C626" s="2" t="s">
        <v>170</v>
      </c>
      <c r="D626" s="2" t="s">
        <v>20</v>
      </c>
      <c r="E626" s="7" t="s">
        <v>458</v>
      </c>
      <c r="F626" s="4">
        <v>48.8542671203613</v>
      </c>
      <c r="G626" s="18">
        <v>-125.11703491210901</v>
      </c>
      <c r="H626" s="5" t="s">
        <v>5</v>
      </c>
      <c r="I626" s="2">
        <v>3</v>
      </c>
      <c r="J626" s="2">
        <v>90</v>
      </c>
      <c r="K626" s="6">
        <v>0.42708333333333331</v>
      </c>
      <c r="L626" s="2" t="s">
        <v>172</v>
      </c>
      <c r="M626" s="2">
        <v>5.5</v>
      </c>
      <c r="N626" s="2">
        <v>2</v>
      </c>
      <c r="O626" s="2">
        <v>1</v>
      </c>
      <c r="P626" s="2" t="s">
        <v>247</v>
      </c>
      <c r="Q626" s="7" t="s">
        <v>64</v>
      </c>
      <c r="R626" s="4" t="s">
        <v>293</v>
      </c>
      <c r="S626" s="20">
        <v>4</v>
      </c>
      <c r="T626" s="2">
        <v>4</v>
      </c>
    </row>
    <row r="627" spans="1:28">
      <c r="A627" s="7">
        <f>MAX($A$1:$A626)+1</f>
        <v>626</v>
      </c>
      <c r="B627" s="2" t="s">
        <v>171</v>
      </c>
      <c r="C627" s="2" t="s">
        <v>170</v>
      </c>
      <c r="D627" s="2" t="s">
        <v>20</v>
      </c>
      <c r="E627" s="7" t="s">
        <v>458</v>
      </c>
      <c r="F627" s="4">
        <v>48.8542671203613</v>
      </c>
      <c r="G627" s="18">
        <v>-125.11703491210901</v>
      </c>
      <c r="H627" s="5" t="s">
        <v>5</v>
      </c>
      <c r="I627" s="2">
        <v>3</v>
      </c>
      <c r="J627" s="2">
        <v>90</v>
      </c>
      <c r="K627" s="6">
        <v>0.42708333333333331</v>
      </c>
      <c r="L627" s="2" t="s">
        <v>172</v>
      </c>
      <c r="M627" s="2">
        <v>5.5</v>
      </c>
      <c r="N627" s="2">
        <v>2</v>
      </c>
      <c r="O627" s="2">
        <v>1</v>
      </c>
      <c r="P627" s="2" t="s">
        <v>296</v>
      </c>
      <c r="Q627" s="7" t="s">
        <v>75</v>
      </c>
      <c r="R627" s="4" t="s">
        <v>297</v>
      </c>
      <c r="S627" s="20">
        <v>7</v>
      </c>
      <c r="T627" s="2">
        <v>7</v>
      </c>
    </row>
    <row r="628" spans="1:28">
      <c r="A628" s="7">
        <f>MAX($A$1:$A627)+1</f>
        <v>627</v>
      </c>
      <c r="B628" s="2" t="s">
        <v>171</v>
      </c>
      <c r="C628" s="2" t="s">
        <v>170</v>
      </c>
      <c r="D628" s="2" t="s">
        <v>20</v>
      </c>
      <c r="E628" s="7" t="s">
        <v>458</v>
      </c>
      <c r="F628" s="4">
        <v>48.8542671203613</v>
      </c>
      <c r="G628" s="18">
        <v>-125.11703491210901</v>
      </c>
      <c r="H628" s="5" t="s">
        <v>5</v>
      </c>
      <c r="I628" s="2">
        <v>3</v>
      </c>
      <c r="J628" s="2">
        <v>90</v>
      </c>
      <c r="K628" s="6">
        <v>0.42708333333333331</v>
      </c>
      <c r="L628" s="2" t="s">
        <v>172</v>
      </c>
      <c r="M628" s="2">
        <v>5.5</v>
      </c>
      <c r="N628" s="2">
        <v>2</v>
      </c>
      <c r="O628" s="2">
        <v>1</v>
      </c>
      <c r="P628" s="2" t="s">
        <v>239</v>
      </c>
      <c r="Q628" s="7" t="s">
        <v>80</v>
      </c>
      <c r="R628" s="4" t="s">
        <v>300</v>
      </c>
      <c r="S628" s="20">
        <v>10</v>
      </c>
      <c r="T628" s="2">
        <v>10</v>
      </c>
    </row>
    <row r="629" spans="1:28">
      <c r="A629" s="7">
        <f>MAX($A$1:$A628)+1</f>
        <v>628</v>
      </c>
      <c r="B629" s="2" t="s">
        <v>171</v>
      </c>
      <c r="C629" s="2" t="s">
        <v>170</v>
      </c>
      <c r="D629" s="2" t="s">
        <v>20</v>
      </c>
      <c r="E629" s="7" t="s">
        <v>458</v>
      </c>
      <c r="F629" s="4">
        <v>48.8542671203613</v>
      </c>
      <c r="G629" s="18">
        <v>-125.11703491210901</v>
      </c>
      <c r="H629" s="5" t="s">
        <v>5</v>
      </c>
      <c r="I629" s="2">
        <v>3</v>
      </c>
      <c r="J629" s="2">
        <v>90</v>
      </c>
      <c r="K629" s="6">
        <v>0.42708333333333331</v>
      </c>
      <c r="L629" s="2" t="s">
        <v>172</v>
      </c>
      <c r="M629" s="2">
        <v>5.5</v>
      </c>
      <c r="N629" s="2">
        <v>2</v>
      </c>
      <c r="O629" s="2">
        <v>1</v>
      </c>
      <c r="P629" s="2" t="s">
        <v>246</v>
      </c>
      <c r="Q629" s="7" t="s">
        <v>66</v>
      </c>
      <c r="R629" s="4" t="s">
        <v>318</v>
      </c>
      <c r="S629" s="20">
        <v>3</v>
      </c>
      <c r="T629" s="2">
        <v>0</v>
      </c>
      <c r="V629" s="2">
        <v>2</v>
      </c>
      <c r="W629" s="2">
        <v>1</v>
      </c>
    </row>
    <row r="630" spans="1:28">
      <c r="A630" s="7">
        <f>MAX($A$1:$A629)+1</f>
        <v>629</v>
      </c>
      <c r="B630" s="2" t="s">
        <v>171</v>
      </c>
      <c r="C630" s="2" t="s">
        <v>170</v>
      </c>
      <c r="D630" s="2" t="s">
        <v>20</v>
      </c>
      <c r="E630" s="7" t="s">
        <v>458</v>
      </c>
      <c r="F630" s="4">
        <v>48.8542671203613</v>
      </c>
      <c r="G630" s="18">
        <v>-125.11703491210901</v>
      </c>
      <c r="H630" s="5" t="s">
        <v>5</v>
      </c>
      <c r="I630" s="2">
        <v>3</v>
      </c>
      <c r="J630" s="2">
        <v>90</v>
      </c>
      <c r="K630" s="6">
        <v>0.42708333333333331</v>
      </c>
      <c r="L630" s="2" t="s">
        <v>172</v>
      </c>
      <c r="M630" s="2">
        <v>5.5</v>
      </c>
      <c r="N630" s="2">
        <v>2</v>
      </c>
      <c r="O630" s="2">
        <v>1</v>
      </c>
      <c r="P630" s="2" t="s">
        <v>383</v>
      </c>
      <c r="Q630" s="7" t="s">
        <v>72</v>
      </c>
      <c r="R630" s="4" t="s">
        <v>384</v>
      </c>
      <c r="S630" s="20">
        <v>1</v>
      </c>
      <c r="T630" s="2">
        <v>1</v>
      </c>
    </row>
    <row r="631" spans="1:28">
      <c r="A631" s="7">
        <f>MAX($A$1:$A630)+1</f>
        <v>630</v>
      </c>
      <c r="B631" s="2" t="s">
        <v>171</v>
      </c>
      <c r="C631" s="2" t="s">
        <v>170</v>
      </c>
      <c r="D631" s="2" t="s">
        <v>20</v>
      </c>
      <c r="E631" s="7" t="s">
        <v>458</v>
      </c>
      <c r="F631" s="4">
        <v>48.8542671203613</v>
      </c>
      <c r="G631" s="18">
        <v>-125.11703491210901</v>
      </c>
      <c r="H631" s="5" t="s">
        <v>5</v>
      </c>
      <c r="I631" s="2">
        <v>3</v>
      </c>
      <c r="J631" s="2">
        <v>90</v>
      </c>
      <c r="K631" s="6">
        <v>0.42708333333333331</v>
      </c>
      <c r="L631" s="2" t="s">
        <v>172</v>
      </c>
      <c r="M631" s="2">
        <v>5.5</v>
      </c>
      <c r="N631" s="2">
        <v>2</v>
      </c>
      <c r="O631" s="2">
        <v>1</v>
      </c>
      <c r="P631" s="2" t="s">
        <v>240</v>
      </c>
      <c r="Q631" s="7" t="s">
        <v>74</v>
      </c>
      <c r="R631" s="4" t="s">
        <v>459</v>
      </c>
      <c r="S631" s="20">
        <v>9</v>
      </c>
      <c r="T631" s="2">
        <v>9</v>
      </c>
    </row>
    <row r="632" spans="1:28">
      <c r="A632" s="7">
        <f>MAX($A$1:$A631)+1</f>
        <v>631</v>
      </c>
      <c r="B632" s="2" t="s">
        <v>171</v>
      </c>
      <c r="C632" s="2" t="s">
        <v>170</v>
      </c>
      <c r="D632" s="2" t="s">
        <v>20</v>
      </c>
      <c r="E632" s="7" t="s">
        <v>458</v>
      </c>
      <c r="F632" s="4">
        <v>48.8542671203613</v>
      </c>
      <c r="G632" s="18">
        <v>-125.11703491210901</v>
      </c>
      <c r="H632" s="5" t="s">
        <v>5</v>
      </c>
      <c r="I632" s="2">
        <v>3</v>
      </c>
      <c r="J632" s="2">
        <v>90</v>
      </c>
      <c r="K632" s="6">
        <v>0.42708333333333331</v>
      </c>
      <c r="L632" s="2" t="s">
        <v>172</v>
      </c>
      <c r="M632" s="2">
        <v>5.5</v>
      </c>
      <c r="N632" s="2">
        <v>2</v>
      </c>
      <c r="O632" s="2">
        <v>1</v>
      </c>
      <c r="P632" s="2" t="s">
        <v>251</v>
      </c>
      <c r="Q632" s="7" t="s">
        <v>73</v>
      </c>
      <c r="R632" s="4" t="s">
        <v>325</v>
      </c>
      <c r="S632" s="20">
        <v>1</v>
      </c>
      <c r="T632" s="2">
        <v>1</v>
      </c>
    </row>
    <row r="633" spans="1:28">
      <c r="A633" s="7">
        <f>MAX($A$1:$A632)+1</f>
        <v>632</v>
      </c>
      <c r="B633" s="2" t="s">
        <v>171</v>
      </c>
      <c r="C633" s="2" t="s">
        <v>170</v>
      </c>
      <c r="D633" s="2" t="s">
        <v>20</v>
      </c>
      <c r="E633" s="7" t="s">
        <v>458</v>
      </c>
      <c r="F633" s="4">
        <v>48.8542671203613</v>
      </c>
      <c r="G633" s="18">
        <v>-125.11703491210901</v>
      </c>
      <c r="H633" s="5" t="s">
        <v>5</v>
      </c>
      <c r="I633" s="2">
        <v>3</v>
      </c>
      <c r="J633" s="2">
        <v>90</v>
      </c>
      <c r="K633" s="6">
        <v>0.42708333333333331</v>
      </c>
      <c r="L633" s="2" t="s">
        <v>172</v>
      </c>
      <c r="M633" s="2">
        <v>5.5</v>
      </c>
      <c r="N633" s="2">
        <v>2</v>
      </c>
      <c r="O633" s="2">
        <v>1</v>
      </c>
      <c r="P633" s="2" t="s">
        <v>419</v>
      </c>
      <c r="Q633" s="7" t="s">
        <v>139</v>
      </c>
      <c r="R633" s="4" t="s">
        <v>420</v>
      </c>
      <c r="S633" s="20">
        <v>1</v>
      </c>
      <c r="T633" s="2">
        <v>1</v>
      </c>
    </row>
    <row r="634" spans="1:28">
      <c r="A634" s="7">
        <f>MAX($A$1:$A633)+1</f>
        <v>633</v>
      </c>
      <c r="B634" s="2" t="s">
        <v>171</v>
      </c>
      <c r="C634" s="2" t="s">
        <v>170</v>
      </c>
      <c r="D634" s="2" t="s">
        <v>20</v>
      </c>
      <c r="E634" s="7" t="s">
        <v>458</v>
      </c>
      <c r="F634" s="4">
        <v>48.8542671203613</v>
      </c>
      <c r="G634" s="18">
        <v>-125.11703491210901</v>
      </c>
      <c r="H634" s="5" t="s">
        <v>5</v>
      </c>
      <c r="I634" s="2">
        <v>3</v>
      </c>
      <c r="J634" s="2">
        <v>90</v>
      </c>
      <c r="K634" s="6">
        <v>0.42708333333333331</v>
      </c>
      <c r="L634" s="2" t="s">
        <v>172</v>
      </c>
      <c r="M634" s="2">
        <v>5.5</v>
      </c>
      <c r="N634" s="2">
        <v>2</v>
      </c>
      <c r="O634" s="2">
        <v>1</v>
      </c>
      <c r="P634" s="2" t="s">
        <v>248</v>
      </c>
      <c r="Q634" s="7" t="s">
        <v>78</v>
      </c>
      <c r="R634" s="4" t="s">
        <v>349</v>
      </c>
      <c r="S634" s="20">
        <v>2</v>
      </c>
      <c r="T634" s="2">
        <v>0</v>
      </c>
      <c r="X634" s="2">
        <v>1</v>
      </c>
      <c r="Y634" s="2">
        <v>1</v>
      </c>
    </row>
    <row r="635" spans="1:28">
      <c r="A635" s="7">
        <f>MAX($A$1:$A634)+1</f>
        <v>634</v>
      </c>
      <c r="B635" s="2" t="s">
        <v>171</v>
      </c>
      <c r="C635" s="2" t="s">
        <v>170</v>
      </c>
      <c r="D635" s="2" t="s">
        <v>20</v>
      </c>
      <c r="E635" s="7" t="s">
        <v>458</v>
      </c>
      <c r="F635" s="4">
        <v>48.8542671203613</v>
      </c>
      <c r="G635" s="18">
        <v>-125.11703491210901</v>
      </c>
      <c r="H635" s="5" t="s">
        <v>5</v>
      </c>
      <c r="I635" s="2">
        <v>3</v>
      </c>
      <c r="J635" s="2">
        <v>90</v>
      </c>
      <c r="K635" s="6">
        <v>0.42708333333333331</v>
      </c>
      <c r="L635" s="2" t="s">
        <v>172</v>
      </c>
      <c r="M635" s="2">
        <v>5.5</v>
      </c>
      <c r="N635" s="2">
        <v>2</v>
      </c>
      <c r="O635" s="2">
        <v>1</v>
      </c>
      <c r="P635" s="2" t="s">
        <v>342</v>
      </c>
      <c r="Q635" s="7" t="s">
        <v>126</v>
      </c>
      <c r="R635" s="4" t="s">
        <v>329</v>
      </c>
      <c r="S635" s="20">
        <v>0</v>
      </c>
      <c r="T635" s="2">
        <v>0</v>
      </c>
    </row>
    <row r="636" spans="1:28">
      <c r="A636" s="7">
        <f>MAX($A$1:$A635)+1</f>
        <v>635</v>
      </c>
      <c r="B636" s="2" t="s">
        <v>171</v>
      </c>
      <c r="C636" s="2" t="s">
        <v>170</v>
      </c>
      <c r="D636" s="2" t="s">
        <v>20</v>
      </c>
      <c r="E636" s="7" t="s">
        <v>458</v>
      </c>
      <c r="F636" s="4">
        <v>48.8542671203613</v>
      </c>
      <c r="G636" s="18">
        <v>-125.11703491210901</v>
      </c>
      <c r="H636" s="5" t="s">
        <v>5</v>
      </c>
      <c r="I636" s="2">
        <v>3</v>
      </c>
      <c r="J636" s="2">
        <v>90</v>
      </c>
      <c r="K636" s="6">
        <v>0.42708333333333331</v>
      </c>
      <c r="L636" s="2" t="s">
        <v>172</v>
      </c>
      <c r="M636" s="2">
        <v>5.5</v>
      </c>
      <c r="N636" s="2">
        <v>0</v>
      </c>
      <c r="O636" s="2">
        <v>1</v>
      </c>
      <c r="P636" s="2" t="s">
        <v>236</v>
      </c>
      <c r="Q636" s="7" t="s">
        <v>44</v>
      </c>
      <c r="R636" s="4" t="s">
        <v>369</v>
      </c>
      <c r="S636" s="20">
        <v>3</v>
      </c>
      <c r="T636" s="2">
        <v>0</v>
      </c>
      <c r="X636" s="2">
        <v>1</v>
      </c>
      <c r="Y636" s="2">
        <v>1</v>
      </c>
      <c r="Z636" s="2">
        <v>1</v>
      </c>
    </row>
    <row r="637" spans="1:28">
      <c r="A637" s="7">
        <f>MAX($A$1:$A636)+1</f>
        <v>636</v>
      </c>
      <c r="B637" s="2" t="s">
        <v>171</v>
      </c>
      <c r="C637" s="2" t="s">
        <v>170</v>
      </c>
      <c r="D637" s="2" t="s">
        <v>20</v>
      </c>
      <c r="E637" s="7" t="s">
        <v>458</v>
      </c>
      <c r="F637" s="4">
        <v>48.8542671203613</v>
      </c>
      <c r="G637" s="18">
        <v>-125.11703491210901</v>
      </c>
      <c r="H637" s="5" t="s">
        <v>5</v>
      </c>
      <c r="I637" s="2">
        <v>3</v>
      </c>
      <c r="J637" s="2">
        <v>90</v>
      </c>
      <c r="K637" s="6">
        <v>0.42708333333333331</v>
      </c>
      <c r="L637" s="2" t="s">
        <v>172</v>
      </c>
      <c r="M637" s="2">
        <v>5.5</v>
      </c>
      <c r="N637" s="2">
        <v>0</v>
      </c>
      <c r="O637" s="2">
        <v>1</v>
      </c>
      <c r="P637" s="2" t="s">
        <v>234</v>
      </c>
      <c r="Q637" s="7" t="s">
        <v>45</v>
      </c>
      <c r="R637" s="4" t="s">
        <v>353</v>
      </c>
      <c r="S637" s="20">
        <v>2</v>
      </c>
      <c r="T637" s="2">
        <v>0</v>
      </c>
      <c r="Y637" s="2">
        <v>1</v>
      </c>
      <c r="Z637" s="2">
        <v>1</v>
      </c>
    </row>
    <row r="638" spans="1:28">
      <c r="A638" s="7">
        <f>MAX($A$1:$A637)+1</f>
        <v>637</v>
      </c>
      <c r="B638" s="2" t="s">
        <v>171</v>
      </c>
      <c r="C638" s="2" t="s">
        <v>170</v>
      </c>
      <c r="D638" s="2" t="s">
        <v>20</v>
      </c>
      <c r="E638" s="7" t="s">
        <v>458</v>
      </c>
      <c r="F638" s="4">
        <v>48.8542671203613</v>
      </c>
      <c r="G638" s="18">
        <v>-125.11703491210901</v>
      </c>
      <c r="H638" s="5" t="s">
        <v>5</v>
      </c>
      <c r="I638" s="2">
        <v>3</v>
      </c>
      <c r="J638" s="2">
        <v>90</v>
      </c>
      <c r="K638" s="6">
        <v>0.42708333333333331</v>
      </c>
      <c r="L638" s="2" t="s">
        <v>172</v>
      </c>
      <c r="M638" s="2">
        <v>5.5</v>
      </c>
      <c r="N638" s="2">
        <v>0</v>
      </c>
      <c r="O638" s="2">
        <v>1</v>
      </c>
      <c r="P638" s="2" t="s">
        <v>235</v>
      </c>
      <c r="Q638" s="7" t="s">
        <v>54</v>
      </c>
      <c r="R638" s="4" t="s">
        <v>364</v>
      </c>
      <c r="S638" s="20">
        <v>1</v>
      </c>
      <c r="T638" s="2">
        <v>0</v>
      </c>
      <c r="X638" s="2">
        <v>1</v>
      </c>
    </row>
    <row r="639" spans="1:28">
      <c r="A639" s="7">
        <f>MAX($A$1:$A638)+1</f>
        <v>638</v>
      </c>
      <c r="B639" s="2" t="str">
        <f t="shared" ref="B639:C641" si="79">IF(ISERROR(B638),IF(ISERROR(B637),IF(ISERROR(B636),"BLANK",B636),B637),B638)</f>
        <v>Em Lim</v>
      </c>
      <c r="C639" s="2" t="str">
        <f t="shared" si="79"/>
        <v>Jasmin Schuster</v>
      </c>
      <c r="D639" s="27" t="s">
        <v>27</v>
      </c>
      <c r="E639" s="7" t="str">
        <f>IF(ISERROR(VLOOKUP($D639,SITES!$A:$E,2,FALSE)),"",VLOOKUP($D639,SITES!$A:$E,2,FALSE))</f>
        <v>Aguilar Point</v>
      </c>
      <c r="F639" s="4">
        <f>IF(ISERROR(VLOOKUP($D639,SITES!$A:$E,3,FALSE)),"",VLOOKUP($D639,SITES!$A:$E,3,FALSE))</f>
        <v>48.837589000000001</v>
      </c>
      <c r="G639" s="18">
        <f>IF(ISERROR(VLOOKUP($D639,SITES!$A:$E,4,FALSE)),"",VLOOKUP($D639,SITES!$A:$E,4,FALSE))</f>
        <v>-125.14414499999999</v>
      </c>
      <c r="H639" s="5" t="str">
        <f>IF(ISERROR(H638),IF(ISERROR(H637),IF(ISERROR(H636),"BLANK",H636),H637),H638)</f>
        <v>08/05/2023</v>
      </c>
      <c r="I639" s="2">
        <v>3</v>
      </c>
      <c r="J639" s="2">
        <v>30</v>
      </c>
      <c r="K639" s="6">
        <v>0.51388888888888895</v>
      </c>
      <c r="L639" s="2" t="str">
        <f>IF(ISERROR(L638),IF(ISERROR(L637),IF(ISERROR(L636),"BLANK",L636),L637),L638)</f>
        <v>EGL</v>
      </c>
      <c r="M639" s="2">
        <v>7</v>
      </c>
      <c r="N639" s="2">
        <v>1</v>
      </c>
      <c r="O639" s="2">
        <v>1</v>
      </c>
      <c r="P639" s="27" t="s">
        <v>173</v>
      </c>
      <c r="Q639" s="7" t="str">
        <f>IF($N639=1,IF(ISERROR(VLOOKUP($P639,'M1'!$A:$C,Q$2,FALSE)),"NOT PRESENT",VLOOKUP($P639,'M1'!$A:$C,Q$2,FALSE)),IF($N639=2,IF(ISERROR(VLOOKUP(DATA!$P211,'M2'!$A:$C,Q$2,FALSE)),"NOT PRESENT",VLOOKUP(DATA!$P211,'M2'!$A:$C,Q$2,FALSE)),IF($N639=0,IF(ISERROR(VLOOKUP($P639,'M1'!$A:$C,Q$2,FALSE)),IF(ISERROR(VLOOKUP(DATA!$P211,'M2'!$A:$C,Q$2,FALSE)),"NOT PRESENT",VLOOKUP(DATA!$P211,'M2'!$A:$C,Q$2,FALSE)),VLOOKUP($P639,'M1'!$A:$C,Q$2,FALSE)),"SPECIFY METHOD")))</f>
        <v>NOT PRESENT</v>
      </c>
      <c r="R639" s="4" t="str">
        <f>IF($N639=1,IF(ISERROR(VLOOKUP($P639,'M1'!$A:$C,R$2,FALSE)),"NOT PRESENT",VLOOKUP($P639,'M1'!$A:$C,R$2,FALSE)),IF($N639=2,IF(ISERROR(VLOOKUP(DATA!$P211,'M2'!$A:$C,R$2,FALSE)),"NOT PRESENT",VLOOKUP(DATA!$P211,'M2'!$A:$C,R$2,FALSE)),IF($N639=0,IF(ISERROR(VLOOKUP($P639,'M1'!$A:$C,R$2,FALSE)),IF(ISERROR(VLOOKUP(DATA!$P211,'M2'!$A:$C,R$2,FALSE)),"NOT PRESENT",VLOOKUP(DATA!$P211,'M2'!$A:$C,R$2,FALSE)),VLOOKUP($P639,'M1'!$A:$C,R$2,FALSE)),"SPECIFY METHOD")))</f>
        <v>NOT PRESENT</v>
      </c>
      <c r="S639" s="20">
        <f t="shared" ref="S639:S670" si="80">SUM(T639:AV639)</f>
        <v>9</v>
      </c>
      <c r="T639" s="2">
        <v>0</v>
      </c>
      <c r="V639" s="2">
        <v>3</v>
      </c>
      <c r="W639" s="2">
        <v>5</v>
      </c>
      <c r="X639" s="2">
        <v>1</v>
      </c>
    </row>
    <row r="640" spans="1:28">
      <c r="A640" s="7">
        <f>MAX($A$1:$A639)+1</f>
        <v>639</v>
      </c>
      <c r="B640" s="2" t="str">
        <f t="shared" si="79"/>
        <v>Em Lim</v>
      </c>
      <c r="C640" s="2" t="str">
        <f t="shared" si="79"/>
        <v>Jasmin Schuster</v>
      </c>
      <c r="D640" s="2" t="str">
        <f>IF(ISERROR(D639),IF(ISERROR(D638),IF(ISERROR(D637),"BLANK",D637),D638),D639)</f>
        <v>BMSC23</v>
      </c>
      <c r="E640" s="7" t="str">
        <f>IF(ISERROR(VLOOKUP($D640,SITES!$A:$E,2,FALSE)),"",VLOOKUP($D640,SITES!$A:$E,2,FALSE))</f>
        <v>Aguilar Point</v>
      </c>
      <c r="F640" s="4">
        <f>IF(ISERROR(VLOOKUP($D640,SITES!$A:$E,3,FALSE)),"",VLOOKUP($D640,SITES!$A:$E,3,FALSE))</f>
        <v>48.837589000000001</v>
      </c>
      <c r="G640" s="18">
        <f>IF(ISERROR(VLOOKUP($D640,SITES!$A:$E,4,FALSE)),"",VLOOKUP($D640,SITES!$A:$E,4,FALSE))</f>
        <v>-125.14414499999999</v>
      </c>
      <c r="H640" s="5" t="str">
        <f>IF(ISERROR(H639),IF(ISERROR(H638),IF(ISERROR(H637),"BLANK",H637),H638),H639)</f>
        <v>08/05/2023</v>
      </c>
      <c r="I640" s="2">
        <f t="shared" ref="I640:K641" si="81">IF(ISERROR(I639),IF(ISERROR(I638),IF(ISERROR(I637),"BLANK",I637),I638),I639)</f>
        <v>3</v>
      </c>
      <c r="J640" s="2">
        <f t="shared" si="81"/>
        <v>30</v>
      </c>
      <c r="K640" s="6">
        <f t="shared" si="81"/>
        <v>0.51388888888888895</v>
      </c>
      <c r="L640" s="2" t="str">
        <f>IF(ISERROR(L639),IF(ISERROR(L638),IF(ISERROR(L637),"BLANK",L637),L638),L639)</f>
        <v>EGL</v>
      </c>
      <c r="M640" s="2">
        <f t="shared" ref="M640:O641" si="82">IF(ISERROR(M639),IF(ISERROR(M638),IF(ISERROR(M637),"BLANK",M637),M638),M639)</f>
        <v>7</v>
      </c>
      <c r="N640" s="2">
        <f t="shared" si="82"/>
        <v>1</v>
      </c>
      <c r="O640" s="2">
        <f t="shared" si="82"/>
        <v>1</v>
      </c>
      <c r="P640" s="27" t="s">
        <v>174</v>
      </c>
      <c r="Q640" s="7" t="str">
        <f>IF($N640=1,IF(ISERROR(VLOOKUP($P640,'M1'!$A:$C,Q$2,FALSE)),"NOT PRESENT",VLOOKUP($P640,'M1'!$A:$C,Q$2,FALSE)),IF($N640=2,IF(ISERROR(VLOOKUP(DATA!$P212,'M2'!$A:$C,Q$2,FALSE)),"NOT PRESENT",VLOOKUP(DATA!$P212,'M2'!$A:$C,Q$2,FALSE)),IF($N640=0,IF(ISERROR(VLOOKUP($P640,'M1'!$A:$C,Q$2,FALSE)),IF(ISERROR(VLOOKUP(DATA!$P212,'M2'!$A:$C,Q$2,FALSE)),"NOT PRESENT",VLOOKUP(DATA!$P212,'M2'!$A:$C,Q$2,FALSE)),VLOOKUP($P640,'M1'!$A:$C,Q$2,FALSE)),"SPECIFY METHOD")))</f>
        <v>NOT PRESENT</v>
      </c>
      <c r="R640" s="4" t="str">
        <f>IF($N640=1,IF(ISERROR(VLOOKUP($P640,'M1'!$A:$C,R$2,FALSE)),"NOT PRESENT",VLOOKUP($P640,'M1'!$A:$C,R$2,FALSE)),IF($N640=2,IF(ISERROR(VLOOKUP(DATA!$P212,'M2'!$A:$C,R$2,FALSE)),"NOT PRESENT",VLOOKUP(DATA!$P212,'M2'!$A:$C,R$2,FALSE)),IF($N640=0,IF(ISERROR(VLOOKUP($P640,'M1'!$A:$C,R$2,FALSE)),IF(ISERROR(VLOOKUP(DATA!$P212,'M2'!$A:$C,R$2,FALSE)),"NOT PRESENT",VLOOKUP(DATA!$P212,'M2'!$A:$C,R$2,FALSE)),VLOOKUP($P640,'M1'!$A:$C,R$2,FALSE)),"SPECIFY METHOD")))</f>
        <v>NOT PRESENT</v>
      </c>
      <c r="S640" s="20">
        <f t="shared" si="80"/>
        <v>2</v>
      </c>
      <c r="T640" s="2">
        <v>0</v>
      </c>
      <c r="AA640" s="2">
        <v>1</v>
      </c>
      <c r="AB640" s="2">
        <v>1</v>
      </c>
    </row>
    <row r="641" spans="1:26">
      <c r="A641" s="7">
        <f>MAX($A$1:$A640)+1</f>
        <v>640</v>
      </c>
      <c r="B641" s="2" t="str">
        <f t="shared" si="79"/>
        <v>Em Lim</v>
      </c>
      <c r="C641" s="2" t="str">
        <f t="shared" si="79"/>
        <v>Jasmin Schuster</v>
      </c>
      <c r="D641" s="2" t="str">
        <f>IF(ISERROR(D640),IF(ISERROR(D639),IF(ISERROR(D638),"BLANK",D638),D639),D640)</f>
        <v>BMSC23</v>
      </c>
      <c r="E641" s="7" t="str">
        <f>IF(ISERROR(VLOOKUP($D641,SITES!$A:$E,2,FALSE)),"",VLOOKUP($D641,SITES!$A:$E,2,FALSE))</f>
        <v>Aguilar Point</v>
      </c>
      <c r="F641" s="4">
        <f>IF(ISERROR(VLOOKUP($D641,SITES!$A:$E,3,FALSE)),"",VLOOKUP($D641,SITES!$A:$E,3,FALSE))</f>
        <v>48.837589000000001</v>
      </c>
      <c r="G641" s="18">
        <f>IF(ISERROR(VLOOKUP($D641,SITES!$A:$E,4,FALSE)),"",VLOOKUP($D641,SITES!$A:$E,4,FALSE))</f>
        <v>-125.14414499999999</v>
      </c>
      <c r="H641" s="5" t="str">
        <f>IF(ISERROR(H640),IF(ISERROR(H639),IF(ISERROR(H638),"BLANK",H638),H639),H640)</f>
        <v>08/05/2023</v>
      </c>
      <c r="I641" s="2">
        <f t="shared" si="81"/>
        <v>3</v>
      </c>
      <c r="J641" s="2">
        <f t="shared" si="81"/>
        <v>30</v>
      </c>
      <c r="K641" s="6">
        <f t="shared" si="81"/>
        <v>0.51388888888888895</v>
      </c>
      <c r="L641" s="2" t="str">
        <f>IF(ISERROR(L640),IF(ISERROR(L639),IF(ISERROR(L638),"BLANK",L638),L639),L640)</f>
        <v>EGL</v>
      </c>
      <c r="M641" s="2">
        <f t="shared" si="82"/>
        <v>7</v>
      </c>
      <c r="N641" s="2">
        <f t="shared" si="82"/>
        <v>1</v>
      </c>
      <c r="O641" s="2">
        <f t="shared" si="82"/>
        <v>1</v>
      </c>
      <c r="P641" s="27" t="s">
        <v>261</v>
      </c>
      <c r="Q641" s="7" t="str">
        <f>IF($N641=1,IF(ISERROR(VLOOKUP($P641,'M1'!$A:$C,Q$2,FALSE)),"NOT PRESENT",VLOOKUP($P641,'M1'!$A:$C,Q$2,FALSE)),IF($N641=2,IF(ISERROR(VLOOKUP(DATA!$P213,'M2'!$A:$C,Q$2,FALSE)),"NOT PRESENT",VLOOKUP(DATA!$P213,'M2'!$A:$C,Q$2,FALSE)),IF($N641=0,IF(ISERROR(VLOOKUP($P641,'M1'!$A:$C,Q$2,FALSE)),IF(ISERROR(VLOOKUP(DATA!$P213,'M2'!$A:$C,Q$2,FALSE)),"NOT PRESENT",VLOOKUP(DATA!$P213,'M2'!$A:$C,Q$2,FALSE)),VLOOKUP($P641,'M1'!$A:$C,Q$2,FALSE)),"SPECIFY METHOD")))</f>
        <v>NOT PRESENT</v>
      </c>
      <c r="R641" s="4" t="str">
        <f>IF($N641=1,IF(ISERROR(VLOOKUP($P641,'M1'!$A:$C,R$2,FALSE)),"NOT PRESENT",VLOOKUP($P641,'M1'!$A:$C,R$2,FALSE)),IF($N641=2,IF(ISERROR(VLOOKUP(DATA!$P213,'M2'!$A:$C,R$2,FALSE)),"NOT PRESENT",VLOOKUP(DATA!$P213,'M2'!$A:$C,R$2,FALSE)),IF($N641=0,IF(ISERROR(VLOOKUP($P641,'M1'!$A:$C,R$2,FALSE)),IF(ISERROR(VLOOKUP(DATA!$P213,'M2'!$A:$C,R$2,FALSE)),"NOT PRESENT",VLOOKUP(DATA!$P213,'M2'!$A:$C,R$2,FALSE)),VLOOKUP($P641,'M1'!$A:$C,R$2,FALSE)),"SPECIFY METHOD")))</f>
        <v>NOT PRESENT</v>
      </c>
      <c r="S641" s="20">
        <f t="shared" si="80"/>
        <v>1</v>
      </c>
      <c r="T641" s="2">
        <v>0</v>
      </c>
      <c r="X641" s="2">
        <v>1</v>
      </c>
    </row>
    <row r="642" spans="1:26">
      <c r="A642" s="7">
        <f>MAX($A$1:$A641)+1</f>
        <v>641</v>
      </c>
      <c r="B642" s="2" t="str">
        <f>IF(ISERROR(B640),IF(ISERROR(B639),IF(ISERROR(B638),"BLANK",B638),B639),B640)</f>
        <v>Em Lim</v>
      </c>
      <c r="C642" s="2" t="str">
        <f>IF(ISERROR(C640),IF(ISERROR(C639),IF(ISERROR(C638),"BLANK",C638),C639),C640)</f>
        <v>Jasmin Schuster</v>
      </c>
      <c r="D642" s="2" t="str">
        <f>IF(ISERROR(D640),IF(ISERROR(D639),IF(ISERROR(D638),"BLANK",D638),D639),D640)</f>
        <v>BMSC23</v>
      </c>
      <c r="E642" s="7" t="str">
        <f>IF(ISERROR(VLOOKUP($D642,SITES!$A:$E,2,FALSE)),"",VLOOKUP($D642,SITES!$A:$E,2,FALSE))</f>
        <v>Aguilar Point</v>
      </c>
      <c r="F642" s="4">
        <f>IF(ISERROR(VLOOKUP($D642,SITES!$A:$E,3,FALSE)),"",VLOOKUP($D642,SITES!$A:$E,3,FALSE))</f>
        <v>48.837589000000001</v>
      </c>
      <c r="G642" s="18">
        <f>IF(ISERROR(VLOOKUP($D642,SITES!$A:$E,4,FALSE)),"",VLOOKUP($D642,SITES!$A:$E,4,FALSE))</f>
        <v>-125.14414499999999</v>
      </c>
      <c r="H642" s="5" t="str">
        <f t="shared" ref="H642:O642" si="83">IF(ISERROR(H640),IF(ISERROR(H639),IF(ISERROR(H638),"BLANK",H638),H639),H640)</f>
        <v>08/05/2023</v>
      </c>
      <c r="I642" s="2">
        <f t="shared" si="83"/>
        <v>3</v>
      </c>
      <c r="J642" s="2">
        <f t="shared" si="83"/>
        <v>30</v>
      </c>
      <c r="K642" s="6">
        <f t="shared" si="83"/>
        <v>0.51388888888888895</v>
      </c>
      <c r="L642" s="2" t="str">
        <f t="shared" si="83"/>
        <v>EGL</v>
      </c>
      <c r="M642" s="2">
        <f t="shared" si="83"/>
        <v>7</v>
      </c>
      <c r="N642" s="2">
        <f t="shared" si="83"/>
        <v>1</v>
      </c>
      <c r="O642" s="2">
        <f t="shared" si="83"/>
        <v>1</v>
      </c>
      <c r="P642" s="27" t="s">
        <v>258</v>
      </c>
      <c r="Q642" s="7" t="str">
        <f>IF($N642=1,IF(ISERROR(VLOOKUP($P642,'M1'!$A:$C,Q$2,FALSE)),"NOT PRESENT",VLOOKUP($P642,'M1'!$A:$C,Q$2,FALSE)),IF($N642=2,IF(ISERROR(VLOOKUP(DATA!$P214,'M2'!$A:$C,Q$2,FALSE)),"NOT PRESENT",VLOOKUP(DATA!$P214,'M2'!$A:$C,Q$2,FALSE)),IF($N642=0,IF(ISERROR(VLOOKUP($P642,'M1'!$A:$C,Q$2,FALSE)),IF(ISERROR(VLOOKUP(DATA!$P214,'M2'!$A:$C,Q$2,FALSE)),"NOT PRESENT",VLOOKUP(DATA!$P214,'M2'!$A:$C,Q$2,FALSE)),VLOOKUP($P642,'M1'!$A:$C,Q$2,FALSE)),"SPECIFY METHOD")))</f>
        <v>NOT PRESENT</v>
      </c>
      <c r="R642" s="4" t="str">
        <f>IF($N642=1,IF(ISERROR(VLOOKUP($P642,'M1'!$A:$C,R$2,FALSE)),"NOT PRESENT",VLOOKUP($P642,'M1'!$A:$C,R$2,FALSE)),IF($N642=2,IF(ISERROR(VLOOKUP(DATA!$P214,'M2'!$A:$C,R$2,FALSE)),"NOT PRESENT",VLOOKUP(DATA!$P214,'M2'!$A:$C,R$2,FALSE)),IF($N642=0,IF(ISERROR(VLOOKUP($P642,'M1'!$A:$C,R$2,FALSE)),IF(ISERROR(VLOOKUP(DATA!$P214,'M2'!$A:$C,R$2,FALSE)),"NOT PRESENT",VLOOKUP(DATA!$P214,'M2'!$A:$C,R$2,FALSE)),VLOOKUP($P642,'M1'!$A:$C,R$2,FALSE)),"SPECIFY METHOD")))</f>
        <v>NOT PRESENT</v>
      </c>
      <c r="S642" s="20">
        <f t="shared" si="80"/>
        <v>1</v>
      </c>
      <c r="T642" s="2">
        <v>0</v>
      </c>
      <c r="W642" s="2">
        <v>1</v>
      </c>
    </row>
    <row r="643" spans="1:26">
      <c r="A643" s="7">
        <f>MAX($A$1:$A642)+1</f>
        <v>642</v>
      </c>
      <c r="B643" s="2" t="str">
        <f>IF(ISERROR(B642),IF(ISERROR(B640),IF(ISERROR(B639),"BLANK",B639),B640),B642)</f>
        <v>Em Lim</v>
      </c>
      <c r="C643" s="2" t="str">
        <f>IF(ISERROR(C642),IF(ISERROR(C640),IF(ISERROR(C639),"BLANK",C639),C640),C642)</f>
        <v>Jasmin Schuster</v>
      </c>
      <c r="D643" s="2" t="str">
        <f>IF(ISERROR(D642),IF(ISERROR(D640),IF(ISERROR(D639),"BLANK",D639),D640),D642)</f>
        <v>BMSC23</v>
      </c>
      <c r="E643" s="7" t="str">
        <f>IF(ISERROR(VLOOKUP($D643,SITES!$A:$E,2,FALSE)),"",VLOOKUP($D643,SITES!$A:$E,2,FALSE))</f>
        <v>Aguilar Point</v>
      </c>
      <c r="F643" s="4">
        <f>IF(ISERROR(VLOOKUP($D643,SITES!$A:$E,3,FALSE)),"",VLOOKUP($D643,SITES!$A:$E,3,FALSE))</f>
        <v>48.837589000000001</v>
      </c>
      <c r="G643" s="18">
        <f>IF(ISERROR(VLOOKUP($D643,SITES!$A:$E,4,FALSE)),"",VLOOKUP($D643,SITES!$A:$E,4,FALSE))</f>
        <v>-125.14414499999999</v>
      </c>
      <c r="H643" s="5" t="str">
        <f t="shared" ref="H643:O643" si="84">IF(ISERROR(H642),IF(ISERROR(H640),IF(ISERROR(H639),"BLANK",H639),H640),H642)</f>
        <v>08/05/2023</v>
      </c>
      <c r="I643" s="2">
        <f t="shared" si="84"/>
        <v>3</v>
      </c>
      <c r="J643" s="2">
        <f t="shared" si="84"/>
        <v>30</v>
      </c>
      <c r="K643" s="6">
        <f t="shared" si="84"/>
        <v>0.51388888888888895</v>
      </c>
      <c r="L643" s="2" t="str">
        <f t="shared" si="84"/>
        <v>EGL</v>
      </c>
      <c r="M643" s="2">
        <f t="shared" si="84"/>
        <v>7</v>
      </c>
      <c r="N643" s="2">
        <f t="shared" si="84"/>
        <v>1</v>
      </c>
      <c r="O643" s="2">
        <f t="shared" si="84"/>
        <v>1</v>
      </c>
      <c r="P643" s="27" t="s">
        <v>176</v>
      </c>
      <c r="Q643" s="7" t="str">
        <f>IF($N643=1,IF(ISERROR(VLOOKUP($P643,'M1'!$A:$C,Q$2,FALSE)),"NOT PRESENT",VLOOKUP($P643,'M1'!$A:$C,Q$2,FALSE)),IF($N643=2,IF(ISERROR(VLOOKUP(DATA!$P215,'M2'!$A:$C,Q$2,FALSE)),"NOT PRESENT",VLOOKUP(DATA!$P215,'M2'!$A:$C,Q$2,FALSE)),IF($N643=0,IF(ISERROR(VLOOKUP($P643,'M1'!$A:$C,Q$2,FALSE)),IF(ISERROR(VLOOKUP(DATA!$P215,'M2'!$A:$C,Q$2,FALSE)),"NOT PRESENT",VLOOKUP(DATA!$P215,'M2'!$A:$C,Q$2,FALSE)),VLOOKUP($P643,'M1'!$A:$C,Q$2,FALSE)),"SPECIFY METHOD")))</f>
        <v>NOT PRESENT</v>
      </c>
      <c r="R643" s="4" t="str">
        <f>IF($N643=1,IF(ISERROR(VLOOKUP($P643,'M1'!$A:$C,R$2,FALSE)),"NOT PRESENT",VLOOKUP($P643,'M1'!$A:$C,R$2,FALSE)),IF($N643=2,IF(ISERROR(VLOOKUP(DATA!$P215,'M2'!$A:$C,R$2,FALSE)),"NOT PRESENT",VLOOKUP(DATA!$P215,'M2'!$A:$C,R$2,FALSE)),IF($N643=0,IF(ISERROR(VLOOKUP($P643,'M1'!$A:$C,R$2,FALSE)),IF(ISERROR(VLOOKUP(DATA!$P215,'M2'!$A:$C,R$2,FALSE)),"NOT PRESENT",VLOOKUP(DATA!$P215,'M2'!$A:$C,R$2,FALSE)),VLOOKUP($P643,'M1'!$A:$C,R$2,FALSE)),"SPECIFY METHOD")))</f>
        <v>NOT PRESENT</v>
      </c>
      <c r="S643" s="20">
        <f t="shared" si="80"/>
        <v>1</v>
      </c>
      <c r="T643" s="2">
        <v>0</v>
      </c>
      <c r="Z643" s="2">
        <v>1</v>
      </c>
    </row>
    <row r="644" spans="1:26">
      <c r="A644" s="7">
        <f>MAX($A$1:$A643)+1</f>
        <v>643</v>
      </c>
      <c r="B644" s="2" t="str">
        <f>IF(ISERROR(B643),IF(ISERROR(B642),IF(ISERROR(B640),"BLANK",B640),B642),B643)</f>
        <v>Em Lim</v>
      </c>
      <c r="C644" s="2" t="str">
        <f>IF(ISERROR(C643),IF(ISERROR(C642),IF(ISERROR(C640),"BLANK",C640),C642),C643)</f>
        <v>Jasmin Schuster</v>
      </c>
      <c r="D644" s="2" t="str">
        <f>IF(ISERROR(D643),IF(ISERROR(D642),IF(ISERROR(D640),"BLANK",D640),D642),D643)</f>
        <v>BMSC23</v>
      </c>
      <c r="E644" s="7" t="str">
        <f>IF(ISERROR(VLOOKUP($D644,SITES!$A:$E,2,FALSE)),"",VLOOKUP($D644,SITES!$A:$E,2,FALSE))</f>
        <v>Aguilar Point</v>
      </c>
      <c r="F644" s="4">
        <f>IF(ISERROR(VLOOKUP($D644,SITES!$A:$E,3,FALSE)),"",VLOOKUP($D644,SITES!$A:$E,3,FALSE))</f>
        <v>48.837589000000001</v>
      </c>
      <c r="G644" s="18">
        <f>IF(ISERROR(VLOOKUP($D644,SITES!$A:$E,4,FALSE)),"",VLOOKUP($D644,SITES!$A:$E,4,FALSE))</f>
        <v>-125.14414499999999</v>
      </c>
      <c r="H644" s="5" t="str">
        <f t="shared" ref="H644:M644" si="85">IF(ISERROR(H643),IF(ISERROR(H642),IF(ISERROR(H640),"BLANK",H640),H642),H643)</f>
        <v>08/05/2023</v>
      </c>
      <c r="I644" s="2">
        <f t="shared" si="85"/>
        <v>3</v>
      </c>
      <c r="J644" s="2">
        <f t="shared" si="85"/>
        <v>30</v>
      </c>
      <c r="K644" s="6">
        <f t="shared" si="85"/>
        <v>0.51388888888888895</v>
      </c>
      <c r="L644" s="2" t="str">
        <f t="shared" si="85"/>
        <v>EGL</v>
      </c>
      <c r="M644" s="2">
        <f t="shared" si="85"/>
        <v>7</v>
      </c>
      <c r="N644" s="2">
        <v>2</v>
      </c>
      <c r="O644" s="2">
        <f>IF(ISERROR(O643),IF(ISERROR(O642),IF(ISERROR(O640),"BLANK",O640),O642),O643)</f>
        <v>1</v>
      </c>
      <c r="P644" s="27" t="s">
        <v>178</v>
      </c>
      <c r="Q644" s="7" t="str">
        <f>IF($N644=1,IF(ISERROR(VLOOKUP($P644,'M1'!$A:$C,Q$2,FALSE)),"NOT PRESENT",VLOOKUP($P644,'M1'!$A:$C,Q$2,FALSE)),IF($N644=2,IF(ISERROR(VLOOKUP(DATA!$P216,'M2'!$A:$C,Q$2,FALSE)),"NOT PRESENT",VLOOKUP(DATA!$P216,'M2'!$A:$C,Q$2,FALSE)),IF($N644=0,IF(ISERROR(VLOOKUP($P644,'M1'!$A:$C,Q$2,FALSE)),IF(ISERROR(VLOOKUP(DATA!$P216,'M2'!$A:$C,Q$2,FALSE)),"NOT PRESENT",VLOOKUP(DATA!$P216,'M2'!$A:$C,Q$2,FALSE)),VLOOKUP($P644,'M1'!$A:$C,Q$2,FALSE)),"SPECIFY METHOD")))</f>
        <v>NOT PRESENT</v>
      </c>
      <c r="R644" s="4" t="str">
        <f>IF($N644=1,IF(ISERROR(VLOOKUP($P644,'M1'!$A:$C,R$2,FALSE)),"NOT PRESENT",VLOOKUP($P644,'M1'!$A:$C,R$2,FALSE)),IF($N644=2,IF(ISERROR(VLOOKUP(DATA!$P216,'M2'!$A:$C,R$2,FALSE)),"NOT PRESENT",VLOOKUP(DATA!$P216,'M2'!$A:$C,R$2,FALSE)),IF($N644=0,IF(ISERROR(VLOOKUP($P644,'M1'!$A:$C,R$2,FALSE)),IF(ISERROR(VLOOKUP(DATA!$P216,'M2'!$A:$C,R$2,FALSE)),"NOT PRESENT",VLOOKUP(DATA!$P216,'M2'!$A:$C,R$2,FALSE)),VLOOKUP($P644,'M1'!$A:$C,R$2,FALSE)),"SPECIFY METHOD")))</f>
        <v>NOT PRESENT</v>
      </c>
      <c r="S644" s="20">
        <f t="shared" si="80"/>
        <v>203</v>
      </c>
      <c r="T644" s="2">
        <v>203</v>
      </c>
    </row>
    <row r="645" spans="1:26">
      <c r="A645" s="7">
        <f>MAX($A$1:$A644)+1</f>
        <v>644</v>
      </c>
      <c r="B645" s="2" t="str">
        <f t="shared" ref="B645:B670" si="86">IF(ISERROR(B644),IF(ISERROR(B643),IF(ISERROR(B642),"BLANK",B642),B643),B644)</f>
        <v>Em Lim</v>
      </c>
      <c r="C645" s="2" t="str">
        <f t="shared" ref="C645:C670" si="87">IF(ISERROR(C644),IF(ISERROR(C643),IF(ISERROR(C642),"BLANK",C642),C643),C644)</f>
        <v>Jasmin Schuster</v>
      </c>
      <c r="D645" s="2" t="str">
        <f t="shared" ref="D645:D670" si="88">IF(ISERROR(D644),IF(ISERROR(D643),IF(ISERROR(D642),"BLANK",D642),D643),D644)</f>
        <v>BMSC23</v>
      </c>
      <c r="E645" s="7" t="str">
        <f>IF(ISERROR(VLOOKUP($D645,SITES!$A:$E,2,FALSE)),"",VLOOKUP($D645,SITES!$A:$E,2,FALSE))</f>
        <v>Aguilar Point</v>
      </c>
      <c r="F645" s="4">
        <f>IF(ISERROR(VLOOKUP($D645,SITES!$A:$E,3,FALSE)),"",VLOOKUP($D645,SITES!$A:$E,3,FALSE))</f>
        <v>48.837589000000001</v>
      </c>
      <c r="G645" s="18">
        <f>IF(ISERROR(VLOOKUP($D645,SITES!$A:$E,4,FALSE)),"",VLOOKUP($D645,SITES!$A:$E,4,FALSE))</f>
        <v>-125.14414499999999</v>
      </c>
      <c r="H645" s="5" t="str">
        <f t="shared" ref="H645:O652" si="89">IF(ISERROR(H644),IF(ISERROR(H643),IF(ISERROR(H642),"BLANK",H642),H643),H644)</f>
        <v>08/05/2023</v>
      </c>
      <c r="I645" s="2">
        <f t="shared" si="89"/>
        <v>3</v>
      </c>
      <c r="J645" s="2">
        <f t="shared" si="89"/>
        <v>30</v>
      </c>
      <c r="K645" s="6">
        <f t="shared" si="89"/>
        <v>0.51388888888888895</v>
      </c>
      <c r="L645" s="2" t="str">
        <f t="shared" si="89"/>
        <v>EGL</v>
      </c>
      <c r="M645" s="2">
        <f t="shared" si="89"/>
        <v>7</v>
      </c>
      <c r="N645" s="2">
        <f t="shared" si="89"/>
        <v>2</v>
      </c>
      <c r="O645" s="2">
        <f t="shared" si="89"/>
        <v>1</v>
      </c>
      <c r="P645" s="27" t="s">
        <v>183</v>
      </c>
      <c r="Q645" s="7" t="str">
        <f>IF($N645=1,IF(ISERROR(VLOOKUP($P645,'M1'!$A:$C,Q$2,FALSE)),"NOT PRESENT",VLOOKUP($P645,'M1'!$A:$C,Q$2,FALSE)),IF($N645=2,IF(ISERROR(VLOOKUP(DATA!$P217,'M2'!$A:$C,Q$2,FALSE)),"NOT PRESENT",VLOOKUP(DATA!$P217,'M2'!$A:$C,Q$2,FALSE)),IF($N645=0,IF(ISERROR(VLOOKUP($P645,'M1'!$A:$C,Q$2,FALSE)),IF(ISERROR(VLOOKUP(DATA!$P217,'M2'!$A:$C,Q$2,FALSE)),"NOT PRESENT",VLOOKUP(DATA!$P217,'M2'!$A:$C,Q$2,FALSE)),VLOOKUP($P645,'M1'!$A:$C,Q$2,FALSE)),"SPECIFY METHOD")))</f>
        <v>NOT PRESENT</v>
      </c>
      <c r="R645" s="4" t="str">
        <f>IF($N645=1,IF(ISERROR(VLOOKUP($P645,'M1'!$A:$C,R$2,FALSE)),"NOT PRESENT",VLOOKUP($P645,'M1'!$A:$C,R$2,FALSE)),IF($N645=2,IF(ISERROR(VLOOKUP(DATA!$P217,'M2'!$A:$C,R$2,FALSE)),"NOT PRESENT",VLOOKUP(DATA!$P217,'M2'!$A:$C,R$2,FALSE)),IF($N645=0,IF(ISERROR(VLOOKUP($P645,'M1'!$A:$C,R$2,FALSE)),IF(ISERROR(VLOOKUP(DATA!$P217,'M2'!$A:$C,R$2,FALSE)),"NOT PRESENT",VLOOKUP(DATA!$P217,'M2'!$A:$C,R$2,FALSE)),VLOOKUP($P645,'M1'!$A:$C,R$2,FALSE)),"SPECIFY METHOD")))</f>
        <v>NOT PRESENT</v>
      </c>
      <c r="S645" s="20">
        <f t="shared" si="80"/>
        <v>6</v>
      </c>
      <c r="T645" s="2">
        <v>6</v>
      </c>
    </row>
    <row r="646" spans="1:26">
      <c r="A646" s="7">
        <f>MAX($A$1:$A645)+1</f>
        <v>645</v>
      </c>
      <c r="B646" s="2" t="str">
        <f t="shared" si="86"/>
        <v>Em Lim</v>
      </c>
      <c r="C646" s="2" t="str">
        <f t="shared" si="87"/>
        <v>Jasmin Schuster</v>
      </c>
      <c r="D646" s="2" t="str">
        <f t="shared" si="88"/>
        <v>BMSC23</v>
      </c>
      <c r="E646" s="7" t="str">
        <f>IF(ISERROR(VLOOKUP($D646,SITES!$A:$E,2,FALSE)),"",VLOOKUP($D646,SITES!$A:$E,2,FALSE))</f>
        <v>Aguilar Point</v>
      </c>
      <c r="F646" s="4">
        <f>IF(ISERROR(VLOOKUP($D646,SITES!$A:$E,3,FALSE)),"",VLOOKUP($D646,SITES!$A:$E,3,FALSE))</f>
        <v>48.837589000000001</v>
      </c>
      <c r="G646" s="18">
        <f>IF(ISERROR(VLOOKUP($D646,SITES!$A:$E,4,FALSE)),"",VLOOKUP($D646,SITES!$A:$E,4,FALSE))</f>
        <v>-125.14414499999999</v>
      </c>
      <c r="H646" s="5" t="str">
        <f t="shared" si="89"/>
        <v>08/05/2023</v>
      </c>
      <c r="I646" s="2">
        <f t="shared" si="89"/>
        <v>3</v>
      </c>
      <c r="J646" s="2">
        <f t="shared" si="89"/>
        <v>30</v>
      </c>
      <c r="K646" s="6">
        <f t="shared" si="89"/>
        <v>0.51388888888888895</v>
      </c>
      <c r="L646" s="2" t="str">
        <f t="shared" si="89"/>
        <v>EGL</v>
      </c>
      <c r="M646" s="2">
        <f t="shared" si="89"/>
        <v>7</v>
      </c>
      <c r="N646" s="2">
        <f t="shared" si="89"/>
        <v>2</v>
      </c>
      <c r="O646" s="2">
        <f t="shared" si="89"/>
        <v>1</v>
      </c>
      <c r="P646" s="27" t="s">
        <v>202</v>
      </c>
      <c r="Q646" s="7" t="str">
        <f>IF($N646=1,IF(ISERROR(VLOOKUP($P646,'M1'!$A:$C,Q$2,FALSE)),"NOT PRESENT",VLOOKUP($P646,'M1'!$A:$C,Q$2,FALSE)),IF($N646=2,IF(ISERROR(VLOOKUP(DATA!$P218,'M2'!$A:$C,Q$2,FALSE)),"NOT PRESENT",VLOOKUP(DATA!$P218,'M2'!$A:$C,Q$2,FALSE)),IF($N646=0,IF(ISERROR(VLOOKUP($P646,'M1'!$A:$C,Q$2,FALSE)),IF(ISERROR(VLOOKUP(DATA!$P218,'M2'!$A:$C,Q$2,FALSE)),"NOT PRESENT",VLOOKUP(DATA!$P218,'M2'!$A:$C,Q$2,FALSE)),VLOOKUP($P646,'M1'!$A:$C,Q$2,FALSE)),"SPECIFY METHOD")))</f>
        <v>NOT PRESENT</v>
      </c>
      <c r="R646" s="4" t="str">
        <f>IF($N646=1,IF(ISERROR(VLOOKUP($P646,'M1'!$A:$C,R$2,FALSE)),"NOT PRESENT",VLOOKUP($P646,'M1'!$A:$C,R$2,FALSE)),IF($N646=2,IF(ISERROR(VLOOKUP(DATA!$P218,'M2'!$A:$C,R$2,FALSE)),"NOT PRESENT",VLOOKUP(DATA!$P218,'M2'!$A:$C,R$2,FALSE)),IF($N646=0,IF(ISERROR(VLOOKUP($P646,'M1'!$A:$C,R$2,FALSE)),IF(ISERROR(VLOOKUP(DATA!$P218,'M2'!$A:$C,R$2,FALSE)),"NOT PRESENT",VLOOKUP(DATA!$P218,'M2'!$A:$C,R$2,FALSE)),VLOOKUP($P646,'M1'!$A:$C,R$2,FALSE)),"SPECIFY METHOD")))</f>
        <v>NOT PRESENT</v>
      </c>
      <c r="S646" s="20">
        <f t="shared" si="80"/>
        <v>29</v>
      </c>
      <c r="T646" s="2">
        <v>29</v>
      </c>
    </row>
    <row r="647" spans="1:26">
      <c r="A647" s="7">
        <f>MAX($A$1:$A646)+1</f>
        <v>646</v>
      </c>
      <c r="B647" s="2" t="str">
        <f t="shared" si="86"/>
        <v>Em Lim</v>
      </c>
      <c r="C647" s="2" t="str">
        <f t="shared" si="87"/>
        <v>Jasmin Schuster</v>
      </c>
      <c r="D647" s="2" t="str">
        <f t="shared" si="88"/>
        <v>BMSC23</v>
      </c>
      <c r="E647" s="7" t="str">
        <f>IF(ISERROR(VLOOKUP($D647,SITES!$A:$E,2,FALSE)),"",VLOOKUP($D647,SITES!$A:$E,2,FALSE))</f>
        <v>Aguilar Point</v>
      </c>
      <c r="F647" s="4">
        <f>IF(ISERROR(VLOOKUP($D647,SITES!$A:$E,3,FALSE)),"",VLOOKUP($D647,SITES!$A:$E,3,FALSE))</f>
        <v>48.837589000000001</v>
      </c>
      <c r="G647" s="18">
        <f>IF(ISERROR(VLOOKUP($D647,SITES!$A:$E,4,FALSE)),"",VLOOKUP($D647,SITES!$A:$E,4,FALSE))</f>
        <v>-125.14414499999999</v>
      </c>
      <c r="H647" s="5" t="str">
        <f t="shared" si="89"/>
        <v>08/05/2023</v>
      </c>
      <c r="I647" s="2">
        <f t="shared" si="89"/>
        <v>3</v>
      </c>
      <c r="J647" s="2">
        <f t="shared" si="89"/>
        <v>30</v>
      </c>
      <c r="K647" s="6">
        <f t="shared" si="89"/>
        <v>0.51388888888888895</v>
      </c>
      <c r="L647" s="2" t="str">
        <f t="shared" si="89"/>
        <v>EGL</v>
      </c>
      <c r="M647" s="2">
        <f t="shared" si="89"/>
        <v>7</v>
      </c>
      <c r="N647" s="2">
        <f t="shared" si="89"/>
        <v>2</v>
      </c>
      <c r="O647" s="2">
        <f t="shared" si="89"/>
        <v>1</v>
      </c>
      <c r="P647" s="27" t="s">
        <v>196</v>
      </c>
      <c r="Q647" s="7" t="str">
        <f>IF($N647=1,IF(ISERROR(VLOOKUP($P647,'M1'!$A:$C,Q$2,FALSE)),"NOT PRESENT",VLOOKUP($P647,'M1'!$A:$C,Q$2,FALSE)),IF($N647=2,IF(ISERROR(VLOOKUP(DATA!$P219,'M2'!$A:$C,Q$2,FALSE)),"NOT PRESENT",VLOOKUP(DATA!$P219,'M2'!$A:$C,Q$2,FALSE)),IF($N647=0,IF(ISERROR(VLOOKUP($P647,'M1'!$A:$C,Q$2,FALSE)),IF(ISERROR(VLOOKUP(DATA!$P219,'M2'!$A:$C,Q$2,FALSE)),"NOT PRESENT",VLOOKUP(DATA!$P219,'M2'!$A:$C,Q$2,FALSE)),VLOOKUP($P647,'M1'!$A:$C,Q$2,FALSE)),"SPECIFY METHOD")))</f>
        <v>NOT PRESENT</v>
      </c>
      <c r="R647" s="4" t="str">
        <f>IF($N647=1,IF(ISERROR(VLOOKUP($P647,'M1'!$A:$C,R$2,FALSE)),"NOT PRESENT",VLOOKUP($P647,'M1'!$A:$C,R$2,FALSE)),IF($N647=2,IF(ISERROR(VLOOKUP(DATA!$P219,'M2'!$A:$C,R$2,FALSE)),"NOT PRESENT",VLOOKUP(DATA!$P219,'M2'!$A:$C,R$2,FALSE)),IF($N647=0,IF(ISERROR(VLOOKUP($P647,'M1'!$A:$C,R$2,FALSE)),IF(ISERROR(VLOOKUP(DATA!$P219,'M2'!$A:$C,R$2,FALSE)),"NOT PRESENT",VLOOKUP(DATA!$P219,'M2'!$A:$C,R$2,FALSE)),VLOOKUP($P647,'M1'!$A:$C,R$2,FALSE)),"SPECIFY METHOD")))</f>
        <v>NOT PRESENT</v>
      </c>
      <c r="S647" s="20">
        <f t="shared" si="80"/>
        <v>11</v>
      </c>
      <c r="T647" s="2">
        <v>11</v>
      </c>
    </row>
    <row r="648" spans="1:26">
      <c r="A648" s="7">
        <f>MAX($A$1:$A647)+1</f>
        <v>647</v>
      </c>
      <c r="B648" s="2" t="str">
        <f t="shared" si="86"/>
        <v>Em Lim</v>
      </c>
      <c r="C648" s="2" t="str">
        <f t="shared" si="87"/>
        <v>Jasmin Schuster</v>
      </c>
      <c r="D648" s="2" t="str">
        <f t="shared" si="88"/>
        <v>BMSC23</v>
      </c>
      <c r="E648" s="7" t="str">
        <f>IF(ISERROR(VLOOKUP($D648,SITES!$A:$E,2,FALSE)),"",VLOOKUP($D648,SITES!$A:$E,2,FALSE))</f>
        <v>Aguilar Point</v>
      </c>
      <c r="F648" s="4">
        <f>IF(ISERROR(VLOOKUP($D648,SITES!$A:$E,3,FALSE)),"",VLOOKUP($D648,SITES!$A:$E,3,FALSE))</f>
        <v>48.837589000000001</v>
      </c>
      <c r="G648" s="18">
        <f>IF(ISERROR(VLOOKUP($D648,SITES!$A:$E,4,FALSE)),"",VLOOKUP($D648,SITES!$A:$E,4,FALSE))</f>
        <v>-125.14414499999999</v>
      </c>
      <c r="H648" s="5" t="str">
        <f t="shared" si="89"/>
        <v>08/05/2023</v>
      </c>
      <c r="I648" s="2">
        <f t="shared" si="89"/>
        <v>3</v>
      </c>
      <c r="J648" s="2">
        <f t="shared" si="89"/>
        <v>30</v>
      </c>
      <c r="K648" s="6">
        <f t="shared" si="89"/>
        <v>0.51388888888888895</v>
      </c>
      <c r="L648" s="2" t="str">
        <f t="shared" si="89"/>
        <v>EGL</v>
      </c>
      <c r="M648" s="2">
        <f t="shared" si="89"/>
        <v>7</v>
      </c>
      <c r="N648" s="2">
        <f t="shared" si="89"/>
        <v>2</v>
      </c>
      <c r="O648" s="2">
        <f t="shared" si="89"/>
        <v>1</v>
      </c>
      <c r="P648" s="27" t="s">
        <v>262</v>
      </c>
      <c r="Q648" s="7" t="str">
        <f>IF($N648=1,IF(ISERROR(VLOOKUP($P648,'M1'!$A:$C,Q$2,FALSE)),"NOT PRESENT",VLOOKUP($P648,'M1'!$A:$C,Q$2,FALSE)),IF($N648=2,IF(ISERROR(VLOOKUP(DATA!$P220,'M2'!$A:$C,Q$2,FALSE)),"NOT PRESENT",VLOOKUP(DATA!$P220,'M2'!$A:$C,Q$2,FALSE)),IF($N648=0,IF(ISERROR(VLOOKUP($P648,'M1'!$A:$C,Q$2,FALSE)),IF(ISERROR(VLOOKUP(DATA!$P220,'M2'!$A:$C,Q$2,FALSE)),"NOT PRESENT",VLOOKUP(DATA!$P220,'M2'!$A:$C,Q$2,FALSE)),VLOOKUP($P648,'M1'!$A:$C,Q$2,FALSE)),"SPECIFY METHOD")))</f>
        <v>NOT PRESENT</v>
      </c>
      <c r="R648" s="4" t="str">
        <f>IF($N648=1,IF(ISERROR(VLOOKUP($P648,'M1'!$A:$C,R$2,FALSE)),"NOT PRESENT",VLOOKUP($P648,'M1'!$A:$C,R$2,FALSE)),IF($N648=2,IF(ISERROR(VLOOKUP(DATA!$P220,'M2'!$A:$C,R$2,FALSE)),"NOT PRESENT",VLOOKUP(DATA!$P220,'M2'!$A:$C,R$2,FALSE)),IF($N648=0,IF(ISERROR(VLOOKUP($P648,'M1'!$A:$C,R$2,FALSE)),IF(ISERROR(VLOOKUP(DATA!$P220,'M2'!$A:$C,R$2,FALSE)),"NOT PRESENT",VLOOKUP(DATA!$P220,'M2'!$A:$C,R$2,FALSE)),VLOOKUP($P648,'M1'!$A:$C,R$2,FALSE)),"SPECIFY METHOD")))</f>
        <v>NOT PRESENT</v>
      </c>
      <c r="S648" s="20">
        <f t="shared" si="80"/>
        <v>2</v>
      </c>
      <c r="T648" s="2">
        <v>2</v>
      </c>
    </row>
    <row r="649" spans="1:26">
      <c r="A649" s="7">
        <f>MAX($A$1:$A648)+1</f>
        <v>648</v>
      </c>
      <c r="B649" s="2" t="str">
        <f t="shared" si="86"/>
        <v>Em Lim</v>
      </c>
      <c r="C649" s="2" t="str">
        <f t="shared" si="87"/>
        <v>Jasmin Schuster</v>
      </c>
      <c r="D649" s="2" t="str">
        <f t="shared" si="88"/>
        <v>BMSC23</v>
      </c>
      <c r="E649" s="7" t="str">
        <f>IF(ISERROR(VLOOKUP($D649,SITES!$A:$E,2,FALSE)),"",VLOOKUP($D649,SITES!$A:$E,2,FALSE))</f>
        <v>Aguilar Point</v>
      </c>
      <c r="F649" s="4">
        <f>IF(ISERROR(VLOOKUP($D649,SITES!$A:$E,3,FALSE)),"",VLOOKUP($D649,SITES!$A:$E,3,FALSE))</f>
        <v>48.837589000000001</v>
      </c>
      <c r="G649" s="18">
        <f>IF(ISERROR(VLOOKUP($D649,SITES!$A:$E,4,FALSE)),"",VLOOKUP($D649,SITES!$A:$E,4,FALSE))</f>
        <v>-125.14414499999999</v>
      </c>
      <c r="H649" s="5" t="str">
        <f t="shared" si="89"/>
        <v>08/05/2023</v>
      </c>
      <c r="I649" s="2">
        <f t="shared" si="89"/>
        <v>3</v>
      </c>
      <c r="J649" s="2">
        <f t="shared" si="89"/>
        <v>30</v>
      </c>
      <c r="K649" s="6">
        <f t="shared" si="89"/>
        <v>0.51388888888888895</v>
      </c>
      <c r="L649" s="2" t="str">
        <f t="shared" si="89"/>
        <v>EGL</v>
      </c>
      <c r="M649" s="2">
        <f t="shared" si="89"/>
        <v>7</v>
      </c>
      <c r="N649" s="2">
        <f t="shared" si="89"/>
        <v>2</v>
      </c>
      <c r="O649" s="2">
        <f t="shared" si="89"/>
        <v>1</v>
      </c>
      <c r="P649" s="27" t="s">
        <v>184</v>
      </c>
      <c r="Q649" s="7" t="str">
        <f>IF($N649=1,IF(ISERROR(VLOOKUP($P649,'M1'!$A:$C,Q$2,FALSE)),"NOT PRESENT",VLOOKUP($P649,'M1'!$A:$C,Q$2,FALSE)),IF($N649=2,IF(ISERROR(VLOOKUP(DATA!$P221,'M2'!$A:$C,Q$2,FALSE)),"NOT PRESENT",VLOOKUP(DATA!$P221,'M2'!$A:$C,Q$2,FALSE)),IF($N649=0,IF(ISERROR(VLOOKUP($P649,'M1'!$A:$C,Q$2,FALSE)),IF(ISERROR(VLOOKUP(DATA!$P221,'M2'!$A:$C,Q$2,FALSE)),"NOT PRESENT",VLOOKUP(DATA!$P221,'M2'!$A:$C,Q$2,FALSE)),VLOOKUP($P649,'M1'!$A:$C,Q$2,FALSE)),"SPECIFY METHOD")))</f>
        <v>NOT PRESENT</v>
      </c>
      <c r="R649" s="4" t="str">
        <f>IF($N649=1,IF(ISERROR(VLOOKUP($P649,'M1'!$A:$C,R$2,FALSE)),"NOT PRESENT",VLOOKUP($P649,'M1'!$A:$C,R$2,FALSE)),IF($N649=2,IF(ISERROR(VLOOKUP(DATA!$P221,'M2'!$A:$C,R$2,FALSE)),"NOT PRESENT",VLOOKUP(DATA!$P221,'M2'!$A:$C,R$2,FALSE)),IF($N649=0,IF(ISERROR(VLOOKUP($P649,'M1'!$A:$C,R$2,FALSE)),IF(ISERROR(VLOOKUP(DATA!$P221,'M2'!$A:$C,R$2,FALSE)),"NOT PRESENT",VLOOKUP(DATA!$P221,'M2'!$A:$C,R$2,FALSE)),VLOOKUP($P649,'M1'!$A:$C,R$2,FALSE)),"SPECIFY METHOD")))</f>
        <v>NOT PRESENT</v>
      </c>
      <c r="S649" s="20">
        <f t="shared" si="80"/>
        <v>20</v>
      </c>
      <c r="T649" s="2">
        <v>20</v>
      </c>
    </row>
    <row r="650" spans="1:26">
      <c r="A650" s="7">
        <f>MAX($A$1:$A649)+1</f>
        <v>649</v>
      </c>
      <c r="B650" s="2" t="str">
        <f t="shared" si="86"/>
        <v>Em Lim</v>
      </c>
      <c r="C650" s="2" t="str">
        <f t="shared" si="87"/>
        <v>Jasmin Schuster</v>
      </c>
      <c r="D650" s="2" t="str">
        <f t="shared" si="88"/>
        <v>BMSC23</v>
      </c>
      <c r="E650" s="7" t="str">
        <f>IF(ISERROR(VLOOKUP($D650,SITES!$A:$E,2,FALSE)),"",VLOOKUP($D650,SITES!$A:$E,2,FALSE))</f>
        <v>Aguilar Point</v>
      </c>
      <c r="F650" s="4">
        <f>IF(ISERROR(VLOOKUP($D650,SITES!$A:$E,3,FALSE)),"",VLOOKUP($D650,SITES!$A:$E,3,FALSE))</f>
        <v>48.837589000000001</v>
      </c>
      <c r="G650" s="18">
        <f>IF(ISERROR(VLOOKUP($D650,SITES!$A:$E,4,FALSE)),"",VLOOKUP($D650,SITES!$A:$E,4,FALSE))</f>
        <v>-125.14414499999999</v>
      </c>
      <c r="H650" s="5" t="str">
        <f t="shared" si="89"/>
        <v>08/05/2023</v>
      </c>
      <c r="I650" s="2">
        <f t="shared" si="89"/>
        <v>3</v>
      </c>
      <c r="J650" s="2">
        <f t="shared" si="89"/>
        <v>30</v>
      </c>
      <c r="K650" s="6">
        <f t="shared" si="89"/>
        <v>0.51388888888888895</v>
      </c>
      <c r="L650" s="2" t="str">
        <f t="shared" si="89"/>
        <v>EGL</v>
      </c>
      <c r="M650" s="2">
        <f t="shared" si="89"/>
        <v>7</v>
      </c>
      <c r="N650" s="2">
        <f t="shared" si="89"/>
        <v>2</v>
      </c>
      <c r="O650" s="2">
        <f t="shared" si="89"/>
        <v>1</v>
      </c>
      <c r="P650" s="27" t="s">
        <v>188</v>
      </c>
      <c r="Q650" s="7" t="str">
        <f>IF($N650=1,IF(ISERROR(VLOOKUP($P650,'M1'!$A:$C,Q$2,FALSE)),"NOT PRESENT",VLOOKUP($P650,'M1'!$A:$C,Q$2,FALSE)),IF($N650=2,IF(ISERROR(VLOOKUP(DATA!$P222,'M2'!$A:$C,Q$2,FALSE)),"NOT PRESENT",VLOOKUP(DATA!$P222,'M2'!$A:$C,Q$2,FALSE)),IF($N650=0,IF(ISERROR(VLOOKUP($P650,'M1'!$A:$C,Q$2,FALSE)),IF(ISERROR(VLOOKUP(DATA!$P222,'M2'!$A:$C,Q$2,FALSE)),"NOT PRESENT",VLOOKUP(DATA!$P222,'M2'!$A:$C,Q$2,FALSE)),VLOOKUP($P650,'M1'!$A:$C,Q$2,FALSE)),"SPECIFY METHOD")))</f>
        <v>NOT PRESENT</v>
      </c>
      <c r="R650" s="4" t="str">
        <f>IF($N650=1,IF(ISERROR(VLOOKUP($P650,'M1'!$A:$C,R$2,FALSE)),"NOT PRESENT",VLOOKUP($P650,'M1'!$A:$C,R$2,FALSE)),IF($N650=2,IF(ISERROR(VLOOKUP(DATA!$P222,'M2'!$A:$C,R$2,FALSE)),"NOT PRESENT",VLOOKUP(DATA!$P222,'M2'!$A:$C,R$2,FALSE)),IF($N650=0,IF(ISERROR(VLOOKUP($P650,'M1'!$A:$C,R$2,FALSE)),IF(ISERROR(VLOOKUP(DATA!$P222,'M2'!$A:$C,R$2,FALSE)),"NOT PRESENT",VLOOKUP(DATA!$P222,'M2'!$A:$C,R$2,FALSE)),VLOOKUP($P650,'M1'!$A:$C,R$2,FALSE)),"SPECIFY METHOD")))</f>
        <v>NOT PRESENT</v>
      </c>
      <c r="S650" s="20">
        <f t="shared" si="80"/>
        <v>6</v>
      </c>
      <c r="T650" s="2">
        <v>6</v>
      </c>
    </row>
    <row r="651" spans="1:26">
      <c r="A651" s="7">
        <f>MAX($A$1:$A650)+1</f>
        <v>650</v>
      </c>
      <c r="B651" s="2" t="str">
        <f t="shared" si="86"/>
        <v>Em Lim</v>
      </c>
      <c r="C651" s="2" t="str">
        <f t="shared" si="87"/>
        <v>Jasmin Schuster</v>
      </c>
      <c r="D651" s="2" t="str">
        <f t="shared" si="88"/>
        <v>BMSC23</v>
      </c>
      <c r="E651" s="7" t="str">
        <f>IF(ISERROR(VLOOKUP($D651,SITES!$A:$E,2,FALSE)),"",VLOOKUP($D651,SITES!$A:$E,2,FALSE))</f>
        <v>Aguilar Point</v>
      </c>
      <c r="F651" s="4">
        <f>IF(ISERROR(VLOOKUP($D651,SITES!$A:$E,3,FALSE)),"",VLOOKUP($D651,SITES!$A:$E,3,FALSE))</f>
        <v>48.837589000000001</v>
      </c>
      <c r="G651" s="18">
        <f>IF(ISERROR(VLOOKUP($D651,SITES!$A:$E,4,FALSE)),"",VLOOKUP($D651,SITES!$A:$E,4,FALSE))</f>
        <v>-125.14414499999999</v>
      </c>
      <c r="H651" s="5" t="str">
        <f t="shared" si="89"/>
        <v>08/05/2023</v>
      </c>
      <c r="I651" s="2">
        <f t="shared" si="89"/>
        <v>3</v>
      </c>
      <c r="J651" s="2">
        <f t="shared" si="89"/>
        <v>30</v>
      </c>
      <c r="K651" s="6">
        <f t="shared" si="89"/>
        <v>0.51388888888888895</v>
      </c>
      <c r="L651" s="2" t="str">
        <f t="shared" si="89"/>
        <v>EGL</v>
      </c>
      <c r="M651" s="2">
        <f t="shared" si="89"/>
        <v>7</v>
      </c>
      <c r="N651" s="2">
        <f t="shared" si="89"/>
        <v>2</v>
      </c>
      <c r="O651" s="2">
        <f t="shared" si="89"/>
        <v>1</v>
      </c>
      <c r="P651" s="27" t="s">
        <v>181</v>
      </c>
      <c r="Q651" s="7" t="str">
        <f>IF($N651=1,IF(ISERROR(VLOOKUP($P651,'M1'!$A:$C,Q$2,FALSE)),"NOT PRESENT",VLOOKUP($P651,'M1'!$A:$C,Q$2,FALSE)),IF($N651=2,IF(ISERROR(VLOOKUP(DATA!$P223,'M2'!$A:$C,Q$2,FALSE)),"NOT PRESENT",VLOOKUP(DATA!$P223,'M2'!$A:$C,Q$2,FALSE)),IF($N651=0,IF(ISERROR(VLOOKUP($P651,'M1'!$A:$C,Q$2,FALSE)),IF(ISERROR(VLOOKUP(DATA!$P223,'M2'!$A:$C,Q$2,FALSE)),"NOT PRESENT",VLOOKUP(DATA!$P223,'M2'!$A:$C,Q$2,FALSE)),VLOOKUP($P651,'M1'!$A:$C,Q$2,FALSE)),"SPECIFY METHOD")))</f>
        <v>NOT PRESENT</v>
      </c>
      <c r="R651" s="4" t="str">
        <f>IF($N651=1,IF(ISERROR(VLOOKUP($P651,'M1'!$A:$C,R$2,FALSE)),"NOT PRESENT",VLOOKUP($P651,'M1'!$A:$C,R$2,FALSE)),IF($N651=2,IF(ISERROR(VLOOKUP(DATA!$P223,'M2'!$A:$C,R$2,FALSE)),"NOT PRESENT",VLOOKUP(DATA!$P223,'M2'!$A:$C,R$2,FALSE)),IF($N651=0,IF(ISERROR(VLOOKUP($P651,'M1'!$A:$C,R$2,FALSE)),IF(ISERROR(VLOOKUP(DATA!$P223,'M2'!$A:$C,R$2,FALSE)),"NOT PRESENT",VLOOKUP(DATA!$P223,'M2'!$A:$C,R$2,FALSE)),VLOOKUP($P651,'M1'!$A:$C,R$2,FALSE)),"SPECIFY METHOD")))</f>
        <v>NOT PRESENT</v>
      </c>
      <c r="S651" s="20">
        <f t="shared" si="80"/>
        <v>20</v>
      </c>
      <c r="T651" s="2">
        <v>0</v>
      </c>
      <c r="U651" s="2">
        <v>13</v>
      </c>
      <c r="V651" s="2">
        <v>5</v>
      </c>
      <c r="W651" s="2">
        <v>2</v>
      </c>
    </row>
    <row r="652" spans="1:26">
      <c r="A652" s="7">
        <f>MAX($A$1:$A651)+1</f>
        <v>651</v>
      </c>
      <c r="B652" s="2" t="str">
        <f t="shared" si="86"/>
        <v>Em Lim</v>
      </c>
      <c r="C652" s="2" t="str">
        <f t="shared" si="87"/>
        <v>Jasmin Schuster</v>
      </c>
      <c r="D652" s="2" t="str">
        <f t="shared" si="88"/>
        <v>BMSC23</v>
      </c>
      <c r="E652" s="7" t="str">
        <f>IF(ISERROR(VLOOKUP($D652,SITES!$A:$E,2,FALSE)),"",VLOOKUP($D652,SITES!$A:$E,2,FALSE))</f>
        <v>Aguilar Point</v>
      </c>
      <c r="F652" s="4">
        <f>IF(ISERROR(VLOOKUP($D652,SITES!$A:$E,3,FALSE)),"",VLOOKUP($D652,SITES!$A:$E,3,FALSE))</f>
        <v>48.837589000000001</v>
      </c>
      <c r="G652" s="18">
        <f>IF(ISERROR(VLOOKUP($D652,SITES!$A:$E,4,FALSE)),"",VLOOKUP($D652,SITES!$A:$E,4,FALSE))</f>
        <v>-125.14414499999999</v>
      </c>
      <c r="H652" s="5" t="str">
        <f t="shared" si="89"/>
        <v>08/05/2023</v>
      </c>
      <c r="I652" s="2">
        <f t="shared" si="89"/>
        <v>3</v>
      </c>
      <c r="J652" s="2">
        <f t="shared" si="89"/>
        <v>30</v>
      </c>
      <c r="K652" s="6">
        <f t="shared" si="89"/>
        <v>0.51388888888888895</v>
      </c>
      <c r="L652" s="2" t="str">
        <f t="shared" si="89"/>
        <v>EGL</v>
      </c>
      <c r="M652" s="2">
        <f t="shared" si="89"/>
        <v>7</v>
      </c>
      <c r="N652" s="2">
        <f t="shared" si="89"/>
        <v>2</v>
      </c>
      <c r="O652" s="2">
        <f t="shared" si="89"/>
        <v>1</v>
      </c>
      <c r="P652" s="27" t="s">
        <v>173</v>
      </c>
      <c r="Q652" s="7" t="str">
        <f>IF($N652=1,IF(ISERROR(VLOOKUP($P652,'M1'!$A:$C,Q$2,FALSE)),"NOT PRESENT",VLOOKUP($P652,'M1'!$A:$C,Q$2,FALSE)),IF($N652=2,IF(ISERROR(VLOOKUP(DATA!$P224,'M2'!$A:$C,Q$2,FALSE)),"NOT PRESENT",VLOOKUP(DATA!$P224,'M2'!$A:$C,Q$2,FALSE)),IF($N652=0,IF(ISERROR(VLOOKUP($P652,'M1'!$A:$C,Q$2,FALSE)),IF(ISERROR(VLOOKUP(DATA!$P224,'M2'!$A:$C,Q$2,FALSE)),"NOT PRESENT",VLOOKUP(DATA!$P224,'M2'!$A:$C,Q$2,FALSE)),VLOOKUP($P652,'M1'!$A:$C,Q$2,FALSE)),"SPECIFY METHOD")))</f>
        <v>NOT PRESENT</v>
      </c>
      <c r="R652" s="4" t="str">
        <f>IF($N652=1,IF(ISERROR(VLOOKUP($P652,'M1'!$A:$C,R$2,FALSE)),"NOT PRESENT",VLOOKUP($P652,'M1'!$A:$C,R$2,FALSE)),IF($N652=2,IF(ISERROR(VLOOKUP(DATA!$P224,'M2'!$A:$C,R$2,FALSE)),"NOT PRESENT",VLOOKUP(DATA!$P224,'M2'!$A:$C,R$2,FALSE)),IF($N652=0,IF(ISERROR(VLOOKUP($P652,'M1'!$A:$C,R$2,FALSE)),IF(ISERROR(VLOOKUP(DATA!$P224,'M2'!$A:$C,R$2,FALSE)),"NOT PRESENT",VLOOKUP(DATA!$P224,'M2'!$A:$C,R$2,FALSE)),VLOOKUP($P652,'M1'!$A:$C,R$2,FALSE)),"SPECIFY METHOD")))</f>
        <v>NOT PRESENT</v>
      </c>
      <c r="S652" s="20">
        <f t="shared" si="80"/>
        <v>39</v>
      </c>
      <c r="T652" s="2">
        <v>0</v>
      </c>
      <c r="U652" s="2">
        <v>12</v>
      </c>
      <c r="V652" s="2">
        <v>12</v>
      </c>
      <c r="W652" s="2">
        <v>10</v>
      </c>
      <c r="X652" s="2">
        <v>5</v>
      </c>
    </row>
    <row r="653" spans="1:26">
      <c r="A653" s="7">
        <f>MAX($A$1:$A652)+1</f>
        <v>652</v>
      </c>
      <c r="B653" s="2" t="str">
        <f t="shared" si="86"/>
        <v>Em Lim</v>
      </c>
      <c r="C653" s="2" t="str">
        <f t="shared" si="87"/>
        <v>Jasmin Schuster</v>
      </c>
      <c r="D653" s="2" t="str">
        <f t="shared" si="88"/>
        <v>BMSC23</v>
      </c>
      <c r="E653" s="7" t="str">
        <f>IF(ISERROR(VLOOKUP($D653,SITES!$A:$E,2,FALSE)),"",VLOOKUP($D653,SITES!$A:$E,2,FALSE))</f>
        <v>Aguilar Point</v>
      </c>
      <c r="F653" s="4">
        <f>IF(ISERROR(VLOOKUP($D653,SITES!$A:$E,3,FALSE)),"",VLOOKUP($D653,SITES!$A:$E,3,FALSE))</f>
        <v>48.837589000000001</v>
      </c>
      <c r="G653" s="18">
        <f>IF(ISERROR(VLOOKUP($D653,SITES!$A:$E,4,FALSE)),"",VLOOKUP($D653,SITES!$A:$E,4,FALSE))</f>
        <v>-125.14414499999999</v>
      </c>
      <c r="H653" s="5" t="str">
        <f t="shared" ref="H653:H670" si="90">IF(ISERROR(H652),IF(ISERROR(H651),IF(ISERROR(H650),"BLANK",H650),H651),H652)</f>
        <v>08/05/2023</v>
      </c>
      <c r="I653" s="2">
        <f t="shared" ref="I653:I670" si="91">IF(ISERROR(I652),IF(ISERROR(I651),IF(ISERROR(I650),"BLANK",I650),I651),I652)</f>
        <v>3</v>
      </c>
      <c r="J653" s="2">
        <f t="shared" ref="J653:J670" si="92">IF(ISERROR(J652),IF(ISERROR(J651),IF(ISERROR(J650),"BLANK",J650),J651),J652)</f>
        <v>30</v>
      </c>
      <c r="K653" s="6">
        <f t="shared" ref="K653:K670" si="93">IF(ISERROR(K652),IF(ISERROR(K651),IF(ISERROR(K650),"BLANK",K650),K651),K652)</f>
        <v>0.51388888888888895</v>
      </c>
      <c r="L653" s="2" t="str">
        <f t="shared" ref="L653:L670" si="94">IF(ISERROR(L652),IF(ISERROR(L651),IF(ISERROR(L650),"BLANK",L650),L651),L652)</f>
        <v>EGL</v>
      </c>
      <c r="M653" s="2">
        <f t="shared" ref="M653:M670" si="95">IF(ISERROR(M652),IF(ISERROR(M651),IF(ISERROR(M650),"BLANK",M650),M651),M652)</f>
        <v>7</v>
      </c>
      <c r="N653" s="2">
        <v>0</v>
      </c>
      <c r="O653" s="2">
        <f t="shared" ref="O653:O665" si="96">IF(ISERROR(O652),IF(ISERROR(O651),IF(ISERROR(O650),"BLANK",O650),O651),O652)</f>
        <v>1</v>
      </c>
      <c r="P653" s="27" t="s">
        <v>176</v>
      </c>
      <c r="Q653" s="7" t="str">
        <f>IF($N653=1,IF(ISERROR(VLOOKUP($P653,'M1'!$A:$C,Q$2,FALSE)),"NOT PRESENT",VLOOKUP($P653,'M1'!$A:$C,Q$2,FALSE)),IF($N653=2,IF(ISERROR(VLOOKUP(DATA!$P225,'M2'!$A:$C,Q$2,FALSE)),"NOT PRESENT",VLOOKUP(DATA!$P225,'M2'!$A:$C,Q$2,FALSE)),IF($N653=0,IF(ISERROR(VLOOKUP($P653,'M1'!$A:$C,Q$2,FALSE)),IF(ISERROR(VLOOKUP(DATA!$P225,'M2'!$A:$C,Q$2,FALSE)),"NOT PRESENT",VLOOKUP(DATA!$P225,'M2'!$A:$C,Q$2,FALSE)),VLOOKUP($P653,'M1'!$A:$C,Q$2,FALSE)),"SPECIFY METHOD")))</f>
        <v>NOT PRESENT</v>
      </c>
      <c r="R653" s="4" t="str">
        <f>IF($N653=1,IF(ISERROR(VLOOKUP($P653,'M1'!$A:$C,R$2,FALSE)),"NOT PRESENT",VLOOKUP($P653,'M1'!$A:$C,R$2,FALSE)),IF($N653=2,IF(ISERROR(VLOOKUP(DATA!$P225,'M2'!$A:$C,R$2,FALSE)),"NOT PRESENT",VLOOKUP(DATA!$P225,'M2'!$A:$C,R$2,FALSE)),IF($N653=0,IF(ISERROR(VLOOKUP($P653,'M1'!$A:$C,R$2,FALSE)),IF(ISERROR(VLOOKUP(DATA!$P225,'M2'!$A:$C,R$2,FALSE)),"NOT PRESENT",VLOOKUP(DATA!$P225,'M2'!$A:$C,R$2,FALSE)),VLOOKUP($P653,'M1'!$A:$C,R$2,FALSE)),"SPECIFY METHOD")))</f>
        <v>NOT PRESENT</v>
      </c>
      <c r="S653" s="20">
        <f t="shared" si="80"/>
        <v>2</v>
      </c>
      <c r="T653" s="2">
        <v>0</v>
      </c>
      <c r="Z653" s="2">
        <v>2</v>
      </c>
    </row>
    <row r="654" spans="1:26">
      <c r="A654" s="7">
        <f>MAX($A$1:$A653)+1</f>
        <v>653</v>
      </c>
      <c r="B654" s="2" t="str">
        <f t="shared" si="86"/>
        <v>Em Lim</v>
      </c>
      <c r="C654" s="2" t="str">
        <f t="shared" si="87"/>
        <v>Jasmin Schuster</v>
      </c>
      <c r="D654" s="2" t="str">
        <f t="shared" si="88"/>
        <v>BMSC23</v>
      </c>
      <c r="E654" s="7" t="str">
        <f>IF(ISERROR(VLOOKUP($D654,SITES!$A:$E,2,FALSE)),"",VLOOKUP($D654,SITES!$A:$E,2,FALSE))</f>
        <v>Aguilar Point</v>
      </c>
      <c r="F654" s="4">
        <f>IF(ISERROR(VLOOKUP($D654,SITES!$A:$E,3,FALSE)),"",VLOOKUP($D654,SITES!$A:$E,3,FALSE))</f>
        <v>48.837589000000001</v>
      </c>
      <c r="G654" s="18">
        <f>IF(ISERROR(VLOOKUP($D654,SITES!$A:$E,4,FALSE)),"",VLOOKUP($D654,SITES!$A:$E,4,FALSE))</f>
        <v>-125.14414499999999</v>
      </c>
      <c r="H654" s="5" t="str">
        <f t="shared" si="90"/>
        <v>08/05/2023</v>
      </c>
      <c r="I654" s="2">
        <f t="shared" si="91"/>
        <v>3</v>
      </c>
      <c r="J654" s="2">
        <f t="shared" si="92"/>
        <v>30</v>
      </c>
      <c r="K654" s="6">
        <f t="shared" si="93"/>
        <v>0.51388888888888895</v>
      </c>
      <c r="L654" s="2" t="str">
        <f t="shared" si="94"/>
        <v>EGL</v>
      </c>
      <c r="M654" s="2">
        <f t="shared" si="95"/>
        <v>7</v>
      </c>
      <c r="N654" s="2">
        <v>2</v>
      </c>
      <c r="O654" s="2">
        <f t="shared" si="96"/>
        <v>1</v>
      </c>
      <c r="P654" s="27" t="s">
        <v>189</v>
      </c>
      <c r="Q654" s="7" t="str">
        <f>IF($N654=1,IF(ISERROR(VLOOKUP($P654,'M1'!$A:$C,Q$2,FALSE)),"NOT PRESENT",VLOOKUP($P654,'M1'!$A:$C,Q$2,FALSE)),IF($N654=2,IF(ISERROR(VLOOKUP(DATA!$P226,'M2'!$A:$C,Q$2,FALSE)),"NOT PRESENT",VLOOKUP(DATA!$P226,'M2'!$A:$C,Q$2,FALSE)),IF($N654=0,IF(ISERROR(VLOOKUP($P654,'M1'!$A:$C,Q$2,FALSE)),IF(ISERROR(VLOOKUP(DATA!$P226,'M2'!$A:$C,Q$2,FALSE)),"NOT PRESENT",VLOOKUP(DATA!$P226,'M2'!$A:$C,Q$2,FALSE)),VLOOKUP($P654,'M1'!$A:$C,Q$2,FALSE)),"SPECIFY METHOD")))</f>
        <v>NOT PRESENT</v>
      </c>
      <c r="R654" s="4" t="str">
        <f>IF($N654=1,IF(ISERROR(VLOOKUP($P654,'M1'!$A:$C,R$2,FALSE)),"NOT PRESENT",VLOOKUP($P654,'M1'!$A:$C,R$2,FALSE)),IF($N654=2,IF(ISERROR(VLOOKUP(DATA!$P226,'M2'!$A:$C,R$2,FALSE)),"NOT PRESENT",VLOOKUP(DATA!$P226,'M2'!$A:$C,R$2,FALSE)),IF($N654=0,IF(ISERROR(VLOOKUP($P654,'M1'!$A:$C,R$2,FALSE)),IF(ISERROR(VLOOKUP(DATA!$P226,'M2'!$A:$C,R$2,FALSE)),"NOT PRESENT",VLOOKUP(DATA!$P226,'M2'!$A:$C,R$2,FALSE)),VLOOKUP($P654,'M1'!$A:$C,R$2,FALSE)),"SPECIFY METHOD")))</f>
        <v>NOT PRESENT</v>
      </c>
      <c r="S654" s="20">
        <f t="shared" si="80"/>
        <v>11</v>
      </c>
      <c r="T654" s="2">
        <v>11</v>
      </c>
    </row>
    <row r="655" spans="1:26">
      <c r="A655" s="7">
        <f>MAX($A$1:$A654)+1</f>
        <v>654</v>
      </c>
      <c r="B655" s="2" t="str">
        <f t="shared" si="86"/>
        <v>Em Lim</v>
      </c>
      <c r="C655" s="2" t="str">
        <f t="shared" si="87"/>
        <v>Jasmin Schuster</v>
      </c>
      <c r="D655" s="2" t="str">
        <f t="shared" si="88"/>
        <v>BMSC23</v>
      </c>
      <c r="E655" s="7" t="str">
        <f>IF(ISERROR(VLOOKUP($D655,SITES!$A:$E,2,FALSE)),"",VLOOKUP($D655,SITES!$A:$E,2,FALSE))</f>
        <v>Aguilar Point</v>
      </c>
      <c r="F655" s="4">
        <f>IF(ISERROR(VLOOKUP($D655,SITES!$A:$E,3,FALSE)),"",VLOOKUP($D655,SITES!$A:$E,3,FALSE))</f>
        <v>48.837589000000001</v>
      </c>
      <c r="G655" s="18">
        <f>IF(ISERROR(VLOOKUP($D655,SITES!$A:$E,4,FALSE)),"",VLOOKUP($D655,SITES!$A:$E,4,FALSE))</f>
        <v>-125.14414499999999</v>
      </c>
      <c r="H655" s="5" t="str">
        <f t="shared" si="90"/>
        <v>08/05/2023</v>
      </c>
      <c r="I655" s="2">
        <f t="shared" si="91"/>
        <v>3</v>
      </c>
      <c r="J655" s="2">
        <f t="shared" si="92"/>
        <v>30</v>
      </c>
      <c r="K655" s="6">
        <f t="shared" si="93"/>
        <v>0.51388888888888895</v>
      </c>
      <c r="L655" s="2" t="str">
        <f t="shared" si="94"/>
        <v>EGL</v>
      </c>
      <c r="M655" s="2">
        <f t="shared" si="95"/>
        <v>7</v>
      </c>
      <c r="N655" s="2">
        <f t="shared" ref="N655:N663" si="97">IF(ISERROR(N654),IF(ISERROR(N653),IF(ISERROR(N652),"BLANK",N652),N653),N654)</f>
        <v>2</v>
      </c>
      <c r="O655" s="2">
        <f t="shared" si="96"/>
        <v>1</v>
      </c>
      <c r="P655" s="27" t="s">
        <v>190</v>
      </c>
      <c r="Q655" s="7" t="str">
        <f>IF($N655=1,IF(ISERROR(VLOOKUP($P655,'M1'!$A:$C,Q$2,FALSE)),"NOT PRESENT",VLOOKUP($P655,'M1'!$A:$C,Q$2,FALSE)),IF($N655=2,IF(ISERROR(VLOOKUP(DATA!$P227,'M2'!$A:$C,Q$2,FALSE)),"NOT PRESENT",VLOOKUP(DATA!$P227,'M2'!$A:$C,Q$2,FALSE)),IF($N655=0,IF(ISERROR(VLOOKUP($P655,'M1'!$A:$C,Q$2,FALSE)),IF(ISERROR(VLOOKUP(DATA!$P227,'M2'!$A:$C,Q$2,FALSE)),"NOT PRESENT",VLOOKUP(DATA!$P227,'M2'!$A:$C,Q$2,FALSE)),VLOOKUP($P655,'M1'!$A:$C,Q$2,FALSE)),"SPECIFY METHOD")))</f>
        <v>NOT PRESENT</v>
      </c>
      <c r="R655" s="4" t="str">
        <f>IF($N655=1,IF(ISERROR(VLOOKUP($P655,'M1'!$A:$C,R$2,FALSE)),"NOT PRESENT",VLOOKUP($P655,'M1'!$A:$C,R$2,FALSE)),IF($N655=2,IF(ISERROR(VLOOKUP(DATA!$P227,'M2'!$A:$C,R$2,FALSE)),"NOT PRESENT",VLOOKUP(DATA!$P227,'M2'!$A:$C,R$2,FALSE)),IF($N655=0,IF(ISERROR(VLOOKUP($P655,'M1'!$A:$C,R$2,FALSE)),IF(ISERROR(VLOOKUP(DATA!$P227,'M2'!$A:$C,R$2,FALSE)),"NOT PRESENT",VLOOKUP(DATA!$P227,'M2'!$A:$C,R$2,FALSE)),VLOOKUP($P655,'M1'!$A:$C,R$2,FALSE)),"SPECIFY METHOD")))</f>
        <v>NOT PRESENT</v>
      </c>
      <c r="S655" s="20">
        <f t="shared" si="80"/>
        <v>8</v>
      </c>
      <c r="T655" s="2">
        <v>8</v>
      </c>
    </row>
    <row r="656" spans="1:26">
      <c r="A656" s="7">
        <f>MAX($A$1:$A655)+1</f>
        <v>655</v>
      </c>
      <c r="B656" s="2" t="str">
        <f t="shared" si="86"/>
        <v>Em Lim</v>
      </c>
      <c r="C656" s="2" t="str">
        <f t="shared" si="87"/>
        <v>Jasmin Schuster</v>
      </c>
      <c r="D656" s="2" t="str">
        <f t="shared" si="88"/>
        <v>BMSC23</v>
      </c>
      <c r="E656" s="7" t="str">
        <f>IF(ISERROR(VLOOKUP($D656,SITES!$A:$E,2,FALSE)),"",VLOOKUP($D656,SITES!$A:$E,2,FALSE))</f>
        <v>Aguilar Point</v>
      </c>
      <c r="F656" s="4">
        <f>IF(ISERROR(VLOOKUP($D656,SITES!$A:$E,3,FALSE)),"",VLOOKUP($D656,SITES!$A:$E,3,FALSE))</f>
        <v>48.837589000000001</v>
      </c>
      <c r="G656" s="18">
        <f>IF(ISERROR(VLOOKUP($D656,SITES!$A:$E,4,FALSE)),"",VLOOKUP($D656,SITES!$A:$E,4,FALSE))</f>
        <v>-125.14414499999999</v>
      </c>
      <c r="H656" s="5" t="str">
        <f t="shared" si="90"/>
        <v>08/05/2023</v>
      </c>
      <c r="I656" s="2">
        <f t="shared" si="91"/>
        <v>3</v>
      </c>
      <c r="J656" s="2">
        <f t="shared" si="92"/>
        <v>30</v>
      </c>
      <c r="K656" s="6">
        <f t="shared" si="93"/>
        <v>0.51388888888888895</v>
      </c>
      <c r="L656" s="2" t="str">
        <f t="shared" si="94"/>
        <v>EGL</v>
      </c>
      <c r="M656" s="2">
        <f t="shared" si="95"/>
        <v>7</v>
      </c>
      <c r="N656" s="2">
        <f t="shared" si="97"/>
        <v>2</v>
      </c>
      <c r="O656" s="2">
        <f t="shared" si="96"/>
        <v>1</v>
      </c>
      <c r="P656" s="27" t="s">
        <v>193</v>
      </c>
      <c r="Q656" s="7" t="str">
        <f>IF($N656=1,IF(ISERROR(VLOOKUP($P656,'M1'!$A:$C,Q$2,FALSE)),"NOT PRESENT",VLOOKUP($P656,'M1'!$A:$C,Q$2,FALSE)),IF($N656=2,IF(ISERROR(VLOOKUP(DATA!$P228,'M2'!$A:$C,Q$2,FALSE)),"NOT PRESENT",VLOOKUP(DATA!$P228,'M2'!$A:$C,Q$2,FALSE)),IF($N656=0,IF(ISERROR(VLOOKUP($P656,'M1'!$A:$C,Q$2,FALSE)),IF(ISERROR(VLOOKUP(DATA!$P228,'M2'!$A:$C,Q$2,FALSE)),"NOT PRESENT",VLOOKUP(DATA!$P228,'M2'!$A:$C,Q$2,FALSE)),VLOOKUP($P656,'M1'!$A:$C,Q$2,FALSE)),"SPECIFY METHOD")))</f>
        <v>NOT PRESENT</v>
      </c>
      <c r="R656" s="4" t="str">
        <f>IF($N656=1,IF(ISERROR(VLOOKUP($P656,'M1'!$A:$C,R$2,FALSE)),"NOT PRESENT",VLOOKUP($P656,'M1'!$A:$C,R$2,FALSE)),IF($N656=2,IF(ISERROR(VLOOKUP(DATA!$P228,'M2'!$A:$C,R$2,FALSE)),"NOT PRESENT",VLOOKUP(DATA!$P228,'M2'!$A:$C,R$2,FALSE)),IF($N656=0,IF(ISERROR(VLOOKUP($P656,'M1'!$A:$C,R$2,FALSE)),IF(ISERROR(VLOOKUP(DATA!$P228,'M2'!$A:$C,R$2,FALSE)),"NOT PRESENT",VLOOKUP(DATA!$P228,'M2'!$A:$C,R$2,FALSE)),VLOOKUP($P656,'M1'!$A:$C,R$2,FALSE)),"SPECIFY METHOD")))</f>
        <v>NOT PRESENT</v>
      </c>
      <c r="S656" s="20">
        <f t="shared" si="80"/>
        <v>4</v>
      </c>
      <c r="T656" s="2">
        <v>4</v>
      </c>
    </row>
    <row r="657" spans="1:31">
      <c r="A657" s="7">
        <f>MAX($A$1:$A656)+1</f>
        <v>656</v>
      </c>
      <c r="B657" s="2" t="str">
        <f t="shared" si="86"/>
        <v>Em Lim</v>
      </c>
      <c r="C657" s="2" t="str">
        <f t="shared" si="87"/>
        <v>Jasmin Schuster</v>
      </c>
      <c r="D657" s="2" t="str">
        <f t="shared" si="88"/>
        <v>BMSC23</v>
      </c>
      <c r="E657" s="7" t="str">
        <f>IF(ISERROR(VLOOKUP($D657,SITES!$A:$E,2,FALSE)),"",VLOOKUP($D657,SITES!$A:$E,2,FALSE))</f>
        <v>Aguilar Point</v>
      </c>
      <c r="F657" s="4">
        <f>IF(ISERROR(VLOOKUP($D657,SITES!$A:$E,3,FALSE)),"",VLOOKUP($D657,SITES!$A:$E,3,FALSE))</f>
        <v>48.837589000000001</v>
      </c>
      <c r="G657" s="18">
        <f>IF(ISERROR(VLOOKUP($D657,SITES!$A:$E,4,FALSE)),"",VLOOKUP($D657,SITES!$A:$E,4,FALSE))</f>
        <v>-125.14414499999999</v>
      </c>
      <c r="H657" s="5" t="str">
        <f t="shared" si="90"/>
        <v>08/05/2023</v>
      </c>
      <c r="I657" s="2">
        <f t="shared" si="91"/>
        <v>3</v>
      </c>
      <c r="J657" s="2">
        <f t="shared" si="92"/>
        <v>30</v>
      </c>
      <c r="K657" s="6">
        <f t="shared" si="93"/>
        <v>0.51388888888888895</v>
      </c>
      <c r="L657" s="2" t="str">
        <f t="shared" si="94"/>
        <v>EGL</v>
      </c>
      <c r="M657" s="2">
        <f t="shared" si="95"/>
        <v>7</v>
      </c>
      <c r="N657" s="2">
        <f t="shared" si="97"/>
        <v>2</v>
      </c>
      <c r="O657" s="2">
        <f t="shared" si="96"/>
        <v>1</v>
      </c>
      <c r="P657" s="27" t="s">
        <v>180</v>
      </c>
      <c r="Q657" s="7" t="str">
        <f>IF($N657=1,IF(ISERROR(VLOOKUP($P657,'M1'!$A:$C,Q$2,FALSE)),"NOT PRESENT",VLOOKUP($P657,'M1'!$A:$C,Q$2,FALSE)),IF($N657=2,IF(ISERROR(VLOOKUP(DATA!$P229,'M2'!$A:$C,Q$2,FALSE)),"NOT PRESENT",VLOOKUP(DATA!$P229,'M2'!$A:$C,Q$2,FALSE)),IF($N657=0,IF(ISERROR(VLOOKUP($P657,'M1'!$A:$C,Q$2,FALSE)),IF(ISERROR(VLOOKUP(DATA!$P229,'M2'!$A:$C,Q$2,FALSE)),"NOT PRESENT",VLOOKUP(DATA!$P229,'M2'!$A:$C,Q$2,FALSE)),VLOOKUP($P657,'M1'!$A:$C,Q$2,FALSE)),"SPECIFY METHOD")))</f>
        <v>NOT PRESENT</v>
      </c>
      <c r="R657" s="4" t="str">
        <f>IF($N657=1,IF(ISERROR(VLOOKUP($P657,'M1'!$A:$C,R$2,FALSE)),"NOT PRESENT",VLOOKUP($P657,'M1'!$A:$C,R$2,FALSE)),IF($N657=2,IF(ISERROR(VLOOKUP(DATA!$P229,'M2'!$A:$C,R$2,FALSE)),"NOT PRESENT",VLOOKUP(DATA!$P229,'M2'!$A:$C,R$2,FALSE)),IF($N657=0,IF(ISERROR(VLOOKUP($P657,'M1'!$A:$C,R$2,FALSE)),IF(ISERROR(VLOOKUP(DATA!$P229,'M2'!$A:$C,R$2,FALSE)),"NOT PRESENT",VLOOKUP(DATA!$P229,'M2'!$A:$C,R$2,FALSE)),VLOOKUP($P657,'M1'!$A:$C,R$2,FALSE)),"SPECIFY METHOD")))</f>
        <v>NOT PRESENT</v>
      </c>
      <c r="S657" s="20">
        <f t="shared" si="80"/>
        <v>7</v>
      </c>
      <c r="T657" s="2">
        <v>7</v>
      </c>
    </row>
    <row r="658" spans="1:31">
      <c r="A658" s="7">
        <f>MAX($A$1:$A657)+1</f>
        <v>657</v>
      </c>
      <c r="B658" s="2" t="str">
        <f t="shared" si="86"/>
        <v>Em Lim</v>
      </c>
      <c r="C658" s="2" t="str">
        <f t="shared" si="87"/>
        <v>Jasmin Schuster</v>
      </c>
      <c r="D658" s="2" t="str">
        <f t="shared" si="88"/>
        <v>BMSC23</v>
      </c>
      <c r="E658" s="7" t="str">
        <f>IF(ISERROR(VLOOKUP($D658,SITES!$A:$E,2,FALSE)),"",VLOOKUP($D658,SITES!$A:$E,2,FALSE))</f>
        <v>Aguilar Point</v>
      </c>
      <c r="F658" s="4">
        <f>IF(ISERROR(VLOOKUP($D658,SITES!$A:$E,3,FALSE)),"",VLOOKUP($D658,SITES!$A:$E,3,FALSE))</f>
        <v>48.837589000000001</v>
      </c>
      <c r="G658" s="18">
        <f>IF(ISERROR(VLOOKUP($D658,SITES!$A:$E,4,FALSE)),"",VLOOKUP($D658,SITES!$A:$E,4,FALSE))</f>
        <v>-125.14414499999999</v>
      </c>
      <c r="H658" s="5" t="str">
        <f t="shared" si="90"/>
        <v>08/05/2023</v>
      </c>
      <c r="I658" s="2">
        <f t="shared" si="91"/>
        <v>3</v>
      </c>
      <c r="J658" s="2">
        <f t="shared" si="92"/>
        <v>30</v>
      </c>
      <c r="K658" s="6">
        <f t="shared" si="93"/>
        <v>0.51388888888888895</v>
      </c>
      <c r="L658" s="2" t="str">
        <f t="shared" si="94"/>
        <v>EGL</v>
      </c>
      <c r="M658" s="2">
        <f t="shared" si="95"/>
        <v>7</v>
      </c>
      <c r="N658" s="2">
        <f t="shared" si="97"/>
        <v>2</v>
      </c>
      <c r="O658" s="2">
        <f t="shared" si="96"/>
        <v>1</v>
      </c>
      <c r="P658" s="27" t="s">
        <v>207</v>
      </c>
      <c r="Q658" s="7" t="str">
        <f>IF($N658=1,IF(ISERROR(VLOOKUP($P658,'M1'!$A:$C,Q$2,FALSE)),"NOT PRESENT",VLOOKUP($P658,'M1'!$A:$C,Q$2,FALSE)),IF($N658=2,IF(ISERROR(VLOOKUP(DATA!$P230,'M2'!$A:$C,Q$2,FALSE)),"NOT PRESENT",VLOOKUP(DATA!$P230,'M2'!$A:$C,Q$2,FALSE)),IF($N658=0,IF(ISERROR(VLOOKUP($P658,'M1'!$A:$C,Q$2,FALSE)),IF(ISERROR(VLOOKUP(DATA!$P230,'M2'!$A:$C,Q$2,FALSE)),"NOT PRESENT",VLOOKUP(DATA!$P230,'M2'!$A:$C,Q$2,FALSE)),VLOOKUP($P658,'M1'!$A:$C,Q$2,FALSE)),"SPECIFY METHOD")))</f>
        <v>NOT PRESENT</v>
      </c>
      <c r="R658" s="4" t="str">
        <f>IF($N658=1,IF(ISERROR(VLOOKUP($P658,'M1'!$A:$C,R$2,FALSE)),"NOT PRESENT",VLOOKUP($P658,'M1'!$A:$C,R$2,FALSE)),IF($N658=2,IF(ISERROR(VLOOKUP(DATA!$P230,'M2'!$A:$C,R$2,FALSE)),"NOT PRESENT",VLOOKUP(DATA!$P230,'M2'!$A:$C,R$2,FALSE)),IF($N658=0,IF(ISERROR(VLOOKUP($P658,'M1'!$A:$C,R$2,FALSE)),IF(ISERROR(VLOOKUP(DATA!$P230,'M2'!$A:$C,R$2,FALSE)),"NOT PRESENT",VLOOKUP(DATA!$P230,'M2'!$A:$C,R$2,FALSE)),VLOOKUP($P658,'M1'!$A:$C,R$2,FALSE)),"SPECIFY METHOD")))</f>
        <v>NOT PRESENT</v>
      </c>
      <c r="S658" s="20">
        <f t="shared" si="80"/>
        <v>2</v>
      </c>
      <c r="T658" s="2">
        <v>2</v>
      </c>
    </row>
    <row r="659" spans="1:31">
      <c r="A659" s="7">
        <f>MAX($A$1:$A658)+1</f>
        <v>658</v>
      </c>
      <c r="B659" s="2" t="str">
        <f t="shared" si="86"/>
        <v>Em Lim</v>
      </c>
      <c r="C659" s="2" t="str">
        <f t="shared" si="87"/>
        <v>Jasmin Schuster</v>
      </c>
      <c r="D659" s="2" t="str">
        <f t="shared" si="88"/>
        <v>BMSC23</v>
      </c>
      <c r="E659" s="7" t="str">
        <f>IF(ISERROR(VLOOKUP($D659,SITES!$A:$E,2,FALSE)),"",VLOOKUP($D659,SITES!$A:$E,2,FALSE))</f>
        <v>Aguilar Point</v>
      </c>
      <c r="F659" s="4">
        <f>IF(ISERROR(VLOOKUP($D659,SITES!$A:$E,3,FALSE)),"",VLOOKUP($D659,SITES!$A:$E,3,FALSE))</f>
        <v>48.837589000000001</v>
      </c>
      <c r="G659" s="18">
        <f>IF(ISERROR(VLOOKUP($D659,SITES!$A:$E,4,FALSE)),"",VLOOKUP($D659,SITES!$A:$E,4,FALSE))</f>
        <v>-125.14414499999999</v>
      </c>
      <c r="H659" s="5" t="str">
        <f t="shared" si="90"/>
        <v>08/05/2023</v>
      </c>
      <c r="I659" s="2">
        <f t="shared" si="91"/>
        <v>3</v>
      </c>
      <c r="J659" s="2">
        <f t="shared" si="92"/>
        <v>30</v>
      </c>
      <c r="K659" s="6">
        <f t="shared" si="93"/>
        <v>0.51388888888888895</v>
      </c>
      <c r="L659" s="2" t="str">
        <f t="shared" si="94"/>
        <v>EGL</v>
      </c>
      <c r="M659" s="2">
        <f t="shared" si="95"/>
        <v>7</v>
      </c>
      <c r="N659" s="2">
        <f t="shared" si="97"/>
        <v>2</v>
      </c>
      <c r="O659" s="2">
        <f t="shared" si="96"/>
        <v>1</v>
      </c>
      <c r="P659" s="27" t="s">
        <v>185</v>
      </c>
      <c r="Q659" s="7" t="str">
        <f>IF($N659=1,IF(ISERROR(VLOOKUP($P659,'M1'!$A:$C,Q$2,FALSE)),"NOT PRESENT",VLOOKUP($P659,'M1'!$A:$C,Q$2,FALSE)),IF($N659=2,IF(ISERROR(VLOOKUP(DATA!$P231,'M2'!$A:$C,Q$2,FALSE)),"NOT PRESENT",VLOOKUP(DATA!$P231,'M2'!$A:$C,Q$2,FALSE)),IF($N659=0,IF(ISERROR(VLOOKUP($P659,'M1'!$A:$C,Q$2,FALSE)),IF(ISERROR(VLOOKUP(DATA!$P231,'M2'!$A:$C,Q$2,FALSE)),"NOT PRESENT",VLOOKUP(DATA!$P231,'M2'!$A:$C,Q$2,FALSE)),VLOOKUP($P659,'M1'!$A:$C,Q$2,FALSE)),"SPECIFY METHOD")))</f>
        <v>NOT PRESENT</v>
      </c>
      <c r="R659" s="4" t="str">
        <f>IF($N659=1,IF(ISERROR(VLOOKUP($P659,'M1'!$A:$C,R$2,FALSE)),"NOT PRESENT",VLOOKUP($P659,'M1'!$A:$C,R$2,FALSE)),IF($N659=2,IF(ISERROR(VLOOKUP(DATA!$P231,'M2'!$A:$C,R$2,FALSE)),"NOT PRESENT",VLOOKUP(DATA!$P231,'M2'!$A:$C,R$2,FALSE)),IF($N659=0,IF(ISERROR(VLOOKUP($P659,'M1'!$A:$C,R$2,FALSE)),IF(ISERROR(VLOOKUP(DATA!$P231,'M2'!$A:$C,R$2,FALSE)),"NOT PRESENT",VLOOKUP(DATA!$P231,'M2'!$A:$C,R$2,FALSE)),VLOOKUP($P659,'M1'!$A:$C,R$2,FALSE)),"SPECIFY METHOD")))</f>
        <v>NOT PRESENT</v>
      </c>
      <c r="S659" s="20">
        <f t="shared" si="80"/>
        <v>1</v>
      </c>
      <c r="T659" s="2">
        <v>1</v>
      </c>
    </row>
    <row r="660" spans="1:31">
      <c r="A660" s="7">
        <f>MAX($A$1:$A659)+1</f>
        <v>659</v>
      </c>
      <c r="B660" s="2" t="str">
        <f t="shared" si="86"/>
        <v>Em Lim</v>
      </c>
      <c r="C660" s="2" t="str">
        <f t="shared" si="87"/>
        <v>Jasmin Schuster</v>
      </c>
      <c r="D660" s="2" t="str">
        <f t="shared" si="88"/>
        <v>BMSC23</v>
      </c>
      <c r="E660" s="7" t="str">
        <f>IF(ISERROR(VLOOKUP($D660,SITES!$A:$E,2,FALSE)),"",VLOOKUP($D660,SITES!$A:$E,2,FALSE))</f>
        <v>Aguilar Point</v>
      </c>
      <c r="F660" s="4">
        <f>IF(ISERROR(VLOOKUP($D660,SITES!$A:$E,3,FALSE)),"",VLOOKUP($D660,SITES!$A:$E,3,FALSE))</f>
        <v>48.837589000000001</v>
      </c>
      <c r="G660" s="18">
        <f>IF(ISERROR(VLOOKUP($D660,SITES!$A:$E,4,FALSE)),"",VLOOKUP($D660,SITES!$A:$E,4,FALSE))</f>
        <v>-125.14414499999999</v>
      </c>
      <c r="H660" s="5" t="str">
        <f t="shared" si="90"/>
        <v>08/05/2023</v>
      </c>
      <c r="I660" s="2">
        <f t="shared" si="91"/>
        <v>3</v>
      </c>
      <c r="J660" s="2">
        <f t="shared" si="92"/>
        <v>30</v>
      </c>
      <c r="K660" s="6">
        <f t="shared" si="93"/>
        <v>0.51388888888888895</v>
      </c>
      <c r="L660" s="2" t="str">
        <f t="shared" si="94"/>
        <v>EGL</v>
      </c>
      <c r="M660" s="2">
        <f t="shared" si="95"/>
        <v>7</v>
      </c>
      <c r="N660" s="2">
        <f t="shared" si="97"/>
        <v>2</v>
      </c>
      <c r="O660" s="2">
        <f t="shared" si="96"/>
        <v>1</v>
      </c>
      <c r="P660" s="27" t="s">
        <v>194</v>
      </c>
      <c r="Q660" s="7" t="str">
        <f>IF($N660=1,IF(ISERROR(VLOOKUP($P660,'M1'!$A:$C,Q$2,FALSE)),"NOT PRESENT",VLOOKUP($P660,'M1'!$A:$C,Q$2,FALSE)),IF($N660=2,IF(ISERROR(VLOOKUP(DATA!$P232,'M2'!$A:$C,Q$2,FALSE)),"NOT PRESENT",VLOOKUP(DATA!$P232,'M2'!$A:$C,Q$2,FALSE)),IF($N660=0,IF(ISERROR(VLOOKUP($P660,'M1'!$A:$C,Q$2,FALSE)),IF(ISERROR(VLOOKUP(DATA!$P232,'M2'!$A:$C,Q$2,FALSE)),"NOT PRESENT",VLOOKUP(DATA!$P232,'M2'!$A:$C,Q$2,FALSE)),VLOOKUP($P660,'M1'!$A:$C,Q$2,FALSE)),"SPECIFY METHOD")))</f>
        <v>NOT PRESENT</v>
      </c>
      <c r="R660" s="4" t="str">
        <f>IF($N660=1,IF(ISERROR(VLOOKUP($P660,'M1'!$A:$C,R$2,FALSE)),"NOT PRESENT",VLOOKUP($P660,'M1'!$A:$C,R$2,FALSE)),IF($N660=2,IF(ISERROR(VLOOKUP(DATA!$P232,'M2'!$A:$C,R$2,FALSE)),"NOT PRESENT",VLOOKUP(DATA!$P232,'M2'!$A:$C,R$2,FALSE)),IF($N660=0,IF(ISERROR(VLOOKUP($P660,'M1'!$A:$C,R$2,FALSE)),IF(ISERROR(VLOOKUP(DATA!$P232,'M2'!$A:$C,R$2,FALSE)),"NOT PRESENT",VLOOKUP(DATA!$P232,'M2'!$A:$C,R$2,FALSE)),VLOOKUP($P660,'M1'!$A:$C,R$2,FALSE)),"SPECIFY METHOD")))</f>
        <v>NOT PRESENT</v>
      </c>
      <c r="S660" s="20">
        <f t="shared" si="80"/>
        <v>7</v>
      </c>
      <c r="T660" s="2">
        <v>0</v>
      </c>
      <c r="U660" s="2">
        <v>6</v>
      </c>
      <c r="V660" s="2">
        <v>1</v>
      </c>
    </row>
    <row r="661" spans="1:31">
      <c r="A661" s="7">
        <f>MAX($A$1:$A660)+1</f>
        <v>660</v>
      </c>
      <c r="B661" s="2" t="str">
        <f t="shared" si="86"/>
        <v>Em Lim</v>
      </c>
      <c r="C661" s="2" t="str">
        <f t="shared" si="87"/>
        <v>Jasmin Schuster</v>
      </c>
      <c r="D661" s="2" t="str">
        <f t="shared" si="88"/>
        <v>BMSC23</v>
      </c>
      <c r="E661" s="7" t="str">
        <f>IF(ISERROR(VLOOKUP($D661,SITES!$A:$E,2,FALSE)),"",VLOOKUP($D661,SITES!$A:$E,2,FALSE))</f>
        <v>Aguilar Point</v>
      </c>
      <c r="F661" s="4">
        <f>IF(ISERROR(VLOOKUP($D661,SITES!$A:$E,3,FALSE)),"",VLOOKUP($D661,SITES!$A:$E,3,FALSE))</f>
        <v>48.837589000000001</v>
      </c>
      <c r="G661" s="18">
        <f>IF(ISERROR(VLOOKUP($D661,SITES!$A:$E,4,FALSE)),"",VLOOKUP($D661,SITES!$A:$E,4,FALSE))</f>
        <v>-125.14414499999999</v>
      </c>
      <c r="H661" s="5" t="str">
        <f t="shared" si="90"/>
        <v>08/05/2023</v>
      </c>
      <c r="I661" s="2">
        <f t="shared" si="91"/>
        <v>3</v>
      </c>
      <c r="J661" s="2">
        <f t="shared" si="92"/>
        <v>30</v>
      </c>
      <c r="K661" s="6">
        <f t="shared" si="93"/>
        <v>0.51388888888888895</v>
      </c>
      <c r="L661" s="2" t="str">
        <f t="shared" si="94"/>
        <v>EGL</v>
      </c>
      <c r="M661" s="2">
        <f t="shared" si="95"/>
        <v>7</v>
      </c>
      <c r="N661" s="2">
        <f t="shared" si="97"/>
        <v>2</v>
      </c>
      <c r="O661" s="2">
        <f t="shared" si="96"/>
        <v>1</v>
      </c>
      <c r="P661" s="27" t="s">
        <v>179</v>
      </c>
      <c r="Q661" s="7" t="str">
        <f>IF($N661=1,IF(ISERROR(VLOOKUP($P661,'M1'!$A:$C,Q$2,FALSE)),"NOT PRESENT",VLOOKUP($P661,'M1'!$A:$C,Q$2,FALSE)),IF($N661=2,IF(ISERROR(VLOOKUP(DATA!$P233,'M2'!$A:$C,Q$2,FALSE)),"NOT PRESENT",VLOOKUP(DATA!$P233,'M2'!$A:$C,Q$2,FALSE)),IF($N661=0,IF(ISERROR(VLOOKUP($P661,'M1'!$A:$C,Q$2,FALSE)),IF(ISERROR(VLOOKUP(DATA!$P233,'M2'!$A:$C,Q$2,FALSE)),"NOT PRESENT",VLOOKUP(DATA!$P233,'M2'!$A:$C,Q$2,FALSE)),VLOOKUP($P661,'M1'!$A:$C,Q$2,FALSE)),"SPECIFY METHOD")))</f>
        <v>NOT PRESENT</v>
      </c>
      <c r="R661" s="4" t="str">
        <f>IF($N661=1,IF(ISERROR(VLOOKUP($P661,'M1'!$A:$C,R$2,FALSE)),"NOT PRESENT",VLOOKUP($P661,'M1'!$A:$C,R$2,FALSE)),IF($N661=2,IF(ISERROR(VLOOKUP(DATA!$P233,'M2'!$A:$C,R$2,FALSE)),"NOT PRESENT",VLOOKUP(DATA!$P233,'M2'!$A:$C,R$2,FALSE)),IF($N661=0,IF(ISERROR(VLOOKUP($P661,'M1'!$A:$C,R$2,FALSE)),IF(ISERROR(VLOOKUP(DATA!$P233,'M2'!$A:$C,R$2,FALSE)),"NOT PRESENT",VLOOKUP(DATA!$P233,'M2'!$A:$C,R$2,FALSE)),VLOOKUP($P661,'M1'!$A:$C,R$2,FALSE)),"SPECIFY METHOD")))</f>
        <v>NOT PRESENT</v>
      </c>
      <c r="S661" s="20">
        <f t="shared" si="80"/>
        <v>6</v>
      </c>
      <c r="T661" s="2">
        <v>6</v>
      </c>
    </row>
    <row r="662" spans="1:31">
      <c r="A662" s="7">
        <f>MAX($A$1:$A661)+1</f>
        <v>661</v>
      </c>
      <c r="B662" s="2" t="str">
        <f t="shared" si="86"/>
        <v>Em Lim</v>
      </c>
      <c r="C662" s="2" t="str">
        <f t="shared" si="87"/>
        <v>Jasmin Schuster</v>
      </c>
      <c r="D662" s="2" t="str">
        <f t="shared" si="88"/>
        <v>BMSC23</v>
      </c>
      <c r="E662" s="7" t="str">
        <f>IF(ISERROR(VLOOKUP($D662,SITES!$A:$E,2,FALSE)),"",VLOOKUP($D662,SITES!$A:$E,2,FALSE))</f>
        <v>Aguilar Point</v>
      </c>
      <c r="F662" s="4">
        <f>IF(ISERROR(VLOOKUP($D662,SITES!$A:$E,3,FALSE)),"",VLOOKUP($D662,SITES!$A:$E,3,FALSE))</f>
        <v>48.837589000000001</v>
      </c>
      <c r="G662" s="18">
        <f>IF(ISERROR(VLOOKUP($D662,SITES!$A:$E,4,FALSE)),"",VLOOKUP($D662,SITES!$A:$E,4,FALSE))</f>
        <v>-125.14414499999999</v>
      </c>
      <c r="H662" s="5" t="str">
        <f t="shared" si="90"/>
        <v>08/05/2023</v>
      </c>
      <c r="I662" s="2">
        <f t="shared" si="91"/>
        <v>3</v>
      </c>
      <c r="J662" s="2">
        <f t="shared" si="92"/>
        <v>30</v>
      </c>
      <c r="K662" s="6">
        <f t="shared" si="93"/>
        <v>0.51388888888888895</v>
      </c>
      <c r="L662" s="2" t="str">
        <f t="shared" si="94"/>
        <v>EGL</v>
      </c>
      <c r="M662" s="2">
        <f t="shared" si="95"/>
        <v>7</v>
      </c>
      <c r="N662" s="2">
        <f t="shared" si="97"/>
        <v>2</v>
      </c>
      <c r="O662" s="2">
        <f t="shared" si="96"/>
        <v>1</v>
      </c>
      <c r="P662" s="27" t="s">
        <v>219</v>
      </c>
      <c r="Q662" s="7" t="str">
        <f>IF($N662=1,IF(ISERROR(VLOOKUP($P662,'M1'!$A:$C,Q$2,FALSE)),"NOT PRESENT",VLOOKUP($P662,'M1'!$A:$C,Q$2,FALSE)),IF($N662=2,IF(ISERROR(VLOOKUP(DATA!$P234,'M2'!$A:$C,Q$2,FALSE)),"NOT PRESENT",VLOOKUP(DATA!$P234,'M2'!$A:$C,Q$2,FALSE)),IF($N662=0,IF(ISERROR(VLOOKUP($P662,'M1'!$A:$C,Q$2,FALSE)),IF(ISERROR(VLOOKUP(DATA!$P234,'M2'!$A:$C,Q$2,FALSE)),"NOT PRESENT",VLOOKUP(DATA!$P234,'M2'!$A:$C,Q$2,FALSE)),VLOOKUP($P662,'M1'!$A:$C,Q$2,FALSE)),"SPECIFY METHOD")))</f>
        <v>NOT PRESENT</v>
      </c>
      <c r="R662" s="4" t="str">
        <f>IF($N662=1,IF(ISERROR(VLOOKUP($P662,'M1'!$A:$C,R$2,FALSE)),"NOT PRESENT",VLOOKUP($P662,'M1'!$A:$C,R$2,FALSE)),IF($N662=2,IF(ISERROR(VLOOKUP(DATA!$P234,'M2'!$A:$C,R$2,FALSE)),"NOT PRESENT",VLOOKUP(DATA!$P234,'M2'!$A:$C,R$2,FALSE)),IF($N662=0,IF(ISERROR(VLOOKUP($P662,'M1'!$A:$C,R$2,FALSE)),IF(ISERROR(VLOOKUP(DATA!$P234,'M2'!$A:$C,R$2,FALSE)),"NOT PRESENT",VLOOKUP(DATA!$P234,'M2'!$A:$C,R$2,FALSE)),VLOOKUP($P662,'M1'!$A:$C,R$2,FALSE)),"SPECIFY METHOD")))</f>
        <v>NOT PRESENT</v>
      </c>
      <c r="S662" s="20">
        <f t="shared" si="80"/>
        <v>2</v>
      </c>
      <c r="T662" s="2">
        <v>2</v>
      </c>
    </row>
    <row r="663" spans="1:31">
      <c r="A663" s="7">
        <f>MAX($A$1:$A662)+1</f>
        <v>662</v>
      </c>
      <c r="B663" s="2" t="str">
        <f t="shared" si="86"/>
        <v>Em Lim</v>
      </c>
      <c r="C663" s="2" t="str">
        <f t="shared" si="87"/>
        <v>Jasmin Schuster</v>
      </c>
      <c r="D663" s="2" t="str">
        <f t="shared" si="88"/>
        <v>BMSC23</v>
      </c>
      <c r="E663" s="7" t="str">
        <f>IF(ISERROR(VLOOKUP($D663,SITES!$A:$E,2,FALSE)),"",VLOOKUP($D663,SITES!$A:$E,2,FALSE))</f>
        <v>Aguilar Point</v>
      </c>
      <c r="F663" s="4">
        <f>IF(ISERROR(VLOOKUP($D663,SITES!$A:$E,3,FALSE)),"",VLOOKUP($D663,SITES!$A:$E,3,FALSE))</f>
        <v>48.837589000000001</v>
      </c>
      <c r="G663" s="18">
        <f>IF(ISERROR(VLOOKUP($D663,SITES!$A:$E,4,FALSE)),"",VLOOKUP($D663,SITES!$A:$E,4,FALSE))</f>
        <v>-125.14414499999999</v>
      </c>
      <c r="H663" s="5" t="str">
        <f t="shared" si="90"/>
        <v>08/05/2023</v>
      </c>
      <c r="I663" s="2">
        <f t="shared" si="91"/>
        <v>3</v>
      </c>
      <c r="J663" s="2">
        <f t="shared" si="92"/>
        <v>30</v>
      </c>
      <c r="K663" s="6">
        <f t="shared" si="93"/>
        <v>0.51388888888888895</v>
      </c>
      <c r="L663" s="2" t="str">
        <f t="shared" si="94"/>
        <v>EGL</v>
      </c>
      <c r="M663" s="2">
        <f t="shared" si="95"/>
        <v>7</v>
      </c>
      <c r="N663" s="2">
        <f t="shared" si="97"/>
        <v>2</v>
      </c>
      <c r="O663" s="2">
        <f t="shared" si="96"/>
        <v>1</v>
      </c>
      <c r="P663" s="27" t="s">
        <v>199</v>
      </c>
      <c r="Q663" s="7" t="str">
        <f>IF($N663=1,IF(ISERROR(VLOOKUP($P663,'M1'!$A:$C,Q$2,FALSE)),"NOT PRESENT",VLOOKUP($P663,'M1'!$A:$C,Q$2,FALSE)),IF($N663=2,IF(ISERROR(VLOOKUP(DATA!$P235,'M2'!$A:$C,Q$2,FALSE)),"NOT PRESENT",VLOOKUP(DATA!$P235,'M2'!$A:$C,Q$2,FALSE)),IF($N663=0,IF(ISERROR(VLOOKUP($P663,'M1'!$A:$C,Q$2,FALSE)),IF(ISERROR(VLOOKUP(DATA!$P235,'M2'!$A:$C,Q$2,FALSE)),"NOT PRESENT",VLOOKUP(DATA!$P235,'M2'!$A:$C,Q$2,FALSE)),VLOOKUP($P663,'M1'!$A:$C,Q$2,FALSE)),"SPECIFY METHOD")))</f>
        <v>NOT PRESENT</v>
      </c>
      <c r="R663" s="4" t="str">
        <f>IF($N663=1,IF(ISERROR(VLOOKUP($P663,'M1'!$A:$C,R$2,FALSE)),"NOT PRESENT",VLOOKUP($P663,'M1'!$A:$C,R$2,FALSE)),IF($N663=2,IF(ISERROR(VLOOKUP(DATA!$P235,'M2'!$A:$C,R$2,FALSE)),"NOT PRESENT",VLOOKUP(DATA!$P235,'M2'!$A:$C,R$2,FALSE)),IF($N663=0,IF(ISERROR(VLOOKUP($P663,'M1'!$A:$C,R$2,FALSE)),IF(ISERROR(VLOOKUP(DATA!$P235,'M2'!$A:$C,R$2,FALSE)),"NOT PRESENT",VLOOKUP(DATA!$P235,'M2'!$A:$C,R$2,FALSE)),VLOOKUP($P663,'M1'!$A:$C,R$2,FALSE)),"SPECIFY METHOD")))</f>
        <v>NOT PRESENT</v>
      </c>
      <c r="S663" s="20">
        <f t="shared" si="80"/>
        <v>2</v>
      </c>
      <c r="T663" s="2">
        <v>2</v>
      </c>
    </row>
    <row r="664" spans="1:31">
      <c r="A664" s="7">
        <f>MAX($A$1:$A663)+1</f>
        <v>663</v>
      </c>
      <c r="B664" s="2" t="str">
        <f t="shared" si="86"/>
        <v>Em Lim</v>
      </c>
      <c r="C664" s="2" t="str">
        <f t="shared" si="87"/>
        <v>Jasmin Schuster</v>
      </c>
      <c r="D664" s="2" t="str">
        <f t="shared" si="88"/>
        <v>BMSC23</v>
      </c>
      <c r="E664" s="7" t="str">
        <f>IF(ISERROR(VLOOKUP($D664,SITES!$A:$E,2,FALSE)),"",VLOOKUP($D664,SITES!$A:$E,2,FALSE))</f>
        <v>Aguilar Point</v>
      </c>
      <c r="F664" s="4">
        <f>IF(ISERROR(VLOOKUP($D664,SITES!$A:$E,3,FALSE)),"",VLOOKUP($D664,SITES!$A:$E,3,FALSE))</f>
        <v>48.837589000000001</v>
      </c>
      <c r="G664" s="18">
        <f>IF(ISERROR(VLOOKUP($D664,SITES!$A:$E,4,FALSE)),"",VLOOKUP($D664,SITES!$A:$E,4,FALSE))</f>
        <v>-125.14414499999999</v>
      </c>
      <c r="H664" s="5" t="str">
        <f t="shared" si="90"/>
        <v>08/05/2023</v>
      </c>
      <c r="I664" s="2">
        <f t="shared" si="91"/>
        <v>3</v>
      </c>
      <c r="J664" s="2">
        <f t="shared" si="92"/>
        <v>30</v>
      </c>
      <c r="K664" s="6">
        <f t="shared" si="93"/>
        <v>0.51388888888888895</v>
      </c>
      <c r="L664" s="2" t="str">
        <f t="shared" si="94"/>
        <v>EGL</v>
      </c>
      <c r="M664" s="2">
        <f t="shared" si="95"/>
        <v>7</v>
      </c>
      <c r="N664" s="2">
        <v>0</v>
      </c>
      <c r="O664" s="2">
        <f t="shared" si="96"/>
        <v>1</v>
      </c>
      <c r="P664" s="27" t="s">
        <v>209</v>
      </c>
      <c r="Q664" s="7" t="str">
        <f>IF($N664=1,IF(ISERROR(VLOOKUP($P664,'M1'!$A:$C,Q$2,FALSE)),"NOT PRESENT",VLOOKUP($P664,'M1'!$A:$C,Q$2,FALSE)),IF($N664=2,IF(ISERROR(VLOOKUP(DATA!$P236,'M2'!$A:$C,Q$2,FALSE)),"NOT PRESENT",VLOOKUP(DATA!$P236,'M2'!$A:$C,Q$2,FALSE)),IF($N664=0,IF(ISERROR(VLOOKUP($P664,'M1'!$A:$C,Q$2,FALSE)),IF(ISERROR(VLOOKUP(DATA!$P236,'M2'!$A:$C,Q$2,FALSE)),"NOT PRESENT",VLOOKUP(DATA!$P236,'M2'!$A:$C,Q$2,FALSE)),VLOOKUP($P664,'M1'!$A:$C,Q$2,FALSE)),"SPECIFY METHOD")))</f>
        <v>NOT PRESENT</v>
      </c>
      <c r="R664" s="4" t="str">
        <f>IF($N664=1,IF(ISERROR(VLOOKUP($P664,'M1'!$A:$C,R$2,FALSE)),"NOT PRESENT",VLOOKUP($P664,'M1'!$A:$C,R$2,FALSE)),IF($N664=2,IF(ISERROR(VLOOKUP(DATA!$P236,'M2'!$A:$C,R$2,FALSE)),"NOT PRESENT",VLOOKUP(DATA!$P236,'M2'!$A:$C,R$2,FALSE)),IF($N664=0,IF(ISERROR(VLOOKUP($P664,'M1'!$A:$C,R$2,FALSE)),IF(ISERROR(VLOOKUP(DATA!$P236,'M2'!$A:$C,R$2,FALSE)),"NOT PRESENT",VLOOKUP(DATA!$P236,'M2'!$A:$C,R$2,FALSE)),VLOOKUP($P664,'M1'!$A:$C,R$2,FALSE)),"SPECIFY METHOD")))</f>
        <v>NOT PRESENT</v>
      </c>
      <c r="S664" s="20">
        <f t="shared" si="80"/>
        <v>1</v>
      </c>
      <c r="T664" s="2">
        <v>0</v>
      </c>
      <c r="W664" s="2">
        <v>1</v>
      </c>
    </row>
    <row r="665" spans="1:31">
      <c r="A665" s="7">
        <f>MAX($A$1:$A664)+1</f>
        <v>664</v>
      </c>
      <c r="B665" s="2" t="str">
        <f t="shared" si="86"/>
        <v>Em Lim</v>
      </c>
      <c r="C665" s="2" t="str">
        <f t="shared" si="87"/>
        <v>Jasmin Schuster</v>
      </c>
      <c r="D665" s="2" t="str">
        <f t="shared" si="88"/>
        <v>BMSC23</v>
      </c>
      <c r="E665" s="7" t="str">
        <f>IF(ISERROR(VLOOKUP($D665,SITES!$A:$E,2,FALSE)),"",VLOOKUP($D665,SITES!$A:$E,2,FALSE))</f>
        <v>Aguilar Point</v>
      </c>
      <c r="F665" s="4">
        <f>IF(ISERROR(VLOOKUP($D665,SITES!$A:$E,3,FALSE)),"",VLOOKUP($D665,SITES!$A:$E,3,FALSE))</f>
        <v>48.837589000000001</v>
      </c>
      <c r="G665" s="18">
        <f>IF(ISERROR(VLOOKUP($D665,SITES!$A:$E,4,FALSE)),"",VLOOKUP($D665,SITES!$A:$E,4,FALSE))</f>
        <v>-125.14414499999999</v>
      </c>
      <c r="H665" s="5" t="str">
        <f t="shared" si="90"/>
        <v>08/05/2023</v>
      </c>
      <c r="I665" s="2">
        <f t="shared" si="91"/>
        <v>3</v>
      </c>
      <c r="J665" s="2">
        <f t="shared" si="92"/>
        <v>30</v>
      </c>
      <c r="K665" s="6">
        <f t="shared" si="93"/>
        <v>0.51388888888888895</v>
      </c>
      <c r="L665" s="2" t="str">
        <f t="shared" si="94"/>
        <v>EGL</v>
      </c>
      <c r="M665" s="2">
        <f t="shared" si="95"/>
        <v>7</v>
      </c>
      <c r="N665" s="2">
        <v>2</v>
      </c>
      <c r="O665" s="2">
        <f t="shared" si="96"/>
        <v>1</v>
      </c>
      <c r="P665" s="27" t="s">
        <v>223</v>
      </c>
      <c r="Q665" s="7" t="str">
        <f>IF($N665=1,IF(ISERROR(VLOOKUP($P665,'M1'!$A:$C,Q$2,FALSE)),"NOT PRESENT",VLOOKUP($P665,'M1'!$A:$C,Q$2,FALSE)),IF($N665=2,IF(ISERROR(VLOOKUP(DATA!$P237,'M2'!$A:$C,Q$2,FALSE)),"NOT PRESENT",VLOOKUP(DATA!$P237,'M2'!$A:$C,Q$2,FALSE)),IF($N665=0,IF(ISERROR(VLOOKUP($P665,'M1'!$A:$C,Q$2,FALSE)),IF(ISERROR(VLOOKUP(DATA!$P237,'M2'!$A:$C,Q$2,FALSE)),"NOT PRESENT",VLOOKUP(DATA!$P237,'M2'!$A:$C,Q$2,FALSE)),VLOOKUP($P665,'M1'!$A:$C,Q$2,FALSE)),"SPECIFY METHOD")))</f>
        <v>NOT PRESENT</v>
      </c>
      <c r="R665" s="4" t="str">
        <f>IF($N665=1,IF(ISERROR(VLOOKUP($P665,'M1'!$A:$C,R$2,FALSE)),"NOT PRESENT",VLOOKUP($P665,'M1'!$A:$C,R$2,FALSE)),IF($N665=2,IF(ISERROR(VLOOKUP(DATA!$P237,'M2'!$A:$C,R$2,FALSE)),"NOT PRESENT",VLOOKUP(DATA!$P237,'M2'!$A:$C,R$2,FALSE)),IF($N665=0,IF(ISERROR(VLOOKUP($P665,'M1'!$A:$C,R$2,FALSE)),IF(ISERROR(VLOOKUP(DATA!$P237,'M2'!$A:$C,R$2,FALSE)),"NOT PRESENT",VLOOKUP(DATA!$P237,'M2'!$A:$C,R$2,FALSE)),VLOOKUP($P665,'M1'!$A:$C,R$2,FALSE)),"SPECIFY METHOD")))</f>
        <v>NOT PRESENT</v>
      </c>
      <c r="S665" s="20">
        <f t="shared" si="80"/>
        <v>1</v>
      </c>
      <c r="T665" s="2">
        <v>0</v>
      </c>
      <c r="V665" s="2">
        <v>1</v>
      </c>
    </row>
    <row r="666" spans="1:31">
      <c r="A666" s="7">
        <f>MAX($A$1:$A665)+1</f>
        <v>665</v>
      </c>
      <c r="B666" s="2" t="str">
        <f t="shared" si="86"/>
        <v>Em Lim</v>
      </c>
      <c r="C666" s="2" t="str">
        <f t="shared" si="87"/>
        <v>Jasmin Schuster</v>
      </c>
      <c r="D666" s="2" t="str">
        <f t="shared" si="88"/>
        <v>BMSC23</v>
      </c>
      <c r="E666" s="7" t="str">
        <f>IF(ISERROR(VLOOKUP($D666,SITES!$A:$E,2,FALSE)),"",VLOOKUP($D666,SITES!$A:$E,2,FALSE))</f>
        <v>Aguilar Point</v>
      </c>
      <c r="F666" s="4">
        <f>IF(ISERROR(VLOOKUP($D666,SITES!$A:$E,3,FALSE)),"",VLOOKUP($D666,SITES!$A:$E,3,FALSE))</f>
        <v>48.837589000000001</v>
      </c>
      <c r="G666" s="18">
        <f>IF(ISERROR(VLOOKUP($D666,SITES!$A:$E,4,FALSE)),"",VLOOKUP($D666,SITES!$A:$E,4,FALSE))</f>
        <v>-125.14414499999999</v>
      </c>
      <c r="H666" s="5" t="str">
        <f t="shared" si="90"/>
        <v>08/05/2023</v>
      </c>
      <c r="I666" s="2">
        <f t="shared" si="91"/>
        <v>3</v>
      </c>
      <c r="J666" s="2">
        <f t="shared" si="92"/>
        <v>30</v>
      </c>
      <c r="K666" s="6">
        <f t="shared" si="93"/>
        <v>0.51388888888888895</v>
      </c>
      <c r="L666" s="2" t="str">
        <f t="shared" si="94"/>
        <v>EGL</v>
      </c>
      <c r="M666" s="2">
        <f t="shared" si="95"/>
        <v>7</v>
      </c>
      <c r="N666" s="2">
        <v>0</v>
      </c>
      <c r="O666" s="2">
        <v>0</v>
      </c>
      <c r="P666" s="27" t="s">
        <v>206</v>
      </c>
      <c r="Q666" s="7" t="str">
        <f>IF($N666=1,IF(ISERROR(VLOOKUP($P666,'M1'!$A:$C,Q$2,FALSE)),"NOT PRESENT",VLOOKUP($P666,'M1'!$A:$C,Q$2,FALSE)),IF($N666=2,IF(ISERROR(VLOOKUP(DATA!$P238,'M2'!$A:$C,Q$2,FALSE)),"NOT PRESENT",VLOOKUP(DATA!$P238,'M2'!$A:$C,Q$2,FALSE)),IF($N666=0,IF(ISERROR(VLOOKUP($P666,'M1'!$A:$C,Q$2,FALSE)),IF(ISERROR(VLOOKUP(DATA!$P238,'M2'!$A:$C,Q$2,FALSE)),"NOT PRESENT",VLOOKUP(DATA!$P238,'M2'!$A:$C,Q$2,FALSE)),VLOOKUP($P666,'M1'!$A:$C,Q$2,FALSE)),"SPECIFY METHOD")))</f>
        <v>NOT PRESENT</v>
      </c>
      <c r="R666" s="4" t="str">
        <f>IF($N666=1,IF(ISERROR(VLOOKUP($P666,'M1'!$A:$C,R$2,FALSE)),"NOT PRESENT",VLOOKUP($P666,'M1'!$A:$C,R$2,FALSE)),IF($N666=2,IF(ISERROR(VLOOKUP(DATA!$P238,'M2'!$A:$C,R$2,FALSE)),"NOT PRESENT",VLOOKUP(DATA!$P238,'M2'!$A:$C,R$2,FALSE)),IF($N666=0,IF(ISERROR(VLOOKUP($P666,'M1'!$A:$C,R$2,FALSE)),IF(ISERROR(VLOOKUP(DATA!$P238,'M2'!$A:$C,R$2,FALSE)),"NOT PRESENT",VLOOKUP(DATA!$P238,'M2'!$A:$C,R$2,FALSE)),VLOOKUP($P666,'M1'!$A:$C,R$2,FALSE)),"SPECIFY METHOD")))</f>
        <v>NOT PRESENT</v>
      </c>
      <c r="S666" s="20">
        <f t="shared" si="80"/>
        <v>3</v>
      </c>
      <c r="T666" s="2">
        <v>0</v>
      </c>
      <c r="AA666" s="2">
        <v>2</v>
      </c>
      <c r="AB666" s="2">
        <v>1</v>
      </c>
    </row>
    <row r="667" spans="1:31">
      <c r="A667" s="7">
        <f>MAX($A$1:$A666)+1</f>
        <v>666</v>
      </c>
      <c r="B667" s="2" t="str">
        <f t="shared" si="86"/>
        <v>Em Lim</v>
      </c>
      <c r="C667" s="2" t="str">
        <f t="shared" si="87"/>
        <v>Jasmin Schuster</v>
      </c>
      <c r="D667" s="2" t="str">
        <f t="shared" si="88"/>
        <v>BMSC23</v>
      </c>
      <c r="E667" s="7" t="str">
        <f>IF(ISERROR(VLOOKUP($D667,SITES!$A:$E,2,FALSE)),"",VLOOKUP($D667,SITES!$A:$E,2,FALSE))</f>
        <v>Aguilar Point</v>
      </c>
      <c r="F667" s="4">
        <f>IF(ISERROR(VLOOKUP($D667,SITES!$A:$E,3,FALSE)),"",VLOOKUP($D667,SITES!$A:$E,3,FALSE))</f>
        <v>48.837589000000001</v>
      </c>
      <c r="G667" s="18">
        <f>IF(ISERROR(VLOOKUP($D667,SITES!$A:$E,4,FALSE)),"",VLOOKUP($D667,SITES!$A:$E,4,FALSE))</f>
        <v>-125.14414499999999</v>
      </c>
      <c r="H667" s="5" t="str">
        <f t="shared" si="90"/>
        <v>08/05/2023</v>
      </c>
      <c r="I667" s="2">
        <f t="shared" si="91"/>
        <v>3</v>
      </c>
      <c r="J667" s="2">
        <f t="shared" si="92"/>
        <v>30</v>
      </c>
      <c r="K667" s="6">
        <f t="shared" si="93"/>
        <v>0.51388888888888895</v>
      </c>
      <c r="L667" s="2" t="str">
        <f t="shared" si="94"/>
        <v>EGL</v>
      </c>
      <c r="M667" s="2">
        <f t="shared" si="95"/>
        <v>7</v>
      </c>
      <c r="N667" s="2">
        <f t="shared" ref="N667:O670" si="98">IF(ISERROR(N666),IF(ISERROR(N665),IF(ISERROR(N664),"BLANK",N664),N665),N666)</f>
        <v>0</v>
      </c>
      <c r="O667" s="2">
        <f t="shared" si="98"/>
        <v>0</v>
      </c>
      <c r="P667" s="27" t="s">
        <v>260</v>
      </c>
      <c r="Q667" s="7" t="str">
        <f>IF($N667=1,IF(ISERROR(VLOOKUP($P667,'M1'!$A:$C,Q$2,FALSE)),"NOT PRESENT",VLOOKUP($P667,'M1'!$A:$C,Q$2,FALSE)),IF($N667=2,IF(ISERROR(VLOOKUP(DATA!$P239,'M2'!$A:$C,Q$2,FALSE)),"NOT PRESENT",VLOOKUP(DATA!$P239,'M2'!$A:$C,Q$2,FALSE)),IF($N667=0,IF(ISERROR(VLOOKUP($P667,'M1'!$A:$C,Q$2,FALSE)),IF(ISERROR(VLOOKUP(DATA!$P239,'M2'!$A:$C,Q$2,FALSE)),"NOT PRESENT",VLOOKUP(DATA!$P239,'M2'!$A:$C,Q$2,FALSE)),VLOOKUP($P667,'M1'!$A:$C,Q$2,FALSE)),"SPECIFY METHOD")))</f>
        <v>NOT PRESENT</v>
      </c>
      <c r="R667" s="4" t="str">
        <f>IF($N667=1,IF(ISERROR(VLOOKUP($P667,'M1'!$A:$C,R$2,FALSE)),"NOT PRESENT",VLOOKUP($P667,'M1'!$A:$C,R$2,FALSE)),IF($N667=2,IF(ISERROR(VLOOKUP(DATA!$P239,'M2'!$A:$C,R$2,FALSE)),"NOT PRESENT",VLOOKUP(DATA!$P239,'M2'!$A:$C,R$2,FALSE)),IF($N667=0,IF(ISERROR(VLOOKUP($P667,'M1'!$A:$C,R$2,FALSE)),IF(ISERROR(VLOOKUP(DATA!$P239,'M2'!$A:$C,R$2,FALSE)),"NOT PRESENT",VLOOKUP(DATA!$P239,'M2'!$A:$C,R$2,FALSE)),VLOOKUP($P667,'M1'!$A:$C,R$2,FALSE)),"SPECIFY METHOD")))</f>
        <v>NOT PRESENT</v>
      </c>
      <c r="S667" s="20">
        <f t="shared" si="80"/>
        <v>1</v>
      </c>
      <c r="T667" s="2">
        <v>0</v>
      </c>
      <c r="Y667" s="2">
        <v>1</v>
      </c>
    </row>
    <row r="668" spans="1:31">
      <c r="A668" s="7">
        <f>MAX($A$1:$A667)+1</f>
        <v>667</v>
      </c>
      <c r="B668" s="2" t="str">
        <f t="shared" si="86"/>
        <v>Em Lim</v>
      </c>
      <c r="C668" s="2" t="str">
        <f t="shared" si="87"/>
        <v>Jasmin Schuster</v>
      </c>
      <c r="D668" s="2" t="str">
        <f t="shared" si="88"/>
        <v>BMSC23</v>
      </c>
      <c r="E668" s="7" t="str">
        <f>IF(ISERROR(VLOOKUP($D668,SITES!$A:$E,2,FALSE)),"",VLOOKUP($D668,SITES!$A:$E,2,FALSE))</f>
        <v>Aguilar Point</v>
      </c>
      <c r="F668" s="4">
        <f>IF(ISERROR(VLOOKUP($D668,SITES!$A:$E,3,FALSE)),"",VLOOKUP($D668,SITES!$A:$E,3,FALSE))</f>
        <v>48.837589000000001</v>
      </c>
      <c r="G668" s="18">
        <f>IF(ISERROR(VLOOKUP($D668,SITES!$A:$E,4,FALSE)),"",VLOOKUP($D668,SITES!$A:$E,4,FALSE))</f>
        <v>-125.14414499999999</v>
      </c>
      <c r="H668" s="5" t="str">
        <f t="shared" si="90"/>
        <v>08/05/2023</v>
      </c>
      <c r="I668" s="2">
        <f t="shared" si="91"/>
        <v>3</v>
      </c>
      <c r="J668" s="2">
        <f t="shared" si="92"/>
        <v>30</v>
      </c>
      <c r="K668" s="6">
        <f t="shared" si="93"/>
        <v>0.51388888888888895</v>
      </c>
      <c r="L668" s="2" t="str">
        <f t="shared" si="94"/>
        <v>EGL</v>
      </c>
      <c r="M668" s="2">
        <f t="shared" si="95"/>
        <v>7</v>
      </c>
      <c r="N668" s="2">
        <f t="shared" si="98"/>
        <v>0</v>
      </c>
      <c r="O668" s="2">
        <f t="shared" si="98"/>
        <v>0</v>
      </c>
      <c r="P668" s="27" t="s">
        <v>263</v>
      </c>
      <c r="Q668" s="7" t="str">
        <f>IF($N668=1,IF(ISERROR(VLOOKUP($P668,'M1'!$A:$C,Q$2,FALSE)),"NOT PRESENT",VLOOKUP($P668,'M1'!$A:$C,Q$2,FALSE)),IF($N668=2,IF(ISERROR(VLOOKUP(DATA!$P240,'M2'!$A:$C,Q$2,FALSE)),"NOT PRESENT",VLOOKUP(DATA!$P240,'M2'!$A:$C,Q$2,FALSE)),IF($N668=0,IF(ISERROR(VLOOKUP($P668,'M1'!$A:$C,Q$2,FALSE)),IF(ISERROR(VLOOKUP(DATA!$P240,'M2'!$A:$C,Q$2,FALSE)),"NOT PRESENT",VLOOKUP(DATA!$P240,'M2'!$A:$C,Q$2,FALSE)),VLOOKUP($P668,'M1'!$A:$C,Q$2,FALSE)),"SPECIFY METHOD")))</f>
        <v>NOT PRESENT</v>
      </c>
      <c r="R668" s="4" t="str">
        <f>IF($N668=1,IF(ISERROR(VLOOKUP($P668,'M1'!$A:$C,R$2,FALSE)),"NOT PRESENT",VLOOKUP($P668,'M1'!$A:$C,R$2,FALSE)),IF($N668=2,IF(ISERROR(VLOOKUP(DATA!$P240,'M2'!$A:$C,R$2,FALSE)),"NOT PRESENT",VLOOKUP(DATA!$P240,'M2'!$A:$C,R$2,FALSE)),IF($N668=0,IF(ISERROR(VLOOKUP($P668,'M1'!$A:$C,R$2,FALSE)),IF(ISERROR(VLOOKUP(DATA!$P240,'M2'!$A:$C,R$2,FALSE)),"NOT PRESENT",VLOOKUP(DATA!$P240,'M2'!$A:$C,R$2,FALSE)),VLOOKUP($P668,'M1'!$A:$C,R$2,FALSE)),"SPECIFY METHOD")))</f>
        <v>NOT PRESENT</v>
      </c>
      <c r="S668" s="20">
        <f t="shared" si="80"/>
        <v>2</v>
      </c>
      <c r="T668" s="2">
        <v>2</v>
      </c>
    </row>
    <row r="669" spans="1:31">
      <c r="A669" s="7">
        <f>MAX($A$1:$A668)+1</f>
        <v>668</v>
      </c>
      <c r="B669" s="2" t="str">
        <f t="shared" si="86"/>
        <v>Em Lim</v>
      </c>
      <c r="C669" s="2" t="str">
        <f t="shared" si="87"/>
        <v>Jasmin Schuster</v>
      </c>
      <c r="D669" s="2" t="str">
        <f t="shared" si="88"/>
        <v>BMSC23</v>
      </c>
      <c r="E669" s="7" t="str">
        <f>IF(ISERROR(VLOOKUP($D669,SITES!$A:$E,2,FALSE)),"",VLOOKUP($D669,SITES!$A:$E,2,FALSE))</f>
        <v>Aguilar Point</v>
      </c>
      <c r="F669" s="4">
        <f>IF(ISERROR(VLOOKUP($D669,SITES!$A:$E,3,FALSE)),"",VLOOKUP($D669,SITES!$A:$E,3,FALSE))</f>
        <v>48.837589000000001</v>
      </c>
      <c r="G669" s="18">
        <f>IF(ISERROR(VLOOKUP($D669,SITES!$A:$E,4,FALSE)),"",VLOOKUP($D669,SITES!$A:$E,4,FALSE))</f>
        <v>-125.14414499999999</v>
      </c>
      <c r="H669" s="5" t="str">
        <f t="shared" si="90"/>
        <v>08/05/2023</v>
      </c>
      <c r="I669" s="2">
        <f t="shared" si="91"/>
        <v>3</v>
      </c>
      <c r="J669" s="2">
        <f t="shared" si="92"/>
        <v>30</v>
      </c>
      <c r="K669" s="6">
        <f t="shared" si="93"/>
        <v>0.51388888888888895</v>
      </c>
      <c r="L669" s="2" t="str">
        <f t="shared" si="94"/>
        <v>EGL</v>
      </c>
      <c r="M669" s="2">
        <f t="shared" si="95"/>
        <v>7</v>
      </c>
      <c r="N669" s="2">
        <f t="shared" si="98"/>
        <v>0</v>
      </c>
      <c r="O669" s="2">
        <f t="shared" si="98"/>
        <v>0</v>
      </c>
      <c r="P669" s="27" t="s">
        <v>224</v>
      </c>
      <c r="Q669" s="7" t="str">
        <f>IF($N669=1,IF(ISERROR(VLOOKUP($P669,'M1'!$A:$C,Q$2,FALSE)),"NOT PRESENT",VLOOKUP($P669,'M1'!$A:$C,Q$2,FALSE)),IF($N669=2,IF(ISERROR(VLOOKUP(DATA!$P241,'M2'!$A:$C,Q$2,FALSE)),"NOT PRESENT",VLOOKUP(DATA!$P241,'M2'!$A:$C,Q$2,FALSE)),IF($N669=0,IF(ISERROR(VLOOKUP($P669,'M1'!$A:$C,Q$2,FALSE)),IF(ISERROR(VLOOKUP(DATA!$P241,'M2'!$A:$C,Q$2,FALSE)),"NOT PRESENT",VLOOKUP(DATA!$P241,'M2'!$A:$C,Q$2,FALSE)),VLOOKUP($P669,'M1'!$A:$C,Q$2,FALSE)),"SPECIFY METHOD")))</f>
        <v>NOT PRESENT</v>
      </c>
      <c r="R669" s="4" t="str">
        <f>IF($N669=1,IF(ISERROR(VLOOKUP($P669,'M1'!$A:$C,R$2,FALSE)),"NOT PRESENT",VLOOKUP($P669,'M1'!$A:$C,R$2,FALSE)),IF($N669=2,IF(ISERROR(VLOOKUP(DATA!$P241,'M2'!$A:$C,R$2,FALSE)),"NOT PRESENT",VLOOKUP(DATA!$P241,'M2'!$A:$C,R$2,FALSE)),IF($N669=0,IF(ISERROR(VLOOKUP($P669,'M1'!$A:$C,R$2,FALSE)),IF(ISERROR(VLOOKUP(DATA!$P241,'M2'!$A:$C,R$2,FALSE)),"NOT PRESENT",VLOOKUP(DATA!$P241,'M2'!$A:$C,R$2,FALSE)),VLOOKUP($P669,'M1'!$A:$C,R$2,FALSE)),"SPECIFY METHOD")))</f>
        <v>NOT PRESENT</v>
      </c>
      <c r="S669" s="20">
        <f t="shared" si="80"/>
        <v>1</v>
      </c>
      <c r="T669" s="2">
        <v>0</v>
      </c>
      <c r="AE669" s="2">
        <v>1</v>
      </c>
    </row>
    <row r="670" spans="1:31">
      <c r="A670" s="7">
        <f>MAX($A$1:$A669)+1</f>
        <v>669</v>
      </c>
      <c r="B670" s="2" t="str">
        <f t="shared" si="86"/>
        <v>Em Lim</v>
      </c>
      <c r="C670" s="2" t="str">
        <f t="shared" si="87"/>
        <v>Jasmin Schuster</v>
      </c>
      <c r="D670" s="2" t="str">
        <f t="shared" si="88"/>
        <v>BMSC23</v>
      </c>
      <c r="E670" s="7" t="str">
        <f>IF(ISERROR(VLOOKUP($D670,SITES!$A:$E,2,FALSE)),"",VLOOKUP($D670,SITES!$A:$E,2,FALSE))</f>
        <v>Aguilar Point</v>
      </c>
      <c r="F670" s="4">
        <f>IF(ISERROR(VLOOKUP($D670,SITES!$A:$E,3,FALSE)),"",VLOOKUP($D670,SITES!$A:$E,3,FALSE))</f>
        <v>48.837589000000001</v>
      </c>
      <c r="G670" s="18">
        <f>IF(ISERROR(VLOOKUP($D670,SITES!$A:$E,4,FALSE)),"",VLOOKUP($D670,SITES!$A:$E,4,FALSE))</f>
        <v>-125.14414499999999</v>
      </c>
      <c r="H670" s="5" t="str">
        <f t="shared" si="90"/>
        <v>08/05/2023</v>
      </c>
      <c r="I670" s="2">
        <f t="shared" si="91"/>
        <v>3</v>
      </c>
      <c r="J670" s="2">
        <f t="shared" si="92"/>
        <v>30</v>
      </c>
      <c r="K670" s="6">
        <f t="shared" si="93"/>
        <v>0.51388888888888895</v>
      </c>
      <c r="L670" s="2" t="str">
        <f t="shared" si="94"/>
        <v>EGL</v>
      </c>
      <c r="M670" s="2">
        <f t="shared" si="95"/>
        <v>7</v>
      </c>
      <c r="N670" s="2">
        <f t="shared" si="98"/>
        <v>0</v>
      </c>
      <c r="O670" s="2">
        <f t="shared" si="98"/>
        <v>0</v>
      </c>
      <c r="P670" s="27" t="s">
        <v>175</v>
      </c>
      <c r="Q670" s="7" t="str">
        <f>IF($N670=1,IF(ISERROR(VLOOKUP($P670,'M1'!$A:$C,Q$2,FALSE)),"NOT PRESENT",VLOOKUP($P670,'M1'!$A:$C,Q$2,FALSE)),IF($N670=2,IF(ISERROR(VLOOKUP(DATA!$P242,'M2'!$A:$C,Q$2,FALSE)),"NOT PRESENT",VLOOKUP(DATA!$P242,'M2'!$A:$C,Q$2,FALSE)),IF($N670=0,IF(ISERROR(VLOOKUP($P670,'M1'!$A:$C,Q$2,FALSE)),IF(ISERROR(VLOOKUP(DATA!$P242,'M2'!$A:$C,Q$2,FALSE)),"NOT PRESENT",VLOOKUP(DATA!$P242,'M2'!$A:$C,Q$2,FALSE)),VLOOKUP($P670,'M1'!$A:$C,Q$2,FALSE)),"SPECIFY METHOD")))</f>
        <v>NOT PRESENT</v>
      </c>
      <c r="R670" s="4" t="str">
        <f>IF($N670=1,IF(ISERROR(VLOOKUP($P670,'M1'!$A:$C,R$2,FALSE)),"NOT PRESENT",VLOOKUP($P670,'M1'!$A:$C,R$2,FALSE)),IF($N670=2,IF(ISERROR(VLOOKUP(DATA!$P242,'M2'!$A:$C,R$2,FALSE)),"NOT PRESENT",VLOOKUP(DATA!$P242,'M2'!$A:$C,R$2,FALSE)),IF($N670=0,IF(ISERROR(VLOOKUP($P670,'M1'!$A:$C,R$2,FALSE)),IF(ISERROR(VLOOKUP(DATA!$P242,'M2'!$A:$C,R$2,FALSE)),"NOT PRESENT",VLOOKUP(DATA!$P242,'M2'!$A:$C,R$2,FALSE)),VLOOKUP($P670,'M1'!$A:$C,R$2,FALSE)),"SPECIFY METHOD")))</f>
        <v>NOT PRESENT</v>
      </c>
      <c r="S670" s="20">
        <f t="shared" si="80"/>
        <v>1</v>
      </c>
      <c r="T670" s="2">
        <v>0</v>
      </c>
      <c r="Y670" s="2">
        <v>1</v>
      </c>
    </row>
    <row r="671" spans="1:31">
      <c r="A671" s="7">
        <f>MAX($A$1:$A670)+1</f>
        <v>670</v>
      </c>
      <c r="B671" s="2" t="s">
        <v>171</v>
      </c>
      <c r="C671" s="2" t="s">
        <v>170</v>
      </c>
      <c r="D671" s="2" t="s">
        <v>27</v>
      </c>
      <c r="E671" s="7" t="s">
        <v>488</v>
      </c>
      <c r="F671" s="4">
        <v>48.837589000000001</v>
      </c>
      <c r="G671" s="18">
        <v>-125.14414499999999</v>
      </c>
      <c r="H671" s="5" t="s">
        <v>8</v>
      </c>
      <c r="I671" s="2">
        <v>3</v>
      </c>
      <c r="J671" s="2">
        <v>30</v>
      </c>
      <c r="K671" s="6">
        <v>0.51527777777777783</v>
      </c>
      <c r="L671" s="2" t="s">
        <v>172</v>
      </c>
      <c r="M671" s="2">
        <v>7</v>
      </c>
      <c r="N671" s="2">
        <v>1</v>
      </c>
      <c r="O671" s="2">
        <v>2</v>
      </c>
      <c r="P671" s="2" t="s">
        <v>250</v>
      </c>
      <c r="Q671" s="7" t="s">
        <v>46</v>
      </c>
      <c r="R671" s="4" t="s">
        <v>295</v>
      </c>
      <c r="S671" s="20">
        <v>1</v>
      </c>
      <c r="T671" s="2">
        <v>0</v>
      </c>
      <c r="V671" s="2">
        <v>1</v>
      </c>
    </row>
    <row r="672" spans="1:31">
      <c r="A672" s="7">
        <f>MAX($A$1:$A671)+1</f>
        <v>671</v>
      </c>
      <c r="B672" s="2" t="s">
        <v>171</v>
      </c>
      <c r="C672" s="2" t="s">
        <v>170</v>
      </c>
      <c r="D672" s="2" t="s">
        <v>27</v>
      </c>
      <c r="E672" s="7" t="s">
        <v>488</v>
      </c>
      <c r="F672" s="4">
        <v>48.837589000000001</v>
      </c>
      <c r="G672" s="18">
        <v>-125.14414499999999</v>
      </c>
      <c r="H672" s="5" t="s">
        <v>8</v>
      </c>
      <c r="I672" s="2">
        <v>3</v>
      </c>
      <c r="J672" s="2">
        <v>30</v>
      </c>
      <c r="K672" s="6">
        <v>0.51527777777777783</v>
      </c>
      <c r="L672" s="2" t="s">
        <v>172</v>
      </c>
      <c r="M672" s="2">
        <v>7</v>
      </c>
      <c r="N672" s="2">
        <v>1</v>
      </c>
      <c r="O672" s="2">
        <v>2</v>
      </c>
      <c r="P672" s="2" t="s">
        <v>232</v>
      </c>
      <c r="Q672" s="7" t="s">
        <v>43</v>
      </c>
      <c r="R672" s="4" t="s">
        <v>324</v>
      </c>
      <c r="S672" s="20">
        <v>7</v>
      </c>
      <c r="T672" s="2">
        <v>0</v>
      </c>
      <c r="AA672" s="2">
        <v>1</v>
      </c>
      <c r="AB672" s="2">
        <v>4</v>
      </c>
      <c r="AC672" s="2">
        <v>2</v>
      </c>
    </row>
    <row r="673" spans="1:32">
      <c r="A673" s="7">
        <f>MAX($A$1:$A672)+1</f>
        <v>672</v>
      </c>
      <c r="B673" s="2" t="s">
        <v>171</v>
      </c>
      <c r="C673" s="2" t="s">
        <v>170</v>
      </c>
      <c r="D673" s="2" t="s">
        <v>27</v>
      </c>
      <c r="E673" s="7" t="s">
        <v>488</v>
      </c>
      <c r="F673" s="4">
        <v>48.837589000000001</v>
      </c>
      <c r="G673" s="18">
        <v>-125.14414499999999</v>
      </c>
      <c r="H673" s="5" t="s">
        <v>8</v>
      </c>
      <c r="I673" s="2">
        <v>3</v>
      </c>
      <c r="J673" s="2">
        <v>30</v>
      </c>
      <c r="K673" s="6">
        <v>0.51527777777777783</v>
      </c>
      <c r="L673" s="2" t="s">
        <v>172</v>
      </c>
      <c r="M673" s="2">
        <v>7</v>
      </c>
      <c r="N673" s="2">
        <v>1</v>
      </c>
      <c r="O673" s="2">
        <v>2</v>
      </c>
      <c r="P673" s="2" t="s">
        <v>230</v>
      </c>
      <c r="Q673" s="7" t="s">
        <v>42</v>
      </c>
      <c r="R673" s="4" t="s">
        <v>321</v>
      </c>
      <c r="S673" s="20">
        <v>2</v>
      </c>
      <c r="T673" s="2">
        <v>0</v>
      </c>
      <c r="W673" s="2">
        <v>2</v>
      </c>
    </row>
    <row r="674" spans="1:32">
      <c r="A674" s="7">
        <f>MAX($A$1:$A673)+1</f>
        <v>673</v>
      </c>
      <c r="B674" s="2" t="s">
        <v>171</v>
      </c>
      <c r="C674" s="2" t="s">
        <v>170</v>
      </c>
      <c r="D674" s="2" t="s">
        <v>27</v>
      </c>
      <c r="E674" s="7" t="s">
        <v>488</v>
      </c>
      <c r="F674" s="4">
        <v>48.837589000000001</v>
      </c>
      <c r="G674" s="18">
        <v>-125.14414499999999</v>
      </c>
      <c r="H674" s="5" t="s">
        <v>8</v>
      </c>
      <c r="I674" s="2">
        <v>3</v>
      </c>
      <c r="J674" s="2">
        <v>30</v>
      </c>
      <c r="K674" s="6">
        <v>0.51527777777777783</v>
      </c>
      <c r="L674" s="2" t="s">
        <v>172</v>
      </c>
      <c r="M674" s="2">
        <v>7</v>
      </c>
      <c r="N674" s="2">
        <v>1</v>
      </c>
      <c r="O674" s="2">
        <v>2</v>
      </c>
      <c r="P674" s="2" t="s">
        <v>231</v>
      </c>
      <c r="Q674" s="7" t="s">
        <v>48</v>
      </c>
      <c r="R674" s="4" t="s">
        <v>365</v>
      </c>
      <c r="S674" s="20">
        <v>21</v>
      </c>
      <c r="T674" s="2">
        <v>0</v>
      </c>
      <c r="AA674" s="2">
        <v>21</v>
      </c>
    </row>
    <row r="675" spans="1:32">
      <c r="A675" s="7">
        <f>MAX($A$1:$A674)+1</f>
        <v>674</v>
      </c>
      <c r="B675" s="2" t="s">
        <v>171</v>
      </c>
      <c r="C675" s="2" t="s">
        <v>170</v>
      </c>
      <c r="D675" s="2" t="s">
        <v>27</v>
      </c>
      <c r="E675" s="7" t="s">
        <v>488</v>
      </c>
      <c r="F675" s="4">
        <v>48.837589000000001</v>
      </c>
      <c r="G675" s="18">
        <v>-125.14414499999999</v>
      </c>
      <c r="H675" s="5" t="s">
        <v>8</v>
      </c>
      <c r="I675" s="2">
        <v>3</v>
      </c>
      <c r="J675" s="2">
        <v>30</v>
      </c>
      <c r="K675" s="6">
        <v>0.51527777777777783</v>
      </c>
      <c r="L675" s="2" t="s">
        <v>172</v>
      </c>
      <c r="M675" s="2">
        <v>7</v>
      </c>
      <c r="N675" s="2">
        <v>1</v>
      </c>
      <c r="O675" s="2">
        <v>2</v>
      </c>
      <c r="P675" s="2" t="s">
        <v>237</v>
      </c>
      <c r="Q675" s="7" t="s">
        <v>51</v>
      </c>
      <c r="R675" s="4" t="s">
        <v>368</v>
      </c>
      <c r="S675" s="20">
        <v>1</v>
      </c>
      <c r="T675" s="2">
        <v>0</v>
      </c>
      <c r="AF675" s="2">
        <v>1</v>
      </c>
    </row>
    <row r="676" spans="1:32">
      <c r="A676" s="7">
        <f>MAX($A$1:$A675)+1</f>
        <v>675</v>
      </c>
      <c r="B676" s="2" t="s">
        <v>171</v>
      </c>
      <c r="C676" s="2" t="s">
        <v>170</v>
      </c>
      <c r="D676" s="2" t="s">
        <v>27</v>
      </c>
      <c r="E676" s="7" t="s">
        <v>488</v>
      </c>
      <c r="F676" s="4">
        <v>48.837589000000001</v>
      </c>
      <c r="G676" s="18">
        <v>-125.14414499999999</v>
      </c>
      <c r="H676" s="5" t="s">
        <v>8</v>
      </c>
      <c r="I676" s="2">
        <v>3</v>
      </c>
      <c r="J676" s="2">
        <v>30</v>
      </c>
      <c r="K676" s="6">
        <v>0.51527777777777783</v>
      </c>
      <c r="L676" s="2" t="s">
        <v>172</v>
      </c>
      <c r="M676" s="2">
        <v>7</v>
      </c>
      <c r="N676" s="2">
        <v>2</v>
      </c>
      <c r="O676" s="2">
        <v>2</v>
      </c>
      <c r="P676" s="2" t="s">
        <v>241</v>
      </c>
      <c r="Q676" s="7" t="s">
        <v>63</v>
      </c>
      <c r="R676" s="4" t="s">
        <v>294</v>
      </c>
      <c r="S676" s="20">
        <v>241</v>
      </c>
      <c r="T676" s="2">
        <v>241</v>
      </c>
    </row>
    <row r="677" spans="1:32">
      <c r="A677" s="7">
        <f>MAX($A$1:$A676)+1</f>
        <v>676</v>
      </c>
      <c r="B677" s="2" t="s">
        <v>171</v>
      </c>
      <c r="C677" s="2" t="s">
        <v>170</v>
      </c>
      <c r="D677" s="2" t="s">
        <v>27</v>
      </c>
      <c r="E677" s="7" t="s">
        <v>488</v>
      </c>
      <c r="F677" s="4">
        <v>48.837589000000001</v>
      </c>
      <c r="G677" s="18">
        <v>-125.14414499999999</v>
      </c>
      <c r="H677" s="5" t="s">
        <v>8</v>
      </c>
      <c r="I677" s="2">
        <v>3</v>
      </c>
      <c r="J677" s="2">
        <v>30</v>
      </c>
      <c r="K677" s="6">
        <v>0.51527777777777783</v>
      </c>
      <c r="L677" s="2" t="s">
        <v>172</v>
      </c>
      <c r="M677" s="2">
        <v>7</v>
      </c>
      <c r="N677" s="2">
        <v>2</v>
      </c>
      <c r="O677" s="2">
        <v>2</v>
      </c>
      <c r="P677" s="2" t="s">
        <v>259</v>
      </c>
      <c r="Q677" s="7" t="s">
        <v>106</v>
      </c>
      <c r="R677" s="4" t="s">
        <v>343</v>
      </c>
      <c r="S677" s="20">
        <v>1</v>
      </c>
      <c r="T677" s="2">
        <v>1</v>
      </c>
    </row>
    <row r="678" spans="1:32">
      <c r="A678" s="7">
        <f>MAX($A$1:$A677)+1</f>
        <v>677</v>
      </c>
      <c r="B678" s="2" t="s">
        <v>171</v>
      </c>
      <c r="C678" s="2" t="s">
        <v>170</v>
      </c>
      <c r="D678" s="2" t="s">
        <v>27</v>
      </c>
      <c r="E678" s="7" t="s">
        <v>488</v>
      </c>
      <c r="F678" s="4">
        <v>48.837589000000001</v>
      </c>
      <c r="G678" s="18">
        <v>-125.14414499999999</v>
      </c>
      <c r="H678" s="5" t="s">
        <v>8</v>
      </c>
      <c r="I678" s="2">
        <v>3</v>
      </c>
      <c r="J678" s="2">
        <v>30</v>
      </c>
      <c r="K678" s="6">
        <v>0.51527777777777783</v>
      </c>
      <c r="L678" s="2" t="s">
        <v>172</v>
      </c>
      <c r="M678" s="2">
        <v>7</v>
      </c>
      <c r="N678" s="2">
        <v>2</v>
      </c>
      <c r="O678" s="2">
        <v>2</v>
      </c>
      <c r="P678" s="2" t="s">
        <v>247</v>
      </c>
      <c r="Q678" s="7" t="s">
        <v>64</v>
      </c>
      <c r="R678" s="4" t="s">
        <v>293</v>
      </c>
      <c r="S678" s="20">
        <v>12</v>
      </c>
      <c r="T678" s="2">
        <v>12</v>
      </c>
    </row>
    <row r="679" spans="1:32">
      <c r="A679" s="7">
        <f>MAX($A$1:$A678)+1</f>
        <v>678</v>
      </c>
      <c r="B679" s="2" t="s">
        <v>171</v>
      </c>
      <c r="C679" s="2" t="s">
        <v>170</v>
      </c>
      <c r="D679" s="2" t="s">
        <v>27</v>
      </c>
      <c r="E679" s="7" t="s">
        <v>488</v>
      </c>
      <c r="F679" s="4">
        <v>48.837589000000001</v>
      </c>
      <c r="G679" s="18">
        <v>-125.14414499999999</v>
      </c>
      <c r="H679" s="5" t="s">
        <v>8</v>
      </c>
      <c r="I679" s="2">
        <v>3</v>
      </c>
      <c r="J679" s="2">
        <v>30</v>
      </c>
      <c r="K679" s="6">
        <v>0.51527777777777783</v>
      </c>
      <c r="L679" s="2" t="s">
        <v>172</v>
      </c>
      <c r="M679" s="2">
        <v>7</v>
      </c>
      <c r="N679" s="2">
        <v>2</v>
      </c>
      <c r="O679" s="2">
        <v>2</v>
      </c>
      <c r="P679" s="2" t="s">
        <v>238</v>
      </c>
      <c r="Q679" s="7" t="s">
        <v>69</v>
      </c>
      <c r="R679" s="4" t="s">
        <v>313</v>
      </c>
      <c r="S679" s="20">
        <v>13</v>
      </c>
      <c r="T679" s="2">
        <v>13</v>
      </c>
    </row>
    <row r="680" spans="1:32">
      <c r="A680" s="7">
        <f>MAX($A$1:$A679)+1</f>
        <v>679</v>
      </c>
      <c r="B680" s="2" t="s">
        <v>171</v>
      </c>
      <c r="C680" s="2" t="s">
        <v>170</v>
      </c>
      <c r="D680" s="2" t="s">
        <v>27</v>
      </c>
      <c r="E680" s="7" t="s">
        <v>488</v>
      </c>
      <c r="F680" s="4">
        <v>48.837589000000001</v>
      </c>
      <c r="G680" s="18">
        <v>-125.14414499999999</v>
      </c>
      <c r="H680" s="5" t="s">
        <v>8</v>
      </c>
      <c r="I680" s="2">
        <v>3</v>
      </c>
      <c r="J680" s="2">
        <v>30</v>
      </c>
      <c r="K680" s="6">
        <v>0.51527777777777783</v>
      </c>
      <c r="L680" s="2" t="s">
        <v>172</v>
      </c>
      <c r="M680" s="2">
        <v>7</v>
      </c>
      <c r="N680" s="2">
        <v>2</v>
      </c>
      <c r="O680" s="2">
        <v>2</v>
      </c>
      <c r="P680" s="2" t="s">
        <v>230</v>
      </c>
      <c r="Q680" s="7" t="s">
        <v>42</v>
      </c>
      <c r="R680" s="4" t="s">
        <v>321</v>
      </c>
      <c r="S680" s="20">
        <v>31</v>
      </c>
      <c r="T680" s="2">
        <v>0</v>
      </c>
      <c r="U680" s="2">
        <v>1</v>
      </c>
      <c r="V680" s="2">
        <v>16</v>
      </c>
      <c r="W680" s="2">
        <v>12</v>
      </c>
      <c r="X680" s="2">
        <v>2</v>
      </c>
    </row>
    <row r="681" spans="1:32">
      <c r="A681" s="7">
        <f>MAX($A$1:$A680)+1</f>
        <v>680</v>
      </c>
      <c r="B681" s="2" t="s">
        <v>171</v>
      </c>
      <c r="C681" s="2" t="s">
        <v>170</v>
      </c>
      <c r="D681" s="2" t="s">
        <v>27</v>
      </c>
      <c r="E681" s="7" t="s">
        <v>488</v>
      </c>
      <c r="F681" s="4">
        <v>48.837589000000001</v>
      </c>
      <c r="G681" s="18">
        <v>-125.14414499999999</v>
      </c>
      <c r="H681" s="5" t="s">
        <v>8</v>
      </c>
      <c r="I681" s="2">
        <v>3</v>
      </c>
      <c r="J681" s="2">
        <v>30</v>
      </c>
      <c r="K681" s="6">
        <v>0.51527777777777783</v>
      </c>
      <c r="L681" s="2" t="s">
        <v>172</v>
      </c>
      <c r="M681" s="2">
        <v>7</v>
      </c>
      <c r="N681" s="2">
        <v>2</v>
      </c>
      <c r="O681" s="2">
        <v>2</v>
      </c>
      <c r="P681" s="2" t="s">
        <v>248</v>
      </c>
      <c r="Q681" s="7" t="s">
        <v>78</v>
      </c>
      <c r="R681" s="4" t="s">
        <v>349</v>
      </c>
      <c r="S681" s="20">
        <v>6</v>
      </c>
      <c r="T681" s="2">
        <v>0</v>
      </c>
      <c r="V681" s="2">
        <v>2</v>
      </c>
      <c r="W681" s="2">
        <v>3</v>
      </c>
      <c r="X681" s="2">
        <v>1</v>
      </c>
    </row>
    <row r="682" spans="1:32">
      <c r="A682" s="7">
        <f>MAX($A$1:$A681)+1</f>
        <v>681</v>
      </c>
      <c r="B682" s="2" t="s">
        <v>171</v>
      </c>
      <c r="C682" s="2" t="s">
        <v>170</v>
      </c>
      <c r="D682" s="2" t="s">
        <v>27</v>
      </c>
      <c r="E682" s="7" t="s">
        <v>488</v>
      </c>
      <c r="F682" s="4">
        <v>48.837589000000001</v>
      </c>
      <c r="G682" s="18">
        <v>-125.14414499999999</v>
      </c>
      <c r="H682" s="5" t="s">
        <v>8</v>
      </c>
      <c r="I682" s="2">
        <v>3</v>
      </c>
      <c r="J682" s="2">
        <v>30</v>
      </c>
      <c r="K682" s="6">
        <v>0.51527777777777783</v>
      </c>
      <c r="L682" s="2" t="s">
        <v>172</v>
      </c>
      <c r="M682" s="2">
        <v>7</v>
      </c>
      <c r="N682" s="2">
        <v>2</v>
      </c>
      <c r="O682" s="2">
        <v>2</v>
      </c>
      <c r="P682" s="2" t="s">
        <v>240</v>
      </c>
      <c r="Q682" s="7" t="s">
        <v>74</v>
      </c>
      <c r="R682" s="4" t="s">
        <v>459</v>
      </c>
      <c r="S682" s="20">
        <v>8</v>
      </c>
      <c r="T682" s="2">
        <v>8</v>
      </c>
    </row>
    <row r="683" spans="1:32">
      <c r="A683" s="7">
        <f>MAX($A$1:$A682)+1</f>
        <v>682</v>
      </c>
      <c r="B683" s="2" t="s">
        <v>171</v>
      </c>
      <c r="C683" s="2" t="s">
        <v>170</v>
      </c>
      <c r="D683" s="2" t="s">
        <v>27</v>
      </c>
      <c r="E683" s="7" t="s">
        <v>488</v>
      </c>
      <c r="F683" s="4">
        <v>48.837589000000001</v>
      </c>
      <c r="G683" s="18">
        <v>-125.14414499999999</v>
      </c>
      <c r="H683" s="5" t="s">
        <v>8</v>
      </c>
      <c r="I683" s="2">
        <v>3</v>
      </c>
      <c r="J683" s="2">
        <v>30</v>
      </c>
      <c r="K683" s="6">
        <v>0.51527777777777783</v>
      </c>
      <c r="L683" s="2" t="s">
        <v>172</v>
      </c>
      <c r="M683" s="2">
        <v>7</v>
      </c>
      <c r="N683" s="2">
        <v>2</v>
      </c>
      <c r="O683" s="2">
        <v>2</v>
      </c>
      <c r="P683" s="2" t="s">
        <v>243</v>
      </c>
      <c r="Q683" s="7" t="s">
        <v>85</v>
      </c>
      <c r="R683" s="4" t="s">
        <v>312</v>
      </c>
      <c r="S683" s="20">
        <v>18</v>
      </c>
      <c r="T683" s="2">
        <v>18</v>
      </c>
    </row>
    <row r="684" spans="1:32">
      <c r="A684" s="7">
        <f>MAX($A$1:$A683)+1</f>
        <v>683</v>
      </c>
      <c r="B684" s="2" t="s">
        <v>171</v>
      </c>
      <c r="C684" s="2" t="s">
        <v>170</v>
      </c>
      <c r="D684" s="2" t="s">
        <v>27</v>
      </c>
      <c r="E684" s="7" t="s">
        <v>488</v>
      </c>
      <c r="F684" s="4">
        <v>48.837589000000001</v>
      </c>
      <c r="G684" s="18">
        <v>-125.14414499999999</v>
      </c>
      <c r="H684" s="5" t="s">
        <v>8</v>
      </c>
      <c r="I684" s="2">
        <v>3</v>
      </c>
      <c r="J684" s="2">
        <v>30</v>
      </c>
      <c r="K684" s="6">
        <v>0.51527777777777783</v>
      </c>
      <c r="L684" s="2" t="s">
        <v>172</v>
      </c>
      <c r="M684" s="2">
        <v>7</v>
      </c>
      <c r="N684" s="2">
        <v>2</v>
      </c>
      <c r="O684" s="2">
        <v>2</v>
      </c>
      <c r="P684" s="2" t="s">
        <v>316</v>
      </c>
      <c r="Q684" s="7" t="s">
        <v>123</v>
      </c>
      <c r="R684" s="4" t="s">
        <v>317</v>
      </c>
      <c r="S684" s="20">
        <v>8</v>
      </c>
      <c r="T684" s="2">
        <v>8</v>
      </c>
    </row>
    <row r="685" spans="1:32">
      <c r="A685" s="7">
        <f>MAX($A$1:$A684)+1</f>
        <v>684</v>
      </c>
      <c r="B685" s="2" t="s">
        <v>171</v>
      </c>
      <c r="C685" s="2" t="s">
        <v>170</v>
      </c>
      <c r="D685" s="2" t="s">
        <v>27</v>
      </c>
      <c r="E685" s="7" t="s">
        <v>488</v>
      </c>
      <c r="F685" s="4">
        <v>48.837589000000001</v>
      </c>
      <c r="G685" s="18">
        <v>-125.14414499999999</v>
      </c>
      <c r="H685" s="5" t="s">
        <v>8</v>
      </c>
      <c r="I685" s="2">
        <v>3</v>
      </c>
      <c r="J685" s="2">
        <v>30</v>
      </c>
      <c r="K685" s="6">
        <v>0.51527777777777783</v>
      </c>
      <c r="L685" s="2" t="s">
        <v>172</v>
      </c>
      <c r="M685" s="2">
        <v>7</v>
      </c>
      <c r="N685" s="2">
        <v>2</v>
      </c>
      <c r="O685" s="2">
        <v>2</v>
      </c>
      <c r="P685" s="2" t="s">
        <v>239</v>
      </c>
      <c r="Q685" s="7" t="s">
        <v>80</v>
      </c>
      <c r="R685" s="4" t="s">
        <v>300</v>
      </c>
      <c r="S685" s="20">
        <v>8</v>
      </c>
      <c r="T685" s="2">
        <v>8</v>
      </c>
    </row>
    <row r="686" spans="1:32">
      <c r="A686" s="7">
        <f>MAX($A$1:$A685)+1</f>
        <v>685</v>
      </c>
      <c r="B686" s="2" t="s">
        <v>171</v>
      </c>
      <c r="C686" s="2" t="s">
        <v>170</v>
      </c>
      <c r="D686" s="2" t="s">
        <v>27</v>
      </c>
      <c r="E686" s="7" t="s">
        <v>488</v>
      </c>
      <c r="F686" s="4">
        <v>48.837589000000001</v>
      </c>
      <c r="G686" s="18">
        <v>-125.14414499999999</v>
      </c>
      <c r="H686" s="5" t="s">
        <v>8</v>
      </c>
      <c r="I686" s="2">
        <v>3</v>
      </c>
      <c r="J686" s="2">
        <v>30</v>
      </c>
      <c r="K686" s="6">
        <v>0.51527777777777783</v>
      </c>
      <c r="L686" s="2" t="s">
        <v>172</v>
      </c>
      <c r="M686" s="2">
        <v>7</v>
      </c>
      <c r="N686" s="2">
        <v>2</v>
      </c>
      <c r="O686" s="2">
        <v>2</v>
      </c>
      <c r="P686" s="2" t="s">
        <v>236</v>
      </c>
      <c r="Q686" s="7" t="s">
        <v>44</v>
      </c>
      <c r="R686" s="4" t="s">
        <v>369</v>
      </c>
      <c r="S686" s="20">
        <v>1</v>
      </c>
      <c r="T686" s="2">
        <v>0</v>
      </c>
      <c r="Y686" s="2">
        <v>1</v>
      </c>
    </row>
    <row r="687" spans="1:32">
      <c r="A687" s="7">
        <f>MAX($A$1:$A686)+1</f>
        <v>686</v>
      </c>
      <c r="B687" s="2" t="s">
        <v>171</v>
      </c>
      <c r="C687" s="2" t="s">
        <v>170</v>
      </c>
      <c r="D687" s="2" t="s">
        <v>27</v>
      </c>
      <c r="E687" s="7" t="s">
        <v>488</v>
      </c>
      <c r="F687" s="4">
        <v>48.837589000000001</v>
      </c>
      <c r="G687" s="18">
        <v>-125.14414499999999</v>
      </c>
      <c r="H687" s="5" t="s">
        <v>8</v>
      </c>
      <c r="I687" s="2">
        <v>3</v>
      </c>
      <c r="J687" s="2">
        <v>30</v>
      </c>
      <c r="K687" s="6">
        <v>0.51527777777777783</v>
      </c>
      <c r="L687" s="2" t="s">
        <v>172</v>
      </c>
      <c r="M687" s="2">
        <v>7</v>
      </c>
      <c r="N687" s="2">
        <v>2</v>
      </c>
      <c r="O687" s="2">
        <v>2</v>
      </c>
      <c r="P687" s="2" t="s">
        <v>244</v>
      </c>
      <c r="Q687" s="7" t="s">
        <v>65</v>
      </c>
      <c r="R687" s="4" t="s">
        <v>307</v>
      </c>
      <c r="S687" s="20">
        <v>15</v>
      </c>
      <c r="T687" s="2">
        <v>15</v>
      </c>
    </row>
    <row r="688" spans="1:32">
      <c r="A688" s="7">
        <f>MAX($A$1:$A687)+1</f>
        <v>687</v>
      </c>
      <c r="B688" s="2" t="s">
        <v>171</v>
      </c>
      <c r="C688" s="2" t="s">
        <v>170</v>
      </c>
      <c r="D688" s="2" t="s">
        <v>27</v>
      </c>
      <c r="E688" s="7" t="s">
        <v>488</v>
      </c>
      <c r="F688" s="4">
        <v>48.837589000000001</v>
      </c>
      <c r="G688" s="18">
        <v>-125.14414499999999</v>
      </c>
      <c r="H688" s="5" t="s">
        <v>8</v>
      </c>
      <c r="I688" s="2">
        <v>3</v>
      </c>
      <c r="J688" s="2">
        <v>30</v>
      </c>
      <c r="K688" s="6">
        <v>0.51527777777777783</v>
      </c>
      <c r="L688" s="2" t="s">
        <v>172</v>
      </c>
      <c r="M688" s="2">
        <v>7</v>
      </c>
      <c r="N688" s="2">
        <v>2</v>
      </c>
      <c r="O688" s="2">
        <v>2</v>
      </c>
      <c r="P688" s="2" t="s">
        <v>246</v>
      </c>
      <c r="Q688" s="7" t="s">
        <v>66</v>
      </c>
      <c r="R688" s="4" t="s">
        <v>318</v>
      </c>
      <c r="S688" s="20">
        <v>26</v>
      </c>
      <c r="T688" s="2">
        <v>0</v>
      </c>
      <c r="U688" s="2">
        <v>7</v>
      </c>
      <c r="V688" s="2">
        <v>11</v>
      </c>
      <c r="W688" s="2">
        <v>7</v>
      </c>
      <c r="X688" s="2">
        <v>1</v>
      </c>
    </row>
    <row r="689" spans="1:29">
      <c r="A689" s="7">
        <f>MAX($A$1:$A688)+1</f>
        <v>688</v>
      </c>
      <c r="B689" s="2" t="s">
        <v>171</v>
      </c>
      <c r="C689" s="2" t="s">
        <v>170</v>
      </c>
      <c r="D689" s="2" t="s">
        <v>27</v>
      </c>
      <c r="E689" s="7" t="s">
        <v>488</v>
      </c>
      <c r="F689" s="4">
        <v>48.837589000000001</v>
      </c>
      <c r="G689" s="18">
        <v>-125.14414499999999</v>
      </c>
      <c r="H689" s="5" t="s">
        <v>8</v>
      </c>
      <c r="I689" s="2">
        <v>3</v>
      </c>
      <c r="J689" s="2">
        <v>30</v>
      </c>
      <c r="K689" s="6">
        <v>0.51527777777777783</v>
      </c>
      <c r="L689" s="2" t="s">
        <v>172</v>
      </c>
      <c r="M689" s="2">
        <v>7</v>
      </c>
      <c r="N689" s="2">
        <v>2</v>
      </c>
      <c r="O689" s="2">
        <v>2</v>
      </c>
      <c r="P689" s="2" t="s">
        <v>331</v>
      </c>
      <c r="Q689" s="7" t="s">
        <v>67</v>
      </c>
      <c r="R689" s="4" t="s">
        <v>332</v>
      </c>
      <c r="S689" s="20">
        <v>3</v>
      </c>
      <c r="T689" s="2">
        <v>3</v>
      </c>
    </row>
    <row r="690" spans="1:29">
      <c r="A690" s="7">
        <f>MAX($A$1:$A689)+1</f>
        <v>689</v>
      </c>
      <c r="B690" s="2" t="s">
        <v>171</v>
      </c>
      <c r="C690" s="2" t="s">
        <v>170</v>
      </c>
      <c r="D690" s="2" t="s">
        <v>27</v>
      </c>
      <c r="E690" s="7" t="s">
        <v>488</v>
      </c>
      <c r="F690" s="4">
        <v>48.837589000000001</v>
      </c>
      <c r="G690" s="18">
        <v>-125.14414499999999</v>
      </c>
      <c r="H690" s="5" t="s">
        <v>8</v>
      </c>
      <c r="I690" s="2">
        <v>3</v>
      </c>
      <c r="J690" s="2">
        <v>30</v>
      </c>
      <c r="K690" s="6">
        <v>0.51527777777777783</v>
      </c>
      <c r="L690" s="2" t="s">
        <v>172</v>
      </c>
      <c r="M690" s="2">
        <v>7</v>
      </c>
      <c r="N690" s="2">
        <v>2</v>
      </c>
      <c r="O690" s="2">
        <v>2</v>
      </c>
      <c r="P690" s="2" t="s">
        <v>250</v>
      </c>
      <c r="Q690" s="7" t="s">
        <v>46</v>
      </c>
      <c r="R690" s="4" t="s">
        <v>295</v>
      </c>
      <c r="S690" s="20">
        <v>6</v>
      </c>
      <c r="T690" s="2">
        <v>0</v>
      </c>
      <c r="U690" s="2">
        <v>2</v>
      </c>
      <c r="V690" s="2">
        <v>2</v>
      </c>
      <c r="W690" s="2">
        <v>1</v>
      </c>
      <c r="X690" s="2">
        <v>1</v>
      </c>
    </row>
    <row r="691" spans="1:29">
      <c r="A691" s="7">
        <f>MAX($A$1:$A690)+1</f>
        <v>690</v>
      </c>
      <c r="B691" s="2" t="s">
        <v>171</v>
      </c>
      <c r="C691" s="2" t="s">
        <v>170</v>
      </c>
      <c r="D691" s="2" t="s">
        <v>27</v>
      </c>
      <c r="E691" s="7" t="s">
        <v>488</v>
      </c>
      <c r="F691" s="4">
        <v>48.837589000000001</v>
      </c>
      <c r="G691" s="18">
        <v>-125.14414499999999</v>
      </c>
      <c r="H691" s="5" t="s">
        <v>8</v>
      </c>
      <c r="I691" s="2">
        <v>3</v>
      </c>
      <c r="J691" s="2">
        <v>30</v>
      </c>
      <c r="K691" s="6">
        <v>0.51527777777777783</v>
      </c>
      <c r="L691" s="2" t="s">
        <v>172</v>
      </c>
      <c r="M691" s="2">
        <v>7</v>
      </c>
      <c r="N691" s="2">
        <v>2</v>
      </c>
      <c r="O691" s="2">
        <v>2</v>
      </c>
      <c r="P691" s="2" t="s">
        <v>296</v>
      </c>
      <c r="Q691" s="7" t="s">
        <v>75</v>
      </c>
      <c r="R691" s="4" t="s">
        <v>297</v>
      </c>
      <c r="S691" s="20">
        <v>7</v>
      </c>
      <c r="T691" s="2">
        <v>7</v>
      </c>
    </row>
    <row r="692" spans="1:29">
      <c r="A692" s="7">
        <f>MAX($A$1:$A691)+1</f>
        <v>691</v>
      </c>
      <c r="B692" s="2" t="s">
        <v>171</v>
      </c>
      <c r="C692" s="2" t="s">
        <v>170</v>
      </c>
      <c r="D692" s="2" t="s">
        <v>27</v>
      </c>
      <c r="E692" s="7" t="s">
        <v>488</v>
      </c>
      <c r="F692" s="4">
        <v>48.837589000000001</v>
      </c>
      <c r="G692" s="18">
        <v>-125.14414499999999</v>
      </c>
      <c r="H692" s="5" t="s">
        <v>8</v>
      </c>
      <c r="I692" s="2">
        <v>3</v>
      </c>
      <c r="J692" s="2">
        <v>30</v>
      </c>
      <c r="K692" s="6">
        <v>0.51527777777777783</v>
      </c>
      <c r="L692" s="2" t="s">
        <v>172</v>
      </c>
      <c r="M692" s="2">
        <v>7</v>
      </c>
      <c r="N692" s="2">
        <v>2</v>
      </c>
      <c r="O692" s="2">
        <v>2</v>
      </c>
      <c r="P692" s="2" t="s">
        <v>249</v>
      </c>
      <c r="Q692" s="7" t="s">
        <v>90</v>
      </c>
      <c r="R692" s="4" t="s">
        <v>352</v>
      </c>
      <c r="S692" s="20">
        <v>1</v>
      </c>
      <c r="T692" s="2">
        <v>1</v>
      </c>
    </row>
    <row r="693" spans="1:29">
      <c r="A693" s="7">
        <f>MAX($A$1:$A692)+1</f>
        <v>692</v>
      </c>
      <c r="B693" s="2" t="s">
        <v>171</v>
      </c>
      <c r="C693" s="2" t="s">
        <v>170</v>
      </c>
      <c r="D693" s="2" t="s">
        <v>27</v>
      </c>
      <c r="E693" s="7" t="s">
        <v>488</v>
      </c>
      <c r="F693" s="4">
        <v>48.837589000000001</v>
      </c>
      <c r="G693" s="18">
        <v>-125.14414499999999</v>
      </c>
      <c r="H693" s="5" t="s">
        <v>8</v>
      </c>
      <c r="I693" s="2">
        <v>3</v>
      </c>
      <c r="J693" s="2">
        <v>30</v>
      </c>
      <c r="K693" s="6">
        <v>0.51527777777777783</v>
      </c>
      <c r="L693" s="2" t="s">
        <v>172</v>
      </c>
      <c r="M693" s="2">
        <v>7</v>
      </c>
      <c r="N693" s="2">
        <v>2</v>
      </c>
      <c r="O693" s="2">
        <v>2</v>
      </c>
      <c r="P693" s="2" t="s">
        <v>489</v>
      </c>
      <c r="Q693" s="7" t="s">
        <v>490</v>
      </c>
      <c r="R693" s="4" t="s">
        <v>491</v>
      </c>
      <c r="S693" s="20">
        <v>1</v>
      </c>
      <c r="T693" s="2">
        <v>1</v>
      </c>
    </row>
    <row r="694" spans="1:29">
      <c r="A694" s="7">
        <f>MAX($A$1:$A693)+1</f>
        <v>693</v>
      </c>
      <c r="B694" s="2" t="s">
        <v>171</v>
      </c>
      <c r="C694" s="2" t="s">
        <v>170</v>
      </c>
      <c r="D694" s="2" t="s">
        <v>27</v>
      </c>
      <c r="E694" s="7" t="s">
        <v>488</v>
      </c>
      <c r="F694" s="4">
        <v>48.837589000000001</v>
      </c>
      <c r="G694" s="18">
        <v>-125.14414499999999</v>
      </c>
      <c r="H694" s="5" t="s">
        <v>8</v>
      </c>
      <c r="I694" s="2">
        <v>3</v>
      </c>
      <c r="J694" s="2">
        <v>30</v>
      </c>
      <c r="K694" s="6">
        <v>0.51527777777777783</v>
      </c>
      <c r="L694" s="2" t="s">
        <v>172</v>
      </c>
      <c r="M694" s="2">
        <v>7</v>
      </c>
      <c r="N694" s="2">
        <v>2</v>
      </c>
      <c r="O694" s="2">
        <v>2</v>
      </c>
      <c r="P694" s="2" t="s">
        <v>419</v>
      </c>
      <c r="Q694" s="7" t="s">
        <v>139</v>
      </c>
      <c r="R694" s="4" t="s">
        <v>420</v>
      </c>
      <c r="S694" s="20">
        <v>1</v>
      </c>
      <c r="T694" s="2">
        <v>1</v>
      </c>
    </row>
    <row r="695" spans="1:29">
      <c r="A695" s="7">
        <f>MAX($A$1:$A694)+1</f>
        <v>694</v>
      </c>
      <c r="B695" s="2" t="s">
        <v>171</v>
      </c>
      <c r="C695" s="2" t="s">
        <v>170</v>
      </c>
      <c r="D695" s="2" t="s">
        <v>27</v>
      </c>
      <c r="E695" s="7" t="s">
        <v>488</v>
      </c>
      <c r="F695" s="4">
        <v>48.837589000000001</v>
      </c>
      <c r="G695" s="18">
        <v>-125.14414499999999</v>
      </c>
      <c r="H695" s="5" t="s">
        <v>8</v>
      </c>
      <c r="I695" s="2">
        <v>3</v>
      </c>
      <c r="J695" s="2">
        <v>30</v>
      </c>
      <c r="K695" s="6">
        <v>0.51527777777777783</v>
      </c>
      <c r="L695" s="2" t="s">
        <v>172</v>
      </c>
      <c r="M695" s="2">
        <v>7</v>
      </c>
      <c r="N695" s="2">
        <v>2</v>
      </c>
      <c r="O695" s="2">
        <v>2</v>
      </c>
      <c r="P695" s="2" t="s">
        <v>483</v>
      </c>
      <c r="Q695" s="7" t="s">
        <v>149</v>
      </c>
      <c r="R695" s="4" t="s">
        <v>484</v>
      </c>
      <c r="S695" s="20">
        <v>2</v>
      </c>
      <c r="T695" s="2">
        <v>2</v>
      </c>
    </row>
    <row r="696" spans="1:29">
      <c r="A696" s="7">
        <f>MAX($A$1:$A695)+1</f>
        <v>695</v>
      </c>
      <c r="B696" s="2" t="s">
        <v>171</v>
      </c>
      <c r="C696" s="2" t="s">
        <v>170</v>
      </c>
      <c r="D696" s="2" t="s">
        <v>27</v>
      </c>
      <c r="E696" s="7" t="s">
        <v>488</v>
      </c>
      <c r="F696" s="4">
        <v>48.837589000000001</v>
      </c>
      <c r="G696" s="18">
        <v>-125.14414499999999</v>
      </c>
      <c r="H696" s="5" t="s">
        <v>8</v>
      </c>
      <c r="I696" s="2">
        <v>3</v>
      </c>
      <c r="J696" s="2">
        <v>30</v>
      </c>
      <c r="K696" s="6">
        <v>0.51527777777777783</v>
      </c>
      <c r="L696" s="2" t="s">
        <v>172</v>
      </c>
      <c r="M696" s="2">
        <v>7</v>
      </c>
      <c r="N696" s="2">
        <v>2</v>
      </c>
      <c r="O696" s="2">
        <v>2</v>
      </c>
      <c r="P696" s="2" t="s">
        <v>333</v>
      </c>
      <c r="Q696" s="7" t="s">
        <v>102</v>
      </c>
      <c r="R696" s="4" t="s">
        <v>334</v>
      </c>
      <c r="S696" s="20">
        <v>1</v>
      </c>
      <c r="T696" s="2">
        <v>1</v>
      </c>
    </row>
    <row r="697" spans="1:29">
      <c r="A697" s="7">
        <f>MAX($A$1:$A696)+1</f>
        <v>696</v>
      </c>
      <c r="B697" s="2" t="s">
        <v>171</v>
      </c>
      <c r="C697" s="2" t="s">
        <v>170</v>
      </c>
      <c r="D697" s="2" t="s">
        <v>27</v>
      </c>
      <c r="E697" s="7" t="s">
        <v>488</v>
      </c>
      <c r="F697" s="4">
        <v>48.837589000000001</v>
      </c>
      <c r="G697" s="18">
        <v>-125.14414499999999</v>
      </c>
      <c r="H697" s="5" t="s">
        <v>8</v>
      </c>
      <c r="I697" s="2">
        <v>3</v>
      </c>
      <c r="J697" s="2">
        <v>30</v>
      </c>
      <c r="K697" s="6">
        <v>0.51527777777777783</v>
      </c>
      <c r="L697" s="2" t="s">
        <v>172</v>
      </c>
      <c r="M697" s="2">
        <v>7</v>
      </c>
      <c r="N697" s="2">
        <v>0</v>
      </c>
      <c r="O697" s="2">
        <v>2</v>
      </c>
      <c r="P697" s="2" t="s">
        <v>235</v>
      </c>
      <c r="Q697" s="7" t="s">
        <v>54</v>
      </c>
      <c r="R697" s="4" t="s">
        <v>364</v>
      </c>
      <c r="S697" s="20">
        <v>1</v>
      </c>
      <c r="T697" s="2">
        <v>0</v>
      </c>
      <c r="W697" s="2">
        <v>1</v>
      </c>
    </row>
    <row r="698" spans="1:29">
      <c r="A698" s="7">
        <f>MAX($A$1:$A697)+1</f>
        <v>697</v>
      </c>
      <c r="B698" s="2" t="s">
        <v>171</v>
      </c>
      <c r="C698" s="2" t="s">
        <v>170</v>
      </c>
      <c r="D698" s="2" t="s">
        <v>27</v>
      </c>
      <c r="E698" s="7" t="s">
        <v>488</v>
      </c>
      <c r="F698" s="4">
        <v>48.837589000000001</v>
      </c>
      <c r="G698" s="18">
        <v>-125.14414499999999</v>
      </c>
      <c r="H698" s="5" t="s">
        <v>8</v>
      </c>
      <c r="I698" s="2">
        <v>3</v>
      </c>
      <c r="J698" s="2">
        <v>30</v>
      </c>
      <c r="K698" s="6">
        <v>0.51527777777777783</v>
      </c>
      <c r="L698" s="2" t="s">
        <v>172</v>
      </c>
      <c r="M698" s="2">
        <v>7</v>
      </c>
      <c r="N698" s="2">
        <v>2</v>
      </c>
      <c r="O698" s="2">
        <v>2</v>
      </c>
      <c r="P698" s="2" t="s">
        <v>251</v>
      </c>
      <c r="Q698" s="7" t="s">
        <v>73</v>
      </c>
      <c r="R698" s="4" t="s">
        <v>325</v>
      </c>
      <c r="S698" s="20">
        <v>1</v>
      </c>
      <c r="T698" s="2">
        <v>1</v>
      </c>
    </row>
    <row r="699" spans="1:29">
      <c r="A699" s="7">
        <f>MAX($A$1:$A698)+1</f>
        <v>698</v>
      </c>
      <c r="B699" s="2" t="s">
        <v>171</v>
      </c>
      <c r="C699" s="2" t="s">
        <v>170</v>
      </c>
      <c r="D699" s="2" t="s">
        <v>27</v>
      </c>
      <c r="E699" s="7" t="s">
        <v>488</v>
      </c>
      <c r="F699" s="4">
        <v>48.837589000000001</v>
      </c>
      <c r="G699" s="18">
        <v>-125.14414499999999</v>
      </c>
      <c r="H699" s="5" t="s">
        <v>8</v>
      </c>
      <c r="I699" s="2">
        <v>3</v>
      </c>
      <c r="J699" s="2">
        <v>30</v>
      </c>
      <c r="K699" s="6">
        <v>0.51527777777777783</v>
      </c>
      <c r="L699" s="2" t="s">
        <v>172</v>
      </c>
      <c r="M699" s="2">
        <v>7</v>
      </c>
      <c r="N699" s="2">
        <v>2</v>
      </c>
      <c r="O699" s="2">
        <v>2</v>
      </c>
      <c r="P699" s="2" t="s">
        <v>338</v>
      </c>
      <c r="Q699" s="7" t="s">
        <v>101</v>
      </c>
      <c r="R699" s="4" t="s">
        <v>339</v>
      </c>
      <c r="S699" s="20">
        <v>1</v>
      </c>
      <c r="T699" s="2">
        <v>0</v>
      </c>
      <c r="W699" s="2">
        <v>1</v>
      </c>
    </row>
    <row r="700" spans="1:29">
      <c r="A700" s="7">
        <f>MAX($A$1:$A699)+1</f>
        <v>699</v>
      </c>
      <c r="B700" s="2" t="s">
        <v>171</v>
      </c>
      <c r="C700" s="2" t="s">
        <v>170</v>
      </c>
      <c r="D700" s="2" t="s">
        <v>27</v>
      </c>
      <c r="E700" s="7" t="s">
        <v>488</v>
      </c>
      <c r="F700" s="4">
        <v>48.837589000000001</v>
      </c>
      <c r="G700" s="18">
        <v>-125.14414499999999</v>
      </c>
      <c r="H700" s="5" t="s">
        <v>8</v>
      </c>
      <c r="I700" s="2">
        <v>3</v>
      </c>
      <c r="J700" s="2">
        <v>30</v>
      </c>
      <c r="K700" s="6">
        <v>0.51527777777777783</v>
      </c>
      <c r="L700" s="2" t="s">
        <v>172</v>
      </c>
      <c r="M700" s="2">
        <v>7</v>
      </c>
      <c r="N700" s="2">
        <v>2</v>
      </c>
      <c r="O700" s="2">
        <v>2</v>
      </c>
      <c r="P700" s="2" t="s">
        <v>454</v>
      </c>
      <c r="Q700" s="7" t="s">
        <v>137</v>
      </c>
      <c r="R700" s="4" t="s">
        <v>408</v>
      </c>
      <c r="S700" s="20">
        <v>1</v>
      </c>
      <c r="T700" s="2">
        <v>1</v>
      </c>
    </row>
    <row r="701" spans="1:29">
      <c r="A701" s="7">
        <f>MAX($A$1:$A700)+1</f>
        <v>700</v>
      </c>
      <c r="B701" s="2" t="s">
        <v>171</v>
      </c>
      <c r="C701" s="2" t="s">
        <v>170</v>
      </c>
      <c r="D701" s="2" t="s">
        <v>27</v>
      </c>
      <c r="E701" s="7" t="s">
        <v>488</v>
      </c>
      <c r="F701" s="4">
        <v>48.837589000000001</v>
      </c>
      <c r="G701" s="18">
        <v>-125.14414499999999</v>
      </c>
      <c r="H701" s="5" t="s">
        <v>8</v>
      </c>
      <c r="I701" s="2">
        <v>3</v>
      </c>
      <c r="J701" s="2">
        <v>30</v>
      </c>
      <c r="K701" s="6">
        <v>0.51527777777777783</v>
      </c>
      <c r="L701" s="2" t="s">
        <v>172</v>
      </c>
      <c r="M701" s="2">
        <v>7</v>
      </c>
      <c r="N701" s="2">
        <v>2</v>
      </c>
      <c r="O701" s="2">
        <v>2</v>
      </c>
      <c r="P701" s="2" t="s">
        <v>487</v>
      </c>
      <c r="Q701" s="7" t="s">
        <v>109</v>
      </c>
      <c r="R701" s="4" t="s">
        <v>391</v>
      </c>
      <c r="S701" s="20">
        <v>1</v>
      </c>
      <c r="T701" s="2">
        <v>1</v>
      </c>
    </row>
    <row r="702" spans="1:29">
      <c r="A702" s="7">
        <f>MAX($A$1:$A701)+1</f>
        <v>701</v>
      </c>
      <c r="B702" s="2" t="s">
        <v>171</v>
      </c>
      <c r="C702" s="2" t="s">
        <v>170</v>
      </c>
      <c r="D702" s="2" t="s">
        <v>27</v>
      </c>
      <c r="E702" s="7" t="s">
        <v>488</v>
      </c>
      <c r="F702" s="4">
        <v>48.837589000000001</v>
      </c>
      <c r="G702" s="18">
        <v>-125.14414499999999</v>
      </c>
      <c r="H702" s="5" t="s">
        <v>8</v>
      </c>
      <c r="I702" s="2">
        <v>3</v>
      </c>
      <c r="J702" s="2">
        <v>30</v>
      </c>
      <c r="K702" s="6">
        <v>0.51527777777777783</v>
      </c>
      <c r="L702" s="2" t="s">
        <v>172</v>
      </c>
      <c r="M702" s="2">
        <v>7</v>
      </c>
      <c r="N702" s="2">
        <v>2</v>
      </c>
      <c r="O702" s="2">
        <v>2</v>
      </c>
      <c r="P702" s="2" t="s">
        <v>492</v>
      </c>
      <c r="Q702" s="7" t="s">
        <v>77</v>
      </c>
      <c r="R702" s="4" t="s">
        <v>493</v>
      </c>
      <c r="S702" s="20">
        <v>1</v>
      </c>
      <c r="T702" s="2">
        <v>1</v>
      </c>
    </row>
    <row r="703" spans="1:29">
      <c r="A703" s="7">
        <f>MAX($A$1:$A702)+1</f>
        <v>702</v>
      </c>
      <c r="B703" s="2" t="s">
        <v>171</v>
      </c>
      <c r="C703" s="2" t="s">
        <v>170</v>
      </c>
      <c r="D703" s="2" t="s">
        <v>27</v>
      </c>
      <c r="E703" s="7" t="s">
        <v>488</v>
      </c>
      <c r="F703" s="4">
        <v>48.837589000000001</v>
      </c>
      <c r="G703" s="18">
        <v>-125.14414499999999</v>
      </c>
      <c r="H703" s="5" t="s">
        <v>8</v>
      </c>
      <c r="I703" s="2">
        <v>3</v>
      </c>
      <c r="J703" s="2">
        <v>30</v>
      </c>
      <c r="K703" s="6">
        <v>0.51527777777777783</v>
      </c>
      <c r="L703" s="2" t="s">
        <v>172</v>
      </c>
      <c r="M703" s="2">
        <v>7</v>
      </c>
      <c r="N703" s="2">
        <v>2</v>
      </c>
      <c r="O703" s="2">
        <v>2</v>
      </c>
      <c r="P703" s="2" t="s">
        <v>252</v>
      </c>
      <c r="Q703" s="7" t="s">
        <v>76</v>
      </c>
      <c r="R703" s="4" t="s">
        <v>413</v>
      </c>
      <c r="S703" s="20">
        <v>1</v>
      </c>
      <c r="T703" s="2">
        <v>1</v>
      </c>
    </row>
    <row r="704" spans="1:29">
      <c r="A704" s="7">
        <f>MAX($A$1:$A703)+1</f>
        <v>703</v>
      </c>
      <c r="B704" s="2" t="s">
        <v>171</v>
      </c>
      <c r="C704" s="2" t="s">
        <v>170</v>
      </c>
      <c r="D704" s="2" t="s">
        <v>27</v>
      </c>
      <c r="E704" s="7" t="s">
        <v>488</v>
      </c>
      <c r="F704" s="4">
        <v>48.837589000000001</v>
      </c>
      <c r="G704" s="18">
        <v>-125.14414499999999</v>
      </c>
      <c r="H704" s="5" t="s">
        <v>8</v>
      </c>
      <c r="I704" s="2">
        <v>3</v>
      </c>
      <c r="J704" s="2">
        <v>30</v>
      </c>
      <c r="K704" s="6">
        <v>0.51527777777777783</v>
      </c>
      <c r="L704" s="2" t="s">
        <v>172</v>
      </c>
      <c r="M704" s="2">
        <v>7</v>
      </c>
      <c r="N704" s="2">
        <v>2</v>
      </c>
      <c r="O704" s="2">
        <v>2</v>
      </c>
      <c r="P704" s="2" t="s">
        <v>305</v>
      </c>
      <c r="Q704" s="7" t="s">
        <v>89</v>
      </c>
      <c r="R704" s="4" t="s">
        <v>306</v>
      </c>
      <c r="S704" s="20">
        <v>1</v>
      </c>
      <c r="T704" s="2">
        <v>0</v>
      </c>
      <c r="AC704" s="2">
        <v>1</v>
      </c>
    </row>
    <row r="705" spans="1:32">
      <c r="A705" s="7">
        <f>MAX($A$1:$A704)+1</f>
        <v>704</v>
      </c>
      <c r="B705" s="2" t="str">
        <f t="shared" ref="B705:B739" si="99">IF(ISERROR(B704),IF(ISERROR(B703),IF(ISERROR(B702),"BLANK",B702),B703),B704)</f>
        <v>Em Lim</v>
      </c>
      <c r="C705" s="2" t="str">
        <f t="shared" ref="C705:C739" si="100">IF(ISERROR(C704),IF(ISERROR(C703),IF(ISERROR(C702),"BLANK",C702),C703),C704)</f>
        <v>Jasmin Schuster</v>
      </c>
      <c r="D705" s="27" t="s">
        <v>34</v>
      </c>
      <c r="E705" s="7" t="str">
        <f>IF(ISERROR(VLOOKUP($D705,SITES!$A:$E,2,FALSE)),"",VLOOKUP($D705,SITES!$A:$E,2,FALSE))</f>
        <v>Swiss Boy</v>
      </c>
      <c r="F705" s="4">
        <f>IF(ISERROR(VLOOKUP($D705,SITES!$A:$E,3,FALSE)),"",VLOOKUP($D705,SITES!$A:$E,3,FALSE))</f>
        <v>48.916072999999997</v>
      </c>
      <c r="G705" s="18">
        <f>IF(ISERROR(VLOOKUP($D705,SITES!$A:$E,4,FALSE)),"",VLOOKUP($D705,SITES!$A:$E,4,FALSE))</f>
        <v>-125.131174</v>
      </c>
      <c r="H705" s="28" t="s">
        <v>12</v>
      </c>
      <c r="I705" s="2">
        <v>6</v>
      </c>
      <c r="J705" s="2">
        <v>40</v>
      </c>
      <c r="K705" s="6">
        <v>0.4375</v>
      </c>
      <c r="L705" s="2" t="str">
        <f t="shared" ref="L705:L739" si="101">IF(ISERROR(L704),IF(ISERROR(L703),IF(ISERROR(L702),"BLANK",L702),L703),L704)</f>
        <v>EGL</v>
      </c>
      <c r="M705" s="2">
        <f t="shared" ref="M705:M739" si="102">IF(ISERROR(M704),IF(ISERROR(M703),IF(ISERROR(M702),"BLANK",M702),M703),M704)</f>
        <v>7</v>
      </c>
      <c r="N705" s="2">
        <v>1</v>
      </c>
      <c r="O705" s="2">
        <v>2</v>
      </c>
      <c r="P705" s="27" t="s">
        <v>174</v>
      </c>
      <c r="Q705" s="7" t="str">
        <f>IF($N705=1,IF(ISERROR(VLOOKUP($P705,'M1'!$A:$C,Q$2,FALSE)),"NOT PRESENT",VLOOKUP($P705,'M1'!$A:$C,Q$2,FALSE)),IF($N705=2,IF(ISERROR(VLOOKUP(DATA!$P362,'M2'!$A:$C,Q$2,FALSE)),"NOT PRESENT",VLOOKUP(DATA!$P362,'M2'!$A:$C,Q$2,FALSE)),IF($N705=0,IF(ISERROR(VLOOKUP($P705,'M1'!$A:$C,Q$2,FALSE)),IF(ISERROR(VLOOKUP(DATA!$P362,'M2'!$A:$C,Q$2,FALSE)),"NOT PRESENT",VLOOKUP(DATA!$P362,'M2'!$A:$C,Q$2,FALSE)),VLOOKUP($P705,'M1'!$A:$C,Q$2,FALSE)),"SPECIFY METHOD")))</f>
        <v>NOT PRESENT</v>
      </c>
      <c r="R705" s="4" t="str">
        <f>IF($N705=1,IF(ISERROR(VLOOKUP($P705,'M1'!$A:$C,R$2,FALSE)),"NOT PRESENT",VLOOKUP($P705,'M1'!$A:$C,R$2,FALSE)),IF($N705=2,IF(ISERROR(VLOOKUP(DATA!$P362,'M2'!$A:$C,R$2,FALSE)),"NOT PRESENT",VLOOKUP(DATA!$P362,'M2'!$A:$C,R$2,FALSE)),IF($N705=0,IF(ISERROR(VLOOKUP($P705,'M1'!$A:$C,R$2,FALSE)),IF(ISERROR(VLOOKUP(DATA!$P362,'M2'!$A:$C,R$2,FALSE)),"NOT PRESENT",VLOOKUP(DATA!$P362,'M2'!$A:$C,R$2,FALSE)),VLOOKUP($P705,'M1'!$A:$C,R$2,FALSE)),"SPECIFY METHOD")))</f>
        <v>NOT PRESENT</v>
      </c>
      <c r="S705" s="20">
        <f t="shared" ref="S705:S739" si="103">SUM(T705:AV705)</f>
        <v>8</v>
      </c>
      <c r="T705" s="2">
        <v>0</v>
      </c>
      <c r="AA705" s="2">
        <v>2</v>
      </c>
      <c r="AB705" s="2">
        <v>1</v>
      </c>
      <c r="AC705" s="2">
        <v>3</v>
      </c>
      <c r="AD705" s="2">
        <v>2</v>
      </c>
    </row>
    <row r="706" spans="1:32">
      <c r="A706" s="7">
        <f>MAX($A$1:$A705)+1</f>
        <v>705</v>
      </c>
      <c r="B706" s="2" t="str">
        <f t="shared" si="99"/>
        <v>Em Lim</v>
      </c>
      <c r="C706" s="2" t="str">
        <f t="shared" si="100"/>
        <v>Jasmin Schuster</v>
      </c>
      <c r="D706" s="2" t="str">
        <f t="shared" ref="D706:D739" si="104">IF(ISERROR(D705),IF(ISERROR(D704),IF(ISERROR(D703),"BLANK",D703),D704),D705)</f>
        <v>BMSC24</v>
      </c>
      <c r="E706" s="7" t="str">
        <f>IF(ISERROR(VLOOKUP($D706,SITES!$A:$E,2,FALSE)),"",VLOOKUP($D706,SITES!$A:$E,2,FALSE))</f>
        <v>Swiss Boy</v>
      </c>
      <c r="F706" s="4">
        <f>IF(ISERROR(VLOOKUP($D706,SITES!$A:$E,3,FALSE)),"",VLOOKUP($D706,SITES!$A:$E,3,FALSE))</f>
        <v>48.916072999999997</v>
      </c>
      <c r="G706" s="18">
        <f>IF(ISERROR(VLOOKUP($D706,SITES!$A:$E,4,FALSE)),"",VLOOKUP($D706,SITES!$A:$E,4,FALSE))</f>
        <v>-125.131174</v>
      </c>
      <c r="H706" s="5" t="str">
        <f t="shared" ref="H706:H739" si="105">IF(ISERROR(H705),IF(ISERROR(H704),IF(ISERROR(H703),"BLANK",H703),H704),H705)</f>
        <v>18/05/2023</v>
      </c>
      <c r="I706" s="2">
        <f t="shared" ref="I706:I739" si="106">IF(ISERROR(I705),IF(ISERROR(I704),IF(ISERROR(I703),"BLANK",I703),I704),I705)</f>
        <v>6</v>
      </c>
      <c r="J706" s="2">
        <f t="shared" ref="J706:J739" si="107">IF(ISERROR(J705),IF(ISERROR(J704),IF(ISERROR(J703),"BLANK",J703),J704),J705)</f>
        <v>40</v>
      </c>
      <c r="K706" s="6">
        <f t="shared" ref="K706:K739" si="108">IF(ISERROR(K705),IF(ISERROR(K704),IF(ISERROR(K703),"BLANK",K703),K704),K705)</f>
        <v>0.4375</v>
      </c>
      <c r="L706" s="2" t="str">
        <f t="shared" si="101"/>
        <v>EGL</v>
      </c>
      <c r="M706" s="2">
        <f t="shared" si="102"/>
        <v>7</v>
      </c>
      <c r="N706" s="2">
        <f t="shared" ref="N706:O709" si="109">IF(ISERROR(N705),IF(ISERROR(N704),IF(ISERROR(N703),"BLANK",N703),N704),N705)</f>
        <v>1</v>
      </c>
      <c r="O706" s="2">
        <f t="shared" si="109"/>
        <v>2</v>
      </c>
      <c r="P706" s="27" t="s">
        <v>276</v>
      </c>
      <c r="Q706" s="7" t="str">
        <f>IF($N706=1,IF(ISERROR(VLOOKUP($P706,'M1'!$A:$C,Q$2,FALSE)),"NOT PRESENT",VLOOKUP($P706,'M1'!$A:$C,Q$2,FALSE)),IF($N706=2,IF(ISERROR(VLOOKUP(DATA!$P363,'M2'!$A:$C,Q$2,FALSE)),"NOT PRESENT",VLOOKUP(DATA!$P363,'M2'!$A:$C,Q$2,FALSE)),IF($N706=0,IF(ISERROR(VLOOKUP($P706,'M1'!$A:$C,Q$2,FALSE)),IF(ISERROR(VLOOKUP(DATA!$P363,'M2'!$A:$C,Q$2,FALSE)),"NOT PRESENT",VLOOKUP(DATA!$P363,'M2'!$A:$C,Q$2,FALSE)),VLOOKUP($P706,'M1'!$A:$C,Q$2,FALSE)),"SPECIFY METHOD")))</f>
        <v>NOT PRESENT</v>
      </c>
      <c r="R706" s="4" t="str">
        <f>IF($N706=1,IF(ISERROR(VLOOKUP($P706,'M1'!$A:$C,R$2,FALSE)),"NOT PRESENT",VLOOKUP($P706,'M1'!$A:$C,R$2,FALSE)),IF($N706=2,IF(ISERROR(VLOOKUP(DATA!$P363,'M2'!$A:$C,R$2,FALSE)),"NOT PRESENT",VLOOKUP(DATA!$P363,'M2'!$A:$C,R$2,FALSE)),IF($N706=0,IF(ISERROR(VLOOKUP($P706,'M1'!$A:$C,R$2,FALSE)),IF(ISERROR(VLOOKUP(DATA!$P363,'M2'!$A:$C,R$2,FALSE)),"NOT PRESENT",VLOOKUP(DATA!$P363,'M2'!$A:$C,R$2,FALSE)),VLOOKUP($P706,'M1'!$A:$C,R$2,FALSE)),"SPECIFY METHOD")))</f>
        <v>NOT PRESENT</v>
      </c>
      <c r="S706" s="20">
        <f t="shared" si="103"/>
        <v>12</v>
      </c>
      <c r="T706" s="2">
        <v>0</v>
      </c>
      <c r="Z706" s="2">
        <v>7</v>
      </c>
      <c r="AA706" s="2">
        <v>5</v>
      </c>
    </row>
    <row r="707" spans="1:32">
      <c r="A707" s="7">
        <f>MAX($A$1:$A706)+1</f>
        <v>706</v>
      </c>
      <c r="B707" s="2" t="str">
        <f t="shared" si="99"/>
        <v>Em Lim</v>
      </c>
      <c r="C707" s="2" t="str">
        <f t="shared" si="100"/>
        <v>Jasmin Schuster</v>
      </c>
      <c r="D707" s="2" t="str">
        <f t="shared" si="104"/>
        <v>BMSC24</v>
      </c>
      <c r="E707" s="7" t="str">
        <f>IF(ISERROR(VLOOKUP($D707,SITES!$A:$E,2,FALSE)),"",VLOOKUP($D707,SITES!$A:$E,2,FALSE))</f>
        <v>Swiss Boy</v>
      </c>
      <c r="F707" s="4">
        <f>IF(ISERROR(VLOOKUP($D707,SITES!$A:$E,3,FALSE)),"",VLOOKUP($D707,SITES!$A:$E,3,FALSE))</f>
        <v>48.916072999999997</v>
      </c>
      <c r="G707" s="18">
        <f>IF(ISERROR(VLOOKUP($D707,SITES!$A:$E,4,FALSE)),"",VLOOKUP($D707,SITES!$A:$E,4,FALSE))</f>
        <v>-125.131174</v>
      </c>
      <c r="H707" s="5" t="str">
        <f t="shared" si="105"/>
        <v>18/05/2023</v>
      </c>
      <c r="I707" s="2">
        <f t="shared" si="106"/>
        <v>6</v>
      </c>
      <c r="J707" s="2">
        <f t="shared" si="107"/>
        <v>40</v>
      </c>
      <c r="K707" s="6">
        <f t="shared" si="108"/>
        <v>0.4375</v>
      </c>
      <c r="L707" s="2" t="str">
        <f t="shared" si="101"/>
        <v>EGL</v>
      </c>
      <c r="M707" s="2">
        <f t="shared" si="102"/>
        <v>7</v>
      </c>
      <c r="N707" s="2">
        <f t="shared" si="109"/>
        <v>1</v>
      </c>
      <c r="O707" s="2">
        <f t="shared" si="109"/>
        <v>2</v>
      </c>
      <c r="P707" s="27" t="s">
        <v>272</v>
      </c>
      <c r="Q707" s="7" t="str">
        <f>IF($N707=1,IF(ISERROR(VLOOKUP($P707,'M1'!$A:$C,Q$2,FALSE)),"NOT PRESENT",VLOOKUP($P707,'M1'!$A:$C,Q$2,FALSE)),IF($N707=2,IF(ISERROR(VLOOKUP(DATA!$P364,'M2'!$A:$C,Q$2,FALSE)),"NOT PRESENT",VLOOKUP(DATA!$P364,'M2'!$A:$C,Q$2,FALSE)),IF($N707=0,IF(ISERROR(VLOOKUP($P707,'M1'!$A:$C,Q$2,FALSE)),IF(ISERROR(VLOOKUP(DATA!$P364,'M2'!$A:$C,Q$2,FALSE)),"NOT PRESENT",VLOOKUP(DATA!$P364,'M2'!$A:$C,Q$2,FALSE)),VLOOKUP($P707,'M1'!$A:$C,Q$2,FALSE)),"SPECIFY METHOD")))</f>
        <v>NOT PRESENT</v>
      </c>
      <c r="R707" s="4" t="str">
        <f>IF($N707=1,IF(ISERROR(VLOOKUP($P707,'M1'!$A:$C,R$2,FALSE)),"NOT PRESENT",VLOOKUP($P707,'M1'!$A:$C,R$2,FALSE)),IF($N707=2,IF(ISERROR(VLOOKUP(DATA!$P364,'M2'!$A:$C,R$2,FALSE)),"NOT PRESENT",VLOOKUP(DATA!$P364,'M2'!$A:$C,R$2,FALSE)),IF($N707=0,IF(ISERROR(VLOOKUP($P707,'M1'!$A:$C,R$2,FALSE)),IF(ISERROR(VLOOKUP(DATA!$P364,'M2'!$A:$C,R$2,FALSE)),"NOT PRESENT",VLOOKUP(DATA!$P364,'M2'!$A:$C,R$2,FALSE)),VLOOKUP($P707,'M1'!$A:$C,R$2,FALSE)),"SPECIFY METHOD")))</f>
        <v>NOT PRESENT</v>
      </c>
      <c r="S707" s="20">
        <f t="shared" si="103"/>
        <v>23</v>
      </c>
      <c r="T707" s="2">
        <v>0</v>
      </c>
      <c r="X707" s="2">
        <v>5</v>
      </c>
      <c r="Y707" s="2">
        <v>2</v>
      </c>
      <c r="Z707" s="2">
        <v>11</v>
      </c>
      <c r="AA707" s="2">
        <v>5</v>
      </c>
    </row>
    <row r="708" spans="1:32">
      <c r="A708" s="7">
        <f>MAX($A$1:$A707)+1</f>
        <v>707</v>
      </c>
      <c r="B708" s="2" t="str">
        <f t="shared" si="99"/>
        <v>Em Lim</v>
      </c>
      <c r="C708" s="2" t="str">
        <f t="shared" si="100"/>
        <v>Jasmin Schuster</v>
      </c>
      <c r="D708" s="2" t="str">
        <f t="shared" si="104"/>
        <v>BMSC24</v>
      </c>
      <c r="E708" s="7" t="str">
        <f>IF(ISERROR(VLOOKUP($D708,SITES!$A:$E,2,FALSE)),"",VLOOKUP($D708,SITES!$A:$E,2,FALSE))</f>
        <v>Swiss Boy</v>
      </c>
      <c r="F708" s="4">
        <f>IF(ISERROR(VLOOKUP($D708,SITES!$A:$E,3,FALSE)),"",VLOOKUP($D708,SITES!$A:$E,3,FALSE))</f>
        <v>48.916072999999997</v>
      </c>
      <c r="G708" s="18">
        <f>IF(ISERROR(VLOOKUP($D708,SITES!$A:$E,4,FALSE)),"",VLOOKUP($D708,SITES!$A:$E,4,FALSE))</f>
        <v>-125.131174</v>
      </c>
      <c r="H708" s="5" t="str">
        <f t="shared" si="105"/>
        <v>18/05/2023</v>
      </c>
      <c r="I708" s="2">
        <f t="shared" si="106"/>
        <v>6</v>
      </c>
      <c r="J708" s="2">
        <f t="shared" si="107"/>
        <v>40</v>
      </c>
      <c r="K708" s="6">
        <f t="shared" si="108"/>
        <v>0.4375</v>
      </c>
      <c r="L708" s="2" t="str">
        <f t="shared" si="101"/>
        <v>EGL</v>
      </c>
      <c r="M708" s="2">
        <f t="shared" si="102"/>
        <v>7</v>
      </c>
      <c r="N708" s="2">
        <f t="shared" si="109"/>
        <v>1</v>
      </c>
      <c r="O708" s="2">
        <f t="shared" si="109"/>
        <v>2</v>
      </c>
      <c r="P708" s="27" t="s">
        <v>177</v>
      </c>
      <c r="Q708" s="7" t="str">
        <f>IF($N708=1,IF(ISERROR(VLOOKUP($P708,'M1'!$A:$C,Q$2,FALSE)),"NOT PRESENT",VLOOKUP($P708,'M1'!$A:$C,Q$2,FALSE)),IF($N708=2,IF(ISERROR(VLOOKUP(DATA!$P365,'M2'!$A:$C,Q$2,FALSE)),"NOT PRESENT",VLOOKUP(DATA!$P365,'M2'!$A:$C,Q$2,FALSE)),IF($N708=0,IF(ISERROR(VLOOKUP($P708,'M1'!$A:$C,Q$2,FALSE)),IF(ISERROR(VLOOKUP(DATA!$P365,'M2'!$A:$C,Q$2,FALSE)),"NOT PRESENT",VLOOKUP(DATA!$P365,'M2'!$A:$C,Q$2,FALSE)),VLOOKUP($P708,'M1'!$A:$C,Q$2,FALSE)),"SPECIFY METHOD")))</f>
        <v>NOT PRESENT</v>
      </c>
      <c r="R708" s="4" t="str">
        <f>IF($N708=1,IF(ISERROR(VLOOKUP($P708,'M1'!$A:$C,R$2,FALSE)),"NOT PRESENT",VLOOKUP($P708,'M1'!$A:$C,R$2,FALSE)),IF($N708=2,IF(ISERROR(VLOOKUP(DATA!$P365,'M2'!$A:$C,R$2,FALSE)),"NOT PRESENT",VLOOKUP(DATA!$P365,'M2'!$A:$C,R$2,FALSE)),IF($N708=0,IF(ISERROR(VLOOKUP($P708,'M1'!$A:$C,R$2,FALSE)),IF(ISERROR(VLOOKUP(DATA!$P365,'M2'!$A:$C,R$2,FALSE)),"NOT PRESENT",VLOOKUP(DATA!$P365,'M2'!$A:$C,R$2,FALSE)),VLOOKUP($P708,'M1'!$A:$C,R$2,FALSE)),"SPECIFY METHOD")))</f>
        <v>NOT PRESENT</v>
      </c>
      <c r="S708" s="20">
        <f t="shared" si="103"/>
        <v>1</v>
      </c>
      <c r="T708" s="2">
        <v>1</v>
      </c>
    </row>
    <row r="709" spans="1:32">
      <c r="A709" s="7">
        <f>MAX($A$1:$A708)+1</f>
        <v>708</v>
      </c>
      <c r="B709" s="2" t="str">
        <f t="shared" si="99"/>
        <v>Em Lim</v>
      </c>
      <c r="C709" s="2" t="str">
        <f t="shared" si="100"/>
        <v>Jasmin Schuster</v>
      </c>
      <c r="D709" s="2" t="str">
        <f t="shared" si="104"/>
        <v>BMSC24</v>
      </c>
      <c r="E709" s="7" t="str">
        <f>IF(ISERROR(VLOOKUP($D709,SITES!$A:$E,2,FALSE)),"",VLOOKUP($D709,SITES!$A:$E,2,FALSE))</f>
        <v>Swiss Boy</v>
      </c>
      <c r="F709" s="4">
        <f>IF(ISERROR(VLOOKUP($D709,SITES!$A:$E,3,FALSE)),"",VLOOKUP($D709,SITES!$A:$E,3,FALSE))</f>
        <v>48.916072999999997</v>
      </c>
      <c r="G709" s="18">
        <f>IF(ISERROR(VLOOKUP($D709,SITES!$A:$E,4,FALSE)),"",VLOOKUP($D709,SITES!$A:$E,4,FALSE))</f>
        <v>-125.131174</v>
      </c>
      <c r="H709" s="5" t="str">
        <f t="shared" si="105"/>
        <v>18/05/2023</v>
      </c>
      <c r="I709" s="2">
        <f t="shared" si="106"/>
        <v>6</v>
      </c>
      <c r="J709" s="2">
        <f t="shared" si="107"/>
        <v>40</v>
      </c>
      <c r="K709" s="6">
        <f t="shared" si="108"/>
        <v>0.4375</v>
      </c>
      <c r="L709" s="2" t="str">
        <f t="shared" si="101"/>
        <v>EGL</v>
      </c>
      <c r="M709" s="2">
        <f t="shared" si="102"/>
        <v>7</v>
      </c>
      <c r="N709" s="2">
        <f t="shared" si="109"/>
        <v>1</v>
      </c>
      <c r="O709" s="2">
        <f t="shared" si="109"/>
        <v>2</v>
      </c>
      <c r="P709" s="27" t="s">
        <v>224</v>
      </c>
      <c r="Q709" s="7" t="str">
        <f>IF($N709=1,IF(ISERROR(VLOOKUP($P709,'M1'!$A:$C,Q$2,FALSE)),"NOT PRESENT",VLOOKUP($P709,'M1'!$A:$C,Q$2,FALSE)),IF($N709=2,IF(ISERROR(VLOOKUP(DATA!$P366,'M2'!$A:$C,Q$2,FALSE)),"NOT PRESENT",VLOOKUP(DATA!$P366,'M2'!$A:$C,Q$2,FALSE)),IF($N709=0,IF(ISERROR(VLOOKUP($P709,'M1'!$A:$C,Q$2,FALSE)),IF(ISERROR(VLOOKUP(DATA!$P366,'M2'!$A:$C,Q$2,FALSE)),"NOT PRESENT",VLOOKUP(DATA!$P366,'M2'!$A:$C,Q$2,FALSE)),VLOOKUP($P709,'M1'!$A:$C,Q$2,FALSE)),"SPECIFY METHOD")))</f>
        <v>NOT PRESENT</v>
      </c>
      <c r="R709" s="4" t="str">
        <f>IF($N709=1,IF(ISERROR(VLOOKUP($P709,'M1'!$A:$C,R$2,FALSE)),"NOT PRESENT",VLOOKUP($P709,'M1'!$A:$C,R$2,FALSE)),IF($N709=2,IF(ISERROR(VLOOKUP(DATA!$P366,'M2'!$A:$C,R$2,FALSE)),"NOT PRESENT",VLOOKUP(DATA!$P366,'M2'!$A:$C,R$2,FALSE)),IF($N709=0,IF(ISERROR(VLOOKUP($P709,'M1'!$A:$C,R$2,FALSE)),IF(ISERROR(VLOOKUP(DATA!$P366,'M2'!$A:$C,R$2,FALSE)),"NOT PRESENT",VLOOKUP(DATA!$P366,'M2'!$A:$C,R$2,FALSE)),VLOOKUP($P709,'M1'!$A:$C,R$2,FALSE)),"SPECIFY METHOD")))</f>
        <v>NOT PRESENT</v>
      </c>
      <c r="S709" s="20">
        <f t="shared" si="103"/>
        <v>1</v>
      </c>
      <c r="T709" s="2">
        <v>0</v>
      </c>
      <c r="AF709" s="2">
        <v>1</v>
      </c>
    </row>
    <row r="710" spans="1:32">
      <c r="A710" s="7">
        <f>MAX($A$1:$A709)+1</f>
        <v>709</v>
      </c>
      <c r="B710" s="2" t="str">
        <f t="shared" si="99"/>
        <v>Em Lim</v>
      </c>
      <c r="C710" s="2" t="str">
        <f t="shared" si="100"/>
        <v>Jasmin Schuster</v>
      </c>
      <c r="D710" s="2" t="str">
        <f t="shared" si="104"/>
        <v>BMSC24</v>
      </c>
      <c r="E710" s="7" t="str">
        <f>IF(ISERROR(VLOOKUP($D710,SITES!$A:$E,2,FALSE)),"",VLOOKUP($D710,SITES!$A:$E,2,FALSE))</f>
        <v>Swiss Boy</v>
      </c>
      <c r="F710" s="4">
        <f>IF(ISERROR(VLOOKUP($D710,SITES!$A:$E,3,FALSE)),"",VLOOKUP($D710,SITES!$A:$E,3,FALSE))</f>
        <v>48.916072999999997</v>
      </c>
      <c r="G710" s="18">
        <f>IF(ISERROR(VLOOKUP($D710,SITES!$A:$E,4,FALSE)),"",VLOOKUP($D710,SITES!$A:$E,4,FALSE))</f>
        <v>-125.131174</v>
      </c>
      <c r="H710" s="5" t="str">
        <f t="shared" si="105"/>
        <v>18/05/2023</v>
      </c>
      <c r="I710" s="2">
        <f t="shared" si="106"/>
        <v>6</v>
      </c>
      <c r="J710" s="2">
        <f t="shared" si="107"/>
        <v>40</v>
      </c>
      <c r="K710" s="6">
        <f t="shared" si="108"/>
        <v>0.4375</v>
      </c>
      <c r="L710" s="2" t="str">
        <f t="shared" si="101"/>
        <v>EGL</v>
      </c>
      <c r="M710" s="2">
        <f t="shared" si="102"/>
        <v>7</v>
      </c>
      <c r="N710" s="2">
        <v>0</v>
      </c>
      <c r="O710" s="2">
        <f t="shared" ref="O710:O739" si="110">IF(ISERROR(O709),IF(ISERROR(O708),IF(ISERROR(O707),"BLANK",O707),O708),O709)</f>
        <v>2</v>
      </c>
      <c r="P710" s="27" t="s">
        <v>200</v>
      </c>
      <c r="Q710" s="7" t="str">
        <f>IF($N710=1,IF(ISERROR(VLOOKUP($P710,'M1'!$A:$C,Q$2,FALSE)),"NOT PRESENT",VLOOKUP($P710,'M1'!$A:$C,Q$2,FALSE)),IF($N710=2,IF(ISERROR(VLOOKUP(DATA!$P367,'M2'!$A:$C,Q$2,FALSE)),"NOT PRESENT",VLOOKUP(DATA!$P367,'M2'!$A:$C,Q$2,FALSE)),IF($N710=0,IF(ISERROR(VLOOKUP($P710,'M1'!$A:$C,Q$2,FALSE)),IF(ISERROR(VLOOKUP(DATA!$P367,'M2'!$A:$C,Q$2,FALSE)),"NOT PRESENT",VLOOKUP(DATA!$P367,'M2'!$A:$C,Q$2,FALSE)),VLOOKUP($P710,'M1'!$A:$C,Q$2,FALSE)),"SPECIFY METHOD")))</f>
        <v>NOT PRESENT</v>
      </c>
      <c r="R710" s="4" t="str">
        <f>IF($N710=1,IF(ISERROR(VLOOKUP($P710,'M1'!$A:$C,R$2,FALSE)),"NOT PRESENT",VLOOKUP($P710,'M1'!$A:$C,R$2,FALSE)),IF($N710=2,IF(ISERROR(VLOOKUP(DATA!$P367,'M2'!$A:$C,R$2,FALSE)),"NOT PRESENT",VLOOKUP(DATA!$P367,'M2'!$A:$C,R$2,FALSE)),IF($N710=0,IF(ISERROR(VLOOKUP($P710,'M1'!$A:$C,R$2,FALSE)),IF(ISERROR(VLOOKUP(DATA!$P367,'M2'!$A:$C,R$2,FALSE)),"NOT PRESENT",VLOOKUP(DATA!$P367,'M2'!$A:$C,R$2,FALSE)),VLOOKUP($P710,'M1'!$A:$C,R$2,FALSE)),"SPECIFY METHOD")))</f>
        <v>NOT PRESENT</v>
      </c>
      <c r="S710" s="20">
        <f t="shared" si="103"/>
        <v>30</v>
      </c>
      <c r="T710" s="2">
        <v>0</v>
      </c>
      <c r="Z710" s="2">
        <v>10</v>
      </c>
      <c r="AA710" s="2">
        <v>10</v>
      </c>
      <c r="AB710" s="2">
        <v>10</v>
      </c>
    </row>
    <row r="711" spans="1:32">
      <c r="A711" s="7">
        <f>MAX($A$1:$A710)+1</f>
        <v>710</v>
      </c>
      <c r="B711" s="2" t="str">
        <f t="shared" si="99"/>
        <v>Em Lim</v>
      </c>
      <c r="C711" s="2" t="str">
        <f t="shared" si="100"/>
        <v>Jasmin Schuster</v>
      </c>
      <c r="D711" s="2" t="str">
        <f t="shared" si="104"/>
        <v>BMSC24</v>
      </c>
      <c r="E711" s="7" t="str">
        <f>IF(ISERROR(VLOOKUP($D711,SITES!$A:$E,2,FALSE)),"",VLOOKUP($D711,SITES!$A:$E,2,FALSE))</f>
        <v>Swiss Boy</v>
      </c>
      <c r="F711" s="4">
        <f>IF(ISERROR(VLOOKUP($D711,SITES!$A:$E,3,FALSE)),"",VLOOKUP($D711,SITES!$A:$E,3,FALSE))</f>
        <v>48.916072999999997</v>
      </c>
      <c r="G711" s="18">
        <f>IF(ISERROR(VLOOKUP($D711,SITES!$A:$E,4,FALSE)),"",VLOOKUP($D711,SITES!$A:$E,4,FALSE))</f>
        <v>-125.131174</v>
      </c>
      <c r="H711" s="5" t="str">
        <f t="shared" si="105"/>
        <v>18/05/2023</v>
      </c>
      <c r="I711" s="2">
        <f t="shared" si="106"/>
        <v>6</v>
      </c>
      <c r="J711" s="2">
        <f t="shared" si="107"/>
        <v>40</v>
      </c>
      <c r="K711" s="6">
        <f t="shared" si="108"/>
        <v>0.4375</v>
      </c>
      <c r="L711" s="2" t="str">
        <f t="shared" si="101"/>
        <v>EGL</v>
      </c>
      <c r="M711" s="2">
        <f t="shared" si="102"/>
        <v>7</v>
      </c>
      <c r="N711" s="2">
        <f>IF(ISERROR(N710),IF(ISERROR(N709),IF(ISERROR(N708),"BLANK",N708),N709),N710)</f>
        <v>0</v>
      </c>
      <c r="O711" s="2">
        <f t="shared" si="110"/>
        <v>2</v>
      </c>
      <c r="P711" s="27" t="s">
        <v>258</v>
      </c>
      <c r="Q711" s="7" t="str">
        <f>IF($N711=1,IF(ISERROR(VLOOKUP($P711,'M1'!$A:$C,Q$2,FALSE)),"NOT PRESENT",VLOOKUP($P711,'M1'!$A:$C,Q$2,FALSE)),IF($N711=2,IF(ISERROR(VLOOKUP(DATA!$P368,'M2'!$A:$C,Q$2,FALSE)),"NOT PRESENT",VLOOKUP(DATA!$P368,'M2'!$A:$C,Q$2,FALSE)),IF($N711=0,IF(ISERROR(VLOOKUP($P711,'M1'!$A:$C,Q$2,FALSE)),IF(ISERROR(VLOOKUP(DATA!$P368,'M2'!$A:$C,Q$2,FALSE)),"NOT PRESENT",VLOOKUP(DATA!$P368,'M2'!$A:$C,Q$2,FALSE)),VLOOKUP($P711,'M1'!$A:$C,Q$2,FALSE)),"SPECIFY METHOD")))</f>
        <v>NOT PRESENT</v>
      </c>
      <c r="R711" s="4" t="str">
        <f>IF($N711=1,IF(ISERROR(VLOOKUP($P711,'M1'!$A:$C,R$2,FALSE)),"NOT PRESENT",VLOOKUP($P711,'M1'!$A:$C,R$2,FALSE)),IF($N711=2,IF(ISERROR(VLOOKUP(DATA!$P368,'M2'!$A:$C,R$2,FALSE)),"NOT PRESENT",VLOOKUP(DATA!$P368,'M2'!$A:$C,R$2,FALSE)),IF($N711=0,IF(ISERROR(VLOOKUP($P711,'M1'!$A:$C,R$2,FALSE)),IF(ISERROR(VLOOKUP(DATA!$P368,'M2'!$A:$C,R$2,FALSE)),"NOT PRESENT",VLOOKUP(DATA!$P368,'M2'!$A:$C,R$2,FALSE)),VLOOKUP($P711,'M1'!$A:$C,R$2,FALSE)),"SPECIFY METHOD")))</f>
        <v>NOT PRESENT</v>
      </c>
      <c r="S711" s="20">
        <f t="shared" si="103"/>
        <v>60</v>
      </c>
      <c r="T711" s="2">
        <v>0</v>
      </c>
      <c r="Z711" s="2">
        <v>20</v>
      </c>
      <c r="AA711" s="2">
        <v>20</v>
      </c>
      <c r="AB711" s="2">
        <v>20</v>
      </c>
    </row>
    <row r="712" spans="1:32">
      <c r="A712" s="7">
        <f>MAX($A$1:$A711)+1</f>
        <v>711</v>
      </c>
      <c r="B712" s="2" t="str">
        <f t="shared" si="99"/>
        <v>Em Lim</v>
      </c>
      <c r="C712" s="2" t="str">
        <f t="shared" si="100"/>
        <v>Jasmin Schuster</v>
      </c>
      <c r="D712" s="2" t="str">
        <f t="shared" si="104"/>
        <v>BMSC24</v>
      </c>
      <c r="E712" s="7" t="str">
        <f>IF(ISERROR(VLOOKUP($D712,SITES!$A:$E,2,FALSE)),"",VLOOKUP($D712,SITES!$A:$E,2,FALSE))</f>
        <v>Swiss Boy</v>
      </c>
      <c r="F712" s="4">
        <f>IF(ISERROR(VLOOKUP($D712,SITES!$A:$E,3,FALSE)),"",VLOOKUP($D712,SITES!$A:$E,3,FALSE))</f>
        <v>48.916072999999997</v>
      </c>
      <c r="G712" s="18">
        <f>IF(ISERROR(VLOOKUP($D712,SITES!$A:$E,4,FALSE)),"",VLOOKUP($D712,SITES!$A:$E,4,FALSE))</f>
        <v>-125.131174</v>
      </c>
      <c r="H712" s="5" t="str">
        <f t="shared" si="105"/>
        <v>18/05/2023</v>
      </c>
      <c r="I712" s="2">
        <f t="shared" si="106"/>
        <v>6</v>
      </c>
      <c r="J712" s="2">
        <f t="shared" si="107"/>
        <v>40</v>
      </c>
      <c r="K712" s="6">
        <f t="shared" si="108"/>
        <v>0.4375</v>
      </c>
      <c r="L712" s="2" t="str">
        <f t="shared" si="101"/>
        <v>EGL</v>
      </c>
      <c r="M712" s="2">
        <f t="shared" si="102"/>
        <v>7</v>
      </c>
      <c r="N712" s="2">
        <v>2</v>
      </c>
      <c r="O712" s="2">
        <f t="shared" si="110"/>
        <v>2</v>
      </c>
      <c r="P712" s="27" t="s">
        <v>178</v>
      </c>
      <c r="Q712" s="7" t="str">
        <f>IF($N712=1,IF(ISERROR(VLOOKUP($P712,'M1'!$A:$C,Q$2,FALSE)),"NOT PRESENT",VLOOKUP($P712,'M1'!$A:$C,Q$2,FALSE)),IF($N712=2,IF(ISERROR(VLOOKUP(DATA!$P369,'M2'!$A:$C,Q$2,FALSE)),"NOT PRESENT",VLOOKUP(DATA!$P369,'M2'!$A:$C,Q$2,FALSE)),IF($N712=0,IF(ISERROR(VLOOKUP($P712,'M1'!$A:$C,Q$2,FALSE)),IF(ISERROR(VLOOKUP(DATA!$P369,'M2'!$A:$C,Q$2,FALSE)),"NOT PRESENT",VLOOKUP(DATA!$P369,'M2'!$A:$C,Q$2,FALSE)),VLOOKUP($P712,'M1'!$A:$C,Q$2,FALSE)),"SPECIFY METHOD")))</f>
        <v>NOT PRESENT</v>
      </c>
      <c r="R712" s="4" t="str">
        <f>IF($N712=1,IF(ISERROR(VLOOKUP($P712,'M1'!$A:$C,R$2,FALSE)),"NOT PRESENT",VLOOKUP($P712,'M1'!$A:$C,R$2,FALSE)),IF($N712=2,IF(ISERROR(VLOOKUP(DATA!$P369,'M2'!$A:$C,R$2,FALSE)),"NOT PRESENT",VLOOKUP(DATA!$P369,'M2'!$A:$C,R$2,FALSE)),IF($N712=0,IF(ISERROR(VLOOKUP($P712,'M1'!$A:$C,R$2,FALSE)),IF(ISERROR(VLOOKUP(DATA!$P369,'M2'!$A:$C,R$2,FALSE)),"NOT PRESENT",VLOOKUP(DATA!$P369,'M2'!$A:$C,R$2,FALSE)),VLOOKUP($P712,'M1'!$A:$C,R$2,FALSE)),"SPECIFY METHOD")))</f>
        <v>NOT PRESENT</v>
      </c>
      <c r="S712" s="20">
        <f t="shared" si="103"/>
        <v>386</v>
      </c>
      <c r="T712" s="2">
        <v>386</v>
      </c>
    </row>
    <row r="713" spans="1:32">
      <c r="A713" s="7">
        <f>MAX($A$1:$A712)+1</f>
        <v>712</v>
      </c>
      <c r="B713" s="2" t="str">
        <f t="shared" si="99"/>
        <v>Em Lim</v>
      </c>
      <c r="C713" s="2" t="str">
        <f t="shared" si="100"/>
        <v>Jasmin Schuster</v>
      </c>
      <c r="D713" s="2" t="str">
        <f t="shared" si="104"/>
        <v>BMSC24</v>
      </c>
      <c r="E713" s="7" t="str">
        <f>IF(ISERROR(VLOOKUP($D713,SITES!$A:$E,2,FALSE)),"",VLOOKUP($D713,SITES!$A:$E,2,FALSE))</f>
        <v>Swiss Boy</v>
      </c>
      <c r="F713" s="4">
        <f>IF(ISERROR(VLOOKUP($D713,SITES!$A:$E,3,FALSE)),"",VLOOKUP($D713,SITES!$A:$E,3,FALSE))</f>
        <v>48.916072999999997</v>
      </c>
      <c r="G713" s="18">
        <f>IF(ISERROR(VLOOKUP($D713,SITES!$A:$E,4,FALSE)),"",VLOOKUP($D713,SITES!$A:$E,4,FALSE))</f>
        <v>-125.131174</v>
      </c>
      <c r="H713" s="5" t="str">
        <f t="shared" si="105"/>
        <v>18/05/2023</v>
      </c>
      <c r="I713" s="2">
        <f t="shared" si="106"/>
        <v>6</v>
      </c>
      <c r="J713" s="2">
        <f t="shared" si="107"/>
        <v>40</v>
      </c>
      <c r="K713" s="6">
        <f t="shared" si="108"/>
        <v>0.4375</v>
      </c>
      <c r="L713" s="2" t="str">
        <f t="shared" si="101"/>
        <v>EGL</v>
      </c>
      <c r="M713" s="2">
        <f t="shared" si="102"/>
        <v>7</v>
      </c>
      <c r="N713" s="2">
        <f t="shared" ref="N713:N739" si="111">IF(ISERROR(N712),IF(ISERROR(N711),IF(ISERROR(N710),"BLANK",N710),N711),N712)</f>
        <v>2</v>
      </c>
      <c r="O713" s="2">
        <f t="shared" si="110"/>
        <v>2</v>
      </c>
      <c r="P713" s="27" t="s">
        <v>179</v>
      </c>
      <c r="Q713" s="7" t="str">
        <f>IF($N713=1,IF(ISERROR(VLOOKUP($P713,'M1'!$A:$C,Q$2,FALSE)),"NOT PRESENT",VLOOKUP($P713,'M1'!$A:$C,Q$2,FALSE)),IF($N713=2,IF(ISERROR(VLOOKUP(DATA!$P370,'M2'!$A:$C,Q$2,FALSE)),"NOT PRESENT",VLOOKUP(DATA!$P370,'M2'!$A:$C,Q$2,FALSE)),IF($N713=0,IF(ISERROR(VLOOKUP($P713,'M1'!$A:$C,Q$2,FALSE)),IF(ISERROR(VLOOKUP(DATA!$P370,'M2'!$A:$C,Q$2,FALSE)),"NOT PRESENT",VLOOKUP(DATA!$P370,'M2'!$A:$C,Q$2,FALSE)),VLOOKUP($P713,'M1'!$A:$C,Q$2,FALSE)),"SPECIFY METHOD")))</f>
        <v>NOT PRESENT</v>
      </c>
      <c r="R713" s="4" t="str">
        <f>IF($N713=1,IF(ISERROR(VLOOKUP($P713,'M1'!$A:$C,R$2,FALSE)),"NOT PRESENT",VLOOKUP($P713,'M1'!$A:$C,R$2,FALSE)),IF($N713=2,IF(ISERROR(VLOOKUP(DATA!$P370,'M2'!$A:$C,R$2,FALSE)),"NOT PRESENT",VLOOKUP(DATA!$P370,'M2'!$A:$C,R$2,FALSE)),IF($N713=0,IF(ISERROR(VLOOKUP($P713,'M1'!$A:$C,R$2,FALSE)),IF(ISERROR(VLOOKUP(DATA!$P370,'M2'!$A:$C,R$2,FALSE)),"NOT PRESENT",VLOOKUP(DATA!$P370,'M2'!$A:$C,R$2,FALSE)),VLOOKUP($P713,'M1'!$A:$C,R$2,FALSE)),"SPECIFY METHOD")))</f>
        <v>NOT PRESENT</v>
      </c>
      <c r="S713" s="20">
        <f t="shared" si="103"/>
        <v>24</v>
      </c>
      <c r="T713" s="2">
        <v>24</v>
      </c>
    </row>
    <row r="714" spans="1:32">
      <c r="A714" s="7">
        <f>MAX($A$1:$A713)+1</f>
        <v>713</v>
      </c>
      <c r="B714" s="2" t="str">
        <f t="shared" si="99"/>
        <v>Em Lim</v>
      </c>
      <c r="C714" s="2" t="str">
        <f t="shared" si="100"/>
        <v>Jasmin Schuster</v>
      </c>
      <c r="D714" s="2" t="str">
        <f t="shared" si="104"/>
        <v>BMSC24</v>
      </c>
      <c r="E714" s="7" t="str">
        <f>IF(ISERROR(VLOOKUP($D714,SITES!$A:$E,2,FALSE)),"",VLOOKUP($D714,SITES!$A:$E,2,FALSE))</f>
        <v>Swiss Boy</v>
      </c>
      <c r="F714" s="4">
        <f>IF(ISERROR(VLOOKUP($D714,SITES!$A:$E,3,FALSE)),"",VLOOKUP($D714,SITES!$A:$E,3,FALSE))</f>
        <v>48.916072999999997</v>
      </c>
      <c r="G714" s="18">
        <f>IF(ISERROR(VLOOKUP($D714,SITES!$A:$E,4,FALSE)),"",VLOOKUP($D714,SITES!$A:$E,4,FALSE))</f>
        <v>-125.131174</v>
      </c>
      <c r="H714" s="5" t="str">
        <f t="shared" si="105"/>
        <v>18/05/2023</v>
      </c>
      <c r="I714" s="2">
        <f t="shared" si="106"/>
        <v>6</v>
      </c>
      <c r="J714" s="2">
        <f t="shared" si="107"/>
        <v>40</v>
      </c>
      <c r="K714" s="6">
        <f t="shared" si="108"/>
        <v>0.4375</v>
      </c>
      <c r="L714" s="2" t="str">
        <f t="shared" si="101"/>
        <v>EGL</v>
      </c>
      <c r="M714" s="2">
        <f t="shared" si="102"/>
        <v>7</v>
      </c>
      <c r="N714" s="2">
        <f t="shared" si="111"/>
        <v>2</v>
      </c>
      <c r="O714" s="2">
        <f t="shared" si="110"/>
        <v>2</v>
      </c>
      <c r="P714" s="27" t="s">
        <v>186</v>
      </c>
      <c r="Q714" s="7" t="str">
        <f>IF($N714=1,IF(ISERROR(VLOOKUP($P714,'M1'!$A:$C,Q$2,FALSE)),"NOT PRESENT",VLOOKUP($P714,'M1'!$A:$C,Q$2,FALSE)),IF($N714=2,IF(ISERROR(VLOOKUP(DATA!$P371,'M2'!$A:$C,Q$2,FALSE)),"NOT PRESENT",VLOOKUP(DATA!$P371,'M2'!$A:$C,Q$2,FALSE)),IF($N714=0,IF(ISERROR(VLOOKUP($P714,'M1'!$A:$C,Q$2,FALSE)),IF(ISERROR(VLOOKUP(DATA!$P371,'M2'!$A:$C,Q$2,FALSE)),"NOT PRESENT",VLOOKUP(DATA!$P371,'M2'!$A:$C,Q$2,FALSE)),VLOOKUP($P714,'M1'!$A:$C,Q$2,FALSE)),"SPECIFY METHOD")))</f>
        <v>NOT PRESENT</v>
      </c>
      <c r="R714" s="4" t="str">
        <f>IF($N714=1,IF(ISERROR(VLOOKUP($P714,'M1'!$A:$C,R$2,FALSE)),"NOT PRESENT",VLOOKUP($P714,'M1'!$A:$C,R$2,FALSE)),IF($N714=2,IF(ISERROR(VLOOKUP(DATA!$P371,'M2'!$A:$C,R$2,FALSE)),"NOT PRESENT",VLOOKUP(DATA!$P371,'M2'!$A:$C,R$2,FALSE)),IF($N714=0,IF(ISERROR(VLOOKUP($P714,'M1'!$A:$C,R$2,FALSE)),IF(ISERROR(VLOOKUP(DATA!$P371,'M2'!$A:$C,R$2,FALSE)),"NOT PRESENT",VLOOKUP(DATA!$P371,'M2'!$A:$C,R$2,FALSE)),VLOOKUP($P714,'M1'!$A:$C,R$2,FALSE)),"SPECIFY METHOD")))</f>
        <v>NOT PRESENT</v>
      </c>
      <c r="S714" s="20">
        <f t="shared" si="103"/>
        <v>57</v>
      </c>
      <c r="T714" s="2">
        <v>57</v>
      </c>
    </row>
    <row r="715" spans="1:32">
      <c r="A715" s="7">
        <f>MAX($A$1:$A714)+1</f>
        <v>714</v>
      </c>
      <c r="B715" s="2" t="str">
        <f t="shared" si="99"/>
        <v>Em Lim</v>
      </c>
      <c r="C715" s="2" t="str">
        <f t="shared" si="100"/>
        <v>Jasmin Schuster</v>
      </c>
      <c r="D715" s="2" t="str">
        <f t="shared" si="104"/>
        <v>BMSC24</v>
      </c>
      <c r="E715" s="7" t="str">
        <f>IF(ISERROR(VLOOKUP($D715,SITES!$A:$E,2,FALSE)),"",VLOOKUP($D715,SITES!$A:$E,2,FALSE))</f>
        <v>Swiss Boy</v>
      </c>
      <c r="F715" s="4">
        <f>IF(ISERROR(VLOOKUP($D715,SITES!$A:$E,3,FALSE)),"",VLOOKUP($D715,SITES!$A:$E,3,FALSE))</f>
        <v>48.916072999999997</v>
      </c>
      <c r="G715" s="18">
        <f>IF(ISERROR(VLOOKUP($D715,SITES!$A:$E,4,FALSE)),"",VLOOKUP($D715,SITES!$A:$E,4,FALSE))</f>
        <v>-125.131174</v>
      </c>
      <c r="H715" s="5" t="str">
        <f t="shared" si="105"/>
        <v>18/05/2023</v>
      </c>
      <c r="I715" s="2">
        <f t="shared" si="106"/>
        <v>6</v>
      </c>
      <c r="J715" s="2">
        <f t="shared" si="107"/>
        <v>40</v>
      </c>
      <c r="K715" s="6">
        <f t="shared" si="108"/>
        <v>0.4375</v>
      </c>
      <c r="L715" s="2" t="str">
        <f t="shared" si="101"/>
        <v>EGL</v>
      </c>
      <c r="M715" s="2">
        <f t="shared" si="102"/>
        <v>7</v>
      </c>
      <c r="N715" s="2">
        <f t="shared" si="111"/>
        <v>2</v>
      </c>
      <c r="O715" s="2">
        <f t="shared" si="110"/>
        <v>2</v>
      </c>
      <c r="P715" s="27" t="s">
        <v>181</v>
      </c>
      <c r="Q715" s="7" t="str">
        <f>IF($N715=1,IF(ISERROR(VLOOKUP($P715,'M1'!$A:$C,Q$2,FALSE)),"NOT PRESENT",VLOOKUP($P715,'M1'!$A:$C,Q$2,FALSE)),IF($N715=2,IF(ISERROR(VLOOKUP(DATA!$P372,'M2'!$A:$C,Q$2,FALSE)),"NOT PRESENT",VLOOKUP(DATA!$P372,'M2'!$A:$C,Q$2,FALSE)),IF($N715=0,IF(ISERROR(VLOOKUP($P715,'M1'!$A:$C,Q$2,FALSE)),IF(ISERROR(VLOOKUP(DATA!$P372,'M2'!$A:$C,Q$2,FALSE)),"NOT PRESENT",VLOOKUP(DATA!$P372,'M2'!$A:$C,Q$2,FALSE)),VLOOKUP($P715,'M1'!$A:$C,Q$2,FALSE)),"SPECIFY METHOD")))</f>
        <v>NOT PRESENT</v>
      </c>
      <c r="R715" s="4" t="str">
        <f>IF($N715=1,IF(ISERROR(VLOOKUP($P715,'M1'!$A:$C,R$2,FALSE)),"NOT PRESENT",VLOOKUP($P715,'M1'!$A:$C,R$2,FALSE)),IF($N715=2,IF(ISERROR(VLOOKUP(DATA!$P372,'M2'!$A:$C,R$2,FALSE)),"NOT PRESENT",VLOOKUP(DATA!$P372,'M2'!$A:$C,R$2,FALSE)),IF($N715=0,IF(ISERROR(VLOOKUP($P715,'M1'!$A:$C,R$2,FALSE)),IF(ISERROR(VLOOKUP(DATA!$P372,'M2'!$A:$C,R$2,FALSE)),"NOT PRESENT",VLOOKUP(DATA!$P372,'M2'!$A:$C,R$2,FALSE)),VLOOKUP($P715,'M1'!$A:$C,R$2,FALSE)),"SPECIFY METHOD")))</f>
        <v>NOT PRESENT</v>
      </c>
      <c r="S715" s="20">
        <f t="shared" si="103"/>
        <v>79</v>
      </c>
      <c r="T715" s="2">
        <v>0</v>
      </c>
      <c r="U715" s="2">
        <v>33</v>
      </c>
      <c r="V715" s="2">
        <v>37</v>
      </c>
      <c r="W715" s="2">
        <v>6</v>
      </c>
      <c r="X715" s="2">
        <v>3</v>
      </c>
    </row>
    <row r="716" spans="1:32">
      <c r="A716" s="7">
        <f>MAX($A$1:$A715)+1</f>
        <v>715</v>
      </c>
      <c r="B716" s="2" t="str">
        <f t="shared" si="99"/>
        <v>Em Lim</v>
      </c>
      <c r="C716" s="2" t="str">
        <f t="shared" si="100"/>
        <v>Jasmin Schuster</v>
      </c>
      <c r="D716" s="2" t="str">
        <f t="shared" si="104"/>
        <v>BMSC24</v>
      </c>
      <c r="E716" s="7" t="str">
        <f>IF(ISERROR(VLOOKUP($D716,SITES!$A:$E,2,FALSE)),"",VLOOKUP($D716,SITES!$A:$E,2,FALSE))</f>
        <v>Swiss Boy</v>
      </c>
      <c r="F716" s="4">
        <f>IF(ISERROR(VLOOKUP($D716,SITES!$A:$E,3,FALSE)),"",VLOOKUP($D716,SITES!$A:$E,3,FALSE))</f>
        <v>48.916072999999997</v>
      </c>
      <c r="G716" s="18">
        <f>IF(ISERROR(VLOOKUP($D716,SITES!$A:$E,4,FALSE)),"",VLOOKUP($D716,SITES!$A:$E,4,FALSE))</f>
        <v>-125.131174</v>
      </c>
      <c r="H716" s="5" t="str">
        <f t="shared" si="105"/>
        <v>18/05/2023</v>
      </c>
      <c r="I716" s="2">
        <f t="shared" si="106"/>
        <v>6</v>
      </c>
      <c r="J716" s="2">
        <f t="shared" si="107"/>
        <v>40</v>
      </c>
      <c r="K716" s="6">
        <f t="shared" si="108"/>
        <v>0.4375</v>
      </c>
      <c r="L716" s="2" t="str">
        <f t="shared" si="101"/>
        <v>EGL</v>
      </c>
      <c r="M716" s="2">
        <f t="shared" si="102"/>
        <v>7</v>
      </c>
      <c r="N716" s="2">
        <f t="shared" si="111"/>
        <v>2</v>
      </c>
      <c r="O716" s="2">
        <f t="shared" si="110"/>
        <v>2</v>
      </c>
      <c r="P716" s="27" t="s">
        <v>196</v>
      </c>
      <c r="Q716" s="7" t="str">
        <f>IF($N716=1,IF(ISERROR(VLOOKUP($P716,'M1'!$A:$C,Q$2,FALSE)),"NOT PRESENT",VLOOKUP($P716,'M1'!$A:$C,Q$2,FALSE)),IF($N716=2,IF(ISERROR(VLOOKUP(DATA!$P373,'M2'!$A:$C,Q$2,FALSE)),"NOT PRESENT",VLOOKUP(DATA!$P373,'M2'!$A:$C,Q$2,FALSE)),IF($N716=0,IF(ISERROR(VLOOKUP($P716,'M1'!$A:$C,Q$2,FALSE)),IF(ISERROR(VLOOKUP(DATA!$P373,'M2'!$A:$C,Q$2,FALSE)),"NOT PRESENT",VLOOKUP(DATA!$P373,'M2'!$A:$C,Q$2,FALSE)),VLOOKUP($P716,'M1'!$A:$C,Q$2,FALSE)),"SPECIFY METHOD")))</f>
        <v>NOT PRESENT</v>
      </c>
      <c r="R716" s="4" t="str">
        <f>IF($N716=1,IF(ISERROR(VLOOKUP($P716,'M1'!$A:$C,R$2,FALSE)),"NOT PRESENT",VLOOKUP($P716,'M1'!$A:$C,R$2,FALSE)),IF($N716=2,IF(ISERROR(VLOOKUP(DATA!$P373,'M2'!$A:$C,R$2,FALSE)),"NOT PRESENT",VLOOKUP(DATA!$P373,'M2'!$A:$C,R$2,FALSE)),IF($N716=0,IF(ISERROR(VLOOKUP($P716,'M1'!$A:$C,R$2,FALSE)),IF(ISERROR(VLOOKUP(DATA!$P373,'M2'!$A:$C,R$2,FALSE)),"NOT PRESENT",VLOOKUP(DATA!$P373,'M2'!$A:$C,R$2,FALSE)),VLOOKUP($P716,'M1'!$A:$C,R$2,FALSE)),"SPECIFY METHOD")))</f>
        <v>NOT PRESENT</v>
      </c>
      <c r="S716" s="20">
        <f t="shared" si="103"/>
        <v>9</v>
      </c>
      <c r="T716" s="2">
        <v>9</v>
      </c>
    </row>
    <row r="717" spans="1:32">
      <c r="A717" s="7">
        <f>MAX($A$1:$A716)+1</f>
        <v>716</v>
      </c>
      <c r="B717" s="2" t="str">
        <f t="shared" si="99"/>
        <v>Em Lim</v>
      </c>
      <c r="C717" s="2" t="str">
        <f t="shared" si="100"/>
        <v>Jasmin Schuster</v>
      </c>
      <c r="D717" s="2" t="str">
        <f t="shared" si="104"/>
        <v>BMSC24</v>
      </c>
      <c r="E717" s="7" t="str">
        <f>IF(ISERROR(VLOOKUP($D717,SITES!$A:$E,2,FALSE)),"",VLOOKUP($D717,SITES!$A:$E,2,FALSE))</f>
        <v>Swiss Boy</v>
      </c>
      <c r="F717" s="4">
        <f>IF(ISERROR(VLOOKUP($D717,SITES!$A:$E,3,FALSE)),"",VLOOKUP($D717,SITES!$A:$E,3,FALSE))</f>
        <v>48.916072999999997</v>
      </c>
      <c r="G717" s="18">
        <f>IF(ISERROR(VLOOKUP($D717,SITES!$A:$E,4,FALSE)),"",VLOOKUP($D717,SITES!$A:$E,4,FALSE))</f>
        <v>-125.131174</v>
      </c>
      <c r="H717" s="5" t="str">
        <f t="shared" si="105"/>
        <v>18/05/2023</v>
      </c>
      <c r="I717" s="2">
        <f t="shared" si="106"/>
        <v>6</v>
      </c>
      <c r="J717" s="2">
        <f t="shared" si="107"/>
        <v>40</v>
      </c>
      <c r="K717" s="6">
        <f t="shared" si="108"/>
        <v>0.4375</v>
      </c>
      <c r="L717" s="2" t="str">
        <f t="shared" si="101"/>
        <v>EGL</v>
      </c>
      <c r="M717" s="2">
        <f t="shared" si="102"/>
        <v>7</v>
      </c>
      <c r="N717" s="2">
        <f t="shared" si="111"/>
        <v>2</v>
      </c>
      <c r="O717" s="2">
        <f t="shared" si="110"/>
        <v>2</v>
      </c>
      <c r="P717" s="27" t="s">
        <v>223</v>
      </c>
      <c r="Q717" s="7" t="str">
        <f>IF($N717=1,IF(ISERROR(VLOOKUP($P717,'M1'!$A:$C,Q$2,FALSE)),"NOT PRESENT",VLOOKUP($P717,'M1'!$A:$C,Q$2,FALSE)),IF($N717=2,IF(ISERROR(VLOOKUP(DATA!$P374,'M2'!$A:$C,Q$2,FALSE)),"NOT PRESENT",VLOOKUP(DATA!$P374,'M2'!$A:$C,Q$2,FALSE)),IF($N717=0,IF(ISERROR(VLOOKUP($P717,'M1'!$A:$C,Q$2,FALSE)),IF(ISERROR(VLOOKUP(DATA!$P374,'M2'!$A:$C,Q$2,FALSE)),"NOT PRESENT",VLOOKUP(DATA!$P374,'M2'!$A:$C,Q$2,FALSE)),VLOOKUP($P717,'M1'!$A:$C,Q$2,FALSE)),"SPECIFY METHOD")))</f>
        <v>NOT PRESENT</v>
      </c>
      <c r="R717" s="4" t="str">
        <f>IF($N717=1,IF(ISERROR(VLOOKUP($P717,'M1'!$A:$C,R$2,FALSE)),"NOT PRESENT",VLOOKUP($P717,'M1'!$A:$C,R$2,FALSE)),IF($N717=2,IF(ISERROR(VLOOKUP(DATA!$P374,'M2'!$A:$C,R$2,FALSE)),"NOT PRESENT",VLOOKUP(DATA!$P374,'M2'!$A:$C,R$2,FALSE)),IF($N717=0,IF(ISERROR(VLOOKUP($P717,'M1'!$A:$C,R$2,FALSE)),IF(ISERROR(VLOOKUP(DATA!$P374,'M2'!$A:$C,R$2,FALSE)),"NOT PRESENT",VLOOKUP(DATA!$P374,'M2'!$A:$C,R$2,FALSE)),VLOOKUP($P717,'M1'!$A:$C,R$2,FALSE)),"SPECIFY METHOD")))</f>
        <v>NOT PRESENT</v>
      </c>
      <c r="S717" s="20">
        <f t="shared" si="103"/>
        <v>13</v>
      </c>
      <c r="T717" s="2">
        <v>0</v>
      </c>
      <c r="U717" s="2">
        <v>7</v>
      </c>
      <c r="V717" s="2">
        <v>4</v>
      </c>
      <c r="W717" s="2">
        <v>2</v>
      </c>
    </row>
    <row r="718" spans="1:32">
      <c r="A718" s="7">
        <f>MAX($A$1:$A717)+1</f>
        <v>717</v>
      </c>
      <c r="B718" s="2" t="str">
        <f t="shared" si="99"/>
        <v>Em Lim</v>
      </c>
      <c r="C718" s="2" t="str">
        <f t="shared" si="100"/>
        <v>Jasmin Schuster</v>
      </c>
      <c r="D718" s="2" t="str">
        <f t="shared" si="104"/>
        <v>BMSC24</v>
      </c>
      <c r="E718" s="7" t="str">
        <f>IF(ISERROR(VLOOKUP($D718,SITES!$A:$E,2,FALSE)),"",VLOOKUP($D718,SITES!$A:$E,2,FALSE))</f>
        <v>Swiss Boy</v>
      </c>
      <c r="F718" s="4">
        <f>IF(ISERROR(VLOOKUP($D718,SITES!$A:$E,3,FALSE)),"",VLOOKUP($D718,SITES!$A:$E,3,FALSE))</f>
        <v>48.916072999999997</v>
      </c>
      <c r="G718" s="18">
        <f>IF(ISERROR(VLOOKUP($D718,SITES!$A:$E,4,FALSE)),"",VLOOKUP($D718,SITES!$A:$E,4,FALSE))</f>
        <v>-125.131174</v>
      </c>
      <c r="H718" s="5" t="str">
        <f t="shared" si="105"/>
        <v>18/05/2023</v>
      </c>
      <c r="I718" s="2">
        <f t="shared" si="106"/>
        <v>6</v>
      </c>
      <c r="J718" s="2">
        <f t="shared" si="107"/>
        <v>40</v>
      </c>
      <c r="K718" s="6">
        <f t="shared" si="108"/>
        <v>0.4375</v>
      </c>
      <c r="L718" s="2" t="str">
        <f t="shared" si="101"/>
        <v>EGL</v>
      </c>
      <c r="M718" s="2">
        <f t="shared" si="102"/>
        <v>7</v>
      </c>
      <c r="N718" s="2">
        <f t="shared" si="111"/>
        <v>2</v>
      </c>
      <c r="O718" s="2">
        <f t="shared" si="110"/>
        <v>2</v>
      </c>
      <c r="P718" s="27" t="s">
        <v>183</v>
      </c>
      <c r="Q718" s="7" t="str">
        <f>IF($N718=1,IF(ISERROR(VLOOKUP($P718,'M1'!$A:$C,Q$2,FALSE)),"NOT PRESENT",VLOOKUP($P718,'M1'!$A:$C,Q$2,FALSE)),IF($N718=2,IF(ISERROR(VLOOKUP(DATA!$P375,'M2'!$A:$C,Q$2,FALSE)),"NOT PRESENT",VLOOKUP(DATA!$P375,'M2'!$A:$C,Q$2,FALSE)),IF($N718=0,IF(ISERROR(VLOOKUP($P718,'M1'!$A:$C,Q$2,FALSE)),IF(ISERROR(VLOOKUP(DATA!$P375,'M2'!$A:$C,Q$2,FALSE)),"NOT PRESENT",VLOOKUP(DATA!$P375,'M2'!$A:$C,Q$2,FALSE)),VLOOKUP($P718,'M1'!$A:$C,Q$2,FALSE)),"SPECIFY METHOD")))</f>
        <v>NOT PRESENT</v>
      </c>
      <c r="R718" s="4" t="str">
        <f>IF($N718=1,IF(ISERROR(VLOOKUP($P718,'M1'!$A:$C,R$2,FALSE)),"NOT PRESENT",VLOOKUP($P718,'M1'!$A:$C,R$2,FALSE)),IF($N718=2,IF(ISERROR(VLOOKUP(DATA!$P375,'M2'!$A:$C,R$2,FALSE)),"NOT PRESENT",VLOOKUP(DATA!$P375,'M2'!$A:$C,R$2,FALSE)),IF($N718=0,IF(ISERROR(VLOOKUP($P718,'M1'!$A:$C,R$2,FALSE)),IF(ISERROR(VLOOKUP(DATA!$P375,'M2'!$A:$C,R$2,FALSE)),"NOT PRESENT",VLOOKUP(DATA!$P375,'M2'!$A:$C,R$2,FALSE)),VLOOKUP($P718,'M1'!$A:$C,R$2,FALSE)),"SPECIFY METHOD")))</f>
        <v>NOT PRESENT</v>
      </c>
      <c r="S718" s="20">
        <f t="shared" si="103"/>
        <v>4</v>
      </c>
      <c r="T718" s="2">
        <v>4</v>
      </c>
    </row>
    <row r="719" spans="1:32">
      <c r="A719" s="7">
        <f>MAX($A$1:$A718)+1</f>
        <v>718</v>
      </c>
      <c r="B719" s="2" t="str">
        <f t="shared" si="99"/>
        <v>Em Lim</v>
      </c>
      <c r="C719" s="2" t="str">
        <f t="shared" si="100"/>
        <v>Jasmin Schuster</v>
      </c>
      <c r="D719" s="2" t="str">
        <f t="shared" si="104"/>
        <v>BMSC24</v>
      </c>
      <c r="E719" s="7" t="str">
        <f>IF(ISERROR(VLOOKUP($D719,SITES!$A:$E,2,FALSE)),"",VLOOKUP($D719,SITES!$A:$E,2,FALSE))</f>
        <v>Swiss Boy</v>
      </c>
      <c r="F719" s="4">
        <f>IF(ISERROR(VLOOKUP($D719,SITES!$A:$E,3,FALSE)),"",VLOOKUP($D719,SITES!$A:$E,3,FALSE))</f>
        <v>48.916072999999997</v>
      </c>
      <c r="G719" s="18">
        <f>IF(ISERROR(VLOOKUP($D719,SITES!$A:$E,4,FALSE)),"",VLOOKUP($D719,SITES!$A:$E,4,FALSE))</f>
        <v>-125.131174</v>
      </c>
      <c r="H719" s="5" t="str">
        <f t="shared" si="105"/>
        <v>18/05/2023</v>
      </c>
      <c r="I719" s="2">
        <f t="shared" si="106"/>
        <v>6</v>
      </c>
      <c r="J719" s="2">
        <f t="shared" si="107"/>
        <v>40</v>
      </c>
      <c r="K719" s="6">
        <f t="shared" si="108"/>
        <v>0.4375</v>
      </c>
      <c r="L719" s="2" t="str">
        <f t="shared" si="101"/>
        <v>EGL</v>
      </c>
      <c r="M719" s="2">
        <f t="shared" si="102"/>
        <v>7</v>
      </c>
      <c r="N719" s="2">
        <f t="shared" si="111"/>
        <v>2</v>
      </c>
      <c r="O719" s="2">
        <f t="shared" si="110"/>
        <v>2</v>
      </c>
      <c r="P719" s="27" t="s">
        <v>190</v>
      </c>
      <c r="Q719" s="7" t="str">
        <f>IF($N719=1,IF(ISERROR(VLOOKUP($P719,'M1'!$A:$C,Q$2,FALSE)),"NOT PRESENT",VLOOKUP($P719,'M1'!$A:$C,Q$2,FALSE)),IF($N719=2,IF(ISERROR(VLOOKUP(DATA!$P376,'M2'!$A:$C,Q$2,FALSE)),"NOT PRESENT",VLOOKUP(DATA!$P376,'M2'!$A:$C,Q$2,FALSE)),IF($N719=0,IF(ISERROR(VLOOKUP($P719,'M1'!$A:$C,Q$2,FALSE)),IF(ISERROR(VLOOKUP(DATA!$P376,'M2'!$A:$C,Q$2,FALSE)),"NOT PRESENT",VLOOKUP(DATA!$P376,'M2'!$A:$C,Q$2,FALSE)),VLOOKUP($P719,'M1'!$A:$C,Q$2,FALSE)),"SPECIFY METHOD")))</f>
        <v>NOT PRESENT</v>
      </c>
      <c r="R719" s="4" t="str">
        <f>IF($N719=1,IF(ISERROR(VLOOKUP($P719,'M1'!$A:$C,R$2,FALSE)),"NOT PRESENT",VLOOKUP($P719,'M1'!$A:$C,R$2,FALSE)),IF($N719=2,IF(ISERROR(VLOOKUP(DATA!$P376,'M2'!$A:$C,R$2,FALSE)),"NOT PRESENT",VLOOKUP(DATA!$P376,'M2'!$A:$C,R$2,FALSE)),IF($N719=0,IF(ISERROR(VLOOKUP($P719,'M1'!$A:$C,R$2,FALSE)),IF(ISERROR(VLOOKUP(DATA!$P376,'M2'!$A:$C,R$2,FALSE)),"NOT PRESENT",VLOOKUP(DATA!$P376,'M2'!$A:$C,R$2,FALSE)),VLOOKUP($P719,'M1'!$A:$C,R$2,FALSE)),"SPECIFY METHOD")))</f>
        <v>NOT PRESENT</v>
      </c>
      <c r="S719" s="20">
        <f t="shared" si="103"/>
        <v>12</v>
      </c>
      <c r="T719" s="2">
        <v>12</v>
      </c>
    </row>
    <row r="720" spans="1:32">
      <c r="A720" s="7">
        <f>MAX($A$1:$A719)+1</f>
        <v>719</v>
      </c>
      <c r="B720" s="2" t="str">
        <f t="shared" si="99"/>
        <v>Em Lim</v>
      </c>
      <c r="C720" s="2" t="str">
        <f t="shared" si="100"/>
        <v>Jasmin Schuster</v>
      </c>
      <c r="D720" s="2" t="str">
        <f t="shared" si="104"/>
        <v>BMSC24</v>
      </c>
      <c r="E720" s="7" t="str">
        <f>IF(ISERROR(VLOOKUP($D720,SITES!$A:$E,2,FALSE)),"",VLOOKUP($D720,SITES!$A:$E,2,FALSE))</f>
        <v>Swiss Boy</v>
      </c>
      <c r="F720" s="4">
        <f>IF(ISERROR(VLOOKUP($D720,SITES!$A:$E,3,FALSE)),"",VLOOKUP($D720,SITES!$A:$E,3,FALSE))</f>
        <v>48.916072999999997</v>
      </c>
      <c r="G720" s="18">
        <f>IF(ISERROR(VLOOKUP($D720,SITES!$A:$E,4,FALSE)),"",VLOOKUP($D720,SITES!$A:$E,4,FALSE))</f>
        <v>-125.131174</v>
      </c>
      <c r="H720" s="5" t="str">
        <f t="shared" si="105"/>
        <v>18/05/2023</v>
      </c>
      <c r="I720" s="2">
        <f t="shared" si="106"/>
        <v>6</v>
      </c>
      <c r="J720" s="2">
        <f t="shared" si="107"/>
        <v>40</v>
      </c>
      <c r="K720" s="6">
        <f t="shared" si="108"/>
        <v>0.4375</v>
      </c>
      <c r="L720" s="2" t="str">
        <f t="shared" si="101"/>
        <v>EGL</v>
      </c>
      <c r="M720" s="2">
        <f t="shared" si="102"/>
        <v>7</v>
      </c>
      <c r="N720" s="2">
        <f t="shared" si="111"/>
        <v>2</v>
      </c>
      <c r="O720" s="2">
        <f t="shared" si="110"/>
        <v>2</v>
      </c>
      <c r="P720" s="27" t="s">
        <v>194</v>
      </c>
      <c r="Q720" s="7" t="str">
        <f>IF($N720=1,IF(ISERROR(VLOOKUP($P720,'M1'!$A:$C,Q$2,FALSE)),"NOT PRESENT",VLOOKUP($P720,'M1'!$A:$C,Q$2,FALSE)),IF($N720=2,IF(ISERROR(VLOOKUP(DATA!$P377,'M2'!$A:$C,Q$2,FALSE)),"NOT PRESENT",VLOOKUP(DATA!$P377,'M2'!$A:$C,Q$2,FALSE)),IF($N720=0,IF(ISERROR(VLOOKUP($P720,'M1'!$A:$C,Q$2,FALSE)),IF(ISERROR(VLOOKUP(DATA!$P377,'M2'!$A:$C,Q$2,FALSE)),"NOT PRESENT",VLOOKUP(DATA!$P377,'M2'!$A:$C,Q$2,FALSE)),VLOOKUP($P720,'M1'!$A:$C,Q$2,FALSE)),"SPECIFY METHOD")))</f>
        <v>NOT PRESENT</v>
      </c>
      <c r="R720" s="4" t="str">
        <f>IF($N720=1,IF(ISERROR(VLOOKUP($P720,'M1'!$A:$C,R$2,FALSE)),"NOT PRESENT",VLOOKUP($P720,'M1'!$A:$C,R$2,FALSE)),IF($N720=2,IF(ISERROR(VLOOKUP(DATA!$P377,'M2'!$A:$C,R$2,FALSE)),"NOT PRESENT",VLOOKUP(DATA!$P377,'M2'!$A:$C,R$2,FALSE)),IF($N720=0,IF(ISERROR(VLOOKUP($P720,'M1'!$A:$C,R$2,FALSE)),IF(ISERROR(VLOOKUP(DATA!$P377,'M2'!$A:$C,R$2,FALSE)),"NOT PRESENT",VLOOKUP(DATA!$P377,'M2'!$A:$C,R$2,FALSE)),VLOOKUP($P720,'M1'!$A:$C,R$2,FALSE)),"SPECIFY METHOD")))</f>
        <v>NOT PRESENT</v>
      </c>
      <c r="S720" s="20">
        <f t="shared" si="103"/>
        <v>11</v>
      </c>
      <c r="T720" s="2">
        <v>0</v>
      </c>
      <c r="U720" s="2">
        <v>6</v>
      </c>
      <c r="V720" s="2">
        <v>5</v>
      </c>
    </row>
    <row r="721" spans="1:26">
      <c r="A721" s="7">
        <f>MAX($A$1:$A720)+1</f>
        <v>720</v>
      </c>
      <c r="B721" s="2" t="str">
        <f t="shared" si="99"/>
        <v>Em Lim</v>
      </c>
      <c r="C721" s="2" t="str">
        <f t="shared" si="100"/>
        <v>Jasmin Schuster</v>
      </c>
      <c r="D721" s="2" t="str">
        <f t="shared" si="104"/>
        <v>BMSC24</v>
      </c>
      <c r="E721" s="7" t="str">
        <f>IF(ISERROR(VLOOKUP($D721,SITES!$A:$E,2,FALSE)),"",VLOOKUP($D721,SITES!$A:$E,2,FALSE))</f>
        <v>Swiss Boy</v>
      </c>
      <c r="F721" s="4">
        <f>IF(ISERROR(VLOOKUP($D721,SITES!$A:$E,3,FALSE)),"",VLOOKUP($D721,SITES!$A:$E,3,FALSE))</f>
        <v>48.916072999999997</v>
      </c>
      <c r="G721" s="18">
        <f>IF(ISERROR(VLOOKUP($D721,SITES!$A:$E,4,FALSE)),"",VLOOKUP($D721,SITES!$A:$E,4,FALSE))</f>
        <v>-125.131174</v>
      </c>
      <c r="H721" s="5" t="str">
        <f t="shared" si="105"/>
        <v>18/05/2023</v>
      </c>
      <c r="I721" s="2">
        <f t="shared" si="106"/>
        <v>6</v>
      </c>
      <c r="J721" s="2">
        <f t="shared" si="107"/>
        <v>40</v>
      </c>
      <c r="K721" s="6">
        <f t="shared" si="108"/>
        <v>0.4375</v>
      </c>
      <c r="L721" s="2" t="str">
        <f t="shared" si="101"/>
        <v>EGL</v>
      </c>
      <c r="M721" s="2">
        <f t="shared" si="102"/>
        <v>7</v>
      </c>
      <c r="N721" s="2">
        <f t="shared" si="111"/>
        <v>2</v>
      </c>
      <c r="O721" s="2">
        <f t="shared" si="110"/>
        <v>2</v>
      </c>
      <c r="P721" s="27" t="s">
        <v>199</v>
      </c>
      <c r="Q721" s="7" t="str">
        <f>IF($N721=1,IF(ISERROR(VLOOKUP($P721,'M1'!$A:$C,Q$2,FALSE)),"NOT PRESENT",VLOOKUP($P721,'M1'!$A:$C,Q$2,FALSE)),IF($N721=2,IF(ISERROR(VLOOKUP(DATA!$P378,'M2'!$A:$C,Q$2,FALSE)),"NOT PRESENT",VLOOKUP(DATA!$P378,'M2'!$A:$C,Q$2,FALSE)),IF($N721=0,IF(ISERROR(VLOOKUP($P721,'M1'!$A:$C,Q$2,FALSE)),IF(ISERROR(VLOOKUP(DATA!$P378,'M2'!$A:$C,Q$2,FALSE)),"NOT PRESENT",VLOOKUP(DATA!$P378,'M2'!$A:$C,Q$2,FALSE)),VLOOKUP($P721,'M1'!$A:$C,Q$2,FALSE)),"SPECIFY METHOD")))</f>
        <v>NOT PRESENT</v>
      </c>
      <c r="R721" s="4" t="str">
        <f>IF($N721=1,IF(ISERROR(VLOOKUP($P721,'M1'!$A:$C,R$2,FALSE)),"NOT PRESENT",VLOOKUP($P721,'M1'!$A:$C,R$2,FALSE)),IF($N721=2,IF(ISERROR(VLOOKUP(DATA!$P378,'M2'!$A:$C,R$2,FALSE)),"NOT PRESENT",VLOOKUP(DATA!$P378,'M2'!$A:$C,R$2,FALSE)),IF($N721=0,IF(ISERROR(VLOOKUP($P721,'M1'!$A:$C,R$2,FALSE)),IF(ISERROR(VLOOKUP(DATA!$P378,'M2'!$A:$C,R$2,FALSE)),"NOT PRESENT",VLOOKUP(DATA!$P378,'M2'!$A:$C,R$2,FALSE)),VLOOKUP($P721,'M1'!$A:$C,R$2,FALSE)),"SPECIFY METHOD")))</f>
        <v>NOT PRESENT</v>
      </c>
      <c r="S721" s="20">
        <f t="shared" si="103"/>
        <v>8</v>
      </c>
      <c r="T721" s="2">
        <v>8</v>
      </c>
    </row>
    <row r="722" spans="1:26">
      <c r="A722" s="7">
        <f>MAX($A$1:$A721)+1</f>
        <v>721</v>
      </c>
      <c r="B722" s="2" t="str">
        <f t="shared" si="99"/>
        <v>Em Lim</v>
      </c>
      <c r="C722" s="2" t="str">
        <f t="shared" si="100"/>
        <v>Jasmin Schuster</v>
      </c>
      <c r="D722" s="2" t="str">
        <f t="shared" si="104"/>
        <v>BMSC24</v>
      </c>
      <c r="E722" s="7" t="str">
        <f>IF(ISERROR(VLOOKUP($D722,SITES!$A:$E,2,FALSE)),"",VLOOKUP($D722,SITES!$A:$E,2,FALSE))</f>
        <v>Swiss Boy</v>
      </c>
      <c r="F722" s="4">
        <f>IF(ISERROR(VLOOKUP($D722,SITES!$A:$E,3,FALSE)),"",VLOOKUP($D722,SITES!$A:$E,3,FALSE))</f>
        <v>48.916072999999997</v>
      </c>
      <c r="G722" s="18">
        <f>IF(ISERROR(VLOOKUP($D722,SITES!$A:$E,4,FALSE)),"",VLOOKUP($D722,SITES!$A:$E,4,FALSE))</f>
        <v>-125.131174</v>
      </c>
      <c r="H722" s="5" t="str">
        <f t="shared" si="105"/>
        <v>18/05/2023</v>
      </c>
      <c r="I722" s="2">
        <f t="shared" si="106"/>
        <v>6</v>
      </c>
      <c r="J722" s="2">
        <f t="shared" si="107"/>
        <v>40</v>
      </c>
      <c r="K722" s="6">
        <f t="shared" si="108"/>
        <v>0.4375</v>
      </c>
      <c r="L722" s="2" t="str">
        <f t="shared" si="101"/>
        <v>EGL</v>
      </c>
      <c r="M722" s="2">
        <f t="shared" si="102"/>
        <v>7</v>
      </c>
      <c r="N722" s="2">
        <f t="shared" si="111"/>
        <v>2</v>
      </c>
      <c r="O722" s="2">
        <f t="shared" si="110"/>
        <v>2</v>
      </c>
      <c r="P722" s="27" t="s">
        <v>203</v>
      </c>
      <c r="Q722" s="7" t="str">
        <f>IF($N722=1,IF(ISERROR(VLOOKUP($P722,'M1'!$A:$C,Q$2,FALSE)),"NOT PRESENT",VLOOKUP($P722,'M1'!$A:$C,Q$2,FALSE)),IF($N722=2,IF(ISERROR(VLOOKUP(DATA!$P379,'M2'!$A:$C,Q$2,FALSE)),"NOT PRESENT",VLOOKUP(DATA!$P379,'M2'!$A:$C,Q$2,FALSE)),IF($N722=0,IF(ISERROR(VLOOKUP($P722,'M1'!$A:$C,Q$2,FALSE)),IF(ISERROR(VLOOKUP(DATA!$P379,'M2'!$A:$C,Q$2,FALSE)),"NOT PRESENT",VLOOKUP(DATA!$P379,'M2'!$A:$C,Q$2,FALSE)),VLOOKUP($P722,'M1'!$A:$C,Q$2,FALSE)),"SPECIFY METHOD")))</f>
        <v>NOT PRESENT</v>
      </c>
      <c r="R722" s="4" t="str">
        <f>IF($N722=1,IF(ISERROR(VLOOKUP($P722,'M1'!$A:$C,R$2,FALSE)),"NOT PRESENT",VLOOKUP($P722,'M1'!$A:$C,R$2,FALSE)),IF($N722=2,IF(ISERROR(VLOOKUP(DATA!$P379,'M2'!$A:$C,R$2,FALSE)),"NOT PRESENT",VLOOKUP(DATA!$P379,'M2'!$A:$C,R$2,FALSE)),IF($N722=0,IF(ISERROR(VLOOKUP($P722,'M1'!$A:$C,R$2,FALSE)),IF(ISERROR(VLOOKUP(DATA!$P379,'M2'!$A:$C,R$2,FALSE)),"NOT PRESENT",VLOOKUP(DATA!$P379,'M2'!$A:$C,R$2,FALSE)),VLOOKUP($P722,'M1'!$A:$C,R$2,FALSE)),"SPECIFY METHOD")))</f>
        <v>NOT PRESENT</v>
      </c>
      <c r="S722" s="20">
        <f t="shared" si="103"/>
        <v>25</v>
      </c>
      <c r="T722" s="2">
        <v>25</v>
      </c>
    </row>
    <row r="723" spans="1:26">
      <c r="A723" s="7">
        <f>MAX($A$1:$A722)+1</f>
        <v>722</v>
      </c>
      <c r="B723" s="2" t="str">
        <f t="shared" si="99"/>
        <v>Em Lim</v>
      </c>
      <c r="C723" s="2" t="str">
        <f t="shared" si="100"/>
        <v>Jasmin Schuster</v>
      </c>
      <c r="D723" s="2" t="str">
        <f t="shared" si="104"/>
        <v>BMSC24</v>
      </c>
      <c r="E723" s="7" t="str">
        <f>IF(ISERROR(VLOOKUP($D723,SITES!$A:$E,2,FALSE)),"",VLOOKUP($D723,SITES!$A:$E,2,FALSE))</f>
        <v>Swiss Boy</v>
      </c>
      <c r="F723" s="4">
        <f>IF(ISERROR(VLOOKUP($D723,SITES!$A:$E,3,FALSE)),"",VLOOKUP($D723,SITES!$A:$E,3,FALSE))</f>
        <v>48.916072999999997</v>
      </c>
      <c r="G723" s="18">
        <f>IF(ISERROR(VLOOKUP($D723,SITES!$A:$E,4,FALSE)),"",VLOOKUP($D723,SITES!$A:$E,4,FALSE))</f>
        <v>-125.131174</v>
      </c>
      <c r="H723" s="5" t="str">
        <f t="shared" si="105"/>
        <v>18/05/2023</v>
      </c>
      <c r="I723" s="2">
        <f t="shared" si="106"/>
        <v>6</v>
      </c>
      <c r="J723" s="2">
        <f t="shared" si="107"/>
        <v>40</v>
      </c>
      <c r="K723" s="6">
        <f t="shared" si="108"/>
        <v>0.4375</v>
      </c>
      <c r="L723" s="2" t="str">
        <f t="shared" si="101"/>
        <v>EGL</v>
      </c>
      <c r="M723" s="2">
        <f t="shared" si="102"/>
        <v>7</v>
      </c>
      <c r="N723" s="2">
        <f t="shared" si="111"/>
        <v>2</v>
      </c>
      <c r="O723" s="2">
        <f t="shared" si="110"/>
        <v>2</v>
      </c>
      <c r="P723" s="27" t="s">
        <v>175</v>
      </c>
      <c r="Q723" s="7" t="str">
        <f>IF($N723=1,IF(ISERROR(VLOOKUP($P723,'M1'!$A:$C,Q$2,FALSE)),"NOT PRESENT",VLOOKUP($P723,'M1'!$A:$C,Q$2,FALSE)),IF($N723=2,IF(ISERROR(VLOOKUP(DATA!$P380,'M2'!$A:$C,Q$2,FALSE)),"NOT PRESENT",VLOOKUP(DATA!$P380,'M2'!$A:$C,Q$2,FALSE)),IF($N723=0,IF(ISERROR(VLOOKUP($P723,'M1'!$A:$C,Q$2,FALSE)),IF(ISERROR(VLOOKUP(DATA!$P380,'M2'!$A:$C,Q$2,FALSE)),"NOT PRESENT",VLOOKUP(DATA!$P380,'M2'!$A:$C,Q$2,FALSE)),VLOOKUP($P723,'M1'!$A:$C,Q$2,FALSE)),"SPECIFY METHOD")))</f>
        <v>NOT PRESENT</v>
      </c>
      <c r="R723" s="4" t="str">
        <f>IF($N723=1,IF(ISERROR(VLOOKUP($P723,'M1'!$A:$C,R$2,FALSE)),"NOT PRESENT",VLOOKUP($P723,'M1'!$A:$C,R$2,FALSE)),IF($N723=2,IF(ISERROR(VLOOKUP(DATA!$P380,'M2'!$A:$C,R$2,FALSE)),"NOT PRESENT",VLOOKUP(DATA!$P380,'M2'!$A:$C,R$2,FALSE)),IF($N723=0,IF(ISERROR(VLOOKUP($P723,'M1'!$A:$C,R$2,FALSE)),IF(ISERROR(VLOOKUP(DATA!$P380,'M2'!$A:$C,R$2,FALSE)),"NOT PRESENT",VLOOKUP(DATA!$P380,'M2'!$A:$C,R$2,FALSE)),VLOOKUP($P723,'M1'!$A:$C,R$2,FALSE)),"SPECIFY METHOD")))</f>
        <v>NOT PRESENT</v>
      </c>
      <c r="S723" s="20">
        <f t="shared" si="103"/>
        <v>1</v>
      </c>
      <c r="T723" s="2">
        <v>0</v>
      </c>
      <c r="X723" s="2">
        <v>1</v>
      </c>
    </row>
    <row r="724" spans="1:26">
      <c r="A724" s="7">
        <f>MAX($A$1:$A723)+1</f>
        <v>723</v>
      </c>
      <c r="B724" s="2" t="str">
        <f t="shared" si="99"/>
        <v>Em Lim</v>
      </c>
      <c r="C724" s="2" t="str">
        <f t="shared" si="100"/>
        <v>Jasmin Schuster</v>
      </c>
      <c r="D724" s="2" t="str">
        <f t="shared" si="104"/>
        <v>BMSC24</v>
      </c>
      <c r="E724" s="7" t="str">
        <f>IF(ISERROR(VLOOKUP($D724,SITES!$A:$E,2,FALSE)),"",VLOOKUP($D724,SITES!$A:$E,2,FALSE))</f>
        <v>Swiss Boy</v>
      </c>
      <c r="F724" s="4">
        <f>IF(ISERROR(VLOOKUP($D724,SITES!$A:$E,3,FALSE)),"",VLOOKUP($D724,SITES!$A:$E,3,FALSE))</f>
        <v>48.916072999999997</v>
      </c>
      <c r="G724" s="18">
        <f>IF(ISERROR(VLOOKUP($D724,SITES!$A:$E,4,FALSE)),"",VLOOKUP($D724,SITES!$A:$E,4,FALSE))</f>
        <v>-125.131174</v>
      </c>
      <c r="H724" s="5" t="str">
        <f t="shared" si="105"/>
        <v>18/05/2023</v>
      </c>
      <c r="I724" s="2">
        <f t="shared" si="106"/>
        <v>6</v>
      </c>
      <c r="J724" s="2">
        <f t="shared" si="107"/>
        <v>40</v>
      </c>
      <c r="K724" s="6">
        <f t="shared" si="108"/>
        <v>0.4375</v>
      </c>
      <c r="L724" s="2" t="str">
        <f t="shared" si="101"/>
        <v>EGL</v>
      </c>
      <c r="M724" s="2">
        <f t="shared" si="102"/>
        <v>7</v>
      </c>
      <c r="N724" s="2">
        <f t="shared" si="111"/>
        <v>2</v>
      </c>
      <c r="O724" s="2">
        <f t="shared" si="110"/>
        <v>2</v>
      </c>
      <c r="P724" s="27" t="s">
        <v>185</v>
      </c>
      <c r="Q724" s="7" t="str">
        <f>IF($N724=1,IF(ISERROR(VLOOKUP($P724,'M1'!$A:$C,Q$2,FALSE)),"NOT PRESENT",VLOOKUP($P724,'M1'!$A:$C,Q$2,FALSE)),IF($N724=2,IF(ISERROR(VLOOKUP(DATA!$P381,'M2'!$A:$C,Q$2,FALSE)),"NOT PRESENT",VLOOKUP(DATA!$P381,'M2'!$A:$C,Q$2,FALSE)),IF($N724=0,IF(ISERROR(VLOOKUP($P724,'M1'!$A:$C,Q$2,FALSE)),IF(ISERROR(VLOOKUP(DATA!$P381,'M2'!$A:$C,Q$2,FALSE)),"NOT PRESENT",VLOOKUP(DATA!$P381,'M2'!$A:$C,Q$2,FALSE)),VLOOKUP($P724,'M1'!$A:$C,Q$2,FALSE)),"SPECIFY METHOD")))</f>
        <v>NOT PRESENT</v>
      </c>
      <c r="R724" s="4" t="str">
        <f>IF($N724=1,IF(ISERROR(VLOOKUP($P724,'M1'!$A:$C,R$2,FALSE)),"NOT PRESENT",VLOOKUP($P724,'M1'!$A:$C,R$2,FALSE)),IF($N724=2,IF(ISERROR(VLOOKUP(DATA!$P381,'M2'!$A:$C,R$2,FALSE)),"NOT PRESENT",VLOOKUP(DATA!$P381,'M2'!$A:$C,R$2,FALSE)),IF($N724=0,IF(ISERROR(VLOOKUP($P724,'M1'!$A:$C,R$2,FALSE)),IF(ISERROR(VLOOKUP(DATA!$P381,'M2'!$A:$C,R$2,FALSE)),"NOT PRESENT",VLOOKUP(DATA!$P381,'M2'!$A:$C,R$2,FALSE)),VLOOKUP($P724,'M1'!$A:$C,R$2,FALSE)),"SPECIFY METHOD")))</f>
        <v>NOT PRESENT</v>
      </c>
      <c r="S724" s="20">
        <f t="shared" si="103"/>
        <v>4</v>
      </c>
      <c r="T724" s="2">
        <v>4</v>
      </c>
    </row>
    <row r="725" spans="1:26">
      <c r="A725" s="7">
        <f>MAX($A$1:$A724)+1</f>
        <v>724</v>
      </c>
      <c r="B725" s="2" t="str">
        <f t="shared" si="99"/>
        <v>Em Lim</v>
      </c>
      <c r="C725" s="2" t="str">
        <f t="shared" si="100"/>
        <v>Jasmin Schuster</v>
      </c>
      <c r="D725" s="2" t="str">
        <f t="shared" si="104"/>
        <v>BMSC24</v>
      </c>
      <c r="E725" s="7" t="str">
        <f>IF(ISERROR(VLOOKUP($D725,SITES!$A:$E,2,FALSE)),"",VLOOKUP($D725,SITES!$A:$E,2,FALSE))</f>
        <v>Swiss Boy</v>
      </c>
      <c r="F725" s="4">
        <f>IF(ISERROR(VLOOKUP($D725,SITES!$A:$E,3,FALSE)),"",VLOOKUP($D725,SITES!$A:$E,3,FALSE))</f>
        <v>48.916072999999997</v>
      </c>
      <c r="G725" s="18">
        <f>IF(ISERROR(VLOOKUP($D725,SITES!$A:$E,4,FALSE)),"",VLOOKUP($D725,SITES!$A:$E,4,FALSE))</f>
        <v>-125.131174</v>
      </c>
      <c r="H725" s="5" t="str">
        <f t="shared" si="105"/>
        <v>18/05/2023</v>
      </c>
      <c r="I725" s="2">
        <f t="shared" si="106"/>
        <v>6</v>
      </c>
      <c r="J725" s="2">
        <f t="shared" si="107"/>
        <v>40</v>
      </c>
      <c r="K725" s="6">
        <f t="shared" si="108"/>
        <v>0.4375</v>
      </c>
      <c r="L725" s="2" t="str">
        <f t="shared" si="101"/>
        <v>EGL</v>
      </c>
      <c r="M725" s="2">
        <f t="shared" si="102"/>
        <v>7</v>
      </c>
      <c r="N725" s="2">
        <f t="shared" si="111"/>
        <v>2</v>
      </c>
      <c r="O725" s="2">
        <f t="shared" si="110"/>
        <v>2</v>
      </c>
      <c r="P725" s="27" t="s">
        <v>184</v>
      </c>
      <c r="Q725" s="7" t="str">
        <f>IF($N725=1,IF(ISERROR(VLOOKUP($P725,'M1'!$A:$C,Q$2,FALSE)),"NOT PRESENT",VLOOKUP($P725,'M1'!$A:$C,Q$2,FALSE)),IF($N725=2,IF(ISERROR(VLOOKUP(DATA!$P382,'M2'!$A:$C,Q$2,FALSE)),"NOT PRESENT",VLOOKUP(DATA!$P382,'M2'!$A:$C,Q$2,FALSE)),IF($N725=0,IF(ISERROR(VLOOKUP($P725,'M1'!$A:$C,Q$2,FALSE)),IF(ISERROR(VLOOKUP(DATA!$P382,'M2'!$A:$C,Q$2,FALSE)),"NOT PRESENT",VLOOKUP(DATA!$P382,'M2'!$A:$C,Q$2,FALSE)),VLOOKUP($P725,'M1'!$A:$C,Q$2,FALSE)),"SPECIFY METHOD")))</f>
        <v>NOT PRESENT</v>
      </c>
      <c r="R725" s="4" t="str">
        <f>IF($N725=1,IF(ISERROR(VLOOKUP($P725,'M1'!$A:$C,R$2,FALSE)),"NOT PRESENT",VLOOKUP($P725,'M1'!$A:$C,R$2,FALSE)),IF($N725=2,IF(ISERROR(VLOOKUP(DATA!$P382,'M2'!$A:$C,R$2,FALSE)),"NOT PRESENT",VLOOKUP(DATA!$P382,'M2'!$A:$C,R$2,FALSE)),IF($N725=0,IF(ISERROR(VLOOKUP($P725,'M1'!$A:$C,R$2,FALSE)),IF(ISERROR(VLOOKUP(DATA!$P382,'M2'!$A:$C,R$2,FALSE)),"NOT PRESENT",VLOOKUP(DATA!$P382,'M2'!$A:$C,R$2,FALSE)),VLOOKUP($P725,'M1'!$A:$C,R$2,FALSE)),"SPECIFY METHOD")))</f>
        <v>NOT PRESENT</v>
      </c>
      <c r="S725" s="20">
        <f t="shared" si="103"/>
        <v>39</v>
      </c>
      <c r="T725" s="2">
        <v>39</v>
      </c>
    </row>
    <row r="726" spans="1:26">
      <c r="A726" s="7">
        <f>MAX($A$1:$A725)+1</f>
        <v>725</v>
      </c>
      <c r="B726" s="2" t="str">
        <f t="shared" si="99"/>
        <v>Em Lim</v>
      </c>
      <c r="C726" s="2" t="str">
        <f t="shared" si="100"/>
        <v>Jasmin Schuster</v>
      </c>
      <c r="D726" s="2" t="str">
        <f t="shared" si="104"/>
        <v>BMSC24</v>
      </c>
      <c r="E726" s="7" t="str">
        <f>IF(ISERROR(VLOOKUP($D726,SITES!$A:$E,2,FALSE)),"",VLOOKUP($D726,SITES!$A:$E,2,FALSE))</f>
        <v>Swiss Boy</v>
      </c>
      <c r="F726" s="4">
        <f>IF(ISERROR(VLOOKUP($D726,SITES!$A:$E,3,FALSE)),"",VLOOKUP($D726,SITES!$A:$E,3,FALSE))</f>
        <v>48.916072999999997</v>
      </c>
      <c r="G726" s="18">
        <f>IF(ISERROR(VLOOKUP($D726,SITES!$A:$E,4,FALSE)),"",VLOOKUP($D726,SITES!$A:$E,4,FALSE))</f>
        <v>-125.131174</v>
      </c>
      <c r="H726" s="5" t="str">
        <f t="shared" si="105"/>
        <v>18/05/2023</v>
      </c>
      <c r="I726" s="2">
        <f t="shared" si="106"/>
        <v>6</v>
      </c>
      <c r="J726" s="2">
        <f t="shared" si="107"/>
        <v>40</v>
      </c>
      <c r="K726" s="6">
        <f t="shared" si="108"/>
        <v>0.4375</v>
      </c>
      <c r="L726" s="2" t="str">
        <f t="shared" si="101"/>
        <v>EGL</v>
      </c>
      <c r="M726" s="2">
        <f t="shared" si="102"/>
        <v>7</v>
      </c>
      <c r="N726" s="2">
        <f t="shared" si="111"/>
        <v>2</v>
      </c>
      <c r="O726" s="2">
        <f t="shared" si="110"/>
        <v>2</v>
      </c>
      <c r="P726" s="27" t="s">
        <v>210</v>
      </c>
      <c r="Q726" s="7" t="str">
        <f>IF($N726=1,IF(ISERROR(VLOOKUP($P726,'M1'!$A:$C,Q$2,FALSE)),"NOT PRESENT",VLOOKUP($P726,'M1'!$A:$C,Q$2,FALSE)),IF($N726=2,IF(ISERROR(VLOOKUP(DATA!$P383,'M2'!$A:$C,Q$2,FALSE)),"NOT PRESENT",VLOOKUP(DATA!$P383,'M2'!$A:$C,Q$2,FALSE)),IF($N726=0,IF(ISERROR(VLOOKUP($P726,'M1'!$A:$C,Q$2,FALSE)),IF(ISERROR(VLOOKUP(DATA!$P383,'M2'!$A:$C,Q$2,FALSE)),"NOT PRESENT",VLOOKUP(DATA!$P383,'M2'!$A:$C,Q$2,FALSE)),VLOOKUP($P726,'M1'!$A:$C,Q$2,FALSE)),"SPECIFY METHOD")))</f>
        <v>NOT PRESENT</v>
      </c>
      <c r="R726" s="4" t="str">
        <f>IF($N726=1,IF(ISERROR(VLOOKUP($P726,'M1'!$A:$C,R$2,FALSE)),"NOT PRESENT",VLOOKUP($P726,'M1'!$A:$C,R$2,FALSE)),IF($N726=2,IF(ISERROR(VLOOKUP(DATA!$P383,'M2'!$A:$C,R$2,FALSE)),"NOT PRESENT",VLOOKUP(DATA!$P383,'M2'!$A:$C,R$2,FALSE)),IF($N726=0,IF(ISERROR(VLOOKUP($P726,'M1'!$A:$C,R$2,FALSE)),IF(ISERROR(VLOOKUP(DATA!$P383,'M2'!$A:$C,R$2,FALSE)),"NOT PRESENT",VLOOKUP(DATA!$P383,'M2'!$A:$C,R$2,FALSE)),VLOOKUP($P726,'M1'!$A:$C,R$2,FALSE)),"SPECIFY METHOD")))</f>
        <v>NOT PRESENT</v>
      </c>
      <c r="S726" s="20">
        <f t="shared" si="103"/>
        <v>6</v>
      </c>
      <c r="T726" s="2">
        <v>6</v>
      </c>
    </row>
    <row r="727" spans="1:26">
      <c r="A727" s="7">
        <f>MAX($A$1:$A726)+1</f>
        <v>726</v>
      </c>
      <c r="B727" s="2" t="str">
        <f t="shared" si="99"/>
        <v>Em Lim</v>
      </c>
      <c r="C727" s="2" t="str">
        <f t="shared" si="100"/>
        <v>Jasmin Schuster</v>
      </c>
      <c r="D727" s="2" t="str">
        <f t="shared" si="104"/>
        <v>BMSC24</v>
      </c>
      <c r="E727" s="7" t="str">
        <f>IF(ISERROR(VLOOKUP($D727,SITES!$A:$E,2,FALSE)),"",VLOOKUP($D727,SITES!$A:$E,2,FALSE))</f>
        <v>Swiss Boy</v>
      </c>
      <c r="F727" s="4">
        <f>IF(ISERROR(VLOOKUP($D727,SITES!$A:$E,3,FALSE)),"",VLOOKUP($D727,SITES!$A:$E,3,FALSE))</f>
        <v>48.916072999999997</v>
      </c>
      <c r="G727" s="18">
        <f>IF(ISERROR(VLOOKUP($D727,SITES!$A:$E,4,FALSE)),"",VLOOKUP($D727,SITES!$A:$E,4,FALSE))</f>
        <v>-125.131174</v>
      </c>
      <c r="H727" s="5" t="str">
        <f t="shared" si="105"/>
        <v>18/05/2023</v>
      </c>
      <c r="I727" s="2">
        <f t="shared" si="106"/>
        <v>6</v>
      </c>
      <c r="J727" s="2">
        <f t="shared" si="107"/>
        <v>40</v>
      </c>
      <c r="K727" s="6">
        <f t="shared" si="108"/>
        <v>0.4375</v>
      </c>
      <c r="L727" s="2" t="str">
        <f t="shared" si="101"/>
        <v>EGL</v>
      </c>
      <c r="M727" s="2">
        <f t="shared" si="102"/>
        <v>7</v>
      </c>
      <c r="N727" s="2">
        <f t="shared" si="111"/>
        <v>2</v>
      </c>
      <c r="O727" s="2">
        <f t="shared" si="110"/>
        <v>2</v>
      </c>
      <c r="P727" s="27" t="s">
        <v>180</v>
      </c>
      <c r="Q727" s="7" t="str">
        <f>IF($N727=1,IF(ISERROR(VLOOKUP($P727,'M1'!$A:$C,Q$2,FALSE)),"NOT PRESENT",VLOOKUP($P727,'M1'!$A:$C,Q$2,FALSE)),IF($N727=2,IF(ISERROR(VLOOKUP(DATA!$P384,'M2'!$A:$C,Q$2,FALSE)),"NOT PRESENT",VLOOKUP(DATA!$P384,'M2'!$A:$C,Q$2,FALSE)),IF($N727=0,IF(ISERROR(VLOOKUP($P727,'M1'!$A:$C,Q$2,FALSE)),IF(ISERROR(VLOOKUP(DATA!$P384,'M2'!$A:$C,Q$2,FALSE)),"NOT PRESENT",VLOOKUP(DATA!$P384,'M2'!$A:$C,Q$2,FALSE)),VLOOKUP($P727,'M1'!$A:$C,Q$2,FALSE)),"SPECIFY METHOD")))</f>
        <v>NOT PRESENT</v>
      </c>
      <c r="R727" s="4" t="str">
        <f>IF($N727=1,IF(ISERROR(VLOOKUP($P727,'M1'!$A:$C,R$2,FALSE)),"NOT PRESENT",VLOOKUP($P727,'M1'!$A:$C,R$2,FALSE)),IF($N727=2,IF(ISERROR(VLOOKUP(DATA!$P384,'M2'!$A:$C,R$2,FALSE)),"NOT PRESENT",VLOOKUP(DATA!$P384,'M2'!$A:$C,R$2,FALSE)),IF($N727=0,IF(ISERROR(VLOOKUP($P727,'M1'!$A:$C,R$2,FALSE)),IF(ISERROR(VLOOKUP(DATA!$P384,'M2'!$A:$C,R$2,FALSE)),"NOT PRESENT",VLOOKUP(DATA!$P384,'M2'!$A:$C,R$2,FALSE)),VLOOKUP($P727,'M1'!$A:$C,R$2,FALSE)),"SPECIFY METHOD")))</f>
        <v>NOT PRESENT</v>
      </c>
      <c r="S727" s="20">
        <f t="shared" si="103"/>
        <v>22</v>
      </c>
      <c r="T727" s="2">
        <v>22</v>
      </c>
    </row>
    <row r="728" spans="1:26">
      <c r="A728" s="7">
        <f>MAX($A$1:$A727)+1</f>
        <v>727</v>
      </c>
      <c r="B728" s="2" t="str">
        <f t="shared" si="99"/>
        <v>Em Lim</v>
      </c>
      <c r="C728" s="2" t="str">
        <f t="shared" si="100"/>
        <v>Jasmin Schuster</v>
      </c>
      <c r="D728" s="2" t="str">
        <f t="shared" si="104"/>
        <v>BMSC24</v>
      </c>
      <c r="E728" s="7" t="str">
        <f>IF(ISERROR(VLOOKUP($D728,SITES!$A:$E,2,FALSE)),"",VLOOKUP($D728,SITES!$A:$E,2,FALSE))</f>
        <v>Swiss Boy</v>
      </c>
      <c r="F728" s="4">
        <f>IF(ISERROR(VLOOKUP($D728,SITES!$A:$E,3,FALSE)),"",VLOOKUP($D728,SITES!$A:$E,3,FALSE))</f>
        <v>48.916072999999997</v>
      </c>
      <c r="G728" s="18">
        <f>IF(ISERROR(VLOOKUP($D728,SITES!$A:$E,4,FALSE)),"",VLOOKUP($D728,SITES!$A:$E,4,FALSE))</f>
        <v>-125.131174</v>
      </c>
      <c r="H728" s="5" t="str">
        <f t="shared" si="105"/>
        <v>18/05/2023</v>
      </c>
      <c r="I728" s="2">
        <f t="shared" si="106"/>
        <v>6</v>
      </c>
      <c r="J728" s="2">
        <f t="shared" si="107"/>
        <v>40</v>
      </c>
      <c r="K728" s="6">
        <f t="shared" si="108"/>
        <v>0.4375</v>
      </c>
      <c r="L728" s="2" t="str">
        <f t="shared" si="101"/>
        <v>EGL</v>
      </c>
      <c r="M728" s="2">
        <f t="shared" si="102"/>
        <v>7</v>
      </c>
      <c r="N728" s="2">
        <f t="shared" si="111"/>
        <v>2</v>
      </c>
      <c r="O728" s="2">
        <f t="shared" si="110"/>
        <v>2</v>
      </c>
      <c r="P728" s="27" t="s">
        <v>219</v>
      </c>
      <c r="Q728" s="7" t="str">
        <f>IF($N728=1,IF(ISERROR(VLOOKUP($P728,'M1'!$A:$C,Q$2,FALSE)),"NOT PRESENT",VLOOKUP($P728,'M1'!$A:$C,Q$2,FALSE)),IF($N728=2,IF(ISERROR(VLOOKUP(DATA!$P385,'M2'!$A:$C,Q$2,FALSE)),"NOT PRESENT",VLOOKUP(DATA!$P385,'M2'!$A:$C,Q$2,FALSE)),IF($N728=0,IF(ISERROR(VLOOKUP($P728,'M1'!$A:$C,Q$2,FALSE)),IF(ISERROR(VLOOKUP(DATA!$P385,'M2'!$A:$C,Q$2,FALSE)),"NOT PRESENT",VLOOKUP(DATA!$P385,'M2'!$A:$C,Q$2,FALSE)),VLOOKUP($P728,'M1'!$A:$C,Q$2,FALSE)),"SPECIFY METHOD")))</f>
        <v>NOT PRESENT</v>
      </c>
      <c r="R728" s="4" t="str">
        <f>IF($N728=1,IF(ISERROR(VLOOKUP($P728,'M1'!$A:$C,R$2,FALSE)),"NOT PRESENT",VLOOKUP($P728,'M1'!$A:$C,R$2,FALSE)),IF($N728=2,IF(ISERROR(VLOOKUP(DATA!$P385,'M2'!$A:$C,R$2,FALSE)),"NOT PRESENT",VLOOKUP(DATA!$P385,'M2'!$A:$C,R$2,FALSE)),IF($N728=0,IF(ISERROR(VLOOKUP($P728,'M1'!$A:$C,R$2,FALSE)),IF(ISERROR(VLOOKUP(DATA!$P385,'M2'!$A:$C,R$2,FALSE)),"NOT PRESENT",VLOOKUP(DATA!$P385,'M2'!$A:$C,R$2,FALSE)),VLOOKUP($P728,'M1'!$A:$C,R$2,FALSE)),"SPECIFY METHOD")))</f>
        <v>NOT PRESENT</v>
      </c>
      <c r="S728" s="20">
        <f t="shared" si="103"/>
        <v>4</v>
      </c>
      <c r="T728" s="2">
        <v>4</v>
      </c>
    </row>
    <row r="729" spans="1:26">
      <c r="A729" s="7">
        <f>MAX($A$1:$A728)+1</f>
        <v>728</v>
      </c>
      <c r="B729" s="2" t="str">
        <f t="shared" si="99"/>
        <v>Em Lim</v>
      </c>
      <c r="C729" s="2" t="str">
        <f t="shared" si="100"/>
        <v>Jasmin Schuster</v>
      </c>
      <c r="D729" s="2" t="str">
        <f t="shared" si="104"/>
        <v>BMSC24</v>
      </c>
      <c r="E729" s="7" t="str">
        <f>IF(ISERROR(VLOOKUP($D729,SITES!$A:$E,2,FALSE)),"",VLOOKUP($D729,SITES!$A:$E,2,FALSE))</f>
        <v>Swiss Boy</v>
      </c>
      <c r="F729" s="4">
        <f>IF(ISERROR(VLOOKUP($D729,SITES!$A:$E,3,FALSE)),"",VLOOKUP($D729,SITES!$A:$E,3,FALSE))</f>
        <v>48.916072999999997</v>
      </c>
      <c r="G729" s="18">
        <f>IF(ISERROR(VLOOKUP($D729,SITES!$A:$E,4,FALSE)),"",VLOOKUP($D729,SITES!$A:$E,4,FALSE))</f>
        <v>-125.131174</v>
      </c>
      <c r="H729" s="5" t="str">
        <f t="shared" si="105"/>
        <v>18/05/2023</v>
      </c>
      <c r="I729" s="2">
        <f t="shared" si="106"/>
        <v>6</v>
      </c>
      <c r="J729" s="2">
        <f t="shared" si="107"/>
        <v>40</v>
      </c>
      <c r="K729" s="6">
        <f t="shared" si="108"/>
        <v>0.4375</v>
      </c>
      <c r="L729" s="2" t="str">
        <f t="shared" si="101"/>
        <v>EGL</v>
      </c>
      <c r="M729" s="2">
        <f t="shared" si="102"/>
        <v>7</v>
      </c>
      <c r="N729" s="2">
        <f t="shared" si="111"/>
        <v>2</v>
      </c>
      <c r="O729" s="2">
        <f t="shared" si="110"/>
        <v>2</v>
      </c>
      <c r="P729" s="27" t="s">
        <v>202</v>
      </c>
      <c r="Q729" s="7" t="str">
        <f>IF($N729=1,IF(ISERROR(VLOOKUP($P729,'M1'!$A:$C,Q$2,FALSE)),"NOT PRESENT",VLOOKUP($P729,'M1'!$A:$C,Q$2,FALSE)),IF($N729=2,IF(ISERROR(VLOOKUP(DATA!$P386,'M2'!$A:$C,Q$2,FALSE)),"NOT PRESENT",VLOOKUP(DATA!$P386,'M2'!$A:$C,Q$2,FALSE)),IF($N729=0,IF(ISERROR(VLOOKUP($P729,'M1'!$A:$C,Q$2,FALSE)),IF(ISERROR(VLOOKUP(DATA!$P386,'M2'!$A:$C,Q$2,FALSE)),"NOT PRESENT",VLOOKUP(DATA!$P386,'M2'!$A:$C,Q$2,FALSE)),VLOOKUP($P729,'M1'!$A:$C,Q$2,FALSE)),"SPECIFY METHOD")))</f>
        <v>NOT PRESENT</v>
      </c>
      <c r="R729" s="4" t="str">
        <f>IF($N729=1,IF(ISERROR(VLOOKUP($P729,'M1'!$A:$C,R$2,FALSE)),"NOT PRESENT",VLOOKUP($P729,'M1'!$A:$C,R$2,FALSE)),IF($N729=2,IF(ISERROR(VLOOKUP(DATA!$P386,'M2'!$A:$C,R$2,FALSE)),"NOT PRESENT",VLOOKUP(DATA!$P386,'M2'!$A:$C,R$2,FALSE)),IF($N729=0,IF(ISERROR(VLOOKUP($P729,'M1'!$A:$C,R$2,FALSE)),IF(ISERROR(VLOOKUP(DATA!$P386,'M2'!$A:$C,R$2,FALSE)),"NOT PRESENT",VLOOKUP(DATA!$P386,'M2'!$A:$C,R$2,FALSE)),VLOOKUP($P729,'M1'!$A:$C,R$2,FALSE)),"SPECIFY METHOD")))</f>
        <v>NOT PRESENT</v>
      </c>
      <c r="S729" s="20">
        <f t="shared" si="103"/>
        <v>3</v>
      </c>
      <c r="T729" s="2">
        <v>3</v>
      </c>
    </row>
    <row r="730" spans="1:26">
      <c r="A730" s="7">
        <f>MAX($A$1:$A729)+1</f>
        <v>729</v>
      </c>
      <c r="B730" s="2" t="str">
        <f t="shared" si="99"/>
        <v>Em Lim</v>
      </c>
      <c r="C730" s="2" t="str">
        <f t="shared" si="100"/>
        <v>Jasmin Schuster</v>
      </c>
      <c r="D730" s="2" t="str">
        <f t="shared" si="104"/>
        <v>BMSC24</v>
      </c>
      <c r="E730" s="7" t="str">
        <f>IF(ISERROR(VLOOKUP($D730,SITES!$A:$E,2,FALSE)),"",VLOOKUP($D730,SITES!$A:$E,2,FALSE))</f>
        <v>Swiss Boy</v>
      </c>
      <c r="F730" s="4">
        <f>IF(ISERROR(VLOOKUP($D730,SITES!$A:$E,3,FALSE)),"",VLOOKUP($D730,SITES!$A:$E,3,FALSE))</f>
        <v>48.916072999999997</v>
      </c>
      <c r="G730" s="18">
        <f>IF(ISERROR(VLOOKUP($D730,SITES!$A:$E,4,FALSE)),"",VLOOKUP($D730,SITES!$A:$E,4,FALSE))</f>
        <v>-125.131174</v>
      </c>
      <c r="H730" s="5" t="str">
        <f t="shared" si="105"/>
        <v>18/05/2023</v>
      </c>
      <c r="I730" s="2">
        <f t="shared" si="106"/>
        <v>6</v>
      </c>
      <c r="J730" s="2">
        <f t="shared" si="107"/>
        <v>40</v>
      </c>
      <c r="K730" s="6">
        <f t="shared" si="108"/>
        <v>0.4375</v>
      </c>
      <c r="L730" s="2" t="str">
        <f t="shared" si="101"/>
        <v>EGL</v>
      </c>
      <c r="M730" s="2">
        <f t="shared" si="102"/>
        <v>7</v>
      </c>
      <c r="N730" s="2">
        <f t="shared" si="111"/>
        <v>2</v>
      </c>
      <c r="O730" s="2">
        <f t="shared" si="110"/>
        <v>2</v>
      </c>
      <c r="P730" s="27" t="s">
        <v>182</v>
      </c>
      <c r="Q730" s="7" t="str">
        <f>IF($N730=1,IF(ISERROR(VLOOKUP($P730,'M1'!$A:$C,Q$2,FALSE)),"NOT PRESENT",VLOOKUP($P730,'M1'!$A:$C,Q$2,FALSE)),IF($N730=2,IF(ISERROR(VLOOKUP(DATA!$P387,'M2'!$A:$C,Q$2,FALSE)),"NOT PRESENT",VLOOKUP(DATA!$P387,'M2'!$A:$C,Q$2,FALSE)),IF($N730=0,IF(ISERROR(VLOOKUP($P730,'M1'!$A:$C,Q$2,FALSE)),IF(ISERROR(VLOOKUP(DATA!$P387,'M2'!$A:$C,Q$2,FALSE)),"NOT PRESENT",VLOOKUP(DATA!$P387,'M2'!$A:$C,Q$2,FALSE)),VLOOKUP($P730,'M1'!$A:$C,Q$2,FALSE)),"SPECIFY METHOD")))</f>
        <v>NOT PRESENT</v>
      </c>
      <c r="R730" s="4" t="str">
        <f>IF($N730=1,IF(ISERROR(VLOOKUP($P730,'M1'!$A:$C,R$2,FALSE)),"NOT PRESENT",VLOOKUP($P730,'M1'!$A:$C,R$2,FALSE)),IF($N730=2,IF(ISERROR(VLOOKUP(DATA!$P387,'M2'!$A:$C,R$2,FALSE)),"NOT PRESENT",VLOOKUP(DATA!$P387,'M2'!$A:$C,R$2,FALSE)),IF($N730=0,IF(ISERROR(VLOOKUP($P730,'M1'!$A:$C,R$2,FALSE)),IF(ISERROR(VLOOKUP(DATA!$P387,'M2'!$A:$C,R$2,FALSE)),"NOT PRESENT",VLOOKUP(DATA!$P387,'M2'!$A:$C,R$2,FALSE)),VLOOKUP($P730,'M1'!$A:$C,R$2,FALSE)),"SPECIFY METHOD")))</f>
        <v>NOT PRESENT</v>
      </c>
      <c r="S730" s="20">
        <f t="shared" si="103"/>
        <v>5</v>
      </c>
      <c r="T730" s="2">
        <v>5</v>
      </c>
    </row>
    <row r="731" spans="1:26">
      <c r="A731" s="7">
        <f>MAX($A$1:$A730)+1</f>
        <v>730</v>
      </c>
      <c r="B731" s="2" t="str">
        <f t="shared" si="99"/>
        <v>Em Lim</v>
      </c>
      <c r="C731" s="2" t="str">
        <f t="shared" si="100"/>
        <v>Jasmin Schuster</v>
      </c>
      <c r="D731" s="2" t="str">
        <f t="shared" si="104"/>
        <v>BMSC24</v>
      </c>
      <c r="E731" s="7" t="str">
        <f>IF(ISERROR(VLOOKUP($D731,SITES!$A:$E,2,FALSE)),"",VLOOKUP($D731,SITES!$A:$E,2,FALSE))</f>
        <v>Swiss Boy</v>
      </c>
      <c r="F731" s="4">
        <f>IF(ISERROR(VLOOKUP($D731,SITES!$A:$E,3,FALSE)),"",VLOOKUP($D731,SITES!$A:$E,3,FALSE))</f>
        <v>48.916072999999997</v>
      </c>
      <c r="G731" s="18">
        <f>IF(ISERROR(VLOOKUP($D731,SITES!$A:$E,4,FALSE)),"",VLOOKUP($D731,SITES!$A:$E,4,FALSE))</f>
        <v>-125.131174</v>
      </c>
      <c r="H731" s="5" t="str">
        <f t="shared" si="105"/>
        <v>18/05/2023</v>
      </c>
      <c r="I731" s="2">
        <f t="shared" si="106"/>
        <v>6</v>
      </c>
      <c r="J731" s="2">
        <f t="shared" si="107"/>
        <v>40</v>
      </c>
      <c r="K731" s="6">
        <f t="shared" si="108"/>
        <v>0.4375</v>
      </c>
      <c r="L731" s="2" t="str">
        <f t="shared" si="101"/>
        <v>EGL</v>
      </c>
      <c r="M731" s="2">
        <f t="shared" si="102"/>
        <v>7</v>
      </c>
      <c r="N731" s="2">
        <f t="shared" si="111"/>
        <v>2</v>
      </c>
      <c r="O731" s="2">
        <f t="shared" si="110"/>
        <v>2</v>
      </c>
      <c r="P731" s="27" t="s">
        <v>189</v>
      </c>
      <c r="Q731" s="7" t="str">
        <f>IF($N731=1,IF(ISERROR(VLOOKUP($P731,'M1'!$A:$C,Q$2,FALSE)),"NOT PRESENT",VLOOKUP($P731,'M1'!$A:$C,Q$2,FALSE)),IF($N731=2,IF(ISERROR(VLOOKUP(DATA!$P388,'M2'!$A:$C,Q$2,FALSE)),"NOT PRESENT",VLOOKUP(DATA!$P388,'M2'!$A:$C,Q$2,FALSE)),IF($N731=0,IF(ISERROR(VLOOKUP($P731,'M1'!$A:$C,Q$2,FALSE)),IF(ISERROR(VLOOKUP(DATA!$P388,'M2'!$A:$C,Q$2,FALSE)),"NOT PRESENT",VLOOKUP(DATA!$P388,'M2'!$A:$C,Q$2,FALSE)),VLOOKUP($P731,'M1'!$A:$C,Q$2,FALSE)),"SPECIFY METHOD")))</f>
        <v>NOT PRESENT</v>
      </c>
      <c r="R731" s="4" t="str">
        <f>IF($N731=1,IF(ISERROR(VLOOKUP($P731,'M1'!$A:$C,R$2,FALSE)),"NOT PRESENT",VLOOKUP($P731,'M1'!$A:$C,R$2,FALSE)),IF($N731=2,IF(ISERROR(VLOOKUP(DATA!$P388,'M2'!$A:$C,R$2,FALSE)),"NOT PRESENT",VLOOKUP(DATA!$P388,'M2'!$A:$C,R$2,FALSE)),IF($N731=0,IF(ISERROR(VLOOKUP($P731,'M1'!$A:$C,R$2,FALSE)),IF(ISERROR(VLOOKUP(DATA!$P388,'M2'!$A:$C,R$2,FALSE)),"NOT PRESENT",VLOOKUP(DATA!$P388,'M2'!$A:$C,R$2,FALSE)),VLOOKUP($P731,'M1'!$A:$C,R$2,FALSE)),"SPECIFY METHOD")))</f>
        <v>NOT PRESENT</v>
      </c>
      <c r="S731" s="20">
        <f t="shared" si="103"/>
        <v>6</v>
      </c>
      <c r="T731" s="2">
        <v>6</v>
      </c>
    </row>
    <row r="732" spans="1:26">
      <c r="A732" s="7">
        <f>MAX($A$1:$A731)+1</f>
        <v>731</v>
      </c>
      <c r="B732" s="2" t="str">
        <f t="shared" si="99"/>
        <v>Em Lim</v>
      </c>
      <c r="C732" s="2" t="str">
        <f t="shared" si="100"/>
        <v>Jasmin Schuster</v>
      </c>
      <c r="D732" s="2" t="str">
        <f t="shared" si="104"/>
        <v>BMSC24</v>
      </c>
      <c r="E732" s="7" t="str">
        <f>IF(ISERROR(VLOOKUP($D732,SITES!$A:$E,2,FALSE)),"",VLOOKUP($D732,SITES!$A:$E,2,FALSE))</f>
        <v>Swiss Boy</v>
      </c>
      <c r="F732" s="4">
        <f>IF(ISERROR(VLOOKUP($D732,SITES!$A:$E,3,FALSE)),"",VLOOKUP($D732,SITES!$A:$E,3,FALSE))</f>
        <v>48.916072999999997</v>
      </c>
      <c r="G732" s="18">
        <f>IF(ISERROR(VLOOKUP($D732,SITES!$A:$E,4,FALSE)),"",VLOOKUP($D732,SITES!$A:$E,4,FALSE))</f>
        <v>-125.131174</v>
      </c>
      <c r="H732" s="5" t="str">
        <f t="shared" si="105"/>
        <v>18/05/2023</v>
      </c>
      <c r="I732" s="2">
        <f t="shared" si="106"/>
        <v>6</v>
      </c>
      <c r="J732" s="2">
        <f t="shared" si="107"/>
        <v>40</v>
      </c>
      <c r="K732" s="6">
        <f t="shared" si="108"/>
        <v>0.4375</v>
      </c>
      <c r="L732" s="2" t="str">
        <f t="shared" si="101"/>
        <v>EGL</v>
      </c>
      <c r="M732" s="2">
        <f t="shared" si="102"/>
        <v>7</v>
      </c>
      <c r="N732" s="2">
        <f t="shared" si="111"/>
        <v>2</v>
      </c>
      <c r="O732" s="2">
        <f t="shared" si="110"/>
        <v>2</v>
      </c>
      <c r="P732" s="27" t="s">
        <v>277</v>
      </c>
      <c r="Q732" s="7" t="str">
        <f>IF($N732=1,IF(ISERROR(VLOOKUP($P732,'M1'!$A:$C,Q$2,FALSE)),"NOT PRESENT",VLOOKUP($P732,'M1'!$A:$C,Q$2,FALSE)),IF($N732=2,IF(ISERROR(VLOOKUP(DATA!$P389,'M2'!$A:$C,Q$2,FALSE)),"NOT PRESENT",VLOOKUP(DATA!$P389,'M2'!$A:$C,Q$2,FALSE)),IF($N732=0,IF(ISERROR(VLOOKUP($P732,'M1'!$A:$C,Q$2,FALSE)),IF(ISERROR(VLOOKUP(DATA!$P389,'M2'!$A:$C,Q$2,FALSE)),"NOT PRESENT",VLOOKUP(DATA!$P389,'M2'!$A:$C,Q$2,FALSE)),VLOOKUP($P732,'M1'!$A:$C,Q$2,FALSE)),"SPECIFY METHOD")))</f>
        <v>NOT PRESENT</v>
      </c>
      <c r="R732" s="4" t="str">
        <f>IF($N732=1,IF(ISERROR(VLOOKUP($P732,'M1'!$A:$C,R$2,FALSE)),"NOT PRESENT",VLOOKUP($P732,'M1'!$A:$C,R$2,FALSE)),IF($N732=2,IF(ISERROR(VLOOKUP(DATA!$P389,'M2'!$A:$C,R$2,FALSE)),"NOT PRESENT",VLOOKUP(DATA!$P389,'M2'!$A:$C,R$2,FALSE)),IF($N732=0,IF(ISERROR(VLOOKUP($P732,'M1'!$A:$C,R$2,FALSE)),IF(ISERROR(VLOOKUP(DATA!$P389,'M2'!$A:$C,R$2,FALSE)),"NOT PRESENT",VLOOKUP(DATA!$P389,'M2'!$A:$C,R$2,FALSE)),VLOOKUP($P732,'M1'!$A:$C,R$2,FALSE)),"SPECIFY METHOD")))</f>
        <v>NOT PRESENT</v>
      </c>
      <c r="S732" s="20">
        <f t="shared" si="103"/>
        <v>1</v>
      </c>
      <c r="T732" s="2">
        <v>0</v>
      </c>
      <c r="X732" s="2">
        <v>1</v>
      </c>
    </row>
    <row r="733" spans="1:26">
      <c r="A733" s="7">
        <f>MAX($A$1:$A732)+1</f>
        <v>732</v>
      </c>
      <c r="B733" s="2" t="str">
        <f t="shared" si="99"/>
        <v>Em Lim</v>
      </c>
      <c r="C733" s="2" t="str">
        <f t="shared" si="100"/>
        <v>Jasmin Schuster</v>
      </c>
      <c r="D733" s="2" t="str">
        <f t="shared" si="104"/>
        <v>BMSC24</v>
      </c>
      <c r="E733" s="7" t="str">
        <f>IF(ISERROR(VLOOKUP($D733,SITES!$A:$E,2,FALSE)),"",VLOOKUP($D733,SITES!$A:$E,2,FALSE))</f>
        <v>Swiss Boy</v>
      </c>
      <c r="F733" s="4">
        <f>IF(ISERROR(VLOOKUP($D733,SITES!$A:$E,3,FALSE)),"",VLOOKUP($D733,SITES!$A:$E,3,FALSE))</f>
        <v>48.916072999999997</v>
      </c>
      <c r="G733" s="18">
        <f>IF(ISERROR(VLOOKUP($D733,SITES!$A:$E,4,FALSE)),"",VLOOKUP($D733,SITES!$A:$E,4,FALSE))</f>
        <v>-125.131174</v>
      </c>
      <c r="H733" s="5" t="str">
        <f t="shared" si="105"/>
        <v>18/05/2023</v>
      </c>
      <c r="I733" s="2">
        <f t="shared" si="106"/>
        <v>6</v>
      </c>
      <c r="J733" s="2">
        <f t="shared" si="107"/>
        <v>40</v>
      </c>
      <c r="K733" s="6">
        <f t="shared" si="108"/>
        <v>0.4375</v>
      </c>
      <c r="L733" s="2" t="str">
        <f t="shared" si="101"/>
        <v>EGL</v>
      </c>
      <c r="M733" s="2">
        <f t="shared" si="102"/>
        <v>7</v>
      </c>
      <c r="N733" s="2">
        <f t="shared" si="111"/>
        <v>2</v>
      </c>
      <c r="O733" s="2">
        <f t="shared" si="110"/>
        <v>2</v>
      </c>
      <c r="P733" s="27" t="s">
        <v>193</v>
      </c>
      <c r="Q733" s="7" t="str">
        <f>IF($N733=1,IF(ISERROR(VLOOKUP($P733,'M1'!$A:$C,Q$2,FALSE)),"NOT PRESENT",VLOOKUP($P733,'M1'!$A:$C,Q$2,FALSE)),IF($N733=2,IF(ISERROR(VLOOKUP(DATA!$P390,'M2'!$A:$C,Q$2,FALSE)),"NOT PRESENT",VLOOKUP(DATA!$P390,'M2'!$A:$C,Q$2,FALSE)),IF($N733=0,IF(ISERROR(VLOOKUP($P733,'M1'!$A:$C,Q$2,FALSE)),IF(ISERROR(VLOOKUP(DATA!$P390,'M2'!$A:$C,Q$2,FALSE)),"NOT PRESENT",VLOOKUP(DATA!$P390,'M2'!$A:$C,Q$2,FALSE)),VLOOKUP($P733,'M1'!$A:$C,Q$2,FALSE)),"SPECIFY METHOD")))</f>
        <v>NOT PRESENT</v>
      </c>
      <c r="R733" s="4" t="str">
        <f>IF($N733=1,IF(ISERROR(VLOOKUP($P733,'M1'!$A:$C,R$2,FALSE)),"NOT PRESENT",VLOOKUP($P733,'M1'!$A:$C,R$2,FALSE)),IF($N733=2,IF(ISERROR(VLOOKUP(DATA!$P390,'M2'!$A:$C,R$2,FALSE)),"NOT PRESENT",VLOOKUP(DATA!$P390,'M2'!$A:$C,R$2,FALSE)),IF($N733=0,IF(ISERROR(VLOOKUP($P733,'M1'!$A:$C,R$2,FALSE)),IF(ISERROR(VLOOKUP(DATA!$P390,'M2'!$A:$C,R$2,FALSE)),"NOT PRESENT",VLOOKUP(DATA!$P390,'M2'!$A:$C,R$2,FALSE)),VLOOKUP($P733,'M1'!$A:$C,R$2,FALSE)),"SPECIFY METHOD")))</f>
        <v>NOT PRESENT</v>
      </c>
      <c r="S733" s="20">
        <f t="shared" si="103"/>
        <v>6</v>
      </c>
      <c r="T733" s="2">
        <v>0</v>
      </c>
      <c r="W733" s="2">
        <v>1</v>
      </c>
      <c r="X733" s="2">
        <v>2</v>
      </c>
      <c r="Y733" s="2">
        <v>1</v>
      </c>
      <c r="Z733" s="2">
        <v>2</v>
      </c>
    </row>
    <row r="734" spans="1:26">
      <c r="A734" s="7">
        <f>MAX($A$1:$A733)+1</f>
        <v>733</v>
      </c>
      <c r="B734" s="2" t="str">
        <f t="shared" si="99"/>
        <v>Em Lim</v>
      </c>
      <c r="C734" s="2" t="str">
        <f t="shared" si="100"/>
        <v>Jasmin Schuster</v>
      </c>
      <c r="D734" s="2" t="str">
        <f t="shared" si="104"/>
        <v>BMSC24</v>
      </c>
      <c r="E734" s="7" t="str">
        <f>IF(ISERROR(VLOOKUP($D734,SITES!$A:$E,2,FALSE)),"",VLOOKUP($D734,SITES!$A:$E,2,FALSE))</f>
        <v>Swiss Boy</v>
      </c>
      <c r="F734" s="4">
        <f>IF(ISERROR(VLOOKUP($D734,SITES!$A:$E,3,FALSE)),"",VLOOKUP($D734,SITES!$A:$E,3,FALSE))</f>
        <v>48.916072999999997</v>
      </c>
      <c r="G734" s="18">
        <f>IF(ISERROR(VLOOKUP($D734,SITES!$A:$E,4,FALSE)),"",VLOOKUP($D734,SITES!$A:$E,4,FALSE))</f>
        <v>-125.131174</v>
      </c>
      <c r="H734" s="5" t="str">
        <f t="shared" si="105"/>
        <v>18/05/2023</v>
      </c>
      <c r="I734" s="2">
        <f t="shared" si="106"/>
        <v>6</v>
      </c>
      <c r="J734" s="2">
        <f t="shared" si="107"/>
        <v>40</v>
      </c>
      <c r="K734" s="6">
        <f t="shared" si="108"/>
        <v>0.4375</v>
      </c>
      <c r="L734" s="2" t="str">
        <f t="shared" si="101"/>
        <v>EGL</v>
      </c>
      <c r="M734" s="2">
        <f t="shared" si="102"/>
        <v>7</v>
      </c>
      <c r="N734" s="2">
        <f t="shared" si="111"/>
        <v>2</v>
      </c>
      <c r="O734" s="2">
        <f t="shared" si="110"/>
        <v>2</v>
      </c>
      <c r="P734" s="27" t="s">
        <v>192</v>
      </c>
      <c r="Q734" s="7" t="str">
        <f>IF($N734=1,IF(ISERROR(VLOOKUP($P734,'M1'!$A:$C,Q$2,FALSE)),"NOT PRESENT",VLOOKUP($P734,'M1'!$A:$C,Q$2,FALSE)),IF($N734=2,IF(ISERROR(VLOOKUP(DATA!$P391,'M2'!$A:$C,Q$2,FALSE)),"NOT PRESENT",VLOOKUP(DATA!$P391,'M2'!$A:$C,Q$2,FALSE)),IF($N734=0,IF(ISERROR(VLOOKUP($P734,'M1'!$A:$C,Q$2,FALSE)),IF(ISERROR(VLOOKUP(DATA!$P391,'M2'!$A:$C,Q$2,FALSE)),"NOT PRESENT",VLOOKUP(DATA!$P391,'M2'!$A:$C,Q$2,FALSE)),VLOOKUP($P734,'M1'!$A:$C,Q$2,FALSE)),"SPECIFY METHOD")))</f>
        <v>NOT PRESENT</v>
      </c>
      <c r="R734" s="4" t="str">
        <f>IF($N734=1,IF(ISERROR(VLOOKUP($P734,'M1'!$A:$C,R$2,FALSE)),"NOT PRESENT",VLOOKUP($P734,'M1'!$A:$C,R$2,FALSE)),IF($N734=2,IF(ISERROR(VLOOKUP(DATA!$P391,'M2'!$A:$C,R$2,FALSE)),"NOT PRESENT",VLOOKUP(DATA!$P391,'M2'!$A:$C,R$2,FALSE)),IF($N734=0,IF(ISERROR(VLOOKUP($P734,'M1'!$A:$C,R$2,FALSE)),IF(ISERROR(VLOOKUP(DATA!$P391,'M2'!$A:$C,R$2,FALSE)),"NOT PRESENT",VLOOKUP(DATA!$P391,'M2'!$A:$C,R$2,FALSE)),VLOOKUP($P734,'M1'!$A:$C,R$2,FALSE)),"SPECIFY METHOD")))</f>
        <v>NOT PRESENT</v>
      </c>
      <c r="S734" s="20">
        <f t="shared" si="103"/>
        <v>1</v>
      </c>
      <c r="T734" s="2">
        <v>1</v>
      </c>
    </row>
    <row r="735" spans="1:26">
      <c r="A735" s="7">
        <f>MAX($A$1:$A734)+1</f>
        <v>734</v>
      </c>
      <c r="B735" s="2" t="str">
        <f t="shared" si="99"/>
        <v>Em Lim</v>
      </c>
      <c r="C735" s="2" t="str">
        <f t="shared" si="100"/>
        <v>Jasmin Schuster</v>
      </c>
      <c r="D735" s="2" t="str">
        <f t="shared" si="104"/>
        <v>BMSC24</v>
      </c>
      <c r="E735" s="7" t="str">
        <f>IF(ISERROR(VLOOKUP($D735,SITES!$A:$E,2,FALSE)),"",VLOOKUP($D735,SITES!$A:$E,2,FALSE))</f>
        <v>Swiss Boy</v>
      </c>
      <c r="F735" s="4">
        <f>IF(ISERROR(VLOOKUP($D735,SITES!$A:$E,3,FALSE)),"",VLOOKUP($D735,SITES!$A:$E,3,FALSE))</f>
        <v>48.916072999999997</v>
      </c>
      <c r="G735" s="18">
        <f>IF(ISERROR(VLOOKUP($D735,SITES!$A:$E,4,FALSE)),"",VLOOKUP($D735,SITES!$A:$E,4,FALSE))</f>
        <v>-125.131174</v>
      </c>
      <c r="H735" s="5" t="str">
        <f t="shared" si="105"/>
        <v>18/05/2023</v>
      </c>
      <c r="I735" s="2">
        <f t="shared" si="106"/>
        <v>6</v>
      </c>
      <c r="J735" s="2">
        <f t="shared" si="107"/>
        <v>40</v>
      </c>
      <c r="K735" s="6">
        <f t="shared" si="108"/>
        <v>0.4375</v>
      </c>
      <c r="L735" s="2" t="str">
        <f t="shared" si="101"/>
        <v>EGL</v>
      </c>
      <c r="M735" s="2">
        <f t="shared" si="102"/>
        <v>7</v>
      </c>
      <c r="N735" s="2">
        <f t="shared" si="111"/>
        <v>2</v>
      </c>
      <c r="O735" s="2">
        <f t="shared" si="110"/>
        <v>2</v>
      </c>
      <c r="P735" s="27" t="s">
        <v>221</v>
      </c>
      <c r="Q735" s="7" t="str">
        <f>IF($N735=1,IF(ISERROR(VLOOKUP($P735,'M1'!$A:$C,Q$2,FALSE)),"NOT PRESENT",VLOOKUP($P735,'M1'!$A:$C,Q$2,FALSE)),IF($N735=2,IF(ISERROR(VLOOKUP(DATA!$P392,'M2'!$A:$C,Q$2,FALSE)),"NOT PRESENT",VLOOKUP(DATA!$P392,'M2'!$A:$C,Q$2,FALSE)),IF($N735=0,IF(ISERROR(VLOOKUP($P735,'M1'!$A:$C,Q$2,FALSE)),IF(ISERROR(VLOOKUP(DATA!$P392,'M2'!$A:$C,Q$2,FALSE)),"NOT PRESENT",VLOOKUP(DATA!$P392,'M2'!$A:$C,Q$2,FALSE)),VLOOKUP($P735,'M1'!$A:$C,Q$2,FALSE)),"SPECIFY METHOD")))</f>
        <v>NOT PRESENT</v>
      </c>
      <c r="R735" s="4" t="str">
        <f>IF($N735=1,IF(ISERROR(VLOOKUP($P735,'M1'!$A:$C,R$2,FALSE)),"NOT PRESENT",VLOOKUP($P735,'M1'!$A:$C,R$2,FALSE)),IF($N735=2,IF(ISERROR(VLOOKUP(DATA!$P392,'M2'!$A:$C,R$2,FALSE)),"NOT PRESENT",VLOOKUP(DATA!$P392,'M2'!$A:$C,R$2,FALSE)),IF($N735=0,IF(ISERROR(VLOOKUP($P735,'M1'!$A:$C,R$2,FALSE)),IF(ISERROR(VLOOKUP(DATA!$P392,'M2'!$A:$C,R$2,FALSE)),"NOT PRESENT",VLOOKUP(DATA!$P392,'M2'!$A:$C,R$2,FALSE)),VLOOKUP($P735,'M1'!$A:$C,R$2,FALSE)),"SPECIFY METHOD")))</f>
        <v>NOT PRESENT</v>
      </c>
      <c r="S735" s="20">
        <f t="shared" si="103"/>
        <v>7</v>
      </c>
      <c r="T735" s="2">
        <v>7</v>
      </c>
    </row>
    <row r="736" spans="1:26">
      <c r="A736" s="7">
        <f>MAX($A$1:$A735)+1</f>
        <v>735</v>
      </c>
      <c r="B736" s="2" t="str">
        <f t="shared" si="99"/>
        <v>Em Lim</v>
      </c>
      <c r="C736" s="2" t="str">
        <f t="shared" si="100"/>
        <v>Jasmin Schuster</v>
      </c>
      <c r="D736" s="2" t="str">
        <f t="shared" si="104"/>
        <v>BMSC24</v>
      </c>
      <c r="E736" s="7" t="str">
        <f>IF(ISERROR(VLOOKUP($D736,SITES!$A:$E,2,FALSE)),"",VLOOKUP($D736,SITES!$A:$E,2,FALSE))</f>
        <v>Swiss Boy</v>
      </c>
      <c r="F736" s="4">
        <f>IF(ISERROR(VLOOKUP($D736,SITES!$A:$E,3,FALSE)),"",VLOOKUP($D736,SITES!$A:$E,3,FALSE))</f>
        <v>48.916072999999997</v>
      </c>
      <c r="G736" s="18">
        <f>IF(ISERROR(VLOOKUP($D736,SITES!$A:$E,4,FALSE)),"",VLOOKUP($D736,SITES!$A:$E,4,FALSE))</f>
        <v>-125.131174</v>
      </c>
      <c r="H736" s="5" t="str">
        <f t="shared" si="105"/>
        <v>18/05/2023</v>
      </c>
      <c r="I736" s="2">
        <f t="shared" si="106"/>
        <v>6</v>
      </c>
      <c r="J736" s="2">
        <f t="shared" si="107"/>
        <v>40</v>
      </c>
      <c r="K736" s="6">
        <f t="shared" si="108"/>
        <v>0.4375</v>
      </c>
      <c r="L736" s="2" t="str">
        <f t="shared" si="101"/>
        <v>EGL</v>
      </c>
      <c r="M736" s="2">
        <f t="shared" si="102"/>
        <v>7</v>
      </c>
      <c r="N736" s="2">
        <f t="shared" si="111"/>
        <v>2</v>
      </c>
      <c r="O736" s="2">
        <f t="shared" si="110"/>
        <v>2</v>
      </c>
      <c r="P736" s="27" t="s">
        <v>188</v>
      </c>
      <c r="Q736" s="7" t="str">
        <f>IF($N736=1,IF(ISERROR(VLOOKUP($P736,'M1'!$A:$C,Q$2,FALSE)),"NOT PRESENT",VLOOKUP($P736,'M1'!$A:$C,Q$2,FALSE)),IF($N736=2,IF(ISERROR(VLOOKUP(DATA!$P393,'M2'!$A:$C,Q$2,FALSE)),"NOT PRESENT",VLOOKUP(DATA!$P393,'M2'!$A:$C,Q$2,FALSE)),IF($N736=0,IF(ISERROR(VLOOKUP($P736,'M1'!$A:$C,Q$2,FALSE)),IF(ISERROR(VLOOKUP(DATA!$P393,'M2'!$A:$C,Q$2,FALSE)),"NOT PRESENT",VLOOKUP(DATA!$P393,'M2'!$A:$C,Q$2,FALSE)),VLOOKUP($P736,'M1'!$A:$C,Q$2,FALSE)),"SPECIFY METHOD")))</f>
        <v>NOT PRESENT</v>
      </c>
      <c r="R736" s="4" t="str">
        <f>IF($N736=1,IF(ISERROR(VLOOKUP($P736,'M1'!$A:$C,R$2,FALSE)),"NOT PRESENT",VLOOKUP($P736,'M1'!$A:$C,R$2,FALSE)),IF($N736=2,IF(ISERROR(VLOOKUP(DATA!$P393,'M2'!$A:$C,R$2,FALSE)),"NOT PRESENT",VLOOKUP(DATA!$P393,'M2'!$A:$C,R$2,FALSE)),IF($N736=0,IF(ISERROR(VLOOKUP($P736,'M1'!$A:$C,R$2,FALSE)),IF(ISERROR(VLOOKUP(DATA!$P393,'M2'!$A:$C,R$2,FALSE)),"NOT PRESENT",VLOOKUP(DATA!$P393,'M2'!$A:$C,R$2,FALSE)),VLOOKUP($P736,'M1'!$A:$C,R$2,FALSE)),"SPECIFY METHOD")))</f>
        <v>NOT PRESENT</v>
      </c>
      <c r="S736" s="20">
        <f t="shared" si="103"/>
        <v>3</v>
      </c>
      <c r="T736" s="2">
        <v>3</v>
      </c>
    </row>
    <row r="737" spans="1:35">
      <c r="A737" s="7">
        <f>MAX($A$1:$A736)+1</f>
        <v>736</v>
      </c>
      <c r="B737" s="2" t="str">
        <f t="shared" si="99"/>
        <v>Em Lim</v>
      </c>
      <c r="C737" s="2" t="str">
        <f t="shared" si="100"/>
        <v>Jasmin Schuster</v>
      </c>
      <c r="D737" s="2" t="str">
        <f t="shared" si="104"/>
        <v>BMSC24</v>
      </c>
      <c r="E737" s="7" t="str">
        <f>IF(ISERROR(VLOOKUP($D737,SITES!$A:$E,2,FALSE)),"",VLOOKUP($D737,SITES!$A:$E,2,FALSE))</f>
        <v>Swiss Boy</v>
      </c>
      <c r="F737" s="4">
        <f>IF(ISERROR(VLOOKUP($D737,SITES!$A:$E,3,FALSE)),"",VLOOKUP($D737,SITES!$A:$E,3,FALSE))</f>
        <v>48.916072999999997</v>
      </c>
      <c r="G737" s="18">
        <f>IF(ISERROR(VLOOKUP($D737,SITES!$A:$E,4,FALSE)),"",VLOOKUP($D737,SITES!$A:$E,4,FALSE))</f>
        <v>-125.131174</v>
      </c>
      <c r="H737" s="5" t="str">
        <f t="shared" si="105"/>
        <v>18/05/2023</v>
      </c>
      <c r="I737" s="2">
        <f t="shared" si="106"/>
        <v>6</v>
      </c>
      <c r="J737" s="2">
        <f t="shared" si="107"/>
        <v>40</v>
      </c>
      <c r="K737" s="6">
        <f t="shared" si="108"/>
        <v>0.4375</v>
      </c>
      <c r="L737" s="2" t="str">
        <f t="shared" si="101"/>
        <v>EGL</v>
      </c>
      <c r="M737" s="2">
        <f t="shared" si="102"/>
        <v>7</v>
      </c>
      <c r="N737" s="2">
        <f t="shared" si="111"/>
        <v>2</v>
      </c>
      <c r="O737" s="2">
        <f t="shared" si="110"/>
        <v>2</v>
      </c>
      <c r="P737" s="27" t="s">
        <v>264</v>
      </c>
      <c r="Q737" s="7" t="str">
        <f>IF($N737=1,IF(ISERROR(VLOOKUP($P737,'M1'!$A:$C,Q$2,FALSE)),"NOT PRESENT",VLOOKUP($P737,'M1'!$A:$C,Q$2,FALSE)),IF($N737=2,IF(ISERROR(VLOOKUP(DATA!$P394,'M2'!$A:$C,Q$2,FALSE)),"NOT PRESENT",VLOOKUP(DATA!$P394,'M2'!$A:$C,Q$2,FALSE)),IF($N737=0,IF(ISERROR(VLOOKUP($P737,'M1'!$A:$C,Q$2,FALSE)),IF(ISERROR(VLOOKUP(DATA!$P394,'M2'!$A:$C,Q$2,FALSE)),"NOT PRESENT",VLOOKUP(DATA!$P394,'M2'!$A:$C,Q$2,FALSE)),VLOOKUP($P737,'M1'!$A:$C,Q$2,FALSE)),"SPECIFY METHOD")))</f>
        <v>NOT PRESENT</v>
      </c>
      <c r="R737" s="4" t="str">
        <f>IF($N737=1,IF(ISERROR(VLOOKUP($P737,'M1'!$A:$C,R$2,FALSE)),"NOT PRESENT",VLOOKUP($P737,'M1'!$A:$C,R$2,FALSE)),IF($N737=2,IF(ISERROR(VLOOKUP(DATA!$P394,'M2'!$A:$C,R$2,FALSE)),"NOT PRESENT",VLOOKUP(DATA!$P394,'M2'!$A:$C,R$2,FALSE)),IF($N737=0,IF(ISERROR(VLOOKUP($P737,'M1'!$A:$C,R$2,FALSE)),IF(ISERROR(VLOOKUP(DATA!$P394,'M2'!$A:$C,R$2,FALSE)),"NOT PRESENT",VLOOKUP(DATA!$P394,'M2'!$A:$C,R$2,FALSE)),VLOOKUP($P737,'M1'!$A:$C,R$2,FALSE)),"SPECIFY METHOD")))</f>
        <v>NOT PRESENT</v>
      </c>
      <c r="S737" s="20">
        <f t="shared" si="103"/>
        <v>1</v>
      </c>
      <c r="T737" s="2">
        <v>1</v>
      </c>
    </row>
    <row r="738" spans="1:35">
      <c r="A738" s="7">
        <f>MAX($A$1:$A737)+1</f>
        <v>737</v>
      </c>
      <c r="B738" s="2" t="str">
        <f t="shared" si="99"/>
        <v>Em Lim</v>
      </c>
      <c r="C738" s="2" t="str">
        <f t="shared" si="100"/>
        <v>Jasmin Schuster</v>
      </c>
      <c r="D738" s="2" t="str">
        <f t="shared" si="104"/>
        <v>BMSC24</v>
      </c>
      <c r="E738" s="7" t="str">
        <f>IF(ISERROR(VLOOKUP($D738,SITES!$A:$E,2,FALSE)),"",VLOOKUP($D738,SITES!$A:$E,2,FALSE))</f>
        <v>Swiss Boy</v>
      </c>
      <c r="F738" s="4">
        <f>IF(ISERROR(VLOOKUP($D738,SITES!$A:$E,3,FALSE)),"",VLOOKUP($D738,SITES!$A:$E,3,FALSE))</f>
        <v>48.916072999999997</v>
      </c>
      <c r="G738" s="18">
        <f>IF(ISERROR(VLOOKUP($D738,SITES!$A:$E,4,FALSE)),"",VLOOKUP($D738,SITES!$A:$E,4,FALSE))</f>
        <v>-125.131174</v>
      </c>
      <c r="H738" s="5" t="str">
        <f t="shared" si="105"/>
        <v>18/05/2023</v>
      </c>
      <c r="I738" s="2">
        <f t="shared" si="106"/>
        <v>6</v>
      </c>
      <c r="J738" s="2">
        <f t="shared" si="107"/>
        <v>40</v>
      </c>
      <c r="K738" s="6">
        <f t="shared" si="108"/>
        <v>0.4375</v>
      </c>
      <c r="L738" s="2" t="str">
        <f t="shared" si="101"/>
        <v>EGL</v>
      </c>
      <c r="M738" s="2">
        <f t="shared" si="102"/>
        <v>7</v>
      </c>
      <c r="N738" s="2">
        <f t="shared" si="111"/>
        <v>2</v>
      </c>
      <c r="O738" s="2">
        <f t="shared" si="110"/>
        <v>2</v>
      </c>
      <c r="P738" s="27" t="s">
        <v>207</v>
      </c>
      <c r="Q738" s="7" t="str">
        <f>IF($N738=1,IF(ISERROR(VLOOKUP($P738,'M1'!$A:$C,Q$2,FALSE)),"NOT PRESENT",VLOOKUP($P738,'M1'!$A:$C,Q$2,FALSE)),IF($N738=2,IF(ISERROR(VLOOKUP(DATA!$P395,'M2'!$A:$C,Q$2,FALSE)),"NOT PRESENT",VLOOKUP(DATA!$P395,'M2'!$A:$C,Q$2,FALSE)),IF($N738=0,IF(ISERROR(VLOOKUP($P738,'M1'!$A:$C,Q$2,FALSE)),IF(ISERROR(VLOOKUP(DATA!$P395,'M2'!$A:$C,Q$2,FALSE)),"NOT PRESENT",VLOOKUP(DATA!$P395,'M2'!$A:$C,Q$2,FALSE)),VLOOKUP($P738,'M1'!$A:$C,Q$2,FALSE)),"SPECIFY METHOD")))</f>
        <v>NOT PRESENT</v>
      </c>
      <c r="R738" s="4" t="str">
        <f>IF($N738=1,IF(ISERROR(VLOOKUP($P738,'M1'!$A:$C,R$2,FALSE)),"NOT PRESENT",VLOOKUP($P738,'M1'!$A:$C,R$2,FALSE)),IF($N738=2,IF(ISERROR(VLOOKUP(DATA!$P395,'M2'!$A:$C,R$2,FALSE)),"NOT PRESENT",VLOOKUP(DATA!$P395,'M2'!$A:$C,R$2,FALSE)),IF($N738=0,IF(ISERROR(VLOOKUP($P738,'M1'!$A:$C,R$2,FALSE)),IF(ISERROR(VLOOKUP(DATA!$P395,'M2'!$A:$C,R$2,FALSE)),"NOT PRESENT",VLOOKUP(DATA!$P395,'M2'!$A:$C,R$2,FALSE)),VLOOKUP($P738,'M1'!$A:$C,R$2,FALSE)),"SPECIFY METHOD")))</f>
        <v>NOT PRESENT</v>
      </c>
      <c r="S738" s="20">
        <f t="shared" si="103"/>
        <v>1</v>
      </c>
      <c r="T738" s="2">
        <v>1</v>
      </c>
    </row>
    <row r="739" spans="1:35">
      <c r="A739" s="7">
        <f>MAX($A$1:$A738)+1</f>
        <v>738</v>
      </c>
      <c r="B739" s="2" t="str">
        <f t="shared" si="99"/>
        <v>Em Lim</v>
      </c>
      <c r="C739" s="2" t="str">
        <f t="shared" si="100"/>
        <v>Jasmin Schuster</v>
      </c>
      <c r="D739" s="2" t="str">
        <f t="shared" si="104"/>
        <v>BMSC24</v>
      </c>
      <c r="E739" s="7" t="str">
        <f>IF(ISERROR(VLOOKUP($D739,SITES!$A:$E,2,FALSE)),"",VLOOKUP($D739,SITES!$A:$E,2,FALSE))</f>
        <v>Swiss Boy</v>
      </c>
      <c r="F739" s="4">
        <f>IF(ISERROR(VLOOKUP($D739,SITES!$A:$E,3,FALSE)),"",VLOOKUP($D739,SITES!$A:$E,3,FALSE))</f>
        <v>48.916072999999997</v>
      </c>
      <c r="G739" s="18">
        <f>IF(ISERROR(VLOOKUP($D739,SITES!$A:$E,4,FALSE)),"",VLOOKUP($D739,SITES!$A:$E,4,FALSE))</f>
        <v>-125.131174</v>
      </c>
      <c r="H739" s="5" t="str">
        <f t="shared" si="105"/>
        <v>18/05/2023</v>
      </c>
      <c r="I739" s="2">
        <f t="shared" si="106"/>
        <v>6</v>
      </c>
      <c r="J739" s="2">
        <f t="shared" si="107"/>
        <v>40</v>
      </c>
      <c r="K739" s="6">
        <f t="shared" si="108"/>
        <v>0.4375</v>
      </c>
      <c r="L739" s="2" t="str">
        <f t="shared" si="101"/>
        <v>EGL</v>
      </c>
      <c r="M739" s="2">
        <f t="shared" si="102"/>
        <v>7</v>
      </c>
      <c r="N739" s="2">
        <f t="shared" si="111"/>
        <v>2</v>
      </c>
      <c r="O739" s="2">
        <f t="shared" si="110"/>
        <v>2</v>
      </c>
      <c r="P739" s="27" t="s">
        <v>173</v>
      </c>
      <c r="Q739" s="7" t="str">
        <f>IF($N739=1,IF(ISERROR(VLOOKUP($P739,'M1'!$A:$C,Q$2,FALSE)),"NOT PRESENT",VLOOKUP($P739,'M1'!$A:$C,Q$2,FALSE)),IF($N739=2,IF(ISERROR(VLOOKUP(DATA!$P396,'M2'!$A:$C,Q$2,FALSE)),"NOT PRESENT",VLOOKUP(DATA!$P396,'M2'!$A:$C,Q$2,FALSE)),IF($N739=0,IF(ISERROR(VLOOKUP($P739,'M1'!$A:$C,Q$2,FALSE)),IF(ISERROR(VLOOKUP(DATA!$P396,'M2'!$A:$C,Q$2,FALSE)),"NOT PRESENT",VLOOKUP(DATA!$P396,'M2'!$A:$C,Q$2,FALSE)),VLOOKUP($P739,'M1'!$A:$C,Q$2,FALSE)),"SPECIFY METHOD")))</f>
        <v>NOT PRESENT</v>
      </c>
      <c r="R739" s="4" t="str">
        <f>IF($N739=1,IF(ISERROR(VLOOKUP($P739,'M1'!$A:$C,R$2,FALSE)),"NOT PRESENT",VLOOKUP($P739,'M1'!$A:$C,R$2,FALSE)),IF($N739=2,IF(ISERROR(VLOOKUP(DATA!$P396,'M2'!$A:$C,R$2,FALSE)),"NOT PRESENT",VLOOKUP(DATA!$P396,'M2'!$A:$C,R$2,FALSE)),IF($N739=0,IF(ISERROR(VLOOKUP($P739,'M1'!$A:$C,R$2,FALSE)),IF(ISERROR(VLOOKUP(DATA!$P396,'M2'!$A:$C,R$2,FALSE)),"NOT PRESENT",VLOOKUP(DATA!$P396,'M2'!$A:$C,R$2,FALSE)),VLOOKUP($P739,'M1'!$A:$C,R$2,FALSE)),"SPECIFY METHOD")))</f>
        <v>NOT PRESENT</v>
      </c>
      <c r="S739" s="20">
        <f t="shared" si="103"/>
        <v>2</v>
      </c>
      <c r="T739" s="2">
        <v>0</v>
      </c>
      <c r="X739" s="2">
        <v>2</v>
      </c>
    </row>
    <row r="740" spans="1:35">
      <c r="A740" s="7">
        <f>MAX($A$1:$A739)+1</f>
        <v>739</v>
      </c>
      <c r="B740" s="2" t="s">
        <v>278</v>
      </c>
      <c r="C740" s="2" t="s">
        <v>171</v>
      </c>
      <c r="D740" s="2" t="s">
        <v>34</v>
      </c>
      <c r="E740" s="7" t="s">
        <v>378</v>
      </c>
      <c r="F740" s="4">
        <v>48.916072999999997</v>
      </c>
      <c r="G740" s="18">
        <v>-125.131174</v>
      </c>
      <c r="H740" s="5" t="s">
        <v>12</v>
      </c>
      <c r="I740" s="2">
        <v>6</v>
      </c>
      <c r="J740" s="2">
        <v>40</v>
      </c>
      <c r="K740" s="6">
        <v>0.43541666666666662</v>
      </c>
      <c r="L740" s="2" t="s">
        <v>172</v>
      </c>
      <c r="M740" s="2">
        <v>11</v>
      </c>
      <c r="N740" s="2">
        <v>1</v>
      </c>
      <c r="O740" s="2">
        <v>1</v>
      </c>
      <c r="P740" s="2" t="s">
        <v>232</v>
      </c>
      <c r="Q740" s="7" t="s">
        <v>43</v>
      </c>
      <c r="R740" s="4" t="s">
        <v>324</v>
      </c>
      <c r="S740" s="20">
        <v>4</v>
      </c>
      <c r="T740" s="2">
        <v>0</v>
      </c>
      <c r="AA740" s="2">
        <v>1</v>
      </c>
      <c r="AB740" s="2">
        <v>1</v>
      </c>
      <c r="AC740" s="2">
        <v>2</v>
      </c>
    </row>
    <row r="741" spans="1:35">
      <c r="A741" s="7">
        <f>MAX($A$1:$A740)+1</f>
        <v>740</v>
      </c>
      <c r="B741" s="2" t="s">
        <v>278</v>
      </c>
      <c r="C741" s="2" t="s">
        <v>171</v>
      </c>
      <c r="D741" s="2" t="s">
        <v>34</v>
      </c>
      <c r="E741" s="7" t="s">
        <v>378</v>
      </c>
      <c r="F741" s="4">
        <v>48.916072999999997</v>
      </c>
      <c r="G741" s="18">
        <v>-125.131174</v>
      </c>
      <c r="H741" s="5" t="s">
        <v>12</v>
      </c>
      <c r="I741" s="2">
        <v>6</v>
      </c>
      <c r="J741" s="2">
        <v>40</v>
      </c>
      <c r="K741" s="6">
        <v>0.43541666666666662</v>
      </c>
      <c r="L741" s="2" t="s">
        <v>172</v>
      </c>
      <c r="M741" s="2">
        <v>11</v>
      </c>
      <c r="N741" s="2">
        <v>1</v>
      </c>
      <c r="O741" s="2">
        <v>1</v>
      </c>
      <c r="P741" s="2" t="s">
        <v>237</v>
      </c>
      <c r="Q741" s="7" t="s">
        <v>51</v>
      </c>
      <c r="R741" s="4" t="s">
        <v>368</v>
      </c>
      <c r="S741" s="20">
        <v>2</v>
      </c>
      <c r="T741" s="2">
        <v>0</v>
      </c>
      <c r="AD741" s="2">
        <v>1</v>
      </c>
      <c r="AI741" s="2">
        <v>1</v>
      </c>
    </row>
    <row r="742" spans="1:35">
      <c r="A742" s="7">
        <f>MAX($A$1:$A741)+1</f>
        <v>741</v>
      </c>
      <c r="B742" s="2" t="s">
        <v>278</v>
      </c>
      <c r="C742" s="2" t="s">
        <v>171</v>
      </c>
      <c r="D742" s="2" t="s">
        <v>34</v>
      </c>
      <c r="E742" s="7" t="s">
        <v>378</v>
      </c>
      <c r="F742" s="4">
        <v>48.916072999999997</v>
      </c>
      <c r="G742" s="18">
        <v>-125.131174</v>
      </c>
      <c r="H742" s="5" t="s">
        <v>12</v>
      </c>
      <c r="I742" s="2">
        <v>6</v>
      </c>
      <c r="J742" s="2">
        <v>40</v>
      </c>
      <c r="K742" s="6">
        <v>0.43541666666666662</v>
      </c>
      <c r="L742" s="2" t="s">
        <v>172</v>
      </c>
      <c r="M742" s="2">
        <v>11</v>
      </c>
      <c r="N742" s="2">
        <v>1</v>
      </c>
      <c r="O742" s="2">
        <v>1</v>
      </c>
      <c r="P742" s="2" t="s">
        <v>233</v>
      </c>
      <c r="Q742" s="7" t="s">
        <v>53</v>
      </c>
      <c r="R742" s="4" t="s">
        <v>379</v>
      </c>
      <c r="S742" s="20">
        <v>9</v>
      </c>
      <c r="T742" s="2">
        <v>0</v>
      </c>
      <c r="AA742" s="2">
        <v>5</v>
      </c>
      <c r="AB742" s="2">
        <v>4</v>
      </c>
    </row>
    <row r="743" spans="1:35">
      <c r="A743" s="7">
        <f>MAX($A$1:$A742)+1</f>
        <v>742</v>
      </c>
      <c r="B743" s="2" t="s">
        <v>278</v>
      </c>
      <c r="C743" s="2" t="s">
        <v>171</v>
      </c>
      <c r="D743" s="2" t="s">
        <v>34</v>
      </c>
      <c r="E743" s="7" t="s">
        <v>378</v>
      </c>
      <c r="F743" s="4">
        <v>48.916072999999997</v>
      </c>
      <c r="G743" s="18">
        <v>-125.131174</v>
      </c>
      <c r="H743" s="5" t="s">
        <v>12</v>
      </c>
      <c r="I743" s="2">
        <v>6</v>
      </c>
      <c r="J743" s="2">
        <v>40</v>
      </c>
      <c r="K743" s="6">
        <v>0.43541666666666662</v>
      </c>
      <c r="L743" s="2" t="s">
        <v>172</v>
      </c>
      <c r="M743" s="2">
        <v>11</v>
      </c>
      <c r="N743" s="2">
        <v>1</v>
      </c>
      <c r="O743" s="2">
        <v>1</v>
      </c>
      <c r="P743" s="2" t="s">
        <v>231</v>
      </c>
      <c r="Q743" s="7" t="s">
        <v>48</v>
      </c>
      <c r="R743" s="4" t="s">
        <v>365</v>
      </c>
      <c r="S743" s="20">
        <v>16</v>
      </c>
      <c r="T743" s="2">
        <v>0</v>
      </c>
      <c r="Z743" s="2">
        <v>1</v>
      </c>
      <c r="AA743" s="2">
        <v>12</v>
      </c>
      <c r="AC743" s="2">
        <v>3</v>
      </c>
    </row>
    <row r="744" spans="1:35">
      <c r="A744" s="7">
        <f>MAX($A$1:$A743)+1</f>
        <v>743</v>
      </c>
      <c r="B744" s="2" t="s">
        <v>278</v>
      </c>
      <c r="C744" s="2" t="s">
        <v>171</v>
      </c>
      <c r="D744" s="2" t="s">
        <v>34</v>
      </c>
      <c r="E744" s="7" t="s">
        <v>378</v>
      </c>
      <c r="F744" s="4">
        <v>48.916072999999997</v>
      </c>
      <c r="G744" s="18">
        <v>-125.131174</v>
      </c>
      <c r="H744" s="5" t="s">
        <v>12</v>
      </c>
      <c r="I744" s="2">
        <v>6</v>
      </c>
      <c r="J744" s="2">
        <v>40</v>
      </c>
      <c r="K744" s="6">
        <v>0.43541666666666662</v>
      </c>
      <c r="L744" s="2" t="s">
        <v>172</v>
      </c>
      <c r="M744" s="2">
        <v>11</v>
      </c>
      <c r="N744" s="2">
        <v>1</v>
      </c>
      <c r="O744" s="2">
        <v>1</v>
      </c>
      <c r="P744" s="2" t="s">
        <v>380</v>
      </c>
      <c r="Q744" s="7" t="s">
        <v>52</v>
      </c>
      <c r="R744" s="4" t="s">
        <v>381</v>
      </c>
      <c r="S744" s="20">
        <v>1</v>
      </c>
      <c r="T744" s="2">
        <v>0</v>
      </c>
      <c r="AA744" s="2">
        <v>1</v>
      </c>
    </row>
    <row r="745" spans="1:35">
      <c r="A745" s="7">
        <f>MAX($A$1:$A744)+1</f>
        <v>744</v>
      </c>
      <c r="B745" s="2" t="s">
        <v>278</v>
      </c>
      <c r="C745" s="2" t="s">
        <v>171</v>
      </c>
      <c r="D745" s="2" t="s">
        <v>34</v>
      </c>
      <c r="E745" s="7" t="s">
        <v>378</v>
      </c>
      <c r="F745" s="4">
        <v>48.916072999999997</v>
      </c>
      <c r="G745" s="18">
        <v>-125.131174</v>
      </c>
      <c r="H745" s="5" t="s">
        <v>12</v>
      </c>
      <c r="I745" s="2">
        <v>6</v>
      </c>
      <c r="J745" s="2">
        <v>40</v>
      </c>
      <c r="K745" s="6">
        <v>0.43541666666666662</v>
      </c>
      <c r="L745" s="2" t="s">
        <v>172</v>
      </c>
      <c r="M745" s="2">
        <v>11</v>
      </c>
      <c r="N745" s="2">
        <v>1</v>
      </c>
      <c r="O745" s="2">
        <v>1</v>
      </c>
      <c r="P745" s="2" t="s">
        <v>234</v>
      </c>
      <c r="Q745" s="7" t="s">
        <v>45</v>
      </c>
      <c r="R745" s="4" t="s">
        <v>353</v>
      </c>
      <c r="S745" s="20">
        <v>1</v>
      </c>
      <c r="T745" s="2">
        <v>0</v>
      </c>
      <c r="AD745" s="2">
        <v>1</v>
      </c>
    </row>
    <row r="746" spans="1:35">
      <c r="A746" s="7">
        <f>MAX($A$1:$A745)+1</f>
        <v>745</v>
      </c>
      <c r="B746" s="2" t="s">
        <v>278</v>
      </c>
      <c r="C746" s="2" t="s">
        <v>171</v>
      </c>
      <c r="D746" s="2" t="s">
        <v>34</v>
      </c>
      <c r="E746" s="7" t="s">
        <v>378</v>
      </c>
      <c r="F746" s="4">
        <v>48.916072999999997</v>
      </c>
      <c r="G746" s="18">
        <v>-125.131174</v>
      </c>
      <c r="H746" s="5" t="s">
        <v>12</v>
      </c>
      <c r="I746" s="2">
        <v>6</v>
      </c>
      <c r="J746" s="2">
        <v>40</v>
      </c>
      <c r="K746" s="6">
        <v>0.43541666666666662</v>
      </c>
      <c r="L746" s="2" t="s">
        <v>172</v>
      </c>
      <c r="M746" s="2">
        <v>11</v>
      </c>
      <c r="N746" s="2">
        <v>2</v>
      </c>
      <c r="O746" s="2">
        <v>1</v>
      </c>
      <c r="P746" s="2" t="s">
        <v>241</v>
      </c>
      <c r="Q746" s="7" t="s">
        <v>63</v>
      </c>
      <c r="R746" s="4" t="s">
        <v>294</v>
      </c>
      <c r="S746" s="20">
        <v>142</v>
      </c>
      <c r="T746" s="2">
        <v>142</v>
      </c>
    </row>
    <row r="747" spans="1:35">
      <c r="A747" s="7">
        <f>MAX($A$1:$A746)+1</f>
        <v>746</v>
      </c>
      <c r="B747" s="2" t="s">
        <v>278</v>
      </c>
      <c r="C747" s="2" t="s">
        <v>171</v>
      </c>
      <c r="D747" s="2" t="s">
        <v>34</v>
      </c>
      <c r="E747" s="7" t="s">
        <v>378</v>
      </c>
      <c r="F747" s="4">
        <v>48.916072999999997</v>
      </c>
      <c r="G747" s="18">
        <v>-125.131174</v>
      </c>
      <c r="H747" s="5" t="s">
        <v>12</v>
      </c>
      <c r="I747" s="2">
        <v>6</v>
      </c>
      <c r="J747" s="2">
        <v>40</v>
      </c>
      <c r="K747" s="6">
        <v>0.43541666666666662</v>
      </c>
      <c r="L747" s="2" t="s">
        <v>172</v>
      </c>
      <c r="M747" s="2">
        <v>11</v>
      </c>
      <c r="N747" s="2">
        <v>2</v>
      </c>
      <c r="O747" s="2">
        <v>1</v>
      </c>
      <c r="P747" s="2" t="s">
        <v>239</v>
      </c>
      <c r="Q747" s="7" t="s">
        <v>80</v>
      </c>
      <c r="R747" s="4" t="s">
        <v>300</v>
      </c>
      <c r="S747" s="20">
        <v>5</v>
      </c>
      <c r="T747" s="2">
        <v>5</v>
      </c>
    </row>
    <row r="748" spans="1:35">
      <c r="A748" s="7">
        <f>MAX($A$1:$A747)+1</f>
        <v>747</v>
      </c>
      <c r="B748" s="2" t="s">
        <v>278</v>
      </c>
      <c r="C748" s="2" t="s">
        <v>171</v>
      </c>
      <c r="D748" s="2" t="s">
        <v>34</v>
      </c>
      <c r="E748" s="7" t="s">
        <v>378</v>
      </c>
      <c r="F748" s="4">
        <v>48.916072999999997</v>
      </c>
      <c r="G748" s="18">
        <v>-125.131174</v>
      </c>
      <c r="H748" s="5" t="s">
        <v>12</v>
      </c>
      <c r="I748" s="2">
        <v>6</v>
      </c>
      <c r="J748" s="2">
        <v>40</v>
      </c>
      <c r="K748" s="6">
        <v>0.43541666666666662</v>
      </c>
      <c r="L748" s="2" t="s">
        <v>172</v>
      </c>
      <c r="M748" s="2">
        <v>11</v>
      </c>
      <c r="N748" s="2">
        <v>2</v>
      </c>
      <c r="O748" s="2">
        <v>1</v>
      </c>
      <c r="P748" s="2" t="s">
        <v>246</v>
      </c>
      <c r="Q748" s="7" t="s">
        <v>66</v>
      </c>
      <c r="R748" s="4" t="s">
        <v>318</v>
      </c>
      <c r="S748" s="20">
        <v>34</v>
      </c>
      <c r="T748" s="2">
        <v>34</v>
      </c>
      <c r="U748" s="48"/>
      <c r="V748" s="48"/>
      <c r="W748" s="48"/>
    </row>
    <row r="749" spans="1:35">
      <c r="A749" s="7">
        <f>MAX($A$1:$A748)+1</f>
        <v>748</v>
      </c>
      <c r="B749" s="2" t="s">
        <v>278</v>
      </c>
      <c r="C749" s="2" t="s">
        <v>171</v>
      </c>
      <c r="D749" s="2" t="s">
        <v>34</v>
      </c>
      <c r="E749" s="7" t="s">
        <v>378</v>
      </c>
      <c r="F749" s="4">
        <v>48.916072999999997</v>
      </c>
      <c r="G749" s="18">
        <v>-125.131174</v>
      </c>
      <c r="H749" s="5" t="s">
        <v>12</v>
      </c>
      <c r="I749" s="2">
        <v>6</v>
      </c>
      <c r="J749" s="2">
        <v>40</v>
      </c>
      <c r="K749" s="6">
        <v>0.43541666666666662</v>
      </c>
      <c r="L749" s="2" t="s">
        <v>172</v>
      </c>
      <c r="M749" s="2">
        <v>11</v>
      </c>
      <c r="N749" s="2">
        <v>2</v>
      </c>
      <c r="O749" s="2">
        <v>1</v>
      </c>
      <c r="P749" s="2" t="s">
        <v>243</v>
      </c>
      <c r="Q749" s="7" t="s">
        <v>85</v>
      </c>
      <c r="R749" s="4" t="s">
        <v>312</v>
      </c>
      <c r="S749" s="20">
        <v>20</v>
      </c>
      <c r="T749" s="2">
        <v>20</v>
      </c>
    </row>
    <row r="750" spans="1:35">
      <c r="A750" s="7">
        <f>MAX($A$1:$A749)+1</f>
        <v>749</v>
      </c>
      <c r="B750" s="2" t="s">
        <v>278</v>
      </c>
      <c r="C750" s="2" t="s">
        <v>171</v>
      </c>
      <c r="D750" s="2" t="s">
        <v>34</v>
      </c>
      <c r="E750" s="7" t="s">
        <v>378</v>
      </c>
      <c r="F750" s="4">
        <v>48.916072999999997</v>
      </c>
      <c r="G750" s="18">
        <v>-125.131174</v>
      </c>
      <c r="H750" s="5" t="s">
        <v>12</v>
      </c>
      <c r="I750" s="2">
        <v>6</v>
      </c>
      <c r="J750" s="2">
        <v>40</v>
      </c>
      <c r="K750" s="6">
        <v>0.43541666666666662</v>
      </c>
      <c r="L750" s="2" t="s">
        <v>172</v>
      </c>
      <c r="M750" s="2">
        <v>11</v>
      </c>
      <c r="N750" s="2">
        <v>2</v>
      </c>
      <c r="O750" s="2">
        <v>1</v>
      </c>
      <c r="P750" s="2" t="s">
        <v>250</v>
      </c>
      <c r="Q750" s="7" t="s">
        <v>46</v>
      </c>
      <c r="R750" s="4" t="s">
        <v>295</v>
      </c>
      <c r="S750" s="20">
        <v>3</v>
      </c>
      <c r="T750" s="2">
        <v>0</v>
      </c>
      <c r="U750" s="2">
        <v>1</v>
      </c>
      <c r="V750" s="2">
        <v>2</v>
      </c>
    </row>
    <row r="751" spans="1:35">
      <c r="A751" s="7">
        <f>MAX($A$1:$A750)+1</f>
        <v>750</v>
      </c>
      <c r="B751" s="2" t="s">
        <v>278</v>
      </c>
      <c r="C751" s="2" t="s">
        <v>171</v>
      </c>
      <c r="D751" s="2" t="s">
        <v>34</v>
      </c>
      <c r="E751" s="7" t="s">
        <v>378</v>
      </c>
      <c r="F751" s="4">
        <v>48.916072999999997</v>
      </c>
      <c r="G751" s="18">
        <v>-125.131174</v>
      </c>
      <c r="H751" s="5" t="s">
        <v>12</v>
      </c>
      <c r="I751" s="2">
        <v>6</v>
      </c>
      <c r="J751" s="2">
        <v>40</v>
      </c>
      <c r="K751" s="6">
        <v>0.43541666666666662</v>
      </c>
      <c r="L751" s="2" t="s">
        <v>172</v>
      </c>
      <c r="M751" s="2">
        <v>11</v>
      </c>
      <c r="N751" s="2">
        <v>2</v>
      </c>
      <c r="O751" s="2">
        <v>1</v>
      </c>
      <c r="P751" s="2" t="s">
        <v>248</v>
      </c>
      <c r="Q751" s="7" t="s">
        <v>78</v>
      </c>
      <c r="R751" s="4" t="s">
        <v>349</v>
      </c>
      <c r="S751" s="20">
        <v>3</v>
      </c>
      <c r="T751" s="2">
        <v>0</v>
      </c>
      <c r="W751" s="2">
        <v>2</v>
      </c>
      <c r="Z751" s="2">
        <v>1</v>
      </c>
    </row>
    <row r="752" spans="1:35">
      <c r="A752" s="7">
        <f>MAX($A$1:$A751)+1</f>
        <v>751</v>
      </c>
      <c r="B752" s="2" t="s">
        <v>278</v>
      </c>
      <c r="C752" s="2" t="s">
        <v>171</v>
      </c>
      <c r="D752" s="2" t="s">
        <v>34</v>
      </c>
      <c r="E752" s="7" t="s">
        <v>378</v>
      </c>
      <c r="F752" s="4">
        <v>48.916072999999997</v>
      </c>
      <c r="G752" s="18">
        <v>-125.131174</v>
      </c>
      <c r="H752" s="5" t="s">
        <v>12</v>
      </c>
      <c r="I752" s="2">
        <v>6</v>
      </c>
      <c r="J752" s="2">
        <v>40</v>
      </c>
      <c r="K752" s="6">
        <v>0.43541666666666662</v>
      </c>
      <c r="L752" s="2" t="s">
        <v>172</v>
      </c>
      <c r="M752" s="2">
        <v>11</v>
      </c>
      <c r="N752" s="2">
        <v>2</v>
      </c>
      <c r="O752" s="2">
        <v>1</v>
      </c>
      <c r="P752" s="2" t="s">
        <v>244</v>
      </c>
      <c r="Q752" s="7" t="s">
        <v>65</v>
      </c>
      <c r="R752" s="4" t="s">
        <v>307</v>
      </c>
      <c r="S752" s="20">
        <v>17</v>
      </c>
      <c r="T752" s="2">
        <v>17</v>
      </c>
    </row>
    <row r="753" spans="1:28">
      <c r="A753" s="7">
        <f>MAX($A$1:$A752)+1</f>
        <v>752</v>
      </c>
      <c r="B753" s="2" t="s">
        <v>278</v>
      </c>
      <c r="C753" s="2" t="s">
        <v>171</v>
      </c>
      <c r="D753" s="2" t="s">
        <v>34</v>
      </c>
      <c r="E753" s="7" t="s">
        <v>378</v>
      </c>
      <c r="F753" s="4">
        <v>48.916072999999997</v>
      </c>
      <c r="G753" s="18">
        <v>-125.131174</v>
      </c>
      <c r="H753" s="5" t="s">
        <v>12</v>
      </c>
      <c r="I753" s="2">
        <v>6</v>
      </c>
      <c r="J753" s="2">
        <v>40</v>
      </c>
      <c r="K753" s="6">
        <v>0.43541666666666662</v>
      </c>
      <c r="L753" s="2" t="s">
        <v>172</v>
      </c>
      <c r="M753" s="2">
        <v>11</v>
      </c>
      <c r="N753" s="2">
        <v>2</v>
      </c>
      <c r="O753" s="2">
        <v>1</v>
      </c>
      <c r="P753" s="2" t="s">
        <v>247</v>
      </c>
      <c r="Q753" s="7" t="s">
        <v>64</v>
      </c>
      <c r="R753" s="4" t="s">
        <v>293</v>
      </c>
      <c r="S753" s="20">
        <v>5</v>
      </c>
      <c r="T753" s="2">
        <v>5</v>
      </c>
    </row>
    <row r="754" spans="1:28">
      <c r="A754" s="7">
        <f>MAX($A$1:$A753)+1</f>
        <v>753</v>
      </c>
      <c r="B754" s="2" t="s">
        <v>278</v>
      </c>
      <c r="C754" s="2" t="s">
        <v>171</v>
      </c>
      <c r="D754" s="2" t="s">
        <v>34</v>
      </c>
      <c r="E754" s="7" t="s">
        <v>378</v>
      </c>
      <c r="F754" s="4">
        <v>48.916072999999997</v>
      </c>
      <c r="G754" s="18">
        <v>-125.131174</v>
      </c>
      <c r="H754" s="5" t="s">
        <v>12</v>
      </c>
      <c r="I754" s="2">
        <v>6</v>
      </c>
      <c r="J754" s="2">
        <v>40</v>
      </c>
      <c r="K754" s="6">
        <v>0.43541666666666662</v>
      </c>
      <c r="L754" s="2" t="s">
        <v>172</v>
      </c>
      <c r="M754" s="2">
        <v>11</v>
      </c>
      <c r="N754" s="2">
        <v>2</v>
      </c>
      <c r="O754" s="2">
        <v>1</v>
      </c>
      <c r="P754" s="2" t="s">
        <v>296</v>
      </c>
      <c r="Q754" s="7" t="s">
        <v>75</v>
      </c>
      <c r="R754" s="4" t="s">
        <v>297</v>
      </c>
      <c r="S754" s="20">
        <v>6</v>
      </c>
      <c r="T754" s="2">
        <v>6</v>
      </c>
    </row>
    <row r="755" spans="1:28">
      <c r="A755" s="7">
        <f>MAX($A$1:$A754)+1</f>
        <v>754</v>
      </c>
      <c r="B755" s="2" t="s">
        <v>278</v>
      </c>
      <c r="C755" s="2" t="s">
        <v>171</v>
      </c>
      <c r="D755" s="2" t="s">
        <v>34</v>
      </c>
      <c r="E755" s="7" t="s">
        <v>378</v>
      </c>
      <c r="F755" s="4">
        <v>48.916072999999997</v>
      </c>
      <c r="G755" s="18">
        <v>-125.131174</v>
      </c>
      <c r="H755" s="5" t="s">
        <v>12</v>
      </c>
      <c r="I755" s="2">
        <v>6</v>
      </c>
      <c r="J755" s="2">
        <v>40</v>
      </c>
      <c r="K755" s="6">
        <v>0.43541666666666662</v>
      </c>
      <c r="L755" s="2" t="s">
        <v>172</v>
      </c>
      <c r="M755" s="2">
        <v>11</v>
      </c>
      <c r="N755" s="2">
        <v>0</v>
      </c>
      <c r="O755" s="2">
        <v>1</v>
      </c>
      <c r="P755" s="2" t="s">
        <v>380</v>
      </c>
      <c r="Q755" s="7" t="s">
        <v>52</v>
      </c>
      <c r="R755" s="4" t="s">
        <v>381</v>
      </c>
      <c r="S755" s="20">
        <v>3</v>
      </c>
      <c r="T755" s="2">
        <v>0</v>
      </c>
      <c r="AA755" s="2">
        <v>1</v>
      </c>
      <c r="AB755" s="2">
        <v>2</v>
      </c>
    </row>
    <row r="756" spans="1:28">
      <c r="A756" s="7">
        <f>MAX($A$1:$A755)+1</f>
        <v>755</v>
      </c>
      <c r="B756" s="2" t="s">
        <v>278</v>
      </c>
      <c r="C756" s="2" t="s">
        <v>171</v>
      </c>
      <c r="D756" s="2" t="s">
        <v>34</v>
      </c>
      <c r="E756" s="7" t="s">
        <v>378</v>
      </c>
      <c r="F756" s="4">
        <v>48.916072999999997</v>
      </c>
      <c r="G756" s="18">
        <v>-125.131174</v>
      </c>
      <c r="H756" s="5" t="s">
        <v>12</v>
      </c>
      <c r="I756" s="2">
        <v>6</v>
      </c>
      <c r="J756" s="2">
        <v>40</v>
      </c>
      <c r="K756" s="6">
        <v>0.43541666666666662</v>
      </c>
      <c r="L756" s="2" t="s">
        <v>172</v>
      </c>
      <c r="M756" s="2">
        <v>11</v>
      </c>
      <c r="N756" s="2">
        <v>2</v>
      </c>
      <c r="O756" s="2">
        <v>1</v>
      </c>
      <c r="P756" s="2" t="s">
        <v>335</v>
      </c>
      <c r="Q756" s="7" t="s">
        <v>91</v>
      </c>
      <c r="R756" s="4" t="s">
        <v>336</v>
      </c>
      <c r="S756" s="20">
        <v>3</v>
      </c>
      <c r="T756" s="2">
        <v>3</v>
      </c>
    </row>
    <row r="757" spans="1:28">
      <c r="A757" s="7">
        <f>MAX($A$1:$A756)+1</f>
        <v>756</v>
      </c>
      <c r="B757" s="2" t="s">
        <v>278</v>
      </c>
      <c r="C757" s="2" t="s">
        <v>171</v>
      </c>
      <c r="D757" s="2" t="s">
        <v>34</v>
      </c>
      <c r="E757" s="7" t="s">
        <v>378</v>
      </c>
      <c r="F757" s="4">
        <v>48.916072999999997</v>
      </c>
      <c r="G757" s="18">
        <v>-125.131174</v>
      </c>
      <c r="H757" s="5" t="s">
        <v>12</v>
      </c>
      <c r="I757" s="2">
        <v>6</v>
      </c>
      <c r="J757" s="2">
        <v>40</v>
      </c>
      <c r="K757" s="6">
        <v>0.43541666666666662</v>
      </c>
      <c r="L757" s="2" t="s">
        <v>172</v>
      </c>
      <c r="M757" s="2">
        <v>11</v>
      </c>
      <c r="N757" s="2">
        <v>2</v>
      </c>
      <c r="O757" s="2">
        <v>1</v>
      </c>
      <c r="P757" s="2" t="s">
        <v>331</v>
      </c>
      <c r="Q757" s="7" t="s">
        <v>67</v>
      </c>
      <c r="R757" s="4" t="s">
        <v>332</v>
      </c>
      <c r="S757" s="20">
        <v>9</v>
      </c>
      <c r="T757" s="2">
        <v>9</v>
      </c>
    </row>
    <row r="758" spans="1:28">
      <c r="A758" s="7">
        <f>MAX($A$1:$A757)+1</f>
        <v>757</v>
      </c>
      <c r="B758" s="2" t="s">
        <v>278</v>
      </c>
      <c r="C758" s="2" t="s">
        <v>171</v>
      </c>
      <c r="D758" s="2" t="s">
        <v>34</v>
      </c>
      <c r="E758" s="7" t="s">
        <v>378</v>
      </c>
      <c r="F758" s="4">
        <v>48.916072999999997</v>
      </c>
      <c r="G758" s="18">
        <v>-125.131174</v>
      </c>
      <c r="H758" s="5" t="s">
        <v>12</v>
      </c>
      <c r="I758" s="2">
        <v>6</v>
      </c>
      <c r="J758" s="2">
        <v>40</v>
      </c>
      <c r="K758" s="6">
        <v>0.43541666666666662</v>
      </c>
      <c r="L758" s="2" t="s">
        <v>172</v>
      </c>
      <c r="M758" s="2">
        <v>11</v>
      </c>
      <c r="N758" s="2">
        <v>2</v>
      </c>
      <c r="O758" s="2">
        <v>1</v>
      </c>
      <c r="P758" s="2" t="s">
        <v>238</v>
      </c>
      <c r="Q758" s="7" t="s">
        <v>69</v>
      </c>
      <c r="R758" s="4" t="s">
        <v>313</v>
      </c>
      <c r="S758" s="20">
        <v>15</v>
      </c>
      <c r="T758" s="2">
        <v>15</v>
      </c>
    </row>
    <row r="759" spans="1:28">
      <c r="A759" s="7">
        <f>MAX($A$1:$A758)+1</f>
        <v>758</v>
      </c>
      <c r="B759" s="2" t="s">
        <v>278</v>
      </c>
      <c r="C759" s="2" t="s">
        <v>171</v>
      </c>
      <c r="D759" s="2" t="s">
        <v>34</v>
      </c>
      <c r="E759" s="7" t="s">
        <v>378</v>
      </c>
      <c r="F759" s="4">
        <v>48.916072999999997</v>
      </c>
      <c r="G759" s="18">
        <v>-125.131174</v>
      </c>
      <c r="H759" s="5" t="s">
        <v>12</v>
      </c>
      <c r="I759" s="2">
        <v>6</v>
      </c>
      <c r="J759" s="2">
        <v>40</v>
      </c>
      <c r="K759" s="6">
        <v>0.43541666666666662</v>
      </c>
      <c r="L759" s="2" t="s">
        <v>172</v>
      </c>
      <c r="M759" s="2">
        <v>11</v>
      </c>
      <c r="N759" s="2">
        <v>2</v>
      </c>
      <c r="O759" s="2">
        <v>1</v>
      </c>
      <c r="P759" s="2" t="s">
        <v>350</v>
      </c>
      <c r="Q759" s="7" t="s">
        <v>83</v>
      </c>
      <c r="R759" s="4" t="s">
        <v>351</v>
      </c>
      <c r="S759" s="20">
        <v>4</v>
      </c>
      <c r="T759" s="2">
        <v>4</v>
      </c>
    </row>
    <row r="760" spans="1:28">
      <c r="A760" s="7">
        <f>MAX($A$1:$A759)+1</f>
        <v>759</v>
      </c>
      <c r="B760" s="2" t="s">
        <v>278</v>
      </c>
      <c r="C760" s="2" t="s">
        <v>171</v>
      </c>
      <c r="D760" s="2" t="s">
        <v>34</v>
      </c>
      <c r="E760" s="7" t="s">
        <v>378</v>
      </c>
      <c r="F760" s="4">
        <v>48.916072999999997</v>
      </c>
      <c r="G760" s="18">
        <v>-125.131174</v>
      </c>
      <c r="H760" s="5" t="s">
        <v>12</v>
      </c>
      <c r="I760" s="2">
        <v>6</v>
      </c>
      <c r="J760" s="2">
        <v>40</v>
      </c>
      <c r="K760" s="6">
        <v>0.43541666666666662</v>
      </c>
      <c r="L760" s="2" t="s">
        <v>172</v>
      </c>
      <c r="M760" s="2">
        <v>11</v>
      </c>
      <c r="N760" s="2">
        <v>0</v>
      </c>
      <c r="O760" s="2">
        <v>1</v>
      </c>
      <c r="P760" s="2" t="s">
        <v>236</v>
      </c>
      <c r="Q760" s="7" t="s">
        <v>44</v>
      </c>
      <c r="R760" s="4" t="s">
        <v>369</v>
      </c>
      <c r="S760" s="20">
        <v>1</v>
      </c>
      <c r="T760" s="2">
        <v>0</v>
      </c>
      <c r="Y760" s="2">
        <v>1</v>
      </c>
    </row>
    <row r="761" spans="1:28">
      <c r="A761" s="7">
        <f>MAX($A$1:$A760)+1</f>
        <v>760</v>
      </c>
      <c r="B761" s="2" t="s">
        <v>278</v>
      </c>
      <c r="C761" s="2" t="s">
        <v>171</v>
      </c>
      <c r="D761" s="2" t="s">
        <v>34</v>
      </c>
      <c r="E761" s="7" t="s">
        <v>378</v>
      </c>
      <c r="F761" s="4">
        <v>48.916072999999997</v>
      </c>
      <c r="G761" s="18">
        <v>-125.131174</v>
      </c>
      <c r="H761" s="5" t="s">
        <v>12</v>
      </c>
      <c r="I761" s="2">
        <v>6</v>
      </c>
      <c r="J761" s="2">
        <v>40</v>
      </c>
      <c r="K761" s="6">
        <v>0.43541666666666662</v>
      </c>
      <c r="L761" s="2" t="s">
        <v>172</v>
      </c>
      <c r="M761" s="2">
        <v>11</v>
      </c>
      <c r="N761" s="2">
        <v>2</v>
      </c>
      <c r="O761" s="2">
        <v>1</v>
      </c>
      <c r="P761" s="2" t="s">
        <v>316</v>
      </c>
      <c r="Q761" s="7" t="s">
        <v>123</v>
      </c>
      <c r="R761" s="4" t="s">
        <v>317</v>
      </c>
      <c r="S761" s="20">
        <v>1</v>
      </c>
      <c r="T761" s="2">
        <v>1</v>
      </c>
    </row>
    <row r="762" spans="1:28">
      <c r="A762" s="7">
        <f>MAX($A$1:$A761)+1</f>
        <v>761</v>
      </c>
      <c r="B762" s="2" t="s">
        <v>278</v>
      </c>
      <c r="C762" s="2" t="s">
        <v>171</v>
      </c>
      <c r="D762" s="2" t="s">
        <v>34</v>
      </c>
      <c r="E762" s="7" t="s">
        <v>378</v>
      </c>
      <c r="F762" s="4">
        <v>48.916072999999997</v>
      </c>
      <c r="G762" s="18">
        <v>-125.131174</v>
      </c>
      <c r="H762" s="5" t="s">
        <v>12</v>
      </c>
      <c r="I762" s="2">
        <v>6</v>
      </c>
      <c r="J762" s="2">
        <v>40</v>
      </c>
      <c r="K762" s="6">
        <v>0.43541666666666662</v>
      </c>
      <c r="L762" s="2" t="s">
        <v>172</v>
      </c>
      <c r="M762" s="2">
        <v>11</v>
      </c>
      <c r="N762" s="2">
        <v>2</v>
      </c>
      <c r="O762" s="2">
        <v>1</v>
      </c>
      <c r="P762" s="2" t="s">
        <v>308</v>
      </c>
      <c r="Q762" s="7" t="s">
        <v>122</v>
      </c>
      <c r="R762" s="4" t="s">
        <v>309</v>
      </c>
      <c r="S762" s="20">
        <v>2</v>
      </c>
      <c r="T762" s="2">
        <v>2</v>
      </c>
    </row>
    <row r="763" spans="1:28">
      <c r="A763" s="7">
        <f>MAX($A$1:$A762)+1</f>
        <v>762</v>
      </c>
      <c r="B763" s="2" t="s">
        <v>278</v>
      </c>
      <c r="C763" s="2" t="s">
        <v>171</v>
      </c>
      <c r="D763" s="2" t="s">
        <v>34</v>
      </c>
      <c r="E763" s="7" t="s">
        <v>378</v>
      </c>
      <c r="F763" s="4">
        <v>48.916072999999997</v>
      </c>
      <c r="G763" s="18">
        <v>-125.131174</v>
      </c>
      <c r="H763" s="5" t="s">
        <v>12</v>
      </c>
      <c r="I763" s="2">
        <v>6</v>
      </c>
      <c r="J763" s="2">
        <v>40</v>
      </c>
      <c r="K763" s="6">
        <v>0.43541666666666662</v>
      </c>
      <c r="L763" s="2" t="s">
        <v>172</v>
      </c>
      <c r="M763" s="2">
        <v>11</v>
      </c>
      <c r="N763" s="2">
        <v>0</v>
      </c>
      <c r="O763" s="2">
        <v>1</v>
      </c>
      <c r="P763" s="2" t="s">
        <v>338</v>
      </c>
      <c r="Q763" s="7" t="s">
        <v>101</v>
      </c>
      <c r="R763" s="4" t="s">
        <v>339</v>
      </c>
      <c r="S763" s="20">
        <v>7</v>
      </c>
      <c r="T763" s="2">
        <v>0</v>
      </c>
      <c r="U763" s="2">
        <v>5</v>
      </c>
      <c r="V763" s="2">
        <v>2</v>
      </c>
    </row>
    <row r="764" spans="1:28">
      <c r="A764" s="7">
        <f>MAX($A$1:$A763)+1</f>
        <v>763</v>
      </c>
      <c r="B764" s="2" t="s">
        <v>278</v>
      </c>
      <c r="C764" s="2" t="s">
        <v>171</v>
      </c>
      <c r="D764" s="2" t="s">
        <v>34</v>
      </c>
      <c r="E764" s="7" t="s">
        <v>378</v>
      </c>
      <c r="F764" s="4">
        <v>48.916072999999997</v>
      </c>
      <c r="G764" s="18">
        <v>-125.131174</v>
      </c>
      <c r="H764" s="5" t="s">
        <v>12</v>
      </c>
      <c r="I764" s="2">
        <v>6</v>
      </c>
      <c r="J764" s="2">
        <v>40</v>
      </c>
      <c r="K764" s="6">
        <v>0.43541666666666662</v>
      </c>
      <c r="L764" s="2" t="s">
        <v>172</v>
      </c>
      <c r="M764" s="2">
        <v>11</v>
      </c>
      <c r="N764" s="2">
        <v>0</v>
      </c>
      <c r="O764" s="2">
        <v>1</v>
      </c>
      <c r="P764" s="2" t="s">
        <v>231</v>
      </c>
      <c r="Q764" s="7" t="s">
        <v>48</v>
      </c>
      <c r="R764" s="4" t="s">
        <v>365</v>
      </c>
      <c r="S764" s="20">
        <v>1</v>
      </c>
      <c r="T764" s="2">
        <v>0</v>
      </c>
      <c r="AA764" s="2">
        <v>1</v>
      </c>
    </row>
    <row r="765" spans="1:28">
      <c r="A765" s="7">
        <f>MAX($A$1:$A764)+1</f>
        <v>764</v>
      </c>
      <c r="B765" s="2" t="s">
        <v>278</v>
      </c>
      <c r="C765" s="2" t="s">
        <v>171</v>
      </c>
      <c r="D765" s="2" t="s">
        <v>34</v>
      </c>
      <c r="E765" s="7" t="s">
        <v>378</v>
      </c>
      <c r="F765" s="4">
        <v>48.916072999999997</v>
      </c>
      <c r="G765" s="18">
        <v>-125.131174</v>
      </c>
      <c r="H765" s="5" t="s">
        <v>12</v>
      </c>
      <c r="I765" s="2">
        <v>6</v>
      </c>
      <c r="J765" s="2">
        <v>40</v>
      </c>
      <c r="K765" s="6">
        <v>0.43541666666666662</v>
      </c>
      <c r="L765" s="2" t="s">
        <v>172</v>
      </c>
      <c r="M765" s="2">
        <v>11</v>
      </c>
      <c r="N765" s="2">
        <v>0</v>
      </c>
      <c r="O765" s="2">
        <v>1</v>
      </c>
      <c r="P765" s="2" t="s">
        <v>233</v>
      </c>
      <c r="Q765" s="7" t="s">
        <v>53</v>
      </c>
      <c r="R765" s="4" t="s">
        <v>379</v>
      </c>
      <c r="S765" s="20">
        <v>2</v>
      </c>
      <c r="T765" s="2">
        <v>0</v>
      </c>
      <c r="Y765" s="2">
        <v>1</v>
      </c>
      <c r="AA765" s="2">
        <v>1</v>
      </c>
    </row>
    <row r="766" spans="1:28">
      <c r="A766" s="7">
        <f>MAX($A$1:$A765)+1</f>
        <v>765</v>
      </c>
      <c r="B766" s="2" t="s">
        <v>278</v>
      </c>
      <c r="C766" s="2" t="s">
        <v>171</v>
      </c>
      <c r="D766" s="2" t="s">
        <v>34</v>
      </c>
      <c r="E766" s="7" t="s">
        <v>378</v>
      </c>
      <c r="F766" s="4">
        <v>48.916072999999997</v>
      </c>
      <c r="G766" s="18">
        <v>-125.131174</v>
      </c>
      <c r="H766" s="5" t="s">
        <v>12</v>
      </c>
      <c r="I766" s="2">
        <v>6</v>
      </c>
      <c r="J766" s="2">
        <v>40</v>
      </c>
      <c r="K766" s="6">
        <v>0.43541666666666662</v>
      </c>
      <c r="L766" s="2" t="s">
        <v>172</v>
      </c>
      <c r="M766" s="2">
        <v>11</v>
      </c>
      <c r="N766" s="2">
        <v>2</v>
      </c>
      <c r="O766" s="2">
        <v>1</v>
      </c>
      <c r="P766" s="2" t="s">
        <v>301</v>
      </c>
      <c r="Q766" s="7" t="s">
        <v>97</v>
      </c>
      <c r="R766" s="4" t="s">
        <v>302</v>
      </c>
      <c r="S766" s="20">
        <v>9</v>
      </c>
      <c r="T766" s="2">
        <v>9</v>
      </c>
    </row>
    <row r="767" spans="1:28">
      <c r="A767" s="7">
        <f>MAX($A$1:$A766)+1</f>
        <v>766</v>
      </c>
      <c r="B767" s="2" t="s">
        <v>278</v>
      </c>
      <c r="C767" s="2" t="s">
        <v>171</v>
      </c>
      <c r="D767" s="2" t="s">
        <v>34</v>
      </c>
      <c r="E767" s="7" t="s">
        <v>378</v>
      </c>
      <c r="F767" s="4">
        <v>48.916072999999997</v>
      </c>
      <c r="G767" s="18">
        <v>-125.131174</v>
      </c>
      <c r="H767" s="5" t="s">
        <v>12</v>
      </c>
      <c r="I767" s="2">
        <v>6</v>
      </c>
      <c r="J767" s="2">
        <v>40</v>
      </c>
      <c r="K767" s="6">
        <v>0.43541666666666662</v>
      </c>
      <c r="L767" s="2" t="s">
        <v>172</v>
      </c>
      <c r="M767" s="2">
        <v>11</v>
      </c>
      <c r="N767" s="2">
        <v>2</v>
      </c>
      <c r="O767" s="2">
        <v>1</v>
      </c>
      <c r="P767" s="2" t="s">
        <v>240</v>
      </c>
      <c r="Q767" s="7" t="s">
        <v>74</v>
      </c>
      <c r="R767" s="4" t="s">
        <v>337</v>
      </c>
      <c r="S767" s="20">
        <v>1</v>
      </c>
      <c r="T767" s="2">
        <v>1</v>
      </c>
    </row>
    <row r="768" spans="1:28">
      <c r="A768" s="7">
        <f>MAX($A$1:$A767)+1</f>
        <v>767</v>
      </c>
      <c r="B768" s="2" t="s">
        <v>278</v>
      </c>
      <c r="C768" s="2" t="s">
        <v>171</v>
      </c>
      <c r="D768" s="2" t="s">
        <v>34</v>
      </c>
      <c r="E768" s="7" t="s">
        <v>378</v>
      </c>
      <c r="F768" s="4">
        <v>48.916072999999997</v>
      </c>
      <c r="G768" s="18">
        <v>-125.131174</v>
      </c>
      <c r="H768" s="5" t="s">
        <v>12</v>
      </c>
      <c r="I768" s="2">
        <v>6</v>
      </c>
      <c r="J768" s="2">
        <v>40</v>
      </c>
      <c r="K768" s="6">
        <v>0.43541666666666662</v>
      </c>
      <c r="L768" s="2" t="s">
        <v>172</v>
      </c>
      <c r="M768" s="2">
        <v>11</v>
      </c>
      <c r="N768" s="2">
        <v>2</v>
      </c>
      <c r="O768" s="2">
        <v>1</v>
      </c>
      <c r="P768" s="2" t="s">
        <v>230</v>
      </c>
      <c r="Q768" s="7" t="s">
        <v>42</v>
      </c>
      <c r="R768" s="4" t="s">
        <v>321</v>
      </c>
      <c r="S768" s="20">
        <v>1</v>
      </c>
      <c r="T768" s="2">
        <v>0</v>
      </c>
      <c r="W768" s="2">
        <v>1</v>
      </c>
    </row>
    <row r="769" spans="1:31">
      <c r="A769" s="7">
        <f>MAX($A$1:$A768)+1</f>
        <v>768</v>
      </c>
      <c r="B769" s="2" t="s">
        <v>278</v>
      </c>
      <c r="C769" s="2" t="s">
        <v>171</v>
      </c>
      <c r="D769" s="2" t="s">
        <v>34</v>
      </c>
      <c r="E769" s="7" t="s">
        <v>378</v>
      </c>
      <c r="F769" s="4">
        <v>48.916072999999997</v>
      </c>
      <c r="G769" s="18">
        <v>-125.131174</v>
      </c>
      <c r="H769" s="5" t="s">
        <v>12</v>
      </c>
      <c r="I769" s="2">
        <v>6</v>
      </c>
      <c r="J769" s="2">
        <v>40</v>
      </c>
      <c r="K769" s="6">
        <v>0.43541666666666662</v>
      </c>
      <c r="L769" s="2" t="s">
        <v>172</v>
      </c>
      <c r="M769" s="2">
        <v>11</v>
      </c>
      <c r="N769" s="2">
        <v>0</v>
      </c>
      <c r="O769" s="2">
        <v>1</v>
      </c>
      <c r="P769" s="2" t="s">
        <v>232</v>
      </c>
      <c r="Q769" s="7" t="s">
        <v>43</v>
      </c>
      <c r="R769" s="4" t="s">
        <v>324</v>
      </c>
      <c r="S769" s="20">
        <v>2</v>
      </c>
      <c r="T769" s="2">
        <v>0</v>
      </c>
      <c r="AB769" s="2">
        <v>2</v>
      </c>
    </row>
    <row r="770" spans="1:31">
      <c r="A770" s="7">
        <f>MAX($A$1:$A769)+1</f>
        <v>769</v>
      </c>
      <c r="B770" s="2" t="s">
        <v>278</v>
      </c>
      <c r="C770" s="2" t="s">
        <v>171</v>
      </c>
      <c r="D770" s="2" t="s">
        <v>34</v>
      </c>
      <c r="E770" s="7" t="s">
        <v>378</v>
      </c>
      <c r="F770" s="4">
        <v>48.916072999999997</v>
      </c>
      <c r="G770" s="18">
        <v>-125.131174</v>
      </c>
      <c r="H770" s="5" t="s">
        <v>12</v>
      </c>
      <c r="I770" s="2">
        <v>6</v>
      </c>
      <c r="J770" s="2">
        <v>40</v>
      </c>
      <c r="K770" s="6">
        <v>0.43541666666666662</v>
      </c>
      <c r="L770" s="2" t="s">
        <v>172</v>
      </c>
      <c r="M770" s="2">
        <v>11</v>
      </c>
      <c r="N770" s="2">
        <v>0</v>
      </c>
      <c r="O770" s="2">
        <v>1</v>
      </c>
      <c r="P770" s="2" t="s">
        <v>328</v>
      </c>
      <c r="Q770" s="7" t="s">
        <v>126</v>
      </c>
      <c r="R770" s="4" t="s">
        <v>329</v>
      </c>
      <c r="S770" s="20">
        <v>0</v>
      </c>
      <c r="T770" s="2">
        <v>0</v>
      </c>
    </row>
    <row r="771" spans="1:31">
      <c r="A771" s="7">
        <f>MAX($A$1:$A770)+1</f>
        <v>770</v>
      </c>
      <c r="B771" s="2" t="s">
        <v>409</v>
      </c>
      <c r="C771" s="2" t="s">
        <v>269</v>
      </c>
      <c r="D771" s="2" t="s">
        <v>34</v>
      </c>
      <c r="E771" s="7" t="s">
        <v>378</v>
      </c>
      <c r="F771" s="4">
        <v>48.916072999999997</v>
      </c>
      <c r="G771" s="18">
        <v>-125.131174</v>
      </c>
      <c r="H771" s="28" t="s">
        <v>12</v>
      </c>
      <c r="I771" s="2">
        <v>6</v>
      </c>
      <c r="J771" s="2">
        <v>40</v>
      </c>
      <c r="K771" s="6">
        <v>0.43541666666666662</v>
      </c>
      <c r="L771" s="2" t="s">
        <v>279</v>
      </c>
      <c r="M771" s="2">
        <v>7.5</v>
      </c>
      <c r="N771" s="2">
        <v>1</v>
      </c>
      <c r="O771" s="2">
        <v>1</v>
      </c>
      <c r="P771" s="2" t="s">
        <v>232</v>
      </c>
      <c r="Q771" s="7" t="s">
        <v>43</v>
      </c>
      <c r="R771" s="4" t="s">
        <v>324</v>
      </c>
      <c r="S771" s="20">
        <v>17</v>
      </c>
      <c r="T771" s="2">
        <v>0</v>
      </c>
      <c r="Z771" s="2">
        <v>4</v>
      </c>
      <c r="AA771" s="2">
        <v>2</v>
      </c>
      <c r="AB771" s="2">
        <v>5</v>
      </c>
      <c r="AC771" s="2">
        <v>6</v>
      </c>
    </row>
    <row r="772" spans="1:31">
      <c r="A772" s="7">
        <f>MAX($A$1:$A771)+1</f>
        <v>771</v>
      </c>
      <c r="B772" s="2" t="s">
        <v>409</v>
      </c>
      <c r="C772" s="2" t="s">
        <v>269</v>
      </c>
      <c r="D772" s="2" t="s">
        <v>34</v>
      </c>
      <c r="E772" s="7" t="s">
        <v>378</v>
      </c>
      <c r="F772" s="4">
        <v>48.916072999999997</v>
      </c>
      <c r="G772" s="18">
        <v>-125.131174</v>
      </c>
      <c r="H772" s="28" t="s">
        <v>12</v>
      </c>
      <c r="I772" s="2">
        <v>6</v>
      </c>
      <c r="J772" s="2">
        <v>40</v>
      </c>
      <c r="K772" s="6">
        <v>0.43541666666666662</v>
      </c>
      <c r="L772" s="2" t="s">
        <v>279</v>
      </c>
      <c r="M772" s="2">
        <v>7.5</v>
      </c>
      <c r="N772" s="2">
        <v>1</v>
      </c>
      <c r="O772" s="2">
        <v>1</v>
      </c>
      <c r="P772" s="2" t="s">
        <v>237</v>
      </c>
      <c r="Q772" s="7" t="s">
        <v>51</v>
      </c>
      <c r="R772" s="4" t="s">
        <v>368</v>
      </c>
      <c r="S772" s="20">
        <v>2</v>
      </c>
      <c r="T772" s="2">
        <v>0</v>
      </c>
      <c r="AE772" s="2">
        <v>2</v>
      </c>
    </row>
    <row r="773" spans="1:31">
      <c r="A773" s="7">
        <f>MAX($A$1:$A772)+1</f>
        <v>772</v>
      </c>
      <c r="B773" s="2" t="s">
        <v>409</v>
      </c>
      <c r="C773" s="2" t="s">
        <v>269</v>
      </c>
      <c r="D773" s="2" t="s">
        <v>34</v>
      </c>
      <c r="E773" s="7" t="s">
        <v>378</v>
      </c>
      <c r="F773" s="4">
        <v>48.916072999999997</v>
      </c>
      <c r="G773" s="18">
        <v>-125.131174</v>
      </c>
      <c r="H773" s="28" t="s">
        <v>12</v>
      </c>
      <c r="I773" s="2">
        <v>6</v>
      </c>
      <c r="J773" s="2">
        <v>40</v>
      </c>
      <c r="K773" s="6">
        <v>0.43541666666666662</v>
      </c>
      <c r="L773" s="2" t="s">
        <v>279</v>
      </c>
      <c r="M773" s="2">
        <v>7.5</v>
      </c>
      <c r="N773" s="2">
        <v>1</v>
      </c>
      <c r="O773" s="2">
        <v>1</v>
      </c>
      <c r="P773" s="2" t="s">
        <v>231</v>
      </c>
      <c r="Q773" s="7" t="s">
        <v>48</v>
      </c>
      <c r="R773" s="4" t="s">
        <v>365</v>
      </c>
      <c r="S773" s="20">
        <v>9</v>
      </c>
      <c r="T773" s="2">
        <v>0</v>
      </c>
      <c r="Z773" s="2">
        <v>7</v>
      </c>
      <c r="AA773" s="2">
        <v>2</v>
      </c>
    </row>
    <row r="774" spans="1:31">
      <c r="A774" s="7">
        <f>MAX($A$1:$A773)+1</f>
        <v>773</v>
      </c>
      <c r="B774" s="2" t="s">
        <v>409</v>
      </c>
      <c r="C774" s="2" t="s">
        <v>269</v>
      </c>
      <c r="D774" s="2" t="s">
        <v>34</v>
      </c>
      <c r="E774" s="7" t="s">
        <v>378</v>
      </c>
      <c r="F774" s="4">
        <v>48.916072999999997</v>
      </c>
      <c r="G774" s="18">
        <v>-125.131174</v>
      </c>
      <c r="H774" s="28" t="s">
        <v>12</v>
      </c>
      <c r="I774" s="2">
        <v>6</v>
      </c>
      <c r="J774" s="2">
        <v>40</v>
      </c>
      <c r="K774" s="6">
        <v>0.43541666666666662</v>
      </c>
      <c r="L774" s="2" t="s">
        <v>279</v>
      </c>
      <c r="M774" s="2">
        <v>7.5</v>
      </c>
      <c r="N774" s="2">
        <v>2</v>
      </c>
      <c r="O774" s="2">
        <v>1</v>
      </c>
      <c r="P774" s="2" t="s">
        <v>241</v>
      </c>
      <c r="Q774" s="7" t="s">
        <v>63</v>
      </c>
      <c r="R774" s="4" t="s">
        <v>294</v>
      </c>
      <c r="S774" s="20">
        <v>241</v>
      </c>
      <c r="T774" s="2">
        <v>241</v>
      </c>
    </row>
    <row r="775" spans="1:31">
      <c r="A775" s="7">
        <f>MAX($A$1:$A774)+1</f>
        <v>774</v>
      </c>
      <c r="B775" s="2" t="s">
        <v>409</v>
      </c>
      <c r="C775" s="2" t="s">
        <v>269</v>
      </c>
      <c r="D775" s="2" t="s">
        <v>34</v>
      </c>
      <c r="E775" s="7" t="s">
        <v>378</v>
      </c>
      <c r="F775" s="4">
        <v>48.916072999999997</v>
      </c>
      <c r="G775" s="18">
        <v>-125.131174</v>
      </c>
      <c r="H775" s="28" t="s">
        <v>12</v>
      </c>
      <c r="I775" s="2">
        <v>6</v>
      </c>
      <c r="J775" s="2">
        <v>40</v>
      </c>
      <c r="K775" s="6">
        <v>0.43541666666666662</v>
      </c>
      <c r="L775" s="2" t="s">
        <v>279</v>
      </c>
      <c r="M775" s="2">
        <v>7.5</v>
      </c>
      <c r="N775" s="2">
        <v>2</v>
      </c>
      <c r="O775" s="2">
        <v>1</v>
      </c>
      <c r="P775" s="2" t="s">
        <v>239</v>
      </c>
      <c r="Q775" s="7" t="s">
        <v>80</v>
      </c>
      <c r="R775" s="4" t="s">
        <v>300</v>
      </c>
      <c r="S775" s="20">
        <v>9</v>
      </c>
      <c r="T775" s="2">
        <v>9</v>
      </c>
    </row>
    <row r="776" spans="1:31">
      <c r="A776" s="7">
        <f>MAX($A$1:$A775)+1</f>
        <v>775</v>
      </c>
      <c r="B776" s="2" t="s">
        <v>409</v>
      </c>
      <c r="C776" s="2" t="s">
        <v>269</v>
      </c>
      <c r="D776" s="2" t="s">
        <v>34</v>
      </c>
      <c r="E776" s="7" t="s">
        <v>378</v>
      </c>
      <c r="F776" s="4">
        <v>48.916072999999997</v>
      </c>
      <c r="G776" s="18">
        <v>-125.131174</v>
      </c>
      <c r="H776" s="28" t="s">
        <v>12</v>
      </c>
      <c r="I776" s="2">
        <v>6</v>
      </c>
      <c r="J776" s="2">
        <v>40</v>
      </c>
      <c r="K776" s="6">
        <v>0.43541666666666662</v>
      </c>
      <c r="L776" s="2" t="s">
        <v>279</v>
      </c>
      <c r="M776" s="2">
        <v>7.5</v>
      </c>
      <c r="N776" s="2">
        <v>2</v>
      </c>
      <c r="O776" s="2">
        <v>1</v>
      </c>
      <c r="P776" s="2" t="s">
        <v>411</v>
      </c>
      <c r="Q776" s="7" t="s">
        <v>138</v>
      </c>
      <c r="R776" s="4" t="s">
        <v>412</v>
      </c>
      <c r="S776" s="20">
        <v>3</v>
      </c>
      <c r="T776" s="2">
        <v>3</v>
      </c>
    </row>
    <row r="777" spans="1:31">
      <c r="A777" s="7">
        <f>MAX($A$1:$A776)+1</f>
        <v>776</v>
      </c>
      <c r="B777" s="2" t="s">
        <v>409</v>
      </c>
      <c r="C777" s="2" t="s">
        <v>269</v>
      </c>
      <c r="D777" s="2" t="s">
        <v>34</v>
      </c>
      <c r="E777" s="7" t="s">
        <v>378</v>
      </c>
      <c r="F777" s="4">
        <v>48.916072999999997</v>
      </c>
      <c r="G777" s="18">
        <v>-125.131174</v>
      </c>
      <c r="H777" s="28" t="s">
        <v>12</v>
      </c>
      <c r="I777" s="2">
        <v>6</v>
      </c>
      <c r="J777" s="2">
        <v>40</v>
      </c>
      <c r="K777" s="6">
        <v>0.43541666666666662</v>
      </c>
      <c r="L777" s="2" t="s">
        <v>279</v>
      </c>
      <c r="M777" s="2">
        <v>7.5</v>
      </c>
      <c r="N777" s="2">
        <v>2</v>
      </c>
      <c r="O777" s="2">
        <v>1</v>
      </c>
      <c r="P777" s="2" t="s">
        <v>244</v>
      </c>
      <c r="Q777" s="7" t="s">
        <v>65</v>
      </c>
      <c r="R777" s="4" t="s">
        <v>307</v>
      </c>
      <c r="S777" s="20">
        <v>16</v>
      </c>
      <c r="T777" s="2">
        <v>16</v>
      </c>
    </row>
    <row r="778" spans="1:31">
      <c r="A778" s="7">
        <f>MAX($A$1:$A777)+1</f>
        <v>777</v>
      </c>
      <c r="B778" s="2" t="s">
        <v>409</v>
      </c>
      <c r="C778" s="2" t="s">
        <v>269</v>
      </c>
      <c r="D778" s="2" t="s">
        <v>34</v>
      </c>
      <c r="E778" s="7" t="s">
        <v>378</v>
      </c>
      <c r="F778" s="4">
        <v>48.916072999999997</v>
      </c>
      <c r="G778" s="18">
        <v>-125.131174</v>
      </c>
      <c r="H778" s="28" t="s">
        <v>12</v>
      </c>
      <c r="I778" s="2">
        <v>6</v>
      </c>
      <c r="J778" s="2">
        <v>40</v>
      </c>
      <c r="K778" s="6">
        <v>0.43541666666666662</v>
      </c>
      <c r="L778" s="2" t="s">
        <v>279</v>
      </c>
      <c r="M778" s="2">
        <v>7.5</v>
      </c>
      <c r="N778" s="2">
        <v>2</v>
      </c>
      <c r="O778" s="2">
        <v>1</v>
      </c>
      <c r="P778" s="2" t="s">
        <v>246</v>
      </c>
      <c r="Q778" s="7" t="s">
        <v>66</v>
      </c>
      <c r="R778" s="4" t="s">
        <v>318</v>
      </c>
      <c r="S778" s="20">
        <v>45</v>
      </c>
      <c r="T778" s="2">
        <v>0</v>
      </c>
      <c r="V778" s="2">
        <v>15</v>
      </c>
      <c r="W778" s="2">
        <v>16</v>
      </c>
      <c r="X778" s="2">
        <v>11</v>
      </c>
      <c r="Y778" s="2">
        <v>3</v>
      </c>
    </row>
    <row r="779" spans="1:31">
      <c r="A779" s="7">
        <f>MAX($A$1:$A778)+1</f>
        <v>778</v>
      </c>
      <c r="B779" s="2" t="s">
        <v>409</v>
      </c>
      <c r="C779" s="2" t="s">
        <v>269</v>
      </c>
      <c r="D779" s="2" t="s">
        <v>34</v>
      </c>
      <c r="E779" s="7" t="s">
        <v>378</v>
      </c>
      <c r="F779" s="4">
        <v>48.916072999999997</v>
      </c>
      <c r="G779" s="18">
        <v>-125.131174</v>
      </c>
      <c r="H779" s="28" t="s">
        <v>12</v>
      </c>
      <c r="I779" s="2">
        <v>6</v>
      </c>
      <c r="J779" s="2">
        <v>40</v>
      </c>
      <c r="K779" s="6">
        <v>0.43541666666666662</v>
      </c>
      <c r="L779" s="2" t="s">
        <v>279</v>
      </c>
      <c r="M779" s="2">
        <v>7.5</v>
      </c>
      <c r="N779" s="2">
        <v>2</v>
      </c>
      <c r="O779" s="2">
        <v>1</v>
      </c>
      <c r="P779" s="2" t="s">
        <v>247</v>
      </c>
      <c r="Q779" s="7" t="s">
        <v>64</v>
      </c>
      <c r="R779" s="4" t="s">
        <v>293</v>
      </c>
      <c r="S779" s="20">
        <v>15</v>
      </c>
      <c r="T779" s="2">
        <v>15</v>
      </c>
    </row>
    <row r="780" spans="1:31">
      <c r="A780" s="7">
        <f>MAX($A$1:$A779)+1</f>
        <v>779</v>
      </c>
      <c r="B780" s="2" t="s">
        <v>409</v>
      </c>
      <c r="C780" s="2" t="s">
        <v>269</v>
      </c>
      <c r="D780" s="2" t="s">
        <v>34</v>
      </c>
      <c r="E780" s="7" t="s">
        <v>378</v>
      </c>
      <c r="F780" s="4">
        <v>48.916072999999997</v>
      </c>
      <c r="G780" s="18">
        <v>-125.131174</v>
      </c>
      <c r="H780" s="28" t="s">
        <v>12</v>
      </c>
      <c r="I780" s="2">
        <v>6</v>
      </c>
      <c r="J780" s="2">
        <v>40</v>
      </c>
      <c r="K780" s="6">
        <v>0.43541666666666662</v>
      </c>
      <c r="L780" s="2" t="s">
        <v>279</v>
      </c>
      <c r="M780" s="2">
        <v>7.5</v>
      </c>
      <c r="N780" s="2">
        <v>2</v>
      </c>
      <c r="O780" s="2">
        <v>1</v>
      </c>
      <c r="P780" s="2" t="s">
        <v>333</v>
      </c>
      <c r="Q780" s="7" t="s">
        <v>102</v>
      </c>
      <c r="R780" s="4" t="s">
        <v>334</v>
      </c>
      <c r="S780" s="20">
        <v>19</v>
      </c>
      <c r="T780" s="2">
        <v>19</v>
      </c>
    </row>
    <row r="781" spans="1:31">
      <c r="A781" s="7">
        <f>MAX($A$1:$A780)+1</f>
        <v>780</v>
      </c>
      <c r="B781" s="2" t="s">
        <v>409</v>
      </c>
      <c r="C781" s="2" t="s">
        <v>269</v>
      </c>
      <c r="D781" s="2" t="s">
        <v>34</v>
      </c>
      <c r="E781" s="7" t="s">
        <v>378</v>
      </c>
      <c r="F781" s="4">
        <v>48.916072999999997</v>
      </c>
      <c r="G781" s="18">
        <v>-125.131174</v>
      </c>
      <c r="H781" s="28" t="s">
        <v>12</v>
      </c>
      <c r="I781" s="2">
        <v>6</v>
      </c>
      <c r="J781" s="2">
        <v>40</v>
      </c>
      <c r="K781" s="6">
        <v>0.43541666666666662</v>
      </c>
      <c r="L781" s="2" t="s">
        <v>279</v>
      </c>
      <c r="M781" s="2">
        <v>7.5</v>
      </c>
      <c r="N781" s="2">
        <v>2</v>
      </c>
      <c r="O781" s="2">
        <v>1</v>
      </c>
      <c r="P781" s="2" t="s">
        <v>419</v>
      </c>
      <c r="Q781" s="7" t="s">
        <v>139</v>
      </c>
      <c r="R781" s="4" t="s">
        <v>420</v>
      </c>
      <c r="S781" s="20">
        <v>9</v>
      </c>
      <c r="T781" s="2">
        <v>9</v>
      </c>
    </row>
    <row r="782" spans="1:31">
      <c r="A782" s="7">
        <f>MAX($A$1:$A781)+1</f>
        <v>781</v>
      </c>
      <c r="B782" s="2" t="s">
        <v>409</v>
      </c>
      <c r="C782" s="2" t="s">
        <v>269</v>
      </c>
      <c r="D782" s="2" t="s">
        <v>34</v>
      </c>
      <c r="E782" s="7" t="s">
        <v>378</v>
      </c>
      <c r="F782" s="4">
        <v>48.916072999999997</v>
      </c>
      <c r="G782" s="18">
        <v>-125.131174</v>
      </c>
      <c r="H782" s="28" t="s">
        <v>12</v>
      </c>
      <c r="I782" s="2">
        <v>6</v>
      </c>
      <c r="J782" s="2">
        <v>40</v>
      </c>
      <c r="K782" s="6">
        <v>0.43541666666666662</v>
      </c>
      <c r="L782" s="2" t="s">
        <v>279</v>
      </c>
      <c r="M782" s="2">
        <v>7.5</v>
      </c>
      <c r="N782" s="2">
        <v>2</v>
      </c>
      <c r="O782" s="2">
        <v>1</v>
      </c>
      <c r="P782" s="2" t="s">
        <v>350</v>
      </c>
      <c r="Q782" s="7" t="s">
        <v>83</v>
      </c>
      <c r="R782" s="4" t="s">
        <v>351</v>
      </c>
      <c r="S782" s="20">
        <v>5</v>
      </c>
      <c r="T782" s="2">
        <v>5</v>
      </c>
    </row>
    <row r="783" spans="1:31">
      <c r="A783" s="7">
        <f>MAX($A$1:$A782)+1</f>
        <v>782</v>
      </c>
      <c r="B783" s="2" t="s">
        <v>409</v>
      </c>
      <c r="C783" s="2" t="s">
        <v>269</v>
      </c>
      <c r="D783" s="2" t="s">
        <v>34</v>
      </c>
      <c r="E783" s="7" t="s">
        <v>378</v>
      </c>
      <c r="F783" s="4">
        <v>48.916072999999997</v>
      </c>
      <c r="G783" s="18">
        <v>-125.131174</v>
      </c>
      <c r="H783" s="28" t="s">
        <v>12</v>
      </c>
      <c r="I783" s="2">
        <v>6</v>
      </c>
      <c r="J783" s="2">
        <v>40</v>
      </c>
      <c r="K783" s="6">
        <v>0.43541666666666662</v>
      </c>
      <c r="L783" s="2" t="s">
        <v>279</v>
      </c>
      <c r="M783" s="2">
        <v>7.5</v>
      </c>
      <c r="N783" s="2">
        <v>2</v>
      </c>
      <c r="O783" s="2">
        <v>1</v>
      </c>
      <c r="P783" s="2" t="s">
        <v>250</v>
      </c>
      <c r="Q783" s="7" t="s">
        <v>46</v>
      </c>
      <c r="R783" s="4" t="s">
        <v>295</v>
      </c>
      <c r="S783" s="20">
        <v>15</v>
      </c>
      <c r="T783" s="2">
        <v>0</v>
      </c>
      <c r="U783" s="2">
        <v>2</v>
      </c>
      <c r="V783" s="2">
        <v>11</v>
      </c>
      <c r="W783" s="2">
        <v>2</v>
      </c>
    </row>
    <row r="784" spans="1:31">
      <c r="A784" s="7">
        <f>MAX($A$1:$A783)+1</f>
        <v>783</v>
      </c>
      <c r="B784" s="2" t="s">
        <v>409</v>
      </c>
      <c r="C784" s="2" t="s">
        <v>269</v>
      </c>
      <c r="D784" s="2" t="s">
        <v>34</v>
      </c>
      <c r="E784" s="7" t="s">
        <v>378</v>
      </c>
      <c r="F784" s="4">
        <v>48.916072999999997</v>
      </c>
      <c r="G784" s="18">
        <v>-125.131174</v>
      </c>
      <c r="H784" s="28" t="s">
        <v>12</v>
      </c>
      <c r="I784" s="2">
        <v>6</v>
      </c>
      <c r="J784" s="2">
        <v>40</v>
      </c>
      <c r="K784" s="6">
        <v>0.43541666666666662</v>
      </c>
      <c r="L784" s="2" t="s">
        <v>279</v>
      </c>
      <c r="M784" s="2">
        <v>7.5</v>
      </c>
      <c r="N784" s="2">
        <v>2</v>
      </c>
      <c r="O784" s="2">
        <v>1</v>
      </c>
      <c r="P784" s="2" t="s">
        <v>252</v>
      </c>
      <c r="Q784" s="7" t="s">
        <v>76</v>
      </c>
      <c r="R784" s="4" t="s">
        <v>413</v>
      </c>
      <c r="S784" s="20">
        <v>1</v>
      </c>
      <c r="T784" s="2">
        <v>1</v>
      </c>
    </row>
    <row r="785" spans="1:23">
      <c r="A785" s="7">
        <f>MAX($A$1:$A784)+1</f>
        <v>784</v>
      </c>
      <c r="B785" s="2" t="s">
        <v>409</v>
      </c>
      <c r="C785" s="2" t="s">
        <v>269</v>
      </c>
      <c r="D785" s="2" t="s">
        <v>34</v>
      </c>
      <c r="E785" s="7" t="s">
        <v>378</v>
      </c>
      <c r="F785" s="4">
        <v>48.916072999999997</v>
      </c>
      <c r="G785" s="18">
        <v>-125.131174</v>
      </c>
      <c r="H785" s="28" t="s">
        <v>12</v>
      </c>
      <c r="I785" s="2">
        <v>6</v>
      </c>
      <c r="J785" s="2">
        <v>40</v>
      </c>
      <c r="K785" s="6">
        <v>0.43541666666666662</v>
      </c>
      <c r="L785" s="2" t="s">
        <v>279</v>
      </c>
      <c r="M785" s="2">
        <v>7.5</v>
      </c>
      <c r="N785" s="2">
        <v>2</v>
      </c>
      <c r="O785" s="2">
        <v>1</v>
      </c>
      <c r="P785" s="2" t="s">
        <v>373</v>
      </c>
      <c r="Q785" s="7" t="s">
        <v>131</v>
      </c>
      <c r="R785" s="4" t="s">
        <v>410</v>
      </c>
      <c r="S785" s="20">
        <v>5</v>
      </c>
      <c r="T785" s="2">
        <v>5</v>
      </c>
    </row>
    <row r="786" spans="1:23">
      <c r="A786" s="7">
        <f>MAX($A$1:$A785)+1</f>
        <v>785</v>
      </c>
      <c r="B786" s="2" t="s">
        <v>409</v>
      </c>
      <c r="C786" s="2" t="s">
        <v>269</v>
      </c>
      <c r="D786" s="2" t="s">
        <v>34</v>
      </c>
      <c r="E786" s="7" t="s">
        <v>378</v>
      </c>
      <c r="F786" s="4">
        <v>48.916072999999997</v>
      </c>
      <c r="G786" s="18">
        <v>-125.131174</v>
      </c>
      <c r="H786" s="28" t="s">
        <v>12</v>
      </c>
      <c r="I786" s="2">
        <v>6</v>
      </c>
      <c r="J786" s="2">
        <v>40</v>
      </c>
      <c r="K786" s="6">
        <v>0.43541666666666662</v>
      </c>
      <c r="L786" s="2" t="s">
        <v>279</v>
      </c>
      <c r="M786" s="2">
        <v>7.5</v>
      </c>
      <c r="N786" s="2">
        <v>2</v>
      </c>
      <c r="O786" s="2">
        <v>1</v>
      </c>
      <c r="P786" s="2" t="s">
        <v>296</v>
      </c>
      <c r="Q786" s="7" t="s">
        <v>75</v>
      </c>
      <c r="R786" s="4" t="s">
        <v>297</v>
      </c>
      <c r="S786" s="20">
        <v>7</v>
      </c>
      <c r="T786" s="2">
        <v>7</v>
      </c>
    </row>
    <row r="787" spans="1:23">
      <c r="A787" s="7">
        <f>MAX($A$1:$A786)+1</f>
        <v>786</v>
      </c>
      <c r="B787" s="2" t="s">
        <v>409</v>
      </c>
      <c r="C787" s="2" t="s">
        <v>269</v>
      </c>
      <c r="D787" s="2" t="s">
        <v>34</v>
      </c>
      <c r="E787" s="7" t="s">
        <v>378</v>
      </c>
      <c r="F787" s="4">
        <v>48.916072999999997</v>
      </c>
      <c r="G787" s="18">
        <v>-125.131174</v>
      </c>
      <c r="H787" s="28" t="s">
        <v>12</v>
      </c>
      <c r="I787" s="2">
        <v>6</v>
      </c>
      <c r="J787" s="2">
        <v>40</v>
      </c>
      <c r="K787" s="6">
        <v>0.43541666666666662</v>
      </c>
      <c r="L787" s="2" t="s">
        <v>279</v>
      </c>
      <c r="M787" s="2">
        <v>7.5</v>
      </c>
      <c r="N787" s="2">
        <v>2</v>
      </c>
      <c r="O787" s="2">
        <v>1</v>
      </c>
      <c r="P787" s="2" t="s">
        <v>335</v>
      </c>
      <c r="Q787" s="7" t="s">
        <v>91</v>
      </c>
      <c r="R787" s="4" t="s">
        <v>336</v>
      </c>
      <c r="S787" s="20">
        <v>7</v>
      </c>
      <c r="T787" s="2">
        <v>7</v>
      </c>
    </row>
    <row r="788" spans="1:23">
      <c r="A788" s="7">
        <f>MAX($A$1:$A787)+1</f>
        <v>787</v>
      </c>
      <c r="B788" s="2" t="s">
        <v>409</v>
      </c>
      <c r="C788" s="2" t="s">
        <v>269</v>
      </c>
      <c r="D788" s="2" t="s">
        <v>34</v>
      </c>
      <c r="E788" s="7" t="s">
        <v>378</v>
      </c>
      <c r="F788" s="4">
        <v>48.916072999999997</v>
      </c>
      <c r="G788" s="18">
        <v>-125.131174</v>
      </c>
      <c r="H788" s="28" t="s">
        <v>12</v>
      </c>
      <c r="I788" s="2">
        <v>6</v>
      </c>
      <c r="J788" s="2">
        <v>40</v>
      </c>
      <c r="K788" s="6">
        <v>0.43541666666666662</v>
      </c>
      <c r="L788" s="2" t="s">
        <v>279</v>
      </c>
      <c r="M788" s="2">
        <v>7.5</v>
      </c>
      <c r="N788" s="2">
        <v>2</v>
      </c>
      <c r="O788" s="2">
        <v>1</v>
      </c>
      <c r="P788" s="2" t="s">
        <v>243</v>
      </c>
      <c r="Q788" s="7" t="s">
        <v>85</v>
      </c>
      <c r="R788" s="4" t="s">
        <v>312</v>
      </c>
      <c r="S788" s="20">
        <v>10</v>
      </c>
      <c r="T788" s="2">
        <v>10</v>
      </c>
    </row>
    <row r="789" spans="1:23">
      <c r="A789" s="7">
        <f>MAX($A$1:$A788)+1</f>
        <v>788</v>
      </c>
      <c r="B789" s="2" t="s">
        <v>409</v>
      </c>
      <c r="C789" s="2" t="s">
        <v>269</v>
      </c>
      <c r="D789" s="2" t="s">
        <v>34</v>
      </c>
      <c r="E789" s="7" t="s">
        <v>378</v>
      </c>
      <c r="F789" s="4">
        <v>48.916072999999997</v>
      </c>
      <c r="G789" s="18">
        <v>-125.131174</v>
      </c>
      <c r="H789" s="28" t="s">
        <v>12</v>
      </c>
      <c r="I789" s="2">
        <v>6</v>
      </c>
      <c r="J789" s="2">
        <v>40</v>
      </c>
      <c r="K789" s="6">
        <v>0.43541666666666662</v>
      </c>
      <c r="L789" s="2" t="s">
        <v>279</v>
      </c>
      <c r="M789" s="2">
        <v>7.5</v>
      </c>
      <c r="N789" s="2">
        <v>2</v>
      </c>
      <c r="O789" s="2">
        <v>1</v>
      </c>
      <c r="P789" s="2" t="s">
        <v>331</v>
      </c>
      <c r="Q789" s="7" t="s">
        <v>67</v>
      </c>
      <c r="R789" s="4" t="s">
        <v>332</v>
      </c>
      <c r="S789" s="20">
        <v>2</v>
      </c>
      <c r="T789" s="2">
        <v>2</v>
      </c>
    </row>
    <row r="790" spans="1:23">
      <c r="A790" s="7">
        <f>MAX($A$1:$A789)+1</f>
        <v>789</v>
      </c>
      <c r="B790" s="2" t="s">
        <v>409</v>
      </c>
      <c r="C790" s="2" t="s">
        <v>269</v>
      </c>
      <c r="D790" s="2" t="s">
        <v>34</v>
      </c>
      <c r="E790" s="7" t="s">
        <v>378</v>
      </c>
      <c r="F790" s="4">
        <v>48.916072999999997</v>
      </c>
      <c r="G790" s="18">
        <v>-125.131174</v>
      </c>
      <c r="H790" s="28" t="s">
        <v>12</v>
      </c>
      <c r="I790" s="2">
        <v>6</v>
      </c>
      <c r="J790" s="2">
        <v>40</v>
      </c>
      <c r="K790" s="6">
        <v>0.43541666666666662</v>
      </c>
      <c r="L790" s="2" t="s">
        <v>279</v>
      </c>
      <c r="M790" s="2">
        <v>7.5</v>
      </c>
      <c r="N790" s="2">
        <v>2</v>
      </c>
      <c r="O790" s="2">
        <v>1</v>
      </c>
      <c r="P790" s="2" t="s">
        <v>251</v>
      </c>
      <c r="Q790" s="7" t="s">
        <v>73</v>
      </c>
      <c r="R790" s="4" t="s">
        <v>325</v>
      </c>
      <c r="S790" s="20">
        <v>2</v>
      </c>
      <c r="T790" s="2">
        <v>2</v>
      </c>
    </row>
    <row r="791" spans="1:23">
      <c r="A791" s="7">
        <f>MAX($A$1:$A790)+1</f>
        <v>790</v>
      </c>
      <c r="B791" s="2" t="s">
        <v>409</v>
      </c>
      <c r="C791" s="2" t="s">
        <v>269</v>
      </c>
      <c r="D791" s="2" t="s">
        <v>34</v>
      </c>
      <c r="E791" s="7" t="s">
        <v>378</v>
      </c>
      <c r="F791" s="4">
        <v>48.916072999999997</v>
      </c>
      <c r="G791" s="18">
        <v>-125.131174</v>
      </c>
      <c r="H791" s="28" t="s">
        <v>12</v>
      </c>
      <c r="I791" s="2">
        <v>6</v>
      </c>
      <c r="J791" s="2">
        <v>40</v>
      </c>
      <c r="K791" s="6">
        <v>0.43541666666666662</v>
      </c>
      <c r="L791" s="2" t="s">
        <v>279</v>
      </c>
      <c r="M791" s="2">
        <v>7.5</v>
      </c>
      <c r="N791" s="2">
        <v>2</v>
      </c>
      <c r="O791" s="2">
        <v>1</v>
      </c>
      <c r="P791" s="2" t="s">
        <v>314</v>
      </c>
      <c r="Q791" s="7" t="s">
        <v>71</v>
      </c>
      <c r="R791" s="4" t="s">
        <v>315</v>
      </c>
      <c r="S791" s="20">
        <v>47</v>
      </c>
      <c r="T791" s="2">
        <v>47</v>
      </c>
    </row>
    <row r="792" spans="1:23">
      <c r="A792" s="7">
        <f>MAX($A$1:$A791)+1</f>
        <v>791</v>
      </c>
      <c r="B792" s="2" t="s">
        <v>409</v>
      </c>
      <c r="C792" s="2" t="s">
        <v>269</v>
      </c>
      <c r="D792" s="2" t="s">
        <v>34</v>
      </c>
      <c r="E792" s="7" t="s">
        <v>378</v>
      </c>
      <c r="F792" s="4">
        <v>48.916072999999997</v>
      </c>
      <c r="G792" s="18">
        <v>-125.131174</v>
      </c>
      <c r="H792" s="28" t="s">
        <v>12</v>
      </c>
      <c r="I792" s="2">
        <v>6</v>
      </c>
      <c r="J792" s="2">
        <v>40</v>
      </c>
      <c r="K792" s="6">
        <v>0.43541666666666662</v>
      </c>
      <c r="L792" s="2" t="s">
        <v>279</v>
      </c>
      <c r="M792" s="2">
        <v>7.5</v>
      </c>
      <c r="N792" s="2">
        <v>2</v>
      </c>
      <c r="O792" s="2">
        <v>1</v>
      </c>
      <c r="P792" s="2" t="s">
        <v>298</v>
      </c>
      <c r="Q792" s="7" t="s">
        <v>99</v>
      </c>
      <c r="R792" s="4" t="s">
        <v>299</v>
      </c>
      <c r="S792" s="20">
        <v>7</v>
      </c>
      <c r="T792" s="2">
        <v>7</v>
      </c>
    </row>
    <row r="793" spans="1:23">
      <c r="A793" s="7">
        <f>MAX($A$1:$A792)+1</f>
        <v>792</v>
      </c>
      <c r="B793" s="2" t="s">
        <v>409</v>
      </c>
      <c r="C793" s="2" t="s">
        <v>269</v>
      </c>
      <c r="D793" s="2" t="s">
        <v>34</v>
      </c>
      <c r="E793" s="7" t="s">
        <v>378</v>
      </c>
      <c r="F793" s="4">
        <v>48.916072999999997</v>
      </c>
      <c r="G793" s="18">
        <v>-125.131174</v>
      </c>
      <c r="H793" s="28" t="s">
        <v>12</v>
      </c>
      <c r="I793" s="2">
        <v>6</v>
      </c>
      <c r="J793" s="2">
        <v>40</v>
      </c>
      <c r="K793" s="6">
        <v>0.43541666666666662</v>
      </c>
      <c r="L793" s="2" t="s">
        <v>279</v>
      </c>
      <c r="M793" s="2">
        <v>7.5</v>
      </c>
      <c r="N793" s="2">
        <v>2</v>
      </c>
      <c r="O793" s="2">
        <v>1</v>
      </c>
      <c r="P793" s="2" t="s">
        <v>427</v>
      </c>
      <c r="Q793" s="7" t="s">
        <v>142</v>
      </c>
      <c r="R793" s="4" t="s">
        <v>428</v>
      </c>
      <c r="S793" s="20">
        <v>4</v>
      </c>
      <c r="T793" s="2">
        <v>4</v>
      </c>
    </row>
    <row r="794" spans="1:23">
      <c r="A794" s="7">
        <f>MAX($A$1:$A793)+1</f>
        <v>793</v>
      </c>
      <c r="B794" s="2" t="s">
        <v>409</v>
      </c>
      <c r="C794" s="2" t="s">
        <v>269</v>
      </c>
      <c r="D794" s="2" t="s">
        <v>34</v>
      </c>
      <c r="E794" s="7" t="s">
        <v>378</v>
      </c>
      <c r="F794" s="4">
        <v>48.916072999999997</v>
      </c>
      <c r="G794" s="18">
        <v>-125.131174</v>
      </c>
      <c r="H794" s="28" t="s">
        <v>12</v>
      </c>
      <c r="I794" s="2">
        <v>6</v>
      </c>
      <c r="J794" s="2">
        <v>40</v>
      </c>
      <c r="K794" s="6">
        <v>0.43541666666666662</v>
      </c>
      <c r="L794" s="2" t="s">
        <v>279</v>
      </c>
      <c r="M794" s="2">
        <v>7.5</v>
      </c>
      <c r="N794" s="2">
        <v>2</v>
      </c>
      <c r="O794" s="2">
        <v>1</v>
      </c>
      <c r="P794" s="2" t="s">
        <v>238</v>
      </c>
      <c r="Q794" s="7" t="s">
        <v>69</v>
      </c>
      <c r="R794" s="4" t="s">
        <v>313</v>
      </c>
      <c r="S794" s="20">
        <v>26</v>
      </c>
      <c r="T794" s="2">
        <v>26</v>
      </c>
    </row>
    <row r="795" spans="1:23">
      <c r="A795" s="7">
        <f>MAX($A$1:$A794)+1</f>
        <v>794</v>
      </c>
      <c r="B795" s="2" t="s">
        <v>409</v>
      </c>
      <c r="C795" s="2" t="s">
        <v>269</v>
      </c>
      <c r="D795" s="2" t="s">
        <v>34</v>
      </c>
      <c r="E795" s="7" t="s">
        <v>378</v>
      </c>
      <c r="F795" s="4">
        <v>48.916072999999997</v>
      </c>
      <c r="G795" s="18">
        <v>-125.131174</v>
      </c>
      <c r="H795" s="28" t="s">
        <v>12</v>
      </c>
      <c r="I795" s="2">
        <v>6</v>
      </c>
      <c r="J795" s="2">
        <v>40</v>
      </c>
      <c r="K795" s="6">
        <v>0.43541666666666662</v>
      </c>
      <c r="L795" s="2" t="s">
        <v>279</v>
      </c>
      <c r="M795" s="2">
        <v>7.5</v>
      </c>
      <c r="N795" s="2">
        <v>2</v>
      </c>
      <c r="O795" s="2">
        <v>1</v>
      </c>
      <c r="P795" s="2" t="s">
        <v>248</v>
      </c>
      <c r="Q795" s="7" t="s">
        <v>78</v>
      </c>
      <c r="R795" s="4" t="s">
        <v>349</v>
      </c>
      <c r="S795" s="20">
        <v>2</v>
      </c>
      <c r="T795" s="2">
        <v>2</v>
      </c>
    </row>
    <row r="796" spans="1:23">
      <c r="A796" s="7">
        <f>MAX($A$1:$A795)+1</f>
        <v>795</v>
      </c>
      <c r="B796" s="2" t="s">
        <v>409</v>
      </c>
      <c r="C796" s="2" t="s">
        <v>269</v>
      </c>
      <c r="D796" s="2" t="s">
        <v>34</v>
      </c>
      <c r="E796" s="7" t="s">
        <v>378</v>
      </c>
      <c r="F796" s="4">
        <v>48.916072999999997</v>
      </c>
      <c r="G796" s="18">
        <v>-125.131174</v>
      </c>
      <c r="H796" s="28" t="s">
        <v>12</v>
      </c>
      <c r="I796" s="2">
        <v>6</v>
      </c>
      <c r="J796" s="2">
        <v>40</v>
      </c>
      <c r="K796" s="6">
        <v>0.43541666666666662</v>
      </c>
      <c r="L796" s="2" t="s">
        <v>279</v>
      </c>
      <c r="M796" s="2">
        <v>7.5</v>
      </c>
      <c r="N796" s="2">
        <v>2</v>
      </c>
      <c r="O796" s="2">
        <v>1</v>
      </c>
      <c r="P796" s="2" t="s">
        <v>259</v>
      </c>
      <c r="Q796" s="7" t="s">
        <v>106</v>
      </c>
      <c r="R796" s="4" t="s">
        <v>343</v>
      </c>
      <c r="S796" s="20">
        <v>2</v>
      </c>
      <c r="T796" s="2">
        <v>2</v>
      </c>
    </row>
    <row r="797" spans="1:23">
      <c r="A797" s="7">
        <f>MAX($A$1:$A796)+1</f>
        <v>796</v>
      </c>
      <c r="B797" s="2" t="s">
        <v>409</v>
      </c>
      <c r="C797" s="2" t="s">
        <v>269</v>
      </c>
      <c r="D797" s="2" t="s">
        <v>34</v>
      </c>
      <c r="E797" s="7" t="s">
        <v>378</v>
      </c>
      <c r="F797" s="4">
        <v>48.916072999999997</v>
      </c>
      <c r="G797" s="18">
        <v>-125.131174</v>
      </c>
      <c r="H797" s="28" t="s">
        <v>12</v>
      </c>
      <c r="I797" s="2">
        <v>6</v>
      </c>
      <c r="J797" s="2">
        <v>40</v>
      </c>
      <c r="K797" s="6">
        <v>0.43541666666666662</v>
      </c>
      <c r="L797" s="2" t="s">
        <v>279</v>
      </c>
      <c r="M797" s="2">
        <v>7.5</v>
      </c>
      <c r="N797" s="2">
        <v>2</v>
      </c>
      <c r="O797" s="2">
        <v>1</v>
      </c>
      <c r="P797" s="2" t="s">
        <v>338</v>
      </c>
      <c r="Q797" s="7" t="s">
        <v>101</v>
      </c>
      <c r="R797" s="4" t="s">
        <v>339</v>
      </c>
      <c r="S797" s="20">
        <v>2</v>
      </c>
      <c r="T797" s="2">
        <v>0</v>
      </c>
      <c r="V797" s="2">
        <v>1</v>
      </c>
      <c r="W797" s="2">
        <v>1</v>
      </c>
    </row>
    <row r="798" spans="1:23">
      <c r="A798" s="7">
        <f>MAX($A$1:$A797)+1</f>
        <v>797</v>
      </c>
      <c r="B798" s="2" t="s">
        <v>409</v>
      </c>
      <c r="C798" s="2" t="s">
        <v>269</v>
      </c>
      <c r="D798" s="2" t="s">
        <v>34</v>
      </c>
      <c r="E798" s="7" t="s">
        <v>378</v>
      </c>
      <c r="F798" s="4">
        <v>48.916072999999997</v>
      </c>
      <c r="G798" s="18">
        <v>-125.131174</v>
      </c>
      <c r="H798" s="28" t="s">
        <v>12</v>
      </c>
      <c r="I798" s="2">
        <v>6</v>
      </c>
      <c r="J798" s="2">
        <v>40</v>
      </c>
      <c r="K798" s="6">
        <v>0.43541666666666662</v>
      </c>
      <c r="L798" s="2" t="s">
        <v>279</v>
      </c>
      <c r="M798" s="2">
        <v>7.5</v>
      </c>
      <c r="N798" s="2">
        <v>2</v>
      </c>
      <c r="O798" s="2">
        <v>1</v>
      </c>
      <c r="P798" s="2" t="s">
        <v>388</v>
      </c>
      <c r="Q798" s="7" t="s">
        <v>82</v>
      </c>
      <c r="R798" s="4" t="s">
        <v>389</v>
      </c>
      <c r="S798" s="20">
        <v>1</v>
      </c>
      <c r="T798" s="2">
        <v>1</v>
      </c>
    </row>
    <row r="799" spans="1:23">
      <c r="A799" s="7">
        <f>MAX($A$1:$A798)+1</f>
        <v>798</v>
      </c>
      <c r="B799" s="2" t="s">
        <v>409</v>
      </c>
      <c r="C799" s="2" t="s">
        <v>269</v>
      </c>
      <c r="D799" s="2" t="s">
        <v>34</v>
      </c>
      <c r="E799" s="7" t="s">
        <v>378</v>
      </c>
      <c r="F799" s="4">
        <v>48.916072999999997</v>
      </c>
      <c r="G799" s="18">
        <v>-125.131174</v>
      </c>
      <c r="H799" s="28" t="s">
        <v>12</v>
      </c>
      <c r="I799" s="2">
        <v>6</v>
      </c>
      <c r="J799" s="2">
        <v>40</v>
      </c>
      <c r="K799" s="6">
        <v>0.43541666666666662</v>
      </c>
      <c r="L799" s="2" t="s">
        <v>279</v>
      </c>
      <c r="M799" s="2">
        <v>7.5</v>
      </c>
      <c r="N799" s="2">
        <v>2</v>
      </c>
      <c r="O799" s="2">
        <v>1</v>
      </c>
      <c r="P799" s="2" t="s">
        <v>255</v>
      </c>
      <c r="Q799" s="7" t="s">
        <v>79</v>
      </c>
      <c r="R799" s="4" t="s">
        <v>429</v>
      </c>
      <c r="S799" s="20">
        <v>1</v>
      </c>
      <c r="T799" s="2">
        <v>1</v>
      </c>
    </row>
    <row r="800" spans="1:23">
      <c r="A800" s="7">
        <f>MAX($A$1:$A799)+1</f>
        <v>799</v>
      </c>
      <c r="B800" s="2" t="s">
        <v>171</v>
      </c>
      <c r="C800" s="2" t="s">
        <v>504</v>
      </c>
      <c r="D800" s="2" t="s">
        <v>34</v>
      </c>
      <c r="E800" s="7" t="s">
        <v>378</v>
      </c>
      <c r="F800" s="4">
        <v>48.916072999999997</v>
      </c>
      <c r="G800" s="18">
        <v>-125.131174</v>
      </c>
      <c r="H800" s="5" t="s">
        <v>12</v>
      </c>
      <c r="I800" s="2">
        <v>6</v>
      </c>
      <c r="J800" s="2">
        <v>40</v>
      </c>
      <c r="K800" s="6">
        <v>0.43541666666666662</v>
      </c>
      <c r="L800" s="2" t="s">
        <v>172</v>
      </c>
      <c r="M800" s="2">
        <v>11</v>
      </c>
      <c r="N800" s="2">
        <v>1</v>
      </c>
      <c r="O800" s="2">
        <v>2</v>
      </c>
      <c r="P800" s="2" t="s">
        <v>338</v>
      </c>
      <c r="Q800" s="7" t="s">
        <v>101</v>
      </c>
      <c r="R800" s="4" t="s">
        <v>339</v>
      </c>
      <c r="S800" s="20">
        <v>3</v>
      </c>
      <c r="T800" s="2">
        <v>0</v>
      </c>
      <c r="V800" s="2">
        <v>2</v>
      </c>
      <c r="W800" s="2">
        <v>1</v>
      </c>
    </row>
    <row r="801" spans="1:32">
      <c r="A801" s="7">
        <f>MAX($A$1:$A800)+1</f>
        <v>800</v>
      </c>
      <c r="B801" s="2" t="s">
        <v>171</v>
      </c>
      <c r="C801" s="2" t="s">
        <v>504</v>
      </c>
      <c r="D801" s="2" t="s">
        <v>34</v>
      </c>
      <c r="E801" s="7" t="s">
        <v>378</v>
      </c>
      <c r="F801" s="4">
        <v>48.916072999999997</v>
      </c>
      <c r="G801" s="18">
        <v>-125.131174</v>
      </c>
      <c r="H801" s="5" t="s">
        <v>12</v>
      </c>
      <c r="I801" s="2">
        <v>6</v>
      </c>
      <c r="J801" s="2">
        <v>40</v>
      </c>
      <c r="K801" s="6">
        <v>0.43541666666666662</v>
      </c>
      <c r="L801" s="2" t="s">
        <v>172</v>
      </c>
      <c r="M801" s="2">
        <v>11</v>
      </c>
      <c r="N801" s="2">
        <v>1</v>
      </c>
      <c r="O801" s="2">
        <v>2</v>
      </c>
      <c r="P801" s="2" t="s">
        <v>250</v>
      </c>
      <c r="Q801" s="7" t="s">
        <v>46</v>
      </c>
      <c r="R801" s="4" t="s">
        <v>295</v>
      </c>
      <c r="S801" s="20">
        <v>1</v>
      </c>
      <c r="T801" s="2">
        <v>0</v>
      </c>
      <c r="U801" s="2">
        <v>1</v>
      </c>
    </row>
    <row r="802" spans="1:32">
      <c r="A802" s="7">
        <f>MAX($A$1:$A801)+1</f>
        <v>801</v>
      </c>
      <c r="B802" s="2" t="s">
        <v>171</v>
      </c>
      <c r="C802" s="2" t="s">
        <v>504</v>
      </c>
      <c r="D802" s="2" t="s">
        <v>34</v>
      </c>
      <c r="E802" s="7" t="s">
        <v>378</v>
      </c>
      <c r="F802" s="4">
        <v>48.916072999999997</v>
      </c>
      <c r="G802" s="18">
        <v>-125.131174</v>
      </c>
      <c r="H802" s="5" t="s">
        <v>12</v>
      </c>
      <c r="I802" s="2">
        <v>6</v>
      </c>
      <c r="J802" s="2">
        <v>40</v>
      </c>
      <c r="K802" s="6">
        <v>0.43541666666666662</v>
      </c>
      <c r="L802" s="2" t="s">
        <v>172</v>
      </c>
      <c r="M802" s="2">
        <v>11</v>
      </c>
      <c r="N802" s="2">
        <v>1</v>
      </c>
      <c r="O802" s="2">
        <v>2</v>
      </c>
      <c r="P802" s="2" t="s">
        <v>232</v>
      </c>
      <c r="Q802" s="7" t="s">
        <v>43</v>
      </c>
      <c r="R802" s="4" t="s">
        <v>324</v>
      </c>
      <c r="S802" s="20">
        <v>7</v>
      </c>
      <c r="T802" s="2">
        <v>0</v>
      </c>
      <c r="AA802" s="2">
        <v>1</v>
      </c>
      <c r="AB802" s="2">
        <v>2</v>
      </c>
      <c r="AC802" s="2">
        <v>3</v>
      </c>
      <c r="AD802" s="2">
        <v>1</v>
      </c>
    </row>
    <row r="803" spans="1:32">
      <c r="A803" s="7">
        <f>MAX($A$1:$A802)+1</f>
        <v>802</v>
      </c>
      <c r="B803" s="2" t="s">
        <v>171</v>
      </c>
      <c r="C803" s="2" t="s">
        <v>504</v>
      </c>
      <c r="D803" s="2" t="s">
        <v>34</v>
      </c>
      <c r="E803" s="7" t="s">
        <v>378</v>
      </c>
      <c r="F803" s="4">
        <v>48.916072999999997</v>
      </c>
      <c r="G803" s="18">
        <v>-125.131174</v>
      </c>
      <c r="H803" s="5" t="s">
        <v>12</v>
      </c>
      <c r="I803" s="2">
        <v>6</v>
      </c>
      <c r="J803" s="2">
        <v>40</v>
      </c>
      <c r="K803" s="6">
        <v>0.43541666666666662</v>
      </c>
      <c r="L803" s="2" t="s">
        <v>172</v>
      </c>
      <c r="M803" s="2">
        <v>11</v>
      </c>
      <c r="N803" s="2">
        <v>1</v>
      </c>
      <c r="O803" s="2">
        <v>2</v>
      </c>
      <c r="P803" s="2" t="s">
        <v>237</v>
      </c>
      <c r="Q803" s="7" t="s">
        <v>51</v>
      </c>
      <c r="R803" s="4" t="s">
        <v>368</v>
      </c>
      <c r="S803" s="20">
        <v>3</v>
      </c>
      <c r="T803" s="2">
        <v>0</v>
      </c>
      <c r="AE803" s="2">
        <v>1</v>
      </c>
      <c r="AF803" s="2">
        <v>2</v>
      </c>
    </row>
    <row r="804" spans="1:32">
      <c r="A804" s="7">
        <f>MAX($A$1:$A803)+1</f>
        <v>803</v>
      </c>
      <c r="B804" s="2" t="s">
        <v>171</v>
      </c>
      <c r="C804" s="2" t="s">
        <v>504</v>
      </c>
      <c r="D804" s="2" t="s">
        <v>34</v>
      </c>
      <c r="E804" s="7" t="s">
        <v>378</v>
      </c>
      <c r="F804" s="4">
        <v>48.916072999999997</v>
      </c>
      <c r="G804" s="18">
        <v>-125.131174</v>
      </c>
      <c r="H804" s="5" t="s">
        <v>12</v>
      </c>
      <c r="I804" s="2">
        <v>6</v>
      </c>
      <c r="J804" s="2">
        <v>40</v>
      </c>
      <c r="K804" s="6">
        <v>0.43541666666666662</v>
      </c>
      <c r="L804" s="2" t="s">
        <v>172</v>
      </c>
      <c r="M804" s="2">
        <v>11</v>
      </c>
      <c r="N804" s="2">
        <v>1</v>
      </c>
      <c r="O804" s="2">
        <v>2</v>
      </c>
      <c r="P804" s="2" t="s">
        <v>380</v>
      </c>
      <c r="Q804" s="7" t="s">
        <v>52</v>
      </c>
      <c r="R804" s="4" t="s">
        <v>381</v>
      </c>
      <c r="S804" s="20">
        <v>1</v>
      </c>
      <c r="T804" s="2">
        <v>0</v>
      </c>
      <c r="AC804" s="2">
        <v>1</v>
      </c>
    </row>
    <row r="805" spans="1:32">
      <c r="A805" s="7">
        <f>MAX($A$1:$A804)+1</f>
        <v>804</v>
      </c>
      <c r="B805" s="2" t="s">
        <v>171</v>
      </c>
      <c r="C805" s="2" t="s">
        <v>504</v>
      </c>
      <c r="D805" s="2" t="s">
        <v>34</v>
      </c>
      <c r="E805" s="7" t="s">
        <v>378</v>
      </c>
      <c r="F805" s="4">
        <v>48.916072999999997</v>
      </c>
      <c r="G805" s="18">
        <v>-125.131174</v>
      </c>
      <c r="H805" s="5" t="s">
        <v>12</v>
      </c>
      <c r="I805" s="2">
        <v>6</v>
      </c>
      <c r="J805" s="2">
        <v>40</v>
      </c>
      <c r="K805" s="6">
        <v>0.43541666666666662</v>
      </c>
      <c r="L805" s="2" t="s">
        <v>172</v>
      </c>
      <c r="M805" s="2">
        <v>11</v>
      </c>
      <c r="N805" s="2">
        <v>2</v>
      </c>
      <c r="O805" s="2">
        <v>2</v>
      </c>
      <c r="P805" s="2" t="s">
        <v>241</v>
      </c>
      <c r="Q805" s="7" t="s">
        <v>63</v>
      </c>
      <c r="R805" s="4" t="s">
        <v>294</v>
      </c>
      <c r="S805" s="20">
        <v>205</v>
      </c>
      <c r="T805" s="2">
        <v>205</v>
      </c>
    </row>
    <row r="806" spans="1:32">
      <c r="A806" s="7">
        <f>MAX($A$1:$A805)+1</f>
        <v>805</v>
      </c>
      <c r="B806" s="2" t="s">
        <v>171</v>
      </c>
      <c r="C806" s="2" t="s">
        <v>504</v>
      </c>
      <c r="D806" s="2" t="s">
        <v>34</v>
      </c>
      <c r="E806" s="7" t="s">
        <v>378</v>
      </c>
      <c r="F806" s="4">
        <v>48.916072999999997</v>
      </c>
      <c r="G806" s="18">
        <v>-125.131174</v>
      </c>
      <c r="H806" s="5" t="s">
        <v>12</v>
      </c>
      <c r="I806" s="2">
        <v>6</v>
      </c>
      <c r="J806" s="2">
        <v>40</v>
      </c>
      <c r="K806" s="6">
        <v>0.43541666666666662</v>
      </c>
      <c r="L806" s="2" t="s">
        <v>172</v>
      </c>
      <c r="M806" s="2">
        <v>11</v>
      </c>
      <c r="N806" s="2">
        <v>2</v>
      </c>
      <c r="O806" s="2">
        <v>2</v>
      </c>
      <c r="P806" s="2" t="s">
        <v>246</v>
      </c>
      <c r="Q806" s="7" t="s">
        <v>66</v>
      </c>
      <c r="R806" s="4" t="s">
        <v>318</v>
      </c>
      <c r="S806" s="20">
        <v>37</v>
      </c>
      <c r="T806" s="2">
        <v>0</v>
      </c>
      <c r="U806" s="2">
        <v>25</v>
      </c>
      <c r="V806" s="2">
        <v>10</v>
      </c>
      <c r="W806" s="2">
        <v>2</v>
      </c>
    </row>
    <row r="807" spans="1:32">
      <c r="A807" s="7">
        <f>MAX($A$1:$A806)+1</f>
        <v>806</v>
      </c>
      <c r="B807" s="2" t="s">
        <v>171</v>
      </c>
      <c r="C807" s="2" t="s">
        <v>504</v>
      </c>
      <c r="D807" s="2" t="s">
        <v>34</v>
      </c>
      <c r="E807" s="7" t="s">
        <v>378</v>
      </c>
      <c r="F807" s="4">
        <v>48.916072999999997</v>
      </c>
      <c r="G807" s="18">
        <v>-125.131174</v>
      </c>
      <c r="H807" s="5" t="s">
        <v>12</v>
      </c>
      <c r="I807" s="2">
        <v>6</v>
      </c>
      <c r="J807" s="2">
        <v>40</v>
      </c>
      <c r="K807" s="6">
        <v>0.43541666666666662</v>
      </c>
      <c r="L807" s="2" t="s">
        <v>172</v>
      </c>
      <c r="M807" s="2">
        <v>11</v>
      </c>
      <c r="N807" s="2">
        <v>2</v>
      </c>
      <c r="O807" s="2">
        <v>2</v>
      </c>
      <c r="P807" s="2" t="s">
        <v>247</v>
      </c>
      <c r="Q807" s="7" t="s">
        <v>64</v>
      </c>
      <c r="R807" s="4" t="s">
        <v>293</v>
      </c>
      <c r="S807" s="20">
        <v>13</v>
      </c>
      <c r="T807" s="2">
        <v>13</v>
      </c>
    </row>
    <row r="808" spans="1:32">
      <c r="A808" s="7">
        <f>MAX($A$1:$A807)+1</f>
        <v>807</v>
      </c>
      <c r="B808" s="2" t="s">
        <v>171</v>
      </c>
      <c r="C808" s="2" t="s">
        <v>504</v>
      </c>
      <c r="D808" s="2" t="s">
        <v>34</v>
      </c>
      <c r="E808" s="7" t="s">
        <v>378</v>
      </c>
      <c r="F808" s="4">
        <v>48.916072999999997</v>
      </c>
      <c r="G808" s="18">
        <v>-125.131174</v>
      </c>
      <c r="H808" s="5" t="s">
        <v>12</v>
      </c>
      <c r="I808" s="2">
        <v>6</v>
      </c>
      <c r="J808" s="2">
        <v>40</v>
      </c>
      <c r="K808" s="6">
        <v>0.43541666666666662</v>
      </c>
      <c r="L808" s="2" t="s">
        <v>172</v>
      </c>
      <c r="M808" s="2">
        <v>11</v>
      </c>
      <c r="N808" s="2">
        <v>2</v>
      </c>
      <c r="O808" s="2">
        <v>2</v>
      </c>
      <c r="P808" s="2" t="s">
        <v>239</v>
      </c>
      <c r="Q808" s="7" t="s">
        <v>80</v>
      </c>
      <c r="R808" s="4" t="s">
        <v>300</v>
      </c>
      <c r="S808" s="20">
        <v>7</v>
      </c>
      <c r="T808" s="2">
        <v>7</v>
      </c>
    </row>
    <row r="809" spans="1:32">
      <c r="A809" s="7">
        <f>MAX($A$1:$A808)+1</f>
        <v>808</v>
      </c>
      <c r="B809" s="2" t="s">
        <v>171</v>
      </c>
      <c r="C809" s="2" t="s">
        <v>504</v>
      </c>
      <c r="D809" s="2" t="s">
        <v>34</v>
      </c>
      <c r="E809" s="7" t="s">
        <v>378</v>
      </c>
      <c r="F809" s="4">
        <v>48.916072999999997</v>
      </c>
      <c r="G809" s="18">
        <v>-125.131174</v>
      </c>
      <c r="H809" s="5" t="s">
        <v>12</v>
      </c>
      <c r="I809" s="2">
        <v>6</v>
      </c>
      <c r="J809" s="2">
        <v>40</v>
      </c>
      <c r="K809" s="6">
        <v>0.43541666666666662</v>
      </c>
      <c r="L809" s="2" t="s">
        <v>172</v>
      </c>
      <c r="M809" s="2">
        <v>11</v>
      </c>
      <c r="N809" s="2">
        <v>2</v>
      </c>
      <c r="O809" s="2">
        <v>2</v>
      </c>
      <c r="P809" s="2" t="s">
        <v>338</v>
      </c>
      <c r="Q809" s="7" t="s">
        <v>101</v>
      </c>
      <c r="R809" s="4" t="s">
        <v>339</v>
      </c>
      <c r="S809" s="20">
        <v>10</v>
      </c>
      <c r="T809" s="2">
        <v>0</v>
      </c>
      <c r="U809" s="2">
        <v>4</v>
      </c>
      <c r="V809" s="2">
        <v>5</v>
      </c>
      <c r="W809" s="2">
        <v>1</v>
      </c>
    </row>
    <row r="810" spans="1:32">
      <c r="A810" s="7">
        <f>MAX($A$1:$A809)+1</f>
        <v>809</v>
      </c>
      <c r="B810" s="2" t="s">
        <v>171</v>
      </c>
      <c r="C810" s="2" t="s">
        <v>504</v>
      </c>
      <c r="D810" s="2" t="s">
        <v>34</v>
      </c>
      <c r="E810" s="7" t="s">
        <v>378</v>
      </c>
      <c r="F810" s="4">
        <v>48.916072999999997</v>
      </c>
      <c r="G810" s="18">
        <v>-125.131174</v>
      </c>
      <c r="H810" s="5" t="s">
        <v>12</v>
      </c>
      <c r="I810" s="2">
        <v>6</v>
      </c>
      <c r="J810" s="2">
        <v>40</v>
      </c>
      <c r="K810" s="6">
        <v>0.43541666666666662</v>
      </c>
      <c r="L810" s="2" t="s">
        <v>172</v>
      </c>
      <c r="M810" s="2">
        <v>11</v>
      </c>
      <c r="N810" s="2">
        <v>2</v>
      </c>
      <c r="O810" s="2">
        <v>2</v>
      </c>
      <c r="P810" s="2" t="s">
        <v>516</v>
      </c>
      <c r="Q810" s="7" t="s">
        <v>517</v>
      </c>
      <c r="R810" s="4" t="s">
        <v>518</v>
      </c>
      <c r="S810" s="20">
        <v>1</v>
      </c>
      <c r="T810" s="2">
        <v>1</v>
      </c>
    </row>
    <row r="811" spans="1:32">
      <c r="A811" s="7">
        <f>MAX($A$1:$A810)+1</f>
        <v>810</v>
      </c>
      <c r="B811" s="2" t="s">
        <v>171</v>
      </c>
      <c r="C811" s="2" t="s">
        <v>504</v>
      </c>
      <c r="D811" s="2" t="s">
        <v>34</v>
      </c>
      <c r="E811" s="7" t="s">
        <v>378</v>
      </c>
      <c r="F811" s="4">
        <v>48.916072999999997</v>
      </c>
      <c r="G811" s="18">
        <v>-125.131174</v>
      </c>
      <c r="H811" s="5" t="s">
        <v>12</v>
      </c>
      <c r="I811" s="2">
        <v>6</v>
      </c>
      <c r="J811" s="2">
        <v>40</v>
      </c>
      <c r="K811" s="6">
        <v>0.43541666666666662</v>
      </c>
      <c r="L811" s="2" t="s">
        <v>172</v>
      </c>
      <c r="M811" s="2">
        <v>11</v>
      </c>
      <c r="N811" s="2">
        <v>2</v>
      </c>
      <c r="O811" s="2">
        <v>2</v>
      </c>
      <c r="P811" s="2" t="s">
        <v>333</v>
      </c>
      <c r="Q811" s="7" t="s">
        <v>102</v>
      </c>
      <c r="R811" s="4" t="s">
        <v>334</v>
      </c>
      <c r="S811" s="20">
        <v>2</v>
      </c>
      <c r="T811" s="2">
        <v>2</v>
      </c>
    </row>
    <row r="812" spans="1:32">
      <c r="A812" s="7">
        <f>MAX($A$1:$A811)+1</f>
        <v>811</v>
      </c>
      <c r="B812" s="2" t="s">
        <v>171</v>
      </c>
      <c r="C812" s="2" t="s">
        <v>504</v>
      </c>
      <c r="D812" s="2" t="s">
        <v>34</v>
      </c>
      <c r="E812" s="7" t="s">
        <v>378</v>
      </c>
      <c r="F812" s="4">
        <v>48.916072999999997</v>
      </c>
      <c r="G812" s="18">
        <v>-125.131174</v>
      </c>
      <c r="H812" s="5" t="s">
        <v>12</v>
      </c>
      <c r="I812" s="2">
        <v>6</v>
      </c>
      <c r="J812" s="2">
        <v>40</v>
      </c>
      <c r="K812" s="6">
        <v>0.43541666666666662</v>
      </c>
      <c r="L812" s="2" t="s">
        <v>172</v>
      </c>
      <c r="M812" s="2">
        <v>11</v>
      </c>
      <c r="N812" s="2">
        <v>2</v>
      </c>
      <c r="O812" s="2">
        <v>2</v>
      </c>
      <c r="P812" s="2" t="s">
        <v>335</v>
      </c>
      <c r="Q812" s="7" t="s">
        <v>91</v>
      </c>
      <c r="R812" s="4" t="s">
        <v>336</v>
      </c>
      <c r="S812" s="20">
        <v>2</v>
      </c>
      <c r="T812" s="2">
        <v>2</v>
      </c>
    </row>
    <row r="813" spans="1:32">
      <c r="A813" s="7">
        <f>MAX($A$1:$A812)+1</f>
        <v>812</v>
      </c>
      <c r="B813" s="2" t="s">
        <v>171</v>
      </c>
      <c r="C813" s="2" t="s">
        <v>504</v>
      </c>
      <c r="D813" s="2" t="s">
        <v>34</v>
      </c>
      <c r="E813" s="7" t="s">
        <v>378</v>
      </c>
      <c r="F813" s="4">
        <v>48.916072999999997</v>
      </c>
      <c r="G813" s="18">
        <v>-125.131174</v>
      </c>
      <c r="H813" s="5" t="s">
        <v>12</v>
      </c>
      <c r="I813" s="2">
        <v>6</v>
      </c>
      <c r="J813" s="2">
        <v>40</v>
      </c>
      <c r="K813" s="6">
        <v>0.43541666666666662</v>
      </c>
      <c r="L813" s="2" t="s">
        <v>172</v>
      </c>
      <c r="M813" s="2">
        <v>11</v>
      </c>
      <c r="N813" s="2">
        <v>2</v>
      </c>
      <c r="O813" s="2">
        <v>2</v>
      </c>
      <c r="P813" s="2" t="s">
        <v>243</v>
      </c>
      <c r="Q813" s="7" t="s">
        <v>85</v>
      </c>
      <c r="R813" s="4" t="s">
        <v>312</v>
      </c>
      <c r="S813" s="20">
        <v>14</v>
      </c>
      <c r="T813" s="2">
        <v>14</v>
      </c>
    </row>
    <row r="814" spans="1:32">
      <c r="A814" s="7">
        <f>MAX($A$1:$A813)+1</f>
        <v>813</v>
      </c>
      <c r="B814" s="2" t="s">
        <v>171</v>
      </c>
      <c r="C814" s="2" t="s">
        <v>504</v>
      </c>
      <c r="D814" s="2" t="s">
        <v>34</v>
      </c>
      <c r="E814" s="7" t="s">
        <v>378</v>
      </c>
      <c r="F814" s="4">
        <v>48.916072999999997</v>
      </c>
      <c r="G814" s="18">
        <v>-125.131174</v>
      </c>
      <c r="H814" s="5" t="s">
        <v>12</v>
      </c>
      <c r="I814" s="2">
        <v>6</v>
      </c>
      <c r="J814" s="2">
        <v>40</v>
      </c>
      <c r="K814" s="6">
        <v>0.43541666666666662</v>
      </c>
      <c r="L814" s="2" t="s">
        <v>172</v>
      </c>
      <c r="M814" s="2">
        <v>11</v>
      </c>
      <c r="N814" s="2">
        <v>2</v>
      </c>
      <c r="O814" s="2">
        <v>2</v>
      </c>
      <c r="P814" s="2" t="s">
        <v>244</v>
      </c>
      <c r="Q814" s="7" t="s">
        <v>65</v>
      </c>
      <c r="R814" s="4" t="s">
        <v>307</v>
      </c>
      <c r="S814" s="20">
        <v>24</v>
      </c>
      <c r="T814" s="2">
        <v>24</v>
      </c>
    </row>
    <row r="815" spans="1:32">
      <c r="A815" s="7">
        <f>MAX($A$1:$A814)+1</f>
        <v>814</v>
      </c>
      <c r="B815" s="2" t="s">
        <v>171</v>
      </c>
      <c r="C815" s="2" t="s">
        <v>504</v>
      </c>
      <c r="D815" s="2" t="s">
        <v>34</v>
      </c>
      <c r="E815" s="7" t="s">
        <v>378</v>
      </c>
      <c r="F815" s="4">
        <v>48.916072999999997</v>
      </c>
      <c r="G815" s="18">
        <v>-125.131174</v>
      </c>
      <c r="H815" s="5" t="s">
        <v>12</v>
      </c>
      <c r="I815" s="2">
        <v>6</v>
      </c>
      <c r="J815" s="2">
        <v>40</v>
      </c>
      <c r="K815" s="6">
        <v>0.43541666666666662</v>
      </c>
      <c r="L815" s="2" t="s">
        <v>172</v>
      </c>
      <c r="M815" s="2">
        <v>11</v>
      </c>
      <c r="N815" s="2">
        <v>2</v>
      </c>
      <c r="O815" s="2">
        <v>2</v>
      </c>
      <c r="P815" s="2" t="s">
        <v>248</v>
      </c>
      <c r="Q815" s="7" t="s">
        <v>78</v>
      </c>
      <c r="R815" s="4" t="s">
        <v>349</v>
      </c>
      <c r="S815" s="20">
        <v>5</v>
      </c>
      <c r="T815" s="2">
        <v>0</v>
      </c>
      <c r="W815" s="2">
        <v>2</v>
      </c>
      <c r="X815" s="2">
        <v>3</v>
      </c>
    </row>
    <row r="816" spans="1:32">
      <c r="A816" s="7">
        <f>MAX($A$1:$A815)+1</f>
        <v>815</v>
      </c>
      <c r="B816" s="2" t="s">
        <v>171</v>
      </c>
      <c r="C816" s="2" t="s">
        <v>504</v>
      </c>
      <c r="D816" s="2" t="s">
        <v>34</v>
      </c>
      <c r="E816" s="7" t="s">
        <v>378</v>
      </c>
      <c r="F816" s="4">
        <v>48.916072999999997</v>
      </c>
      <c r="G816" s="18">
        <v>-125.131174</v>
      </c>
      <c r="H816" s="5" t="s">
        <v>12</v>
      </c>
      <c r="I816" s="2">
        <v>6</v>
      </c>
      <c r="J816" s="2">
        <v>40</v>
      </c>
      <c r="K816" s="6">
        <v>0.43541666666666662</v>
      </c>
      <c r="L816" s="2" t="s">
        <v>172</v>
      </c>
      <c r="M816" s="2">
        <v>11</v>
      </c>
      <c r="N816" s="2">
        <v>2</v>
      </c>
      <c r="O816" s="2">
        <v>2</v>
      </c>
      <c r="P816" s="2" t="s">
        <v>350</v>
      </c>
      <c r="Q816" s="7" t="s">
        <v>83</v>
      </c>
      <c r="R816" s="4" t="s">
        <v>351</v>
      </c>
      <c r="S816" s="20">
        <v>3</v>
      </c>
      <c r="T816" s="2">
        <v>3</v>
      </c>
    </row>
    <row r="817" spans="1:29">
      <c r="A817" s="7">
        <f>MAX($A$1:$A816)+1</f>
        <v>816</v>
      </c>
      <c r="B817" s="2" t="s">
        <v>171</v>
      </c>
      <c r="C817" s="2" t="s">
        <v>504</v>
      </c>
      <c r="D817" s="2" t="s">
        <v>34</v>
      </c>
      <c r="E817" s="7" t="s">
        <v>378</v>
      </c>
      <c r="F817" s="4">
        <v>48.916072999999997</v>
      </c>
      <c r="G817" s="18">
        <v>-125.131174</v>
      </c>
      <c r="H817" s="5" t="s">
        <v>12</v>
      </c>
      <c r="I817" s="2">
        <v>6</v>
      </c>
      <c r="J817" s="2">
        <v>40</v>
      </c>
      <c r="K817" s="6">
        <v>0.43541666666666662</v>
      </c>
      <c r="L817" s="2" t="s">
        <v>172</v>
      </c>
      <c r="M817" s="2">
        <v>11</v>
      </c>
      <c r="N817" s="2">
        <v>2</v>
      </c>
      <c r="O817" s="2">
        <v>2</v>
      </c>
      <c r="P817" s="2" t="s">
        <v>296</v>
      </c>
      <c r="Q817" s="7" t="s">
        <v>75</v>
      </c>
      <c r="R817" s="4" t="s">
        <v>297</v>
      </c>
      <c r="S817" s="20">
        <v>18</v>
      </c>
      <c r="T817" s="2">
        <v>18</v>
      </c>
    </row>
    <row r="818" spans="1:29">
      <c r="A818" s="7">
        <f>MAX($A$1:$A817)+1</f>
        <v>817</v>
      </c>
      <c r="B818" s="2" t="s">
        <v>171</v>
      </c>
      <c r="C818" s="2" t="s">
        <v>504</v>
      </c>
      <c r="D818" s="2" t="s">
        <v>34</v>
      </c>
      <c r="E818" s="7" t="s">
        <v>378</v>
      </c>
      <c r="F818" s="4">
        <v>48.916072999999997</v>
      </c>
      <c r="G818" s="18">
        <v>-125.131174</v>
      </c>
      <c r="H818" s="5" t="s">
        <v>12</v>
      </c>
      <c r="I818" s="2">
        <v>6</v>
      </c>
      <c r="J818" s="2">
        <v>40</v>
      </c>
      <c r="K818" s="6">
        <v>0.43541666666666662</v>
      </c>
      <c r="L818" s="2" t="s">
        <v>172</v>
      </c>
      <c r="M818" s="2">
        <v>11</v>
      </c>
      <c r="N818" s="2">
        <v>2</v>
      </c>
      <c r="O818" s="2">
        <v>2</v>
      </c>
      <c r="P818" s="2" t="s">
        <v>249</v>
      </c>
      <c r="Q818" s="7" t="s">
        <v>90</v>
      </c>
      <c r="R818" s="4" t="s">
        <v>352</v>
      </c>
      <c r="S818" s="20">
        <v>1</v>
      </c>
      <c r="T818" s="2">
        <v>1</v>
      </c>
    </row>
    <row r="819" spans="1:29">
      <c r="A819" s="7">
        <f>MAX($A$1:$A818)+1</f>
        <v>818</v>
      </c>
      <c r="B819" s="2" t="s">
        <v>171</v>
      </c>
      <c r="C819" s="2" t="s">
        <v>504</v>
      </c>
      <c r="D819" s="2" t="s">
        <v>34</v>
      </c>
      <c r="E819" s="7" t="s">
        <v>378</v>
      </c>
      <c r="F819" s="4">
        <v>48.916072999999997</v>
      </c>
      <c r="G819" s="18">
        <v>-125.131174</v>
      </c>
      <c r="H819" s="5" t="s">
        <v>12</v>
      </c>
      <c r="I819" s="2">
        <v>6</v>
      </c>
      <c r="J819" s="2">
        <v>40</v>
      </c>
      <c r="K819" s="6">
        <v>0.43541666666666662</v>
      </c>
      <c r="L819" s="2" t="s">
        <v>172</v>
      </c>
      <c r="M819" s="2">
        <v>11</v>
      </c>
      <c r="N819" s="2">
        <v>2</v>
      </c>
      <c r="O819" s="2">
        <v>2</v>
      </c>
      <c r="P819" s="2" t="s">
        <v>250</v>
      </c>
      <c r="Q819" s="7" t="s">
        <v>46</v>
      </c>
      <c r="R819" s="4" t="s">
        <v>295</v>
      </c>
      <c r="S819" s="20">
        <v>3</v>
      </c>
      <c r="T819" s="2">
        <v>0</v>
      </c>
      <c r="U819" s="2">
        <v>1</v>
      </c>
      <c r="V819" s="2">
        <v>2</v>
      </c>
    </row>
    <row r="820" spans="1:29">
      <c r="A820" s="7">
        <f>MAX($A$1:$A819)+1</f>
        <v>819</v>
      </c>
      <c r="B820" s="2" t="s">
        <v>171</v>
      </c>
      <c r="C820" s="2" t="s">
        <v>504</v>
      </c>
      <c r="D820" s="2" t="s">
        <v>34</v>
      </c>
      <c r="E820" s="7" t="s">
        <v>378</v>
      </c>
      <c r="F820" s="4">
        <v>48.916072999999997</v>
      </c>
      <c r="G820" s="18">
        <v>-125.131174</v>
      </c>
      <c r="H820" s="5" t="s">
        <v>12</v>
      </c>
      <c r="I820" s="2">
        <v>6</v>
      </c>
      <c r="J820" s="2">
        <v>40</v>
      </c>
      <c r="K820" s="6">
        <v>0.43541666666666662</v>
      </c>
      <c r="L820" s="2" t="s">
        <v>172</v>
      </c>
      <c r="M820" s="2">
        <v>11</v>
      </c>
      <c r="N820" s="2">
        <v>2</v>
      </c>
      <c r="O820" s="2">
        <v>2</v>
      </c>
      <c r="P820" s="2" t="s">
        <v>301</v>
      </c>
      <c r="Q820" s="7" t="s">
        <v>97</v>
      </c>
      <c r="R820" s="4" t="s">
        <v>302</v>
      </c>
      <c r="S820" s="20">
        <v>2</v>
      </c>
      <c r="T820" s="2">
        <v>2</v>
      </c>
    </row>
    <row r="821" spans="1:29">
      <c r="A821" s="7">
        <f>MAX($A$1:$A820)+1</f>
        <v>820</v>
      </c>
      <c r="B821" s="2" t="s">
        <v>171</v>
      </c>
      <c r="C821" s="2" t="s">
        <v>504</v>
      </c>
      <c r="D821" s="2" t="s">
        <v>34</v>
      </c>
      <c r="E821" s="7" t="s">
        <v>378</v>
      </c>
      <c r="F821" s="4">
        <v>48.916072999999997</v>
      </c>
      <c r="G821" s="18">
        <v>-125.131174</v>
      </c>
      <c r="H821" s="5" t="s">
        <v>12</v>
      </c>
      <c r="I821" s="2">
        <v>6</v>
      </c>
      <c r="J821" s="2">
        <v>40</v>
      </c>
      <c r="K821" s="6">
        <v>0.43541666666666662</v>
      </c>
      <c r="L821" s="2" t="s">
        <v>172</v>
      </c>
      <c r="M821" s="2">
        <v>11</v>
      </c>
      <c r="N821" s="2">
        <v>2</v>
      </c>
      <c r="O821" s="2">
        <v>2</v>
      </c>
      <c r="P821" s="2" t="s">
        <v>331</v>
      </c>
      <c r="Q821" s="7" t="s">
        <v>67</v>
      </c>
      <c r="R821" s="4" t="s">
        <v>332</v>
      </c>
      <c r="S821" s="20">
        <v>3</v>
      </c>
      <c r="T821" s="2">
        <v>3</v>
      </c>
    </row>
    <row r="822" spans="1:29">
      <c r="A822" s="7">
        <f>MAX($A$1:$A821)+1</f>
        <v>821</v>
      </c>
      <c r="B822" s="2" t="s">
        <v>171</v>
      </c>
      <c r="C822" s="2" t="s">
        <v>504</v>
      </c>
      <c r="D822" s="2" t="s">
        <v>34</v>
      </c>
      <c r="E822" s="7" t="s">
        <v>378</v>
      </c>
      <c r="F822" s="4">
        <v>48.916072999999997</v>
      </c>
      <c r="G822" s="18">
        <v>-125.131174</v>
      </c>
      <c r="H822" s="5" t="s">
        <v>12</v>
      </c>
      <c r="I822" s="2">
        <v>6</v>
      </c>
      <c r="J822" s="2">
        <v>40</v>
      </c>
      <c r="K822" s="6">
        <v>0.43541666666666662</v>
      </c>
      <c r="L822" s="2" t="s">
        <v>172</v>
      </c>
      <c r="M822" s="2">
        <v>11</v>
      </c>
      <c r="N822" s="2">
        <v>2</v>
      </c>
      <c r="O822" s="2">
        <v>2</v>
      </c>
      <c r="P822" s="2" t="s">
        <v>395</v>
      </c>
      <c r="Q822" s="7" t="s">
        <v>81</v>
      </c>
      <c r="R822" s="4" t="s">
        <v>396</v>
      </c>
      <c r="S822" s="20">
        <v>1</v>
      </c>
      <c r="T822" s="2">
        <v>1</v>
      </c>
    </row>
    <row r="823" spans="1:29">
      <c r="A823" s="7">
        <f>MAX($A$1:$A822)+1</f>
        <v>822</v>
      </c>
      <c r="B823" s="2" t="s">
        <v>171</v>
      </c>
      <c r="C823" s="2" t="s">
        <v>504</v>
      </c>
      <c r="D823" s="2" t="s">
        <v>34</v>
      </c>
      <c r="E823" s="7" t="s">
        <v>378</v>
      </c>
      <c r="F823" s="4">
        <v>48.916072999999997</v>
      </c>
      <c r="G823" s="18">
        <v>-125.131174</v>
      </c>
      <c r="H823" s="5" t="s">
        <v>12</v>
      </c>
      <c r="I823" s="2">
        <v>6</v>
      </c>
      <c r="J823" s="2">
        <v>40</v>
      </c>
      <c r="K823" s="6">
        <v>0.43541666666666662</v>
      </c>
      <c r="L823" s="2" t="s">
        <v>172</v>
      </c>
      <c r="M823" s="2">
        <v>11</v>
      </c>
      <c r="N823" s="2">
        <v>2</v>
      </c>
      <c r="O823" s="2">
        <v>2</v>
      </c>
      <c r="P823" s="2" t="s">
        <v>238</v>
      </c>
      <c r="Q823" s="7" t="s">
        <v>69</v>
      </c>
      <c r="R823" s="4" t="s">
        <v>313</v>
      </c>
      <c r="S823" s="20">
        <v>15</v>
      </c>
      <c r="T823" s="2">
        <v>15</v>
      </c>
    </row>
    <row r="824" spans="1:29">
      <c r="A824" s="7">
        <f>MAX($A$1:$A823)+1</f>
        <v>823</v>
      </c>
      <c r="B824" s="2" t="s">
        <v>171</v>
      </c>
      <c r="C824" s="2" t="s">
        <v>504</v>
      </c>
      <c r="D824" s="2" t="s">
        <v>34</v>
      </c>
      <c r="E824" s="7" t="s">
        <v>378</v>
      </c>
      <c r="F824" s="4">
        <v>48.916072999999997</v>
      </c>
      <c r="G824" s="18">
        <v>-125.131174</v>
      </c>
      <c r="H824" s="5" t="s">
        <v>12</v>
      </c>
      <c r="I824" s="2">
        <v>6</v>
      </c>
      <c r="J824" s="2">
        <v>40</v>
      </c>
      <c r="K824" s="6">
        <v>0.43541666666666662</v>
      </c>
      <c r="L824" s="2" t="s">
        <v>172</v>
      </c>
      <c r="M824" s="2">
        <v>11</v>
      </c>
      <c r="N824" s="2">
        <v>2</v>
      </c>
      <c r="O824" s="2">
        <v>2</v>
      </c>
      <c r="P824" s="2" t="s">
        <v>340</v>
      </c>
      <c r="Q824" s="7" t="s">
        <v>114</v>
      </c>
      <c r="R824" s="4" t="s">
        <v>341</v>
      </c>
      <c r="S824" s="20">
        <v>1</v>
      </c>
      <c r="T824" s="2">
        <v>1</v>
      </c>
    </row>
    <row r="825" spans="1:29">
      <c r="A825" s="7">
        <f>MAX($A$1:$A824)+1</f>
        <v>824</v>
      </c>
      <c r="B825" s="2" t="s">
        <v>171</v>
      </c>
      <c r="C825" s="2" t="s">
        <v>504</v>
      </c>
      <c r="D825" s="2" t="s">
        <v>34</v>
      </c>
      <c r="E825" s="7" t="s">
        <v>378</v>
      </c>
      <c r="F825" s="4">
        <v>48.916072999999997</v>
      </c>
      <c r="G825" s="18">
        <v>-125.131174</v>
      </c>
      <c r="H825" s="5" t="s">
        <v>12</v>
      </c>
      <c r="I825" s="2">
        <v>6</v>
      </c>
      <c r="J825" s="2">
        <v>40</v>
      </c>
      <c r="K825" s="6">
        <v>0.43541666666666662</v>
      </c>
      <c r="L825" s="2" t="s">
        <v>172</v>
      </c>
      <c r="M825" s="2">
        <v>11</v>
      </c>
      <c r="N825" s="2">
        <v>2</v>
      </c>
      <c r="O825" s="2">
        <v>2</v>
      </c>
      <c r="P825" s="2" t="s">
        <v>230</v>
      </c>
      <c r="Q825" s="7" t="s">
        <v>42</v>
      </c>
      <c r="R825" s="4" t="s">
        <v>321</v>
      </c>
      <c r="S825" s="20">
        <v>4</v>
      </c>
      <c r="T825" s="2">
        <v>0</v>
      </c>
      <c r="V825" s="2">
        <v>3</v>
      </c>
      <c r="W825" s="2">
        <v>1</v>
      </c>
    </row>
    <row r="826" spans="1:29">
      <c r="A826" s="7">
        <f>MAX($A$1:$A825)+1</f>
        <v>825</v>
      </c>
      <c r="B826" s="2" t="s">
        <v>171</v>
      </c>
      <c r="C826" s="2" t="s">
        <v>504</v>
      </c>
      <c r="D826" s="2" t="s">
        <v>34</v>
      </c>
      <c r="E826" s="7" t="s">
        <v>378</v>
      </c>
      <c r="F826" s="4">
        <v>48.916072999999997</v>
      </c>
      <c r="G826" s="18">
        <v>-125.131174</v>
      </c>
      <c r="H826" s="5" t="s">
        <v>12</v>
      </c>
      <c r="I826" s="2">
        <v>6</v>
      </c>
      <c r="J826" s="2">
        <v>40</v>
      </c>
      <c r="K826" s="6">
        <v>0.43541666666666662</v>
      </c>
      <c r="L826" s="2" t="s">
        <v>172</v>
      </c>
      <c r="M826" s="2">
        <v>11</v>
      </c>
      <c r="N826" s="2">
        <v>0</v>
      </c>
      <c r="O826" s="2">
        <v>2</v>
      </c>
      <c r="P826" s="2" t="s">
        <v>519</v>
      </c>
      <c r="Q826" s="7" t="s">
        <v>520</v>
      </c>
      <c r="R826" s="4" t="s">
        <v>521</v>
      </c>
      <c r="S826" s="20">
        <v>1</v>
      </c>
      <c r="T826" s="2">
        <v>0</v>
      </c>
      <c r="AC826" s="2">
        <v>1</v>
      </c>
    </row>
    <row r="827" spans="1:29">
      <c r="A827" s="7">
        <f>MAX($A$1:$A826)+1</f>
        <v>826</v>
      </c>
      <c r="B827" s="2" t="s">
        <v>171</v>
      </c>
      <c r="C827" s="2" t="s">
        <v>504</v>
      </c>
      <c r="D827" s="2" t="s">
        <v>34</v>
      </c>
      <c r="E827" s="7" t="s">
        <v>378</v>
      </c>
      <c r="F827" s="4">
        <v>48.916072999999997</v>
      </c>
      <c r="G827" s="18">
        <v>-125.131174</v>
      </c>
      <c r="H827" s="5" t="s">
        <v>12</v>
      </c>
      <c r="I827" s="2">
        <v>6</v>
      </c>
      <c r="J827" s="2">
        <v>40</v>
      </c>
      <c r="K827" s="6">
        <v>0.43541666666666662</v>
      </c>
      <c r="L827" s="2" t="s">
        <v>172</v>
      </c>
      <c r="M827" s="2">
        <v>11</v>
      </c>
      <c r="N827" s="2">
        <v>2</v>
      </c>
      <c r="O827" s="2">
        <v>2</v>
      </c>
      <c r="P827" s="2" t="s">
        <v>316</v>
      </c>
      <c r="Q827" s="7" t="s">
        <v>123</v>
      </c>
      <c r="R827" s="4" t="s">
        <v>317</v>
      </c>
      <c r="S827" s="20">
        <v>1</v>
      </c>
      <c r="T827" s="2">
        <v>1</v>
      </c>
    </row>
    <row r="828" spans="1:29">
      <c r="A828" s="7">
        <f>MAX($A$1:$A827)+1</f>
        <v>827</v>
      </c>
      <c r="B828" s="2" t="s">
        <v>171</v>
      </c>
      <c r="C828" s="2" t="s">
        <v>504</v>
      </c>
      <c r="D828" s="2" t="s">
        <v>34</v>
      </c>
      <c r="E828" s="7" t="s">
        <v>378</v>
      </c>
      <c r="F828" s="4">
        <v>48.916072999999997</v>
      </c>
      <c r="G828" s="18">
        <v>-125.131174</v>
      </c>
      <c r="H828" s="5" t="s">
        <v>12</v>
      </c>
      <c r="I828" s="2">
        <v>6</v>
      </c>
      <c r="J828" s="2">
        <v>40</v>
      </c>
      <c r="K828" s="6">
        <v>0.43541666666666662</v>
      </c>
      <c r="L828" s="2" t="s">
        <v>172</v>
      </c>
      <c r="M828" s="2">
        <v>11</v>
      </c>
      <c r="N828" s="2">
        <v>2</v>
      </c>
      <c r="O828" s="2">
        <v>2</v>
      </c>
      <c r="P828" s="2" t="s">
        <v>240</v>
      </c>
      <c r="Q828" s="7" t="s">
        <v>74</v>
      </c>
      <c r="R828" s="4" t="s">
        <v>459</v>
      </c>
      <c r="S828" s="20">
        <v>1</v>
      </c>
      <c r="T828" s="2">
        <v>1</v>
      </c>
    </row>
    <row r="829" spans="1:29">
      <c r="A829" s="7">
        <f>MAX($A$1:$A828)+1</f>
        <v>828</v>
      </c>
      <c r="B829" s="2" t="s">
        <v>171</v>
      </c>
      <c r="C829" s="2" t="s">
        <v>504</v>
      </c>
      <c r="D829" s="2" t="s">
        <v>34</v>
      </c>
      <c r="E829" s="7" t="s">
        <v>378</v>
      </c>
      <c r="F829" s="4">
        <v>48.916072999999997</v>
      </c>
      <c r="G829" s="18">
        <v>-125.131174</v>
      </c>
      <c r="H829" s="5" t="s">
        <v>12</v>
      </c>
      <c r="I829" s="2">
        <v>6</v>
      </c>
      <c r="J829" s="2">
        <v>40</v>
      </c>
      <c r="K829" s="6">
        <v>0.43541666666666662</v>
      </c>
      <c r="L829" s="2" t="s">
        <v>172</v>
      </c>
      <c r="M829" s="2">
        <v>11</v>
      </c>
      <c r="N829" s="2">
        <v>2</v>
      </c>
      <c r="O829" s="2">
        <v>2</v>
      </c>
      <c r="P829" s="2" t="s">
        <v>271</v>
      </c>
      <c r="Q829" s="7" t="s">
        <v>84</v>
      </c>
      <c r="R829" s="4" t="s">
        <v>406</v>
      </c>
      <c r="S829" s="20">
        <v>2</v>
      </c>
      <c r="T829" s="2">
        <v>2</v>
      </c>
    </row>
    <row r="830" spans="1:29">
      <c r="A830" s="7">
        <f>MAX($A$1:$A829)+1</f>
        <v>829</v>
      </c>
      <c r="B830" s="2" t="s">
        <v>171</v>
      </c>
      <c r="C830" s="2" t="s">
        <v>504</v>
      </c>
      <c r="D830" s="2" t="s">
        <v>34</v>
      </c>
      <c r="E830" s="7" t="s">
        <v>378</v>
      </c>
      <c r="F830" s="4">
        <v>48.916072999999997</v>
      </c>
      <c r="G830" s="18">
        <v>-125.131174</v>
      </c>
      <c r="H830" s="5" t="s">
        <v>12</v>
      </c>
      <c r="I830" s="2">
        <v>6</v>
      </c>
      <c r="J830" s="2">
        <v>40</v>
      </c>
      <c r="K830" s="6">
        <v>0.43541666666666662</v>
      </c>
      <c r="L830" s="2" t="s">
        <v>172</v>
      </c>
      <c r="M830" s="2">
        <v>11</v>
      </c>
      <c r="N830" s="2">
        <v>2</v>
      </c>
      <c r="O830" s="2">
        <v>2</v>
      </c>
      <c r="P830" s="2" t="s">
        <v>250</v>
      </c>
      <c r="Q830" s="7" t="s">
        <v>46</v>
      </c>
      <c r="R830" s="4" t="s">
        <v>295</v>
      </c>
      <c r="S830" s="20">
        <v>1</v>
      </c>
      <c r="T830" s="2">
        <v>1</v>
      </c>
    </row>
    <row r="831" spans="1:29">
      <c r="A831" s="7">
        <f>MAX($A$1:$A830)+1</f>
        <v>830</v>
      </c>
      <c r="B831" s="2" t="s">
        <v>171</v>
      </c>
      <c r="C831" s="2" t="s">
        <v>504</v>
      </c>
      <c r="D831" s="2" t="s">
        <v>34</v>
      </c>
      <c r="E831" s="7" t="s">
        <v>378</v>
      </c>
      <c r="F831" s="4">
        <v>48.916072999999997</v>
      </c>
      <c r="G831" s="18">
        <v>-125.131174</v>
      </c>
      <c r="H831" s="5" t="s">
        <v>12</v>
      </c>
      <c r="I831" s="2">
        <v>6</v>
      </c>
      <c r="J831" s="2">
        <v>40</v>
      </c>
      <c r="K831" s="6">
        <v>0.43541666666666662</v>
      </c>
      <c r="L831" s="2" t="s">
        <v>172</v>
      </c>
      <c r="M831" s="2">
        <v>11</v>
      </c>
      <c r="N831" s="2">
        <v>0</v>
      </c>
      <c r="O831" s="2">
        <v>2</v>
      </c>
      <c r="P831" s="2" t="s">
        <v>388</v>
      </c>
      <c r="Q831" s="7" t="s">
        <v>82</v>
      </c>
      <c r="R831" s="4" t="s">
        <v>389</v>
      </c>
      <c r="S831" s="20">
        <v>1</v>
      </c>
      <c r="T831" s="2">
        <v>1</v>
      </c>
    </row>
    <row r="832" spans="1:29">
      <c r="A832" s="7">
        <f>MAX($A$1:$A831)+1</f>
        <v>831</v>
      </c>
      <c r="B832" s="2" t="s">
        <v>171</v>
      </c>
      <c r="C832" s="2" t="s">
        <v>504</v>
      </c>
      <c r="D832" s="2" t="s">
        <v>34</v>
      </c>
      <c r="E832" s="7" t="s">
        <v>378</v>
      </c>
      <c r="F832" s="4">
        <v>48.916072999999997</v>
      </c>
      <c r="G832" s="18">
        <v>-125.131174</v>
      </c>
      <c r="H832" s="5" t="s">
        <v>12</v>
      </c>
      <c r="I832" s="2">
        <v>6</v>
      </c>
      <c r="J832" s="2">
        <v>40</v>
      </c>
      <c r="K832" s="6">
        <v>0.43541666666666662</v>
      </c>
      <c r="L832" s="2" t="s">
        <v>172</v>
      </c>
      <c r="M832" s="2">
        <v>11</v>
      </c>
      <c r="N832" s="2">
        <v>0</v>
      </c>
      <c r="O832" s="2">
        <v>2</v>
      </c>
      <c r="P832" s="2" t="s">
        <v>236</v>
      </c>
      <c r="Q832" s="7" t="s">
        <v>44</v>
      </c>
      <c r="R832" s="4" t="s">
        <v>369</v>
      </c>
      <c r="S832" s="20">
        <v>1</v>
      </c>
      <c r="T832" s="2">
        <v>0</v>
      </c>
      <c r="Y832" s="2">
        <v>1</v>
      </c>
    </row>
    <row r="833" spans="1:30">
      <c r="A833" s="7">
        <f>MAX($A$1:$A832)+1</f>
        <v>832</v>
      </c>
      <c r="B833" s="2" t="s">
        <v>171</v>
      </c>
      <c r="C833" s="2" t="s">
        <v>504</v>
      </c>
      <c r="D833" s="2" t="s">
        <v>34</v>
      </c>
      <c r="E833" s="7" t="s">
        <v>378</v>
      </c>
      <c r="F833" s="4">
        <v>48.916072999999997</v>
      </c>
      <c r="G833" s="18">
        <v>-125.131174</v>
      </c>
      <c r="H833" s="5" t="s">
        <v>12</v>
      </c>
      <c r="I833" s="2">
        <v>6</v>
      </c>
      <c r="J833" s="2">
        <v>40</v>
      </c>
      <c r="K833" s="6">
        <v>0.43541666666666662</v>
      </c>
      <c r="L833" s="2" t="s">
        <v>172</v>
      </c>
      <c r="M833" s="2">
        <v>11</v>
      </c>
      <c r="N833" s="2">
        <v>0</v>
      </c>
      <c r="O833" s="2">
        <v>2</v>
      </c>
      <c r="P833" s="2" t="s">
        <v>234</v>
      </c>
      <c r="Q833" s="7" t="s">
        <v>45</v>
      </c>
      <c r="R833" s="4" t="s">
        <v>353</v>
      </c>
      <c r="S833" s="20">
        <v>1</v>
      </c>
      <c r="T833" s="2">
        <v>0</v>
      </c>
      <c r="AD833" s="2">
        <v>1</v>
      </c>
    </row>
    <row r="834" spans="1:30">
      <c r="A834" s="7">
        <f>MAX($A$1:$A833)+1</f>
        <v>833</v>
      </c>
      <c r="B834" s="2" t="s">
        <v>171</v>
      </c>
      <c r="C834" s="2" t="s">
        <v>504</v>
      </c>
      <c r="D834" s="2" t="s">
        <v>34</v>
      </c>
      <c r="E834" s="7" t="s">
        <v>378</v>
      </c>
      <c r="F834" s="4">
        <v>48.916072999999997</v>
      </c>
      <c r="G834" s="18">
        <v>-125.131174</v>
      </c>
      <c r="H834" s="5" t="s">
        <v>12</v>
      </c>
      <c r="I834" s="2">
        <v>6</v>
      </c>
      <c r="J834" s="2">
        <v>40</v>
      </c>
      <c r="K834" s="6">
        <v>0.43541666666666662</v>
      </c>
      <c r="L834" s="2" t="s">
        <v>172</v>
      </c>
      <c r="M834" s="2">
        <v>11</v>
      </c>
      <c r="N834" s="2">
        <v>0</v>
      </c>
      <c r="O834" s="2">
        <v>2</v>
      </c>
      <c r="P834" s="2" t="s">
        <v>231</v>
      </c>
      <c r="Q834" s="7" t="s">
        <v>48</v>
      </c>
      <c r="R834" s="4" t="s">
        <v>365</v>
      </c>
      <c r="S834" s="20">
        <v>50</v>
      </c>
      <c r="T834" s="2">
        <v>0</v>
      </c>
      <c r="AA834" s="2">
        <v>10</v>
      </c>
      <c r="AB834" s="2">
        <v>30</v>
      </c>
      <c r="AC834" s="2">
        <v>10</v>
      </c>
    </row>
    <row r="835" spans="1:30">
      <c r="A835" s="7">
        <f>MAX($A$1:$A834)+1</f>
        <v>834</v>
      </c>
      <c r="B835" s="2" t="s">
        <v>171</v>
      </c>
      <c r="C835" s="2" t="s">
        <v>504</v>
      </c>
      <c r="D835" s="2" t="s">
        <v>34</v>
      </c>
      <c r="E835" s="7" t="s">
        <v>378</v>
      </c>
      <c r="F835" s="4">
        <v>48.916072999999997</v>
      </c>
      <c r="G835" s="18">
        <v>-125.131174</v>
      </c>
      <c r="H835" s="5" t="s">
        <v>12</v>
      </c>
      <c r="I835" s="2">
        <v>6</v>
      </c>
      <c r="J835" s="2">
        <v>40</v>
      </c>
      <c r="K835" s="6">
        <v>0.43541666666666662</v>
      </c>
      <c r="L835" s="2" t="s">
        <v>172</v>
      </c>
      <c r="M835" s="2">
        <v>11</v>
      </c>
      <c r="N835" s="2">
        <v>0</v>
      </c>
      <c r="O835" s="2">
        <v>2</v>
      </c>
      <c r="P835" s="2" t="s">
        <v>233</v>
      </c>
      <c r="Q835" s="7" t="s">
        <v>53</v>
      </c>
      <c r="R835" s="4" t="s">
        <v>379</v>
      </c>
      <c r="S835" s="20">
        <v>50</v>
      </c>
      <c r="T835" s="2">
        <v>0</v>
      </c>
      <c r="Z835" s="2">
        <v>5</v>
      </c>
      <c r="AA835" s="2">
        <v>20</v>
      </c>
      <c r="AB835" s="2">
        <v>20</v>
      </c>
      <c r="AC835" s="2">
        <v>5</v>
      </c>
    </row>
    <row r="836" spans="1:30">
      <c r="A836" s="7">
        <f>MAX($A$1:$A835)+1</f>
        <v>835</v>
      </c>
      <c r="B836" s="2" t="s">
        <v>171</v>
      </c>
      <c r="C836" s="2" t="s">
        <v>504</v>
      </c>
      <c r="D836" s="2" t="s">
        <v>34</v>
      </c>
      <c r="E836" s="7" t="s">
        <v>378</v>
      </c>
      <c r="F836" s="4">
        <v>48.916072999999997</v>
      </c>
      <c r="G836" s="18">
        <v>-125.131174</v>
      </c>
      <c r="H836" s="5" t="s">
        <v>12</v>
      </c>
      <c r="I836" s="2">
        <v>6</v>
      </c>
      <c r="J836" s="2">
        <v>40</v>
      </c>
      <c r="K836" s="6">
        <v>0.43541666666666662</v>
      </c>
      <c r="L836" s="2" t="s">
        <v>172</v>
      </c>
      <c r="M836" s="2">
        <v>11</v>
      </c>
      <c r="N836" s="2">
        <v>0</v>
      </c>
      <c r="O836" s="2">
        <v>2</v>
      </c>
      <c r="P836" s="2" t="s">
        <v>522</v>
      </c>
      <c r="Q836" s="7" t="s">
        <v>523</v>
      </c>
      <c r="R836" s="4" t="s">
        <v>524</v>
      </c>
      <c r="S836" s="20">
        <v>1</v>
      </c>
      <c r="T836" s="2">
        <v>0</v>
      </c>
      <c r="AA836" s="2">
        <v>1</v>
      </c>
    </row>
    <row r="837" spans="1:30">
      <c r="A837" s="7">
        <f>MAX($A$1:$A836)+1</f>
        <v>836</v>
      </c>
      <c r="B837" s="2" t="s">
        <v>171</v>
      </c>
      <c r="C837" s="2" t="s">
        <v>504</v>
      </c>
      <c r="D837" s="2" t="s">
        <v>34</v>
      </c>
      <c r="E837" s="7" t="s">
        <v>378</v>
      </c>
      <c r="F837" s="4">
        <v>48.916072999999997</v>
      </c>
      <c r="G837" s="18">
        <v>-125.131174</v>
      </c>
      <c r="H837" s="5" t="s">
        <v>12</v>
      </c>
      <c r="I837" s="2">
        <v>6</v>
      </c>
      <c r="J837" s="2">
        <v>40</v>
      </c>
      <c r="K837" s="6">
        <v>0.43541666666666662</v>
      </c>
      <c r="L837" s="2" t="s">
        <v>172</v>
      </c>
      <c r="M837" s="2">
        <v>11</v>
      </c>
      <c r="N837" s="2">
        <v>2</v>
      </c>
      <c r="O837" s="2">
        <v>2</v>
      </c>
      <c r="P837" s="2" t="s">
        <v>342</v>
      </c>
      <c r="Q837" s="7" t="s">
        <v>126</v>
      </c>
      <c r="R837" s="4" t="s">
        <v>329</v>
      </c>
      <c r="S837" s="20">
        <v>0</v>
      </c>
      <c r="T837" s="2">
        <v>0</v>
      </c>
    </row>
    <row r="838" spans="1:30">
      <c r="A838" s="7">
        <f>MAX($A$1:$A837)+1</f>
        <v>837</v>
      </c>
      <c r="B838" s="2" t="s">
        <v>278</v>
      </c>
      <c r="C838" s="2" t="s">
        <v>171</v>
      </c>
      <c r="D838" s="2" t="s">
        <v>35</v>
      </c>
      <c r="E838" s="7" t="s">
        <v>382</v>
      </c>
      <c r="F838" s="4">
        <v>48.838594999999998</v>
      </c>
      <c r="G838" s="18">
        <v>-125.135015</v>
      </c>
      <c r="H838" s="5" t="s">
        <v>12</v>
      </c>
      <c r="I838" s="2">
        <v>4</v>
      </c>
      <c r="J838" s="2">
        <v>330</v>
      </c>
      <c r="K838" s="6">
        <v>0.55555555555555558</v>
      </c>
      <c r="L838" s="2" t="s">
        <v>172</v>
      </c>
      <c r="M838" s="2">
        <v>5.7</v>
      </c>
      <c r="N838" s="2">
        <v>1</v>
      </c>
      <c r="O838" s="2">
        <v>1</v>
      </c>
      <c r="P838" s="2" t="s">
        <v>231</v>
      </c>
      <c r="Q838" s="7" t="s">
        <v>48</v>
      </c>
      <c r="R838" s="4" t="s">
        <v>365</v>
      </c>
      <c r="S838" s="20">
        <v>12</v>
      </c>
      <c r="T838" s="2">
        <v>0</v>
      </c>
      <c r="Y838" s="2">
        <v>3</v>
      </c>
      <c r="Z838" s="2">
        <v>8</v>
      </c>
      <c r="AA838" s="2">
        <v>1</v>
      </c>
    </row>
    <row r="839" spans="1:30">
      <c r="A839" s="7">
        <f>MAX($A$1:$A838)+1</f>
        <v>838</v>
      </c>
      <c r="B839" s="2" t="s">
        <v>278</v>
      </c>
      <c r="C839" s="2" t="s">
        <v>171</v>
      </c>
      <c r="D839" s="2" t="s">
        <v>35</v>
      </c>
      <c r="E839" s="7" t="s">
        <v>382</v>
      </c>
      <c r="F839" s="4">
        <v>48.838594999999998</v>
      </c>
      <c r="G839" s="18">
        <v>-125.135015</v>
      </c>
      <c r="H839" s="5" t="s">
        <v>12</v>
      </c>
      <c r="I839" s="2">
        <v>4</v>
      </c>
      <c r="J839" s="2">
        <v>330</v>
      </c>
      <c r="K839" s="6">
        <v>0.55555555555555558</v>
      </c>
      <c r="L839" s="2" t="s">
        <v>172</v>
      </c>
      <c r="M839" s="2">
        <v>5.7</v>
      </c>
      <c r="N839" s="2">
        <v>1</v>
      </c>
      <c r="O839" s="2">
        <v>1</v>
      </c>
      <c r="P839" s="2" t="s">
        <v>234</v>
      </c>
      <c r="Q839" s="7" t="s">
        <v>45</v>
      </c>
      <c r="R839" s="4" t="s">
        <v>353</v>
      </c>
      <c r="S839" s="20">
        <v>3</v>
      </c>
      <c r="T839" s="2">
        <v>0</v>
      </c>
      <c r="Y839" s="2">
        <v>3</v>
      </c>
    </row>
    <row r="840" spans="1:30">
      <c r="A840" s="7">
        <f>MAX($A$1:$A839)+1</f>
        <v>839</v>
      </c>
      <c r="B840" s="2" t="s">
        <v>278</v>
      </c>
      <c r="C840" s="2" t="s">
        <v>171</v>
      </c>
      <c r="D840" s="2" t="s">
        <v>35</v>
      </c>
      <c r="E840" s="7" t="s">
        <v>382</v>
      </c>
      <c r="F840" s="4">
        <v>48.838594999999998</v>
      </c>
      <c r="G840" s="18">
        <v>-125.135015</v>
      </c>
      <c r="H840" s="5" t="s">
        <v>12</v>
      </c>
      <c r="I840" s="2">
        <v>4</v>
      </c>
      <c r="J840" s="2">
        <v>330</v>
      </c>
      <c r="K840" s="6">
        <v>0.55555555555555558</v>
      </c>
      <c r="L840" s="2" t="s">
        <v>172</v>
      </c>
      <c r="M840" s="2">
        <v>5.7</v>
      </c>
      <c r="N840" s="2">
        <v>1</v>
      </c>
      <c r="O840" s="2">
        <v>1</v>
      </c>
      <c r="P840" s="2" t="s">
        <v>233</v>
      </c>
      <c r="Q840" s="7" t="s">
        <v>53</v>
      </c>
      <c r="R840" s="4" t="s">
        <v>379</v>
      </c>
      <c r="S840" s="20">
        <v>43</v>
      </c>
      <c r="T840" s="2">
        <v>0</v>
      </c>
      <c r="W840" s="2">
        <v>3</v>
      </c>
      <c r="X840" s="2">
        <v>13</v>
      </c>
      <c r="Y840" s="2">
        <v>27</v>
      </c>
    </row>
    <row r="841" spans="1:30">
      <c r="A841" s="7">
        <f>MAX($A$1:$A840)+1</f>
        <v>840</v>
      </c>
      <c r="B841" s="2" t="s">
        <v>278</v>
      </c>
      <c r="C841" s="2" t="s">
        <v>171</v>
      </c>
      <c r="D841" s="2" t="s">
        <v>35</v>
      </c>
      <c r="E841" s="7" t="s">
        <v>382</v>
      </c>
      <c r="F841" s="4">
        <v>48.838594999999998</v>
      </c>
      <c r="G841" s="18">
        <v>-125.135015</v>
      </c>
      <c r="H841" s="5" t="s">
        <v>12</v>
      </c>
      <c r="I841" s="2">
        <v>4</v>
      </c>
      <c r="J841" s="2">
        <v>330</v>
      </c>
      <c r="K841" s="6">
        <v>0.55555555555555558</v>
      </c>
      <c r="L841" s="2" t="s">
        <v>172</v>
      </c>
      <c r="M841" s="2">
        <v>5.7</v>
      </c>
      <c r="N841" s="2">
        <v>1</v>
      </c>
      <c r="O841" s="2">
        <v>1</v>
      </c>
      <c r="P841" s="2" t="s">
        <v>232</v>
      </c>
      <c r="Q841" s="7" t="s">
        <v>43</v>
      </c>
      <c r="R841" s="4" t="s">
        <v>324</v>
      </c>
      <c r="S841" s="20">
        <v>14</v>
      </c>
      <c r="T841" s="2">
        <v>0</v>
      </c>
      <c r="Y841" s="2">
        <v>4</v>
      </c>
      <c r="Z841" s="2">
        <v>2</v>
      </c>
      <c r="AA841" s="2">
        <v>5</v>
      </c>
      <c r="AB841" s="2">
        <v>3</v>
      </c>
    </row>
    <row r="842" spans="1:30">
      <c r="A842" s="7">
        <f>MAX($A$1:$A841)+1</f>
        <v>841</v>
      </c>
      <c r="B842" s="2" t="s">
        <v>278</v>
      </c>
      <c r="C842" s="2" t="s">
        <v>171</v>
      </c>
      <c r="D842" s="2" t="s">
        <v>35</v>
      </c>
      <c r="E842" s="7" t="s">
        <v>382</v>
      </c>
      <c r="F842" s="4">
        <v>48.838594999999998</v>
      </c>
      <c r="G842" s="18">
        <v>-125.135015</v>
      </c>
      <c r="H842" s="5" t="s">
        <v>12</v>
      </c>
      <c r="I842" s="2">
        <v>4</v>
      </c>
      <c r="J842" s="2">
        <v>330</v>
      </c>
      <c r="K842" s="6">
        <v>0.55555555555555558</v>
      </c>
      <c r="L842" s="2" t="s">
        <v>172</v>
      </c>
      <c r="M842" s="2">
        <v>5.7</v>
      </c>
      <c r="N842" s="2">
        <v>1</v>
      </c>
      <c r="O842" s="2">
        <v>1</v>
      </c>
      <c r="P842" s="2" t="s">
        <v>236</v>
      </c>
      <c r="Q842" s="7" t="s">
        <v>44</v>
      </c>
      <c r="R842" s="4" t="s">
        <v>369</v>
      </c>
      <c r="S842" s="20">
        <v>1</v>
      </c>
      <c r="T842" s="2">
        <v>0</v>
      </c>
      <c r="Z842" s="2">
        <v>1</v>
      </c>
    </row>
    <row r="843" spans="1:30">
      <c r="A843" s="7">
        <f>MAX($A$1:$A842)+1</f>
        <v>842</v>
      </c>
      <c r="B843" s="2" t="s">
        <v>278</v>
      </c>
      <c r="C843" s="2" t="s">
        <v>171</v>
      </c>
      <c r="D843" s="2" t="s">
        <v>35</v>
      </c>
      <c r="E843" s="7" t="s">
        <v>382</v>
      </c>
      <c r="F843" s="4">
        <v>48.838594999999998</v>
      </c>
      <c r="G843" s="18">
        <v>-125.135015</v>
      </c>
      <c r="H843" s="5" t="s">
        <v>12</v>
      </c>
      <c r="I843" s="2">
        <v>4</v>
      </c>
      <c r="J843" s="2">
        <v>330</v>
      </c>
      <c r="K843" s="6">
        <v>0.55555555555555558</v>
      </c>
      <c r="L843" s="2" t="s">
        <v>172</v>
      </c>
      <c r="M843" s="2">
        <v>5.7</v>
      </c>
      <c r="N843" s="2">
        <v>1</v>
      </c>
      <c r="O843" s="2">
        <v>1</v>
      </c>
      <c r="P843" s="2" t="s">
        <v>235</v>
      </c>
      <c r="Q843" s="7" t="s">
        <v>54</v>
      </c>
      <c r="R843" s="4" t="s">
        <v>364</v>
      </c>
      <c r="S843" s="20">
        <v>2</v>
      </c>
      <c r="T843" s="2">
        <v>0</v>
      </c>
      <c r="Z843" s="2">
        <v>2</v>
      </c>
    </row>
    <row r="844" spans="1:30">
      <c r="A844" s="7">
        <f>MAX($A$1:$A843)+1</f>
        <v>843</v>
      </c>
      <c r="B844" s="2" t="s">
        <v>278</v>
      </c>
      <c r="C844" s="2" t="s">
        <v>171</v>
      </c>
      <c r="D844" s="2" t="s">
        <v>35</v>
      </c>
      <c r="E844" s="7" t="s">
        <v>382</v>
      </c>
      <c r="F844" s="4">
        <v>48.838594999999998</v>
      </c>
      <c r="G844" s="18">
        <v>-125.135015</v>
      </c>
      <c r="H844" s="5" t="s">
        <v>12</v>
      </c>
      <c r="I844" s="2">
        <v>4</v>
      </c>
      <c r="J844" s="2">
        <v>330</v>
      </c>
      <c r="K844" s="6">
        <v>0.55555555555555558</v>
      </c>
      <c r="L844" s="2" t="s">
        <v>172</v>
      </c>
      <c r="M844" s="2">
        <v>5.7</v>
      </c>
      <c r="N844" s="2">
        <v>2</v>
      </c>
      <c r="O844" s="2">
        <v>1</v>
      </c>
      <c r="P844" s="2" t="s">
        <v>241</v>
      </c>
      <c r="Q844" s="7" t="s">
        <v>63</v>
      </c>
      <c r="R844" s="4" t="s">
        <v>294</v>
      </c>
      <c r="S844" s="20">
        <v>105</v>
      </c>
      <c r="T844" s="2">
        <v>105</v>
      </c>
    </row>
    <row r="845" spans="1:30">
      <c r="A845" s="7">
        <f>MAX($A$1:$A844)+1</f>
        <v>844</v>
      </c>
      <c r="B845" s="2" t="s">
        <v>278</v>
      </c>
      <c r="C845" s="2" t="s">
        <v>171</v>
      </c>
      <c r="D845" s="2" t="s">
        <v>35</v>
      </c>
      <c r="E845" s="7" t="s">
        <v>382</v>
      </c>
      <c r="F845" s="4">
        <v>48.838594999999998</v>
      </c>
      <c r="G845" s="18">
        <v>-125.135015</v>
      </c>
      <c r="H845" s="5" t="s">
        <v>12</v>
      </c>
      <c r="I845" s="2">
        <v>4</v>
      </c>
      <c r="J845" s="2">
        <v>330</v>
      </c>
      <c r="K845" s="6">
        <v>0.55555555555555558</v>
      </c>
      <c r="L845" s="2" t="s">
        <v>172</v>
      </c>
      <c r="M845" s="2">
        <v>5.7</v>
      </c>
      <c r="N845" s="2">
        <v>2</v>
      </c>
      <c r="O845" s="2">
        <v>1</v>
      </c>
      <c r="P845" s="2" t="s">
        <v>244</v>
      </c>
      <c r="Q845" s="7" t="s">
        <v>65</v>
      </c>
      <c r="R845" s="4" t="s">
        <v>307</v>
      </c>
      <c r="S845" s="20">
        <v>35</v>
      </c>
      <c r="T845" s="2">
        <v>35</v>
      </c>
    </row>
    <row r="846" spans="1:30">
      <c r="A846" s="7">
        <f>MAX($A$1:$A845)+1</f>
        <v>845</v>
      </c>
      <c r="B846" s="2" t="s">
        <v>278</v>
      </c>
      <c r="C846" s="2" t="s">
        <v>171</v>
      </c>
      <c r="D846" s="2" t="s">
        <v>35</v>
      </c>
      <c r="E846" s="7" t="s">
        <v>382</v>
      </c>
      <c r="F846" s="4">
        <v>48.838594999999998</v>
      </c>
      <c r="G846" s="18">
        <v>-125.135015</v>
      </c>
      <c r="H846" s="5" t="s">
        <v>12</v>
      </c>
      <c r="I846" s="2">
        <v>4</v>
      </c>
      <c r="J846" s="2">
        <v>330</v>
      </c>
      <c r="K846" s="6">
        <v>0.55555555555555558</v>
      </c>
      <c r="L846" s="2" t="s">
        <v>172</v>
      </c>
      <c r="M846" s="2">
        <v>5.7</v>
      </c>
      <c r="N846" s="2">
        <v>2</v>
      </c>
      <c r="O846" s="2">
        <v>1</v>
      </c>
      <c r="P846" s="2" t="s">
        <v>230</v>
      </c>
      <c r="Q846" s="7" t="s">
        <v>42</v>
      </c>
      <c r="R846" s="4" t="s">
        <v>321</v>
      </c>
      <c r="S846" s="20">
        <f>SUM(T846:Y846)</f>
        <v>127</v>
      </c>
      <c r="T846" s="2">
        <v>0</v>
      </c>
      <c r="U846" s="2">
        <v>19</v>
      </c>
      <c r="V846" s="2">
        <v>18</v>
      </c>
      <c r="W846" s="2">
        <v>53</v>
      </c>
      <c r="X846" s="2">
        <v>34</v>
      </c>
      <c r="Y846" s="2">
        <v>3</v>
      </c>
    </row>
    <row r="847" spans="1:30">
      <c r="A847" s="7">
        <f>MAX($A$1:$A846)+1</f>
        <v>846</v>
      </c>
      <c r="B847" s="2" t="s">
        <v>278</v>
      </c>
      <c r="C847" s="2" t="s">
        <v>171</v>
      </c>
      <c r="D847" s="2" t="s">
        <v>35</v>
      </c>
      <c r="E847" s="7" t="s">
        <v>382</v>
      </c>
      <c r="F847" s="4">
        <v>48.838594999999998</v>
      </c>
      <c r="G847" s="18">
        <v>-125.135015</v>
      </c>
      <c r="H847" s="5" t="s">
        <v>12</v>
      </c>
      <c r="I847" s="2">
        <v>4</v>
      </c>
      <c r="J847" s="2">
        <v>330</v>
      </c>
      <c r="K847" s="6">
        <v>0.55555555555555558</v>
      </c>
      <c r="L847" s="2" t="s">
        <v>172</v>
      </c>
      <c r="M847" s="2">
        <v>5.7</v>
      </c>
      <c r="N847" s="2">
        <v>2</v>
      </c>
      <c r="O847" s="2">
        <v>1</v>
      </c>
      <c r="P847" s="2" t="s">
        <v>246</v>
      </c>
      <c r="Q847" s="7" t="s">
        <v>66</v>
      </c>
      <c r="R847" s="4" t="s">
        <v>318</v>
      </c>
      <c r="S847" s="20">
        <v>13</v>
      </c>
      <c r="T847" s="2">
        <v>13</v>
      </c>
      <c r="V847" s="48"/>
      <c r="W847" s="48"/>
      <c r="X847" s="48"/>
      <c r="Y847" s="48"/>
    </row>
    <row r="848" spans="1:30">
      <c r="A848" s="7">
        <f>MAX($A$1:$A847)+1</f>
        <v>847</v>
      </c>
      <c r="B848" s="2" t="s">
        <v>278</v>
      </c>
      <c r="C848" s="2" t="s">
        <v>171</v>
      </c>
      <c r="D848" s="2" t="s">
        <v>35</v>
      </c>
      <c r="E848" s="7" t="s">
        <v>382</v>
      </c>
      <c r="F848" s="4">
        <v>48.838594999999998</v>
      </c>
      <c r="G848" s="18">
        <v>-125.135015</v>
      </c>
      <c r="H848" s="5" t="s">
        <v>12</v>
      </c>
      <c r="I848" s="2">
        <v>4</v>
      </c>
      <c r="J848" s="2">
        <v>330</v>
      </c>
      <c r="K848" s="6">
        <v>0.55555555555555558</v>
      </c>
      <c r="L848" s="2" t="s">
        <v>172</v>
      </c>
      <c r="M848" s="2">
        <v>5.7</v>
      </c>
      <c r="N848" s="2">
        <v>2</v>
      </c>
      <c r="O848" s="2">
        <v>1</v>
      </c>
      <c r="P848" s="2" t="s">
        <v>301</v>
      </c>
      <c r="Q848" s="7" t="s">
        <v>97</v>
      </c>
      <c r="R848" s="4" t="s">
        <v>302</v>
      </c>
      <c r="S848" s="20">
        <v>3</v>
      </c>
      <c r="T848" s="2">
        <v>3</v>
      </c>
    </row>
    <row r="849" spans="1:27">
      <c r="A849" s="7">
        <f>MAX($A$1:$A848)+1</f>
        <v>848</v>
      </c>
      <c r="B849" s="2" t="s">
        <v>278</v>
      </c>
      <c r="C849" s="2" t="s">
        <v>171</v>
      </c>
      <c r="D849" s="2" t="s">
        <v>35</v>
      </c>
      <c r="E849" s="7" t="s">
        <v>382</v>
      </c>
      <c r="F849" s="4">
        <v>48.838594999999998</v>
      </c>
      <c r="G849" s="18">
        <v>-125.135015</v>
      </c>
      <c r="H849" s="5" t="s">
        <v>12</v>
      </c>
      <c r="I849" s="2">
        <v>4</v>
      </c>
      <c r="J849" s="2">
        <v>330</v>
      </c>
      <c r="K849" s="6">
        <v>0.55555555555555558</v>
      </c>
      <c r="L849" s="2" t="s">
        <v>172</v>
      </c>
      <c r="M849" s="2">
        <v>5.7</v>
      </c>
      <c r="N849" s="2">
        <v>2</v>
      </c>
      <c r="O849" s="2">
        <v>1</v>
      </c>
      <c r="P849" s="2" t="s">
        <v>248</v>
      </c>
      <c r="Q849" s="7" t="s">
        <v>78</v>
      </c>
      <c r="R849" s="4" t="s">
        <v>349</v>
      </c>
      <c r="S849" s="20">
        <v>7</v>
      </c>
      <c r="T849" s="2">
        <v>0</v>
      </c>
      <c r="W849" s="2">
        <v>2</v>
      </c>
      <c r="X849" s="2">
        <v>3</v>
      </c>
      <c r="Z849" s="2">
        <v>2</v>
      </c>
    </row>
    <row r="850" spans="1:27">
      <c r="A850" s="7">
        <f>MAX($A$1:$A849)+1</f>
        <v>849</v>
      </c>
      <c r="B850" s="2" t="s">
        <v>278</v>
      </c>
      <c r="C850" s="2" t="s">
        <v>171</v>
      </c>
      <c r="D850" s="2" t="s">
        <v>35</v>
      </c>
      <c r="E850" s="7" t="s">
        <v>382</v>
      </c>
      <c r="F850" s="4">
        <v>48.838594999999998</v>
      </c>
      <c r="G850" s="18">
        <v>-125.135015</v>
      </c>
      <c r="H850" s="5" t="s">
        <v>12</v>
      </c>
      <c r="I850" s="2">
        <v>4</v>
      </c>
      <c r="J850" s="2">
        <v>330</v>
      </c>
      <c r="K850" s="6">
        <v>0.55555555555555558</v>
      </c>
      <c r="L850" s="2" t="s">
        <v>172</v>
      </c>
      <c r="M850" s="2">
        <v>5.7</v>
      </c>
      <c r="N850" s="2">
        <v>2</v>
      </c>
      <c r="O850" s="2">
        <v>1</v>
      </c>
      <c r="P850" s="2" t="s">
        <v>243</v>
      </c>
      <c r="Q850" s="7" t="s">
        <v>85</v>
      </c>
      <c r="R850" s="4" t="s">
        <v>312</v>
      </c>
      <c r="S850" s="20">
        <v>8</v>
      </c>
      <c r="T850" s="2">
        <v>8</v>
      </c>
    </row>
    <row r="851" spans="1:27">
      <c r="A851" s="7">
        <f>MAX($A$1:$A850)+1</f>
        <v>850</v>
      </c>
      <c r="B851" s="2" t="s">
        <v>278</v>
      </c>
      <c r="C851" s="2" t="s">
        <v>171</v>
      </c>
      <c r="D851" s="2" t="s">
        <v>35</v>
      </c>
      <c r="E851" s="7" t="s">
        <v>382</v>
      </c>
      <c r="F851" s="4">
        <v>48.838594999999998</v>
      </c>
      <c r="G851" s="18">
        <v>-125.135015</v>
      </c>
      <c r="H851" s="5" t="s">
        <v>12</v>
      </c>
      <c r="I851" s="2">
        <v>4</v>
      </c>
      <c r="J851" s="2">
        <v>330</v>
      </c>
      <c r="K851" s="6">
        <v>0.55555555555555558</v>
      </c>
      <c r="L851" s="2" t="s">
        <v>172</v>
      </c>
      <c r="M851" s="2">
        <v>5.7</v>
      </c>
      <c r="N851" s="2">
        <v>2</v>
      </c>
      <c r="O851" s="2">
        <v>1</v>
      </c>
      <c r="P851" s="2" t="s">
        <v>239</v>
      </c>
      <c r="Q851" s="7" t="s">
        <v>80</v>
      </c>
      <c r="R851" s="4" t="s">
        <v>300</v>
      </c>
      <c r="S851" s="20">
        <v>25</v>
      </c>
      <c r="T851" s="2">
        <v>25</v>
      </c>
    </row>
    <row r="852" spans="1:27">
      <c r="A852" s="7">
        <f>MAX($A$1:$A851)+1</f>
        <v>851</v>
      </c>
      <c r="B852" s="2" t="s">
        <v>278</v>
      </c>
      <c r="C852" s="2" t="s">
        <v>171</v>
      </c>
      <c r="D852" s="2" t="s">
        <v>35</v>
      </c>
      <c r="E852" s="7" t="s">
        <v>382</v>
      </c>
      <c r="F852" s="4">
        <v>48.838594999999998</v>
      </c>
      <c r="G852" s="18">
        <v>-125.135015</v>
      </c>
      <c r="H852" s="5" t="s">
        <v>12</v>
      </c>
      <c r="I852" s="2">
        <v>4</v>
      </c>
      <c r="J852" s="2">
        <v>330</v>
      </c>
      <c r="K852" s="6">
        <v>0.55555555555555558</v>
      </c>
      <c r="L852" s="2" t="s">
        <v>172</v>
      </c>
      <c r="M852" s="2">
        <v>5.7</v>
      </c>
      <c r="N852" s="2">
        <v>2</v>
      </c>
      <c r="O852" s="2">
        <v>1</v>
      </c>
      <c r="P852" s="2" t="s">
        <v>251</v>
      </c>
      <c r="Q852" s="7" t="s">
        <v>73</v>
      </c>
      <c r="R852" s="4" t="s">
        <v>325</v>
      </c>
      <c r="S852" s="20">
        <v>4</v>
      </c>
      <c r="T852" s="2">
        <v>4</v>
      </c>
    </row>
    <row r="853" spans="1:27">
      <c r="A853" s="7">
        <f>MAX($A$1:$A852)+1</f>
        <v>852</v>
      </c>
      <c r="B853" s="2" t="s">
        <v>278</v>
      </c>
      <c r="C853" s="2" t="s">
        <v>171</v>
      </c>
      <c r="D853" s="2" t="s">
        <v>35</v>
      </c>
      <c r="E853" s="7" t="s">
        <v>382</v>
      </c>
      <c r="F853" s="4">
        <v>48.838594999999998</v>
      </c>
      <c r="G853" s="18">
        <v>-125.135015</v>
      </c>
      <c r="H853" s="5" t="s">
        <v>12</v>
      </c>
      <c r="I853" s="2">
        <v>4</v>
      </c>
      <c r="J853" s="2">
        <v>330</v>
      </c>
      <c r="K853" s="6">
        <v>0.55555555555555558</v>
      </c>
      <c r="L853" s="2" t="s">
        <v>172</v>
      </c>
      <c r="M853" s="2">
        <v>5.7</v>
      </c>
      <c r="N853" s="2">
        <v>2</v>
      </c>
      <c r="O853" s="2">
        <v>1</v>
      </c>
      <c r="P853" s="2" t="s">
        <v>247</v>
      </c>
      <c r="Q853" s="7" t="s">
        <v>64</v>
      </c>
      <c r="R853" s="4" t="s">
        <v>293</v>
      </c>
      <c r="S853" s="20">
        <v>5</v>
      </c>
      <c r="T853" s="2">
        <v>5</v>
      </c>
    </row>
    <row r="854" spans="1:27">
      <c r="A854" s="7">
        <f>MAX($A$1:$A853)+1</f>
        <v>853</v>
      </c>
      <c r="B854" s="2" t="s">
        <v>278</v>
      </c>
      <c r="C854" s="2" t="s">
        <v>171</v>
      </c>
      <c r="D854" s="2" t="s">
        <v>35</v>
      </c>
      <c r="E854" s="7" t="s">
        <v>382</v>
      </c>
      <c r="F854" s="4">
        <v>48.838594999999998</v>
      </c>
      <c r="G854" s="18">
        <v>-125.135015</v>
      </c>
      <c r="H854" s="5" t="s">
        <v>12</v>
      </c>
      <c r="I854" s="2">
        <v>4</v>
      </c>
      <c r="J854" s="2">
        <v>330</v>
      </c>
      <c r="K854" s="6">
        <v>0.55555555555555558</v>
      </c>
      <c r="L854" s="2" t="s">
        <v>172</v>
      </c>
      <c r="M854" s="2">
        <v>5.7</v>
      </c>
      <c r="N854" s="2">
        <v>2</v>
      </c>
      <c r="O854" s="2">
        <v>1</v>
      </c>
      <c r="P854" s="2" t="s">
        <v>383</v>
      </c>
      <c r="Q854" s="7" t="s">
        <v>72</v>
      </c>
      <c r="R854" s="4" t="s">
        <v>384</v>
      </c>
      <c r="S854" s="20">
        <v>1</v>
      </c>
      <c r="T854" s="2">
        <v>1</v>
      </c>
    </row>
    <row r="855" spans="1:27">
      <c r="A855" s="7">
        <f>MAX($A$1:$A854)+1</f>
        <v>854</v>
      </c>
      <c r="B855" s="2" t="s">
        <v>278</v>
      </c>
      <c r="C855" s="2" t="s">
        <v>171</v>
      </c>
      <c r="D855" s="2" t="s">
        <v>35</v>
      </c>
      <c r="E855" s="7" t="s">
        <v>382</v>
      </c>
      <c r="F855" s="4">
        <v>48.838594999999998</v>
      </c>
      <c r="G855" s="18">
        <v>-125.135015</v>
      </c>
      <c r="H855" s="5" t="s">
        <v>12</v>
      </c>
      <c r="I855" s="2">
        <v>4</v>
      </c>
      <c r="J855" s="2">
        <v>330</v>
      </c>
      <c r="K855" s="6">
        <v>0.55555555555555558</v>
      </c>
      <c r="L855" s="2" t="s">
        <v>172</v>
      </c>
      <c r="M855" s="2">
        <v>5.7</v>
      </c>
      <c r="N855" s="2">
        <v>2</v>
      </c>
      <c r="O855" s="2">
        <v>1</v>
      </c>
      <c r="P855" s="2" t="s">
        <v>238</v>
      </c>
      <c r="Q855" s="7" t="s">
        <v>69</v>
      </c>
      <c r="R855" s="4" t="s">
        <v>313</v>
      </c>
      <c r="S855" s="20">
        <v>16</v>
      </c>
      <c r="T855" s="2">
        <v>16</v>
      </c>
    </row>
    <row r="856" spans="1:27">
      <c r="A856" s="7">
        <f>MAX($A$1:$A855)+1</f>
        <v>855</v>
      </c>
      <c r="B856" s="2" t="s">
        <v>278</v>
      </c>
      <c r="C856" s="2" t="s">
        <v>171</v>
      </c>
      <c r="D856" s="2" t="s">
        <v>35</v>
      </c>
      <c r="E856" s="7" t="s">
        <v>382</v>
      </c>
      <c r="F856" s="4">
        <v>48.838594999999998</v>
      </c>
      <c r="G856" s="18">
        <v>-125.135015</v>
      </c>
      <c r="H856" s="5" t="s">
        <v>12</v>
      </c>
      <c r="I856" s="2">
        <v>4</v>
      </c>
      <c r="J856" s="2">
        <v>330</v>
      </c>
      <c r="K856" s="6">
        <v>0.55555555555555558</v>
      </c>
      <c r="L856" s="2" t="s">
        <v>172</v>
      </c>
      <c r="M856" s="2">
        <v>5.7</v>
      </c>
      <c r="N856" s="2">
        <v>2</v>
      </c>
      <c r="O856" s="2">
        <v>1</v>
      </c>
      <c r="P856" s="2" t="s">
        <v>316</v>
      </c>
      <c r="Q856" s="7" t="s">
        <v>123</v>
      </c>
      <c r="R856" s="4" t="s">
        <v>317</v>
      </c>
      <c r="S856" s="20">
        <v>2</v>
      </c>
      <c r="T856" s="2">
        <v>2</v>
      </c>
    </row>
    <row r="857" spans="1:27">
      <c r="A857" s="7">
        <f>MAX($A$1:$A856)+1</f>
        <v>856</v>
      </c>
      <c r="B857" s="2" t="s">
        <v>278</v>
      </c>
      <c r="C857" s="2" t="s">
        <v>171</v>
      </c>
      <c r="D857" s="2" t="s">
        <v>35</v>
      </c>
      <c r="E857" s="7" t="s">
        <v>382</v>
      </c>
      <c r="F857" s="4">
        <v>48.838594999999998</v>
      </c>
      <c r="G857" s="18">
        <v>-125.135015</v>
      </c>
      <c r="H857" s="5" t="s">
        <v>12</v>
      </c>
      <c r="I857" s="2">
        <v>4</v>
      </c>
      <c r="J857" s="2">
        <v>330</v>
      </c>
      <c r="K857" s="6">
        <v>0.55555555555555558</v>
      </c>
      <c r="L857" s="2" t="s">
        <v>172</v>
      </c>
      <c r="M857" s="2">
        <v>5.7</v>
      </c>
      <c r="N857" s="2">
        <v>2</v>
      </c>
      <c r="O857" s="2">
        <v>1</v>
      </c>
      <c r="P857" s="2" t="s">
        <v>254</v>
      </c>
      <c r="Q857" s="7" t="s">
        <v>108</v>
      </c>
      <c r="R857" s="4" t="s">
        <v>385</v>
      </c>
      <c r="S857" s="20">
        <v>2</v>
      </c>
      <c r="T857" s="2">
        <v>0</v>
      </c>
      <c r="Z857" s="2">
        <v>1</v>
      </c>
      <c r="AA857" s="2">
        <v>1</v>
      </c>
    </row>
    <row r="858" spans="1:27">
      <c r="A858" s="7">
        <f>MAX($A$1:$A857)+1</f>
        <v>857</v>
      </c>
      <c r="B858" s="2" t="s">
        <v>278</v>
      </c>
      <c r="C858" s="2" t="s">
        <v>171</v>
      </c>
      <c r="D858" s="2" t="s">
        <v>35</v>
      </c>
      <c r="E858" s="7" t="s">
        <v>382</v>
      </c>
      <c r="F858" s="4">
        <v>48.838594999999998</v>
      </c>
      <c r="G858" s="18">
        <v>-125.135015</v>
      </c>
      <c r="H858" s="5" t="s">
        <v>12</v>
      </c>
      <c r="I858" s="2">
        <v>4</v>
      </c>
      <c r="J858" s="2">
        <v>330</v>
      </c>
      <c r="K858" s="6">
        <v>0.55555555555555558</v>
      </c>
      <c r="L858" s="2" t="s">
        <v>172</v>
      </c>
      <c r="M858" s="2">
        <v>5.7</v>
      </c>
      <c r="N858" s="2">
        <v>0</v>
      </c>
      <c r="O858" s="2">
        <v>1</v>
      </c>
      <c r="P858" s="2" t="s">
        <v>305</v>
      </c>
      <c r="Q858" s="7" t="s">
        <v>89</v>
      </c>
      <c r="R858" s="4" t="s">
        <v>306</v>
      </c>
      <c r="S858" s="20">
        <v>1</v>
      </c>
      <c r="T858" s="2">
        <v>0</v>
      </c>
      <c r="X858" s="2">
        <v>1</v>
      </c>
    </row>
    <row r="859" spans="1:27">
      <c r="A859" s="7">
        <f>MAX($A$1:$A858)+1</f>
        <v>858</v>
      </c>
      <c r="B859" s="2" t="s">
        <v>278</v>
      </c>
      <c r="C859" s="2" t="s">
        <v>171</v>
      </c>
      <c r="D859" s="2" t="s">
        <v>35</v>
      </c>
      <c r="E859" s="7" t="s">
        <v>382</v>
      </c>
      <c r="F859" s="4">
        <v>48.838594999999998</v>
      </c>
      <c r="G859" s="18">
        <v>-125.135015</v>
      </c>
      <c r="H859" s="5" t="s">
        <v>12</v>
      </c>
      <c r="I859" s="2">
        <v>4</v>
      </c>
      <c r="J859" s="2">
        <v>330</v>
      </c>
      <c r="K859" s="6">
        <v>0.55555555555555558</v>
      </c>
      <c r="L859" s="2" t="s">
        <v>172</v>
      </c>
      <c r="M859" s="2">
        <v>5.7</v>
      </c>
      <c r="N859" s="2">
        <v>0</v>
      </c>
      <c r="O859" s="2">
        <v>1</v>
      </c>
      <c r="P859" s="2" t="s">
        <v>232</v>
      </c>
      <c r="Q859" s="7" t="s">
        <v>43</v>
      </c>
      <c r="R859" s="4" t="s">
        <v>324</v>
      </c>
      <c r="S859" s="20">
        <v>1</v>
      </c>
      <c r="T859" s="2">
        <v>0</v>
      </c>
      <c r="X859" s="2">
        <v>1</v>
      </c>
    </row>
    <row r="860" spans="1:27">
      <c r="A860" s="7">
        <f>MAX($A$1:$A859)+1</f>
        <v>859</v>
      </c>
      <c r="B860" s="2" t="s">
        <v>278</v>
      </c>
      <c r="C860" s="2" t="s">
        <v>171</v>
      </c>
      <c r="D860" s="2" t="s">
        <v>35</v>
      </c>
      <c r="E860" s="7" t="s">
        <v>382</v>
      </c>
      <c r="F860" s="4">
        <v>48.838594999999998</v>
      </c>
      <c r="G860" s="18">
        <v>-125.135015</v>
      </c>
      <c r="H860" s="5" t="s">
        <v>12</v>
      </c>
      <c r="I860" s="2">
        <v>4</v>
      </c>
      <c r="J860" s="2">
        <v>330</v>
      </c>
      <c r="K860" s="6">
        <v>0.55555555555555558</v>
      </c>
      <c r="L860" s="2" t="s">
        <v>172</v>
      </c>
      <c r="M860" s="2">
        <v>5.7</v>
      </c>
      <c r="N860" s="2">
        <v>0</v>
      </c>
      <c r="O860" s="2">
        <v>1</v>
      </c>
      <c r="P860" s="2" t="s">
        <v>236</v>
      </c>
      <c r="Q860" s="7" t="s">
        <v>44</v>
      </c>
      <c r="R860" s="4" t="s">
        <v>369</v>
      </c>
      <c r="S860" s="20">
        <v>2</v>
      </c>
      <c r="T860" s="2">
        <v>0</v>
      </c>
      <c r="Y860" s="2">
        <v>1</v>
      </c>
      <c r="Z860" s="2">
        <v>1</v>
      </c>
    </row>
    <row r="861" spans="1:27">
      <c r="A861" s="7">
        <f>MAX($A$1:$A860)+1</f>
        <v>860</v>
      </c>
      <c r="B861" s="2" t="s">
        <v>278</v>
      </c>
      <c r="C861" s="2" t="s">
        <v>171</v>
      </c>
      <c r="D861" s="2" t="s">
        <v>35</v>
      </c>
      <c r="E861" s="7" t="s">
        <v>382</v>
      </c>
      <c r="F861" s="4">
        <v>48.838594999999998</v>
      </c>
      <c r="G861" s="18">
        <v>-125.135015</v>
      </c>
      <c r="H861" s="5" t="s">
        <v>12</v>
      </c>
      <c r="I861" s="2">
        <v>4</v>
      </c>
      <c r="J861" s="2">
        <v>330</v>
      </c>
      <c r="K861" s="6">
        <v>0.55555555555555558</v>
      </c>
      <c r="L861" s="2" t="s">
        <v>172</v>
      </c>
      <c r="M861" s="2">
        <v>5.7</v>
      </c>
      <c r="N861" s="2">
        <v>2</v>
      </c>
      <c r="O861" s="2">
        <v>1</v>
      </c>
      <c r="P861" s="2" t="s">
        <v>296</v>
      </c>
      <c r="Q861" s="7" t="s">
        <v>75</v>
      </c>
      <c r="R861" s="4" t="s">
        <v>297</v>
      </c>
      <c r="S861" s="20">
        <v>7</v>
      </c>
      <c r="T861" s="2">
        <v>7</v>
      </c>
    </row>
    <row r="862" spans="1:27">
      <c r="A862" s="7">
        <f>MAX($A$1:$A861)+1</f>
        <v>861</v>
      </c>
      <c r="B862" s="2" t="s">
        <v>278</v>
      </c>
      <c r="C862" s="2" t="s">
        <v>171</v>
      </c>
      <c r="D862" s="2" t="s">
        <v>35</v>
      </c>
      <c r="E862" s="7" t="s">
        <v>382</v>
      </c>
      <c r="F862" s="4">
        <v>48.838594999999998</v>
      </c>
      <c r="G862" s="18">
        <v>-125.135015</v>
      </c>
      <c r="H862" s="5" t="s">
        <v>12</v>
      </c>
      <c r="I862" s="2">
        <v>4</v>
      </c>
      <c r="J862" s="2">
        <v>330</v>
      </c>
      <c r="K862" s="6">
        <v>0.55555555555555558</v>
      </c>
      <c r="L862" s="2" t="s">
        <v>172</v>
      </c>
      <c r="M862" s="2">
        <v>5.7</v>
      </c>
      <c r="N862" s="2">
        <v>2</v>
      </c>
      <c r="O862" s="2">
        <v>1</v>
      </c>
      <c r="P862" s="2" t="s">
        <v>386</v>
      </c>
      <c r="Q862" s="7" t="s">
        <v>94</v>
      </c>
      <c r="R862" s="4" t="s">
        <v>387</v>
      </c>
      <c r="S862" s="20">
        <v>1</v>
      </c>
      <c r="T862" s="2">
        <v>0</v>
      </c>
      <c r="X862" s="2">
        <v>1</v>
      </c>
    </row>
    <row r="863" spans="1:27">
      <c r="A863" s="7">
        <f>MAX($A$1:$A862)+1</f>
        <v>862</v>
      </c>
      <c r="B863" s="2" t="s">
        <v>278</v>
      </c>
      <c r="C863" s="2" t="s">
        <v>171</v>
      </c>
      <c r="D863" s="2" t="s">
        <v>35</v>
      </c>
      <c r="E863" s="7" t="s">
        <v>382</v>
      </c>
      <c r="F863" s="4">
        <v>48.838594999999998</v>
      </c>
      <c r="G863" s="18">
        <v>-125.135015</v>
      </c>
      <c r="H863" s="5" t="s">
        <v>12</v>
      </c>
      <c r="I863" s="2">
        <v>4</v>
      </c>
      <c r="J863" s="2">
        <v>330</v>
      </c>
      <c r="K863" s="6">
        <v>0.55555555555555558</v>
      </c>
      <c r="L863" s="2" t="s">
        <v>172</v>
      </c>
      <c r="M863" s="2">
        <v>5.7</v>
      </c>
      <c r="N863" s="2">
        <v>2</v>
      </c>
      <c r="O863" s="2">
        <v>1</v>
      </c>
      <c r="P863" s="2" t="s">
        <v>388</v>
      </c>
      <c r="Q863" s="7" t="s">
        <v>82</v>
      </c>
      <c r="R863" s="4" t="s">
        <v>389</v>
      </c>
      <c r="S863" s="20">
        <v>1</v>
      </c>
      <c r="T863" s="2">
        <v>1</v>
      </c>
    </row>
    <row r="864" spans="1:27">
      <c r="A864" s="7">
        <f>MAX($A$1:$A863)+1</f>
        <v>863</v>
      </c>
      <c r="B864" s="2" t="s">
        <v>278</v>
      </c>
      <c r="C864" s="2" t="s">
        <v>171</v>
      </c>
      <c r="D864" s="2" t="s">
        <v>35</v>
      </c>
      <c r="E864" s="7" t="s">
        <v>382</v>
      </c>
      <c r="F864" s="4">
        <v>48.838594999999998</v>
      </c>
      <c r="G864" s="18">
        <v>-125.135015</v>
      </c>
      <c r="H864" s="5" t="s">
        <v>12</v>
      </c>
      <c r="I864" s="2">
        <v>4</v>
      </c>
      <c r="J864" s="2">
        <v>330</v>
      </c>
      <c r="K864" s="6">
        <v>0.55555555555555558</v>
      </c>
      <c r="L864" s="2" t="s">
        <v>172</v>
      </c>
      <c r="M864" s="2">
        <v>5.7</v>
      </c>
      <c r="N864" s="2">
        <v>0</v>
      </c>
      <c r="O864" s="2">
        <v>1</v>
      </c>
      <c r="P864" s="2" t="s">
        <v>234</v>
      </c>
      <c r="Q864" s="7" t="s">
        <v>45</v>
      </c>
      <c r="R864" s="4" t="s">
        <v>353</v>
      </c>
      <c r="S864" s="20">
        <v>2</v>
      </c>
      <c r="T864" s="2">
        <v>0</v>
      </c>
      <c r="Y864" s="2">
        <v>2</v>
      </c>
    </row>
    <row r="865" spans="1:29">
      <c r="A865" s="7">
        <f>MAX($A$1:$A864)+1</f>
        <v>864</v>
      </c>
      <c r="B865" s="2" t="s">
        <v>278</v>
      </c>
      <c r="C865" s="2" t="s">
        <v>171</v>
      </c>
      <c r="D865" s="2" t="s">
        <v>35</v>
      </c>
      <c r="E865" s="7" t="s">
        <v>382</v>
      </c>
      <c r="F865" s="4">
        <v>48.838594999999998</v>
      </c>
      <c r="G865" s="18">
        <v>-125.135015</v>
      </c>
      <c r="H865" s="5" t="s">
        <v>12</v>
      </c>
      <c r="I865" s="2">
        <v>4</v>
      </c>
      <c r="J865" s="2">
        <v>330</v>
      </c>
      <c r="K865" s="6">
        <v>0.55555555555555558</v>
      </c>
      <c r="L865" s="2" t="s">
        <v>172</v>
      </c>
      <c r="M865" s="2">
        <v>5.7</v>
      </c>
      <c r="N865" s="2">
        <v>0</v>
      </c>
      <c r="O865" s="2">
        <v>1</v>
      </c>
      <c r="P865" s="2" t="s">
        <v>233</v>
      </c>
      <c r="Q865" s="7" t="s">
        <v>53</v>
      </c>
      <c r="R865" s="4" t="s">
        <v>379</v>
      </c>
      <c r="S865" s="20">
        <v>1</v>
      </c>
      <c r="T865" s="2">
        <v>0</v>
      </c>
      <c r="Y865" s="2">
        <v>1</v>
      </c>
    </row>
    <row r="866" spans="1:29">
      <c r="A866" s="7">
        <f>MAX($A$1:$A865)+1</f>
        <v>865</v>
      </c>
      <c r="B866" s="2" t="s">
        <v>278</v>
      </c>
      <c r="C866" s="2" t="s">
        <v>171</v>
      </c>
      <c r="D866" s="2" t="s">
        <v>35</v>
      </c>
      <c r="E866" s="7" t="s">
        <v>382</v>
      </c>
      <c r="F866" s="4">
        <v>48.838594999999998</v>
      </c>
      <c r="G866" s="18">
        <v>-125.135015</v>
      </c>
      <c r="H866" s="5" t="s">
        <v>12</v>
      </c>
      <c r="I866" s="2">
        <v>4</v>
      </c>
      <c r="J866" s="2">
        <v>330</v>
      </c>
      <c r="K866" s="6">
        <v>0.55555555555555558</v>
      </c>
      <c r="L866" s="2" t="s">
        <v>172</v>
      </c>
      <c r="M866" s="2">
        <v>5.7</v>
      </c>
      <c r="N866" s="2">
        <v>0</v>
      </c>
      <c r="O866" s="2">
        <v>1</v>
      </c>
      <c r="P866" s="2" t="s">
        <v>240</v>
      </c>
      <c r="Q866" s="7" t="s">
        <v>74</v>
      </c>
      <c r="R866" s="4" t="s">
        <v>337</v>
      </c>
      <c r="S866" s="20">
        <v>1</v>
      </c>
      <c r="T866" s="2">
        <v>1</v>
      </c>
    </row>
    <row r="867" spans="1:29">
      <c r="A867" s="7">
        <f>MAX($A$1:$A866)+1</f>
        <v>866</v>
      </c>
      <c r="B867" s="2" t="s">
        <v>278</v>
      </c>
      <c r="C867" s="2" t="s">
        <v>171</v>
      </c>
      <c r="D867" s="2" t="s">
        <v>35</v>
      </c>
      <c r="E867" s="7" t="s">
        <v>382</v>
      </c>
      <c r="F867" s="4">
        <v>48.838594999999998</v>
      </c>
      <c r="G867" s="18">
        <v>-125.135015</v>
      </c>
      <c r="H867" s="5" t="s">
        <v>12</v>
      </c>
      <c r="I867" s="2">
        <v>4</v>
      </c>
      <c r="J867" s="2">
        <v>330</v>
      </c>
      <c r="K867" s="6">
        <v>0.55555555555555558</v>
      </c>
      <c r="L867" s="2" t="s">
        <v>172</v>
      </c>
      <c r="M867" s="2">
        <v>5.7</v>
      </c>
      <c r="N867" s="2">
        <v>2</v>
      </c>
      <c r="O867" s="2">
        <v>1</v>
      </c>
      <c r="P867" s="2" t="s">
        <v>331</v>
      </c>
      <c r="Q867" s="7" t="s">
        <v>67</v>
      </c>
      <c r="R867" s="4" t="s">
        <v>332</v>
      </c>
      <c r="S867" s="20">
        <v>7</v>
      </c>
      <c r="T867" s="2">
        <v>7</v>
      </c>
    </row>
    <row r="868" spans="1:29">
      <c r="A868" s="7">
        <f>MAX($A$1:$A867)+1</f>
        <v>867</v>
      </c>
      <c r="B868" s="2" t="s">
        <v>278</v>
      </c>
      <c r="C868" s="2" t="s">
        <v>171</v>
      </c>
      <c r="D868" s="2" t="s">
        <v>35</v>
      </c>
      <c r="E868" s="7" t="s">
        <v>382</v>
      </c>
      <c r="F868" s="4">
        <v>48.838594999999998</v>
      </c>
      <c r="G868" s="18">
        <v>-125.135015</v>
      </c>
      <c r="H868" s="5" t="s">
        <v>12</v>
      </c>
      <c r="I868" s="2">
        <v>4</v>
      </c>
      <c r="J868" s="2">
        <v>330</v>
      </c>
      <c r="K868" s="6">
        <v>0.55555555555555558</v>
      </c>
      <c r="L868" s="2" t="s">
        <v>172</v>
      </c>
      <c r="M868" s="2">
        <v>5.7</v>
      </c>
      <c r="N868" s="2">
        <v>2</v>
      </c>
      <c r="O868" s="2">
        <v>1</v>
      </c>
      <c r="P868" s="2" t="s">
        <v>333</v>
      </c>
      <c r="Q868" s="7" t="s">
        <v>102</v>
      </c>
      <c r="R868" s="47" t="s">
        <v>334</v>
      </c>
      <c r="S868" s="20">
        <v>2</v>
      </c>
      <c r="T868" s="2">
        <v>2</v>
      </c>
    </row>
    <row r="869" spans="1:29">
      <c r="A869" s="7">
        <f>MAX($A$1:$A868)+1</f>
        <v>868</v>
      </c>
      <c r="B869" s="2" t="s">
        <v>278</v>
      </c>
      <c r="C869" s="2" t="s">
        <v>171</v>
      </c>
      <c r="D869" s="2" t="s">
        <v>35</v>
      </c>
      <c r="E869" s="7" t="s">
        <v>382</v>
      </c>
      <c r="F869" s="4">
        <v>48.838594999999998</v>
      </c>
      <c r="G869" s="18">
        <v>-125.135015</v>
      </c>
      <c r="H869" s="5" t="s">
        <v>12</v>
      </c>
      <c r="I869" s="2">
        <v>4</v>
      </c>
      <c r="J869" s="2">
        <v>330</v>
      </c>
      <c r="K869" s="6">
        <v>0.55555555555555558</v>
      </c>
      <c r="L869" s="2" t="s">
        <v>172</v>
      </c>
      <c r="M869" s="2">
        <v>5.7</v>
      </c>
      <c r="N869" s="2">
        <v>2</v>
      </c>
      <c r="O869" s="2">
        <v>1</v>
      </c>
      <c r="P869" s="2" t="s">
        <v>390</v>
      </c>
      <c r="Q869" s="7" t="s">
        <v>109</v>
      </c>
      <c r="R869" s="4" t="s">
        <v>391</v>
      </c>
      <c r="S869" s="20">
        <v>1</v>
      </c>
      <c r="T869" s="2">
        <v>1</v>
      </c>
    </row>
    <row r="870" spans="1:29">
      <c r="A870" s="7">
        <f>MAX($A$1:$A869)+1</f>
        <v>869</v>
      </c>
      <c r="B870" s="2" t="s">
        <v>409</v>
      </c>
      <c r="C870" s="2" t="s">
        <v>269</v>
      </c>
      <c r="D870" s="2" t="s">
        <v>35</v>
      </c>
      <c r="E870" s="29" t="s">
        <v>382</v>
      </c>
      <c r="F870" s="4">
        <v>48.838594999999998</v>
      </c>
      <c r="G870" s="18">
        <v>-125.135015</v>
      </c>
      <c r="H870" s="28" t="s">
        <v>12</v>
      </c>
      <c r="I870" s="2">
        <v>4</v>
      </c>
      <c r="J870" s="2">
        <v>180</v>
      </c>
      <c r="K870" s="6">
        <v>0.55555555555555558</v>
      </c>
      <c r="L870" s="2" t="s">
        <v>270</v>
      </c>
      <c r="M870" s="2">
        <v>5.5</v>
      </c>
      <c r="N870" s="2">
        <v>1</v>
      </c>
      <c r="O870" s="2">
        <v>1</v>
      </c>
      <c r="P870" s="2" t="s">
        <v>233</v>
      </c>
      <c r="Q870" s="7" t="s">
        <v>53</v>
      </c>
      <c r="R870" s="4" t="s">
        <v>379</v>
      </c>
      <c r="S870" s="20">
        <v>44</v>
      </c>
      <c r="T870" s="2">
        <v>0</v>
      </c>
      <c r="W870" s="2">
        <v>7</v>
      </c>
      <c r="X870" s="2">
        <v>20</v>
      </c>
      <c r="Y870" s="2">
        <v>12</v>
      </c>
      <c r="Z870" s="2">
        <v>5</v>
      </c>
    </row>
    <row r="871" spans="1:29">
      <c r="A871" s="7">
        <f>MAX($A$1:$A870)+1</f>
        <v>870</v>
      </c>
      <c r="B871" s="2" t="s">
        <v>409</v>
      </c>
      <c r="C871" s="2" t="s">
        <v>269</v>
      </c>
      <c r="D871" s="2" t="s">
        <v>35</v>
      </c>
      <c r="E871" s="29" t="s">
        <v>382</v>
      </c>
      <c r="F871" s="4">
        <v>48.838594999999998</v>
      </c>
      <c r="G871" s="18">
        <v>-125.135015</v>
      </c>
      <c r="H871" s="28" t="s">
        <v>12</v>
      </c>
      <c r="I871" s="2">
        <v>4</v>
      </c>
      <c r="J871" s="2">
        <v>180</v>
      </c>
      <c r="K871" s="6">
        <v>0.55555555555555558</v>
      </c>
      <c r="L871" s="2" t="s">
        <v>270</v>
      </c>
      <c r="M871" s="2">
        <v>5.5</v>
      </c>
      <c r="N871" s="2">
        <v>1</v>
      </c>
      <c r="O871" s="2">
        <v>1</v>
      </c>
      <c r="P871" s="2" t="s">
        <v>232</v>
      </c>
      <c r="Q871" s="7" t="s">
        <v>43</v>
      </c>
      <c r="R871" s="4" t="s">
        <v>324</v>
      </c>
      <c r="S871" s="20">
        <v>18</v>
      </c>
      <c r="T871" s="2">
        <v>0</v>
      </c>
      <c r="Z871" s="2">
        <v>8</v>
      </c>
      <c r="AA871" s="2">
        <v>5</v>
      </c>
      <c r="AB871" s="2">
        <v>4</v>
      </c>
      <c r="AC871" s="2">
        <v>1</v>
      </c>
    </row>
    <row r="872" spans="1:29">
      <c r="A872" s="7">
        <f>MAX($A$1:$A871)+1</f>
        <v>871</v>
      </c>
      <c r="B872" s="2" t="s">
        <v>409</v>
      </c>
      <c r="C872" s="2" t="s">
        <v>269</v>
      </c>
      <c r="D872" s="2" t="s">
        <v>35</v>
      </c>
      <c r="E872" s="29" t="s">
        <v>382</v>
      </c>
      <c r="F872" s="4">
        <v>48.838594999999998</v>
      </c>
      <c r="G872" s="18">
        <v>-125.135015</v>
      </c>
      <c r="H872" s="28" t="s">
        <v>12</v>
      </c>
      <c r="I872" s="2">
        <v>4</v>
      </c>
      <c r="J872" s="2">
        <v>180</v>
      </c>
      <c r="K872" s="6">
        <v>0.55555555555555558</v>
      </c>
      <c r="L872" s="2" t="s">
        <v>270</v>
      </c>
      <c r="M872" s="2">
        <v>5.5</v>
      </c>
      <c r="N872" s="2">
        <v>1</v>
      </c>
      <c r="O872" s="2">
        <v>1</v>
      </c>
      <c r="P872" s="2" t="s">
        <v>235</v>
      </c>
      <c r="Q872" s="7" t="s">
        <v>54</v>
      </c>
      <c r="R872" s="4" t="s">
        <v>364</v>
      </c>
      <c r="S872" s="20">
        <v>8</v>
      </c>
      <c r="T872" s="2">
        <v>0</v>
      </c>
      <c r="Y872" s="2">
        <v>1</v>
      </c>
      <c r="Z872" s="2">
        <v>6</v>
      </c>
      <c r="AA872" s="2">
        <v>1</v>
      </c>
    </row>
    <row r="873" spans="1:29">
      <c r="A873" s="7">
        <f>MAX($A$1:$A872)+1</f>
        <v>872</v>
      </c>
      <c r="B873" s="2" t="s">
        <v>409</v>
      </c>
      <c r="C873" s="2" t="s">
        <v>269</v>
      </c>
      <c r="D873" s="2" t="s">
        <v>35</v>
      </c>
      <c r="E873" s="29" t="s">
        <v>382</v>
      </c>
      <c r="F873" s="4">
        <v>48.838594999999998</v>
      </c>
      <c r="G873" s="18">
        <v>-125.135015</v>
      </c>
      <c r="H873" s="28" t="s">
        <v>12</v>
      </c>
      <c r="I873" s="2">
        <v>4</v>
      </c>
      <c r="J873" s="2">
        <v>180</v>
      </c>
      <c r="K873" s="6">
        <v>0.55555555555555558</v>
      </c>
      <c r="L873" s="2" t="s">
        <v>270</v>
      </c>
      <c r="M873" s="2">
        <v>5.5</v>
      </c>
      <c r="N873" s="2">
        <v>1</v>
      </c>
      <c r="O873" s="2">
        <v>1</v>
      </c>
      <c r="P873" s="2" t="s">
        <v>234</v>
      </c>
      <c r="Q873" s="7" t="s">
        <v>45</v>
      </c>
      <c r="R873" s="4" t="s">
        <v>353</v>
      </c>
      <c r="S873" s="20">
        <v>1</v>
      </c>
      <c r="T873" s="2">
        <v>0</v>
      </c>
      <c r="Z873" s="2">
        <v>1</v>
      </c>
    </row>
    <row r="874" spans="1:29">
      <c r="A874" s="7">
        <f>MAX($A$1:$A873)+1</f>
        <v>873</v>
      </c>
      <c r="B874" s="2" t="s">
        <v>409</v>
      </c>
      <c r="C874" s="2" t="s">
        <v>269</v>
      </c>
      <c r="D874" s="2" t="s">
        <v>35</v>
      </c>
      <c r="E874" s="29" t="s">
        <v>382</v>
      </c>
      <c r="F874" s="4">
        <v>48.838594999999998</v>
      </c>
      <c r="G874" s="18">
        <v>-125.135015</v>
      </c>
      <c r="H874" s="28" t="s">
        <v>12</v>
      </c>
      <c r="I874" s="2">
        <v>4</v>
      </c>
      <c r="J874" s="2">
        <v>180</v>
      </c>
      <c r="K874" s="6">
        <v>0.55555555555555558</v>
      </c>
      <c r="L874" s="2" t="s">
        <v>270</v>
      </c>
      <c r="M874" s="2">
        <v>5.5</v>
      </c>
      <c r="N874" s="2">
        <v>1</v>
      </c>
      <c r="O874" s="2">
        <v>1</v>
      </c>
      <c r="P874" s="2" t="s">
        <v>230</v>
      </c>
      <c r="Q874" s="7" t="s">
        <v>42</v>
      </c>
      <c r="R874" s="4" t="s">
        <v>321</v>
      </c>
      <c r="S874" s="20">
        <v>11</v>
      </c>
      <c r="T874" s="2">
        <v>0</v>
      </c>
      <c r="W874" s="2">
        <v>7</v>
      </c>
      <c r="X874" s="2">
        <v>4</v>
      </c>
    </row>
    <row r="875" spans="1:29">
      <c r="A875" s="7">
        <f>MAX($A$1:$A874)+1</f>
        <v>874</v>
      </c>
      <c r="B875" s="2" t="s">
        <v>409</v>
      </c>
      <c r="C875" s="2" t="s">
        <v>269</v>
      </c>
      <c r="D875" s="2" t="s">
        <v>35</v>
      </c>
      <c r="E875" s="29" t="s">
        <v>382</v>
      </c>
      <c r="F875" s="4">
        <v>48.838594999999998</v>
      </c>
      <c r="G875" s="18">
        <v>-125.135015</v>
      </c>
      <c r="H875" s="28" t="s">
        <v>12</v>
      </c>
      <c r="I875" s="2">
        <v>4</v>
      </c>
      <c r="J875" s="2">
        <v>180</v>
      </c>
      <c r="K875" s="6">
        <v>0.55555555555555558</v>
      </c>
      <c r="L875" s="2" t="s">
        <v>270</v>
      </c>
      <c r="M875" s="2">
        <v>5.5</v>
      </c>
      <c r="N875" s="2">
        <v>1</v>
      </c>
      <c r="O875" s="2">
        <v>1</v>
      </c>
      <c r="P875" s="2" t="s">
        <v>231</v>
      </c>
      <c r="Q875" s="7" t="s">
        <v>48</v>
      </c>
      <c r="R875" s="4" t="s">
        <v>365</v>
      </c>
      <c r="S875" s="20">
        <v>1</v>
      </c>
      <c r="T875" s="2">
        <v>0</v>
      </c>
      <c r="Z875" s="2">
        <v>1</v>
      </c>
    </row>
    <row r="876" spans="1:29">
      <c r="A876" s="7">
        <f>MAX($A$1:$A875)+1</f>
        <v>875</v>
      </c>
      <c r="B876" s="2" t="s">
        <v>409</v>
      </c>
      <c r="C876" s="2" t="s">
        <v>269</v>
      </c>
      <c r="D876" s="2" t="s">
        <v>35</v>
      </c>
      <c r="E876" s="29" t="s">
        <v>382</v>
      </c>
      <c r="F876" s="4">
        <v>48.838594999999998</v>
      </c>
      <c r="G876" s="18">
        <v>-125.135015</v>
      </c>
      <c r="H876" s="28" t="s">
        <v>12</v>
      </c>
      <c r="I876" s="2">
        <v>4</v>
      </c>
      <c r="J876" s="2">
        <v>180</v>
      </c>
      <c r="K876" s="6">
        <v>0.55555555555555558</v>
      </c>
      <c r="L876" s="2" t="s">
        <v>270</v>
      </c>
      <c r="M876" s="2">
        <v>5.5</v>
      </c>
      <c r="N876" s="2">
        <v>2</v>
      </c>
      <c r="O876" s="2">
        <v>1</v>
      </c>
      <c r="P876" s="2" t="s">
        <v>241</v>
      </c>
      <c r="Q876" s="7" t="s">
        <v>63</v>
      </c>
      <c r="R876" s="4" t="s">
        <v>294</v>
      </c>
      <c r="S876" s="20">
        <v>83</v>
      </c>
      <c r="T876" s="2">
        <v>83</v>
      </c>
    </row>
    <row r="877" spans="1:29">
      <c r="A877" s="7">
        <f>MAX($A$1:$A876)+1</f>
        <v>876</v>
      </c>
      <c r="B877" s="2" t="s">
        <v>409</v>
      </c>
      <c r="C877" s="2" t="s">
        <v>269</v>
      </c>
      <c r="D877" s="2" t="s">
        <v>35</v>
      </c>
      <c r="E877" s="29" t="s">
        <v>382</v>
      </c>
      <c r="F877" s="4">
        <v>48.838594999999998</v>
      </c>
      <c r="G877" s="18">
        <v>-125.135015</v>
      </c>
      <c r="H877" s="28" t="s">
        <v>12</v>
      </c>
      <c r="I877" s="2">
        <v>4</v>
      </c>
      <c r="J877" s="2">
        <v>180</v>
      </c>
      <c r="K877" s="6">
        <v>0.55555555555555558</v>
      </c>
      <c r="L877" s="2" t="s">
        <v>270</v>
      </c>
      <c r="M877" s="2">
        <v>5.5</v>
      </c>
      <c r="N877" s="2">
        <v>2</v>
      </c>
      <c r="O877" s="2">
        <v>1</v>
      </c>
      <c r="P877" s="2" t="s">
        <v>243</v>
      </c>
      <c r="Q877" s="7" t="s">
        <v>85</v>
      </c>
      <c r="R877" s="4" t="s">
        <v>312</v>
      </c>
      <c r="S877" s="20">
        <v>5</v>
      </c>
      <c r="T877" s="2">
        <v>5</v>
      </c>
    </row>
    <row r="878" spans="1:29">
      <c r="A878" s="7">
        <f>MAX($A$1:$A877)+1</f>
        <v>877</v>
      </c>
      <c r="B878" s="2" t="s">
        <v>409</v>
      </c>
      <c r="C878" s="2" t="s">
        <v>269</v>
      </c>
      <c r="D878" s="2" t="s">
        <v>35</v>
      </c>
      <c r="E878" s="29" t="s">
        <v>382</v>
      </c>
      <c r="F878" s="4">
        <v>48.838594999999998</v>
      </c>
      <c r="G878" s="18">
        <v>-125.135015</v>
      </c>
      <c r="H878" s="28" t="s">
        <v>12</v>
      </c>
      <c r="I878" s="2">
        <v>4</v>
      </c>
      <c r="J878" s="2">
        <v>180</v>
      </c>
      <c r="K878" s="6">
        <v>0.55555555555555558</v>
      </c>
      <c r="L878" s="2" t="s">
        <v>270</v>
      </c>
      <c r="M878" s="2">
        <v>5.5</v>
      </c>
      <c r="N878" s="2">
        <v>2</v>
      </c>
      <c r="O878" s="2">
        <v>1</v>
      </c>
      <c r="P878" s="2" t="s">
        <v>238</v>
      </c>
      <c r="Q878" s="7" t="s">
        <v>69</v>
      </c>
      <c r="R878" s="4" t="s">
        <v>313</v>
      </c>
      <c r="S878" s="20">
        <v>7</v>
      </c>
      <c r="T878" s="2">
        <v>7</v>
      </c>
    </row>
    <row r="879" spans="1:29">
      <c r="A879" s="7">
        <f>MAX($A$1:$A878)+1</f>
        <v>878</v>
      </c>
      <c r="B879" s="2" t="s">
        <v>409</v>
      </c>
      <c r="C879" s="2" t="s">
        <v>269</v>
      </c>
      <c r="D879" s="2" t="s">
        <v>35</v>
      </c>
      <c r="E879" s="29" t="s">
        <v>382</v>
      </c>
      <c r="F879" s="4">
        <v>48.838594999999998</v>
      </c>
      <c r="G879" s="18">
        <v>-125.135015</v>
      </c>
      <c r="H879" s="28" t="s">
        <v>12</v>
      </c>
      <c r="I879" s="2">
        <v>4</v>
      </c>
      <c r="J879" s="2">
        <v>180</v>
      </c>
      <c r="K879" s="6">
        <v>0.55555555555555558</v>
      </c>
      <c r="L879" s="2" t="s">
        <v>270</v>
      </c>
      <c r="M879" s="2">
        <v>5.5</v>
      </c>
      <c r="N879" s="2">
        <v>2</v>
      </c>
      <c r="O879" s="2">
        <v>1</v>
      </c>
      <c r="P879" s="2" t="s">
        <v>230</v>
      </c>
      <c r="Q879" s="7" t="s">
        <v>42</v>
      </c>
      <c r="R879" s="4" t="s">
        <v>321</v>
      </c>
      <c r="S879" s="20">
        <v>96</v>
      </c>
      <c r="T879" s="2">
        <v>0</v>
      </c>
      <c r="V879" s="2">
        <v>24</v>
      </c>
      <c r="W879" s="2">
        <v>29</v>
      </c>
      <c r="X879" s="2">
        <v>29</v>
      </c>
      <c r="Y879" s="2">
        <v>13</v>
      </c>
      <c r="Z879" s="2">
        <v>1</v>
      </c>
    </row>
    <row r="880" spans="1:29">
      <c r="A880" s="7">
        <f>MAX($A$1:$A879)+1</f>
        <v>879</v>
      </c>
      <c r="B880" s="2" t="s">
        <v>409</v>
      </c>
      <c r="C880" s="2" t="s">
        <v>269</v>
      </c>
      <c r="D880" s="2" t="s">
        <v>35</v>
      </c>
      <c r="E880" s="29" t="s">
        <v>382</v>
      </c>
      <c r="F880" s="4">
        <v>48.838594999999998</v>
      </c>
      <c r="G880" s="18">
        <v>-125.135015</v>
      </c>
      <c r="H880" s="28" t="s">
        <v>12</v>
      </c>
      <c r="I880" s="2">
        <v>4</v>
      </c>
      <c r="J880" s="2">
        <v>180</v>
      </c>
      <c r="K880" s="6">
        <v>0.55555555555555558</v>
      </c>
      <c r="L880" s="2" t="s">
        <v>270</v>
      </c>
      <c r="M880" s="2">
        <v>5.5</v>
      </c>
      <c r="N880" s="2">
        <v>2</v>
      </c>
      <c r="O880" s="2">
        <v>1</v>
      </c>
      <c r="P880" s="2" t="s">
        <v>246</v>
      </c>
      <c r="Q880" s="7" t="s">
        <v>66</v>
      </c>
      <c r="R880" s="4" t="s">
        <v>318</v>
      </c>
      <c r="S880" s="20">
        <v>32</v>
      </c>
      <c r="T880" s="2">
        <v>0</v>
      </c>
      <c r="V880" s="2">
        <v>2</v>
      </c>
      <c r="W880" s="2">
        <v>9</v>
      </c>
      <c r="X880" s="2">
        <v>12</v>
      </c>
      <c r="Y880" s="2">
        <v>8</v>
      </c>
      <c r="Z880" s="2">
        <v>1</v>
      </c>
    </row>
    <row r="881" spans="1:26">
      <c r="A881" s="7">
        <f>MAX($A$1:$A880)+1</f>
        <v>880</v>
      </c>
      <c r="B881" s="2" t="s">
        <v>409</v>
      </c>
      <c r="C881" s="2" t="s">
        <v>269</v>
      </c>
      <c r="D881" s="2" t="s">
        <v>35</v>
      </c>
      <c r="E881" s="29" t="s">
        <v>382</v>
      </c>
      <c r="F881" s="4">
        <v>48.838594999999998</v>
      </c>
      <c r="G881" s="18">
        <v>-125.135015</v>
      </c>
      <c r="H881" s="28" t="s">
        <v>12</v>
      </c>
      <c r="I881" s="2">
        <v>4</v>
      </c>
      <c r="J881" s="2">
        <v>180</v>
      </c>
      <c r="K881" s="6">
        <v>0.55555555555555558</v>
      </c>
      <c r="L881" s="2" t="s">
        <v>270</v>
      </c>
      <c r="M881" s="2">
        <v>5.5</v>
      </c>
      <c r="N881" s="2">
        <v>2</v>
      </c>
      <c r="O881" s="2">
        <v>1</v>
      </c>
      <c r="P881" s="2" t="s">
        <v>244</v>
      </c>
      <c r="Q881" s="7" t="s">
        <v>65</v>
      </c>
      <c r="R881" s="4" t="s">
        <v>307</v>
      </c>
      <c r="S881" s="20">
        <v>32</v>
      </c>
      <c r="T881" s="2">
        <v>32</v>
      </c>
    </row>
    <row r="882" spans="1:26">
      <c r="A882" s="7">
        <f>MAX($A$1:$A881)+1</f>
        <v>881</v>
      </c>
      <c r="B882" s="2" t="s">
        <v>409</v>
      </c>
      <c r="C882" s="2" t="s">
        <v>269</v>
      </c>
      <c r="D882" s="2" t="s">
        <v>35</v>
      </c>
      <c r="E882" s="29" t="s">
        <v>382</v>
      </c>
      <c r="F882" s="4">
        <v>48.838594999999998</v>
      </c>
      <c r="G882" s="18">
        <v>-125.135015</v>
      </c>
      <c r="H882" s="28" t="s">
        <v>12</v>
      </c>
      <c r="I882" s="2">
        <v>4</v>
      </c>
      <c r="J882" s="2">
        <v>180</v>
      </c>
      <c r="K882" s="6">
        <v>0.55555555555555558</v>
      </c>
      <c r="L882" s="2" t="s">
        <v>270</v>
      </c>
      <c r="M882" s="2">
        <v>5.5</v>
      </c>
      <c r="N882" s="2">
        <v>2</v>
      </c>
      <c r="O882" s="2">
        <v>1</v>
      </c>
      <c r="P882" s="2" t="s">
        <v>236</v>
      </c>
      <c r="Q882" s="7" t="s">
        <v>44</v>
      </c>
      <c r="R882" s="4" t="s">
        <v>369</v>
      </c>
      <c r="S882" s="20">
        <v>1</v>
      </c>
      <c r="T882" s="2">
        <v>0</v>
      </c>
      <c r="Z882" s="2">
        <v>1</v>
      </c>
    </row>
    <row r="883" spans="1:26">
      <c r="A883" s="7">
        <f>MAX($A$1:$A882)+1</f>
        <v>882</v>
      </c>
      <c r="B883" s="2" t="s">
        <v>409</v>
      </c>
      <c r="C883" s="2" t="s">
        <v>269</v>
      </c>
      <c r="D883" s="2" t="s">
        <v>35</v>
      </c>
      <c r="E883" s="29" t="s">
        <v>382</v>
      </c>
      <c r="F883" s="4">
        <v>48.838594999999998</v>
      </c>
      <c r="G883" s="18">
        <v>-125.135015</v>
      </c>
      <c r="H883" s="28" t="s">
        <v>12</v>
      </c>
      <c r="I883" s="2">
        <v>4</v>
      </c>
      <c r="J883" s="2">
        <v>180</v>
      </c>
      <c r="K883" s="6">
        <v>0.55555555555555558</v>
      </c>
      <c r="L883" s="2" t="s">
        <v>270</v>
      </c>
      <c r="M883" s="2">
        <v>5.5</v>
      </c>
      <c r="N883" s="2">
        <v>2</v>
      </c>
      <c r="O883" s="2">
        <v>1</v>
      </c>
      <c r="P883" s="2" t="s">
        <v>310</v>
      </c>
      <c r="Q883" s="7" t="s">
        <v>98</v>
      </c>
      <c r="R883" s="4" t="s">
        <v>311</v>
      </c>
      <c r="S883" s="20">
        <v>2</v>
      </c>
      <c r="T883" s="2">
        <v>2</v>
      </c>
    </row>
    <row r="884" spans="1:26">
      <c r="A884" s="7">
        <f>MAX($A$1:$A883)+1</f>
        <v>883</v>
      </c>
      <c r="B884" s="2" t="s">
        <v>409</v>
      </c>
      <c r="C884" s="2" t="s">
        <v>269</v>
      </c>
      <c r="D884" s="2" t="s">
        <v>35</v>
      </c>
      <c r="E884" s="29" t="s">
        <v>382</v>
      </c>
      <c r="F884" s="4">
        <v>48.838594999999998</v>
      </c>
      <c r="G884" s="18">
        <v>-125.135015</v>
      </c>
      <c r="H884" s="28" t="s">
        <v>12</v>
      </c>
      <c r="I884" s="2">
        <v>4</v>
      </c>
      <c r="J884" s="2">
        <v>180</v>
      </c>
      <c r="K884" s="6">
        <v>0.55555555555555558</v>
      </c>
      <c r="L884" s="2" t="s">
        <v>270</v>
      </c>
      <c r="M884" s="2">
        <v>5.5</v>
      </c>
      <c r="N884" s="2">
        <v>2</v>
      </c>
      <c r="O884" s="2">
        <v>1</v>
      </c>
      <c r="P884" s="2" t="s">
        <v>373</v>
      </c>
      <c r="Q884" s="7" t="s">
        <v>131</v>
      </c>
      <c r="R884" s="4" t="s">
        <v>410</v>
      </c>
      <c r="S884" s="20">
        <v>9</v>
      </c>
      <c r="T884" s="2">
        <v>9</v>
      </c>
    </row>
    <row r="885" spans="1:26">
      <c r="A885" s="7">
        <f>MAX($A$1:$A884)+1</f>
        <v>884</v>
      </c>
      <c r="B885" s="2" t="s">
        <v>409</v>
      </c>
      <c r="C885" s="2" t="s">
        <v>269</v>
      </c>
      <c r="D885" s="2" t="s">
        <v>35</v>
      </c>
      <c r="E885" s="29" t="s">
        <v>382</v>
      </c>
      <c r="F885" s="4">
        <v>48.838594999999998</v>
      </c>
      <c r="G885" s="18">
        <v>-125.135015</v>
      </c>
      <c r="H885" s="28" t="s">
        <v>12</v>
      </c>
      <c r="I885" s="2">
        <v>4</v>
      </c>
      <c r="J885" s="2">
        <v>180</v>
      </c>
      <c r="K885" s="6">
        <v>0.55555555555555558</v>
      </c>
      <c r="L885" s="2" t="s">
        <v>270</v>
      </c>
      <c r="M885" s="2">
        <v>5.5</v>
      </c>
      <c r="N885" s="2">
        <v>2</v>
      </c>
      <c r="O885" s="2">
        <v>1</v>
      </c>
      <c r="P885" s="2" t="s">
        <v>239</v>
      </c>
      <c r="Q885" s="7" t="s">
        <v>80</v>
      </c>
      <c r="R885" s="4" t="s">
        <v>300</v>
      </c>
      <c r="S885" s="20">
        <v>26</v>
      </c>
      <c r="T885" s="2">
        <v>26</v>
      </c>
    </row>
    <row r="886" spans="1:26">
      <c r="A886" s="7">
        <f>MAX($A$1:$A885)+1</f>
        <v>885</v>
      </c>
      <c r="B886" s="2" t="s">
        <v>409</v>
      </c>
      <c r="C886" s="2" t="s">
        <v>269</v>
      </c>
      <c r="D886" s="2" t="s">
        <v>35</v>
      </c>
      <c r="E886" s="29" t="s">
        <v>382</v>
      </c>
      <c r="F886" s="4">
        <v>48.838594999999998</v>
      </c>
      <c r="G886" s="18">
        <v>-125.135015</v>
      </c>
      <c r="H886" s="28" t="s">
        <v>12</v>
      </c>
      <c r="I886" s="2">
        <v>4</v>
      </c>
      <c r="J886" s="2">
        <v>180</v>
      </c>
      <c r="K886" s="6">
        <v>0.55555555555555558</v>
      </c>
      <c r="L886" s="2" t="s">
        <v>270</v>
      </c>
      <c r="M886" s="2">
        <v>5.5</v>
      </c>
      <c r="N886" s="2">
        <v>2</v>
      </c>
      <c r="O886" s="2">
        <v>1</v>
      </c>
      <c r="P886" s="2" t="s">
        <v>250</v>
      </c>
      <c r="Q886" s="7" t="s">
        <v>46</v>
      </c>
      <c r="R886" s="4" t="s">
        <v>295</v>
      </c>
      <c r="S886" s="20">
        <v>1</v>
      </c>
      <c r="T886" s="2">
        <v>0</v>
      </c>
      <c r="V886" s="2">
        <v>1</v>
      </c>
    </row>
    <row r="887" spans="1:26">
      <c r="A887" s="7">
        <f>MAX($A$1:$A886)+1</f>
        <v>886</v>
      </c>
      <c r="B887" s="2" t="s">
        <v>409</v>
      </c>
      <c r="C887" s="2" t="s">
        <v>269</v>
      </c>
      <c r="D887" s="2" t="s">
        <v>35</v>
      </c>
      <c r="E887" s="29" t="s">
        <v>382</v>
      </c>
      <c r="F887" s="4">
        <v>48.838594999999998</v>
      </c>
      <c r="G887" s="18">
        <v>-125.135015</v>
      </c>
      <c r="H887" s="28" t="s">
        <v>12</v>
      </c>
      <c r="I887" s="2">
        <v>4</v>
      </c>
      <c r="J887" s="2">
        <v>180</v>
      </c>
      <c r="K887" s="6">
        <v>0.55555555555555558</v>
      </c>
      <c r="L887" s="2" t="s">
        <v>270</v>
      </c>
      <c r="M887" s="2">
        <v>5.5</v>
      </c>
      <c r="N887" s="2">
        <v>2</v>
      </c>
      <c r="O887" s="2">
        <v>1</v>
      </c>
      <c r="P887" s="2" t="s">
        <v>296</v>
      </c>
      <c r="Q887" s="7" t="s">
        <v>75</v>
      </c>
      <c r="R887" s="4" t="s">
        <v>297</v>
      </c>
      <c r="S887" s="20">
        <v>3</v>
      </c>
      <c r="T887" s="2">
        <v>3</v>
      </c>
    </row>
    <row r="888" spans="1:26">
      <c r="A888" s="7">
        <f>MAX($A$1:$A887)+1</f>
        <v>887</v>
      </c>
      <c r="B888" s="2" t="s">
        <v>409</v>
      </c>
      <c r="C888" s="2" t="s">
        <v>269</v>
      </c>
      <c r="D888" s="2" t="s">
        <v>35</v>
      </c>
      <c r="E888" s="29" t="s">
        <v>382</v>
      </c>
      <c r="F888" s="4">
        <v>48.838594999999998</v>
      </c>
      <c r="G888" s="18">
        <v>-125.135015</v>
      </c>
      <c r="H888" s="28" t="s">
        <v>12</v>
      </c>
      <c r="I888" s="2">
        <v>4</v>
      </c>
      <c r="J888" s="2">
        <v>180</v>
      </c>
      <c r="K888" s="6">
        <v>0.55555555555555558</v>
      </c>
      <c r="L888" s="2" t="s">
        <v>270</v>
      </c>
      <c r="M888" s="2">
        <v>5.5</v>
      </c>
      <c r="N888" s="2">
        <v>2</v>
      </c>
      <c r="O888" s="2">
        <v>1</v>
      </c>
      <c r="P888" s="2" t="s">
        <v>419</v>
      </c>
      <c r="Q888" s="7" t="s">
        <v>139</v>
      </c>
      <c r="R888" s="4" t="s">
        <v>420</v>
      </c>
      <c r="S888" s="20">
        <v>5</v>
      </c>
      <c r="T888" s="2">
        <v>5</v>
      </c>
    </row>
    <row r="889" spans="1:26">
      <c r="A889" s="7">
        <f>MAX($A$1:$A888)+1</f>
        <v>888</v>
      </c>
      <c r="B889" s="2" t="s">
        <v>409</v>
      </c>
      <c r="C889" s="2" t="s">
        <v>269</v>
      </c>
      <c r="D889" s="2" t="s">
        <v>35</v>
      </c>
      <c r="E889" s="29" t="s">
        <v>382</v>
      </c>
      <c r="F889" s="4">
        <v>48.838594999999998</v>
      </c>
      <c r="G889" s="18">
        <v>-125.135015</v>
      </c>
      <c r="H889" s="28" t="s">
        <v>12</v>
      </c>
      <c r="I889" s="2">
        <v>4</v>
      </c>
      <c r="J889" s="2">
        <v>180</v>
      </c>
      <c r="K889" s="6">
        <v>0.55555555555555558</v>
      </c>
      <c r="L889" s="2" t="s">
        <v>270</v>
      </c>
      <c r="M889" s="2">
        <v>5.5</v>
      </c>
      <c r="N889" s="2">
        <v>2</v>
      </c>
      <c r="O889" s="2">
        <v>1</v>
      </c>
      <c r="P889" s="2" t="s">
        <v>411</v>
      </c>
      <c r="Q889" s="7" t="s">
        <v>138</v>
      </c>
      <c r="R889" s="4" t="s">
        <v>412</v>
      </c>
      <c r="S889" s="20">
        <v>4</v>
      </c>
      <c r="T889" s="2">
        <v>4</v>
      </c>
    </row>
    <row r="890" spans="1:26">
      <c r="A890" s="7">
        <f>MAX($A$1:$A889)+1</f>
        <v>889</v>
      </c>
      <c r="B890" s="2" t="s">
        <v>409</v>
      </c>
      <c r="C890" s="2" t="s">
        <v>269</v>
      </c>
      <c r="D890" s="2" t="s">
        <v>35</v>
      </c>
      <c r="E890" s="29" t="s">
        <v>382</v>
      </c>
      <c r="F890" s="4">
        <v>48.838594999999998</v>
      </c>
      <c r="G890" s="18">
        <v>-125.135015</v>
      </c>
      <c r="H890" s="28" t="s">
        <v>12</v>
      </c>
      <c r="I890" s="2">
        <v>4</v>
      </c>
      <c r="J890" s="2">
        <v>180</v>
      </c>
      <c r="K890" s="6">
        <v>0.55555555555555558</v>
      </c>
      <c r="L890" s="2" t="s">
        <v>270</v>
      </c>
      <c r="M890" s="2">
        <v>5.5</v>
      </c>
      <c r="N890" s="2">
        <v>2</v>
      </c>
      <c r="O890" s="2">
        <v>1</v>
      </c>
      <c r="P890" s="2" t="s">
        <v>247</v>
      </c>
      <c r="Q890" s="7" t="s">
        <v>64</v>
      </c>
      <c r="R890" s="4" t="s">
        <v>293</v>
      </c>
      <c r="S890" s="20">
        <v>11</v>
      </c>
      <c r="T890" s="2">
        <v>11</v>
      </c>
    </row>
    <row r="891" spans="1:26">
      <c r="A891" s="7">
        <f>MAX($A$1:$A890)+1</f>
        <v>890</v>
      </c>
      <c r="B891" s="2" t="s">
        <v>409</v>
      </c>
      <c r="C891" s="2" t="s">
        <v>269</v>
      </c>
      <c r="D891" s="2" t="s">
        <v>35</v>
      </c>
      <c r="E891" s="29" t="s">
        <v>382</v>
      </c>
      <c r="F891" s="4">
        <v>48.838594999999998</v>
      </c>
      <c r="G891" s="18">
        <v>-125.135015</v>
      </c>
      <c r="H891" s="28" t="s">
        <v>12</v>
      </c>
      <c r="I891" s="2">
        <v>4</v>
      </c>
      <c r="J891" s="2">
        <v>180</v>
      </c>
      <c r="K891" s="6">
        <v>0.55555555555555558</v>
      </c>
      <c r="L891" s="2" t="s">
        <v>270</v>
      </c>
      <c r="M891" s="2">
        <v>5.5</v>
      </c>
      <c r="N891" s="2">
        <v>2</v>
      </c>
      <c r="O891" s="2">
        <v>1</v>
      </c>
      <c r="P891" s="2" t="s">
        <v>430</v>
      </c>
      <c r="Q891" s="7" t="s">
        <v>143</v>
      </c>
      <c r="R891" s="4" t="s">
        <v>431</v>
      </c>
      <c r="S891" s="20">
        <v>1</v>
      </c>
      <c r="T891" s="2">
        <v>1</v>
      </c>
    </row>
    <row r="892" spans="1:26">
      <c r="A892" s="7">
        <f>MAX($A$1:$A891)+1</f>
        <v>891</v>
      </c>
      <c r="B892" s="2" t="s">
        <v>409</v>
      </c>
      <c r="C892" s="2" t="s">
        <v>269</v>
      </c>
      <c r="D892" s="2" t="s">
        <v>35</v>
      </c>
      <c r="E892" s="29" t="s">
        <v>382</v>
      </c>
      <c r="F892" s="4">
        <v>48.838594999999998</v>
      </c>
      <c r="G892" s="18">
        <v>-125.135015</v>
      </c>
      <c r="H892" s="28" t="s">
        <v>12</v>
      </c>
      <c r="I892" s="2">
        <v>4</v>
      </c>
      <c r="J892" s="2">
        <v>180</v>
      </c>
      <c r="K892" s="6">
        <v>0.55555555555555558</v>
      </c>
      <c r="L892" s="2" t="s">
        <v>270</v>
      </c>
      <c r="M892" s="2">
        <v>5.5</v>
      </c>
      <c r="N892" s="2">
        <v>2</v>
      </c>
      <c r="O892" s="2">
        <v>1</v>
      </c>
      <c r="P892" s="2" t="s">
        <v>432</v>
      </c>
      <c r="Q892" s="7" t="s">
        <v>144</v>
      </c>
      <c r="R892" s="4" t="s">
        <v>433</v>
      </c>
      <c r="S892" s="20">
        <v>1</v>
      </c>
      <c r="T892" s="2">
        <v>1</v>
      </c>
    </row>
    <row r="893" spans="1:26">
      <c r="A893" s="7">
        <f>MAX($A$1:$A892)+1</f>
        <v>892</v>
      </c>
      <c r="B893" s="2" t="s">
        <v>409</v>
      </c>
      <c r="C893" s="2" t="s">
        <v>269</v>
      </c>
      <c r="D893" s="2" t="s">
        <v>35</v>
      </c>
      <c r="E893" s="29" t="s">
        <v>382</v>
      </c>
      <c r="F893" s="4">
        <v>48.838594999999998</v>
      </c>
      <c r="G893" s="18">
        <v>-125.135015</v>
      </c>
      <c r="H893" s="28" t="s">
        <v>12</v>
      </c>
      <c r="I893" s="2">
        <v>4</v>
      </c>
      <c r="J893" s="2">
        <v>180</v>
      </c>
      <c r="K893" s="6">
        <v>0.55555555555555558</v>
      </c>
      <c r="L893" s="2" t="s">
        <v>270</v>
      </c>
      <c r="M893" s="2">
        <v>5.5</v>
      </c>
      <c r="N893" s="2">
        <v>2</v>
      </c>
      <c r="O893" s="2">
        <v>1</v>
      </c>
      <c r="P893" s="2" t="s">
        <v>248</v>
      </c>
      <c r="Q893" s="7" t="s">
        <v>78</v>
      </c>
      <c r="R893" s="4" t="s">
        <v>349</v>
      </c>
      <c r="S893" s="20">
        <v>4</v>
      </c>
      <c r="T893" s="2">
        <v>0</v>
      </c>
      <c r="X893" s="2">
        <v>2</v>
      </c>
      <c r="Y893" s="2">
        <v>1</v>
      </c>
      <c r="Z893" s="2">
        <v>1</v>
      </c>
    </row>
    <row r="894" spans="1:26">
      <c r="A894" s="7">
        <f>MAX($A$1:$A893)+1</f>
        <v>893</v>
      </c>
      <c r="B894" s="2" t="s">
        <v>409</v>
      </c>
      <c r="C894" s="2" t="s">
        <v>269</v>
      </c>
      <c r="D894" s="2" t="s">
        <v>35</v>
      </c>
      <c r="E894" s="29" t="s">
        <v>382</v>
      </c>
      <c r="F894" s="4">
        <v>48.838594999999998</v>
      </c>
      <c r="G894" s="18">
        <v>-125.135015</v>
      </c>
      <c r="H894" s="28" t="s">
        <v>12</v>
      </c>
      <c r="I894" s="2">
        <v>4</v>
      </c>
      <c r="J894" s="2">
        <v>180</v>
      </c>
      <c r="K894" s="6">
        <v>0.55555555555555558</v>
      </c>
      <c r="L894" s="2" t="s">
        <v>270</v>
      </c>
      <c r="M894" s="2">
        <v>5.5</v>
      </c>
      <c r="N894" s="2">
        <v>2</v>
      </c>
      <c r="O894" s="2">
        <v>1</v>
      </c>
      <c r="P894" s="2" t="s">
        <v>331</v>
      </c>
      <c r="Q894" s="7" t="s">
        <v>67</v>
      </c>
      <c r="R894" s="4" t="s">
        <v>332</v>
      </c>
      <c r="S894" s="20">
        <v>6</v>
      </c>
      <c r="T894" s="2">
        <v>6</v>
      </c>
    </row>
    <row r="895" spans="1:26">
      <c r="A895" s="7">
        <f>MAX($A$1:$A894)+1</f>
        <v>894</v>
      </c>
      <c r="B895" s="2" t="s">
        <v>409</v>
      </c>
      <c r="C895" s="2" t="s">
        <v>269</v>
      </c>
      <c r="D895" s="2" t="s">
        <v>35</v>
      </c>
      <c r="E895" s="29" t="s">
        <v>382</v>
      </c>
      <c r="F895" s="4">
        <v>48.838594999999998</v>
      </c>
      <c r="G895" s="18">
        <v>-125.135015</v>
      </c>
      <c r="H895" s="28" t="s">
        <v>12</v>
      </c>
      <c r="I895" s="2">
        <v>4</v>
      </c>
      <c r="J895" s="2">
        <v>180</v>
      </c>
      <c r="K895" s="6">
        <v>0.55555555555555558</v>
      </c>
      <c r="L895" s="2" t="s">
        <v>270</v>
      </c>
      <c r="M895" s="2">
        <v>5.5</v>
      </c>
      <c r="N895" s="2">
        <v>2</v>
      </c>
      <c r="O895" s="2">
        <v>1</v>
      </c>
      <c r="P895" s="2" t="s">
        <v>427</v>
      </c>
      <c r="Q895" s="7" t="s">
        <v>142</v>
      </c>
      <c r="R895" s="4" t="s">
        <v>428</v>
      </c>
      <c r="S895" s="20">
        <v>10</v>
      </c>
      <c r="T895" s="2">
        <v>10</v>
      </c>
    </row>
    <row r="896" spans="1:26">
      <c r="A896" s="7">
        <f>MAX($A$1:$A895)+1</f>
        <v>895</v>
      </c>
      <c r="B896" s="2" t="s">
        <v>409</v>
      </c>
      <c r="C896" s="2" t="s">
        <v>269</v>
      </c>
      <c r="D896" s="2" t="s">
        <v>35</v>
      </c>
      <c r="E896" s="29" t="s">
        <v>382</v>
      </c>
      <c r="F896" s="4">
        <v>48.838594999999998</v>
      </c>
      <c r="G896" s="18">
        <v>-125.135015</v>
      </c>
      <c r="H896" s="28" t="s">
        <v>12</v>
      </c>
      <c r="I896" s="2">
        <v>4</v>
      </c>
      <c r="J896" s="2">
        <v>180</v>
      </c>
      <c r="K896" s="6">
        <v>0.55555555555555558</v>
      </c>
      <c r="L896" s="2" t="s">
        <v>270</v>
      </c>
      <c r="M896" s="2">
        <v>5.5</v>
      </c>
      <c r="N896" s="2">
        <v>2</v>
      </c>
      <c r="O896" s="2">
        <v>1</v>
      </c>
      <c r="P896" s="2" t="s">
        <v>314</v>
      </c>
      <c r="Q896" s="7" t="s">
        <v>71</v>
      </c>
      <c r="R896" s="4" t="s">
        <v>315</v>
      </c>
      <c r="S896" s="20">
        <v>1</v>
      </c>
      <c r="T896" s="2">
        <v>1</v>
      </c>
    </row>
    <row r="897" spans="1:44">
      <c r="A897" s="7">
        <f>MAX($A$1:$A896)+1</f>
        <v>896</v>
      </c>
      <c r="B897" s="2" t="s">
        <v>409</v>
      </c>
      <c r="C897" s="2" t="s">
        <v>269</v>
      </c>
      <c r="D897" s="2" t="s">
        <v>35</v>
      </c>
      <c r="E897" s="29" t="s">
        <v>382</v>
      </c>
      <c r="F897" s="4">
        <v>48.838594999999998</v>
      </c>
      <c r="G897" s="18">
        <v>-125.135015</v>
      </c>
      <c r="H897" s="28" t="s">
        <v>12</v>
      </c>
      <c r="I897" s="2">
        <v>4</v>
      </c>
      <c r="J897" s="2">
        <v>180</v>
      </c>
      <c r="K897" s="6">
        <v>0.55555555555555558</v>
      </c>
      <c r="L897" s="2" t="s">
        <v>270</v>
      </c>
      <c r="M897" s="2">
        <v>5.5</v>
      </c>
      <c r="N897" s="2">
        <v>2</v>
      </c>
      <c r="O897" s="2">
        <v>1</v>
      </c>
      <c r="P897" s="2" t="s">
        <v>259</v>
      </c>
      <c r="Q897" s="7" t="s">
        <v>106</v>
      </c>
      <c r="R897" s="4" t="s">
        <v>343</v>
      </c>
      <c r="S897" s="20">
        <v>1</v>
      </c>
      <c r="T897" s="2">
        <v>1</v>
      </c>
    </row>
    <row r="898" spans="1:44">
      <c r="A898" s="7">
        <f>MAX($A$1:$A897)+1</f>
        <v>897</v>
      </c>
      <c r="B898" s="2" t="s">
        <v>409</v>
      </c>
      <c r="C898" s="2" t="s">
        <v>269</v>
      </c>
      <c r="D898" s="2" t="s">
        <v>35</v>
      </c>
      <c r="E898" s="29" t="s">
        <v>382</v>
      </c>
      <c r="F898" s="4">
        <v>48.838594999999998</v>
      </c>
      <c r="G898" s="18">
        <v>-125.135015</v>
      </c>
      <c r="H898" s="28" t="s">
        <v>12</v>
      </c>
      <c r="I898" s="2">
        <v>4</v>
      </c>
      <c r="J898" s="2">
        <v>180</v>
      </c>
      <c r="K898" s="6">
        <v>0.55555555555555558</v>
      </c>
      <c r="L898" s="2" t="s">
        <v>270</v>
      </c>
      <c r="M898" s="2">
        <v>5.5</v>
      </c>
      <c r="N898" s="2">
        <v>2</v>
      </c>
      <c r="O898" s="2">
        <v>1</v>
      </c>
      <c r="P898" s="2" t="s">
        <v>251</v>
      </c>
      <c r="Q898" s="7" t="s">
        <v>73</v>
      </c>
      <c r="R898" s="4" t="s">
        <v>325</v>
      </c>
      <c r="S898" s="20">
        <v>3</v>
      </c>
      <c r="T898" s="2">
        <v>3</v>
      </c>
    </row>
    <row r="899" spans="1:44">
      <c r="A899" s="7">
        <f>MAX($A$1:$A898)+1</f>
        <v>898</v>
      </c>
      <c r="B899" s="2" t="s">
        <v>409</v>
      </c>
      <c r="C899" s="2" t="s">
        <v>269</v>
      </c>
      <c r="D899" s="2" t="s">
        <v>35</v>
      </c>
      <c r="E899" s="29" t="s">
        <v>382</v>
      </c>
      <c r="F899" s="4">
        <v>48.838594999999998</v>
      </c>
      <c r="G899" s="18">
        <v>-125.135015</v>
      </c>
      <c r="H899" s="28" t="s">
        <v>12</v>
      </c>
      <c r="I899" s="2">
        <v>4</v>
      </c>
      <c r="J899" s="2">
        <v>180</v>
      </c>
      <c r="K899" s="6">
        <v>0.55555555555555558</v>
      </c>
      <c r="L899" s="2" t="s">
        <v>270</v>
      </c>
      <c r="M899" s="2">
        <v>5.5</v>
      </c>
      <c r="N899" s="2">
        <v>2</v>
      </c>
      <c r="O899" s="2">
        <v>1</v>
      </c>
      <c r="P899" s="2" t="s">
        <v>350</v>
      </c>
      <c r="Q899" s="7" t="s">
        <v>83</v>
      </c>
      <c r="R899" s="4" t="s">
        <v>351</v>
      </c>
      <c r="S899" s="20">
        <v>1</v>
      </c>
      <c r="T899" s="2">
        <v>1</v>
      </c>
    </row>
    <row r="900" spans="1:44">
      <c r="A900" s="7">
        <f>MAX($A$1:$A899)+1</f>
        <v>899</v>
      </c>
      <c r="B900" s="2" t="s">
        <v>409</v>
      </c>
      <c r="C900" s="2" t="s">
        <v>269</v>
      </c>
      <c r="D900" s="2" t="s">
        <v>35</v>
      </c>
      <c r="E900" s="29" t="s">
        <v>382</v>
      </c>
      <c r="F900" s="4">
        <v>48.838594999999998</v>
      </c>
      <c r="G900" s="18">
        <v>-125.135015</v>
      </c>
      <c r="H900" s="28" t="s">
        <v>12</v>
      </c>
      <c r="I900" s="2">
        <v>4</v>
      </c>
      <c r="J900" s="2">
        <v>180</v>
      </c>
      <c r="K900" s="6">
        <v>0.55555555555555558</v>
      </c>
      <c r="L900" s="2" t="s">
        <v>270</v>
      </c>
      <c r="M900" s="2">
        <v>5.5</v>
      </c>
      <c r="N900" s="2">
        <v>2</v>
      </c>
      <c r="O900" s="2">
        <v>1</v>
      </c>
      <c r="P900" s="2" t="s">
        <v>388</v>
      </c>
      <c r="Q900" s="7" t="s">
        <v>82</v>
      </c>
      <c r="R900" s="4" t="s">
        <v>389</v>
      </c>
      <c r="S900" s="20">
        <v>1</v>
      </c>
      <c r="T900" s="2">
        <v>1</v>
      </c>
    </row>
    <row r="901" spans="1:44">
      <c r="A901" s="7">
        <f>MAX($A$1:$A900)+1</f>
        <v>900</v>
      </c>
      <c r="B901" s="2" t="s">
        <v>409</v>
      </c>
      <c r="C901" s="2" t="s">
        <v>269</v>
      </c>
      <c r="D901" s="2" t="s">
        <v>35</v>
      </c>
      <c r="E901" s="29" t="s">
        <v>382</v>
      </c>
      <c r="F901" s="4">
        <v>48.838594999999998</v>
      </c>
      <c r="G901" s="18">
        <v>-125.135015</v>
      </c>
      <c r="H901" s="28" t="s">
        <v>12</v>
      </c>
      <c r="I901" s="2">
        <v>4</v>
      </c>
      <c r="J901" s="2">
        <v>180</v>
      </c>
      <c r="K901" s="6">
        <v>0.55555555555555558</v>
      </c>
      <c r="L901" s="2" t="s">
        <v>270</v>
      </c>
      <c r="M901" s="2">
        <v>5.5</v>
      </c>
      <c r="N901" s="2">
        <v>2</v>
      </c>
      <c r="O901" s="2">
        <v>1</v>
      </c>
      <c r="P901" s="2" t="s">
        <v>333</v>
      </c>
      <c r="Q901" s="7" t="s">
        <v>102</v>
      </c>
      <c r="R901" s="4" t="s">
        <v>334</v>
      </c>
      <c r="S901" s="20">
        <v>1</v>
      </c>
      <c r="T901" s="2">
        <v>1</v>
      </c>
    </row>
    <row r="902" spans="1:44">
      <c r="A902" s="7">
        <f>MAX($A$1:$A901)+1</f>
        <v>901</v>
      </c>
      <c r="B902" s="2" t="s">
        <v>409</v>
      </c>
      <c r="C902" s="2" t="s">
        <v>269</v>
      </c>
      <c r="D902" s="2" t="s">
        <v>35</v>
      </c>
      <c r="E902" s="29" t="s">
        <v>382</v>
      </c>
      <c r="F902" s="4">
        <v>48.838594999999998</v>
      </c>
      <c r="G902" s="18">
        <v>-125.135015</v>
      </c>
      <c r="H902" s="28" t="s">
        <v>12</v>
      </c>
      <c r="I902" s="2">
        <v>4</v>
      </c>
      <c r="J902" s="2">
        <v>180</v>
      </c>
      <c r="K902" s="6">
        <v>0.55555555555555558</v>
      </c>
      <c r="L902" s="2" t="s">
        <v>270</v>
      </c>
      <c r="M902" s="2">
        <v>5.5</v>
      </c>
      <c r="N902" s="2">
        <v>0</v>
      </c>
      <c r="O902" s="2">
        <v>1</v>
      </c>
      <c r="P902" s="2" t="s">
        <v>434</v>
      </c>
      <c r="Q902" s="7" t="s">
        <v>60</v>
      </c>
      <c r="R902" s="4" t="s">
        <v>435</v>
      </c>
      <c r="S902" s="20">
        <v>1</v>
      </c>
      <c r="T902" s="2">
        <v>0</v>
      </c>
      <c r="AG902" s="2">
        <v>1</v>
      </c>
    </row>
    <row r="903" spans="1:44">
      <c r="A903" s="7">
        <f>MAX($A$1:$A902)+1</f>
        <v>902</v>
      </c>
      <c r="B903" s="27" t="s">
        <v>269</v>
      </c>
      <c r="C903" s="2" t="s">
        <v>409</v>
      </c>
      <c r="D903" s="2" t="s">
        <v>35</v>
      </c>
      <c r="E903" s="29" t="s">
        <v>382</v>
      </c>
      <c r="F903" s="4">
        <v>48.838594999999998</v>
      </c>
      <c r="G903" s="18">
        <v>-125.135015</v>
      </c>
      <c r="H903" s="5" t="s">
        <v>12</v>
      </c>
      <c r="I903" s="2">
        <v>4</v>
      </c>
      <c r="J903" s="2">
        <v>180</v>
      </c>
      <c r="K903" s="6">
        <v>0.55555555555555558</v>
      </c>
      <c r="L903" s="2" t="s">
        <v>270</v>
      </c>
      <c r="M903" s="2">
        <v>5.5</v>
      </c>
      <c r="N903" s="2">
        <v>1</v>
      </c>
      <c r="O903" s="2">
        <v>2</v>
      </c>
      <c r="P903" s="2" t="s">
        <v>233</v>
      </c>
      <c r="Q903" s="7" t="s">
        <v>53</v>
      </c>
      <c r="R903" s="4" t="s">
        <v>379</v>
      </c>
      <c r="S903" s="20">
        <v>23</v>
      </c>
      <c r="T903" s="2">
        <v>0</v>
      </c>
      <c r="V903" s="2">
        <v>2</v>
      </c>
      <c r="W903" s="2">
        <v>3</v>
      </c>
      <c r="X903" s="2">
        <v>13</v>
      </c>
      <c r="Y903" s="2">
        <v>4</v>
      </c>
      <c r="Z903" s="2">
        <v>1</v>
      </c>
    </row>
    <row r="904" spans="1:44">
      <c r="A904" s="7">
        <f>MAX($A$1:$A903)+1</f>
        <v>903</v>
      </c>
      <c r="B904" s="27" t="s">
        <v>269</v>
      </c>
      <c r="C904" s="2" t="s">
        <v>409</v>
      </c>
      <c r="D904" s="2" t="s">
        <v>35</v>
      </c>
      <c r="E904" s="29" t="s">
        <v>382</v>
      </c>
      <c r="F904" s="4">
        <v>48.838594999999998</v>
      </c>
      <c r="G904" s="18">
        <v>-125.135015</v>
      </c>
      <c r="H904" s="5" t="s">
        <v>12</v>
      </c>
      <c r="I904" s="2">
        <v>4</v>
      </c>
      <c r="J904" s="2">
        <v>180</v>
      </c>
      <c r="K904" s="6">
        <v>0.55555555555555558</v>
      </c>
      <c r="L904" s="2" t="s">
        <v>270</v>
      </c>
      <c r="M904" s="2">
        <v>5.5</v>
      </c>
      <c r="N904" s="2">
        <v>1</v>
      </c>
      <c r="O904" s="2">
        <v>2</v>
      </c>
      <c r="P904" s="2" t="s">
        <v>230</v>
      </c>
      <c r="Q904" s="7" t="s">
        <v>42</v>
      </c>
      <c r="R904" s="4" t="s">
        <v>321</v>
      </c>
      <c r="S904" s="20">
        <v>39</v>
      </c>
      <c r="T904" s="2">
        <v>0</v>
      </c>
      <c r="V904" s="2">
        <v>4</v>
      </c>
      <c r="W904" s="2">
        <v>8</v>
      </c>
      <c r="X904" s="2">
        <v>7</v>
      </c>
      <c r="Y904" s="2">
        <v>20</v>
      </c>
    </row>
    <row r="905" spans="1:44">
      <c r="A905" s="7">
        <f>MAX($A$1:$A904)+1</f>
        <v>904</v>
      </c>
      <c r="B905" s="27" t="s">
        <v>269</v>
      </c>
      <c r="C905" s="2" t="s">
        <v>409</v>
      </c>
      <c r="D905" s="2" t="s">
        <v>35</v>
      </c>
      <c r="E905" s="29" t="s">
        <v>382</v>
      </c>
      <c r="F905" s="4">
        <v>48.838594999999998</v>
      </c>
      <c r="G905" s="18">
        <v>-125.135015</v>
      </c>
      <c r="H905" s="5" t="s">
        <v>12</v>
      </c>
      <c r="I905" s="2">
        <v>4</v>
      </c>
      <c r="J905" s="2">
        <v>180</v>
      </c>
      <c r="K905" s="6">
        <v>0.55555555555555558</v>
      </c>
      <c r="L905" s="2" t="s">
        <v>270</v>
      </c>
      <c r="M905" s="2">
        <v>5.5</v>
      </c>
      <c r="N905" s="2">
        <v>1</v>
      </c>
      <c r="O905" s="2">
        <v>2</v>
      </c>
      <c r="P905" s="2" t="s">
        <v>231</v>
      </c>
      <c r="Q905" s="7" t="s">
        <v>48</v>
      </c>
      <c r="R905" s="4" t="s">
        <v>365</v>
      </c>
      <c r="S905" s="20">
        <v>2</v>
      </c>
      <c r="T905" s="2">
        <v>0</v>
      </c>
      <c r="X905" s="2">
        <v>1</v>
      </c>
      <c r="Y905" s="2">
        <v>1</v>
      </c>
    </row>
    <row r="906" spans="1:44">
      <c r="A906" s="7">
        <f>MAX($A$1:$A905)+1</f>
        <v>905</v>
      </c>
      <c r="B906" s="27" t="s">
        <v>269</v>
      </c>
      <c r="C906" s="2" t="s">
        <v>409</v>
      </c>
      <c r="D906" s="2" t="s">
        <v>35</v>
      </c>
      <c r="E906" s="29" t="s">
        <v>382</v>
      </c>
      <c r="F906" s="4">
        <v>48.838594999999998</v>
      </c>
      <c r="G906" s="18">
        <v>-125.135015</v>
      </c>
      <c r="H906" s="5" t="s">
        <v>12</v>
      </c>
      <c r="I906" s="2">
        <v>4</v>
      </c>
      <c r="J906" s="2">
        <v>180</v>
      </c>
      <c r="K906" s="6">
        <v>0.55555555555555558</v>
      </c>
      <c r="L906" s="2" t="s">
        <v>270</v>
      </c>
      <c r="M906" s="2">
        <v>5.5</v>
      </c>
      <c r="N906" s="2">
        <v>1</v>
      </c>
      <c r="O906" s="2">
        <v>2</v>
      </c>
      <c r="P906" s="2" t="s">
        <v>235</v>
      </c>
      <c r="Q906" s="7" t="s">
        <v>54</v>
      </c>
      <c r="R906" s="4" t="s">
        <v>364</v>
      </c>
      <c r="S906" s="20">
        <v>4</v>
      </c>
      <c r="T906" s="2">
        <v>0</v>
      </c>
      <c r="X906" s="2">
        <v>2</v>
      </c>
      <c r="Y906" s="2">
        <v>2</v>
      </c>
    </row>
    <row r="907" spans="1:44">
      <c r="A907" s="7">
        <f>MAX($A$1:$A906)+1</f>
        <v>906</v>
      </c>
      <c r="B907" s="27" t="s">
        <v>269</v>
      </c>
      <c r="C907" s="2" t="s">
        <v>409</v>
      </c>
      <c r="D907" s="2" t="s">
        <v>35</v>
      </c>
      <c r="E907" s="29" t="s">
        <v>382</v>
      </c>
      <c r="F907" s="4">
        <v>48.838594999999998</v>
      </c>
      <c r="G907" s="18">
        <v>-125.135015</v>
      </c>
      <c r="H907" s="5" t="s">
        <v>12</v>
      </c>
      <c r="I907" s="2">
        <v>4</v>
      </c>
      <c r="J907" s="2">
        <v>180</v>
      </c>
      <c r="K907" s="6">
        <v>0.55555555555555558</v>
      </c>
      <c r="L907" s="2" t="s">
        <v>270</v>
      </c>
      <c r="M907" s="2">
        <v>5.5</v>
      </c>
      <c r="N907" s="2">
        <v>1</v>
      </c>
      <c r="O907" s="2">
        <v>2</v>
      </c>
      <c r="P907" s="2" t="s">
        <v>236</v>
      </c>
      <c r="Q907" s="7" t="s">
        <v>44</v>
      </c>
      <c r="R907" s="4" t="s">
        <v>369</v>
      </c>
      <c r="S907" s="20">
        <v>4</v>
      </c>
      <c r="T907" s="2">
        <v>0</v>
      </c>
      <c r="Y907" s="2">
        <v>2</v>
      </c>
      <c r="Z907" s="2">
        <v>1</v>
      </c>
      <c r="AA907" s="2">
        <v>1</v>
      </c>
    </row>
    <row r="908" spans="1:44">
      <c r="A908" s="7">
        <f>MAX($A$1:$A907)+1</f>
        <v>907</v>
      </c>
      <c r="B908" s="27" t="s">
        <v>269</v>
      </c>
      <c r="C908" s="2" t="s">
        <v>409</v>
      </c>
      <c r="D908" s="2" t="s">
        <v>35</v>
      </c>
      <c r="E908" s="29" t="s">
        <v>382</v>
      </c>
      <c r="F908" s="4">
        <v>48.838594999999998</v>
      </c>
      <c r="G908" s="18">
        <v>-125.135015</v>
      </c>
      <c r="H908" s="5" t="s">
        <v>12</v>
      </c>
      <c r="I908" s="2">
        <v>4</v>
      </c>
      <c r="J908" s="2">
        <v>180</v>
      </c>
      <c r="K908" s="6">
        <v>0.55555555555555558</v>
      </c>
      <c r="L908" s="2" t="s">
        <v>270</v>
      </c>
      <c r="M908" s="2">
        <v>5.5</v>
      </c>
      <c r="N908" s="2">
        <v>1</v>
      </c>
      <c r="O908" s="2">
        <v>2</v>
      </c>
      <c r="P908" s="2" t="s">
        <v>232</v>
      </c>
      <c r="Q908" s="7" t="s">
        <v>43</v>
      </c>
      <c r="R908" s="4" t="s">
        <v>324</v>
      </c>
      <c r="S908" s="20">
        <v>7</v>
      </c>
      <c r="T908" s="2">
        <v>0</v>
      </c>
      <c r="Y908" s="2">
        <v>1</v>
      </c>
      <c r="Z908" s="2">
        <v>2</v>
      </c>
      <c r="AA908" s="2">
        <v>4</v>
      </c>
    </row>
    <row r="909" spans="1:44">
      <c r="A909" s="7">
        <f>MAX($A$1:$A908)+1</f>
        <v>908</v>
      </c>
      <c r="B909" s="27" t="s">
        <v>269</v>
      </c>
      <c r="C909" s="2" t="s">
        <v>409</v>
      </c>
      <c r="D909" s="2" t="s">
        <v>35</v>
      </c>
      <c r="E909" s="29" t="s">
        <v>382</v>
      </c>
      <c r="F909" s="4">
        <v>48.838594999999998</v>
      </c>
      <c r="G909" s="18">
        <v>-125.135015</v>
      </c>
      <c r="H909" s="5" t="s">
        <v>12</v>
      </c>
      <c r="I909" s="2">
        <v>4</v>
      </c>
      <c r="J909" s="2">
        <v>180</v>
      </c>
      <c r="K909" s="6">
        <v>0.55555555555555558</v>
      </c>
      <c r="L909" s="2" t="s">
        <v>270</v>
      </c>
      <c r="M909" s="2">
        <v>5.5</v>
      </c>
      <c r="N909" s="2">
        <v>1</v>
      </c>
      <c r="O909" s="2">
        <v>2</v>
      </c>
      <c r="P909" s="2" t="s">
        <v>434</v>
      </c>
      <c r="Q909" s="7" t="s">
        <v>60</v>
      </c>
      <c r="R909" s="4" t="s">
        <v>435</v>
      </c>
      <c r="S909" s="20">
        <v>1</v>
      </c>
      <c r="T909" s="2">
        <v>0</v>
      </c>
      <c r="AR909" s="2">
        <v>1</v>
      </c>
    </row>
    <row r="910" spans="1:44">
      <c r="A910" s="7">
        <f>MAX($A$1:$A909)+1</f>
        <v>909</v>
      </c>
      <c r="B910" s="27" t="s">
        <v>269</v>
      </c>
      <c r="C910" s="2" t="s">
        <v>409</v>
      </c>
      <c r="D910" s="2" t="s">
        <v>35</v>
      </c>
      <c r="E910" s="29" t="s">
        <v>382</v>
      </c>
      <c r="F910" s="4">
        <v>48.838594999999998</v>
      </c>
      <c r="G910" s="18">
        <v>-125.135015</v>
      </c>
      <c r="H910" s="5" t="s">
        <v>12</v>
      </c>
      <c r="I910" s="2">
        <v>4</v>
      </c>
      <c r="J910" s="2">
        <v>180</v>
      </c>
      <c r="K910" s="6">
        <v>0.55555555555555558</v>
      </c>
      <c r="L910" s="2" t="s">
        <v>270</v>
      </c>
      <c r="M910" s="2">
        <v>5.5</v>
      </c>
      <c r="N910" s="2">
        <v>1</v>
      </c>
      <c r="O910" s="2">
        <v>2</v>
      </c>
      <c r="P910" s="2" t="s">
        <v>234</v>
      </c>
      <c r="Q910" s="7" t="s">
        <v>45</v>
      </c>
      <c r="R910" s="4" t="s">
        <v>353</v>
      </c>
      <c r="S910" s="20">
        <v>11</v>
      </c>
      <c r="T910" s="2">
        <v>0</v>
      </c>
      <c r="W910" s="2">
        <v>2</v>
      </c>
      <c r="X910" s="2">
        <v>3</v>
      </c>
      <c r="Y910" s="2">
        <v>4</v>
      </c>
      <c r="Z910" s="2">
        <v>2</v>
      </c>
    </row>
    <row r="911" spans="1:44">
      <c r="A911" s="7">
        <f>MAX($A$1:$A910)+1</f>
        <v>910</v>
      </c>
      <c r="B911" s="27" t="s">
        <v>269</v>
      </c>
      <c r="C911" s="2" t="s">
        <v>409</v>
      </c>
      <c r="D911" s="2" t="s">
        <v>35</v>
      </c>
      <c r="E911" s="29" t="s">
        <v>382</v>
      </c>
      <c r="F911" s="4">
        <v>48.838594999999998</v>
      </c>
      <c r="G911" s="18">
        <v>-125.135015</v>
      </c>
      <c r="H911" s="5" t="s">
        <v>12</v>
      </c>
      <c r="I911" s="2">
        <v>4</v>
      </c>
      <c r="J911" s="2">
        <v>180</v>
      </c>
      <c r="K911" s="6">
        <v>0.55555555555555558</v>
      </c>
      <c r="L911" s="2" t="s">
        <v>270</v>
      </c>
      <c r="M911" s="2">
        <v>5.5</v>
      </c>
      <c r="N911" s="2">
        <v>2</v>
      </c>
      <c r="O911" s="2">
        <v>2</v>
      </c>
      <c r="P911" s="2" t="s">
        <v>296</v>
      </c>
      <c r="Q911" s="7" t="s">
        <v>75</v>
      </c>
      <c r="R911" s="4" t="s">
        <v>297</v>
      </c>
      <c r="S911" s="20">
        <v>7</v>
      </c>
      <c r="T911" s="2">
        <v>7</v>
      </c>
    </row>
    <row r="912" spans="1:44">
      <c r="A912" s="7">
        <f>MAX($A$1:$A911)+1</f>
        <v>911</v>
      </c>
      <c r="B912" s="27" t="s">
        <v>269</v>
      </c>
      <c r="C912" s="2" t="s">
        <v>409</v>
      </c>
      <c r="D912" s="2" t="s">
        <v>35</v>
      </c>
      <c r="E912" s="29" t="s">
        <v>382</v>
      </c>
      <c r="F912" s="4">
        <v>48.838594999999998</v>
      </c>
      <c r="G912" s="18">
        <v>-125.135015</v>
      </c>
      <c r="H912" s="5" t="s">
        <v>12</v>
      </c>
      <c r="I912" s="2">
        <v>4</v>
      </c>
      <c r="J912" s="2">
        <v>180</v>
      </c>
      <c r="K912" s="6">
        <v>0.55555555555555558</v>
      </c>
      <c r="L912" s="2" t="s">
        <v>270</v>
      </c>
      <c r="M912" s="2">
        <v>5.5</v>
      </c>
      <c r="N912" s="2">
        <v>2</v>
      </c>
      <c r="O912" s="2">
        <v>2</v>
      </c>
      <c r="P912" s="2" t="s">
        <v>241</v>
      </c>
      <c r="Q912" s="7" t="s">
        <v>63</v>
      </c>
      <c r="R912" s="4" t="s">
        <v>294</v>
      </c>
      <c r="S912" s="20">
        <v>67</v>
      </c>
      <c r="T912" s="2">
        <v>67</v>
      </c>
    </row>
    <row r="913" spans="1:26">
      <c r="A913" s="7">
        <f>MAX($A$1:$A912)+1</f>
        <v>912</v>
      </c>
      <c r="B913" s="27" t="s">
        <v>269</v>
      </c>
      <c r="C913" s="2" t="s">
        <v>409</v>
      </c>
      <c r="D913" s="2" t="s">
        <v>35</v>
      </c>
      <c r="E913" s="29" t="s">
        <v>382</v>
      </c>
      <c r="F913" s="4">
        <v>48.838594999999998</v>
      </c>
      <c r="G913" s="18">
        <v>-125.135015</v>
      </c>
      <c r="H913" s="5" t="s">
        <v>12</v>
      </c>
      <c r="I913" s="2">
        <v>4</v>
      </c>
      <c r="J913" s="2">
        <v>180</v>
      </c>
      <c r="K913" s="6">
        <v>0.55555555555555558</v>
      </c>
      <c r="L913" s="2" t="s">
        <v>270</v>
      </c>
      <c r="M913" s="2">
        <v>5.5</v>
      </c>
      <c r="N913" s="2">
        <v>2</v>
      </c>
      <c r="O913" s="2">
        <v>2</v>
      </c>
      <c r="P913" s="2" t="s">
        <v>246</v>
      </c>
      <c r="Q913" s="7" t="s">
        <v>66</v>
      </c>
      <c r="R913" s="4" t="s">
        <v>318</v>
      </c>
      <c r="S913" s="20">
        <v>22</v>
      </c>
      <c r="T913" s="2">
        <v>0</v>
      </c>
      <c r="V913" s="2">
        <v>1</v>
      </c>
      <c r="W913" s="2">
        <v>8</v>
      </c>
      <c r="X913" s="2">
        <v>7</v>
      </c>
      <c r="Y913" s="2">
        <v>6</v>
      </c>
    </row>
    <row r="914" spans="1:26">
      <c r="A914" s="7">
        <f>MAX($A$1:$A913)+1</f>
        <v>913</v>
      </c>
      <c r="B914" s="27" t="s">
        <v>269</v>
      </c>
      <c r="C914" s="2" t="s">
        <v>409</v>
      </c>
      <c r="D914" s="2" t="s">
        <v>35</v>
      </c>
      <c r="E914" s="29" t="s">
        <v>382</v>
      </c>
      <c r="F914" s="4">
        <v>48.838594999999998</v>
      </c>
      <c r="G914" s="18">
        <v>-125.135015</v>
      </c>
      <c r="H914" s="5" t="s">
        <v>12</v>
      </c>
      <c r="I914" s="2">
        <v>4</v>
      </c>
      <c r="J914" s="2">
        <v>180</v>
      </c>
      <c r="K914" s="6">
        <v>0.55555555555555558</v>
      </c>
      <c r="L914" s="2" t="s">
        <v>270</v>
      </c>
      <c r="M914" s="2">
        <v>5.5</v>
      </c>
      <c r="N914" s="2">
        <v>2</v>
      </c>
      <c r="O914" s="2">
        <v>2</v>
      </c>
      <c r="P914" s="2" t="s">
        <v>230</v>
      </c>
      <c r="Q914" s="7" t="s">
        <v>42</v>
      </c>
      <c r="R914" s="4" t="s">
        <v>321</v>
      </c>
      <c r="S914" s="20">
        <v>187</v>
      </c>
      <c r="T914" s="2">
        <v>0</v>
      </c>
      <c r="U914" s="2">
        <v>23</v>
      </c>
      <c r="V914" s="2">
        <v>46</v>
      </c>
      <c r="W914" s="2">
        <v>31</v>
      </c>
      <c r="X914" s="2">
        <v>43</v>
      </c>
      <c r="Y914" s="2">
        <v>28</v>
      </c>
      <c r="Z914" s="2">
        <v>16</v>
      </c>
    </row>
    <row r="915" spans="1:26">
      <c r="A915" s="7">
        <f>MAX($A$1:$A914)+1</f>
        <v>914</v>
      </c>
      <c r="B915" s="27" t="s">
        <v>269</v>
      </c>
      <c r="C915" s="2" t="s">
        <v>409</v>
      </c>
      <c r="D915" s="2" t="s">
        <v>35</v>
      </c>
      <c r="E915" s="29" t="s">
        <v>382</v>
      </c>
      <c r="F915" s="4">
        <v>48.838594999999998</v>
      </c>
      <c r="G915" s="18">
        <v>-125.135015</v>
      </c>
      <c r="H915" s="5" t="s">
        <v>12</v>
      </c>
      <c r="I915" s="2">
        <v>4</v>
      </c>
      <c r="J915" s="2">
        <v>180</v>
      </c>
      <c r="K915" s="6">
        <v>0.55555555555555558</v>
      </c>
      <c r="L915" s="2" t="s">
        <v>270</v>
      </c>
      <c r="M915" s="2">
        <v>5.5</v>
      </c>
      <c r="N915" s="2">
        <v>2</v>
      </c>
      <c r="O915" s="2">
        <v>2</v>
      </c>
      <c r="P915" s="2" t="s">
        <v>244</v>
      </c>
      <c r="Q915" s="7" t="s">
        <v>65</v>
      </c>
      <c r="R915" s="4" t="s">
        <v>307</v>
      </c>
      <c r="S915" s="20">
        <v>43</v>
      </c>
      <c r="T915" s="2">
        <v>43</v>
      </c>
    </row>
    <row r="916" spans="1:26">
      <c r="A916" s="7">
        <f>MAX($A$1:$A915)+1</f>
        <v>915</v>
      </c>
      <c r="B916" s="27" t="s">
        <v>269</v>
      </c>
      <c r="C916" s="2" t="s">
        <v>409</v>
      </c>
      <c r="D916" s="2" t="s">
        <v>35</v>
      </c>
      <c r="E916" s="29" t="s">
        <v>382</v>
      </c>
      <c r="F916" s="4">
        <v>48.838594999999998</v>
      </c>
      <c r="G916" s="18">
        <v>-125.135015</v>
      </c>
      <c r="H916" s="5" t="s">
        <v>12</v>
      </c>
      <c r="I916" s="2">
        <v>4</v>
      </c>
      <c r="J916" s="2">
        <v>180</v>
      </c>
      <c r="K916" s="6">
        <v>0.55555555555555558</v>
      </c>
      <c r="L916" s="2" t="s">
        <v>270</v>
      </c>
      <c r="M916" s="2">
        <v>5.5</v>
      </c>
      <c r="N916" s="2">
        <v>2</v>
      </c>
      <c r="O916" s="2">
        <v>2</v>
      </c>
      <c r="P916" s="2" t="s">
        <v>373</v>
      </c>
      <c r="Q916" s="7" t="s">
        <v>131</v>
      </c>
      <c r="R916" s="4" t="s">
        <v>374</v>
      </c>
      <c r="S916" s="20">
        <v>2</v>
      </c>
      <c r="T916" s="2">
        <v>2</v>
      </c>
    </row>
    <row r="917" spans="1:26">
      <c r="A917" s="7">
        <f>MAX($A$1:$A916)+1</f>
        <v>916</v>
      </c>
      <c r="B917" s="27" t="s">
        <v>269</v>
      </c>
      <c r="C917" s="2" t="s">
        <v>409</v>
      </c>
      <c r="D917" s="2" t="s">
        <v>35</v>
      </c>
      <c r="E917" s="29" t="s">
        <v>382</v>
      </c>
      <c r="F917" s="4">
        <v>48.838594999999998</v>
      </c>
      <c r="G917" s="18">
        <v>-125.135015</v>
      </c>
      <c r="H917" s="5" t="s">
        <v>12</v>
      </c>
      <c r="I917" s="2">
        <v>4</v>
      </c>
      <c r="J917" s="2">
        <v>180</v>
      </c>
      <c r="K917" s="6">
        <v>0.55555555555555558</v>
      </c>
      <c r="L917" s="2" t="s">
        <v>270</v>
      </c>
      <c r="M917" s="2">
        <v>5.5</v>
      </c>
      <c r="N917" s="2">
        <v>2</v>
      </c>
      <c r="O917" s="2">
        <v>2</v>
      </c>
      <c r="P917" s="2" t="s">
        <v>331</v>
      </c>
      <c r="Q917" s="7" t="s">
        <v>67</v>
      </c>
      <c r="R917" s="4" t="s">
        <v>332</v>
      </c>
      <c r="S917" s="20">
        <v>6</v>
      </c>
      <c r="T917" s="2">
        <v>6</v>
      </c>
    </row>
    <row r="918" spans="1:26">
      <c r="A918" s="7">
        <f>MAX($A$1:$A917)+1</f>
        <v>917</v>
      </c>
      <c r="B918" s="27" t="s">
        <v>269</v>
      </c>
      <c r="C918" s="2" t="s">
        <v>409</v>
      </c>
      <c r="D918" s="2" t="s">
        <v>35</v>
      </c>
      <c r="E918" s="29" t="s">
        <v>382</v>
      </c>
      <c r="F918" s="4">
        <v>48.838594999999998</v>
      </c>
      <c r="G918" s="18">
        <v>-125.135015</v>
      </c>
      <c r="H918" s="5" t="s">
        <v>12</v>
      </c>
      <c r="I918" s="2">
        <v>4</v>
      </c>
      <c r="J918" s="2">
        <v>180</v>
      </c>
      <c r="K918" s="6">
        <v>0.55555555555555558</v>
      </c>
      <c r="L918" s="2" t="s">
        <v>270</v>
      </c>
      <c r="M918" s="2">
        <v>5.5</v>
      </c>
      <c r="N918" s="2">
        <v>2</v>
      </c>
      <c r="O918" s="2">
        <v>2</v>
      </c>
      <c r="P918" s="2" t="s">
        <v>239</v>
      </c>
      <c r="Q918" s="7" t="s">
        <v>80</v>
      </c>
      <c r="R918" s="4" t="s">
        <v>300</v>
      </c>
      <c r="S918" s="20">
        <v>12</v>
      </c>
      <c r="T918" s="2">
        <v>12</v>
      </c>
    </row>
    <row r="919" spans="1:26">
      <c r="A919" s="7">
        <f>MAX($A$1:$A918)+1</f>
        <v>918</v>
      </c>
      <c r="B919" s="27" t="s">
        <v>269</v>
      </c>
      <c r="C919" s="2" t="s">
        <v>409</v>
      </c>
      <c r="D919" s="2" t="s">
        <v>35</v>
      </c>
      <c r="E919" s="29" t="s">
        <v>382</v>
      </c>
      <c r="F919" s="4">
        <v>48.838594999999998</v>
      </c>
      <c r="G919" s="18">
        <v>-125.135015</v>
      </c>
      <c r="H919" s="5" t="s">
        <v>12</v>
      </c>
      <c r="I919" s="2">
        <v>4</v>
      </c>
      <c r="J919" s="2">
        <v>180</v>
      </c>
      <c r="K919" s="6">
        <v>0.55555555555555558</v>
      </c>
      <c r="L919" s="2" t="s">
        <v>270</v>
      </c>
      <c r="M919" s="2">
        <v>5.5</v>
      </c>
      <c r="N919" s="2">
        <v>2</v>
      </c>
      <c r="O919" s="2">
        <v>2</v>
      </c>
      <c r="P919" s="2" t="s">
        <v>427</v>
      </c>
      <c r="Q919" s="7" t="s">
        <v>142</v>
      </c>
      <c r="R919" s="4" t="s">
        <v>428</v>
      </c>
      <c r="S919" s="20">
        <v>19</v>
      </c>
      <c r="T919" s="2">
        <v>19</v>
      </c>
    </row>
    <row r="920" spans="1:26">
      <c r="A920" s="7">
        <f>MAX($A$1:$A919)+1</f>
        <v>919</v>
      </c>
      <c r="B920" s="27" t="s">
        <v>269</v>
      </c>
      <c r="C920" s="2" t="s">
        <v>409</v>
      </c>
      <c r="D920" s="2" t="s">
        <v>35</v>
      </c>
      <c r="E920" s="29" t="s">
        <v>382</v>
      </c>
      <c r="F920" s="4">
        <v>48.838594999999998</v>
      </c>
      <c r="G920" s="18">
        <v>-125.135015</v>
      </c>
      <c r="H920" s="5" t="s">
        <v>12</v>
      </c>
      <c r="I920" s="2">
        <v>4</v>
      </c>
      <c r="J920" s="2">
        <v>180</v>
      </c>
      <c r="K920" s="6">
        <v>0.55555555555555558</v>
      </c>
      <c r="L920" s="2" t="s">
        <v>270</v>
      </c>
      <c r="M920" s="2">
        <v>5.5</v>
      </c>
      <c r="N920" s="2">
        <v>2</v>
      </c>
      <c r="O920" s="2">
        <v>2</v>
      </c>
      <c r="P920" s="2" t="s">
        <v>243</v>
      </c>
      <c r="Q920" s="7" t="s">
        <v>85</v>
      </c>
      <c r="R920" s="4" t="s">
        <v>312</v>
      </c>
      <c r="S920" s="20">
        <v>8</v>
      </c>
      <c r="T920" s="2">
        <v>8</v>
      </c>
    </row>
    <row r="921" spans="1:26">
      <c r="A921" s="7">
        <f>MAX($A$1:$A920)+1</f>
        <v>920</v>
      </c>
      <c r="B921" s="27" t="s">
        <v>269</v>
      </c>
      <c r="C921" s="2" t="s">
        <v>409</v>
      </c>
      <c r="D921" s="2" t="s">
        <v>35</v>
      </c>
      <c r="E921" s="29" t="s">
        <v>382</v>
      </c>
      <c r="F921" s="4">
        <v>48.838594999999998</v>
      </c>
      <c r="G921" s="18">
        <v>-125.135015</v>
      </c>
      <c r="H921" s="5" t="s">
        <v>12</v>
      </c>
      <c r="I921" s="2">
        <v>4</v>
      </c>
      <c r="J921" s="2">
        <v>180</v>
      </c>
      <c r="K921" s="6">
        <v>0.55555555555555558</v>
      </c>
      <c r="L921" s="2" t="s">
        <v>270</v>
      </c>
      <c r="M921" s="2">
        <v>5.5</v>
      </c>
      <c r="N921" s="2">
        <v>2</v>
      </c>
      <c r="O921" s="2">
        <v>2</v>
      </c>
      <c r="P921" s="2" t="s">
        <v>238</v>
      </c>
      <c r="Q921" s="7" t="s">
        <v>69</v>
      </c>
      <c r="R921" s="4" t="s">
        <v>313</v>
      </c>
      <c r="S921" s="20">
        <v>8</v>
      </c>
      <c r="T921" s="2">
        <v>8</v>
      </c>
    </row>
    <row r="922" spans="1:26">
      <c r="A922" s="7">
        <f>MAX($A$1:$A921)+1</f>
        <v>921</v>
      </c>
      <c r="B922" s="27" t="s">
        <v>269</v>
      </c>
      <c r="C922" s="2" t="s">
        <v>409</v>
      </c>
      <c r="D922" s="2" t="s">
        <v>35</v>
      </c>
      <c r="E922" s="29" t="s">
        <v>382</v>
      </c>
      <c r="F922" s="4">
        <v>48.838594999999998</v>
      </c>
      <c r="G922" s="18">
        <v>-125.135015</v>
      </c>
      <c r="H922" s="5" t="s">
        <v>12</v>
      </c>
      <c r="I922" s="2">
        <v>4</v>
      </c>
      <c r="J922" s="2">
        <v>180</v>
      </c>
      <c r="K922" s="6">
        <v>0.55555555555555558</v>
      </c>
      <c r="L922" s="2" t="s">
        <v>270</v>
      </c>
      <c r="M922" s="2">
        <v>5.5</v>
      </c>
      <c r="N922" s="2">
        <v>2</v>
      </c>
      <c r="O922" s="2">
        <v>2</v>
      </c>
      <c r="P922" s="2" t="s">
        <v>247</v>
      </c>
      <c r="Q922" s="7" t="s">
        <v>64</v>
      </c>
      <c r="R922" s="4" t="s">
        <v>293</v>
      </c>
      <c r="S922" s="20">
        <v>7</v>
      </c>
      <c r="T922" s="2">
        <v>7</v>
      </c>
    </row>
    <row r="923" spans="1:26">
      <c r="A923" s="7">
        <f>MAX($A$1:$A922)+1</f>
        <v>922</v>
      </c>
      <c r="B923" s="27" t="s">
        <v>269</v>
      </c>
      <c r="C923" s="2" t="s">
        <v>409</v>
      </c>
      <c r="D923" s="2" t="s">
        <v>35</v>
      </c>
      <c r="E923" s="29" t="s">
        <v>382</v>
      </c>
      <c r="F923" s="4">
        <v>48.838594999999998</v>
      </c>
      <c r="G923" s="18">
        <v>-125.135015</v>
      </c>
      <c r="H923" s="5" t="s">
        <v>12</v>
      </c>
      <c r="I923" s="2">
        <v>4</v>
      </c>
      <c r="J923" s="2">
        <v>180</v>
      </c>
      <c r="K923" s="6">
        <v>0.55555555555555558</v>
      </c>
      <c r="L923" s="2" t="s">
        <v>270</v>
      </c>
      <c r="M923" s="2">
        <v>5.5</v>
      </c>
      <c r="N923" s="2">
        <v>2</v>
      </c>
      <c r="O923" s="2">
        <v>2</v>
      </c>
      <c r="P923" s="2" t="s">
        <v>350</v>
      </c>
      <c r="Q923" s="7" t="s">
        <v>83</v>
      </c>
      <c r="R923" s="4" t="s">
        <v>351</v>
      </c>
      <c r="S923" s="20">
        <v>3</v>
      </c>
      <c r="T923" s="2">
        <v>3</v>
      </c>
    </row>
    <row r="924" spans="1:26">
      <c r="A924" s="7">
        <f>MAX($A$1:$A923)+1</f>
        <v>923</v>
      </c>
      <c r="B924" s="27" t="s">
        <v>269</v>
      </c>
      <c r="C924" s="2" t="s">
        <v>409</v>
      </c>
      <c r="D924" s="2" t="s">
        <v>35</v>
      </c>
      <c r="E924" s="29" t="s">
        <v>382</v>
      </c>
      <c r="F924" s="4">
        <v>48.838594999999998</v>
      </c>
      <c r="G924" s="18">
        <v>-125.135015</v>
      </c>
      <c r="H924" s="5" t="s">
        <v>12</v>
      </c>
      <c r="I924" s="2">
        <v>4</v>
      </c>
      <c r="J924" s="2">
        <v>180</v>
      </c>
      <c r="K924" s="6">
        <v>0.55555555555555558</v>
      </c>
      <c r="L924" s="2" t="s">
        <v>270</v>
      </c>
      <c r="M924" s="2">
        <v>5.5</v>
      </c>
      <c r="N924" s="2">
        <v>2</v>
      </c>
      <c r="O924" s="2">
        <v>2</v>
      </c>
      <c r="P924" s="2" t="s">
        <v>419</v>
      </c>
      <c r="Q924" s="7" t="s">
        <v>139</v>
      </c>
      <c r="R924" s="4" t="s">
        <v>420</v>
      </c>
      <c r="S924" s="20">
        <v>2</v>
      </c>
      <c r="T924" s="2">
        <v>2</v>
      </c>
    </row>
    <row r="925" spans="1:26">
      <c r="A925" s="7">
        <f>MAX($A$1:$A924)+1</f>
        <v>924</v>
      </c>
      <c r="B925" s="27" t="s">
        <v>269</v>
      </c>
      <c r="C925" s="2" t="s">
        <v>409</v>
      </c>
      <c r="D925" s="2" t="s">
        <v>35</v>
      </c>
      <c r="E925" s="29" t="s">
        <v>382</v>
      </c>
      <c r="F925" s="4">
        <v>48.838594999999998</v>
      </c>
      <c r="G925" s="18">
        <v>-125.135015</v>
      </c>
      <c r="H925" s="5" t="s">
        <v>12</v>
      </c>
      <c r="I925" s="2">
        <v>4</v>
      </c>
      <c r="J925" s="2">
        <v>180</v>
      </c>
      <c r="K925" s="6">
        <v>0.55555555555555558</v>
      </c>
      <c r="L925" s="2" t="s">
        <v>270</v>
      </c>
      <c r="M925" s="2">
        <v>5.5</v>
      </c>
      <c r="N925" s="2">
        <v>2</v>
      </c>
      <c r="O925" s="2">
        <v>2</v>
      </c>
      <c r="P925" s="2" t="s">
        <v>249</v>
      </c>
      <c r="Q925" s="7" t="s">
        <v>90</v>
      </c>
      <c r="R925" s="4" t="s">
        <v>352</v>
      </c>
      <c r="S925" s="20">
        <v>2</v>
      </c>
      <c r="T925" s="2">
        <v>2</v>
      </c>
    </row>
    <row r="926" spans="1:26">
      <c r="A926" s="7">
        <f>MAX($A$1:$A925)+1</f>
        <v>925</v>
      </c>
      <c r="B926" s="27" t="s">
        <v>269</v>
      </c>
      <c r="C926" s="2" t="s">
        <v>409</v>
      </c>
      <c r="D926" s="2" t="s">
        <v>35</v>
      </c>
      <c r="E926" s="29" t="s">
        <v>382</v>
      </c>
      <c r="F926" s="4">
        <v>48.838594999999998</v>
      </c>
      <c r="G926" s="18">
        <v>-125.135015</v>
      </c>
      <c r="H926" s="5" t="s">
        <v>12</v>
      </c>
      <c r="I926" s="2">
        <v>4</v>
      </c>
      <c r="J926" s="2">
        <v>180</v>
      </c>
      <c r="K926" s="6">
        <v>0.55555555555555558</v>
      </c>
      <c r="L926" s="2" t="s">
        <v>270</v>
      </c>
      <c r="M926" s="2">
        <v>5.5</v>
      </c>
      <c r="N926" s="2">
        <v>2</v>
      </c>
      <c r="O926" s="2">
        <v>2</v>
      </c>
      <c r="P926" s="2" t="s">
        <v>333</v>
      </c>
      <c r="Q926" s="7" t="s">
        <v>102</v>
      </c>
      <c r="R926" s="4" t="s">
        <v>334</v>
      </c>
      <c r="S926" s="20">
        <v>1</v>
      </c>
      <c r="T926" s="2">
        <v>1</v>
      </c>
    </row>
    <row r="927" spans="1:26">
      <c r="A927" s="7">
        <f>MAX($A$1:$A926)+1</f>
        <v>926</v>
      </c>
      <c r="B927" s="27" t="s">
        <v>269</v>
      </c>
      <c r="C927" s="2" t="s">
        <v>409</v>
      </c>
      <c r="D927" s="2" t="s">
        <v>35</v>
      </c>
      <c r="E927" s="29" t="s">
        <v>382</v>
      </c>
      <c r="F927" s="4">
        <v>48.838594999999998</v>
      </c>
      <c r="G927" s="18">
        <v>-125.135015</v>
      </c>
      <c r="H927" s="5" t="s">
        <v>12</v>
      </c>
      <c r="I927" s="2">
        <v>4</v>
      </c>
      <c r="J927" s="2">
        <v>180</v>
      </c>
      <c r="K927" s="6">
        <v>0.55555555555555558</v>
      </c>
      <c r="L927" s="2" t="s">
        <v>270</v>
      </c>
      <c r="M927" s="2">
        <v>5.5</v>
      </c>
      <c r="N927" s="2">
        <v>2</v>
      </c>
      <c r="O927" s="2">
        <v>2</v>
      </c>
      <c r="P927" s="2" t="s">
        <v>236</v>
      </c>
      <c r="Q927" s="7" t="s">
        <v>44</v>
      </c>
      <c r="R927" s="4" t="s">
        <v>369</v>
      </c>
      <c r="S927" s="20">
        <v>1</v>
      </c>
      <c r="T927" s="2">
        <v>0</v>
      </c>
      <c r="X927" s="2">
        <v>1</v>
      </c>
    </row>
    <row r="928" spans="1:26">
      <c r="A928" s="7">
        <f>MAX($A$1:$A927)+1</f>
        <v>927</v>
      </c>
      <c r="B928" s="27" t="s">
        <v>269</v>
      </c>
      <c r="C928" s="2" t="s">
        <v>409</v>
      </c>
      <c r="D928" s="2" t="s">
        <v>35</v>
      </c>
      <c r="E928" s="29" t="s">
        <v>382</v>
      </c>
      <c r="F928" s="4">
        <v>48.838594999999998</v>
      </c>
      <c r="G928" s="18">
        <v>-125.135015</v>
      </c>
      <c r="H928" s="5" t="s">
        <v>12</v>
      </c>
      <c r="I928" s="2">
        <v>4</v>
      </c>
      <c r="J928" s="2">
        <v>180</v>
      </c>
      <c r="K928" s="6">
        <v>0.55555555555555558</v>
      </c>
      <c r="L928" s="2" t="s">
        <v>270</v>
      </c>
      <c r="M928" s="2">
        <v>5.5</v>
      </c>
      <c r="N928" s="2">
        <v>2</v>
      </c>
      <c r="O928" s="2">
        <v>2</v>
      </c>
      <c r="P928" s="2" t="s">
        <v>248</v>
      </c>
      <c r="Q928" s="7" t="s">
        <v>78</v>
      </c>
      <c r="R928" s="4" t="s">
        <v>349</v>
      </c>
      <c r="S928" s="20">
        <v>5</v>
      </c>
      <c r="T928" s="2">
        <v>0</v>
      </c>
      <c r="U928" s="2">
        <v>1</v>
      </c>
      <c r="V928" s="2">
        <v>1</v>
      </c>
      <c r="X928" s="2">
        <v>1</v>
      </c>
      <c r="Y928" s="2">
        <v>2</v>
      </c>
    </row>
    <row r="929" spans="1:28">
      <c r="A929" s="7">
        <f>MAX($A$1:$A928)+1</f>
        <v>928</v>
      </c>
      <c r="B929" s="27" t="s">
        <v>269</v>
      </c>
      <c r="C929" s="2" t="s">
        <v>409</v>
      </c>
      <c r="D929" s="2" t="s">
        <v>35</v>
      </c>
      <c r="E929" s="29" t="s">
        <v>382</v>
      </c>
      <c r="F929" s="4">
        <v>48.838594999999998</v>
      </c>
      <c r="G929" s="18">
        <v>-125.135015</v>
      </c>
      <c r="H929" s="5" t="s">
        <v>12</v>
      </c>
      <c r="I929" s="2">
        <v>4</v>
      </c>
      <c r="J929" s="2">
        <v>180</v>
      </c>
      <c r="K929" s="6">
        <v>0.55555555555555558</v>
      </c>
      <c r="L929" s="2" t="s">
        <v>270</v>
      </c>
      <c r="M929" s="2">
        <v>5.5</v>
      </c>
      <c r="N929" s="2">
        <v>2</v>
      </c>
      <c r="O929" s="2">
        <v>2</v>
      </c>
      <c r="P929" s="2" t="s">
        <v>386</v>
      </c>
      <c r="Q929" s="7" t="s">
        <v>94</v>
      </c>
      <c r="R929" s="4" t="s">
        <v>387</v>
      </c>
      <c r="S929" s="20">
        <v>5</v>
      </c>
      <c r="T929" s="2">
        <v>0</v>
      </c>
      <c r="U929" s="2">
        <v>2</v>
      </c>
      <c r="X929" s="2">
        <v>1</v>
      </c>
      <c r="Y929" s="2">
        <v>2</v>
      </c>
    </row>
    <row r="930" spans="1:28">
      <c r="A930" s="7">
        <f>MAX($A$1:$A929)+1</f>
        <v>929</v>
      </c>
      <c r="B930" s="27" t="s">
        <v>269</v>
      </c>
      <c r="C930" s="2" t="s">
        <v>409</v>
      </c>
      <c r="D930" s="2" t="s">
        <v>35</v>
      </c>
      <c r="E930" s="29" t="s">
        <v>382</v>
      </c>
      <c r="F930" s="4">
        <v>48.838594999999998</v>
      </c>
      <c r="G930" s="18">
        <v>-125.135015</v>
      </c>
      <c r="H930" s="5" t="s">
        <v>12</v>
      </c>
      <c r="I930" s="2">
        <v>4</v>
      </c>
      <c r="J930" s="2">
        <v>180</v>
      </c>
      <c r="K930" s="6">
        <v>0.55555555555555558</v>
      </c>
      <c r="L930" s="2" t="s">
        <v>270</v>
      </c>
      <c r="M930" s="2">
        <v>5.5</v>
      </c>
      <c r="N930" s="2">
        <v>2</v>
      </c>
      <c r="O930" s="2">
        <v>2</v>
      </c>
      <c r="P930" s="2" t="s">
        <v>251</v>
      </c>
      <c r="Q930" s="7" t="s">
        <v>73</v>
      </c>
      <c r="R930" s="4" t="s">
        <v>325</v>
      </c>
      <c r="S930" s="20">
        <v>4</v>
      </c>
      <c r="T930" s="2">
        <v>4</v>
      </c>
    </row>
    <row r="931" spans="1:28">
      <c r="A931" s="7">
        <f>MAX($A$1:$A930)+1</f>
        <v>930</v>
      </c>
      <c r="B931" s="27" t="s">
        <v>269</v>
      </c>
      <c r="C931" s="2" t="s">
        <v>409</v>
      </c>
      <c r="D931" s="2" t="s">
        <v>35</v>
      </c>
      <c r="E931" s="29" t="s">
        <v>382</v>
      </c>
      <c r="F931" s="4">
        <v>48.838594999999998</v>
      </c>
      <c r="G931" s="18">
        <v>-125.135015</v>
      </c>
      <c r="H931" s="5" t="s">
        <v>12</v>
      </c>
      <c r="I931" s="2">
        <v>4</v>
      </c>
      <c r="J931" s="2">
        <v>180</v>
      </c>
      <c r="K931" s="6">
        <v>0.55555555555555558</v>
      </c>
      <c r="L931" s="2" t="s">
        <v>270</v>
      </c>
      <c r="M931" s="2">
        <v>5.5</v>
      </c>
      <c r="N931" s="2">
        <v>2</v>
      </c>
      <c r="O931" s="2">
        <v>2</v>
      </c>
      <c r="P931" s="2" t="s">
        <v>360</v>
      </c>
      <c r="Q931" s="7" t="s">
        <v>129</v>
      </c>
      <c r="R931" s="4" t="s">
        <v>361</v>
      </c>
      <c r="S931" s="20">
        <v>3</v>
      </c>
      <c r="T931" s="2">
        <v>3</v>
      </c>
    </row>
    <row r="932" spans="1:28">
      <c r="A932" s="7">
        <f>MAX($A$1:$A931)+1</f>
        <v>931</v>
      </c>
      <c r="B932" s="27" t="s">
        <v>269</v>
      </c>
      <c r="C932" s="2" t="s">
        <v>409</v>
      </c>
      <c r="D932" s="2" t="s">
        <v>35</v>
      </c>
      <c r="E932" s="29" t="s">
        <v>382</v>
      </c>
      <c r="F932" s="4">
        <v>48.838594999999998</v>
      </c>
      <c r="G932" s="18">
        <v>-125.135015</v>
      </c>
      <c r="H932" s="5" t="s">
        <v>12</v>
      </c>
      <c r="I932" s="2">
        <v>4</v>
      </c>
      <c r="J932" s="2">
        <v>180</v>
      </c>
      <c r="K932" s="6">
        <v>0.55555555555555558</v>
      </c>
      <c r="L932" s="2" t="s">
        <v>270</v>
      </c>
      <c r="M932" s="2">
        <v>5.5</v>
      </c>
      <c r="N932" s="2">
        <v>2</v>
      </c>
      <c r="O932" s="2">
        <v>2</v>
      </c>
      <c r="P932" s="2" t="s">
        <v>271</v>
      </c>
      <c r="Q932" s="7" t="s">
        <v>84</v>
      </c>
      <c r="R932" s="4" t="s">
        <v>406</v>
      </c>
      <c r="S932" s="20">
        <v>1</v>
      </c>
      <c r="T932" s="2">
        <v>1</v>
      </c>
    </row>
    <row r="933" spans="1:28">
      <c r="A933" s="7">
        <f>MAX($A$1:$A932)+1</f>
        <v>932</v>
      </c>
      <c r="B933" s="27" t="s">
        <v>269</v>
      </c>
      <c r="C933" s="2" t="s">
        <v>409</v>
      </c>
      <c r="D933" s="2" t="s">
        <v>35</v>
      </c>
      <c r="E933" s="29" t="s">
        <v>382</v>
      </c>
      <c r="F933" s="4">
        <v>48.838594999999998</v>
      </c>
      <c r="G933" s="18">
        <v>-125.135015</v>
      </c>
      <c r="H933" s="5" t="s">
        <v>12</v>
      </c>
      <c r="I933" s="2">
        <v>4</v>
      </c>
      <c r="J933" s="2">
        <v>180</v>
      </c>
      <c r="K933" s="6">
        <v>0.55555555555555558</v>
      </c>
      <c r="L933" s="2" t="s">
        <v>270</v>
      </c>
      <c r="M933" s="2">
        <v>5.5</v>
      </c>
      <c r="N933" s="2">
        <v>2</v>
      </c>
      <c r="O933" s="2">
        <v>2</v>
      </c>
      <c r="P933" s="2" t="s">
        <v>454</v>
      </c>
      <c r="Q933" s="7" t="s">
        <v>137</v>
      </c>
      <c r="R933" s="4" t="s">
        <v>408</v>
      </c>
      <c r="S933" s="20">
        <v>1</v>
      </c>
      <c r="T933" s="2">
        <v>1</v>
      </c>
    </row>
    <row r="934" spans="1:28">
      <c r="A934" s="7">
        <f>MAX($A$1:$A933)+1</f>
        <v>933</v>
      </c>
      <c r="B934" s="27" t="s">
        <v>269</v>
      </c>
      <c r="C934" s="2" t="s">
        <v>409</v>
      </c>
      <c r="D934" s="2" t="s">
        <v>35</v>
      </c>
      <c r="E934" s="29" t="s">
        <v>382</v>
      </c>
      <c r="F934" s="4">
        <v>48.838594999999998</v>
      </c>
      <c r="G934" s="18">
        <v>-125.135015</v>
      </c>
      <c r="H934" s="5" t="s">
        <v>12</v>
      </c>
      <c r="I934" s="2">
        <v>4</v>
      </c>
      <c r="J934" s="2">
        <v>180</v>
      </c>
      <c r="K934" s="6">
        <v>0.55555555555555558</v>
      </c>
      <c r="L934" s="2" t="s">
        <v>270</v>
      </c>
      <c r="M934" s="2">
        <v>5.5</v>
      </c>
      <c r="N934" s="2">
        <v>2</v>
      </c>
      <c r="O934" s="2">
        <v>2</v>
      </c>
      <c r="P934" s="2" t="s">
        <v>204</v>
      </c>
      <c r="Q934" s="7" t="s">
        <v>87</v>
      </c>
      <c r="R934" s="4" t="s">
        <v>455</v>
      </c>
      <c r="S934" s="20">
        <v>1</v>
      </c>
      <c r="T934" s="2">
        <v>1</v>
      </c>
    </row>
    <row r="935" spans="1:28">
      <c r="A935" s="7">
        <f>MAX($A$1:$A934)+1</f>
        <v>934</v>
      </c>
      <c r="B935" s="2" t="s">
        <v>171</v>
      </c>
      <c r="C935" s="2" t="s">
        <v>504</v>
      </c>
      <c r="D935" s="2" t="s">
        <v>35</v>
      </c>
      <c r="E935" s="29" t="s">
        <v>382</v>
      </c>
      <c r="F935" s="4">
        <v>48.838594999999998</v>
      </c>
      <c r="G935" s="18">
        <v>-125.135015</v>
      </c>
      <c r="H935" s="5" t="s">
        <v>12</v>
      </c>
      <c r="I935" s="2">
        <v>4</v>
      </c>
      <c r="J935" s="2">
        <v>330</v>
      </c>
      <c r="K935" s="6">
        <v>0.55555555555555558</v>
      </c>
      <c r="L935" s="2" t="s">
        <v>172</v>
      </c>
      <c r="M935" s="2">
        <v>5.7</v>
      </c>
      <c r="N935" s="2">
        <v>1</v>
      </c>
      <c r="O935" s="2">
        <v>2</v>
      </c>
      <c r="P935" s="2" t="s">
        <v>231</v>
      </c>
      <c r="Q935" s="7" t="s">
        <v>48</v>
      </c>
      <c r="R935" s="4" t="s">
        <v>365</v>
      </c>
      <c r="S935" s="20">
        <v>29</v>
      </c>
      <c r="T935" s="2">
        <v>0</v>
      </c>
      <c r="X935" s="2">
        <v>2</v>
      </c>
      <c r="Y935" s="2">
        <v>9</v>
      </c>
      <c r="Z935" s="2">
        <v>14</v>
      </c>
      <c r="AA935" s="2">
        <v>4</v>
      </c>
    </row>
    <row r="936" spans="1:28">
      <c r="A936" s="7">
        <f>MAX($A$1:$A935)+1</f>
        <v>935</v>
      </c>
      <c r="B936" s="2" t="s">
        <v>171</v>
      </c>
      <c r="C936" s="2" t="s">
        <v>504</v>
      </c>
      <c r="D936" s="2" t="s">
        <v>35</v>
      </c>
      <c r="E936" s="7" t="s">
        <v>382</v>
      </c>
      <c r="F936" s="4">
        <v>48.838594999999998</v>
      </c>
      <c r="G936" s="18">
        <v>-125.135015</v>
      </c>
      <c r="H936" s="5" t="s">
        <v>12</v>
      </c>
      <c r="I936" s="2">
        <v>4</v>
      </c>
      <c r="J936" s="2">
        <v>330</v>
      </c>
      <c r="K936" s="6">
        <v>0.55555555555555558</v>
      </c>
      <c r="L936" s="2" t="s">
        <v>172</v>
      </c>
      <c r="M936" s="2">
        <v>5.7</v>
      </c>
      <c r="N936" s="2">
        <v>1</v>
      </c>
      <c r="O936" s="2">
        <v>2</v>
      </c>
      <c r="P936" s="2" t="s">
        <v>234</v>
      </c>
      <c r="Q936" s="7" t="s">
        <v>45</v>
      </c>
      <c r="R936" s="4" t="s">
        <v>353</v>
      </c>
      <c r="S936" s="20">
        <v>7</v>
      </c>
      <c r="T936" s="2">
        <v>0</v>
      </c>
      <c r="X936" s="2">
        <v>2</v>
      </c>
      <c r="Y936" s="2">
        <v>4</v>
      </c>
      <c r="Z936" s="2">
        <v>1</v>
      </c>
    </row>
    <row r="937" spans="1:28">
      <c r="A937" s="7">
        <f>MAX($A$1:$A936)+1</f>
        <v>936</v>
      </c>
      <c r="B937" s="2" t="s">
        <v>171</v>
      </c>
      <c r="C937" s="2" t="s">
        <v>504</v>
      </c>
      <c r="D937" s="2" t="s">
        <v>35</v>
      </c>
      <c r="E937" s="7" t="s">
        <v>382</v>
      </c>
      <c r="F937" s="4">
        <v>48.838594999999998</v>
      </c>
      <c r="G937" s="18">
        <v>-125.135015</v>
      </c>
      <c r="H937" s="5" t="s">
        <v>12</v>
      </c>
      <c r="I937" s="2">
        <v>4</v>
      </c>
      <c r="J937" s="2">
        <v>330</v>
      </c>
      <c r="K937" s="6">
        <v>0.55555555555555558</v>
      </c>
      <c r="L937" s="2" t="s">
        <v>172</v>
      </c>
      <c r="M937" s="2">
        <v>5.7</v>
      </c>
      <c r="N937" s="2">
        <v>1</v>
      </c>
      <c r="O937" s="2">
        <v>2</v>
      </c>
      <c r="P937" s="2" t="s">
        <v>233</v>
      </c>
      <c r="Q937" s="7" t="s">
        <v>53</v>
      </c>
      <c r="R937" s="4" t="s">
        <v>379</v>
      </c>
      <c r="S937" s="20">
        <v>11</v>
      </c>
      <c r="T937" s="2">
        <v>0</v>
      </c>
      <c r="X937" s="2">
        <v>2</v>
      </c>
      <c r="Y937" s="2">
        <v>8</v>
      </c>
      <c r="Z937" s="2">
        <v>1</v>
      </c>
    </row>
    <row r="938" spans="1:28">
      <c r="A938" s="7">
        <f>MAX($A$1:$A937)+1</f>
        <v>937</v>
      </c>
      <c r="B938" s="2" t="s">
        <v>171</v>
      </c>
      <c r="C938" s="2" t="s">
        <v>504</v>
      </c>
      <c r="D938" s="2" t="s">
        <v>35</v>
      </c>
      <c r="E938" s="7" t="s">
        <v>382</v>
      </c>
      <c r="F938" s="4">
        <v>48.838594999999998</v>
      </c>
      <c r="G938" s="18">
        <v>-125.135015</v>
      </c>
      <c r="H938" s="5" t="s">
        <v>12</v>
      </c>
      <c r="I938" s="2">
        <v>4</v>
      </c>
      <c r="J938" s="2">
        <v>330</v>
      </c>
      <c r="K938" s="6">
        <v>0.55555555555555558</v>
      </c>
      <c r="L938" s="2" t="s">
        <v>172</v>
      </c>
      <c r="M938" s="2">
        <v>5.7</v>
      </c>
      <c r="N938" s="2">
        <v>1</v>
      </c>
      <c r="O938" s="2">
        <v>2</v>
      </c>
      <c r="P938" s="2" t="s">
        <v>230</v>
      </c>
      <c r="Q938" s="7" t="s">
        <v>42</v>
      </c>
      <c r="R938" s="4" t="s">
        <v>321</v>
      </c>
      <c r="S938" s="20">
        <v>10</v>
      </c>
      <c r="T938" s="2">
        <v>0</v>
      </c>
      <c r="V938" s="2">
        <v>3</v>
      </c>
      <c r="W938" s="2">
        <v>5</v>
      </c>
      <c r="X938" s="2">
        <v>2</v>
      </c>
    </row>
    <row r="939" spans="1:28">
      <c r="A939" s="7">
        <f>MAX($A$1:$A938)+1</f>
        <v>938</v>
      </c>
      <c r="B939" s="2" t="s">
        <v>171</v>
      </c>
      <c r="C939" s="2" t="s">
        <v>504</v>
      </c>
      <c r="D939" s="2" t="s">
        <v>35</v>
      </c>
      <c r="E939" s="7" t="s">
        <v>382</v>
      </c>
      <c r="F939" s="4">
        <v>48.838594999999998</v>
      </c>
      <c r="G939" s="18">
        <v>-125.135015</v>
      </c>
      <c r="H939" s="5" t="s">
        <v>12</v>
      </c>
      <c r="I939" s="2">
        <v>4</v>
      </c>
      <c r="J939" s="2">
        <v>330</v>
      </c>
      <c r="K939" s="6">
        <v>0.55555555555555558</v>
      </c>
      <c r="L939" s="2" t="s">
        <v>172</v>
      </c>
      <c r="M939" s="2">
        <v>5.7</v>
      </c>
      <c r="N939" s="2">
        <v>1</v>
      </c>
      <c r="O939" s="2">
        <v>2</v>
      </c>
      <c r="P939" s="2" t="s">
        <v>232</v>
      </c>
      <c r="Q939" s="7" t="s">
        <v>43</v>
      </c>
      <c r="R939" s="4" t="s">
        <v>324</v>
      </c>
      <c r="S939" s="20">
        <v>11</v>
      </c>
      <c r="T939" s="2">
        <v>0</v>
      </c>
      <c r="Y939" s="2">
        <v>3</v>
      </c>
      <c r="Z939" s="2">
        <v>2</v>
      </c>
      <c r="AA939" s="2">
        <v>3</v>
      </c>
      <c r="AB939" s="2">
        <v>3</v>
      </c>
    </row>
    <row r="940" spans="1:28">
      <c r="A940" s="7">
        <f>MAX($A$1:$A939)+1</f>
        <v>939</v>
      </c>
      <c r="B940" s="2" t="s">
        <v>171</v>
      </c>
      <c r="C940" s="2" t="s">
        <v>504</v>
      </c>
      <c r="D940" s="2" t="s">
        <v>35</v>
      </c>
      <c r="E940" s="7" t="s">
        <v>382</v>
      </c>
      <c r="F940" s="4">
        <v>48.838594999999998</v>
      </c>
      <c r="G940" s="18">
        <v>-125.135015</v>
      </c>
      <c r="H940" s="5" t="s">
        <v>12</v>
      </c>
      <c r="I940" s="2">
        <v>4</v>
      </c>
      <c r="J940" s="2">
        <v>330</v>
      </c>
      <c r="K940" s="6">
        <v>0.55555555555555558</v>
      </c>
      <c r="L940" s="2" t="s">
        <v>172</v>
      </c>
      <c r="M940" s="2">
        <v>5.7</v>
      </c>
      <c r="N940" s="2">
        <v>1</v>
      </c>
      <c r="O940" s="2">
        <v>2</v>
      </c>
      <c r="P940" s="2" t="s">
        <v>235</v>
      </c>
      <c r="Q940" s="7" t="s">
        <v>54</v>
      </c>
      <c r="R940" s="4" t="s">
        <v>364</v>
      </c>
      <c r="S940" s="20">
        <v>2</v>
      </c>
      <c r="T940" s="2">
        <v>0</v>
      </c>
      <c r="Y940" s="2">
        <v>1</v>
      </c>
      <c r="Z940" s="2">
        <v>1</v>
      </c>
    </row>
    <row r="941" spans="1:28">
      <c r="A941" s="7">
        <f>MAX($A$1:$A940)+1</f>
        <v>940</v>
      </c>
      <c r="B941" s="2" t="s">
        <v>171</v>
      </c>
      <c r="C941" s="2" t="s">
        <v>504</v>
      </c>
      <c r="D941" s="2" t="s">
        <v>35</v>
      </c>
      <c r="E941" s="7" t="s">
        <v>382</v>
      </c>
      <c r="F941" s="4">
        <v>48.838594999999998</v>
      </c>
      <c r="G941" s="18">
        <v>-125.135015</v>
      </c>
      <c r="H941" s="5" t="s">
        <v>12</v>
      </c>
      <c r="I941" s="2">
        <v>4</v>
      </c>
      <c r="J941" s="2">
        <v>330</v>
      </c>
      <c r="K941" s="6">
        <v>0.55555555555555558</v>
      </c>
      <c r="L941" s="2" t="s">
        <v>172</v>
      </c>
      <c r="M941" s="2">
        <v>5.7</v>
      </c>
      <c r="N941" s="2">
        <v>2</v>
      </c>
      <c r="O941" s="2">
        <v>2</v>
      </c>
      <c r="P941" s="2" t="s">
        <v>230</v>
      </c>
      <c r="Q941" s="7" t="s">
        <v>42</v>
      </c>
      <c r="R941" s="4" t="s">
        <v>321</v>
      </c>
      <c r="S941" s="20">
        <v>67</v>
      </c>
      <c r="T941" s="2">
        <v>0</v>
      </c>
      <c r="U941" s="2">
        <v>9</v>
      </c>
      <c r="V941" s="2">
        <v>18</v>
      </c>
      <c r="W941" s="2">
        <v>25</v>
      </c>
      <c r="X941" s="2">
        <v>13</v>
      </c>
      <c r="Y941" s="2">
        <v>2</v>
      </c>
    </row>
    <row r="942" spans="1:28">
      <c r="A942" s="7">
        <f>MAX($A$1:$A941)+1</f>
        <v>941</v>
      </c>
      <c r="B942" s="2" t="s">
        <v>171</v>
      </c>
      <c r="C942" s="2" t="s">
        <v>504</v>
      </c>
      <c r="D942" s="2" t="s">
        <v>35</v>
      </c>
      <c r="E942" s="7" t="s">
        <v>382</v>
      </c>
      <c r="F942" s="4">
        <v>48.838594999999998</v>
      </c>
      <c r="G942" s="18">
        <v>-125.135015</v>
      </c>
      <c r="H942" s="5" t="s">
        <v>12</v>
      </c>
      <c r="I942" s="2">
        <v>4</v>
      </c>
      <c r="J942" s="2">
        <v>330</v>
      </c>
      <c r="K942" s="6">
        <v>0.55555555555555558</v>
      </c>
      <c r="L942" s="2" t="s">
        <v>172</v>
      </c>
      <c r="M942" s="2">
        <v>5.7</v>
      </c>
      <c r="N942" s="2">
        <v>2</v>
      </c>
      <c r="O942" s="2">
        <v>2</v>
      </c>
      <c r="P942" s="2" t="s">
        <v>244</v>
      </c>
      <c r="Q942" s="7" t="s">
        <v>65</v>
      </c>
      <c r="R942" s="4" t="s">
        <v>307</v>
      </c>
      <c r="S942" s="20">
        <v>31</v>
      </c>
      <c r="T942" s="2">
        <v>31</v>
      </c>
    </row>
    <row r="943" spans="1:28">
      <c r="A943" s="7">
        <f>MAX($A$1:$A942)+1</f>
        <v>942</v>
      </c>
      <c r="B943" s="2" t="s">
        <v>171</v>
      </c>
      <c r="C943" s="2" t="s">
        <v>504</v>
      </c>
      <c r="D943" s="2" t="s">
        <v>35</v>
      </c>
      <c r="E943" s="7" t="s">
        <v>382</v>
      </c>
      <c r="F943" s="4">
        <v>48.838594999999998</v>
      </c>
      <c r="G943" s="18">
        <v>-125.135015</v>
      </c>
      <c r="H943" s="5" t="s">
        <v>12</v>
      </c>
      <c r="I943" s="2">
        <v>4</v>
      </c>
      <c r="J943" s="2">
        <v>330</v>
      </c>
      <c r="K943" s="6">
        <v>0.55555555555555558</v>
      </c>
      <c r="L943" s="2" t="s">
        <v>172</v>
      </c>
      <c r="M943" s="2">
        <v>5.7</v>
      </c>
      <c r="N943" s="2">
        <v>2</v>
      </c>
      <c r="O943" s="2">
        <v>2</v>
      </c>
      <c r="P943" s="2" t="s">
        <v>241</v>
      </c>
      <c r="Q943" s="7" t="s">
        <v>63</v>
      </c>
      <c r="R943" s="4" t="s">
        <v>294</v>
      </c>
      <c r="S943" s="20">
        <v>91</v>
      </c>
      <c r="T943" s="2">
        <v>91</v>
      </c>
    </row>
    <row r="944" spans="1:28">
      <c r="A944" s="7">
        <f>MAX($A$1:$A943)+1</f>
        <v>943</v>
      </c>
      <c r="B944" s="2" t="s">
        <v>171</v>
      </c>
      <c r="C944" s="2" t="s">
        <v>504</v>
      </c>
      <c r="D944" s="2" t="s">
        <v>35</v>
      </c>
      <c r="E944" s="7" t="s">
        <v>382</v>
      </c>
      <c r="F944" s="4">
        <v>48.838594999999998</v>
      </c>
      <c r="G944" s="18">
        <v>-125.135015</v>
      </c>
      <c r="H944" s="5" t="s">
        <v>12</v>
      </c>
      <c r="I944" s="2">
        <v>4</v>
      </c>
      <c r="J944" s="2">
        <v>330</v>
      </c>
      <c r="K944" s="6">
        <v>0.55555555555555558</v>
      </c>
      <c r="L944" s="2" t="s">
        <v>172</v>
      </c>
      <c r="M944" s="2">
        <v>5.7</v>
      </c>
      <c r="N944" s="2">
        <v>2</v>
      </c>
      <c r="O944" s="2">
        <v>2</v>
      </c>
      <c r="P944" s="2" t="s">
        <v>246</v>
      </c>
      <c r="Q944" s="7" t="s">
        <v>66</v>
      </c>
      <c r="R944" s="4" t="s">
        <v>318</v>
      </c>
      <c r="S944" s="20">
        <v>23</v>
      </c>
      <c r="T944" s="2">
        <v>0</v>
      </c>
      <c r="U944" s="2">
        <v>4</v>
      </c>
      <c r="V944" s="2">
        <v>7</v>
      </c>
      <c r="W944" s="2">
        <v>10</v>
      </c>
      <c r="X944" s="2">
        <v>2</v>
      </c>
    </row>
    <row r="945" spans="1:26">
      <c r="A945" s="7">
        <f>MAX($A$1:$A944)+1</f>
        <v>944</v>
      </c>
      <c r="B945" s="2" t="s">
        <v>171</v>
      </c>
      <c r="C945" s="2" t="s">
        <v>504</v>
      </c>
      <c r="D945" s="2" t="s">
        <v>35</v>
      </c>
      <c r="E945" s="7" t="s">
        <v>382</v>
      </c>
      <c r="F945" s="4">
        <v>48.838594999999998</v>
      </c>
      <c r="G945" s="18">
        <v>-125.135015</v>
      </c>
      <c r="H945" s="5" t="s">
        <v>12</v>
      </c>
      <c r="I945" s="2">
        <v>4</v>
      </c>
      <c r="J945" s="2">
        <v>330</v>
      </c>
      <c r="K945" s="6">
        <v>0.55555555555555558</v>
      </c>
      <c r="L945" s="2" t="s">
        <v>172</v>
      </c>
      <c r="M945" s="2">
        <v>5.7</v>
      </c>
      <c r="N945" s="2">
        <v>2</v>
      </c>
      <c r="O945" s="2">
        <v>2</v>
      </c>
      <c r="P945" s="2" t="s">
        <v>238</v>
      </c>
      <c r="Q945" s="7" t="s">
        <v>69</v>
      </c>
      <c r="R945" s="4" t="s">
        <v>313</v>
      </c>
      <c r="S945" s="20">
        <v>11</v>
      </c>
      <c r="T945" s="2">
        <v>11</v>
      </c>
    </row>
    <row r="946" spans="1:26">
      <c r="A946" s="7">
        <f>MAX($A$1:$A945)+1</f>
        <v>945</v>
      </c>
      <c r="B946" s="2" t="s">
        <v>171</v>
      </c>
      <c r="C946" s="2" t="s">
        <v>504</v>
      </c>
      <c r="D946" s="2" t="s">
        <v>35</v>
      </c>
      <c r="E946" s="7" t="s">
        <v>382</v>
      </c>
      <c r="F946" s="4">
        <v>48.838594999999998</v>
      </c>
      <c r="G946" s="18">
        <v>-125.135015</v>
      </c>
      <c r="H946" s="5" t="s">
        <v>12</v>
      </c>
      <c r="I946" s="2">
        <v>4</v>
      </c>
      <c r="J946" s="2">
        <v>330</v>
      </c>
      <c r="K946" s="6">
        <v>0.55555555555555558</v>
      </c>
      <c r="L946" s="2" t="s">
        <v>172</v>
      </c>
      <c r="M946" s="2">
        <v>5.7</v>
      </c>
      <c r="N946" s="2">
        <v>2</v>
      </c>
      <c r="O946" s="2">
        <v>2</v>
      </c>
      <c r="P946" s="2" t="s">
        <v>248</v>
      </c>
      <c r="Q946" s="7" t="s">
        <v>78</v>
      </c>
      <c r="R946" s="4" t="s">
        <v>349</v>
      </c>
      <c r="S946" s="20">
        <v>10</v>
      </c>
      <c r="T946" s="2">
        <v>0</v>
      </c>
      <c r="V946" s="2">
        <v>3</v>
      </c>
      <c r="W946" s="2">
        <v>1</v>
      </c>
      <c r="X946" s="2">
        <v>1</v>
      </c>
      <c r="Y946" s="2">
        <v>3</v>
      </c>
      <c r="Z946" s="2">
        <v>2</v>
      </c>
    </row>
    <row r="947" spans="1:26">
      <c r="A947" s="7">
        <f>MAX($A$1:$A946)+1</f>
        <v>946</v>
      </c>
      <c r="B947" s="2" t="s">
        <v>171</v>
      </c>
      <c r="C947" s="2" t="s">
        <v>504</v>
      </c>
      <c r="D947" s="2" t="s">
        <v>35</v>
      </c>
      <c r="E947" s="7" t="s">
        <v>382</v>
      </c>
      <c r="F947" s="4">
        <v>48.838594999999998</v>
      </c>
      <c r="G947" s="18">
        <v>-125.135015</v>
      </c>
      <c r="H947" s="5" t="s">
        <v>12</v>
      </c>
      <c r="I947" s="2">
        <v>4</v>
      </c>
      <c r="J947" s="2">
        <v>330</v>
      </c>
      <c r="K947" s="6">
        <v>0.55555555555555558</v>
      </c>
      <c r="L947" s="2" t="s">
        <v>172</v>
      </c>
      <c r="M947" s="2">
        <v>5.7</v>
      </c>
      <c r="N947" s="2">
        <v>2</v>
      </c>
      <c r="O947" s="2">
        <v>2</v>
      </c>
      <c r="P947" s="2" t="s">
        <v>247</v>
      </c>
      <c r="Q947" s="7" t="s">
        <v>64</v>
      </c>
      <c r="R947" s="4" t="s">
        <v>293</v>
      </c>
      <c r="S947" s="20">
        <v>7</v>
      </c>
      <c r="T947" s="2">
        <v>7</v>
      </c>
    </row>
    <row r="948" spans="1:26">
      <c r="A948" s="7">
        <f>MAX($A$1:$A947)+1</f>
        <v>947</v>
      </c>
      <c r="B948" s="2" t="s">
        <v>171</v>
      </c>
      <c r="C948" s="2" t="s">
        <v>504</v>
      </c>
      <c r="D948" s="2" t="s">
        <v>35</v>
      </c>
      <c r="E948" s="7" t="s">
        <v>382</v>
      </c>
      <c r="F948" s="4">
        <v>48.838594999999998</v>
      </c>
      <c r="G948" s="18">
        <v>-125.135015</v>
      </c>
      <c r="H948" s="5" t="s">
        <v>12</v>
      </c>
      <c r="I948" s="2">
        <v>4</v>
      </c>
      <c r="J948" s="2">
        <v>330</v>
      </c>
      <c r="K948" s="6">
        <v>0.55555555555555558</v>
      </c>
      <c r="L948" s="2" t="s">
        <v>172</v>
      </c>
      <c r="M948" s="2">
        <v>5.7</v>
      </c>
      <c r="N948" s="2">
        <v>0</v>
      </c>
      <c r="O948" s="2">
        <v>2</v>
      </c>
      <c r="P948" s="2" t="s">
        <v>380</v>
      </c>
      <c r="Q948" s="7" t="s">
        <v>52</v>
      </c>
      <c r="R948" s="4" t="s">
        <v>381</v>
      </c>
      <c r="S948" s="20">
        <v>2</v>
      </c>
      <c r="T948" s="2">
        <v>0</v>
      </c>
      <c r="X948" s="2">
        <v>1</v>
      </c>
      <c r="Y948" s="2">
        <v>1</v>
      </c>
    </row>
    <row r="949" spans="1:26">
      <c r="A949" s="7">
        <f>MAX($A$1:$A948)+1</f>
        <v>948</v>
      </c>
      <c r="B949" s="2" t="s">
        <v>171</v>
      </c>
      <c r="C949" s="2" t="s">
        <v>504</v>
      </c>
      <c r="D949" s="2" t="s">
        <v>35</v>
      </c>
      <c r="E949" s="7" t="s">
        <v>382</v>
      </c>
      <c r="F949" s="4">
        <v>48.838594999999998</v>
      </c>
      <c r="G949" s="18">
        <v>-125.135015</v>
      </c>
      <c r="H949" s="5" t="s">
        <v>12</v>
      </c>
      <c r="I949" s="2">
        <v>4</v>
      </c>
      <c r="J949" s="2">
        <v>330</v>
      </c>
      <c r="K949" s="6">
        <v>0.55555555555555558</v>
      </c>
      <c r="L949" s="2" t="s">
        <v>172</v>
      </c>
      <c r="M949" s="2">
        <v>5.7</v>
      </c>
      <c r="N949" s="2">
        <v>2</v>
      </c>
      <c r="O949" s="2">
        <v>2</v>
      </c>
      <c r="P949" s="2" t="s">
        <v>243</v>
      </c>
      <c r="Q949" s="7" t="s">
        <v>85</v>
      </c>
      <c r="R949" s="4" t="s">
        <v>312</v>
      </c>
      <c r="S949" s="20">
        <v>10</v>
      </c>
      <c r="T949" s="2">
        <v>10</v>
      </c>
    </row>
    <row r="950" spans="1:26">
      <c r="A950" s="7">
        <f>MAX($A$1:$A949)+1</f>
        <v>949</v>
      </c>
      <c r="B950" s="2" t="s">
        <v>171</v>
      </c>
      <c r="C950" s="2" t="s">
        <v>504</v>
      </c>
      <c r="D950" s="2" t="s">
        <v>35</v>
      </c>
      <c r="E950" s="7" t="s">
        <v>382</v>
      </c>
      <c r="F950" s="4">
        <v>48.838594999999998</v>
      </c>
      <c r="G950" s="18">
        <v>-125.135015</v>
      </c>
      <c r="H950" s="5" t="s">
        <v>12</v>
      </c>
      <c r="I950" s="2">
        <v>4</v>
      </c>
      <c r="J950" s="2">
        <v>330</v>
      </c>
      <c r="K950" s="6">
        <v>0.55555555555555558</v>
      </c>
      <c r="L950" s="2" t="s">
        <v>172</v>
      </c>
      <c r="M950" s="2">
        <v>5.7</v>
      </c>
      <c r="N950" s="2">
        <v>2</v>
      </c>
      <c r="O950" s="2">
        <v>2</v>
      </c>
      <c r="P950" s="2" t="s">
        <v>251</v>
      </c>
      <c r="Q950" s="7" t="s">
        <v>73</v>
      </c>
      <c r="R950" s="4" t="s">
        <v>325</v>
      </c>
      <c r="S950" s="20">
        <v>2</v>
      </c>
      <c r="T950" s="2">
        <v>2</v>
      </c>
    </row>
    <row r="951" spans="1:26">
      <c r="A951" s="7">
        <f>MAX($A$1:$A950)+1</f>
        <v>950</v>
      </c>
      <c r="B951" s="2" t="s">
        <v>171</v>
      </c>
      <c r="C951" s="2" t="s">
        <v>504</v>
      </c>
      <c r="D951" s="2" t="s">
        <v>35</v>
      </c>
      <c r="E951" s="7" t="s">
        <v>382</v>
      </c>
      <c r="F951" s="4">
        <v>48.838594999999998</v>
      </c>
      <c r="G951" s="18">
        <v>-125.135015</v>
      </c>
      <c r="H951" s="5" t="s">
        <v>12</v>
      </c>
      <c r="I951" s="2">
        <v>4</v>
      </c>
      <c r="J951" s="2">
        <v>330</v>
      </c>
      <c r="K951" s="6">
        <v>0.55555555555555558</v>
      </c>
      <c r="L951" s="2" t="s">
        <v>172</v>
      </c>
      <c r="M951" s="2">
        <v>5.7</v>
      </c>
      <c r="N951" s="2">
        <v>2</v>
      </c>
      <c r="O951" s="2">
        <v>2</v>
      </c>
      <c r="P951" s="2" t="s">
        <v>240</v>
      </c>
      <c r="Q951" s="7" t="s">
        <v>74</v>
      </c>
      <c r="R951" s="4" t="s">
        <v>459</v>
      </c>
      <c r="S951" s="20">
        <v>5</v>
      </c>
      <c r="T951" s="2">
        <v>5</v>
      </c>
    </row>
    <row r="952" spans="1:26">
      <c r="A952" s="7">
        <f>MAX($A$1:$A951)+1</f>
        <v>951</v>
      </c>
      <c r="B952" s="2" t="s">
        <v>171</v>
      </c>
      <c r="C952" s="2" t="s">
        <v>504</v>
      </c>
      <c r="D952" s="2" t="s">
        <v>35</v>
      </c>
      <c r="E952" s="7" t="s">
        <v>382</v>
      </c>
      <c r="F952" s="4">
        <v>48.838594999999998</v>
      </c>
      <c r="G952" s="18">
        <v>-125.135015</v>
      </c>
      <c r="H952" s="5" t="s">
        <v>12</v>
      </c>
      <c r="I952" s="2">
        <v>4</v>
      </c>
      <c r="J952" s="2">
        <v>330</v>
      </c>
      <c r="K952" s="6">
        <v>0.55555555555555558</v>
      </c>
      <c r="L952" s="2" t="s">
        <v>172</v>
      </c>
      <c r="M952" s="2">
        <v>5.7</v>
      </c>
      <c r="N952" s="2">
        <v>2</v>
      </c>
      <c r="O952" s="2">
        <v>2</v>
      </c>
      <c r="P952" s="2" t="s">
        <v>296</v>
      </c>
      <c r="Q952" s="7" t="s">
        <v>75</v>
      </c>
      <c r="R952" s="4" t="s">
        <v>297</v>
      </c>
      <c r="S952" s="20">
        <v>7</v>
      </c>
      <c r="T952" s="2">
        <v>7</v>
      </c>
    </row>
    <row r="953" spans="1:26">
      <c r="A953" s="7">
        <f>MAX($A$1:$A952)+1</f>
        <v>952</v>
      </c>
      <c r="B953" s="2" t="s">
        <v>171</v>
      </c>
      <c r="C953" s="2" t="s">
        <v>504</v>
      </c>
      <c r="D953" s="2" t="s">
        <v>35</v>
      </c>
      <c r="E953" s="7" t="s">
        <v>382</v>
      </c>
      <c r="F953" s="4">
        <v>48.838594999999998</v>
      </c>
      <c r="G953" s="18">
        <v>-125.135015</v>
      </c>
      <c r="H953" s="5" t="s">
        <v>12</v>
      </c>
      <c r="I953" s="2">
        <v>4</v>
      </c>
      <c r="J953" s="2">
        <v>330</v>
      </c>
      <c r="K953" s="6">
        <v>0.55555555555555558</v>
      </c>
      <c r="L953" s="2" t="s">
        <v>172</v>
      </c>
      <c r="M953" s="2">
        <v>5.7</v>
      </c>
      <c r="N953" s="2">
        <v>2</v>
      </c>
      <c r="O953" s="2">
        <v>2</v>
      </c>
      <c r="P953" s="2" t="s">
        <v>239</v>
      </c>
      <c r="Q953" s="7" t="s">
        <v>80</v>
      </c>
      <c r="R953" s="4" t="s">
        <v>300</v>
      </c>
      <c r="S953" s="20">
        <v>5</v>
      </c>
      <c r="T953" s="2">
        <v>5</v>
      </c>
    </row>
    <row r="954" spans="1:26">
      <c r="A954" s="7">
        <f>MAX($A$1:$A953)+1</f>
        <v>953</v>
      </c>
      <c r="B954" s="2" t="s">
        <v>171</v>
      </c>
      <c r="C954" s="2" t="s">
        <v>504</v>
      </c>
      <c r="D954" s="2" t="s">
        <v>35</v>
      </c>
      <c r="E954" s="7" t="s">
        <v>382</v>
      </c>
      <c r="F954" s="4">
        <v>48.838594999999998</v>
      </c>
      <c r="G954" s="18">
        <v>-125.135015</v>
      </c>
      <c r="H954" s="5" t="s">
        <v>12</v>
      </c>
      <c r="I954" s="2">
        <v>4</v>
      </c>
      <c r="J954" s="2">
        <v>330</v>
      </c>
      <c r="K954" s="6">
        <v>0.55555555555555558</v>
      </c>
      <c r="L954" s="2" t="s">
        <v>172</v>
      </c>
      <c r="M954" s="2">
        <v>5.7</v>
      </c>
      <c r="N954" s="2">
        <v>2</v>
      </c>
      <c r="O954" s="2">
        <v>2</v>
      </c>
      <c r="P954" s="2" t="s">
        <v>331</v>
      </c>
      <c r="Q954" s="7" t="s">
        <v>67</v>
      </c>
      <c r="R954" s="4" t="s">
        <v>332</v>
      </c>
      <c r="S954" s="20">
        <v>9</v>
      </c>
      <c r="T954" s="2">
        <v>9</v>
      </c>
    </row>
    <row r="955" spans="1:26">
      <c r="A955" s="7">
        <f>MAX($A$1:$A954)+1</f>
        <v>954</v>
      </c>
      <c r="B955" s="2" t="s">
        <v>171</v>
      </c>
      <c r="C955" s="2" t="s">
        <v>504</v>
      </c>
      <c r="D955" s="2" t="s">
        <v>35</v>
      </c>
      <c r="E955" s="7" t="s">
        <v>382</v>
      </c>
      <c r="F955" s="4">
        <v>48.838594999999998</v>
      </c>
      <c r="G955" s="18">
        <v>-125.135015</v>
      </c>
      <c r="H955" s="5" t="s">
        <v>12</v>
      </c>
      <c r="I955" s="2">
        <v>4</v>
      </c>
      <c r="J955" s="2">
        <v>330</v>
      </c>
      <c r="K955" s="6">
        <v>0.55555555555555558</v>
      </c>
      <c r="L955" s="2" t="s">
        <v>172</v>
      </c>
      <c r="M955" s="2">
        <v>5.7</v>
      </c>
      <c r="N955" s="2">
        <v>2</v>
      </c>
      <c r="O955" s="2">
        <v>2</v>
      </c>
      <c r="P955" s="2" t="s">
        <v>333</v>
      </c>
      <c r="Q955" s="7" t="s">
        <v>102</v>
      </c>
      <c r="R955" s="4" t="s">
        <v>334</v>
      </c>
      <c r="S955" s="20">
        <v>1</v>
      </c>
      <c r="T955" s="2">
        <v>1</v>
      </c>
    </row>
    <row r="956" spans="1:26">
      <c r="A956" s="7">
        <f>MAX($A$1:$A955)+1</f>
        <v>955</v>
      </c>
      <c r="B956" s="2" t="s">
        <v>171</v>
      </c>
      <c r="C956" s="2" t="s">
        <v>504</v>
      </c>
      <c r="D956" s="2" t="s">
        <v>35</v>
      </c>
      <c r="E956" s="7" t="s">
        <v>382</v>
      </c>
      <c r="F956" s="4">
        <v>48.838594999999998</v>
      </c>
      <c r="G956" s="18">
        <v>-125.135015</v>
      </c>
      <c r="H956" s="5" t="s">
        <v>12</v>
      </c>
      <c r="I956" s="2">
        <v>4</v>
      </c>
      <c r="J956" s="2">
        <v>330</v>
      </c>
      <c r="K956" s="6">
        <v>0.55555555555555558</v>
      </c>
      <c r="L956" s="2" t="s">
        <v>172</v>
      </c>
      <c r="M956" s="2">
        <v>5.7</v>
      </c>
      <c r="N956" s="2">
        <v>2</v>
      </c>
      <c r="O956" s="2">
        <v>2</v>
      </c>
      <c r="P956" s="2" t="s">
        <v>347</v>
      </c>
      <c r="Q956" s="7" t="s">
        <v>110</v>
      </c>
      <c r="R956" s="4" t="s">
        <v>348</v>
      </c>
      <c r="S956" s="20">
        <v>1</v>
      </c>
      <c r="T956" s="2">
        <v>1</v>
      </c>
    </row>
    <row r="957" spans="1:26">
      <c r="A957" s="7">
        <f>MAX($A$1:$A956)+1</f>
        <v>956</v>
      </c>
      <c r="B957" s="2" t="s">
        <v>171</v>
      </c>
      <c r="C957" s="2" t="s">
        <v>504</v>
      </c>
      <c r="D957" s="2" t="s">
        <v>35</v>
      </c>
      <c r="E957" s="7" t="s">
        <v>382</v>
      </c>
      <c r="F957" s="4">
        <v>48.838594999999998</v>
      </c>
      <c r="G957" s="18">
        <v>-125.135015</v>
      </c>
      <c r="H957" s="5" t="s">
        <v>12</v>
      </c>
      <c r="I957" s="2">
        <v>4</v>
      </c>
      <c r="J957" s="2">
        <v>330</v>
      </c>
      <c r="K957" s="6">
        <v>0.55555555555555558</v>
      </c>
      <c r="L957" s="2" t="s">
        <v>172</v>
      </c>
      <c r="M957" s="2">
        <v>5.7</v>
      </c>
      <c r="N957" s="2">
        <v>2</v>
      </c>
      <c r="O957" s="2">
        <v>2</v>
      </c>
      <c r="P957" s="2" t="s">
        <v>254</v>
      </c>
      <c r="Q957" s="7" t="s">
        <v>108</v>
      </c>
      <c r="R957" s="4" t="s">
        <v>385</v>
      </c>
      <c r="S957" s="20">
        <v>1</v>
      </c>
      <c r="T957" s="2">
        <v>0</v>
      </c>
      <c r="Y957" s="2">
        <v>1</v>
      </c>
    </row>
    <row r="958" spans="1:26">
      <c r="A958" s="7">
        <f>MAX($A$1:$A957)+1</f>
        <v>957</v>
      </c>
      <c r="B958" s="2" t="s">
        <v>171</v>
      </c>
      <c r="C958" s="2" t="s">
        <v>504</v>
      </c>
      <c r="D958" s="2" t="s">
        <v>35</v>
      </c>
      <c r="E958" s="7" t="s">
        <v>382</v>
      </c>
      <c r="F958" s="4">
        <v>48.838594999999998</v>
      </c>
      <c r="G958" s="18">
        <v>-125.135015</v>
      </c>
      <c r="H958" s="5" t="s">
        <v>12</v>
      </c>
      <c r="I958" s="2">
        <v>4</v>
      </c>
      <c r="J958" s="2">
        <v>330</v>
      </c>
      <c r="K958" s="6">
        <v>0.55555555555555558</v>
      </c>
      <c r="L958" s="2" t="s">
        <v>172</v>
      </c>
      <c r="M958" s="2">
        <v>5.7</v>
      </c>
      <c r="N958" s="2">
        <v>2</v>
      </c>
      <c r="O958" s="2">
        <v>2</v>
      </c>
      <c r="P958" s="2" t="s">
        <v>301</v>
      </c>
      <c r="Q958" s="7" t="s">
        <v>97</v>
      </c>
      <c r="R958" s="4" t="s">
        <v>302</v>
      </c>
      <c r="S958" s="20">
        <v>2</v>
      </c>
      <c r="T958" s="2">
        <v>2</v>
      </c>
    </row>
    <row r="959" spans="1:26">
      <c r="A959" s="7">
        <f>MAX($A$1:$A958)+1</f>
        <v>958</v>
      </c>
      <c r="B959" s="2" t="s">
        <v>171</v>
      </c>
      <c r="C959" s="2" t="s">
        <v>504</v>
      </c>
      <c r="D959" s="2" t="s">
        <v>35</v>
      </c>
      <c r="E959" s="7" t="s">
        <v>382</v>
      </c>
      <c r="F959" s="4">
        <v>48.838594999999998</v>
      </c>
      <c r="G959" s="18">
        <v>-125.135015</v>
      </c>
      <c r="H959" s="5" t="s">
        <v>12</v>
      </c>
      <c r="I959" s="2">
        <v>4</v>
      </c>
      <c r="J959" s="2">
        <v>330</v>
      </c>
      <c r="K959" s="6">
        <v>0.55555555555555558</v>
      </c>
      <c r="L959" s="2" t="s">
        <v>172</v>
      </c>
      <c r="M959" s="2">
        <v>5.7</v>
      </c>
      <c r="N959" s="2">
        <v>2</v>
      </c>
      <c r="O959" s="2">
        <v>2</v>
      </c>
      <c r="P959" s="2" t="s">
        <v>316</v>
      </c>
      <c r="Q959" s="7" t="s">
        <v>123</v>
      </c>
      <c r="R959" s="4" t="s">
        <v>317</v>
      </c>
      <c r="S959" s="20">
        <v>2</v>
      </c>
      <c r="T959" s="2">
        <v>2</v>
      </c>
    </row>
    <row r="960" spans="1:26">
      <c r="A960" s="7">
        <f>MAX($A$1:$A959)+1</f>
        <v>959</v>
      </c>
      <c r="B960" s="2" t="s">
        <v>171</v>
      </c>
      <c r="C960" s="2" t="s">
        <v>504</v>
      </c>
      <c r="D960" s="2" t="s">
        <v>35</v>
      </c>
      <c r="E960" s="7" t="s">
        <v>382</v>
      </c>
      <c r="F960" s="4">
        <v>48.838594999999998</v>
      </c>
      <c r="G960" s="18">
        <v>-125.135015</v>
      </c>
      <c r="H960" s="5" t="s">
        <v>12</v>
      </c>
      <c r="I960" s="2">
        <v>4</v>
      </c>
      <c r="J960" s="2">
        <v>330</v>
      </c>
      <c r="K960" s="6">
        <v>0.55555555555555558</v>
      </c>
      <c r="L960" s="2" t="s">
        <v>172</v>
      </c>
      <c r="M960" s="2">
        <v>5.7</v>
      </c>
      <c r="N960" s="2">
        <v>2</v>
      </c>
      <c r="O960" s="2">
        <v>2</v>
      </c>
      <c r="P960" s="2" t="s">
        <v>386</v>
      </c>
      <c r="Q960" s="7" t="s">
        <v>94</v>
      </c>
      <c r="R960" s="4" t="s">
        <v>387</v>
      </c>
      <c r="S960" s="20">
        <v>1</v>
      </c>
      <c r="T960" s="2">
        <v>0</v>
      </c>
      <c r="Y960" s="2">
        <v>1</v>
      </c>
    </row>
    <row r="961" spans="1:29">
      <c r="A961" s="7">
        <f>MAX($A$1:$A960)+1</f>
        <v>960</v>
      </c>
      <c r="B961" s="2" t="s">
        <v>171</v>
      </c>
      <c r="C961" s="2" t="s">
        <v>504</v>
      </c>
      <c r="D961" s="2" t="s">
        <v>35</v>
      </c>
      <c r="E961" s="7" t="s">
        <v>382</v>
      </c>
      <c r="F961" s="4">
        <v>48.838594999999998</v>
      </c>
      <c r="G961" s="18">
        <v>-125.135015</v>
      </c>
      <c r="H961" s="5" t="s">
        <v>12</v>
      </c>
      <c r="I961" s="2">
        <v>4</v>
      </c>
      <c r="J961" s="2">
        <v>330</v>
      </c>
      <c r="K961" s="6">
        <v>0.55555555555555558</v>
      </c>
      <c r="L961" s="2" t="s">
        <v>172</v>
      </c>
      <c r="M961" s="2">
        <v>5.7</v>
      </c>
      <c r="N961" s="2">
        <v>2</v>
      </c>
      <c r="O961" s="2">
        <v>2</v>
      </c>
      <c r="P961" s="2" t="s">
        <v>259</v>
      </c>
      <c r="Q961" s="7" t="s">
        <v>106</v>
      </c>
      <c r="R961" s="4" t="s">
        <v>343</v>
      </c>
      <c r="S961" s="20">
        <v>1</v>
      </c>
      <c r="T961" s="2">
        <v>1</v>
      </c>
    </row>
    <row r="962" spans="1:29">
      <c r="A962" s="7">
        <f>MAX($A$1:$A961)+1</f>
        <v>961</v>
      </c>
      <c r="B962" s="2" t="s">
        <v>171</v>
      </c>
      <c r="C962" s="2" t="s">
        <v>504</v>
      </c>
      <c r="D962" s="2" t="s">
        <v>35</v>
      </c>
      <c r="E962" s="7" t="s">
        <v>382</v>
      </c>
      <c r="F962" s="4">
        <v>48.838594999999998</v>
      </c>
      <c r="G962" s="18">
        <v>-125.135015</v>
      </c>
      <c r="H962" s="5" t="s">
        <v>12</v>
      </c>
      <c r="I962" s="2">
        <v>4</v>
      </c>
      <c r="J962" s="2">
        <v>330</v>
      </c>
      <c r="K962" s="6">
        <v>0.55555555555555558</v>
      </c>
      <c r="L962" s="2" t="s">
        <v>172</v>
      </c>
      <c r="M962" s="2">
        <v>5.7</v>
      </c>
      <c r="N962" s="2">
        <v>2</v>
      </c>
      <c r="O962" s="2">
        <v>2</v>
      </c>
      <c r="P962" s="2" t="s">
        <v>236</v>
      </c>
      <c r="Q962" s="7" t="s">
        <v>44</v>
      </c>
      <c r="R962" s="4" t="s">
        <v>369</v>
      </c>
      <c r="S962" s="20">
        <v>3</v>
      </c>
      <c r="T962" s="2">
        <v>0</v>
      </c>
      <c r="X962" s="2">
        <v>1</v>
      </c>
      <c r="Y962" s="2">
        <v>2</v>
      </c>
    </row>
    <row r="963" spans="1:29">
      <c r="A963" s="7">
        <f>MAX($A$1:$A962)+1</f>
        <v>962</v>
      </c>
      <c r="B963" s="2" t="s">
        <v>171</v>
      </c>
      <c r="C963" s="2" t="s">
        <v>504</v>
      </c>
      <c r="D963" s="2" t="s">
        <v>35</v>
      </c>
      <c r="E963" s="7" t="s">
        <v>382</v>
      </c>
      <c r="F963" s="4">
        <v>48.838594999999998</v>
      </c>
      <c r="G963" s="18">
        <v>-125.135015</v>
      </c>
      <c r="H963" s="5" t="s">
        <v>12</v>
      </c>
      <c r="I963" s="2">
        <v>4</v>
      </c>
      <c r="J963" s="2">
        <v>330</v>
      </c>
      <c r="K963" s="6">
        <v>0.55555555555555558</v>
      </c>
      <c r="L963" s="2" t="s">
        <v>172</v>
      </c>
      <c r="M963" s="2">
        <v>5.7</v>
      </c>
      <c r="N963" s="2">
        <v>2</v>
      </c>
      <c r="O963" s="2">
        <v>2</v>
      </c>
      <c r="P963" s="2" t="s">
        <v>271</v>
      </c>
      <c r="Q963" s="7" t="s">
        <v>84</v>
      </c>
      <c r="R963" s="4" t="s">
        <v>406</v>
      </c>
      <c r="S963" s="20">
        <v>2</v>
      </c>
      <c r="T963" s="2">
        <v>2</v>
      </c>
    </row>
    <row r="964" spans="1:29">
      <c r="A964" s="7">
        <f>MAX($A$1:$A963)+1</f>
        <v>963</v>
      </c>
      <c r="B964" s="2" t="s">
        <v>171</v>
      </c>
      <c r="C964" s="2" t="s">
        <v>504</v>
      </c>
      <c r="D964" s="2" t="s">
        <v>35</v>
      </c>
      <c r="E964" s="7" t="s">
        <v>382</v>
      </c>
      <c r="F964" s="4">
        <v>48.838594999999998</v>
      </c>
      <c r="G964" s="18">
        <v>-125.135015</v>
      </c>
      <c r="H964" s="5" t="s">
        <v>12</v>
      </c>
      <c r="I964" s="2">
        <v>4</v>
      </c>
      <c r="J964" s="2">
        <v>330</v>
      </c>
      <c r="K964" s="6">
        <v>0.55555555555555558</v>
      </c>
      <c r="L964" s="2" t="s">
        <v>172</v>
      </c>
      <c r="M964" s="2">
        <v>5.7</v>
      </c>
      <c r="N964" s="2">
        <v>2</v>
      </c>
      <c r="O964" s="2">
        <v>2</v>
      </c>
      <c r="P964" s="2" t="s">
        <v>335</v>
      </c>
      <c r="Q964" s="7" t="s">
        <v>91</v>
      </c>
      <c r="R964" s="4" t="s">
        <v>336</v>
      </c>
      <c r="S964" s="20">
        <v>1</v>
      </c>
      <c r="T964" s="2">
        <v>1</v>
      </c>
    </row>
    <row r="965" spans="1:29">
      <c r="A965" s="7">
        <f>MAX($A$1:$A964)+1</f>
        <v>964</v>
      </c>
      <c r="B965" s="2" t="s">
        <v>171</v>
      </c>
      <c r="C965" s="2" t="s">
        <v>504</v>
      </c>
      <c r="D965" s="2" t="s">
        <v>35</v>
      </c>
      <c r="E965" s="7" t="s">
        <v>382</v>
      </c>
      <c r="F965" s="4">
        <v>48.838594999999998</v>
      </c>
      <c r="G965" s="18">
        <v>-125.135015</v>
      </c>
      <c r="H965" s="5" t="s">
        <v>12</v>
      </c>
      <c r="I965" s="2">
        <v>4</v>
      </c>
      <c r="J965" s="2">
        <v>330</v>
      </c>
      <c r="K965" s="6">
        <v>0.55555555555555558</v>
      </c>
      <c r="L965" s="2" t="s">
        <v>172</v>
      </c>
      <c r="M965" s="2">
        <v>5.7</v>
      </c>
      <c r="N965" s="2">
        <v>2</v>
      </c>
      <c r="O965" s="2">
        <v>2</v>
      </c>
      <c r="P965" s="2" t="s">
        <v>338</v>
      </c>
      <c r="Q965" s="7" t="s">
        <v>101</v>
      </c>
      <c r="R965" s="4" t="s">
        <v>339</v>
      </c>
      <c r="S965" s="20">
        <v>1</v>
      </c>
      <c r="T965" s="2">
        <v>0</v>
      </c>
      <c r="V965" s="2">
        <v>1</v>
      </c>
    </row>
    <row r="966" spans="1:29">
      <c r="A966" s="7">
        <f>MAX($A$1:$A965)+1</f>
        <v>965</v>
      </c>
      <c r="B966" s="2" t="s">
        <v>171</v>
      </c>
      <c r="C966" s="2" t="s">
        <v>504</v>
      </c>
      <c r="D966" s="2" t="s">
        <v>35</v>
      </c>
      <c r="E966" s="7" t="s">
        <v>382</v>
      </c>
      <c r="F966" s="4">
        <v>48.838594999999998</v>
      </c>
      <c r="G966" s="18">
        <v>-125.135015</v>
      </c>
      <c r="H966" s="5" t="s">
        <v>12</v>
      </c>
      <c r="I966" s="2">
        <v>4</v>
      </c>
      <c r="J966" s="2">
        <v>330</v>
      </c>
      <c r="K966" s="6">
        <v>0.55555555555555558</v>
      </c>
      <c r="L966" s="2" t="s">
        <v>172</v>
      </c>
      <c r="M966" s="2">
        <v>5.7</v>
      </c>
      <c r="N966" s="2">
        <v>2</v>
      </c>
      <c r="O966" s="2">
        <v>2</v>
      </c>
      <c r="P966" s="2" t="s">
        <v>342</v>
      </c>
      <c r="Q966" s="7" t="s">
        <v>126</v>
      </c>
      <c r="R966" s="4" t="s">
        <v>329</v>
      </c>
      <c r="S966" s="20">
        <v>0</v>
      </c>
      <c r="T966" s="2">
        <v>0</v>
      </c>
    </row>
    <row r="967" spans="1:29">
      <c r="A967" s="7">
        <f>MAX($A$1:$A966)+1</f>
        <v>966</v>
      </c>
      <c r="B967" s="27" t="s">
        <v>171</v>
      </c>
      <c r="C967" s="27" t="s">
        <v>504</v>
      </c>
      <c r="D967" s="2" t="s">
        <v>35</v>
      </c>
      <c r="E967" s="7" t="s">
        <v>382</v>
      </c>
      <c r="F967" s="4">
        <v>48.838594999999998</v>
      </c>
      <c r="G967" s="18">
        <v>-125.135015</v>
      </c>
      <c r="H967" s="5" t="s">
        <v>12</v>
      </c>
      <c r="I967" s="2">
        <v>4</v>
      </c>
      <c r="J967" s="2">
        <v>330</v>
      </c>
      <c r="K967" s="6">
        <v>0.55555555555555558</v>
      </c>
      <c r="L967" s="2" t="s">
        <v>172</v>
      </c>
      <c r="M967" s="2">
        <v>5.7</v>
      </c>
      <c r="N967" s="2">
        <v>0</v>
      </c>
      <c r="O967" s="2">
        <v>0</v>
      </c>
      <c r="P967" s="27" t="s">
        <v>525</v>
      </c>
      <c r="Q967" s="7" t="s">
        <v>526</v>
      </c>
      <c r="R967" s="4" t="s">
        <v>527</v>
      </c>
      <c r="S967" s="20">
        <v>1</v>
      </c>
      <c r="T967" s="2">
        <v>1</v>
      </c>
    </row>
    <row r="968" spans="1:29">
      <c r="A968" s="7">
        <f>MAX($A$1:$A967)+1</f>
        <v>967</v>
      </c>
      <c r="B968" s="2" t="str">
        <f t="shared" ref="B968:B1004" si="112">IF(ISERROR(B967),IF(ISERROR(B966),IF(ISERROR(B965),"BLANK",B965),B966),B967)</f>
        <v>Em Lim</v>
      </c>
      <c r="C968" s="27" t="s">
        <v>278</v>
      </c>
      <c r="D968" s="27" t="s">
        <v>36</v>
      </c>
      <c r="E968" s="7" t="str">
        <f>IF(ISERROR(VLOOKUP($D968,SITES!$A:$E,2,FALSE)),"",VLOOKUP($D968,SITES!$A:$E,2,FALSE))</f>
        <v>Hosie South</v>
      </c>
      <c r="F968" s="4">
        <f>IF(ISERROR(VLOOKUP($D968,SITES!$A:$E,3,FALSE)),"",VLOOKUP($D968,SITES!$A:$E,3,FALSE))</f>
        <v>48.9071</v>
      </c>
      <c r="G968" s="18">
        <f>IF(ISERROR(VLOOKUP($D968,SITES!$A:$E,4,FALSE)),"",VLOOKUP($D968,SITES!$A:$E,4,FALSE))</f>
        <v>-125.03701700000001</v>
      </c>
      <c r="H968" s="28" t="s">
        <v>13</v>
      </c>
      <c r="I968" s="2">
        <v>3</v>
      </c>
      <c r="J968" s="2">
        <f t="shared" ref="J968:J1004" si="113">IF(ISERROR(J967),IF(ISERROR(J966),IF(ISERROR(J965),"BLANK",J965),J966),J967)</f>
        <v>330</v>
      </c>
      <c r="K968" s="6">
        <v>0.4284722222222222</v>
      </c>
      <c r="L968" s="27" t="s">
        <v>279</v>
      </c>
      <c r="M968" s="2">
        <v>10</v>
      </c>
      <c r="N968" s="2">
        <v>1</v>
      </c>
      <c r="O968" s="2">
        <v>2</v>
      </c>
      <c r="P968" s="27" t="s">
        <v>174</v>
      </c>
      <c r="Q968" s="7" t="str">
        <f>IF($N968=1,IF(ISERROR(VLOOKUP($P968,'M1'!$A:$C,Q$2,FALSE)),"NOT PRESENT",VLOOKUP($P968,'M1'!$A:$C,Q$2,FALSE)),IF($N968=2,IF(ISERROR(VLOOKUP(DATA!$P397,'M2'!$A:$C,Q$2,FALSE)),"NOT PRESENT",VLOOKUP(DATA!$P397,'M2'!$A:$C,Q$2,FALSE)),IF($N968=0,IF(ISERROR(VLOOKUP($P968,'M1'!$A:$C,Q$2,FALSE)),IF(ISERROR(VLOOKUP(DATA!$P397,'M2'!$A:$C,Q$2,FALSE)),"NOT PRESENT",VLOOKUP(DATA!$P397,'M2'!$A:$C,Q$2,FALSE)),VLOOKUP($P968,'M1'!$A:$C,Q$2,FALSE)),"SPECIFY METHOD")))</f>
        <v>NOT PRESENT</v>
      </c>
      <c r="R968" s="4" t="str">
        <f>IF($N968=1,IF(ISERROR(VLOOKUP($P968,'M1'!$A:$C,R$2,FALSE)),"NOT PRESENT",VLOOKUP($P968,'M1'!$A:$C,R$2,FALSE)),IF($N968=2,IF(ISERROR(VLOOKUP(DATA!$P397,'M2'!$A:$C,R$2,FALSE)),"NOT PRESENT",VLOOKUP(DATA!$P397,'M2'!$A:$C,R$2,FALSE)),IF($N968=0,IF(ISERROR(VLOOKUP($P968,'M1'!$A:$C,R$2,FALSE)),IF(ISERROR(VLOOKUP(DATA!$P397,'M2'!$A:$C,R$2,FALSE)),"NOT PRESENT",VLOOKUP(DATA!$P397,'M2'!$A:$C,R$2,FALSE)),VLOOKUP($P968,'M1'!$A:$C,R$2,FALSE)),"SPECIFY METHOD")))</f>
        <v>NOT PRESENT</v>
      </c>
      <c r="S968" s="20">
        <f t="shared" ref="S968:S1004" si="114">SUM(T968:AV968)</f>
        <v>1</v>
      </c>
      <c r="T968" s="2">
        <v>0</v>
      </c>
      <c r="AC968" s="2">
        <v>1</v>
      </c>
    </row>
    <row r="969" spans="1:29">
      <c r="A969" s="7">
        <f>MAX($A$1:$A968)+1</f>
        <v>968</v>
      </c>
      <c r="B969" s="2" t="str">
        <f t="shared" si="112"/>
        <v>Em Lim</v>
      </c>
      <c r="C969" s="2" t="str">
        <f t="shared" ref="C969:C1004" si="115">IF(ISERROR(C968),IF(ISERROR(C967),IF(ISERROR(C966),"BLANK",C966),C967),C968)</f>
        <v>Isabelle Cote</v>
      </c>
      <c r="D969" s="2" t="str">
        <f t="shared" ref="D969:D1004" si="116">IF(ISERROR(D968),IF(ISERROR(D967),IF(ISERROR(D966),"BLANK",D966),D967),D968)</f>
        <v>BMSC26</v>
      </c>
      <c r="E969" s="7" t="str">
        <f>IF(ISERROR(VLOOKUP($D969,SITES!$A:$E,2,FALSE)),"",VLOOKUP($D969,SITES!$A:$E,2,FALSE))</f>
        <v>Hosie South</v>
      </c>
      <c r="F969" s="4">
        <f>IF(ISERROR(VLOOKUP($D969,SITES!$A:$E,3,FALSE)),"",VLOOKUP($D969,SITES!$A:$E,3,FALSE))</f>
        <v>48.9071</v>
      </c>
      <c r="G969" s="18">
        <f>IF(ISERROR(VLOOKUP($D969,SITES!$A:$E,4,FALSE)),"",VLOOKUP($D969,SITES!$A:$E,4,FALSE))</f>
        <v>-125.03701700000001</v>
      </c>
      <c r="H969" s="5" t="str">
        <f t="shared" ref="H969:H1004" si="117">IF(ISERROR(H968),IF(ISERROR(H967),IF(ISERROR(H966),"BLANK",H966),H967),H968)</f>
        <v>19/05/2023</v>
      </c>
      <c r="I969" s="2">
        <f t="shared" ref="I969:I1004" si="118">IF(ISERROR(I968),IF(ISERROR(I967),IF(ISERROR(I966),"BLANK",I966),I967),I968)</f>
        <v>3</v>
      </c>
      <c r="J969" s="2">
        <f t="shared" si="113"/>
        <v>330</v>
      </c>
      <c r="K969" s="6">
        <f t="shared" ref="K969:O974" si="119">IF(ISERROR(K968),IF(ISERROR(K967),IF(ISERROR(K966),"BLANK",K966),K967),K968)</f>
        <v>0.4284722222222222</v>
      </c>
      <c r="L969" s="2" t="str">
        <f t="shared" si="119"/>
        <v>JMS</v>
      </c>
      <c r="M969" s="2">
        <f t="shared" si="119"/>
        <v>10</v>
      </c>
      <c r="N969" s="2">
        <f t="shared" si="119"/>
        <v>1</v>
      </c>
      <c r="O969" s="2">
        <f t="shared" si="119"/>
        <v>2</v>
      </c>
      <c r="P969" s="27" t="s">
        <v>173</v>
      </c>
      <c r="Q969" s="7" t="str">
        <f>IF($N969=1,IF(ISERROR(VLOOKUP($P969,'M1'!$A:$C,Q$2,FALSE)),"NOT PRESENT",VLOOKUP($P969,'M1'!$A:$C,Q$2,FALSE)),IF($N969=2,IF(ISERROR(VLOOKUP(DATA!$P398,'M2'!$A:$C,Q$2,FALSE)),"NOT PRESENT",VLOOKUP(DATA!$P398,'M2'!$A:$C,Q$2,FALSE)),IF($N969=0,IF(ISERROR(VLOOKUP($P969,'M1'!$A:$C,Q$2,FALSE)),IF(ISERROR(VLOOKUP(DATA!$P398,'M2'!$A:$C,Q$2,FALSE)),"NOT PRESENT",VLOOKUP(DATA!$P398,'M2'!$A:$C,Q$2,FALSE)),VLOOKUP($P969,'M1'!$A:$C,Q$2,FALSE)),"SPECIFY METHOD")))</f>
        <v>NOT PRESENT</v>
      </c>
      <c r="R969" s="4" t="str">
        <f>IF($N969=1,IF(ISERROR(VLOOKUP($P969,'M1'!$A:$C,R$2,FALSE)),"NOT PRESENT",VLOOKUP($P969,'M1'!$A:$C,R$2,FALSE)),IF($N969=2,IF(ISERROR(VLOOKUP(DATA!$P398,'M2'!$A:$C,R$2,FALSE)),"NOT PRESENT",VLOOKUP(DATA!$P398,'M2'!$A:$C,R$2,FALSE)),IF($N969=0,IF(ISERROR(VLOOKUP($P969,'M1'!$A:$C,R$2,FALSE)),IF(ISERROR(VLOOKUP(DATA!$P398,'M2'!$A:$C,R$2,FALSE)),"NOT PRESENT",VLOOKUP(DATA!$P398,'M2'!$A:$C,R$2,FALSE)),VLOOKUP($P969,'M1'!$A:$C,R$2,FALSE)),"SPECIFY METHOD")))</f>
        <v>NOT PRESENT</v>
      </c>
      <c r="S969" s="20">
        <f t="shared" si="114"/>
        <v>3</v>
      </c>
      <c r="T969" s="2">
        <v>0</v>
      </c>
      <c r="W969" s="2">
        <v>1</v>
      </c>
      <c r="X969" s="2">
        <v>2</v>
      </c>
    </row>
    <row r="970" spans="1:29">
      <c r="A970" s="7">
        <f>MAX($A$1:$A969)+1</f>
        <v>969</v>
      </c>
      <c r="B970" s="2" t="str">
        <f t="shared" si="112"/>
        <v>Em Lim</v>
      </c>
      <c r="C970" s="2" t="str">
        <f t="shared" si="115"/>
        <v>Isabelle Cote</v>
      </c>
      <c r="D970" s="2" t="str">
        <f t="shared" si="116"/>
        <v>BMSC26</v>
      </c>
      <c r="E970" s="7" t="str">
        <f>IF(ISERROR(VLOOKUP($D970,SITES!$A:$E,2,FALSE)),"",VLOOKUP($D970,SITES!$A:$E,2,FALSE))</f>
        <v>Hosie South</v>
      </c>
      <c r="F970" s="4">
        <f>IF(ISERROR(VLOOKUP($D970,SITES!$A:$E,3,FALSE)),"",VLOOKUP($D970,SITES!$A:$E,3,FALSE))</f>
        <v>48.9071</v>
      </c>
      <c r="G970" s="18">
        <f>IF(ISERROR(VLOOKUP($D970,SITES!$A:$E,4,FALSE)),"",VLOOKUP($D970,SITES!$A:$E,4,FALSE))</f>
        <v>-125.03701700000001</v>
      </c>
      <c r="H970" s="5" t="str">
        <f t="shared" si="117"/>
        <v>19/05/2023</v>
      </c>
      <c r="I970" s="2">
        <f t="shared" si="118"/>
        <v>3</v>
      </c>
      <c r="J970" s="2">
        <f t="shared" si="113"/>
        <v>330</v>
      </c>
      <c r="K970" s="6">
        <f t="shared" si="119"/>
        <v>0.4284722222222222</v>
      </c>
      <c r="L970" s="2" t="str">
        <f t="shared" si="119"/>
        <v>JMS</v>
      </c>
      <c r="M970" s="2">
        <f t="shared" si="119"/>
        <v>10</v>
      </c>
      <c r="N970" s="2">
        <f t="shared" si="119"/>
        <v>1</v>
      </c>
      <c r="O970" s="2">
        <f t="shared" si="119"/>
        <v>2</v>
      </c>
      <c r="P970" s="27" t="s">
        <v>276</v>
      </c>
      <c r="Q970" s="7" t="str">
        <f>IF($N970=1,IF(ISERROR(VLOOKUP($P970,'M1'!$A:$C,Q$2,FALSE)),"NOT PRESENT",VLOOKUP($P970,'M1'!$A:$C,Q$2,FALSE)),IF($N970=2,IF(ISERROR(VLOOKUP(DATA!$P399,'M2'!$A:$C,Q$2,FALSE)),"NOT PRESENT",VLOOKUP(DATA!$P399,'M2'!$A:$C,Q$2,FALSE)),IF($N970=0,IF(ISERROR(VLOOKUP($P970,'M1'!$A:$C,Q$2,FALSE)),IF(ISERROR(VLOOKUP(DATA!$P399,'M2'!$A:$C,Q$2,FALSE)),"NOT PRESENT",VLOOKUP(DATA!$P399,'M2'!$A:$C,Q$2,FALSE)),VLOOKUP($P970,'M1'!$A:$C,Q$2,FALSE)),"SPECIFY METHOD")))</f>
        <v>NOT PRESENT</v>
      </c>
      <c r="R970" s="4" t="str">
        <f>IF($N970=1,IF(ISERROR(VLOOKUP($P970,'M1'!$A:$C,R$2,FALSE)),"NOT PRESENT",VLOOKUP($P970,'M1'!$A:$C,R$2,FALSE)),IF($N970=2,IF(ISERROR(VLOOKUP(DATA!$P399,'M2'!$A:$C,R$2,FALSE)),"NOT PRESENT",VLOOKUP(DATA!$P399,'M2'!$A:$C,R$2,FALSE)),IF($N970=0,IF(ISERROR(VLOOKUP($P970,'M1'!$A:$C,R$2,FALSE)),IF(ISERROR(VLOOKUP(DATA!$P399,'M2'!$A:$C,R$2,FALSE)),"NOT PRESENT",VLOOKUP(DATA!$P399,'M2'!$A:$C,R$2,FALSE)),VLOOKUP($P970,'M1'!$A:$C,R$2,FALSE)),"SPECIFY METHOD")))</f>
        <v>NOT PRESENT</v>
      </c>
      <c r="S970" s="20">
        <f t="shared" si="114"/>
        <v>4</v>
      </c>
      <c r="T970" s="2">
        <v>0</v>
      </c>
      <c r="X970" s="2">
        <v>1</v>
      </c>
      <c r="Y970" s="2">
        <v>1</v>
      </c>
      <c r="Z970" s="2">
        <v>1</v>
      </c>
      <c r="AA970" s="2">
        <v>1</v>
      </c>
    </row>
    <row r="971" spans="1:29">
      <c r="A971" s="7">
        <f>MAX($A$1:$A970)+1</f>
        <v>970</v>
      </c>
      <c r="B971" s="2" t="str">
        <f t="shared" si="112"/>
        <v>Em Lim</v>
      </c>
      <c r="C971" s="2" t="str">
        <f t="shared" si="115"/>
        <v>Isabelle Cote</v>
      </c>
      <c r="D971" s="2" t="str">
        <f t="shared" si="116"/>
        <v>BMSC26</v>
      </c>
      <c r="E971" s="7" t="str">
        <f>IF(ISERROR(VLOOKUP($D971,SITES!$A:$E,2,FALSE)),"",VLOOKUP($D971,SITES!$A:$E,2,FALSE))</f>
        <v>Hosie South</v>
      </c>
      <c r="F971" s="4">
        <f>IF(ISERROR(VLOOKUP($D971,SITES!$A:$E,3,FALSE)),"",VLOOKUP($D971,SITES!$A:$E,3,FALSE))</f>
        <v>48.9071</v>
      </c>
      <c r="G971" s="18">
        <f>IF(ISERROR(VLOOKUP($D971,SITES!$A:$E,4,FALSE)),"",VLOOKUP($D971,SITES!$A:$E,4,FALSE))</f>
        <v>-125.03701700000001</v>
      </c>
      <c r="H971" s="5" t="str">
        <f t="shared" si="117"/>
        <v>19/05/2023</v>
      </c>
      <c r="I971" s="2">
        <f t="shared" si="118"/>
        <v>3</v>
      </c>
      <c r="J971" s="2">
        <f t="shared" si="113"/>
        <v>330</v>
      </c>
      <c r="K971" s="6">
        <f t="shared" si="119"/>
        <v>0.4284722222222222</v>
      </c>
      <c r="L971" s="2" t="str">
        <f t="shared" si="119"/>
        <v>JMS</v>
      </c>
      <c r="M971" s="2">
        <f t="shared" si="119"/>
        <v>10</v>
      </c>
      <c r="N971" s="2">
        <f t="shared" si="119"/>
        <v>1</v>
      </c>
      <c r="O971" s="2">
        <f t="shared" si="119"/>
        <v>2</v>
      </c>
      <c r="P971" s="27" t="s">
        <v>280</v>
      </c>
      <c r="Q971" s="7" t="str">
        <f>IF($N971=1,IF(ISERROR(VLOOKUP($P971,'M1'!$A:$C,Q$2,FALSE)),"NOT PRESENT",VLOOKUP($P971,'M1'!$A:$C,Q$2,FALSE)),IF($N971=2,IF(ISERROR(VLOOKUP(DATA!$P400,'M2'!$A:$C,Q$2,FALSE)),"NOT PRESENT",VLOOKUP(DATA!$P400,'M2'!$A:$C,Q$2,FALSE)),IF($N971=0,IF(ISERROR(VLOOKUP($P971,'M1'!$A:$C,Q$2,FALSE)),IF(ISERROR(VLOOKUP(DATA!$P400,'M2'!$A:$C,Q$2,FALSE)),"NOT PRESENT",VLOOKUP(DATA!$P400,'M2'!$A:$C,Q$2,FALSE)),VLOOKUP($P971,'M1'!$A:$C,Q$2,FALSE)),"SPECIFY METHOD")))</f>
        <v>NOT PRESENT</v>
      </c>
      <c r="R971" s="4" t="str">
        <f>IF($N971=1,IF(ISERROR(VLOOKUP($P971,'M1'!$A:$C,R$2,FALSE)),"NOT PRESENT",VLOOKUP($P971,'M1'!$A:$C,R$2,FALSE)),IF($N971=2,IF(ISERROR(VLOOKUP(DATA!$P400,'M2'!$A:$C,R$2,FALSE)),"NOT PRESENT",VLOOKUP(DATA!$P400,'M2'!$A:$C,R$2,FALSE)),IF($N971=0,IF(ISERROR(VLOOKUP($P971,'M1'!$A:$C,R$2,FALSE)),IF(ISERROR(VLOOKUP(DATA!$P400,'M2'!$A:$C,R$2,FALSE)),"NOT PRESENT",VLOOKUP(DATA!$P400,'M2'!$A:$C,R$2,FALSE)),VLOOKUP($P971,'M1'!$A:$C,R$2,FALSE)),"SPECIFY METHOD")))</f>
        <v>NOT PRESENT</v>
      </c>
      <c r="S971" s="20">
        <f t="shared" si="114"/>
        <v>2</v>
      </c>
      <c r="T971" s="2">
        <v>0</v>
      </c>
      <c r="X971" s="2">
        <v>2</v>
      </c>
    </row>
    <row r="972" spans="1:29">
      <c r="A972" s="7">
        <f>MAX($A$1:$A971)+1</f>
        <v>971</v>
      </c>
      <c r="B972" s="2" t="str">
        <f t="shared" si="112"/>
        <v>Em Lim</v>
      </c>
      <c r="C972" s="2" t="str">
        <f t="shared" si="115"/>
        <v>Isabelle Cote</v>
      </c>
      <c r="D972" s="2" t="str">
        <f t="shared" si="116"/>
        <v>BMSC26</v>
      </c>
      <c r="E972" s="7" t="str">
        <f>IF(ISERROR(VLOOKUP($D972,SITES!$A:$E,2,FALSE)),"",VLOOKUP($D972,SITES!$A:$E,2,FALSE))</f>
        <v>Hosie South</v>
      </c>
      <c r="F972" s="4">
        <f>IF(ISERROR(VLOOKUP($D972,SITES!$A:$E,3,FALSE)),"",VLOOKUP($D972,SITES!$A:$E,3,FALSE))</f>
        <v>48.9071</v>
      </c>
      <c r="G972" s="18">
        <f>IF(ISERROR(VLOOKUP($D972,SITES!$A:$E,4,FALSE)),"",VLOOKUP($D972,SITES!$A:$E,4,FALSE))</f>
        <v>-125.03701700000001</v>
      </c>
      <c r="H972" s="5" t="str">
        <f t="shared" si="117"/>
        <v>19/05/2023</v>
      </c>
      <c r="I972" s="2">
        <f t="shared" si="118"/>
        <v>3</v>
      </c>
      <c r="J972" s="2">
        <f t="shared" si="113"/>
        <v>330</v>
      </c>
      <c r="K972" s="6">
        <f t="shared" si="119"/>
        <v>0.4284722222222222</v>
      </c>
      <c r="L972" s="2" t="str">
        <f t="shared" si="119"/>
        <v>JMS</v>
      </c>
      <c r="M972" s="2">
        <f t="shared" si="119"/>
        <v>10</v>
      </c>
      <c r="N972" s="2">
        <f t="shared" si="119"/>
        <v>1</v>
      </c>
      <c r="O972" s="2">
        <f t="shared" si="119"/>
        <v>2</v>
      </c>
      <c r="P972" s="27" t="s">
        <v>177</v>
      </c>
      <c r="Q972" s="7" t="str">
        <f>IF($N972=1,IF(ISERROR(VLOOKUP($P972,'M1'!$A:$C,Q$2,FALSE)),"NOT PRESENT",VLOOKUP($P972,'M1'!$A:$C,Q$2,FALSE)),IF($N972=2,IF(ISERROR(VLOOKUP(DATA!$P401,'M2'!$A:$C,Q$2,FALSE)),"NOT PRESENT",VLOOKUP(DATA!$P401,'M2'!$A:$C,Q$2,FALSE)),IF($N972=0,IF(ISERROR(VLOOKUP($P972,'M1'!$A:$C,Q$2,FALSE)),IF(ISERROR(VLOOKUP(DATA!$P401,'M2'!$A:$C,Q$2,FALSE)),"NOT PRESENT",VLOOKUP(DATA!$P401,'M2'!$A:$C,Q$2,FALSE)),VLOOKUP($P972,'M1'!$A:$C,Q$2,FALSE)),"SPECIFY METHOD")))</f>
        <v>NOT PRESENT</v>
      </c>
      <c r="R972" s="4" t="str">
        <f>IF($N972=1,IF(ISERROR(VLOOKUP($P972,'M1'!$A:$C,R$2,FALSE)),"NOT PRESENT",VLOOKUP($P972,'M1'!$A:$C,R$2,FALSE)),IF($N972=2,IF(ISERROR(VLOOKUP(DATA!$P401,'M2'!$A:$C,R$2,FALSE)),"NOT PRESENT",VLOOKUP(DATA!$P401,'M2'!$A:$C,R$2,FALSE)),IF($N972=0,IF(ISERROR(VLOOKUP($P972,'M1'!$A:$C,R$2,FALSE)),IF(ISERROR(VLOOKUP(DATA!$P401,'M2'!$A:$C,R$2,FALSE)),"NOT PRESENT",VLOOKUP(DATA!$P401,'M2'!$A:$C,R$2,FALSE)),VLOOKUP($P972,'M1'!$A:$C,R$2,FALSE)),"SPECIFY METHOD")))</f>
        <v>NOT PRESENT</v>
      </c>
      <c r="S972" s="20">
        <f t="shared" si="114"/>
        <v>1</v>
      </c>
      <c r="T972" s="2">
        <v>1</v>
      </c>
    </row>
    <row r="973" spans="1:29">
      <c r="A973" s="7">
        <f>MAX($A$1:$A972)+1</f>
        <v>972</v>
      </c>
      <c r="B973" s="2" t="str">
        <f t="shared" si="112"/>
        <v>Em Lim</v>
      </c>
      <c r="C973" s="2" t="str">
        <f t="shared" si="115"/>
        <v>Isabelle Cote</v>
      </c>
      <c r="D973" s="2" t="str">
        <f t="shared" si="116"/>
        <v>BMSC26</v>
      </c>
      <c r="E973" s="7" t="str">
        <f>IF(ISERROR(VLOOKUP($D973,SITES!$A:$E,2,FALSE)),"",VLOOKUP($D973,SITES!$A:$E,2,FALSE))</f>
        <v>Hosie South</v>
      </c>
      <c r="F973" s="4">
        <f>IF(ISERROR(VLOOKUP($D973,SITES!$A:$E,3,FALSE)),"",VLOOKUP($D973,SITES!$A:$E,3,FALSE))</f>
        <v>48.9071</v>
      </c>
      <c r="G973" s="18">
        <f>IF(ISERROR(VLOOKUP($D973,SITES!$A:$E,4,FALSE)),"",VLOOKUP($D973,SITES!$A:$E,4,FALSE))</f>
        <v>-125.03701700000001</v>
      </c>
      <c r="H973" s="5" t="str">
        <f t="shared" si="117"/>
        <v>19/05/2023</v>
      </c>
      <c r="I973" s="2">
        <f t="shared" si="118"/>
        <v>3</v>
      </c>
      <c r="J973" s="2">
        <f t="shared" si="113"/>
        <v>330</v>
      </c>
      <c r="K973" s="6">
        <f t="shared" si="119"/>
        <v>0.4284722222222222</v>
      </c>
      <c r="L973" s="2" t="str">
        <f t="shared" si="119"/>
        <v>JMS</v>
      </c>
      <c r="M973" s="2">
        <f t="shared" si="119"/>
        <v>10</v>
      </c>
      <c r="N973" s="2">
        <f t="shared" si="119"/>
        <v>1</v>
      </c>
      <c r="O973" s="2">
        <f t="shared" si="119"/>
        <v>2</v>
      </c>
      <c r="P973" s="27" t="s">
        <v>272</v>
      </c>
      <c r="Q973" s="7" t="str">
        <f>IF($N973=1,IF(ISERROR(VLOOKUP($P973,'M1'!$A:$C,Q$2,FALSE)),"NOT PRESENT",VLOOKUP($P973,'M1'!$A:$C,Q$2,FALSE)),IF($N973=2,IF(ISERROR(VLOOKUP(DATA!$P402,'M2'!$A:$C,Q$2,FALSE)),"NOT PRESENT",VLOOKUP(DATA!$P402,'M2'!$A:$C,Q$2,FALSE)),IF($N973=0,IF(ISERROR(VLOOKUP($P973,'M1'!$A:$C,Q$2,FALSE)),IF(ISERROR(VLOOKUP(DATA!$P402,'M2'!$A:$C,Q$2,FALSE)),"NOT PRESENT",VLOOKUP(DATA!$P402,'M2'!$A:$C,Q$2,FALSE)),VLOOKUP($P973,'M1'!$A:$C,Q$2,FALSE)),"SPECIFY METHOD")))</f>
        <v>NOT PRESENT</v>
      </c>
      <c r="R973" s="4" t="str">
        <f>IF($N973=1,IF(ISERROR(VLOOKUP($P973,'M1'!$A:$C,R$2,FALSE)),"NOT PRESENT",VLOOKUP($P973,'M1'!$A:$C,R$2,FALSE)),IF($N973=2,IF(ISERROR(VLOOKUP(DATA!$P402,'M2'!$A:$C,R$2,FALSE)),"NOT PRESENT",VLOOKUP(DATA!$P402,'M2'!$A:$C,R$2,FALSE)),IF($N973=0,IF(ISERROR(VLOOKUP($P973,'M1'!$A:$C,R$2,FALSE)),IF(ISERROR(VLOOKUP(DATA!$P402,'M2'!$A:$C,R$2,FALSE)),"NOT PRESENT",VLOOKUP(DATA!$P402,'M2'!$A:$C,R$2,FALSE)),VLOOKUP($P973,'M1'!$A:$C,R$2,FALSE)),"SPECIFY METHOD")))</f>
        <v>NOT PRESENT</v>
      </c>
      <c r="S973" s="20">
        <f t="shared" si="114"/>
        <v>1</v>
      </c>
      <c r="T973" s="2">
        <v>0</v>
      </c>
      <c r="Z973" s="2">
        <v>1</v>
      </c>
    </row>
    <row r="974" spans="1:29">
      <c r="A974" s="7">
        <f>MAX($A$1:$A973)+1</f>
        <v>973</v>
      </c>
      <c r="B974" s="2" t="str">
        <f t="shared" si="112"/>
        <v>Em Lim</v>
      </c>
      <c r="C974" s="2" t="str">
        <f t="shared" si="115"/>
        <v>Isabelle Cote</v>
      </c>
      <c r="D974" s="2" t="str">
        <f t="shared" si="116"/>
        <v>BMSC26</v>
      </c>
      <c r="E974" s="7" t="str">
        <f>IF(ISERROR(VLOOKUP($D974,SITES!$A:$E,2,FALSE)),"",VLOOKUP($D974,SITES!$A:$E,2,FALSE))</f>
        <v>Hosie South</v>
      </c>
      <c r="F974" s="4">
        <f>IF(ISERROR(VLOOKUP($D974,SITES!$A:$E,3,FALSE)),"",VLOOKUP($D974,SITES!$A:$E,3,FALSE))</f>
        <v>48.9071</v>
      </c>
      <c r="G974" s="18">
        <f>IF(ISERROR(VLOOKUP($D974,SITES!$A:$E,4,FALSE)),"",VLOOKUP($D974,SITES!$A:$E,4,FALSE))</f>
        <v>-125.03701700000001</v>
      </c>
      <c r="H974" s="5" t="str">
        <f t="shared" si="117"/>
        <v>19/05/2023</v>
      </c>
      <c r="I974" s="2">
        <f t="shared" si="118"/>
        <v>3</v>
      </c>
      <c r="J974" s="2">
        <f t="shared" si="113"/>
        <v>330</v>
      </c>
      <c r="K974" s="6">
        <f t="shared" si="119"/>
        <v>0.4284722222222222</v>
      </c>
      <c r="L974" s="2" t="str">
        <f t="shared" si="119"/>
        <v>JMS</v>
      </c>
      <c r="M974" s="2">
        <f t="shared" si="119"/>
        <v>10</v>
      </c>
      <c r="N974" s="2">
        <f t="shared" si="119"/>
        <v>1</v>
      </c>
      <c r="O974" s="2">
        <f t="shared" si="119"/>
        <v>2</v>
      </c>
      <c r="P974" s="27" t="s">
        <v>200</v>
      </c>
      <c r="Q974" s="7" t="str">
        <f>IF($N974=1,IF(ISERROR(VLOOKUP($P974,'M1'!$A:$C,Q$2,FALSE)),"NOT PRESENT",VLOOKUP($P974,'M1'!$A:$C,Q$2,FALSE)),IF($N974=2,IF(ISERROR(VLOOKUP(DATA!$P403,'M2'!$A:$C,Q$2,FALSE)),"NOT PRESENT",VLOOKUP(DATA!$P403,'M2'!$A:$C,Q$2,FALSE)),IF($N974=0,IF(ISERROR(VLOOKUP($P974,'M1'!$A:$C,Q$2,FALSE)),IF(ISERROR(VLOOKUP(DATA!$P403,'M2'!$A:$C,Q$2,FALSE)),"NOT PRESENT",VLOOKUP(DATA!$P403,'M2'!$A:$C,Q$2,FALSE)),VLOOKUP($P974,'M1'!$A:$C,Q$2,FALSE)),"SPECIFY METHOD")))</f>
        <v>NOT PRESENT</v>
      </c>
      <c r="R974" s="4" t="str">
        <f>IF($N974=1,IF(ISERROR(VLOOKUP($P974,'M1'!$A:$C,R$2,FALSE)),"NOT PRESENT",VLOOKUP($P974,'M1'!$A:$C,R$2,FALSE)),IF($N974=2,IF(ISERROR(VLOOKUP(DATA!$P403,'M2'!$A:$C,R$2,FALSE)),"NOT PRESENT",VLOOKUP(DATA!$P403,'M2'!$A:$C,R$2,FALSE)),IF($N974=0,IF(ISERROR(VLOOKUP($P974,'M1'!$A:$C,R$2,FALSE)),IF(ISERROR(VLOOKUP(DATA!$P403,'M2'!$A:$C,R$2,FALSE)),"NOT PRESENT",VLOOKUP(DATA!$P403,'M2'!$A:$C,R$2,FALSE)),VLOOKUP($P974,'M1'!$A:$C,R$2,FALSE)),"SPECIFY METHOD")))</f>
        <v>NOT PRESENT</v>
      </c>
      <c r="S974" s="20">
        <f t="shared" si="114"/>
        <v>18</v>
      </c>
      <c r="T974" s="2">
        <v>0</v>
      </c>
      <c r="Y974" s="2">
        <v>2</v>
      </c>
      <c r="Z974" s="2">
        <v>8</v>
      </c>
      <c r="AA974" s="2">
        <v>7</v>
      </c>
      <c r="AB974" s="2">
        <v>1</v>
      </c>
    </row>
    <row r="975" spans="1:29">
      <c r="A975" s="7">
        <f>MAX($A$1:$A974)+1</f>
        <v>974</v>
      </c>
      <c r="B975" s="2" t="str">
        <f t="shared" si="112"/>
        <v>Em Lim</v>
      </c>
      <c r="C975" s="2" t="str">
        <f t="shared" si="115"/>
        <v>Isabelle Cote</v>
      </c>
      <c r="D975" s="2" t="str">
        <f t="shared" si="116"/>
        <v>BMSC26</v>
      </c>
      <c r="E975" s="7" t="str">
        <f>IF(ISERROR(VLOOKUP($D975,SITES!$A:$E,2,FALSE)),"",VLOOKUP($D975,SITES!$A:$E,2,FALSE))</f>
        <v>Hosie South</v>
      </c>
      <c r="F975" s="4">
        <f>IF(ISERROR(VLOOKUP($D975,SITES!$A:$E,3,FALSE)),"",VLOOKUP($D975,SITES!$A:$E,3,FALSE))</f>
        <v>48.9071</v>
      </c>
      <c r="G975" s="18">
        <f>IF(ISERROR(VLOOKUP($D975,SITES!$A:$E,4,FALSE)),"",VLOOKUP($D975,SITES!$A:$E,4,FALSE))</f>
        <v>-125.03701700000001</v>
      </c>
      <c r="H975" s="5" t="str">
        <f t="shared" si="117"/>
        <v>19/05/2023</v>
      </c>
      <c r="I975" s="2">
        <f t="shared" si="118"/>
        <v>3</v>
      </c>
      <c r="J975" s="2">
        <f t="shared" si="113"/>
        <v>330</v>
      </c>
      <c r="K975" s="6">
        <f t="shared" ref="K975:K1004" si="120">IF(ISERROR(K974),IF(ISERROR(K973),IF(ISERROR(K972),"BLANK",K972),K973),K974)</f>
        <v>0.4284722222222222</v>
      </c>
      <c r="L975" s="2" t="str">
        <f t="shared" ref="L975:L1004" si="121">IF(ISERROR(L974),IF(ISERROR(L973),IF(ISERROR(L972),"BLANK",L972),L973),L974)</f>
        <v>JMS</v>
      </c>
      <c r="M975" s="2">
        <f t="shared" ref="M975:M1004" si="122">IF(ISERROR(M974),IF(ISERROR(M973),IF(ISERROR(M972),"BLANK",M972),M973),M974)</f>
        <v>10</v>
      </c>
      <c r="N975" s="2">
        <v>2</v>
      </c>
      <c r="O975" s="2">
        <f t="shared" ref="O975:O1004" si="123">IF(ISERROR(O974),IF(ISERROR(O973),IF(ISERROR(O972),"BLANK",O972),O973),O974)</f>
        <v>2</v>
      </c>
      <c r="P975" s="27" t="s">
        <v>179</v>
      </c>
      <c r="Q975" s="7" t="str">
        <f>IF($N975=1,IF(ISERROR(VLOOKUP($P975,'M1'!$A:$C,Q$2,FALSE)),"NOT PRESENT",VLOOKUP($P975,'M1'!$A:$C,Q$2,FALSE)),IF($N975=2,IF(ISERROR(VLOOKUP(DATA!$P404,'M2'!$A:$C,Q$2,FALSE)),"NOT PRESENT",VLOOKUP(DATA!$P404,'M2'!$A:$C,Q$2,FALSE)),IF($N975=0,IF(ISERROR(VLOOKUP($P975,'M1'!$A:$C,Q$2,FALSE)),IF(ISERROR(VLOOKUP(DATA!$P404,'M2'!$A:$C,Q$2,FALSE)),"NOT PRESENT",VLOOKUP(DATA!$P404,'M2'!$A:$C,Q$2,FALSE)),VLOOKUP($P975,'M1'!$A:$C,Q$2,FALSE)),"SPECIFY METHOD")))</f>
        <v>NOT PRESENT</v>
      </c>
      <c r="R975" s="4" t="str">
        <f>IF($N975=1,IF(ISERROR(VLOOKUP($P975,'M1'!$A:$C,R$2,FALSE)),"NOT PRESENT",VLOOKUP($P975,'M1'!$A:$C,R$2,FALSE)),IF($N975=2,IF(ISERROR(VLOOKUP(DATA!$P404,'M2'!$A:$C,R$2,FALSE)),"NOT PRESENT",VLOOKUP(DATA!$P404,'M2'!$A:$C,R$2,FALSE)),IF($N975=0,IF(ISERROR(VLOOKUP($P975,'M1'!$A:$C,R$2,FALSE)),IF(ISERROR(VLOOKUP(DATA!$P404,'M2'!$A:$C,R$2,FALSE)),"NOT PRESENT",VLOOKUP(DATA!$P404,'M2'!$A:$C,R$2,FALSE)),VLOOKUP($P975,'M1'!$A:$C,R$2,FALSE)),"SPECIFY METHOD")))</f>
        <v>NOT PRESENT</v>
      </c>
      <c r="S975" s="20">
        <f t="shared" si="114"/>
        <v>17</v>
      </c>
      <c r="T975" s="2">
        <v>17</v>
      </c>
    </row>
    <row r="976" spans="1:29">
      <c r="A976" s="7">
        <f>MAX($A$1:$A975)+1</f>
        <v>975</v>
      </c>
      <c r="B976" s="2" t="str">
        <f t="shared" si="112"/>
        <v>Em Lim</v>
      </c>
      <c r="C976" s="2" t="str">
        <f t="shared" si="115"/>
        <v>Isabelle Cote</v>
      </c>
      <c r="D976" s="2" t="str">
        <f t="shared" si="116"/>
        <v>BMSC26</v>
      </c>
      <c r="E976" s="7" t="str">
        <f>IF(ISERROR(VLOOKUP($D976,SITES!$A:$E,2,FALSE)),"",VLOOKUP($D976,SITES!$A:$E,2,FALSE))</f>
        <v>Hosie South</v>
      </c>
      <c r="F976" s="4">
        <f>IF(ISERROR(VLOOKUP($D976,SITES!$A:$E,3,FALSE)),"",VLOOKUP($D976,SITES!$A:$E,3,FALSE))</f>
        <v>48.9071</v>
      </c>
      <c r="G976" s="18">
        <f>IF(ISERROR(VLOOKUP($D976,SITES!$A:$E,4,FALSE)),"",VLOOKUP($D976,SITES!$A:$E,4,FALSE))</f>
        <v>-125.03701700000001</v>
      </c>
      <c r="H976" s="5" t="str">
        <f t="shared" si="117"/>
        <v>19/05/2023</v>
      </c>
      <c r="I976" s="2">
        <f t="shared" si="118"/>
        <v>3</v>
      </c>
      <c r="J976" s="2">
        <f t="shared" si="113"/>
        <v>330</v>
      </c>
      <c r="K976" s="6">
        <f t="shared" si="120"/>
        <v>0.4284722222222222</v>
      </c>
      <c r="L976" s="2" t="str">
        <f t="shared" si="121"/>
        <v>JMS</v>
      </c>
      <c r="M976" s="2">
        <f t="shared" si="122"/>
        <v>10</v>
      </c>
      <c r="N976" s="2">
        <f t="shared" ref="N976:N999" si="124">IF(ISERROR(N975),IF(ISERROR(N974),IF(ISERROR(N973),"BLANK",N973),N974),N975)</f>
        <v>2</v>
      </c>
      <c r="O976" s="2">
        <f t="shared" si="123"/>
        <v>2</v>
      </c>
      <c r="P976" s="27" t="s">
        <v>173</v>
      </c>
      <c r="Q976" s="7" t="str">
        <f>IF($N976=1,IF(ISERROR(VLOOKUP($P976,'M1'!$A:$C,Q$2,FALSE)),"NOT PRESENT",VLOOKUP($P976,'M1'!$A:$C,Q$2,FALSE)),IF($N976=2,IF(ISERROR(VLOOKUP(DATA!$P405,'M2'!$A:$C,Q$2,FALSE)),"NOT PRESENT",VLOOKUP(DATA!$P405,'M2'!$A:$C,Q$2,FALSE)),IF($N976=0,IF(ISERROR(VLOOKUP($P976,'M1'!$A:$C,Q$2,FALSE)),IF(ISERROR(VLOOKUP(DATA!$P405,'M2'!$A:$C,Q$2,FALSE)),"NOT PRESENT",VLOOKUP(DATA!$P405,'M2'!$A:$C,Q$2,FALSE)),VLOOKUP($P976,'M1'!$A:$C,Q$2,FALSE)),"SPECIFY METHOD")))</f>
        <v>NOT PRESENT</v>
      </c>
      <c r="R976" s="4" t="str">
        <f>IF($N976=1,IF(ISERROR(VLOOKUP($P976,'M1'!$A:$C,R$2,FALSE)),"NOT PRESENT",VLOOKUP($P976,'M1'!$A:$C,R$2,FALSE)),IF($N976=2,IF(ISERROR(VLOOKUP(DATA!$P405,'M2'!$A:$C,R$2,FALSE)),"NOT PRESENT",VLOOKUP(DATA!$P405,'M2'!$A:$C,R$2,FALSE)),IF($N976=0,IF(ISERROR(VLOOKUP($P976,'M1'!$A:$C,R$2,FALSE)),IF(ISERROR(VLOOKUP(DATA!$P405,'M2'!$A:$C,R$2,FALSE)),"NOT PRESENT",VLOOKUP(DATA!$P405,'M2'!$A:$C,R$2,FALSE)),VLOOKUP($P976,'M1'!$A:$C,R$2,FALSE)),"SPECIFY METHOD")))</f>
        <v>NOT PRESENT</v>
      </c>
      <c r="S976" s="20">
        <f t="shared" si="114"/>
        <v>16</v>
      </c>
      <c r="T976" s="2">
        <v>0</v>
      </c>
      <c r="U976" s="2">
        <v>1</v>
      </c>
      <c r="V976" s="2">
        <v>6</v>
      </c>
      <c r="W976" s="2">
        <v>5</v>
      </c>
      <c r="X976" s="2">
        <v>3</v>
      </c>
      <c r="Y976" s="2">
        <v>1</v>
      </c>
    </row>
    <row r="977" spans="1:24">
      <c r="A977" s="7">
        <f>MAX($A$1:$A976)+1</f>
        <v>976</v>
      </c>
      <c r="B977" s="2" t="str">
        <f t="shared" si="112"/>
        <v>Em Lim</v>
      </c>
      <c r="C977" s="2" t="str">
        <f t="shared" si="115"/>
        <v>Isabelle Cote</v>
      </c>
      <c r="D977" s="2" t="str">
        <f t="shared" si="116"/>
        <v>BMSC26</v>
      </c>
      <c r="E977" s="7" t="str">
        <f>IF(ISERROR(VLOOKUP($D977,SITES!$A:$E,2,FALSE)),"",VLOOKUP($D977,SITES!$A:$E,2,FALSE))</f>
        <v>Hosie South</v>
      </c>
      <c r="F977" s="4">
        <f>IF(ISERROR(VLOOKUP($D977,SITES!$A:$E,3,FALSE)),"",VLOOKUP($D977,SITES!$A:$E,3,FALSE))</f>
        <v>48.9071</v>
      </c>
      <c r="G977" s="18">
        <f>IF(ISERROR(VLOOKUP($D977,SITES!$A:$E,4,FALSE)),"",VLOOKUP($D977,SITES!$A:$E,4,FALSE))</f>
        <v>-125.03701700000001</v>
      </c>
      <c r="H977" s="5" t="str">
        <f t="shared" si="117"/>
        <v>19/05/2023</v>
      </c>
      <c r="I977" s="2">
        <f t="shared" si="118"/>
        <v>3</v>
      </c>
      <c r="J977" s="2">
        <f t="shared" si="113"/>
        <v>330</v>
      </c>
      <c r="K977" s="6">
        <f t="shared" si="120"/>
        <v>0.4284722222222222</v>
      </c>
      <c r="L977" s="2" t="str">
        <f t="shared" si="121"/>
        <v>JMS</v>
      </c>
      <c r="M977" s="2">
        <f t="shared" si="122"/>
        <v>10</v>
      </c>
      <c r="N977" s="2">
        <f t="shared" si="124"/>
        <v>2</v>
      </c>
      <c r="O977" s="2">
        <f t="shared" si="123"/>
        <v>2</v>
      </c>
      <c r="P977" s="27" t="s">
        <v>210</v>
      </c>
      <c r="Q977" s="7" t="str">
        <f>IF($N977=1,IF(ISERROR(VLOOKUP($P977,'M1'!$A:$C,Q$2,FALSE)),"NOT PRESENT",VLOOKUP($P977,'M1'!$A:$C,Q$2,FALSE)),IF($N977=2,IF(ISERROR(VLOOKUP(DATA!$P406,'M2'!$A:$C,Q$2,FALSE)),"NOT PRESENT",VLOOKUP(DATA!$P406,'M2'!$A:$C,Q$2,FALSE)),IF($N977=0,IF(ISERROR(VLOOKUP($P977,'M1'!$A:$C,Q$2,FALSE)),IF(ISERROR(VLOOKUP(DATA!$P406,'M2'!$A:$C,Q$2,FALSE)),"NOT PRESENT",VLOOKUP(DATA!$P406,'M2'!$A:$C,Q$2,FALSE)),VLOOKUP($P977,'M1'!$A:$C,Q$2,FALSE)),"SPECIFY METHOD")))</f>
        <v>NOT PRESENT</v>
      </c>
      <c r="R977" s="4" t="str">
        <f>IF($N977=1,IF(ISERROR(VLOOKUP($P977,'M1'!$A:$C,R$2,FALSE)),"NOT PRESENT",VLOOKUP($P977,'M1'!$A:$C,R$2,FALSE)),IF($N977=2,IF(ISERROR(VLOOKUP(DATA!$P406,'M2'!$A:$C,R$2,FALSE)),"NOT PRESENT",VLOOKUP(DATA!$P406,'M2'!$A:$C,R$2,FALSE)),IF($N977=0,IF(ISERROR(VLOOKUP($P977,'M1'!$A:$C,R$2,FALSE)),IF(ISERROR(VLOOKUP(DATA!$P406,'M2'!$A:$C,R$2,FALSE)),"NOT PRESENT",VLOOKUP(DATA!$P406,'M2'!$A:$C,R$2,FALSE)),VLOOKUP($P977,'M1'!$A:$C,R$2,FALSE)),"SPECIFY METHOD")))</f>
        <v>NOT PRESENT</v>
      </c>
      <c r="S977" s="20">
        <f t="shared" si="114"/>
        <v>8</v>
      </c>
      <c r="T977" s="2">
        <v>8</v>
      </c>
    </row>
    <row r="978" spans="1:24">
      <c r="A978" s="7">
        <f>MAX($A$1:$A977)+1</f>
        <v>977</v>
      </c>
      <c r="B978" s="2" t="str">
        <f t="shared" si="112"/>
        <v>Em Lim</v>
      </c>
      <c r="C978" s="2" t="str">
        <f t="shared" si="115"/>
        <v>Isabelle Cote</v>
      </c>
      <c r="D978" s="2" t="str">
        <f t="shared" si="116"/>
        <v>BMSC26</v>
      </c>
      <c r="E978" s="7" t="str">
        <f>IF(ISERROR(VLOOKUP($D978,SITES!$A:$E,2,FALSE)),"",VLOOKUP($D978,SITES!$A:$E,2,FALSE))</f>
        <v>Hosie South</v>
      </c>
      <c r="F978" s="4">
        <f>IF(ISERROR(VLOOKUP($D978,SITES!$A:$E,3,FALSE)),"",VLOOKUP($D978,SITES!$A:$E,3,FALSE))</f>
        <v>48.9071</v>
      </c>
      <c r="G978" s="18">
        <f>IF(ISERROR(VLOOKUP($D978,SITES!$A:$E,4,FALSE)),"",VLOOKUP($D978,SITES!$A:$E,4,FALSE))</f>
        <v>-125.03701700000001</v>
      </c>
      <c r="H978" s="5" t="str">
        <f t="shared" si="117"/>
        <v>19/05/2023</v>
      </c>
      <c r="I978" s="2">
        <f t="shared" si="118"/>
        <v>3</v>
      </c>
      <c r="J978" s="2">
        <f t="shared" si="113"/>
        <v>330</v>
      </c>
      <c r="K978" s="6">
        <f t="shared" si="120"/>
        <v>0.4284722222222222</v>
      </c>
      <c r="L978" s="2" t="str">
        <f t="shared" si="121"/>
        <v>JMS</v>
      </c>
      <c r="M978" s="2">
        <f t="shared" si="122"/>
        <v>10</v>
      </c>
      <c r="N978" s="2">
        <f t="shared" si="124"/>
        <v>2</v>
      </c>
      <c r="O978" s="2">
        <f t="shared" si="123"/>
        <v>2</v>
      </c>
      <c r="P978" s="27" t="s">
        <v>220</v>
      </c>
      <c r="Q978" s="7" t="str">
        <f>IF($N978=1,IF(ISERROR(VLOOKUP($P978,'M1'!$A:$C,Q$2,FALSE)),"NOT PRESENT",VLOOKUP($P978,'M1'!$A:$C,Q$2,FALSE)),IF($N978=2,IF(ISERROR(VLOOKUP(DATA!$P407,'M2'!$A:$C,Q$2,FALSE)),"NOT PRESENT",VLOOKUP(DATA!$P407,'M2'!$A:$C,Q$2,FALSE)),IF($N978=0,IF(ISERROR(VLOOKUP($P978,'M1'!$A:$C,Q$2,FALSE)),IF(ISERROR(VLOOKUP(DATA!$P407,'M2'!$A:$C,Q$2,FALSE)),"NOT PRESENT",VLOOKUP(DATA!$P407,'M2'!$A:$C,Q$2,FALSE)),VLOOKUP($P978,'M1'!$A:$C,Q$2,FALSE)),"SPECIFY METHOD")))</f>
        <v>NOT PRESENT</v>
      </c>
      <c r="R978" s="4" t="str">
        <f>IF($N978=1,IF(ISERROR(VLOOKUP($P978,'M1'!$A:$C,R$2,FALSE)),"NOT PRESENT",VLOOKUP($P978,'M1'!$A:$C,R$2,FALSE)),IF($N978=2,IF(ISERROR(VLOOKUP(DATA!$P407,'M2'!$A:$C,R$2,FALSE)),"NOT PRESENT",VLOOKUP(DATA!$P407,'M2'!$A:$C,R$2,FALSE)),IF($N978=0,IF(ISERROR(VLOOKUP($P978,'M1'!$A:$C,R$2,FALSE)),IF(ISERROR(VLOOKUP(DATA!$P407,'M2'!$A:$C,R$2,FALSE)),"NOT PRESENT",VLOOKUP(DATA!$P407,'M2'!$A:$C,R$2,FALSE)),VLOOKUP($P978,'M1'!$A:$C,R$2,FALSE)),"SPECIFY METHOD")))</f>
        <v>NOT PRESENT</v>
      </c>
      <c r="S978" s="20">
        <f t="shared" si="114"/>
        <v>6</v>
      </c>
      <c r="T978" s="2">
        <v>6</v>
      </c>
    </row>
    <row r="979" spans="1:24">
      <c r="A979" s="7">
        <f>MAX($A$1:$A978)+1</f>
        <v>978</v>
      </c>
      <c r="B979" s="2" t="str">
        <f t="shared" si="112"/>
        <v>Em Lim</v>
      </c>
      <c r="C979" s="2" t="str">
        <f t="shared" si="115"/>
        <v>Isabelle Cote</v>
      </c>
      <c r="D979" s="2" t="str">
        <f t="shared" si="116"/>
        <v>BMSC26</v>
      </c>
      <c r="E979" s="7" t="str">
        <f>IF(ISERROR(VLOOKUP($D979,SITES!$A:$E,2,FALSE)),"",VLOOKUP($D979,SITES!$A:$E,2,FALSE))</f>
        <v>Hosie South</v>
      </c>
      <c r="F979" s="4">
        <f>IF(ISERROR(VLOOKUP($D979,SITES!$A:$E,3,FALSE)),"",VLOOKUP($D979,SITES!$A:$E,3,FALSE))</f>
        <v>48.9071</v>
      </c>
      <c r="G979" s="18">
        <f>IF(ISERROR(VLOOKUP($D979,SITES!$A:$E,4,FALSE)),"",VLOOKUP($D979,SITES!$A:$E,4,FALSE))</f>
        <v>-125.03701700000001</v>
      </c>
      <c r="H979" s="5" t="str">
        <f t="shared" si="117"/>
        <v>19/05/2023</v>
      </c>
      <c r="I979" s="2">
        <f t="shared" si="118"/>
        <v>3</v>
      </c>
      <c r="J979" s="2">
        <f t="shared" si="113"/>
        <v>330</v>
      </c>
      <c r="K979" s="6">
        <f t="shared" si="120"/>
        <v>0.4284722222222222</v>
      </c>
      <c r="L979" s="2" t="str">
        <f t="shared" si="121"/>
        <v>JMS</v>
      </c>
      <c r="M979" s="2">
        <f t="shared" si="122"/>
        <v>10</v>
      </c>
      <c r="N979" s="2">
        <f t="shared" si="124"/>
        <v>2</v>
      </c>
      <c r="O979" s="2">
        <f t="shared" si="123"/>
        <v>2</v>
      </c>
      <c r="P979" s="27" t="s">
        <v>183</v>
      </c>
      <c r="Q979" s="7" t="str">
        <f>IF($N979=1,IF(ISERROR(VLOOKUP($P979,'M1'!$A:$C,Q$2,FALSE)),"NOT PRESENT",VLOOKUP($P979,'M1'!$A:$C,Q$2,FALSE)),IF($N979=2,IF(ISERROR(VLOOKUP(DATA!$P408,'M2'!$A:$C,Q$2,FALSE)),"NOT PRESENT",VLOOKUP(DATA!$P408,'M2'!$A:$C,Q$2,FALSE)),IF($N979=0,IF(ISERROR(VLOOKUP($P979,'M1'!$A:$C,Q$2,FALSE)),IF(ISERROR(VLOOKUP(DATA!$P408,'M2'!$A:$C,Q$2,FALSE)),"NOT PRESENT",VLOOKUP(DATA!$P408,'M2'!$A:$C,Q$2,FALSE)),VLOOKUP($P979,'M1'!$A:$C,Q$2,FALSE)),"SPECIFY METHOD")))</f>
        <v>NOT PRESENT</v>
      </c>
      <c r="R979" s="4" t="str">
        <f>IF($N979=1,IF(ISERROR(VLOOKUP($P979,'M1'!$A:$C,R$2,FALSE)),"NOT PRESENT",VLOOKUP($P979,'M1'!$A:$C,R$2,FALSE)),IF($N979=2,IF(ISERROR(VLOOKUP(DATA!$P408,'M2'!$A:$C,R$2,FALSE)),"NOT PRESENT",VLOOKUP(DATA!$P408,'M2'!$A:$C,R$2,FALSE)),IF($N979=0,IF(ISERROR(VLOOKUP($P979,'M1'!$A:$C,R$2,FALSE)),IF(ISERROR(VLOOKUP(DATA!$P408,'M2'!$A:$C,R$2,FALSE)),"NOT PRESENT",VLOOKUP(DATA!$P408,'M2'!$A:$C,R$2,FALSE)),VLOOKUP($P979,'M1'!$A:$C,R$2,FALSE)),"SPECIFY METHOD")))</f>
        <v>NOT PRESENT</v>
      </c>
      <c r="S979" s="20">
        <f t="shared" si="114"/>
        <v>3</v>
      </c>
      <c r="T979" s="2">
        <v>3</v>
      </c>
    </row>
    <row r="980" spans="1:24">
      <c r="A980" s="7">
        <f>MAX($A$1:$A979)+1</f>
        <v>979</v>
      </c>
      <c r="B980" s="2" t="str">
        <f t="shared" si="112"/>
        <v>Em Lim</v>
      </c>
      <c r="C980" s="2" t="str">
        <f t="shared" si="115"/>
        <v>Isabelle Cote</v>
      </c>
      <c r="D980" s="2" t="str">
        <f t="shared" si="116"/>
        <v>BMSC26</v>
      </c>
      <c r="E980" s="7" t="str">
        <f>IF(ISERROR(VLOOKUP($D980,SITES!$A:$E,2,FALSE)),"",VLOOKUP($D980,SITES!$A:$E,2,FALSE))</f>
        <v>Hosie South</v>
      </c>
      <c r="F980" s="4">
        <f>IF(ISERROR(VLOOKUP($D980,SITES!$A:$E,3,FALSE)),"",VLOOKUP($D980,SITES!$A:$E,3,FALSE))</f>
        <v>48.9071</v>
      </c>
      <c r="G980" s="18">
        <f>IF(ISERROR(VLOOKUP($D980,SITES!$A:$E,4,FALSE)),"",VLOOKUP($D980,SITES!$A:$E,4,FALSE))</f>
        <v>-125.03701700000001</v>
      </c>
      <c r="H980" s="5" t="str">
        <f t="shared" si="117"/>
        <v>19/05/2023</v>
      </c>
      <c r="I980" s="2">
        <f t="shared" si="118"/>
        <v>3</v>
      </c>
      <c r="J980" s="2">
        <f t="shared" si="113"/>
        <v>330</v>
      </c>
      <c r="K980" s="6">
        <f t="shared" si="120"/>
        <v>0.4284722222222222</v>
      </c>
      <c r="L980" s="2" t="str">
        <f t="shared" si="121"/>
        <v>JMS</v>
      </c>
      <c r="M980" s="2">
        <f t="shared" si="122"/>
        <v>10</v>
      </c>
      <c r="N980" s="2">
        <f t="shared" si="124"/>
        <v>2</v>
      </c>
      <c r="O980" s="2">
        <f t="shared" si="123"/>
        <v>2</v>
      </c>
      <c r="P980" s="27" t="s">
        <v>184</v>
      </c>
      <c r="Q980" s="7" t="str">
        <f>IF($N980=1,IF(ISERROR(VLOOKUP($P980,'M1'!$A:$C,Q$2,FALSE)),"NOT PRESENT",VLOOKUP($P980,'M1'!$A:$C,Q$2,FALSE)),IF($N980=2,IF(ISERROR(VLOOKUP(DATA!$P409,'M2'!$A:$C,Q$2,FALSE)),"NOT PRESENT",VLOOKUP(DATA!$P409,'M2'!$A:$C,Q$2,FALSE)),IF($N980=0,IF(ISERROR(VLOOKUP($P980,'M1'!$A:$C,Q$2,FALSE)),IF(ISERROR(VLOOKUP(DATA!$P409,'M2'!$A:$C,Q$2,FALSE)),"NOT PRESENT",VLOOKUP(DATA!$P409,'M2'!$A:$C,Q$2,FALSE)),VLOOKUP($P980,'M1'!$A:$C,Q$2,FALSE)),"SPECIFY METHOD")))</f>
        <v>NOT PRESENT</v>
      </c>
      <c r="R980" s="4" t="str">
        <f>IF($N980=1,IF(ISERROR(VLOOKUP($P980,'M1'!$A:$C,R$2,FALSE)),"NOT PRESENT",VLOOKUP($P980,'M1'!$A:$C,R$2,FALSE)),IF($N980=2,IF(ISERROR(VLOOKUP(DATA!$P409,'M2'!$A:$C,R$2,FALSE)),"NOT PRESENT",VLOOKUP(DATA!$P409,'M2'!$A:$C,R$2,FALSE)),IF($N980=0,IF(ISERROR(VLOOKUP($P980,'M1'!$A:$C,R$2,FALSE)),IF(ISERROR(VLOOKUP(DATA!$P409,'M2'!$A:$C,R$2,FALSE)),"NOT PRESENT",VLOOKUP(DATA!$P409,'M2'!$A:$C,R$2,FALSE)),VLOOKUP($P980,'M1'!$A:$C,R$2,FALSE)),"SPECIFY METHOD")))</f>
        <v>NOT PRESENT</v>
      </c>
      <c r="S980" s="20">
        <f t="shared" si="114"/>
        <v>3</v>
      </c>
      <c r="T980" s="2">
        <v>3</v>
      </c>
    </row>
    <row r="981" spans="1:24">
      <c r="A981" s="7">
        <f>MAX($A$1:$A980)+1</f>
        <v>980</v>
      </c>
      <c r="B981" s="2" t="str">
        <f t="shared" si="112"/>
        <v>Em Lim</v>
      </c>
      <c r="C981" s="2" t="str">
        <f t="shared" si="115"/>
        <v>Isabelle Cote</v>
      </c>
      <c r="D981" s="2" t="str">
        <f t="shared" si="116"/>
        <v>BMSC26</v>
      </c>
      <c r="E981" s="7" t="str">
        <f>IF(ISERROR(VLOOKUP($D981,SITES!$A:$E,2,FALSE)),"",VLOOKUP($D981,SITES!$A:$E,2,FALSE))</f>
        <v>Hosie South</v>
      </c>
      <c r="F981" s="4">
        <f>IF(ISERROR(VLOOKUP($D981,SITES!$A:$E,3,FALSE)),"",VLOOKUP($D981,SITES!$A:$E,3,FALSE))</f>
        <v>48.9071</v>
      </c>
      <c r="G981" s="18">
        <f>IF(ISERROR(VLOOKUP($D981,SITES!$A:$E,4,FALSE)),"",VLOOKUP($D981,SITES!$A:$E,4,FALSE))</f>
        <v>-125.03701700000001</v>
      </c>
      <c r="H981" s="5" t="str">
        <f t="shared" si="117"/>
        <v>19/05/2023</v>
      </c>
      <c r="I981" s="2">
        <f t="shared" si="118"/>
        <v>3</v>
      </c>
      <c r="J981" s="2">
        <f t="shared" si="113"/>
        <v>330</v>
      </c>
      <c r="K981" s="6">
        <f t="shared" si="120"/>
        <v>0.4284722222222222</v>
      </c>
      <c r="L981" s="2" t="str">
        <f t="shared" si="121"/>
        <v>JMS</v>
      </c>
      <c r="M981" s="2">
        <f t="shared" si="122"/>
        <v>10</v>
      </c>
      <c r="N981" s="2">
        <f t="shared" si="124"/>
        <v>2</v>
      </c>
      <c r="O981" s="2">
        <f t="shared" si="123"/>
        <v>2</v>
      </c>
      <c r="P981" s="27" t="s">
        <v>197</v>
      </c>
      <c r="Q981" s="7" t="str">
        <f>IF($N981=1,IF(ISERROR(VLOOKUP($P981,'M1'!$A:$C,Q$2,FALSE)),"NOT PRESENT",VLOOKUP($P981,'M1'!$A:$C,Q$2,FALSE)),IF($N981=2,IF(ISERROR(VLOOKUP(DATA!$P410,'M2'!$A:$C,Q$2,FALSE)),"NOT PRESENT",VLOOKUP(DATA!$P410,'M2'!$A:$C,Q$2,FALSE)),IF($N981=0,IF(ISERROR(VLOOKUP($P981,'M1'!$A:$C,Q$2,FALSE)),IF(ISERROR(VLOOKUP(DATA!$P410,'M2'!$A:$C,Q$2,FALSE)),"NOT PRESENT",VLOOKUP(DATA!$P410,'M2'!$A:$C,Q$2,FALSE)),VLOOKUP($P981,'M1'!$A:$C,Q$2,FALSE)),"SPECIFY METHOD")))</f>
        <v>NOT PRESENT</v>
      </c>
      <c r="R981" s="4" t="str">
        <f>IF($N981=1,IF(ISERROR(VLOOKUP($P981,'M1'!$A:$C,R$2,FALSE)),"NOT PRESENT",VLOOKUP($P981,'M1'!$A:$C,R$2,FALSE)),IF($N981=2,IF(ISERROR(VLOOKUP(DATA!$P410,'M2'!$A:$C,R$2,FALSE)),"NOT PRESENT",VLOOKUP(DATA!$P410,'M2'!$A:$C,R$2,FALSE)),IF($N981=0,IF(ISERROR(VLOOKUP($P981,'M1'!$A:$C,R$2,FALSE)),IF(ISERROR(VLOOKUP(DATA!$P410,'M2'!$A:$C,R$2,FALSE)),"NOT PRESENT",VLOOKUP(DATA!$P410,'M2'!$A:$C,R$2,FALSE)),VLOOKUP($P981,'M1'!$A:$C,R$2,FALSE)),"SPECIFY METHOD")))</f>
        <v>NOT PRESENT</v>
      </c>
      <c r="S981" s="20">
        <f t="shared" si="114"/>
        <v>14</v>
      </c>
      <c r="T981" s="2">
        <v>14</v>
      </c>
    </row>
    <row r="982" spans="1:24">
      <c r="A982" s="7">
        <f>MAX($A$1:$A981)+1</f>
        <v>981</v>
      </c>
      <c r="B982" s="2" t="str">
        <f t="shared" si="112"/>
        <v>Em Lim</v>
      </c>
      <c r="C982" s="2" t="str">
        <f t="shared" si="115"/>
        <v>Isabelle Cote</v>
      </c>
      <c r="D982" s="2" t="str">
        <f t="shared" si="116"/>
        <v>BMSC26</v>
      </c>
      <c r="E982" s="7" t="str">
        <f>IF(ISERROR(VLOOKUP($D982,SITES!$A:$E,2,FALSE)),"",VLOOKUP($D982,SITES!$A:$E,2,FALSE))</f>
        <v>Hosie South</v>
      </c>
      <c r="F982" s="4">
        <f>IF(ISERROR(VLOOKUP($D982,SITES!$A:$E,3,FALSE)),"",VLOOKUP($D982,SITES!$A:$E,3,FALSE))</f>
        <v>48.9071</v>
      </c>
      <c r="G982" s="18">
        <f>IF(ISERROR(VLOOKUP($D982,SITES!$A:$E,4,FALSE)),"",VLOOKUP($D982,SITES!$A:$E,4,FALSE))</f>
        <v>-125.03701700000001</v>
      </c>
      <c r="H982" s="5" t="str">
        <f t="shared" si="117"/>
        <v>19/05/2023</v>
      </c>
      <c r="I982" s="2">
        <f t="shared" si="118"/>
        <v>3</v>
      </c>
      <c r="J982" s="2">
        <f t="shared" si="113"/>
        <v>330</v>
      </c>
      <c r="K982" s="6">
        <f t="shared" si="120"/>
        <v>0.4284722222222222</v>
      </c>
      <c r="L982" s="2" t="str">
        <f t="shared" si="121"/>
        <v>JMS</v>
      </c>
      <c r="M982" s="2">
        <f t="shared" si="122"/>
        <v>10</v>
      </c>
      <c r="N982" s="2">
        <f t="shared" si="124"/>
        <v>2</v>
      </c>
      <c r="O982" s="2">
        <f t="shared" si="123"/>
        <v>2</v>
      </c>
      <c r="P982" s="27" t="s">
        <v>219</v>
      </c>
      <c r="Q982" s="7" t="str">
        <f>IF($N982=1,IF(ISERROR(VLOOKUP($P982,'M1'!$A:$C,Q$2,FALSE)),"NOT PRESENT",VLOOKUP($P982,'M1'!$A:$C,Q$2,FALSE)),IF($N982=2,IF(ISERROR(VLOOKUP(DATA!$P411,'M2'!$A:$C,Q$2,FALSE)),"NOT PRESENT",VLOOKUP(DATA!$P411,'M2'!$A:$C,Q$2,FALSE)),IF($N982=0,IF(ISERROR(VLOOKUP($P982,'M1'!$A:$C,Q$2,FALSE)),IF(ISERROR(VLOOKUP(DATA!$P411,'M2'!$A:$C,Q$2,FALSE)),"NOT PRESENT",VLOOKUP(DATA!$P411,'M2'!$A:$C,Q$2,FALSE)),VLOOKUP($P982,'M1'!$A:$C,Q$2,FALSE)),"SPECIFY METHOD")))</f>
        <v>NOT PRESENT</v>
      </c>
      <c r="R982" s="4" t="str">
        <f>IF($N982=1,IF(ISERROR(VLOOKUP($P982,'M1'!$A:$C,R$2,FALSE)),"NOT PRESENT",VLOOKUP($P982,'M1'!$A:$C,R$2,FALSE)),IF($N982=2,IF(ISERROR(VLOOKUP(DATA!$P411,'M2'!$A:$C,R$2,FALSE)),"NOT PRESENT",VLOOKUP(DATA!$P411,'M2'!$A:$C,R$2,FALSE)),IF($N982=0,IF(ISERROR(VLOOKUP($P982,'M1'!$A:$C,R$2,FALSE)),IF(ISERROR(VLOOKUP(DATA!$P411,'M2'!$A:$C,R$2,FALSE)),"NOT PRESENT",VLOOKUP(DATA!$P411,'M2'!$A:$C,R$2,FALSE)),VLOOKUP($P982,'M1'!$A:$C,R$2,FALSE)),"SPECIFY METHOD")))</f>
        <v>NOT PRESENT</v>
      </c>
      <c r="S982" s="20">
        <f t="shared" si="114"/>
        <v>4</v>
      </c>
      <c r="T982" s="2">
        <v>4</v>
      </c>
    </row>
    <row r="983" spans="1:24">
      <c r="A983" s="7">
        <f>MAX($A$1:$A982)+1</f>
        <v>982</v>
      </c>
      <c r="B983" s="2" t="str">
        <f t="shared" si="112"/>
        <v>Em Lim</v>
      </c>
      <c r="C983" s="2" t="str">
        <f t="shared" si="115"/>
        <v>Isabelle Cote</v>
      </c>
      <c r="D983" s="2" t="str">
        <f t="shared" si="116"/>
        <v>BMSC26</v>
      </c>
      <c r="E983" s="7" t="str">
        <f>IF(ISERROR(VLOOKUP($D983,SITES!$A:$E,2,FALSE)),"",VLOOKUP($D983,SITES!$A:$E,2,FALSE))</f>
        <v>Hosie South</v>
      </c>
      <c r="F983" s="4">
        <f>IF(ISERROR(VLOOKUP($D983,SITES!$A:$E,3,FALSE)),"",VLOOKUP($D983,SITES!$A:$E,3,FALSE))</f>
        <v>48.9071</v>
      </c>
      <c r="G983" s="18">
        <f>IF(ISERROR(VLOOKUP($D983,SITES!$A:$E,4,FALSE)),"",VLOOKUP($D983,SITES!$A:$E,4,FALSE))</f>
        <v>-125.03701700000001</v>
      </c>
      <c r="H983" s="5" t="str">
        <f t="shared" si="117"/>
        <v>19/05/2023</v>
      </c>
      <c r="I983" s="2">
        <f t="shared" si="118"/>
        <v>3</v>
      </c>
      <c r="J983" s="2">
        <f t="shared" si="113"/>
        <v>330</v>
      </c>
      <c r="K983" s="6">
        <f t="shared" si="120"/>
        <v>0.4284722222222222</v>
      </c>
      <c r="L983" s="2" t="str">
        <f t="shared" si="121"/>
        <v>JMS</v>
      </c>
      <c r="M983" s="2">
        <f t="shared" si="122"/>
        <v>10</v>
      </c>
      <c r="N983" s="2">
        <f t="shared" si="124"/>
        <v>2</v>
      </c>
      <c r="O983" s="2">
        <f t="shared" si="123"/>
        <v>2</v>
      </c>
      <c r="P983" s="27" t="s">
        <v>281</v>
      </c>
      <c r="Q983" s="7" t="str">
        <f>IF($N983=1,IF(ISERROR(VLOOKUP($P983,'M1'!$A:$C,Q$2,FALSE)),"NOT PRESENT",VLOOKUP($P983,'M1'!$A:$C,Q$2,FALSE)),IF($N983=2,IF(ISERROR(VLOOKUP(DATA!$P412,'M2'!$A:$C,Q$2,FALSE)),"NOT PRESENT",VLOOKUP(DATA!$P412,'M2'!$A:$C,Q$2,FALSE)),IF($N983=0,IF(ISERROR(VLOOKUP($P983,'M1'!$A:$C,Q$2,FALSE)),IF(ISERROR(VLOOKUP(DATA!$P412,'M2'!$A:$C,Q$2,FALSE)),"NOT PRESENT",VLOOKUP(DATA!$P412,'M2'!$A:$C,Q$2,FALSE)),VLOOKUP($P983,'M1'!$A:$C,Q$2,FALSE)),"SPECIFY METHOD")))</f>
        <v>NOT PRESENT</v>
      </c>
      <c r="R983" s="4" t="str">
        <f>IF($N983=1,IF(ISERROR(VLOOKUP($P983,'M1'!$A:$C,R$2,FALSE)),"NOT PRESENT",VLOOKUP($P983,'M1'!$A:$C,R$2,FALSE)),IF($N983=2,IF(ISERROR(VLOOKUP(DATA!$P412,'M2'!$A:$C,R$2,FALSE)),"NOT PRESENT",VLOOKUP(DATA!$P412,'M2'!$A:$C,R$2,FALSE)),IF($N983=0,IF(ISERROR(VLOOKUP($P983,'M1'!$A:$C,R$2,FALSE)),IF(ISERROR(VLOOKUP(DATA!$P412,'M2'!$A:$C,R$2,FALSE)),"NOT PRESENT",VLOOKUP(DATA!$P412,'M2'!$A:$C,R$2,FALSE)),VLOOKUP($P983,'M1'!$A:$C,R$2,FALSE)),"SPECIFY METHOD")))</f>
        <v>NOT PRESENT</v>
      </c>
      <c r="S983" s="20">
        <f t="shared" si="114"/>
        <v>2</v>
      </c>
      <c r="T983" s="2">
        <v>2</v>
      </c>
    </row>
    <row r="984" spans="1:24">
      <c r="A984" s="7">
        <f>MAX($A$1:$A983)+1</f>
        <v>983</v>
      </c>
      <c r="B984" s="2" t="str">
        <f t="shared" si="112"/>
        <v>Em Lim</v>
      </c>
      <c r="C984" s="2" t="str">
        <f t="shared" si="115"/>
        <v>Isabelle Cote</v>
      </c>
      <c r="D984" s="2" t="str">
        <f t="shared" si="116"/>
        <v>BMSC26</v>
      </c>
      <c r="E984" s="7" t="str">
        <f>IF(ISERROR(VLOOKUP($D984,SITES!$A:$E,2,FALSE)),"",VLOOKUP($D984,SITES!$A:$E,2,FALSE))</f>
        <v>Hosie South</v>
      </c>
      <c r="F984" s="4">
        <f>IF(ISERROR(VLOOKUP($D984,SITES!$A:$E,3,FALSE)),"",VLOOKUP($D984,SITES!$A:$E,3,FALSE))</f>
        <v>48.9071</v>
      </c>
      <c r="G984" s="18">
        <f>IF(ISERROR(VLOOKUP($D984,SITES!$A:$E,4,FALSE)),"",VLOOKUP($D984,SITES!$A:$E,4,FALSE))</f>
        <v>-125.03701700000001</v>
      </c>
      <c r="H984" s="5" t="str">
        <f t="shared" si="117"/>
        <v>19/05/2023</v>
      </c>
      <c r="I984" s="2">
        <f t="shared" si="118"/>
        <v>3</v>
      </c>
      <c r="J984" s="2">
        <f t="shared" si="113"/>
        <v>330</v>
      </c>
      <c r="K984" s="6">
        <f t="shared" si="120"/>
        <v>0.4284722222222222</v>
      </c>
      <c r="L984" s="2" t="str">
        <f t="shared" si="121"/>
        <v>JMS</v>
      </c>
      <c r="M984" s="2">
        <f t="shared" si="122"/>
        <v>10</v>
      </c>
      <c r="N984" s="2">
        <f t="shared" si="124"/>
        <v>2</v>
      </c>
      <c r="O984" s="2">
        <f t="shared" si="123"/>
        <v>2</v>
      </c>
      <c r="P984" s="27" t="s">
        <v>268</v>
      </c>
      <c r="Q984" s="7" t="str">
        <f>IF($N984=1,IF(ISERROR(VLOOKUP($P984,'M1'!$A:$C,Q$2,FALSE)),"NOT PRESENT",VLOOKUP($P984,'M1'!$A:$C,Q$2,FALSE)),IF($N984=2,IF(ISERROR(VLOOKUP(DATA!$P413,'M2'!$A:$C,Q$2,FALSE)),"NOT PRESENT",VLOOKUP(DATA!$P413,'M2'!$A:$C,Q$2,FALSE)),IF($N984=0,IF(ISERROR(VLOOKUP($P984,'M1'!$A:$C,Q$2,FALSE)),IF(ISERROR(VLOOKUP(DATA!$P413,'M2'!$A:$C,Q$2,FALSE)),"NOT PRESENT",VLOOKUP(DATA!$P413,'M2'!$A:$C,Q$2,FALSE)),VLOOKUP($P984,'M1'!$A:$C,Q$2,FALSE)),"SPECIFY METHOD")))</f>
        <v>NOT PRESENT</v>
      </c>
      <c r="R984" s="4" t="str">
        <f>IF($N984=1,IF(ISERROR(VLOOKUP($P984,'M1'!$A:$C,R$2,FALSE)),"NOT PRESENT",VLOOKUP($P984,'M1'!$A:$C,R$2,FALSE)),IF($N984=2,IF(ISERROR(VLOOKUP(DATA!$P413,'M2'!$A:$C,R$2,FALSE)),"NOT PRESENT",VLOOKUP(DATA!$P413,'M2'!$A:$C,R$2,FALSE)),IF($N984=0,IF(ISERROR(VLOOKUP($P984,'M1'!$A:$C,R$2,FALSE)),IF(ISERROR(VLOOKUP(DATA!$P413,'M2'!$A:$C,R$2,FALSE)),"NOT PRESENT",VLOOKUP(DATA!$P413,'M2'!$A:$C,R$2,FALSE)),VLOOKUP($P984,'M1'!$A:$C,R$2,FALSE)),"SPECIFY METHOD")))</f>
        <v>NOT PRESENT</v>
      </c>
      <c r="S984" s="20">
        <f t="shared" si="114"/>
        <v>1</v>
      </c>
      <c r="T984" s="2">
        <v>1</v>
      </c>
    </row>
    <row r="985" spans="1:24">
      <c r="A985" s="7">
        <f>MAX($A$1:$A984)+1</f>
        <v>984</v>
      </c>
      <c r="B985" s="2" t="str">
        <f t="shared" si="112"/>
        <v>Em Lim</v>
      </c>
      <c r="C985" s="2" t="str">
        <f t="shared" si="115"/>
        <v>Isabelle Cote</v>
      </c>
      <c r="D985" s="2" t="str">
        <f t="shared" si="116"/>
        <v>BMSC26</v>
      </c>
      <c r="E985" s="7" t="str">
        <f>IF(ISERROR(VLOOKUP($D985,SITES!$A:$E,2,FALSE)),"",VLOOKUP($D985,SITES!$A:$E,2,FALSE))</f>
        <v>Hosie South</v>
      </c>
      <c r="F985" s="4">
        <f>IF(ISERROR(VLOOKUP($D985,SITES!$A:$E,3,FALSE)),"",VLOOKUP($D985,SITES!$A:$E,3,FALSE))</f>
        <v>48.9071</v>
      </c>
      <c r="G985" s="18">
        <f>IF(ISERROR(VLOOKUP($D985,SITES!$A:$E,4,FALSE)),"",VLOOKUP($D985,SITES!$A:$E,4,FALSE))</f>
        <v>-125.03701700000001</v>
      </c>
      <c r="H985" s="5" t="str">
        <f t="shared" si="117"/>
        <v>19/05/2023</v>
      </c>
      <c r="I985" s="2">
        <f t="shared" si="118"/>
        <v>3</v>
      </c>
      <c r="J985" s="2">
        <f t="shared" si="113"/>
        <v>330</v>
      </c>
      <c r="K985" s="6">
        <f t="shared" si="120"/>
        <v>0.4284722222222222</v>
      </c>
      <c r="L985" s="2" t="str">
        <f t="shared" si="121"/>
        <v>JMS</v>
      </c>
      <c r="M985" s="2">
        <f t="shared" si="122"/>
        <v>10</v>
      </c>
      <c r="N985" s="2">
        <f t="shared" si="124"/>
        <v>2</v>
      </c>
      <c r="O985" s="2">
        <f t="shared" si="123"/>
        <v>2</v>
      </c>
      <c r="P985" s="27" t="s">
        <v>199</v>
      </c>
      <c r="Q985" s="7" t="str">
        <f>IF($N985=1,IF(ISERROR(VLOOKUP($P985,'M1'!$A:$C,Q$2,FALSE)),"NOT PRESENT",VLOOKUP($P985,'M1'!$A:$C,Q$2,FALSE)),IF($N985=2,IF(ISERROR(VLOOKUP(DATA!$P414,'M2'!$A:$C,Q$2,FALSE)),"NOT PRESENT",VLOOKUP(DATA!$P414,'M2'!$A:$C,Q$2,FALSE)),IF($N985=0,IF(ISERROR(VLOOKUP($P985,'M1'!$A:$C,Q$2,FALSE)),IF(ISERROR(VLOOKUP(DATA!$P414,'M2'!$A:$C,Q$2,FALSE)),"NOT PRESENT",VLOOKUP(DATA!$P414,'M2'!$A:$C,Q$2,FALSE)),VLOOKUP($P985,'M1'!$A:$C,Q$2,FALSE)),"SPECIFY METHOD")))</f>
        <v>NOT PRESENT</v>
      </c>
      <c r="R985" s="4" t="str">
        <f>IF($N985=1,IF(ISERROR(VLOOKUP($P985,'M1'!$A:$C,R$2,FALSE)),"NOT PRESENT",VLOOKUP($P985,'M1'!$A:$C,R$2,FALSE)),IF($N985=2,IF(ISERROR(VLOOKUP(DATA!$P414,'M2'!$A:$C,R$2,FALSE)),"NOT PRESENT",VLOOKUP(DATA!$P414,'M2'!$A:$C,R$2,FALSE)),IF($N985=0,IF(ISERROR(VLOOKUP($P985,'M1'!$A:$C,R$2,FALSE)),IF(ISERROR(VLOOKUP(DATA!$P414,'M2'!$A:$C,R$2,FALSE)),"NOT PRESENT",VLOOKUP(DATA!$P414,'M2'!$A:$C,R$2,FALSE)),VLOOKUP($P985,'M1'!$A:$C,R$2,FALSE)),"SPECIFY METHOD")))</f>
        <v>NOT PRESENT</v>
      </c>
      <c r="S985" s="20">
        <f t="shared" si="114"/>
        <v>2</v>
      </c>
      <c r="T985" s="2">
        <v>2</v>
      </c>
    </row>
    <row r="986" spans="1:24">
      <c r="A986" s="7">
        <f>MAX($A$1:$A985)+1</f>
        <v>985</v>
      </c>
      <c r="B986" s="2" t="str">
        <f t="shared" si="112"/>
        <v>Em Lim</v>
      </c>
      <c r="C986" s="2" t="str">
        <f t="shared" si="115"/>
        <v>Isabelle Cote</v>
      </c>
      <c r="D986" s="2" t="str">
        <f t="shared" si="116"/>
        <v>BMSC26</v>
      </c>
      <c r="E986" s="7" t="str">
        <f>IF(ISERROR(VLOOKUP($D986,SITES!$A:$E,2,FALSE)),"",VLOOKUP($D986,SITES!$A:$E,2,FALSE))</f>
        <v>Hosie South</v>
      </c>
      <c r="F986" s="4">
        <f>IF(ISERROR(VLOOKUP($D986,SITES!$A:$E,3,FALSE)),"",VLOOKUP($D986,SITES!$A:$E,3,FALSE))</f>
        <v>48.9071</v>
      </c>
      <c r="G986" s="18">
        <f>IF(ISERROR(VLOOKUP($D986,SITES!$A:$E,4,FALSE)),"",VLOOKUP($D986,SITES!$A:$E,4,FALSE))</f>
        <v>-125.03701700000001</v>
      </c>
      <c r="H986" s="5" t="str">
        <f t="shared" si="117"/>
        <v>19/05/2023</v>
      </c>
      <c r="I986" s="2">
        <f t="shared" si="118"/>
        <v>3</v>
      </c>
      <c r="J986" s="2">
        <f t="shared" si="113"/>
        <v>330</v>
      </c>
      <c r="K986" s="6">
        <f t="shared" si="120"/>
        <v>0.4284722222222222</v>
      </c>
      <c r="L986" s="2" t="str">
        <f t="shared" si="121"/>
        <v>JMS</v>
      </c>
      <c r="M986" s="2">
        <f t="shared" si="122"/>
        <v>10</v>
      </c>
      <c r="N986" s="2">
        <f t="shared" si="124"/>
        <v>2</v>
      </c>
      <c r="O986" s="2">
        <f t="shared" si="123"/>
        <v>2</v>
      </c>
      <c r="P986" s="27" t="s">
        <v>282</v>
      </c>
      <c r="Q986" s="7" t="s">
        <v>283</v>
      </c>
      <c r="R986" s="4" t="s">
        <v>136</v>
      </c>
      <c r="S986" s="20">
        <f t="shared" si="114"/>
        <v>3</v>
      </c>
      <c r="T986" s="2">
        <v>3</v>
      </c>
    </row>
    <row r="987" spans="1:24">
      <c r="A987" s="7">
        <f>MAX($A$1:$A986)+1</f>
        <v>986</v>
      </c>
      <c r="B987" s="2" t="str">
        <f t="shared" si="112"/>
        <v>Em Lim</v>
      </c>
      <c r="C987" s="2" t="str">
        <f t="shared" si="115"/>
        <v>Isabelle Cote</v>
      </c>
      <c r="D987" s="2" t="str">
        <f t="shared" si="116"/>
        <v>BMSC26</v>
      </c>
      <c r="E987" s="7" t="str">
        <f>IF(ISERROR(VLOOKUP($D987,SITES!$A:$E,2,FALSE)),"",VLOOKUP($D987,SITES!$A:$E,2,FALSE))</f>
        <v>Hosie South</v>
      </c>
      <c r="F987" s="4">
        <f>IF(ISERROR(VLOOKUP($D987,SITES!$A:$E,3,FALSE)),"",VLOOKUP($D987,SITES!$A:$E,3,FALSE))</f>
        <v>48.9071</v>
      </c>
      <c r="G987" s="18">
        <f>IF(ISERROR(VLOOKUP($D987,SITES!$A:$E,4,FALSE)),"",VLOOKUP($D987,SITES!$A:$E,4,FALSE))</f>
        <v>-125.03701700000001</v>
      </c>
      <c r="H987" s="5" t="str">
        <f t="shared" si="117"/>
        <v>19/05/2023</v>
      </c>
      <c r="I987" s="2">
        <f t="shared" si="118"/>
        <v>3</v>
      </c>
      <c r="J987" s="2">
        <f t="shared" si="113"/>
        <v>330</v>
      </c>
      <c r="K987" s="6">
        <f t="shared" si="120"/>
        <v>0.4284722222222222</v>
      </c>
      <c r="L987" s="2" t="str">
        <f t="shared" si="121"/>
        <v>JMS</v>
      </c>
      <c r="M987" s="2">
        <f t="shared" si="122"/>
        <v>10</v>
      </c>
      <c r="N987" s="2">
        <f t="shared" si="124"/>
        <v>2</v>
      </c>
      <c r="O987" s="2">
        <f t="shared" si="123"/>
        <v>2</v>
      </c>
      <c r="P987" s="27" t="s">
        <v>181</v>
      </c>
      <c r="Q987" s="7" t="str">
        <f>IF($N987=1,IF(ISERROR(VLOOKUP($P987,'M1'!$A:$C,Q$2,FALSE)),"NOT PRESENT",VLOOKUP($P987,'M1'!$A:$C,Q$2,FALSE)),IF($N987=2,IF(ISERROR(VLOOKUP(DATA!$P416,'M2'!$A:$C,Q$2,FALSE)),"NOT PRESENT",VLOOKUP(DATA!$P416,'M2'!$A:$C,Q$2,FALSE)),IF($N987=0,IF(ISERROR(VLOOKUP($P987,'M1'!$A:$C,Q$2,FALSE)),IF(ISERROR(VLOOKUP(DATA!$P416,'M2'!$A:$C,Q$2,FALSE)),"NOT PRESENT",VLOOKUP(DATA!$P416,'M2'!$A:$C,Q$2,FALSE)),VLOOKUP($P987,'M1'!$A:$C,Q$2,FALSE)),"SPECIFY METHOD")))</f>
        <v>NOT PRESENT</v>
      </c>
      <c r="R987" s="4" t="str">
        <f>IF($N987=1,IF(ISERROR(VLOOKUP($P987,'M1'!$A:$C,R$2,FALSE)),"NOT PRESENT",VLOOKUP($P987,'M1'!$A:$C,R$2,FALSE)),IF($N987=2,IF(ISERROR(VLOOKUP(DATA!$P416,'M2'!$A:$C,R$2,FALSE)),"NOT PRESENT",VLOOKUP(DATA!$P416,'M2'!$A:$C,R$2,FALSE)),IF($N987=0,IF(ISERROR(VLOOKUP($P987,'M1'!$A:$C,R$2,FALSE)),IF(ISERROR(VLOOKUP(DATA!$P416,'M2'!$A:$C,R$2,FALSE)),"NOT PRESENT",VLOOKUP(DATA!$P416,'M2'!$A:$C,R$2,FALSE)),VLOOKUP($P987,'M1'!$A:$C,R$2,FALSE)),"SPECIFY METHOD")))</f>
        <v>NOT PRESENT</v>
      </c>
      <c r="S987" s="20">
        <f t="shared" si="114"/>
        <v>1</v>
      </c>
      <c r="T987" s="2">
        <v>0</v>
      </c>
      <c r="W987" s="2">
        <v>1</v>
      </c>
    </row>
    <row r="988" spans="1:24">
      <c r="A988" s="7">
        <f>MAX($A$1:$A987)+1</f>
        <v>987</v>
      </c>
      <c r="B988" s="2" t="str">
        <f t="shared" si="112"/>
        <v>Em Lim</v>
      </c>
      <c r="C988" s="2" t="str">
        <f t="shared" si="115"/>
        <v>Isabelle Cote</v>
      </c>
      <c r="D988" s="2" t="str">
        <f t="shared" si="116"/>
        <v>BMSC26</v>
      </c>
      <c r="E988" s="7" t="str">
        <f>IF(ISERROR(VLOOKUP($D988,SITES!$A:$E,2,FALSE)),"",VLOOKUP($D988,SITES!$A:$E,2,FALSE))</f>
        <v>Hosie South</v>
      </c>
      <c r="F988" s="4">
        <f>IF(ISERROR(VLOOKUP($D988,SITES!$A:$E,3,FALSE)),"",VLOOKUP($D988,SITES!$A:$E,3,FALSE))</f>
        <v>48.9071</v>
      </c>
      <c r="G988" s="18">
        <f>IF(ISERROR(VLOOKUP($D988,SITES!$A:$E,4,FALSE)),"",VLOOKUP($D988,SITES!$A:$E,4,FALSE))</f>
        <v>-125.03701700000001</v>
      </c>
      <c r="H988" s="5" t="str">
        <f t="shared" si="117"/>
        <v>19/05/2023</v>
      </c>
      <c r="I988" s="2">
        <f t="shared" si="118"/>
        <v>3</v>
      </c>
      <c r="J988" s="2">
        <f t="shared" si="113"/>
        <v>330</v>
      </c>
      <c r="K988" s="6">
        <f t="shared" si="120"/>
        <v>0.4284722222222222</v>
      </c>
      <c r="L988" s="2" t="str">
        <f t="shared" si="121"/>
        <v>JMS</v>
      </c>
      <c r="M988" s="2">
        <f t="shared" si="122"/>
        <v>10</v>
      </c>
      <c r="N988" s="2">
        <f t="shared" si="124"/>
        <v>2</v>
      </c>
      <c r="O988" s="2">
        <f t="shared" si="123"/>
        <v>2</v>
      </c>
      <c r="P988" s="27" t="s">
        <v>195</v>
      </c>
      <c r="Q988" s="7" t="str">
        <f>IF($N988=1,IF(ISERROR(VLOOKUP($P988,'M1'!$A:$C,Q$2,FALSE)),"NOT PRESENT",VLOOKUP($P988,'M1'!$A:$C,Q$2,FALSE)),IF($N988=2,IF(ISERROR(VLOOKUP(DATA!$P417,'M2'!$A:$C,Q$2,FALSE)),"NOT PRESENT",VLOOKUP(DATA!$P417,'M2'!$A:$C,Q$2,FALSE)),IF($N988=0,IF(ISERROR(VLOOKUP($P988,'M1'!$A:$C,Q$2,FALSE)),IF(ISERROR(VLOOKUP(DATA!$P417,'M2'!$A:$C,Q$2,FALSE)),"NOT PRESENT",VLOOKUP(DATA!$P417,'M2'!$A:$C,Q$2,FALSE)),VLOOKUP($P988,'M1'!$A:$C,Q$2,FALSE)),"SPECIFY METHOD")))</f>
        <v>NOT PRESENT</v>
      </c>
      <c r="R988" s="4" t="str">
        <f>IF($N988=1,IF(ISERROR(VLOOKUP($P988,'M1'!$A:$C,R$2,FALSE)),"NOT PRESENT",VLOOKUP($P988,'M1'!$A:$C,R$2,FALSE)),IF($N988=2,IF(ISERROR(VLOOKUP(DATA!$P417,'M2'!$A:$C,R$2,FALSE)),"NOT PRESENT",VLOOKUP(DATA!$P417,'M2'!$A:$C,R$2,FALSE)),IF($N988=0,IF(ISERROR(VLOOKUP($P988,'M1'!$A:$C,R$2,FALSE)),IF(ISERROR(VLOOKUP(DATA!$P417,'M2'!$A:$C,R$2,FALSE)),"NOT PRESENT",VLOOKUP(DATA!$P417,'M2'!$A:$C,R$2,FALSE)),VLOOKUP($P988,'M1'!$A:$C,R$2,FALSE)),"SPECIFY METHOD")))</f>
        <v>NOT PRESENT</v>
      </c>
      <c r="S988" s="20">
        <f t="shared" si="114"/>
        <v>1</v>
      </c>
      <c r="T988" s="2">
        <v>1</v>
      </c>
    </row>
    <row r="989" spans="1:24">
      <c r="A989" s="7">
        <f>MAX($A$1:$A988)+1</f>
        <v>988</v>
      </c>
      <c r="B989" s="2" t="str">
        <f t="shared" si="112"/>
        <v>Em Lim</v>
      </c>
      <c r="C989" s="2" t="str">
        <f t="shared" si="115"/>
        <v>Isabelle Cote</v>
      </c>
      <c r="D989" s="2" t="str">
        <f t="shared" si="116"/>
        <v>BMSC26</v>
      </c>
      <c r="E989" s="7" t="str">
        <f>IF(ISERROR(VLOOKUP($D989,SITES!$A:$E,2,FALSE)),"",VLOOKUP($D989,SITES!$A:$E,2,FALSE))</f>
        <v>Hosie South</v>
      </c>
      <c r="F989" s="4">
        <f>IF(ISERROR(VLOOKUP($D989,SITES!$A:$E,3,FALSE)),"",VLOOKUP($D989,SITES!$A:$E,3,FALSE))</f>
        <v>48.9071</v>
      </c>
      <c r="G989" s="18">
        <f>IF(ISERROR(VLOOKUP($D989,SITES!$A:$E,4,FALSE)),"",VLOOKUP($D989,SITES!$A:$E,4,FALSE))</f>
        <v>-125.03701700000001</v>
      </c>
      <c r="H989" s="5" t="str">
        <f t="shared" si="117"/>
        <v>19/05/2023</v>
      </c>
      <c r="I989" s="2">
        <f t="shared" si="118"/>
        <v>3</v>
      </c>
      <c r="J989" s="2">
        <f t="shared" si="113"/>
        <v>330</v>
      </c>
      <c r="K989" s="6">
        <f t="shared" si="120"/>
        <v>0.4284722222222222</v>
      </c>
      <c r="L989" s="2" t="str">
        <f t="shared" si="121"/>
        <v>JMS</v>
      </c>
      <c r="M989" s="2">
        <f t="shared" si="122"/>
        <v>10</v>
      </c>
      <c r="N989" s="2">
        <f t="shared" si="124"/>
        <v>2</v>
      </c>
      <c r="O989" s="2">
        <f t="shared" si="123"/>
        <v>2</v>
      </c>
      <c r="P989" s="27" t="s">
        <v>182</v>
      </c>
      <c r="Q989" s="7" t="str">
        <f>IF($N989=1,IF(ISERROR(VLOOKUP($P989,'M1'!$A:$C,Q$2,FALSE)),"NOT PRESENT",VLOOKUP($P989,'M1'!$A:$C,Q$2,FALSE)),IF($N989=2,IF(ISERROR(VLOOKUP(DATA!$P418,'M2'!$A:$C,Q$2,FALSE)),"NOT PRESENT",VLOOKUP(DATA!$P418,'M2'!$A:$C,Q$2,FALSE)),IF($N989=0,IF(ISERROR(VLOOKUP($P989,'M1'!$A:$C,Q$2,FALSE)),IF(ISERROR(VLOOKUP(DATA!$P418,'M2'!$A:$C,Q$2,FALSE)),"NOT PRESENT",VLOOKUP(DATA!$P418,'M2'!$A:$C,Q$2,FALSE)),VLOOKUP($P989,'M1'!$A:$C,Q$2,FALSE)),"SPECIFY METHOD")))</f>
        <v>NOT PRESENT</v>
      </c>
      <c r="R989" s="4" t="str">
        <f>IF($N989=1,IF(ISERROR(VLOOKUP($P989,'M1'!$A:$C,R$2,FALSE)),"NOT PRESENT",VLOOKUP($P989,'M1'!$A:$C,R$2,FALSE)),IF($N989=2,IF(ISERROR(VLOOKUP(DATA!$P418,'M2'!$A:$C,R$2,FALSE)),"NOT PRESENT",VLOOKUP(DATA!$P418,'M2'!$A:$C,R$2,FALSE)),IF($N989=0,IF(ISERROR(VLOOKUP($P989,'M1'!$A:$C,R$2,FALSE)),IF(ISERROR(VLOOKUP(DATA!$P418,'M2'!$A:$C,R$2,FALSE)),"NOT PRESENT",VLOOKUP(DATA!$P418,'M2'!$A:$C,R$2,FALSE)),VLOOKUP($P989,'M1'!$A:$C,R$2,FALSE)),"SPECIFY METHOD")))</f>
        <v>NOT PRESENT</v>
      </c>
      <c r="S989" s="20">
        <f t="shared" si="114"/>
        <v>8</v>
      </c>
      <c r="T989" s="2">
        <v>8</v>
      </c>
    </row>
    <row r="990" spans="1:24">
      <c r="A990" s="7">
        <f>MAX($A$1:$A989)+1</f>
        <v>989</v>
      </c>
      <c r="B990" s="2" t="str">
        <f t="shared" si="112"/>
        <v>Em Lim</v>
      </c>
      <c r="C990" s="2" t="str">
        <f t="shared" si="115"/>
        <v>Isabelle Cote</v>
      </c>
      <c r="D990" s="2" t="str">
        <f t="shared" si="116"/>
        <v>BMSC26</v>
      </c>
      <c r="E990" s="7" t="str">
        <f>IF(ISERROR(VLOOKUP($D990,SITES!$A:$E,2,FALSE)),"",VLOOKUP($D990,SITES!$A:$E,2,FALSE))</f>
        <v>Hosie South</v>
      </c>
      <c r="F990" s="4">
        <f>IF(ISERROR(VLOOKUP($D990,SITES!$A:$E,3,FALSE)),"",VLOOKUP($D990,SITES!$A:$E,3,FALSE))</f>
        <v>48.9071</v>
      </c>
      <c r="G990" s="18">
        <f>IF(ISERROR(VLOOKUP($D990,SITES!$A:$E,4,FALSE)),"",VLOOKUP($D990,SITES!$A:$E,4,FALSE))</f>
        <v>-125.03701700000001</v>
      </c>
      <c r="H990" s="5" t="str">
        <f t="shared" si="117"/>
        <v>19/05/2023</v>
      </c>
      <c r="I990" s="2">
        <f t="shared" si="118"/>
        <v>3</v>
      </c>
      <c r="J990" s="2">
        <f t="shared" si="113"/>
        <v>330</v>
      </c>
      <c r="K990" s="6">
        <f t="shared" si="120"/>
        <v>0.4284722222222222</v>
      </c>
      <c r="L990" s="2" t="str">
        <f t="shared" si="121"/>
        <v>JMS</v>
      </c>
      <c r="M990" s="2">
        <f t="shared" si="122"/>
        <v>10</v>
      </c>
      <c r="N990" s="2">
        <f t="shared" si="124"/>
        <v>2</v>
      </c>
      <c r="O990" s="2">
        <f t="shared" si="123"/>
        <v>2</v>
      </c>
      <c r="P990" s="27" t="s">
        <v>190</v>
      </c>
      <c r="Q990" s="7" t="str">
        <f>IF($N990=1,IF(ISERROR(VLOOKUP($P990,'M1'!$A:$C,Q$2,FALSE)),"NOT PRESENT",VLOOKUP($P990,'M1'!$A:$C,Q$2,FALSE)),IF($N990=2,IF(ISERROR(VLOOKUP(DATA!$P419,'M2'!$A:$C,Q$2,FALSE)),"NOT PRESENT",VLOOKUP(DATA!$P419,'M2'!$A:$C,Q$2,FALSE)),IF($N990=0,IF(ISERROR(VLOOKUP($P990,'M1'!$A:$C,Q$2,FALSE)),IF(ISERROR(VLOOKUP(DATA!$P419,'M2'!$A:$C,Q$2,FALSE)),"NOT PRESENT",VLOOKUP(DATA!$P419,'M2'!$A:$C,Q$2,FALSE)),VLOOKUP($P990,'M1'!$A:$C,Q$2,FALSE)),"SPECIFY METHOD")))</f>
        <v>NOT PRESENT</v>
      </c>
      <c r="R990" s="4" t="str">
        <f>IF($N990=1,IF(ISERROR(VLOOKUP($P990,'M1'!$A:$C,R$2,FALSE)),"NOT PRESENT",VLOOKUP($P990,'M1'!$A:$C,R$2,FALSE)),IF($N990=2,IF(ISERROR(VLOOKUP(DATA!$P419,'M2'!$A:$C,R$2,FALSE)),"NOT PRESENT",VLOOKUP(DATA!$P419,'M2'!$A:$C,R$2,FALSE)),IF($N990=0,IF(ISERROR(VLOOKUP($P990,'M1'!$A:$C,R$2,FALSE)),IF(ISERROR(VLOOKUP(DATA!$P419,'M2'!$A:$C,R$2,FALSE)),"NOT PRESENT",VLOOKUP(DATA!$P419,'M2'!$A:$C,R$2,FALSE)),VLOOKUP($P990,'M1'!$A:$C,R$2,FALSE)),"SPECIFY METHOD")))</f>
        <v>NOT PRESENT</v>
      </c>
      <c r="S990" s="20">
        <f t="shared" si="114"/>
        <v>4</v>
      </c>
      <c r="T990" s="2">
        <v>4</v>
      </c>
    </row>
    <row r="991" spans="1:24">
      <c r="A991" s="7">
        <f>MAX($A$1:$A990)+1</f>
        <v>990</v>
      </c>
      <c r="B991" s="2" t="str">
        <f t="shared" si="112"/>
        <v>Em Lim</v>
      </c>
      <c r="C991" s="2" t="str">
        <f t="shared" si="115"/>
        <v>Isabelle Cote</v>
      </c>
      <c r="D991" s="2" t="str">
        <f t="shared" si="116"/>
        <v>BMSC26</v>
      </c>
      <c r="E991" s="7" t="str">
        <f>IF(ISERROR(VLOOKUP($D991,SITES!$A:$E,2,FALSE)),"",VLOOKUP($D991,SITES!$A:$E,2,FALSE))</f>
        <v>Hosie South</v>
      </c>
      <c r="F991" s="4">
        <f>IF(ISERROR(VLOOKUP($D991,SITES!$A:$E,3,FALSE)),"",VLOOKUP($D991,SITES!$A:$E,3,FALSE))</f>
        <v>48.9071</v>
      </c>
      <c r="G991" s="18">
        <f>IF(ISERROR(VLOOKUP($D991,SITES!$A:$E,4,FALSE)),"",VLOOKUP($D991,SITES!$A:$E,4,FALSE))</f>
        <v>-125.03701700000001</v>
      </c>
      <c r="H991" s="5" t="str">
        <f t="shared" si="117"/>
        <v>19/05/2023</v>
      </c>
      <c r="I991" s="2">
        <f t="shared" si="118"/>
        <v>3</v>
      </c>
      <c r="J991" s="2">
        <f t="shared" si="113"/>
        <v>330</v>
      </c>
      <c r="K991" s="6">
        <f t="shared" si="120"/>
        <v>0.4284722222222222</v>
      </c>
      <c r="L991" s="2" t="str">
        <f t="shared" si="121"/>
        <v>JMS</v>
      </c>
      <c r="M991" s="2">
        <f t="shared" si="122"/>
        <v>10</v>
      </c>
      <c r="N991" s="2">
        <f t="shared" si="124"/>
        <v>2</v>
      </c>
      <c r="O991" s="2">
        <f t="shared" si="123"/>
        <v>2</v>
      </c>
      <c r="P991" s="27" t="s">
        <v>284</v>
      </c>
      <c r="Q991" s="7" t="str">
        <f>IF($N991=1,IF(ISERROR(VLOOKUP($P991,'M1'!$A:$C,Q$2,FALSE)),"NOT PRESENT",VLOOKUP($P991,'M1'!$A:$C,Q$2,FALSE)),IF($N991=2,IF(ISERROR(VLOOKUP(DATA!$P420,'M2'!$A:$C,Q$2,FALSE)),"NOT PRESENT",VLOOKUP(DATA!$P420,'M2'!$A:$C,Q$2,FALSE)),IF($N991=0,IF(ISERROR(VLOOKUP($P991,'M1'!$A:$C,Q$2,FALSE)),IF(ISERROR(VLOOKUP(DATA!$P420,'M2'!$A:$C,Q$2,FALSE)),"NOT PRESENT",VLOOKUP(DATA!$P420,'M2'!$A:$C,Q$2,FALSE)),VLOOKUP($P991,'M1'!$A:$C,Q$2,FALSE)),"SPECIFY METHOD")))</f>
        <v>NOT PRESENT</v>
      </c>
      <c r="R991" s="4" t="str">
        <f>IF($N991=1,IF(ISERROR(VLOOKUP($P991,'M1'!$A:$C,R$2,FALSE)),"NOT PRESENT",VLOOKUP($P991,'M1'!$A:$C,R$2,FALSE)),IF($N991=2,IF(ISERROR(VLOOKUP(DATA!$P420,'M2'!$A:$C,R$2,FALSE)),"NOT PRESENT",VLOOKUP(DATA!$P420,'M2'!$A:$C,R$2,FALSE)),IF($N991=0,IF(ISERROR(VLOOKUP($P991,'M1'!$A:$C,R$2,FALSE)),IF(ISERROR(VLOOKUP(DATA!$P420,'M2'!$A:$C,R$2,FALSE)),"NOT PRESENT",VLOOKUP(DATA!$P420,'M2'!$A:$C,R$2,FALSE)),VLOOKUP($P991,'M1'!$A:$C,R$2,FALSE)),"SPECIFY METHOD")))</f>
        <v>NOT PRESENT</v>
      </c>
      <c r="S991" s="20">
        <f t="shared" si="114"/>
        <v>10</v>
      </c>
      <c r="T991" s="2">
        <v>10</v>
      </c>
    </row>
    <row r="992" spans="1:24">
      <c r="A992" s="7">
        <f>MAX($A$1:$A991)+1</f>
        <v>991</v>
      </c>
      <c r="B992" s="2" t="str">
        <f t="shared" si="112"/>
        <v>Em Lim</v>
      </c>
      <c r="C992" s="2" t="str">
        <f t="shared" si="115"/>
        <v>Isabelle Cote</v>
      </c>
      <c r="D992" s="2" t="str">
        <f t="shared" si="116"/>
        <v>BMSC26</v>
      </c>
      <c r="E992" s="7" t="str">
        <f>IF(ISERROR(VLOOKUP($D992,SITES!$A:$E,2,FALSE)),"",VLOOKUP($D992,SITES!$A:$E,2,FALSE))</f>
        <v>Hosie South</v>
      </c>
      <c r="F992" s="4">
        <f>IF(ISERROR(VLOOKUP($D992,SITES!$A:$E,3,FALSE)),"",VLOOKUP($D992,SITES!$A:$E,3,FALSE))</f>
        <v>48.9071</v>
      </c>
      <c r="G992" s="18">
        <f>IF(ISERROR(VLOOKUP($D992,SITES!$A:$E,4,FALSE)),"",VLOOKUP($D992,SITES!$A:$E,4,FALSE))</f>
        <v>-125.03701700000001</v>
      </c>
      <c r="H992" s="5" t="str">
        <f t="shared" si="117"/>
        <v>19/05/2023</v>
      </c>
      <c r="I992" s="2">
        <f t="shared" si="118"/>
        <v>3</v>
      </c>
      <c r="J992" s="2">
        <f t="shared" si="113"/>
        <v>330</v>
      </c>
      <c r="K992" s="6">
        <f t="shared" si="120"/>
        <v>0.4284722222222222</v>
      </c>
      <c r="L992" s="2" t="str">
        <f t="shared" si="121"/>
        <v>JMS</v>
      </c>
      <c r="M992" s="2">
        <f t="shared" si="122"/>
        <v>10</v>
      </c>
      <c r="N992" s="2">
        <f t="shared" si="124"/>
        <v>2</v>
      </c>
      <c r="O992" s="2">
        <f t="shared" si="123"/>
        <v>2</v>
      </c>
      <c r="P992" s="27" t="s">
        <v>206</v>
      </c>
      <c r="Q992" s="7" t="str">
        <f>IF($N992=1,IF(ISERROR(VLOOKUP($P992,'M1'!$A:$C,Q$2,FALSE)),"NOT PRESENT",VLOOKUP($P992,'M1'!$A:$C,Q$2,FALSE)),IF($N992=2,IF(ISERROR(VLOOKUP(DATA!$P421,'M2'!$A:$C,Q$2,FALSE)),"NOT PRESENT",VLOOKUP(DATA!$P421,'M2'!$A:$C,Q$2,FALSE)),IF($N992=0,IF(ISERROR(VLOOKUP($P992,'M1'!$A:$C,Q$2,FALSE)),IF(ISERROR(VLOOKUP(DATA!$P421,'M2'!$A:$C,Q$2,FALSE)),"NOT PRESENT",VLOOKUP(DATA!$P421,'M2'!$A:$C,Q$2,FALSE)),VLOOKUP($P992,'M1'!$A:$C,Q$2,FALSE)),"SPECIFY METHOD")))</f>
        <v>NOT PRESENT</v>
      </c>
      <c r="R992" s="4" t="str">
        <f>IF($N992=1,IF(ISERROR(VLOOKUP($P992,'M1'!$A:$C,R$2,FALSE)),"NOT PRESENT",VLOOKUP($P992,'M1'!$A:$C,R$2,FALSE)),IF($N992=2,IF(ISERROR(VLOOKUP(DATA!$P421,'M2'!$A:$C,R$2,FALSE)),"NOT PRESENT",VLOOKUP(DATA!$P421,'M2'!$A:$C,R$2,FALSE)),IF($N992=0,IF(ISERROR(VLOOKUP($P992,'M1'!$A:$C,R$2,FALSE)),IF(ISERROR(VLOOKUP(DATA!$P421,'M2'!$A:$C,R$2,FALSE)),"NOT PRESENT",VLOOKUP(DATA!$P421,'M2'!$A:$C,R$2,FALSE)),VLOOKUP($P992,'M1'!$A:$C,R$2,FALSE)),"SPECIFY METHOD")))</f>
        <v>NOT PRESENT</v>
      </c>
      <c r="S992" s="20">
        <f t="shared" si="114"/>
        <v>8</v>
      </c>
      <c r="T992" s="2">
        <v>0</v>
      </c>
      <c r="U992" s="2">
        <v>1</v>
      </c>
      <c r="V992" s="2">
        <v>1</v>
      </c>
      <c r="W992" s="2">
        <v>3</v>
      </c>
      <c r="X992" s="2">
        <v>3</v>
      </c>
    </row>
    <row r="993" spans="1:30">
      <c r="A993" s="7">
        <f>MAX($A$1:$A992)+1</f>
        <v>992</v>
      </c>
      <c r="B993" s="2" t="str">
        <f t="shared" si="112"/>
        <v>Em Lim</v>
      </c>
      <c r="C993" s="2" t="str">
        <f t="shared" si="115"/>
        <v>Isabelle Cote</v>
      </c>
      <c r="D993" s="2" t="str">
        <f t="shared" si="116"/>
        <v>BMSC26</v>
      </c>
      <c r="E993" s="7" t="str">
        <f>IF(ISERROR(VLOOKUP($D993,SITES!$A:$E,2,FALSE)),"",VLOOKUP($D993,SITES!$A:$E,2,FALSE))</f>
        <v>Hosie South</v>
      </c>
      <c r="F993" s="4">
        <f>IF(ISERROR(VLOOKUP($D993,SITES!$A:$E,3,FALSE)),"",VLOOKUP($D993,SITES!$A:$E,3,FALSE))</f>
        <v>48.9071</v>
      </c>
      <c r="G993" s="18">
        <f>IF(ISERROR(VLOOKUP($D993,SITES!$A:$E,4,FALSE)),"",VLOOKUP($D993,SITES!$A:$E,4,FALSE))</f>
        <v>-125.03701700000001</v>
      </c>
      <c r="H993" s="5" t="str">
        <f t="shared" si="117"/>
        <v>19/05/2023</v>
      </c>
      <c r="I993" s="2">
        <f t="shared" si="118"/>
        <v>3</v>
      </c>
      <c r="J993" s="2">
        <f t="shared" si="113"/>
        <v>330</v>
      </c>
      <c r="K993" s="6">
        <f t="shared" si="120"/>
        <v>0.4284722222222222</v>
      </c>
      <c r="L993" s="2" t="str">
        <f t="shared" si="121"/>
        <v>JMS</v>
      </c>
      <c r="M993" s="2">
        <f t="shared" si="122"/>
        <v>10</v>
      </c>
      <c r="N993" s="2">
        <f t="shared" si="124"/>
        <v>2</v>
      </c>
      <c r="O993" s="2">
        <f t="shared" si="123"/>
        <v>2</v>
      </c>
      <c r="P993" s="27" t="s">
        <v>188</v>
      </c>
      <c r="Q993" s="7" t="str">
        <f>IF($N993=1,IF(ISERROR(VLOOKUP($P993,'M1'!$A:$C,Q$2,FALSE)),"NOT PRESENT",VLOOKUP($P993,'M1'!$A:$C,Q$2,FALSE)),IF($N993=2,IF(ISERROR(VLOOKUP(DATA!$P422,'M2'!$A:$C,Q$2,FALSE)),"NOT PRESENT",VLOOKUP(DATA!$P422,'M2'!$A:$C,Q$2,FALSE)),IF($N993=0,IF(ISERROR(VLOOKUP($P993,'M1'!$A:$C,Q$2,FALSE)),IF(ISERROR(VLOOKUP(DATA!$P422,'M2'!$A:$C,Q$2,FALSE)),"NOT PRESENT",VLOOKUP(DATA!$P422,'M2'!$A:$C,Q$2,FALSE)),VLOOKUP($P993,'M1'!$A:$C,Q$2,FALSE)),"SPECIFY METHOD")))</f>
        <v>NOT PRESENT</v>
      </c>
      <c r="R993" s="4" t="str">
        <f>IF($N993=1,IF(ISERROR(VLOOKUP($P993,'M1'!$A:$C,R$2,FALSE)),"NOT PRESENT",VLOOKUP($P993,'M1'!$A:$C,R$2,FALSE)),IF($N993=2,IF(ISERROR(VLOOKUP(DATA!$P422,'M2'!$A:$C,R$2,FALSE)),"NOT PRESENT",VLOOKUP(DATA!$P422,'M2'!$A:$C,R$2,FALSE)),IF($N993=0,IF(ISERROR(VLOOKUP($P993,'M1'!$A:$C,R$2,FALSE)),IF(ISERROR(VLOOKUP(DATA!$P422,'M2'!$A:$C,R$2,FALSE)),"NOT PRESENT",VLOOKUP(DATA!$P422,'M2'!$A:$C,R$2,FALSE)),VLOOKUP($P993,'M1'!$A:$C,R$2,FALSE)),"SPECIFY METHOD")))</f>
        <v>NOT PRESENT</v>
      </c>
      <c r="S993" s="20">
        <f t="shared" si="114"/>
        <v>3</v>
      </c>
      <c r="T993" s="2">
        <v>3</v>
      </c>
    </row>
    <row r="994" spans="1:30">
      <c r="A994" s="7">
        <f>MAX($A$1:$A993)+1</f>
        <v>993</v>
      </c>
      <c r="B994" s="2" t="str">
        <f t="shared" si="112"/>
        <v>Em Lim</v>
      </c>
      <c r="C994" s="2" t="str">
        <f t="shared" si="115"/>
        <v>Isabelle Cote</v>
      </c>
      <c r="D994" s="2" t="str">
        <f t="shared" si="116"/>
        <v>BMSC26</v>
      </c>
      <c r="E994" s="7" t="str">
        <f>IF(ISERROR(VLOOKUP($D994,SITES!$A:$E,2,FALSE)),"",VLOOKUP($D994,SITES!$A:$E,2,FALSE))</f>
        <v>Hosie South</v>
      </c>
      <c r="F994" s="4">
        <f>IF(ISERROR(VLOOKUP($D994,SITES!$A:$E,3,FALSE)),"",VLOOKUP($D994,SITES!$A:$E,3,FALSE))</f>
        <v>48.9071</v>
      </c>
      <c r="G994" s="18">
        <f>IF(ISERROR(VLOOKUP($D994,SITES!$A:$E,4,FALSE)),"",VLOOKUP($D994,SITES!$A:$E,4,FALSE))</f>
        <v>-125.03701700000001</v>
      </c>
      <c r="H994" s="5" t="str">
        <f t="shared" si="117"/>
        <v>19/05/2023</v>
      </c>
      <c r="I994" s="2">
        <f t="shared" si="118"/>
        <v>3</v>
      </c>
      <c r="J994" s="2">
        <f t="shared" si="113"/>
        <v>330</v>
      </c>
      <c r="K994" s="6">
        <f t="shared" si="120"/>
        <v>0.4284722222222222</v>
      </c>
      <c r="L994" s="2" t="str">
        <f t="shared" si="121"/>
        <v>JMS</v>
      </c>
      <c r="M994" s="2">
        <f t="shared" si="122"/>
        <v>10</v>
      </c>
      <c r="N994" s="2">
        <f t="shared" si="124"/>
        <v>2</v>
      </c>
      <c r="O994" s="2">
        <f t="shared" si="123"/>
        <v>2</v>
      </c>
      <c r="P994" s="27" t="s">
        <v>285</v>
      </c>
      <c r="Q994" s="7" t="s">
        <v>286</v>
      </c>
      <c r="R994" s="4" t="s">
        <v>287</v>
      </c>
      <c r="S994" s="20">
        <f t="shared" si="114"/>
        <v>1</v>
      </c>
      <c r="T994" s="2">
        <v>1</v>
      </c>
    </row>
    <row r="995" spans="1:30">
      <c r="A995" s="7">
        <f>MAX($A$1:$A994)+1</f>
        <v>994</v>
      </c>
      <c r="B995" s="2" t="str">
        <f t="shared" si="112"/>
        <v>Em Lim</v>
      </c>
      <c r="C995" s="2" t="str">
        <f t="shared" si="115"/>
        <v>Isabelle Cote</v>
      </c>
      <c r="D995" s="2" t="str">
        <f t="shared" si="116"/>
        <v>BMSC26</v>
      </c>
      <c r="E995" s="7" t="str">
        <f>IF(ISERROR(VLOOKUP($D995,SITES!$A:$E,2,FALSE)),"",VLOOKUP($D995,SITES!$A:$E,2,FALSE))</f>
        <v>Hosie South</v>
      </c>
      <c r="F995" s="4">
        <f>IF(ISERROR(VLOOKUP($D995,SITES!$A:$E,3,FALSE)),"",VLOOKUP($D995,SITES!$A:$E,3,FALSE))</f>
        <v>48.9071</v>
      </c>
      <c r="G995" s="18">
        <f>IF(ISERROR(VLOOKUP($D995,SITES!$A:$E,4,FALSE)),"",VLOOKUP($D995,SITES!$A:$E,4,FALSE))</f>
        <v>-125.03701700000001</v>
      </c>
      <c r="H995" s="5" t="str">
        <f t="shared" si="117"/>
        <v>19/05/2023</v>
      </c>
      <c r="I995" s="2">
        <f t="shared" si="118"/>
        <v>3</v>
      </c>
      <c r="J995" s="2">
        <f t="shared" si="113"/>
        <v>330</v>
      </c>
      <c r="K995" s="6">
        <f t="shared" si="120"/>
        <v>0.4284722222222222</v>
      </c>
      <c r="L995" s="2" t="str">
        <f t="shared" si="121"/>
        <v>JMS</v>
      </c>
      <c r="M995" s="2">
        <f t="shared" si="122"/>
        <v>10</v>
      </c>
      <c r="N995" s="2">
        <f t="shared" si="124"/>
        <v>2</v>
      </c>
      <c r="O995" s="2">
        <f t="shared" si="123"/>
        <v>2</v>
      </c>
      <c r="P995" s="27" t="s">
        <v>193</v>
      </c>
      <c r="Q995" s="7" t="str">
        <f>IF($N995=1,IF(ISERROR(VLOOKUP($P995,'M1'!$A:$C,Q$2,FALSE)),"NOT PRESENT",VLOOKUP($P995,'M1'!$A:$C,Q$2,FALSE)),IF($N995=2,IF(ISERROR(VLOOKUP(DATA!$P424,'M2'!$A:$C,Q$2,FALSE)),"NOT PRESENT",VLOOKUP(DATA!$P424,'M2'!$A:$C,Q$2,FALSE)),IF($N995=0,IF(ISERROR(VLOOKUP($P995,'M1'!$A:$C,Q$2,FALSE)),IF(ISERROR(VLOOKUP(DATA!$P424,'M2'!$A:$C,Q$2,FALSE)),"NOT PRESENT",VLOOKUP(DATA!$P424,'M2'!$A:$C,Q$2,FALSE)),VLOOKUP($P995,'M1'!$A:$C,Q$2,FALSE)),"SPECIFY METHOD")))</f>
        <v>NOT PRESENT</v>
      </c>
      <c r="R995" s="4" t="str">
        <f>IF($N995=1,IF(ISERROR(VLOOKUP($P995,'M1'!$A:$C,R$2,FALSE)),"NOT PRESENT",VLOOKUP($P995,'M1'!$A:$C,R$2,FALSE)),IF($N995=2,IF(ISERROR(VLOOKUP(DATA!$P424,'M2'!$A:$C,R$2,FALSE)),"NOT PRESENT",VLOOKUP(DATA!$P424,'M2'!$A:$C,R$2,FALSE)),IF($N995=0,IF(ISERROR(VLOOKUP($P995,'M1'!$A:$C,R$2,FALSE)),IF(ISERROR(VLOOKUP(DATA!$P424,'M2'!$A:$C,R$2,FALSE)),"NOT PRESENT",VLOOKUP(DATA!$P424,'M2'!$A:$C,R$2,FALSE)),VLOOKUP($P995,'M1'!$A:$C,R$2,FALSE)),"SPECIFY METHOD")))</f>
        <v>NOT PRESENT</v>
      </c>
      <c r="S995" s="20">
        <f t="shared" si="114"/>
        <v>2</v>
      </c>
      <c r="W995" s="2">
        <v>1</v>
      </c>
      <c r="X995" s="2">
        <v>1</v>
      </c>
    </row>
    <row r="996" spans="1:30">
      <c r="A996" s="7">
        <f>MAX($A$1:$A995)+1</f>
        <v>995</v>
      </c>
      <c r="B996" s="2" t="str">
        <f t="shared" si="112"/>
        <v>Em Lim</v>
      </c>
      <c r="C996" s="2" t="str">
        <f t="shared" si="115"/>
        <v>Isabelle Cote</v>
      </c>
      <c r="D996" s="2" t="str">
        <f t="shared" si="116"/>
        <v>BMSC26</v>
      </c>
      <c r="E996" s="7" t="str">
        <f>IF(ISERROR(VLOOKUP($D996,SITES!$A:$E,2,FALSE)),"",VLOOKUP($D996,SITES!$A:$E,2,FALSE))</f>
        <v>Hosie South</v>
      </c>
      <c r="F996" s="4">
        <f>IF(ISERROR(VLOOKUP($D996,SITES!$A:$E,3,FALSE)),"",VLOOKUP($D996,SITES!$A:$E,3,FALSE))</f>
        <v>48.9071</v>
      </c>
      <c r="G996" s="18">
        <f>IF(ISERROR(VLOOKUP($D996,SITES!$A:$E,4,FALSE)),"",VLOOKUP($D996,SITES!$A:$E,4,FALSE))</f>
        <v>-125.03701700000001</v>
      </c>
      <c r="H996" s="5" t="str">
        <f t="shared" si="117"/>
        <v>19/05/2023</v>
      </c>
      <c r="I996" s="2">
        <f t="shared" si="118"/>
        <v>3</v>
      </c>
      <c r="J996" s="2">
        <f t="shared" si="113"/>
        <v>330</v>
      </c>
      <c r="K996" s="6">
        <f t="shared" si="120"/>
        <v>0.4284722222222222</v>
      </c>
      <c r="L996" s="2" t="str">
        <f t="shared" si="121"/>
        <v>JMS</v>
      </c>
      <c r="M996" s="2">
        <f t="shared" si="122"/>
        <v>10</v>
      </c>
      <c r="N996" s="2">
        <f t="shared" si="124"/>
        <v>2</v>
      </c>
      <c r="O996" s="2">
        <f t="shared" si="123"/>
        <v>2</v>
      </c>
      <c r="P996" s="27" t="s">
        <v>187</v>
      </c>
      <c r="Q996" s="7" t="str">
        <f>IF($N996=1,IF(ISERROR(VLOOKUP($P996,'M1'!$A:$C,Q$2,FALSE)),"NOT PRESENT",VLOOKUP($P996,'M1'!$A:$C,Q$2,FALSE)),IF($N996=2,IF(ISERROR(VLOOKUP(DATA!$P425,'M2'!$A:$C,Q$2,FALSE)),"NOT PRESENT",VLOOKUP(DATA!$P425,'M2'!$A:$C,Q$2,FALSE)),IF($N996=0,IF(ISERROR(VLOOKUP($P996,'M1'!$A:$C,Q$2,FALSE)),IF(ISERROR(VLOOKUP(DATA!$P425,'M2'!$A:$C,Q$2,FALSE)),"NOT PRESENT",VLOOKUP(DATA!$P425,'M2'!$A:$C,Q$2,FALSE)),VLOOKUP($P996,'M1'!$A:$C,Q$2,FALSE)),"SPECIFY METHOD")))</f>
        <v>NOT PRESENT</v>
      </c>
      <c r="R996" s="4" t="str">
        <f>IF($N996=1,IF(ISERROR(VLOOKUP($P996,'M1'!$A:$C,R$2,FALSE)),"NOT PRESENT",VLOOKUP($P996,'M1'!$A:$C,R$2,FALSE)),IF($N996=2,IF(ISERROR(VLOOKUP(DATA!$P425,'M2'!$A:$C,R$2,FALSE)),"NOT PRESENT",VLOOKUP(DATA!$P425,'M2'!$A:$C,R$2,FALSE)),IF($N996=0,IF(ISERROR(VLOOKUP($P996,'M1'!$A:$C,R$2,FALSE)),IF(ISERROR(VLOOKUP(DATA!$P425,'M2'!$A:$C,R$2,FALSE)),"NOT PRESENT",VLOOKUP(DATA!$P425,'M2'!$A:$C,R$2,FALSE)),VLOOKUP($P996,'M1'!$A:$C,R$2,FALSE)),"SPECIFY METHOD")))</f>
        <v>NOT PRESENT</v>
      </c>
      <c r="S996" s="20">
        <f t="shared" si="114"/>
        <v>2</v>
      </c>
      <c r="T996" s="2">
        <v>2</v>
      </c>
    </row>
    <row r="997" spans="1:30">
      <c r="A997" s="7">
        <f>MAX($A$1:$A996)+1</f>
        <v>996</v>
      </c>
      <c r="B997" s="2" t="str">
        <f t="shared" si="112"/>
        <v>Em Lim</v>
      </c>
      <c r="C997" s="2" t="str">
        <f t="shared" si="115"/>
        <v>Isabelle Cote</v>
      </c>
      <c r="D997" s="2" t="str">
        <f t="shared" si="116"/>
        <v>BMSC26</v>
      </c>
      <c r="E997" s="7" t="str">
        <f>IF(ISERROR(VLOOKUP($D997,SITES!$A:$E,2,FALSE)),"",VLOOKUP($D997,SITES!$A:$E,2,FALSE))</f>
        <v>Hosie South</v>
      </c>
      <c r="F997" s="4">
        <f>IF(ISERROR(VLOOKUP($D997,SITES!$A:$E,3,FALSE)),"",VLOOKUP($D997,SITES!$A:$E,3,FALSE))</f>
        <v>48.9071</v>
      </c>
      <c r="G997" s="18">
        <f>IF(ISERROR(VLOOKUP($D997,SITES!$A:$E,4,FALSE)),"",VLOOKUP($D997,SITES!$A:$E,4,FALSE))</f>
        <v>-125.03701700000001</v>
      </c>
      <c r="H997" s="5" t="str">
        <f t="shared" si="117"/>
        <v>19/05/2023</v>
      </c>
      <c r="I997" s="2">
        <f t="shared" si="118"/>
        <v>3</v>
      </c>
      <c r="J997" s="2">
        <f t="shared" si="113"/>
        <v>330</v>
      </c>
      <c r="K997" s="6">
        <f t="shared" si="120"/>
        <v>0.4284722222222222</v>
      </c>
      <c r="L997" s="2" t="str">
        <f t="shared" si="121"/>
        <v>JMS</v>
      </c>
      <c r="M997" s="2">
        <f t="shared" si="122"/>
        <v>10</v>
      </c>
      <c r="N997" s="2">
        <f t="shared" si="124"/>
        <v>2</v>
      </c>
      <c r="O997" s="2">
        <f t="shared" si="123"/>
        <v>2</v>
      </c>
      <c r="P997" s="27" t="s">
        <v>214</v>
      </c>
      <c r="Q997" s="7" t="str">
        <f>IF($N997=1,IF(ISERROR(VLOOKUP($P997,'M1'!$A:$C,Q$2,FALSE)),"NOT PRESENT",VLOOKUP($P997,'M1'!$A:$C,Q$2,FALSE)),IF($N997=2,IF(ISERROR(VLOOKUP(DATA!$P426,'M2'!$A:$C,Q$2,FALSE)),"NOT PRESENT",VLOOKUP(DATA!$P426,'M2'!$A:$C,Q$2,FALSE)),IF($N997=0,IF(ISERROR(VLOOKUP($P997,'M1'!$A:$C,Q$2,FALSE)),IF(ISERROR(VLOOKUP(DATA!$P426,'M2'!$A:$C,Q$2,FALSE)),"NOT PRESENT",VLOOKUP(DATA!$P426,'M2'!$A:$C,Q$2,FALSE)),VLOOKUP($P997,'M1'!$A:$C,Q$2,FALSE)),"SPECIFY METHOD")))</f>
        <v>NOT PRESENT</v>
      </c>
      <c r="R997" s="4" t="str">
        <f>IF($N997=1,IF(ISERROR(VLOOKUP($P997,'M1'!$A:$C,R$2,FALSE)),"NOT PRESENT",VLOOKUP($P997,'M1'!$A:$C,R$2,FALSE)),IF($N997=2,IF(ISERROR(VLOOKUP(DATA!$P426,'M2'!$A:$C,R$2,FALSE)),"NOT PRESENT",VLOOKUP(DATA!$P426,'M2'!$A:$C,R$2,FALSE)),IF($N997=0,IF(ISERROR(VLOOKUP($P997,'M1'!$A:$C,R$2,FALSE)),IF(ISERROR(VLOOKUP(DATA!$P426,'M2'!$A:$C,R$2,FALSE)),"NOT PRESENT",VLOOKUP(DATA!$P426,'M2'!$A:$C,R$2,FALSE)),VLOOKUP($P997,'M1'!$A:$C,R$2,FALSE)),"SPECIFY METHOD")))</f>
        <v>NOT PRESENT</v>
      </c>
      <c r="S997" s="20">
        <f t="shared" si="114"/>
        <v>2</v>
      </c>
      <c r="X997" s="2">
        <v>1</v>
      </c>
      <c r="AD997" s="2">
        <v>1</v>
      </c>
    </row>
    <row r="998" spans="1:30">
      <c r="A998" s="7">
        <f>MAX($A$1:$A997)+1</f>
        <v>997</v>
      </c>
      <c r="B998" s="2" t="str">
        <f t="shared" si="112"/>
        <v>Em Lim</v>
      </c>
      <c r="C998" s="2" t="str">
        <f t="shared" si="115"/>
        <v>Isabelle Cote</v>
      </c>
      <c r="D998" s="2" t="str">
        <f t="shared" si="116"/>
        <v>BMSC26</v>
      </c>
      <c r="E998" s="7" t="str">
        <f>IF(ISERROR(VLOOKUP($D998,SITES!$A:$E,2,FALSE)),"",VLOOKUP($D998,SITES!$A:$E,2,FALSE))</f>
        <v>Hosie South</v>
      </c>
      <c r="F998" s="4">
        <f>IF(ISERROR(VLOOKUP($D998,SITES!$A:$E,3,FALSE)),"",VLOOKUP($D998,SITES!$A:$E,3,FALSE))</f>
        <v>48.9071</v>
      </c>
      <c r="G998" s="18">
        <f>IF(ISERROR(VLOOKUP($D998,SITES!$A:$E,4,FALSE)),"",VLOOKUP($D998,SITES!$A:$E,4,FALSE))</f>
        <v>-125.03701700000001</v>
      </c>
      <c r="H998" s="5" t="str">
        <f t="shared" si="117"/>
        <v>19/05/2023</v>
      </c>
      <c r="I998" s="2">
        <f t="shared" si="118"/>
        <v>3</v>
      </c>
      <c r="J998" s="2">
        <f t="shared" si="113"/>
        <v>330</v>
      </c>
      <c r="K998" s="6">
        <f t="shared" si="120"/>
        <v>0.4284722222222222</v>
      </c>
      <c r="L998" s="2" t="str">
        <f t="shared" si="121"/>
        <v>JMS</v>
      </c>
      <c r="M998" s="2">
        <f t="shared" si="122"/>
        <v>10</v>
      </c>
      <c r="N998" s="2">
        <f t="shared" si="124"/>
        <v>2</v>
      </c>
      <c r="O998" s="2">
        <f t="shared" si="123"/>
        <v>2</v>
      </c>
      <c r="P998" s="27" t="s">
        <v>288</v>
      </c>
      <c r="Q998" s="7" t="str">
        <f>IF($N998=1,IF(ISERROR(VLOOKUP($P998,'M1'!$A:$C,Q$2,FALSE)),"NOT PRESENT",VLOOKUP($P998,'M1'!$A:$C,Q$2,FALSE)),IF($N998=2,IF(ISERROR(VLOOKUP(DATA!$P427,'M2'!$A:$C,Q$2,FALSE)),"NOT PRESENT",VLOOKUP(DATA!$P427,'M2'!$A:$C,Q$2,FALSE)),IF($N998=0,IF(ISERROR(VLOOKUP($P998,'M1'!$A:$C,Q$2,FALSE)),IF(ISERROR(VLOOKUP(DATA!$P427,'M2'!$A:$C,Q$2,FALSE)),"NOT PRESENT",VLOOKUP(DATA!$P427,'M2'!$A:$C,Q$2,FALSE)),VLOOKUP($P998,'M1'!$A:$C,Q$2,FALSE)),"SPECIFY METHOD")))</f>
        <v>NOT PRESENT</v>
      </c>
      <c r="R998" s="4" t="str">
        <f>IF($N998=1,IF(ISERROR(VLOOKUP($P998,'M1'!$A:$C,R$2,FALSE)),"NOT PRESENT",VLOOKUP($P998,'M1'!$A:$C,R$2,FALSE)),IF($N998=2,IF(ISERROR(VLOOKUP(DATA!$P427,'M2'!$A:$C,R$2,FALSE)),"NOT PRESENT",VLOOKUP(DATA!$P427,'M2'!$A:$C,R$2,FALSE)),IF($N998=0,IF(ISERROR(VLOOKUP($P998,'M1'!$A:$C,R$2,FALSE)),IF(ISERROR(VLOOKUP(DATA!$P427,'M2'!$A:$C,R$2,FALSE)),"NOT PRESENT",VLOOKUP(DATA!$P427,'M2'!$A:$C,R$2,FALSE)),VLOOKUP($P998,'M1'!$A:$C,R$2,FALSE)),"SPECIFY METHOD")))</f>
        <v>NOT PRESENT</v>
      </c>
      <c r="S998" s="20">
        <f t="shared" si="114"/>
        <v>2</v>
      </c>
      <c r="T998" s="2">
        <v>0</v>
      </c>
      <c r="V998" s="2">
        <v>1</v>
      </c>
      <c r="W998" s="2">
        <v>1</v>
      </c>
    </row>
    <row r="999" spans="1:30">
      <c r="A999" s="7">
        <f>MAX($A$1:$A998)+1</f>
        <v>998</v>
      </c>
      <c r="B999" s="2" t="str">
        <f t="shared" si="112"/>
        <v>Em Lim</v>
      </c>
      <c r="C999" s="2" t="str">
        <f t="shared" si="115"/>
        <v>Isabelle Cote</v>
      </c>
      <c r="D999" s="2" t="str">
        <f t="shared" si="116"/>
        <v>BMSC26</v>
      </c>
      <c r="E999" s="7" t="str">
        <f>IF(ISERROR(VLOOKUP($D999,SITES!$A:$E,2,FALSE)),"",VLOOKUP($D999,SITES!$A:$E,2,FALSE))</f>
        <v>Hosie South</v>
      </c>
      <c r="F999" s="4">
        <f>IF(ISERROR(VLOOKUP($D999,SITES!$A:$E,3,FALSE)),"",VLOOKUP($D999,SITES!$A:$E,3,FALSE))</f>
        <v>48.9071</v>
      </c>
      <c r="G999" s="18">
        <f>IF(ISERROR(VLOOKUP($D999,SITES!$A:$E,4,FALSE)),"",VLOOKUP($D999,SITES!$A:$E,4,FALSE))</f>
        <v>-125.03701700000001</v>
      </c>
      <c r="H999" s="5" t="str">
        <f t="shared" si="117"/>
        <v>19/05/2023</v>
      </c>
      <c r="I999" s="2">
        <f t="shared" si="118"/>
        <v>3</v>
      </c>
      <c r="J999" s="2">
        <f t="shared" si="113"/>
        <v>330</v>
      </c>
      <c r="K999" s="6">
        <f t="shared" si="120"/>
        <v>0.4284722222222222</v>
      </c>
      <c r="L999" s="2" t="str">
        <f t="shared" si="121"/>
        <v>JMS</v>
      </c>
      <c r="M999" s="2">
        <f t="shared" si="122"/>
        <v>10</v>
      </c>
      <c r="N999" s="2">
        <f t="shared" si="124"/>
        <v>2</v>
      </c>
      <c r="O999" s="2">
        <f t="shared" si="123"/>
        <v>2</v>
      </c>
      <c r="P999" s="27" t="s">
        <v>211</v>
      </c>
      <c r="Q999" s="7" t="str">
        <f>IF($N999=1,IF(ISERROR(VLOOKUP($P999,'M1'!$A:$C,Q$2,FALSE)),"NOT PRESENT",VLOOKUP($P999,'M1'!$A:$C,Q$2,FALSE)),IF($N999=2,IF(ISERROR(VLOOKUP(DATA!$P428,'M2'!$A:$C,Q$2,FALSE)),"NOT PRESENT",VLOOKUP(DATA!$P428,'M2'!$A:$C,Q$2,FALSE)),IF($N999=0,IF(ISERROR(VLOOKUP($P999,'M1'!$A:$C,Q$2,FALSE)),IF(ISERROR(VLOOKUP(DATA!$P428,'M2'!$A:$C,Q$2,FALSE)),"NOT PRESENT",VLOOKUP(DATA!$P428,'M2'!$A:$C,Q$2,FALSE)),VLOOKUP($P999,'M1'!$A:$C,Q$2,FALSE)),"SPECIFY METHOD")))</f>
        <v>NOT PRESENT</v>
      </c>
      <c r="R999" s="4" t="str">
        <f>IF($N999=1,IF(ISERROR(VLOOKUP($P999,'M1'!$A:$C,R$2,FALSE)),"NOT PRESENT",VLOOKUP($P999,'M1'!$A:$C,R$2,FALSE)),IF($N999=2,IF(ISERROR(VLOOKUP(DATA!$P428,'M2'!$A:$C,R$2,FALSE)),"NOT PRESENT",VLOOKUP(DATA!$P428,'M2'!$A:$C,R$2,FALSE)),IF($N999=0,IF(ISERROR(VLOOKUP($P999,'M1'!$A:$C,R$2,FALSE)),IF(ISERROR(VLOOKUP(DATA!$P428,'M2'!$A:$C,R$2,FALSE)),"NOT PRESENT",VLOOKUP(DATA!$P428,'M2'!$A:$C,R$2,FALSE)),VLOOKUP($P999,'M1'!$A:$C,R$2,FALSE)),"SPECIFY METHOD")))</f>
        <v>NOT PRESENT</v>
      </c>
      <c r="S999" s="20">
        <f t="shared" si="114"/>
        <v>1</v>
      </c>
      <c r="T999" s="2">
        <v>1</v>
      </c>
    </row>
    <row r="1000" spans="1:30">
      <c r="A1000" s="7">
        <f>MAX($A$1:$A999)+1</f>
        <v>999</v>
      </c>
      <c r="B1000" s="2" t="str">
        <f t="shared" si="112"/>
        <v>Em Lim</v>
      </c>
      <c r="C1000" s="2" t="str">
        <f t="shared" si="115"/>
        <v>Isabelle Cote</v>
      </c>
      <c r="D1000" s="2" t="str">
        <f t="shared" si="116"/>
        <v>BMSC26</v>
      </c>
      <c r="E1000" s="7" t="str">
        <f>IF(ISERROR(VLOOKUP($D1000,SITES!$A:$E,2,FALSE)),"",VLOOKUP($D1000,SITES!$A:$E,2,FALSE))</f>
        <v>Hosie South</v>
      </c>
      <c r="F1000" s="4">
        <f>IF(ISERROR(VLOOKUP($D1000,SITES!$A:$E,3,FALSE)),"",VLOOKUP($D1000,SITES!$A:$E,3,FALSE))</f>
        <v>48.9071</v>
      </c>
      <c r="G1000" s="18">
        <f>IF(ISERROR(VLOOKUP($D1000,SITES!$A:$E,4,FALSE)),"",VLOOKUP($D1000,SITES!$A:$E,4,FALSE))</f>
        <v>-125.03701700000001</v>
      </c>
      <c r="H1000" s="5" t="str">
        <f t="shared" si="117"/>
        <v>19/05/2023</v>
      </c>
      <c r="I1000" s="2">
        <f t="shared" si="118"/>
        <v>3</v>
      </c>
      <c r="J1000" s="2">
        <f t="shared" si="113"/>
        <v>330</v>
      </c>
      <c r="K1000" s="6">
        <f t="shared" si="120"/>
        <v>0.4284722222222222</v>
      </c>
      <c r="L1000" s="2" t="str">
        <f t="shared" si="121"/>
        <v>JMS</v>
      </c>
      <c r="M1000" s="2">
        <f t="shared" si="122"/>
        <v>10</v>
      </c>
      <c r="N1000" s="2">
        <v>0</v>
      </c>
      <c r="O1000" s="2">
        <f t="shared" si="123"/>
        <v>2</v>
      </c>
      <c r="P1000" s="27" t="s">
        <v>176</v>
      </c>
      <c r="Q1000" s="7" t="str">
        <f>IF($N1000=1,IF(ISERROR(VLOOKUP($P1000,'M1'!$A:$C,Q$2,FALSE)),"NOT PRESENT",VLOOKUP($P1000,'M1'!$A:$C,Q$2,FALSE)),IF($N1000=2,IF(ISERROR(VLOOKUP(DATA!$P429,'M2'!$A:$C,Q$2,FALSE)),"NOT PRESENT",VLOOKUP(DATA!$P429,'M2'!$A:$C,Q$2,FALSE)),IF($N1000=0,IF(ISERROR(VLOOKUP($P1000,'M1'!$A:$C,Q$2,FALSE)),IF(ISERROR(VLOOKUP(DATA!$P429,'M2'!$A:$C,Q$2,FALSE)),"NOT PRESENT",VLOOKUP(DATA!$P429,'M2'!$A:$C,Q$2,FALSE)),VLOOKUP($P1000,'M1'!$A:$C,Q$2,FALSE)),"SPECIFY METHOD")))</f>
        <v>NOT PRESENT</v>
      </c>
      <c r="R1000" s="4" t="str">
        <f>IF($N1000=1,IF(ISERROR(VLOOKUP($P1000,'M1'!$A:$C,R$2,FALSE)),"NOT PRESENT",VLOOKUP($P1000,'M1'!$A:$C,R$2,FALSE)),IF($N1000=2,IF(ISERROR(VLOOKUP(DATA!$P429,'M2'!$A:$C,R$2,FALSE)),"NOT PRESENT",VLOOKUP(DATA!$P429,'M2'!$A:$C,R$2,FALSE)),IF($N1000=0,IF(ISERROR(VLOOKUP($P1000,'M1'!$A:$C,R$2,FALSE)),IF(ISERROR(VLOOKUP(DATA!$P429,'M2'!$A:$C,R$2,FALSE)),"NOT PRESENT",VLOOKUP(DATA!$P429,'M2'!$A:$C,R$2,FALSE)),VLOOKUP($P1000,'M1'!$A:$C,R$2,FALSE)),"SPECIFY METHOD")))</f>
        <v>NOT PRESENT</v>
      </c>
      <c r="S1000" s="20">
        <f t="shared" si="114"/>
        <v>1</v>
      </c>
      <c r="T1000" s="2">
        <v>0</v>
      </c>
      <c r="Z1000" s="2">
        <v>1</v>
      </c>
    </row>
    <row r="1001" spans="1:30">
      <c r="A1001" s="7">
        <f>MAX($A$1:$A1000)+1</f>
        <v>1000</v>
      </c>
      <c r="B1001" s="2" t="str">
        <f t="shared" si="112"/>
        <v>Em Lim</v>
      </c>
      <c r="C1001" s="2" t="str">
        <f t="shared" si="115"/>
        <v>Isabelle Cote</v>
      </c>
      <c r="D1001" s="2" t="str">
        <f t="shared" si="116"/>
        <v>BMSC26</v>
      </c>
      <c r="E1001" s="7" t="str">
        <f>IF(ISERROR(VLOOKUP($D1001,SITES!$A:$E,2,FALSE)),"",VLOOKUP($D1001,SITES!$A:$E,2,FALSE))</f>
        <v>Hosie South</v>
      </c>
      <c r="F1001" s="4">
        <f>IF(ISERROR(VLOOKUP($D1001,SITES!$A:$E,3,FALSE)),"",VLOOKUP($D1001,SITES!$A:$E,3,FALSE))</f>
        <v>48.9071</v>
      </c>
      <c r="G1001" s="18">
        <f>IF(ISERROR(VLOOKUP($D1001,SITES!$A:$E,4,FALSE)),"",VLOOKUP($D1001,SITES!$A:$E,4,FALSE))</f>
        <v>-125.03701700000001</v>
      </c>
      <c r="H1001" s="5" t="str">
        <f t="shared" si="117"/>
        <v>19/05/2023</v>
      </c>
      <c r="I1001" s="2">
        <f t="shared" si="118"/>
        <v>3</v>
      </c>
      <c r="J1001" s="2">
        <f t="shared" si="113"/>
        <v>330</v>
      </c>
      <c r="K1001" s="6">
        <f t="shared" si="120"/>
        <v>0.4284722222222222</v>
      </c>
      <c r="L1001" s="2" t="str">
        <f t="shared" si="121"/>
        <v>JMS</v>
      </c>
      <c r="M1001" s="2">
        <f t="shared" si="122"/>
        <v>10</v>
      </c>
      <c r="N1001" s="2">
        <f>IF(ISERROR(N1000),IF(ISERROR(N999),IF(ISERROR(N998),"BLANK",N998),N999),N1000)</f>
        <v>0</v>
      </c>
      <c r="O1001" s="2">
        <f t="shared" si="123"/>
        <v>2</v>
      </c>
      <c r="P1001" s="27" t="s">
        <v>174</v>
      </c>
      <c r="Q1001" s="7" t="str">
        <f>IF($N1001=1,IF(ISERROR(VLOOKUP($P1001,'M1'!$A:$C,Q$2,FALSE)),"NOT PRESENT",VLOOKUP($P1001,'M1'!$A:$C,Q$2,FALSE)),IF($N1001=2,IF(ISERROR(VLOOKUP(DATA!$P430,'M2'!$A:$C,Q$2,FALSE)),"NOT PRESENT",VLOOKUP(DATA!$P430,'M2'!$A:$C,Q$2,FALSE)),IF($N1001=0,IF(ISERROR(VLOOKUP($P1001,'M1'!$A:$C,Q$2,FALSE)),IF(ISERROR(VLOOKUP(DATA!$P430,'M2'!$A:$C,Q$2,FALSE)),"NOT PRESENT",VLOOKUP(DATA!$P430,'M2'!$A:$C,Q$2,FALSE)),VLOOKUP($P1001,'M1'!$A:$C,Q$2,FALSE)),"SPECIFY METHOD")))</f>
        <v>NOT PRESENT</v>
      </c>
      <c r="R1001" s="4" t="str">
        <f>IF($N1001=1,IF(ISERROR(VLOOKUP($P1001,'M1'!$A:$C,R$2,FALSE)),"NOT PRESENT",VLOOKUP($P1001,'M1'!$A:$C,R$2,FALSE)),IF($N1001=2,IF(ISERROR(VLOOKUP(DATA!$P430,'M2'!$A:$C,R$2,FALSE)),"NOT PRESENT",VLOOKUP(DATA!$P430,'M2'!$A:$C,R$2,FALSE)),IF($N1001=0,IF(ISERROR(VLOOKUP($P1001,'M1'!$A:$C,R$2,FALSE)),IF(ISERROR(VLOOKUP(DATA!$P430,'M2'!$A:$C,R$2,FALSE)),"NOT PRESENT",VLOOKUP(DATA!$P430,'M2'!$A:$C,R$2,FALSE)),VLOOKUP($P1001,'M1'!$A:$C,R$2,FALSE)),"SPECIFY METHOD")))</f>
        <v>NOT PRESENT</v>
      </c>
      <c r="S1001" s="20">
        <f t="shared" si="114"/>
        <v>1</v>
      </c>
      <c r="T1001" s="2">
        <v>0</v>
      </c>
      <c r="Y1001" s="2">
        <v>1</v>
      </c>
    </row>
    <row r="1002" spans="1:30">
      <c r="A1002" s="7">
        <f>MAX($A$1:$A1001)+1</f>
        <v>1001</v>
      </c>
      <c r="B1002" s="2" t="str">
        <f t="shared" si="112"/>
        <v>Em Lim</v>
      </c>
      <c r="C1002" s="2" t="str">
        <f t="shared" si="115"/>
        <v>Isabelle Cote</v>
      </c>
      <c r="D1002" s="2" t="str">
        <f t="shared" si="116"/>
        <v>BMSC26</v>
      </c>
      <c r="E1002" s="7" t="str">
        <f>IF(ISERROR(VLOOKUP($D1002,SITES!$A:$E,2,FALSE)),"",VLOOKUP($D1002,SITES!$A:$E,2,FALSE))</f>
        <v>Hosie South</v>
      </c>
      <c r="F1002" s="4">
        <f>IF(ISERROR(VLOOKUP($D1002,SITES!$A:$E,3,FALSE)),"",VLOOKUP($D1002,SITES!$A:$E,3,FALSE))</f>
        <v>48.9071</v>
      </c>
      <c r="G1002" s="18">
        <f>IF(ISERROR(VLOOKUP($D1002,SITES!$A:$E,4,FALSE)),"",VLOOKUP($D1002,SITES!$A:$E,4,FALSE))</f>
        <v>-125.03701700000001</v>
      </c>
      <c r="H1002" s="5" t="str">
        <f t="shared" si="117"/>
        <v>19/05/2023</v>
      </c>
      <c r="I1002" s="2">
        <f t="shared" si="118"/>
        <v>3</v>
      </c>
      <c r="J1002" s="2">
        <f t="shared" si="113"/>
        <v>330</v>
      </c>
      <c r="K1002" s="6">
        <f t="shared" si="120"/>
        <v>0.4284722222222222</v>
      </c>
      <c r="L1002" s="2" t="str">
        <f t="shared" si="121"/>
        <v>JMS</v>
      </c>
      <c r="M1002" s="2">
        <f t="shared" si="122"/>
        <v>10</v>
      </c>
      <c r="N1002" s="2">
        <f>IF(ISERROR(N1001),IF(ISERROR(N1000),IF(ISERROR(N999),"BLANK",N999),N1000),N1001)</f>
        <v>0</v>
      </c>
      <c r="O1002" s="2">
        <f t="shared" si="123"/>
        <v>2</v>
      </c>
      <c r="P1002" s="27" t="s">
        <v>181</v>
      </c>
      <c r="Q1002" s="7" t="str">
        <f>IF($N1002=1,IF(ISERROR(VLOOKUP($P1002,'M1'!$A:$C,Q$2,FALSE)),"NOT PRESENT",VLOOKUP($P1002,'M1'!$A:$C,Q$2,FALSE)),IF($N1002=2,IF(ISERROR(VLOOKUP(DATA!$P431,'M2'!$A:$C,Q$2,FALSE)),"NOT PRESENT",VLOOKUP(DATA!$P431,'M2'!$A:$C,Q$2,FALSE)),IF($N1002=0,IF(ISERROR(VLOOKUP($P1002,'M1'!$A:$C,Q$2,FALSE)),IF(ISERROR(VLOOKUP(DATA!$P431,'M2'!$A:$C,Q$2,FALSE)),"NOT PRESENT",VLOOKUP(DATA!$P431,'M2'!$A:$C,Q$2,FALSE)),VLOOKUP($P1002,'M1'!$A:$C,Q$2,FALSE)),"SPECIFY METHOD")))</f>
        <v>NOT PRESENT</v>
      </c>
      <c r="R1002" s="4" t="str">
        <f>IF($N1002=1,IF(ISERROR(VLOOKUP($P1002,'M1'!$A:$C,R$2,FALSE)),"NOT PRESENT",VLOOKUP($P1002,'M1'!$A:$C,R$2,FALSE)),IF($N1002=2,IF(ISERROR(VLOOKUP(DATA!$P431,'M2'!$A:$C,R$2,FALSE)),"NOT PRESENT",VLOOKUP(DATA!$P431,'M2'!$A:$C,R$2,FALSE)),IF($N1002=0,IF(ISERROR(VLOOKUP($P1002,'M1'!$A:$C,R$2,FALSE)),IF(ISERROR(VLOOKUP(DATA!$P431,'M2'!$A:$C,R$2,FALSE)),"NOT PRESENT",VLOOKUP(DATA!$P431,'M2'!$A:$C,R$2,FALSE)),VLOOKUP($P1002,'M1'!$A:$C,R$2,FALSE)),"SPECIFY METHOD")))</f>
        <v>NOT PRESENT</v>
      </c>
      <c r="S1002" s="20">
        <f t="shared" si="114"/>
        <v>1</v>
      </c>
      <c r="T1002" s="2">
        <v>0</v>
      </c>
      <c r="Z1002" s="2">
        <v>1</v>
      </c>
    </row>
    <row r="1003" spans="1:30">
      <c r="A1003" s="7">
        <f>MAX($A$1:$A1002)+1</f>
        <v>1002</v>
      </c>
      <c r="B1003" s="2" t="str">
        <f t="shared" si="112"/>
        <v>Em Lim</v>
      </c>
      <c r="C1003" s="2" t="str">
        <f t="shared" si="115"/>
        <v>Isabelle Cote</v>
      </c>
      <c r="D1003" s="2" t="str">
        <f t="shared" si="116"/>
        <v>BMSC26</v>
      </c>
      <c r="E1003" s="7" t="str">
        <f>IF(ISERROR(VLOOKUP($D1003,SITES!$A:$E,2,FALSE)),"",VLOOKUP($D1003,SITES!$A:$E,2,FALSE))</f>
        <v>Hosie South</v>
      </c>
      <c r="F1003" s="4">
        <f>IF(ISERROR(VLOOKUP($D1003,SITES!$A:$E,3,FALSE)),"",VLOOKUP($D1003,SITES!$A:$E,3,FALSE))</f>
        <v>48.9071</v>
      </c>
      <c r="G1003" s="18">
        <f>IF(ISERROR(VLOOKUP($D1003,SITES!$A:$E,4,FALSE)),"",VLOOKUP($D1003,SITES!$A:$E,4,FALSE))</f>
        <v>-125.03701700000001</v>
      </c>
      <c r="H1003" s="5" t="str">
        <f t="shared" si="117"/>
        <v>19/05/2023</v>
      </c>
      <c r="I1003" s="2">
        <f t="shared" si="118"/>
        <v>3</v>
      </c>
      <c r="J1003" s="2">
        <f t="shared" si="113"/>
        <v>330</v>
      </c>
      <c r="K1003" s="6">
        <f t="shared" si="120"/>
        <v>0.4284722222222222</v>
      </c>
      <c r="L1003" s="2" t="str">
        <f t="shared" si="121"/>
        <v>JMS</v>
      </c>
      <c r="M1003" s="2">
        <f t="shared" si="122"/>
        <v>10</v>
      </c>
      <c r="N1003" s="2">
        <f>IF(ISERROR(N1002),IF(ISERROR(N1001),IF(ISERROR(N1000),"BLANK",N1000),N1001),N1002)</f>
        <v>0</v>
      </c>
      <c r="O1003" s="2">
        <f t="shared" si="123"/>
        <v>2</v>
      </c>
      <c r="P1003" s="27" t="s">
        <v>254</v>
      </c>
      <c r="Q1003" s="7" t="str">
        <f>IF($N1003=1,IF(ISERROR(VLOOKUP($P1003,'M1'!$A:$C,Q$2,FALSE)),"NOT PRESENT",VLOOKUP($P1003,'M1'!$A:$C,Q$2,FALSE)),IF($N1003=2,IF(ISERROR(VLOOKUP(DATA!$P432,'M2'!$A:$C,Q$2,FALSE)),"NOT PRESENT",VLOOKUP(DATA!$P432,'M2'!$A:$C,Q$2,FALSE)),IF($N1003=0,IF(ISERROR(VLOOKUP($P1003,'M1'!$A:$C,Q$2,FALSE)),IF(ISERROR(VLOOKUP(DATA!$P432,'M2'!$A:$C,Q$2,FALSE)),"NOT PRESENT",VLOOKUP(DATA!$P432,'M2'!$A:$C,Q$2,FALSE)),VLOOKUP($P1003,'M1'!$A:$C,Q$2,FALSE)),"SPECIFY METHOD")))</f>
        <v>NOT PRESENT</v>
      </c>
      <c r="R1003" s="4" t="str">
        <f>IF($N1003=1,IF(ISERROR(VLOOKUP($P1003,'M1'!$A:$C,R$2,FALSE)),"NOT PRESENT",VLOOKUP($P1003,'M1'!$A:$C,R$2,FALSE)),IF($N1003=2,IF(ISERROR(VLOOKUP(DATA!$P432,'M2'!$A:$C,R$2,FALSE)),"NOT PRESENT",VLOOKUP(DATA!$P432,'M2'!$A:$C,R$2,FALSE)),IF($N1003=0,IF(ISERROR(VLOOKUP($P1003,'M1'!$A:$C,R$2,FALSE)),IF(ISERROR(VLOOKUP(DATA!$P432,'M2'!$A:$C,R$2,FALSE)),"NOT PRESENT",VLOOKUP(DATA!$P432,'M2'!$A:$C,R$2,FALSE)),VLOOKUP($P1003,'M1'!$A:$C,R$2,FALSE)),"SPECIFY METHOD")))</f>
        <v>NOT PRESENT</v>
      </c>
      <c r="S1003" s="20">
        <f t="shared" si="114"/>
        <v>1</v>
      </c>
      <c r="T1003" s="2">
        <v>0</v>
      </c>
      <c r="Z1003" s="2">
        <v>1</v>
      </c>
    </row>
    <row r="1004" spans="1:30">
      <c r="A1004" s="7">
        <f>MAX($A$1:$A1003)+1</f>
        <v>1003</v>
      </c>
      <c r="B1004" s="2" t="str">
        <f t="shared" si="112"/>
        <v>Em Lim</v>
      </c>
      <c r="C1004" s="2" t="str">
        <f t="shared" si="115"/>
        <v>Isabelle Cote</v>
      </c>
      <c r="D1004" s="2" t="str">
        <f t="shared" si="116"/>
        <v>BMSC26</v>
      </c>
      <c r="E1004" s="7" t="str">
        <f>IF(ISERROR(VLOOKUP($D1004,SITES!$A:$E,2,FALSE)),"",VLOOKUP($D1004,SITES!$A:$E,2,FALSE))</f>
        <v>Hosie South</v>
      </c>
      <c r="F1004" s="4">
        <f>IF(ISERROR(VLOOKUP($D1004,SITES!$A:$E,3,FALSE)),"",VLOOKUP($D1004,SITES!$A:$E,3,FALSE))</f>
        <v>48.9071</v>
      </c>
      <c r="G1004" s="18">
        <f>IF(ISERROR(VLOOKUP($D1004,SITES!$A:$E,4,FALSE)),"",VLOOKUP($D1004,SITES!$A:$E,4,FALSE))</f>
        <v>-125.03701700000001</v>
      </c>
      <c r="H1004" s="5" t="str">
        <f t="shared" si="117"/>
        <v>19/05/2023</v>
      </c>
      <c r="I1004" s="2">
        <f t="shared" si="118"/>
        <v>3</v>
      </c>
      <c r="J1004" s="2">
        <f t="shared" si="113"/>
        <v>330</v>
      </c>
      <c r="K1004" s="6">
        <f t="shared" si="120"/>
        <v>0.4284722222222222</v>
      </c>
      <c r="L1004" s="2" t="str">
        <f t="shared" si="121"/>
        <v>JMS</v>
      </c>
      <c r="M1004" s="2">
        <f t="shared" si="122"/>
        <v>10</v>
      </c>
      <c r="N1004" s="2">
        <f>IF(ISERROR(N1003),IF(ISERROR(N1002),IF(ISERROR(N1001),"BLANK",N1001),N1002),N1003)</f>
        <v>0</v>
      </c>
      <c r="O1004" s="2">
        <f t="shared" si="123"/>
        <v>2</v>
      </c>
      <c r="P1004" s="27" t="s">
        <v>289</v>
      </c>
      <c r="Q1004" s="7" t="str">
        <f>IF($N1004=1,IF(ISERROR(VLOOKUP($P1004,'M1'!$A:$C,Q$2,FALSE)),"NOT PRESENT",VLOOKUP($P1004,'M1'!$A:$C,Q$2,FALSE)),IF($N1004=2,IF(ISERROR(VLOOKUP(DATA!$P433,'M2'!$A:$C,Q$2,FALSE)),"NOT PRESENT",VLOOKUP(DATA!$P433,'M2'!$A:$C,Q$2,FALSE)),IF($N1004=0,IF(ISERROR(VLOOKUP($P1004,'M1'!$A:$C,Q$2,FALSE)),IF(ISERROR(VLOOKUP(DATA!$P433,'M2'!$A:$C,Q$2,FALSE)),"NOT PRESENT",VLOOKUP(DATA!$P433,'M2'!$A:$C,Q$2,FALSE)),VLOOKUP($P1004,'M1'!$A:$C,Q$2,FALSE)),"SPECIFY METHOD")))</f>
        <v>NOT PRESENT</v>
      </c>
      <c r="R1004" s="4" t="str">
        <f>IF($N1004=1,IF(ISERROR(VLOOKUP($P1004,'M1'!$A:$C,R$2,FALSE)),"NOT PRESENT",VLOOKUP($P1004,'M1'!$A:$C,R$2,FALSE)),IF($N1004=2,IF(ISERROR(VLOOKUP(DATA!$P433,'M2'!$A:$C,R$2,FALSE)),"NOT PRESENT",VLOOKUP(DATA!$P433,'M2'!$A:$C,R$2,FALSE)),IF($N1004=0,IF(ISERROR(VLOOKUP($P1004,'M1'!$A:$C,R$2,FALSE)),IF(ISERROR(VLOOKUP(DATA!$P433,'M2'!$A:$C,R$2,FALSE)),"NOT PRESENT",VLOOKUP(DATA!$P433,'M2'!$A:$C,R$2,FALSE)),VLOOKUP($P1004,'M1'!$A:$C,R$2,FALSE)),"SPECIFY METHOD")))</f>
        <v>NOT PRESENT</v>
      </c>
      <c r="S1004" s="20">
        <f t="shared" si="114"/>
        <v>1</v>
      </c>
      <c r="T1004" s="2">
        <v>1</v>
      </c>
    </row>
    <row r="1005" spans="1:30">
      <c r="A1005" s="7">
        <f>MAX($A$1:$A1004)+1</f>
        <v>1004</v>
      </c>
      <c r="B1005" s="2" t="s">
        <v>278</v>
      </c>
      <c r="C1005" s="2" t="s">
        <v>170</v>
      </c>
      <c r="D1005" s="2" t="s">
        <v>36</v>
      </c>
      <c r="E1005" s="7" t="s">
        <v>392</v>
      </c>
      <c r="F1005" s="4">
        <v>48.9071</v>
      </c>
      <c r="G1005" s="18">
        <v>-125.03701700000001</v>
      </c>
      <c r="H1005" s="5" t="s">
        <v>13</v>
      </c>
      <c r="I1005" s="2">
        <v>3</v>
      </c>
      <c r="J1005" s="2">
        <v>40</v>
      </c>
      <c r="K1005" s="6">
        <v>0.4284722222222222</v>
      </c>
      <c r="L1005" s="2" t="s">
        <v>279</v>
      </c>
      <c r="M1005" s="2">
        <v>10</v>
      </c>
      <c r="N1005" s="2">
        <v>0</v>
      </c>
      <c r="O1005" s="2">
        <v>1</v>
      </c>
      <c r="P1005" s="2" t="s">
        <v>345</v>
      </c>
      <c r="Q1005" s="7" t="s">
        <v>127</v>
      </c>
      <c r="R1005" s="4" t="s">
        <v>346</v>
      </c>
      <c r="S1005" s="20">
        <v>1</v>
      </c>
      <c r="T1005" s="2">
        <v>1</v>
      </c>
    </row>
    <row r="1006" spans="1:30">
      <c r="A1006" s="7">
        <f>MAX($A$1:$A1005)+1</f>
        <v>1005</v>
      </c>
      <c r="B1006" s="2" t="s">
        <v>278</v>
      </c>
      <c r="C1006" s="2" t="s">
        <v>170</v>
      </c>
      <c r="D1006" s="2" t="s">
        <v>36</v>
      </c>
      <c r="E1006" s="7" t="s">
        <v>392</v>
      </c>
      <c r="F1006" s="4">
        <v>48.9071</v>
      </c>
      <c r="G1006" s="18">
        <v>-125.03701700000001</v>
      </c>
      <c r="H1006" s="5" t="s">
        <v>13</v>
      </c>
      <c r="I1006" s="2">
        <v>3</v>
      </c>
      <c r="J1006" s="2">
        <v>40</v>
      </c>
      <c r="K1006" s="6">
        <v>0.4284722222222222</v>
      </c>
      <c r="L1006" s="2" t="s">
        <v>279</v>
      </c>
      <c r="M1006" s="2">
        <v>10</v>
      </c>
      <c r="N1006" s="2">
        <v>1</v>
      </c>
      <c r="O1006" s="2">
        <v>1</v>
      </c>
      <c r="P1006" s="2" t="s">
        <v>232</v>
      </c>
      <c r="Q1006" s="7" t="s">
        <v>43</v>
      </c>
      <c r="R1006" s="4" t="s">
        <v>324</v>
      </c>
      <c r="S1006" s="20">
        <v>1</v>
      </c>
      <c r="T1006" s="2">
        <v>0</v>
      </c>
      <c r="AB1006" s="2">
        <v>1</v>
      </c>
    </row>
    <row r="1007" spans="1:30">
      <c r="A1007" s="7">
        <f>MAX($A$1:$A1006)+1</f>
        <v>1006</v>
      </c>
      <c r="B1007" s="2" t="s">
        <v>278</v>
      </c>
      <c r="C1007" s="2" t="s">
        <v>170</v>
      </c>
      <c r="D1007" s="2" t="s">
        <v>36</v>
      </c>
      <c r="E1007" s="7" t="s">
        <v>392</v>
      </c>
      <c r="F1007" s="4">
        <v>48.9071</v>
      </c>
      <c r="G1007" s="18">
        <v>-125.03701700000001</v>
      </c>
      <c r="H1007" s="5" t="s">
        <v>13</v>
      </c>
      <c r="I1007" s="2">
        <v>3</v>
      </c>
      <c r="J1007" s="2">
        <v>40</v>
      </c>
      <c r="K1007" s="6">
        <v>0.4284722222222222</v>
      </c>
      <c r="L1007" s="2" t="s">
        <v>279</v>
      </c>
      <c r="M1007" s="2">
        <v>10</v>
      </c>
      <c r="N1007" s="2">
        <v>0</v>
      </c>
      <c r="O1007" s="2">
        <v>1</v>
      </c>
      <c r="P1007" s="2" t="s">
        <v>305</v>
      </c>
      <c r="Q1007" s="7" t="s">
        <v>89</v>
      </c>
      <c r="R1007" s="4" t="s">
        <v>306</v>
      </c>
      <c r="S1007" s="20">
        <v>2</v>
      </c>
      <c r="T1007" s="2">
        <v>0</v>
      </c>
      <c r="U1007" s="2">
        <v>1</v>
      </c>
      <c r="Z1007" s="2">
        <v>1</v>
      </c>
    </row>
    <row r="1008" spans="1:30">
      <c r="A1008" s="7">
        <f>MAX($A$1:$A1007)+1</f>
        <v>1007</v>
      </c>
      <c r="B1008" s="2" t="s">
        <v>278</v>
      </c>
      <c r="C1008" s="2" t="s">
        <v>170</v>
      </c>
      <c r="D1008" s="2" t="s">
        <v>36</v>
      </c>
      <c r="E1008" s="7" t="s">
        <v>392</v>
      </c>
      <c r="F1008" s="4">
        <v>48.9071</v>
      </c>
      <c r="G1008" s="18">
        <v>-125.03701700000001</v>
      </c>
      <c r="H1008" s="5" t="s">
        <v>13</v>
      </c>
      <c r="I1008" s="2">
        <v>3</v>
      </c>
      <c r="J1008" s="2">
        <v>40</v>
      </c>
      <c r="K1008" s="6">
        <v>0.4284722222222222</v>
      </c>
      <c r="L1008" s="2" t="s">
        <v>279</v>
      </c>
      <c r="M1008" s="2">
        <v>10</v>
      </c>
      <c r="N1008" s="2">
        <v>1</v>
      </c>
      <c r="O1008" s="2">
        <v>1</v>
      </c>
      <c r="P1008" s="2" t="s">
        <v>393</v>
      </c>
      <c r="Q1008" s="7" t="s">
        <v>58</v>
      </c>
      <c r="R1008" s="4" t="s">
        <v>394</v>
      </c>
      <c r="S1008" s="20">
        <v>20</v>
      </c>
      <c r="T1008" s="2">
        <v>0</v>
      </c>
      <c r="Y1008" s="2">
        <v>20</v>
      </c>
    </row>
    <row r="1009" spans="1:27">
      <c r="A1009" s="7">
        <f>MAX($A$1:$A1008)+1</f>
        <v>1008</v>
      </c>
      <c r="B1009" s="2" t="s">
        <v>278</v>
      </c>
      <c r="C1009" s="2" t="s">
        <v>170</v>
      </c>
      <c r="D1009" s="2" t="s">
        <v>36</v>
      </c>
      <c r="E1009" s="7" t="s">
        <v>392</v>
      </c>
      <c r="F1009" s="4">
        <v>48.9071</v>
      </c>
      <c r="G1009" s="18">
        <v>-125.03701700000001</v>
      </c>
      <c r="H1009" s="5" t="s">
        <v>13</v>
      </c>
      <c r="I1009" s="2">
        <v>3</v>
      </c>
      <c r="J1009" s="2">
        <v>40</v>
      </c>
      <c r="K1009" s="6">
        <v>0.4284722222222222</v>
      </c>
      <c r="L1009" s="2" t="s">
        <v>279</v>
      </c>
      <c r="M1009" s="2">
        <v>10</v>
      </c>
      <c r="N1009" s="2">
        <v>1</v>
      </c>
      <c r="O1009" s="2">
        <v>1</v>
      </c>
      <c r="P1009" s="2" t="s">
        <v>231</v>
      </c>
      <c r="Q1009" s="7" t="s">
        <v>48</v>
      </c>
      <c r="R1009" s="4" t="s">
        <v>365</v>
      </c>
      <c r="S1009" s="20">
        <v>6</v>
      </c>
      <c r="T1009" s="2">
        <v>0</v>
      </c>
      <c r="Z1009" s="2">
        <v>3</v>
      </c>
      <c r="AA1009" s="2">
        <v>3</v>
      </c>
    </row>
    <row r="1010" spans="1:27">
      <c r="A1010" s="7">
        <f>MAX($A$1:$A1009)+1</f>
        <v>1009</v>
      </c>
      <c r="B1010" s="2" t="s">
        <v>278</v>
      </c>
      <c r="C1010" s="2" t="s">
        <v>170</v>
      </c>
      <c r="D1010" s="2" t="s">
        <v>36</v>
      </c>
      <c r="E1010" s="7" t="s">
        <v>392</v>
      </c>
      <c r="F1010" s="4">
        <v>48.9071</v>
      </c>
      <c r="G1010" s="18">
        <v>-125.03701700000001</v>
      </c>
      <c r="H1010" s="5" t="s">
        <v>13</v>
      </c>
      <c r="I1010" s="2">
        <v>3</v>
      </c>
      <c r="J1010" s="2">
        <v>40</v>
      </c>
      <c r="K1010" s="6">
        <v>0.4284722222222222</v>
      </c>
      <c r="L1010" s="2" t="s">
        <v>279</v>
      </c>
      <c r="M1010" s="2">
        <v>10</v>
      </c>
      <c r="N1010" s="2">
        <v>2</v>
      </c>
      <c r="O1010" s="2">
        <v>1</v>
      </c>
      <c r="P1010" s="2" t="s">
        <v>241</v>
      </c>
      <c r="Q1010" s="7" t="s">
        <v>63</v>
      </c>
      <c r="R1010" s="4" t="s">
        <v>294</v>
      </c>
      <c r="S1010" s="20">
        <v>2</v>
      </c>
      <c r="T1010" s="2">
        <v>2</v>
      </c>
    </row>
    <row r="1011" spans="1:27">
      <c r="A1011" s="7">
        <f>MAX($A$1:$A1010)+1</f>
        <v>1010</v>
      </c>
      <c r="B1011" s="2" t="s">
        <v>278</v>
      </c>
      <c r="C1011" s="2" t="s">
        <v>170</v>
      </c>
      <c r="D1011" s="2" t="s">
        <v>36</v>
      </c>
      <c r="E1011" s="7" t="s">
        <v>392</v>
      </c>
      <c r="F1011" s="4">
        <v>48.9071</v>
      </c>
      <c r="G1011" s="18">
        <v>-125.03701700000001</v>
      </c>
      <c r="H1011" s="5" t="s">
        <v>13</v>
      </c>
      <c r="I1011" s="2">
        <v>3</v>
      </c>
      <c r="J1011" s="2">
        <v>40</v>
      </c>
      <c r="K1011" s="6">
        <v>0.4284722222222222</v>
      </c>
      <c r="L1011" s="2" t="s">
        <v>279</v>
      </c>
      <c r="M1011" s="2">
        <v>10</v>
      </c>
      <c r="N1011" s="2">
        <v>2</v>
      </c>
      <c r="O1011" s="2">
        <v>1</v>
      </c>
      <c r="P1011" s="2" t="s">
        <v>230</v>
      </c>
      <c r="Q1011" s="7" t="s">
        <v>42</v>
      </c>
      <c r="R1011" s="4" t="s">
        <v>321</v>
      </c>
      <c r="S1011" s="20">
        <v>23</v>
      </c>
      <c r="T1011" s="2">
        <v>0</v>
      </c>
      <c r="U1011" s="2">
        <v>11</v>
      </c>
      <c r="V1011" s="2">
        <v>9</v>
      </c>
      <c r="W1011" s="2">
        <v>3</v>
      </c>
    </row>
    <row r="1012" spans="1:27">
      <c r="A1012" s="7">
        <f>MAX($A$1:$A1011)+1</f>
        <v>1011</v>
      </c>
      <c r="B1012" s="2" t="s">
        <v>278</v>
      </c>
      <c r="C1012" s="2" t="s">
        <v>170</v>
      </c>
      <c r="D1012" s="2" t="s">
        <v>36</v>
      </c>
      <c r="E1012" s="7" t="s">
        <v>392</v>
      </c>
      <c r="F1012" s="4">
        <v>48.9071</v>
      </c>
      <c r="G1012" s="18">
        <v>-125.03701700000001</v>
      </c>
      <c r="H1012" s="5" t="s">
        <v>13</v>
      </c>
      <c r="I1012" s="2">
        <v>3</v>
      </c>
      <c r="J1012" s="2">
        <v>40</v>
      </c>
      <c r="K1012" s="6">
        <v>0.4284722222222222</v>
      </c>
      <c r="L1012" s="2" t="s">
        <v>279</v>
      </c>
      <c r="M1012" s="2">
        <v>10</v>
      </c>
      <c r="N1012" s="2">
        <v>2</v>
      </c>
      <c r="O1012" s="2">
        <v>1</v>
      </c>
      <c r="P1012" s="2" t="s">
        <v>247</v>
      </c>
      <c r="Q1012" s="7" t="s">
        <v>64</v>
      </c>
      <c r="R1012" s="4" t="s">
        <v>293</v>
      </c>
      <c r="S1012" s="20">
        <v>11</v>
      </c>
      <c r="T1012" s="2">
        <v>11</v>
      </c>
    </row>
    <row r="1013" spans="1:27">
      <c r="A1013" s="7">
        <f>MAX($A$1:$A1012)+1</f>
        <v>1012</v>
      </c>
      <c r="B1013" s="2" t="s">
        <v>278</v>
      </c>
      <c r="C1013" s="2" t="s">
        <v>170</v>
      </c>
      <c r="D1013" s="2" t="s">
        <v>36</v>
      </c>
      <c r="E1013" s="7" t="s">
        <v>392</v>
      </c>
      <c r="F1013" s="4">
        <v>48.9071</v>
      </c>
      <c r="G1013" s="18">
        <v>-125.03701700000001</v>
      </c>
      <c r="H1013" s="5" t="s">
        <v>13</v>
      </c>
      <c r="I1013" s="2">
        <v>3</v>
      </c>
      <c r="J1013" s="2">
        <v>40</v>
      </c>
      <c r="K1013" s="6">
        <v>0.4284722222222222</v>
      </c>
      <c r="L1013" s="2" t="s">
        <v>279</v>
      </c>
      <c r="M1013" s="2">
        <v>10</v>
      </c>
      <c r="N1013" s="2">
        <v>2</v>
      </c>
      <c r="O1013" s="2">
        <v>1</v>
      </c>
      <c r="P1013" s="2" t="s">
        <v>296</v>
      </c>
      <c r="Q1013" s="7" t="s">
        <v>75</v>
      </c>
      <c r="R1013" s="4" t="s">
        <v>297</v>
      </c>
      <c r="S1013" s="20">
        <v>5</v>
      </c>
      <c r="T1013" s="2">
        <v>5</v>
      </c>
    </row>
    <row r="1014" spans="1:27">
      <c r="A1014" s="7">
        <f>MAX($A$1:$A1013)+1</f>
        <v>1013</v>
      </c>
      <c r="B1014" s="2" t="s">
        <v>278</v>
      </c>
      <c r="C1014" s="2" t="s">
        <v>170</v>
      </c>
      <c r="D1014" s="2" t="s">
        <v>36</v>
      </c>
      <c r="E1014" s="7" t="s">
        <v>392</v>
      </c>
      <c r="F1014" s="4">
        <v>48.9071</v>
      </c>
      <c r="G1014" s="18">
        <v>-125.03701700000001</v>
      </c>
      <c r="H1014" s="5" t="s">
        <v>13</v>
      </c>
      <c r="I1014" s="2">
        <v>3</v>
      </c>
      <c r="J1014" s="2">
        <v>40</v>
      </c>
      <c r="K1014" s="6">
        <v>0.4284722222222222</v>
      </c>
      <c r="L1014" s="2" t="s">
        <v>279</v>
      </c>
      <c r="M1014" s="2">
        <v>10</v>
      </c>
      <c r="N1014" s="2">
        <v>2</v>
      </c>
      <c r="O1014" s="2">
        <v>1</v>
      </c>
      <c r="P1014" s="2" t="s">
        <v>251</v>
      </c>
      <c r="Q1014" s="7" t="s">
        <v>73</v>
      </c>
      <c r="R1014" s="4" t="s">
        <v>325</v>
      </c>
      <c r="S1014" s="20">
        <v>2</v>
      </c>
      <c r="T1014" s="2">
        <v>2</v>
      </c>
    </row>
    <row r="1015" spans="1:27">
      <c r="A1015" s="7">
        <f>MAX($A$1:$A1014)+1</f>
        <v>1014</v>
      </c>
      <c r="B1015" s="2" t="s">
        <v>278</v>
      </c>
      <c r="C1015" s="2" t="s">
        <v>170</v>
      </c>
      <c r="D1015" s="2" t="s">
        <v>36</v>
      </c>
      <c r="E1015" s="7" t="s">
        <v>392</v>
      </c>
      <c r="F1015" s="4">
        <v>48.9071</v>
      </c>
      <c r="G1015" s="18">
        <v>-125.03701700000001</v>
      </c>
      <c r="H1015" s="5" t="s">
        <v>13</v>
      </c>
      <c r="I1015" s="2">
        <v>3</v>
      </c>
      <c r="J1015" s="2">
        <v>40</v>
      </c>
      <c r="K1015" s="6">
        <v>0.4284722222222222</v>
      </c>
      <c r="L1015" s="2" t="s">
        <v>279</v>
      </c>
      <c r="M1015" s="2">
        <v>10</v>
      </c>
      <c r="N1015" s="2">
        <v>0</v>
      </c>
      <c r="O1015" s="2">
        <v>1</v>
      </c>
      <c r="P1015" s="2" t="s">
        <v>231</v>
      </c>
      <c r="Q1015" s="7" t="s">
        <v>48</v>
      </c>
      <c r="R1015" s="4" t="s">
        <v>365</v>
      </c>
      <c r="S1015" s="20">
        <v>2</v>
      </c>
      <c r="T1015" s="2">
        <v>0</v>
      </c>
      <c r="Z1015" s="2">
        <v>2</v>
      </c>
    </row>
    <row r="1016" spans="1:27">
      <c r="A1016" s="7">
        <f>MAX($A$1:$A1015)+1</f>
        <v>1015</v>
      </c>
      <c r="B1016" s="2" t="s">
        <v>278</v>
      </c>
      <c r="C1016" s="2" t="s">
        <v>170</v>
      </c>
      <c r="D1016" s="2" t="s">
        <v>36</v>
      </c>
      <c r="E1016" s="7" t="s">
        <v>392</v>
      </c>
      <c r="F1016" s="4">
        <v>48.9071</v>
      </c>
      <c r="G1016" s="18">
        <v>-125.03701700000001</v>
      </c>
      <c r="H1016" s="5" t="s">
        <v>13</v>
      </c>
      <c r="I1016" s="2">
        <v>3</v>
      </c>
      <c r="J1016" s="2">
        <v>40</v>
      </c>
      <c r="K1016" s="6">
        <v>0.4284722222222222</v>
      </c>
      <c r="L1016" s="2" t="s">
        <v>279</v>
      </c>
      <c r="M1016" s="2">
        <v>10</v>
      </c>
      <c r="N1016" s="2">
        <v>2</v>
      </c>
      <c r="O1016" s="2">
        <v>1</v>
      </c>
      <c r="P1016" s="2" t="s">
        <v>301</v>
      </c>
      <c r="Q1016" s="7" t="s">
        <v>97</v>
      </c>
      <c r="R1016" s="4" t="s">
        <v>302</v>
      </c>
      <c r="S1016" s="20">
        <v>1</v>
      </c>
      <c r="T1016" s="2">
        <v>1</v>
      </c>
    </row>
    <row r="1017" spans="1:27">
      <c r="A1017" s="7">
        <f>MAX($A$1:$A1016)+1</f>
        <v>1016</v>
      </c>
      <c r="B1017" s="2" t="s">
        <v>278</v>
      </c>
      <c r="C1017" s="2" t="s">
        <v>170</v>
      </c>
      <c r="D1017" s="2" t="s">
        <v>36</v>
      </c>
      <c r="E1017" s="7" t="s">
        <v>392</v>
      </c>
      <c r="F1017" s="4">
        <v>48.9071</v>
      </c>
      <c r="G1017" s="18">
        <v>-125.03701700000001</v>
      </c>
      <c r="H1017" s="5" t="s">
        <v>13</v>
      </c>
      <c r="I1017" s="2">
        <v>3</v>
      </c>
      <c r="J1017" s="2">
        <v>40</v>
      </c>
      <c r="K1017" s="6">
        <v>0.4284722222222222</v>
      </c>
      <c r="L1017" s="2" t="s">
        <v>279</v>
      </c>
      <c r="M1017" s="2">
        <v>10</v>
      </c>
      <c r="N1017" s="2">
        <v>2</v>
      </c>
      <c r="O1017" s="2">
        <v>1</v>
      </c>
      <c r="P1017" s="2" t="s">
        <v>335</v>
      </c>
      <c r="Q1017" s="7" t="s">
        <v>91</v>
      </c>
      <c r="R1017" s="4" t="s">
        <v>336</v>
      </c>
      <c r="S1017" s="20">
        <v>1</v>
      </c>
      <c r="T1017" s="2">
        <v>1</v>
      </c>
    </row>
    <row r="1018" spans="1:27">
      <c r="A1018" s="7">
        <f>MAX($A$1:$A1017)+1</f>
        <v>1017</v>
      </c>
      <c r="B1018" s="2" t="s">
        <v>278</v>
      </c>
      <c r="C1018" s="2" t="s">
        <v>170</v>
      </c>
      <c r="D1018" s="2" t="s">
        <v>36</v>
      </c>
      <c r="E1018" s="7" t="s">
        <v>392</v>
      </c>
      <c r="F1018" s="4">
        <v>48.9071</v>
      </c>
      <c r="G1018" s="18">
        <v>-125.03701700000001</v>
      </c>
      <c r="H1018" s="5" t="s">
        <v>13</v>
      </c>
      <c r="I1018" s="2">
        <v>3</v>
      </c>
      <c r="J1018" s="2">
        <v>40</v>
      </c>
      <c r="K1018" s="6">
        <v>0.4284722222222222</v>
      </c>
      <c r="L1018" s="2" t="s">
        <v>279</v>
      </c>
      <c r="M1018" s="2">
        <v>10</v>
      </c>
      <c r="N1018" s="2">
        <v>2</v>
      </c>
      <c r="O1018" s="2">
        <v>1</v>
      </c>
      <c r="P1018" s="2" t="s">
        <v>319</v>
      </c>
      <c r="Q1018" s="7" t="s">
        <v>120</v>
      </c>
      <c r="R1018" s="4" t="s">
        <v>320</v>
      </c>
      <c r="S1018" s="20">
        <v>1</v>
      </c>
      <c r="T1018" s="2">
        <v>1</v>
      </c>
    </row>
    <row r="1019" spans="1:27">
      <c r="A1019" s="7">
        <f>MAX($A$1:$A1018)+1</f>
        <v>1018</v>
      </c>
      <c r="B1019" s="2" t="s">
        <v>278</v>
      </c>
      <c r="C1019" s="2" t="s">
        <v>170</v>
      </c>
      <c r="D1019" s="2" t="s">
        <v>36</v>
      </c>
      <c r="E1019" s="7" t="s">
        <v>392</v>
      </c>
      <c r="F1019" s="4">
        <v>48.9071</v>
      </c>
      <c r="G1019" s="18">
        <v>-125.03701700000001</v>
      </c>
      <c r="H1019" s="5" t="s">
        <v>13</v>
      </c>
      <c r="I1019" s="2">
        <v>3</v>
      </c>
      <c r="J1019" s="2">
        <v>40</v>
      </c>
      <c r="K1019" s="6">
        <v>0.4284722222222222</v>
      </c>
      <c r="L1019" s="2" t="s">
        <v>279</v>
      </c>
      <c r="M1019" s="2">
        <v>10</v>
      </c>
      <c r="N1019" s="2">
        <v>2</v>
      </c>
      <c r="O1019" s="2">
        <v>1</v>
      </c>
      <c r="P1019" s="2" t="s">
        <v>395</v>
      </c>
      <c r="Q1019" s="7" t="s">
        <v>81</v>
      </c>
      <c r="R1019" s="4" t="s">
        <v>396</v>
      </c>
      <c r="S1019" s="20">
        <v>5</v>
      </c>
      <c r="T1019" s="2">
        <v>5</v>
      </c>
    </row>
    <row r="1020" spans="1:27">
      <c r="A1020" s="7">
        <f>MAX($A$1:$A1019)+1</f>
        <v>1019</v>
      </c>
      <c r="B1020" s="2" t="s">
        <v>278</v>
      </c>
      <c r="C1020" s="2" t="s">
        <v>170</v>
      </c>
      <c r="D1020" s="2" t="s">
        <v>36</v>
      </c>
      <c r="E1020" s="7" t="s">
        <v>392</v>
      </c>
      <c r="F1020" s="4">
        <v>48.9071</v>
      </c>
      <c r="G1020" s="18">
        <v>-125.03701700000001</v>
      </c>
      <c r="H1020" s="5" t="s">
        <v>13</v>
      </c>
      <c r="I1020" s="2">
        <v>3</v>
      </c>
      <c r="J1020" s="2">
        <v>40</v>
      </c>
      <c r="K1020" s="6">
        <v>0.4284722222222222</v>
      </c>
      <c r="L1020" s="2" t="s">
        <v>279</v>
      </c>
      <c r="M1020" s="2">
        <v>10</v>
      </c>
      <c r="N1020" s="2">
        <v>2</v>
      </c>
      <c r="O1020" s="2">
        <v>1</v>
      </c>
      <c r="P1020" s="2" t="s">
        <v>248</v>
      </c>
      <c r="Q1020" s="7" t="s">
        <v>78</v>
      </c>
      <c r="R1020" s="4" t="s">
        <v>349</v>
      </c>
      <c r="S1020" s="20">
        <v>13</v>
      </c>
      <c r="V1020" s="2">
        <v>1</v>
      </c>
      <c r="W1020" s="2">
        <v>5</v>
      </c>
      <c r="X1020" s="2">
        <v>5</v>
      </c>
      <c r="Y1020" s="2">
        <v>2</v>
      </c>
    </row>
    <row r="1021" spans="1:27">
      <c r="A1021" s="7">
        <f>MAX($A$1:$A1020)+1</f>
        <v>1020</v>
      </c>
      <c r="B1021" s="2" t="s">
        <v>278</v>
      </c>
      <c r="C1021" s="2" t="s">
        <v>170</v>
      </c>
      <c r="D1021" s="2" t="s">
        <v>36</v>
      </c>
      <c r="E1021" s="7" t="s">
        <v>392</v>
      </c>
      <c r="F1021" s="4">
        <v>48.9071</v>
      </c>
      <c r="G1021" s="18">
        <v>-125.03701700000001</v>
      </c>
      <c r="H1021" s="5" t="s">
        <v>13</v>
      </c>
      <c r="I1021" s="2">
        <v>3</v>
      </c>
      <c r="J1021" s="2">
        <v>40</v>
      </c>
      <c r="K1021" s="6">
        <v>0.4284722222222222</v>
      </c>
      <c r="L1021" s="2" t="s">
        <v>279</v>
      </c>
      <c r="M1021" s="2">
        <v>10</v>
      </c>
      <c r="N1021" s="2">
        <v>2</v>
      </c>
      <c r="O1021" s="2">
        <v>1</v>
      </c>
      <c r="P1021" s="2" t="s">
        <v>249</v>
      </c>
      <c r="Q1021" s="7" t="s">
        <v>90</v>
      </c>
      <c r="R1021" s="4" t="s">
        <v>352</v>
      </c>
      <c r="S1021" s="20">
        <v>1</v>
      </c>
      <c r="T1021" s="2">
        <v>1</v>
      </c>
    </row>
    <row r="1022" spans="1:27">
      <c r="A1022" s="7">
        <f>MAX($A$1:$A1021)+1</f>
        <v>1021</v>
      </c>
      <c r="B1022" s="2" t="s">
        <v>278</v>
      </c>
      <c r="C1022" s="2" t="s">
        <v>170</v>
      </c>
      <c r="D1022" s="2" t="s">
        <v>36</v>
      </c>
      <c r="E1022" s="7" t="s">
        <v>392</v>
      </c>
      <c r="F1022" s="4">
        <v>48.9071</v>
      </c>
      <c r="G1022" s="18">
        <v>-125.03701700000001</v>
      </c>
      <c r="H1022" s="5" t="s">
        <v>13</v>
      </c>
      <c r="I1022" s="2">
        <v>3</v>
      </c>
      <c r="J1022" s="2">
        <v>40</v>
      </c>
      <c r="K1022" s="6">
        <v>0.4284722222222222</v>
      </c>
      <c r="L1022" s="2" t="s">
        <v>279</v>
      </c>
      <c r="M1022" s="2">
        <v>10</v>
      </c>
      <c r="N1022" s="2">
        <v>2</v>
      </c>
      <c r="O1022" s="2">
        <v>1</v>
      </c>
      <c r="P1022" s="2" t="s">
        <v>298</v>
      </c>
      <c r="Q1022" s="7" t="s">
        <v>99</v>
      </c>
      <c r="R1022" s="4" t="s">
        <v>299</v>
      </c>
      <c r="S1022" s="20">
        <v>2</v>
      </c>
      <c r="T1022" s="2">
        <v>2</v>
      </c>
    </row>
    <row r="1023" spans="1:27">
      <c r="A1023" s="7">
        <f>MAX($A$1:$A1022)+1</f>
        <v>1022</v>
      </c>
      <c r="B1023" s="2" t="s">
        <v>278</v>
      </c>
      <c r="C1023" s="2" t="s">
        <v>170</v>
      </c>
      <c r="D1023" s="2" t="s">
        <v>36</v>
      </c>
      <c r="E1023" s="7" t="s">
        <v>392</v>
      </c>
      <c r="F1023" s="4">
        <v>48.9071</v>
      </c>
      <c r="G1023" s="18">
        <v>-125.03701700000001</v>
      </c>
      <c r="H1023" s="5" t="s">
        <v>13</v>
      </c>
      <c r="I1023" s="2">
        <v>3</v>
      </c>
      <c r="J1023" s="2">
        <v>40</v>
      </c>
      <c r="K1023" s="6">
        <v>0.4284722222222222</v>
      </c>
      <c r="L1023" s="2" t="s">
        <v>279</v>
      </c>
      <c r="M1023" s="2">
        <v>10</v>
      </c>
      <c r="N1023" s="2">
        <v>2</v>
      </c>
      <c r="O1023" s="2">
        <v>1</v>
      </c>
      <c r="P1023" s="2" t="s">
        <v>366</v>
      </c>
      <c r="Q1023" s="7" t="s">
        <v>103</v>
      </c>
      <c r="R1023" s="4" t="s">
        <v>367</v>
      </c>
      <c r="S1023" s="20">
        <v>1</v>
      </c>
      <c r="T1023" s="2">
        <v>1</v>
      </c>
    </row>
    <row r="1024" spans="1:27">
      <c r="A1024" s="7">
        <f>MAX($A$1:$A1023)+1</f>
        <v>1023</v>
      </c>
      <c r="B1024" s="2" t="s">
        <v>278</v>
      </c>
      <c r="C1024" s="2" t="s">
        <v>170</v>
      </c>
      <c r="D1024" s="2" t="s">
        <v>36</v>
      </c>
      <c r="E1024" s="7" t="s">
        <v>392</v>
      </c>
      <c r="F1024" s="4">
        <v>48.9071</v>
      </c>
      <c r="G1024" s="18">
        <v>-125.03701700000001</v>
      </c>
      <c r="H1024" s="5" t="s">
        <v>13</v>
      </c>
      <c r="I1024" s="2">
        <v>3</v>
      </c>
      <c r="J1024" s="2">
        <v>40</v>
      </c>
      <c r="K1024" s="6">
        <v>0.4284722222222222</v>
      </c>
      <c r="L1024" s="2" t="s">
        <v>279</v>
      </c>
      <c r="M1024" s="2">
        <v>10</v>
      </c>
      <c r="N1024" s="2">
        <v>2</v>
      </c>
      <c r="O1024" s="2">
        <v>1</v>
      </c>
      <c r="P1024" s="2" t="s">
        <v>322</v>
      </c>
      <c r="Q1024" s="7" t="s">
        <v>124</v>
      </c>
      <c r="R1024" s="4" t="s">
        <v>323</v>
      </c>
      <c r="S1024" s="20">
        <v>1</v>
      </c>
      <c r="T1024" s="2">
        <v>1</v>
      </c>
    </row>
    <row r="1025" spans="1:25">
      <c r="A1025" s="7">
        <f>MAX($A$1:$A1024)+1</f>
        <v>1024</v>
      </c>
      <c r="B1025" s="2" t="s">
        <v>278</v>
      </c>
      <c r="C1025" s="2" t="s">
        <v>170</v>
      </c>
      <c r="D1025" s="2" t="s">
        <v>36</v>
      </c>
      <c r="E1025" s="7" t="s">
        <v>392</v>
      </c>
      <c r="F1025" s="4">
        <v>48.9071</v>
      </c>
      <c r="G1025" s="18">
        <v>-125.03701700000001</v>
      </c>
      <c r="H1025" s="5" t="s">
        <v>13</v>
      </c>
      <c r="I1025" s="2">
        <v>3</v>
      </c>
      <c r="J1025" s="2">
        <v>40</v>
      </c>
      <c r="K1025" s="6">
        <v>0.4284722222222222</v>
      </c>
      <c r="L1025" s="2" t="s">
        <v>279</v>
      </c>
      <c r="M1025" s="2">
        <v>10</v>
      </c>
      <c r="N1025" s="2">
        <v>2</v>
      </c>
      <c r="O1025" s="2">
        <v>1</v>
      </c>
      <c r="P1025" s="2" t="s">
        <v>331</v>
      </c>
      <c r="Q1025" s="7" t="s">
        <v>67</v>
      </c>
      <c r="R1025" s="4" t="s">
        <v>332</v>
      </c>
      <c r="S1025" s="20">
        <v>5</v>
      </c>
      <c r="T1025" s="2">
        <v>5</v>
      </c>
    </row>
    <row r="1026" spans="1:25">
      <c r="A1026" s="7">
        <f>MAX($A$1:$A1025)+1</f>
        <v>1025</v>
      </c>
      <c r="B1026" s="2" t="s">
        <v>278</v>
      </c>
      <c r="C1026" s="2" t="s">
        <v>170</v>
      </c>
      <c r="D1026" s="2" t="s">
        <v>36</v>
      </c>
      <c r="E1026" s="7" t="s">
        <v>392</v>
      </c>
      <c r="F1026" s="4">
        <v>48.9071</v>
      </c>
      <c r="G1026" s="18">
        <v>-125.03701700000001</v>
      </c>
      <c r="H1026" s="5" t="s">
        <v>13</v>
      </c>
      <c r="I1026" s="2">
        <v>3</v>
      </c>
      <c r="J1026" s="2">
        <v>40</v>
      </c>
      <c r="K1026" s="6">
        <v>0.4284722222222222</v>
      </c>
      <c r="L1026" s="2" t="s">
        <v>279</v>
      </c>
      <c r="M1026" s="2">
        <v>10</v>
      </c>
      <c r="N1026" s="2">
        <v>2</v>
      </c>
      <c r="O1026" s="2">
        <v>1</v>
      </c>
      <c r="P1026" s="2" t="s">
        <v>373</v>
      </c>
      <c r="Q1026" s="7" t="s">
        <v>131</v>
      </c>
      <c r="R1026" s="4" t="s">
        <v>374</v>
      </c>
      <c r="S1026" s="20">
        <v>1</v>
      </c>
      <c r="T1026" s="2">
        <v>1</v>
      </c>
    </row>
    <row r="1027" spans="1:25">
      <c r="A1027" s="7">
        <f>MAX($A$1:$A1026)+1</f>
        <v>1026</v>
      </c>
      <c r="B1027" s="2" t="s">
        <v>278</v>
      </c>
      <c r="C1027" s="2" t="s">
        <v>170</v>
      </c>
      <c r="D1027" s="2" t="s">
        <v>36</v>
      </c>
      <c r="E1027" s="7" t="s">
        <v>392</v>
      </c>
      <c r="F1027" s="4">
        <v>48.9071</v>
      </c>
      <c r="G1027" s="18">
        <v>-125.03701700000001</v>
      </c>
      <c r="H1027" s="5" t="s">
        <v>13</v>
      </c>
      <c r="I1027" s="2">
        <v>3</v>
      </c>
      <c r="J1027" s="2">
        <v>40</v>
      </c>
      <c r="K1027" s="6">
        <v>0.4284722222222222</v>
      </c>
      <c r="L1027" s="2" t="s">
        <v>279</v>
      </c>
      <c r="M1027" s="2">
        <v>10</v>
      </c>
      <c r="N1027" s="2">
        <v>2</v>
      </c>
      <c r="O1027" s="2">
        <v>1</v>
      </c>
      <c r="P1027" s="2" t="s">
        <v>310</v>
      </c>
      <c r="Q1027" s="7" t="s">
        <v>98</v>
      </c>
      <c r="R1027" s="4" t="s">
        <v>311</v>
      </c>
      <c r="S1027" s="20">
        <v>4</v>
      </c>
      <c r="T1027" s="2">
        <v>4</v>
      </c>
    </row>
    <row r="1028" spans="1:25">
      <c r="A1028" s="7">
        <f>MAX($A$1:$A1027)+1</f>
        <v>1027</v>
      </c>
      <c r="B1028" s="2" t="s">
        <v>278</v>
      </c>
      <c r="C1028" s="2" t="s">
        <v>170</v>
      </c>
      <c r="D1028" s="2" t="s">
        <v>36</v>
      </c>
      <c r="E1028" s="7" t="s">
        <v>392</v>
      </c>
      <c r="F1028" s="4">
        <v>48.9071</v>
      </c>
      <c r="G1028" s="18">
        <v>-125.03701700000001</v>
      </c>
      <c r="H1028" s="5" t="s">
        <v>13</v>
      </c>
      <c r="I1028" s="2">
        <v>3</v>
      </c>
      <c r="J1028" s="2">
        <v>40</v>
      </c>
      <c r="K1028" s="6">
        <v>0.4284722222222222</v>
      </c>
      <c r="L1028" s="2" t="s">
        <v>279</v>
      </c>
      <c r="M1028" s="2">
        <v>10</v>
      </c>
      <c r="N1028" s="2">
        <v>2</v>
      </c>
      <c r="O1028" s="2">
        <v>1</v>
      </c>
      <c r="P1028" s="2" t="s">
        <v>397</v>
      </c>
      <c r="Q1028" s="7" t="s">
        <v>118</v>
      </c>
      <c r="R1028" s="4" t="s">
        <v>398</v>
      </c>
      <c r="S1028" s="20">
        <v>1</v>
      </c>
      <c r="T1028" s="2">
        <v>1</v>
      </c>
    </row>
    <row r="1029" spans="1:25">
      <c r="A1029" s="7">
        <f>MAX($A$1:$A1028)+1</f>
        <v>1028</v>
      </c>
      <c r="B1029" s="2" t="s">
        <v>278</v>
      </c>
      <c r="C1029" s="2" t="s">
        <v>170</v>
      </c>
      <c r="D1029" s="2" t="s">
        <v>36</v>
      </c>
      <c r="E1029" s="7" t="s">
        <v>392</v>
      </c>
      <c r="F1029" s="4">
        <v>48.9071</v>
      </c>
      <c r="G1029" s="18">
        <v>-125.03701700000001</v>
      </c>
      <c r="H1029" s="5" t="s">
        <v>13</v>
      </c>
      <c r="I1029" s="2">
        <v>3</v>
      </c>
      <c r="J1029" s="2">
        <v>40</v>
      </c>
      <c r="K1029" s="6">
        <v>0.4284722222222222</v>
      </c>
      <c r="L1029" s="2" t="s">
        <v>279</v>
      </c>
      <c r="M1029" s="2">
        <v>10</v>
      </c>
      <c r="N1029" s="2">
        <v>2</v>
      </c>
      <c r="O1029" s="2">
        <v>1</v>
      </c>
      <c r="P1029" s="2" t="s">
        <v>338</v>
      </c>
      <c r="Q1029" s="7" t="s">
        <v>101</v>
      </c>
      <c r="R1029" s="4" t="s">
        <v>339</v>
      </c>
      <c r="S1029" s="20">
        <v>1</v>
      </c>
      <c r="T1029" s="2">
        <v>0</v>
      </c>
      <c r="V1029" s="2">
        <v>1</v>
      </c>
    </row>
    <row r="1030" spans="1:25">
      <c r="A1030" s="7">
        <f>MAX($A$1:$A1029)+1</f>
        <v>1029</v>
      </c>
      <c r="B1030" s="2" t="s">
        <v>278</v>
      </c>
      <c r="C1030" s="2" t="s">
        <v>170</v>
      </c>
      <c r="D1030" s="2" t="s">
        <v>36</v>
      </c>
      <c r="E1030" s="7" t="s">
        <v>392</v>
      </c>
      <c r="F1030" s="4">
        <v>48.9071</v>
      </c>
      <c r="G1030" s="18">
        <v>-125.03701700000001</v>
      </c>
      <c r="H1030" s="5" t="s">
        <v>13</v>
      </c>
      <c r="I1030" s="2">
        <v>3</v>
      </c>
      <c r="J1030" s="2">
        <v>40</v>
      </c>
      <c r="K1030" s="6">
        <v>0.4284722222222222</v>
      </c>
      <c r="L1030" s="2" t="s">
        <v>279</v>
      </c>
      <c r="M1030" s="2">
        <v>10</v>
      </c>
      <c r="N1030" s="2">
        <v>2</v>
      </c>
      <c r="O1030" s="2">
        <v>1</v>
      </c>
      <c r="P1030" s="2" t="s">
        <v>350</v>
      </c>
      <c r="Q1030" s="7" t="s">
        <v>83</v>
      </c>
      <c r="R1030" s="4" t="s">
        <v>351</v>
      </c>
      <c r="S1030" s="20">
        <v>1</v>
      </c>
      <c r="T1030" s="2">
        <v>1</v>
      </c>
    </row>
    <row r="1031" spans="1:25">
      <c r="A1031" s="7">
        <f>MAX($A$1:$A1030)+1</f>
        <v>1030</v>
      </c>
      <c r="B1031" s="2" t="s">
        <v>278</v>
      </c>
      <c r="C1031" s="2" t="s">
        <v>170</v>
      </c>
      <c r="D1031" s="2" t="s">
        <v>36</v>
      </c>
      <c r="E1031" s="7" t="s">
        <v>392</v>
      </c>
      <c r="F1031" s="4">
        <v>48.9071</v>
      </c>
      <c r="G1031" s="18">
        <v>-125.03701700000001</v>
      </c>
      <c r="H1031" s="5" t="s">
        <v>13</v>
      </c>
      <c r="I1031" s="2">
        <v>3</v>
      </c>
      <c r="J1031" s="2">
        <v>40</v>
      </c>
      <c r="K1031" s="6">
        <v>0.4284722222222222</v>
      </c>
      <c r="L1031" s="2" t="s">
        <v>279</v>
      </c>
      <c r="M1031" s="2">
        <v>10</v>
      </c>
      <c r="N1031" s="2">
        <v>2</v>
      </c>
      <c r="O1031" s="2">
        <v>1</v>
      </c>
      <c r="P1031" s="2" t="s">
        <v>360</v>
      </c>
      <c r="Q1031" s="7" t="s">
        <v>129</v>
      </c>
      <c r="R1031" s="4" t="s">
        <v>361</v>
      </c>
      <c r="S1031" s="20">
        <v>1</v>
      </c>
      <c r="T1031" s="2">
        <v>1</v>
      </c>
    </row>
    <row r="1032" spans="1:25">
      <c r="A1032" s="7">
        <f>MAX($A$1:$A1031)+1</f>
        <v>1031</v>
      </c>
      <c r="B1032" s="2" t="s">
        <v>278</v>
      </c>
      <c r="C1032" s="2" t="s">
        <v>170</v>
      </c>
      <c r="D1032" s="2" t="s">
        <v>36</v>
      </c>
      <c r="E1032" s="7" t="s">
        <v>392</v>
      </c>
      <c r="F1032" s="4">
        <v>48.9071</v>
      </c>
      <c r="G1032" s="18">
        <v>-125.03701700000001</v>
      </c>
      <c r="H1032" s="5" t="s">
        <v>13</v>
      </c>
      <c r="I1032" s="2">
        <v>3</v>
      </c>
      <c r="J1032" s="2">
        <v>40</v>
      </c>
      <c r="K1032" s="6">
        <v>0.4284722222222222</v>
      </c>
      <c r="L1032" s="2" t="s">
        <v>279</v>
      </c>
      <c r="M1032" s="2">
        <v>10</v>
      </c>
      <c r="N1032" s="2">
        <v>2</v>
      </c>
      <c r="O1032" s="2">
        <v>1</v>
      </c>
      <c r="P1032" s="2" t="s">
        <v>305</v>
      </c>
      <c r="Q1032" s="7" t="s">
        <v>89</v>
      </c>
      <c r="R1032" s="4" t="s">
        <v>306</v>
      </c>
      <c r="S1032" s="20">
        <v>5</v>
      </c>
      <c r="T1032" s="2">
        <v>0</v>
      </c>
      <c r="U1032" s="2">
        <v>2</v>
      </c>
      <c r="W1032" s="2">
        <v>1</v>
      </c>
      <c r="Y1032" s="2">
        <v>2</v>
      </c>
    </row>
    <row r="1033" spans="1:25">
      <c r="A1033" s="7">
        <f>MAX($A$1:$A1032)+1</f>
        <v>1032</v>
      </c>
      <c r="B1033" s="2" t="s">
        <v>278</v>
      </c>
      <c r="C1033" s="2" t="s">
        <v>170</v>
      </c>
      <c r="D1033" s="2" t="s">
        <v>36</v>
      </c>
      <c r="E1033" s="7" t="s">
        <v>392</v>
      </c>
      <c r="F1033" s="4">
        <v>48.9071</v>
      </c>
      <c r="G1033" s="18">
        <v>-125.03701700000001</v>
      </c>
      <c r="H1033" s="5" t="s">
        <v>13</v>
      </c>
      <c r="I1033" s="2">
        <v>3</v>
      </c>
      <c r="J1033" s="2">
        <v>40</v>
      </c>
      <c r="K1033" s="6">
        <v>0.4284722222222222</v>
      </c>
      <c r="L1033" s="2" t="s">
        <v>279</v>
      </c>
      <c r="M1033" s="2">
        <v>10</v>
      </c>
      <c r="N1033" s="2">
        <v>2</v>
      </c>
      <c r="O1033" s="2">
        <v>1</v>
      </c>
      <c r="P1033" s="2" t="s">
        <v>383</v>
      </c>
      <c r="Q1033" s="7" t="s">
        <v>72</v>
      </c>
      <c r="R1033" s="4" t="s">
        <v>384</v>
      </c>
      <c r="S1033" s="20">
        <v>2</v>
      </c>
      <c r="T1033" s="2">
        <v>2</v>
      </c>
    </row>
    <row r="1034" spans="1:25">
      <c r="A1034" s="7">
        <f>MAX($A$1:$A1033)+1</f>
        <v>1033</v>
      </c>
      <c r="B1034" s="2" t="s">
        <v>278</v>
      </c>
      <c r="C1034" s="2" t="s">
        <v>170</v>
      </c>
      <c r="D1034" s="2" t="s">
        <v>36</v>
      </c>
      <c r="E1034" s="7" t="s">
        <v>392</v>
      </c>
      <c r="F1034" s="4">
        <v>48.9071</v>
      </c>
      <c r="G1034" s="18">
        <v>-125.03701700000001</v>
      </c>
      <c r="H1034" s="5" t="s">
        <v>13</v>
      </c>
      <c r="I1034" s="2">
        <v>3</v>
      </c>
      <c r="J1034" s="2">
        <v>40</v>
      </c>
      <c r="K1034" s="6">
        <v>0.4284722222222222</v>
      </c>
      <c r="L1034" s="2" t="s">
        <v>279</v>
      </c>
      <c r="M1034" s="2">
        <v>10</v>
      </c>
      <c r="N1034" s="2">
        <v>2</v>
      </c>
      <c r="O1034" s="2">
        <v>1</v>
      </c>
      <c r="P1034" s="2" t="s">
        <v>250</v>
      </c>
      <c r="Q1034" s="7" t="s">
        <v>46</v>
      </c>
      <c r="R1034" s="4" t="s">
        <v>295</v>
      </c>
      <c r="S1034" s="20">
        <v>1</v>
      </c>
      <c r="T1034" s="2">
        <v>0</v>
      </c>
      <c r="W1034" s="2">
        <v>1</v>
      </c>
    </row>
    <row r="1035" spans="1:25">
      <c r="A1035" s="7">
        <f>MAX($A$1:$A1034)+1</f>
        <v>1034</v>
      </c>
      <c r="B1035" s="2" t="s">
        <v>278</v>
      </c>
      <c r="C1035" s="2" t="s">
        <v>170</v>
      </c>
      <c r="D1035" s="2" t="s">
        <v>36</v>
      </c>
      <c r="E1035" s="7" t="s">
        <v>392</v>
      </c>
      <c r="F1035" s="4">
        <v>48.9071</v>
      </c>
      <c r="G1035" s="18">
        <v>-125.03701700000001</v>
      </c>
      <c r="H1035" s="5" t="s">
        <v>13</v>
      </c>
      <c r="I1035" s="2">
        <v>3</v>
      </c>
      <c r="J1035" s="2">
        <v>40</v>
      </c>
      <c r="K1035" s="6">
        <v>0.4284722222222222</v>
      </c>
      <c r="L1035" s="2" t="s">
        <v>279</v>
      </c>
      <c r="M1035" s="2">
        <v>10</v>
      </c>
      <c r="N1035" s="2">
        <v>2</v>
      </c>
      <c r="O1035" s="2">
        <v>1</v>
      </c>
      <c r="P1035" s="2" t="s">
        <v>399</v>
      </c>
      <c r="Q1035" s="7" t="s">
        <v>134</v>
      </c>
      <c r="R1035" s="4" t="s">
        <v>400</v>
      </c>
      <c r="S1035" s="20">
        <v>1</v>
      </c>
      <c r="T1035" s="2">
        <v>1</v>
      </c>
    </row>
    <row r="1036" spans="1:25">
      <c r="A1036" s="7">
        <f>MAX($A$1:$A1035)+1</f>
        <v>1035</v>
      </c>
      <c r="B1036" s="2" t="s">
        <v>278</v>
      </c>
      <c r="C1036" s="2" t="s">
        <v>170</v>
      </c>
      <c r="D1036" s="2" t="s">
        <v>36</v>
      </c>
      <c r="E1036" s="7" t="s">
        <v>392</v>
      </c>
      <c r="F1036" s="4">
        <v>48.9071</v>
      </c>
      <c r="G1036" s="18">
        <v>-125.03701700000001</v>
      </c>
      <c r="H1036" s="5" t="s">
        <v>13</v>
      </c>
      <c r="I1036" s="2">
        <v>3</v>
      </c>
      <c r="J1036" s="2">
        <v>40</v>
      </c>
      <c r="K1036" s="6">
        <v>0.4284722222222222</v>
      </c>
      <c r="L1036" s="2" t="s">
        <v>279</v>
      </c>
      <c r="M1036" s="2">
        <v>10</v>
      </c>
      <c r="N1036" s="2">
        <v>2</v>
      </c>
      <c r="O1036" s="2">
        <v>1</v>
      </c>
      <c r="P1036" s="2" t="s">
        <v>244</v>
      </c>
      <c r="Q1036" s="7" t="s">
        <v>65</v>
      </c>
      <c r="R1036" s="4" t="s">
        <v>307</v>
      </c>
      <c r="S1036" s="20">
        <v>1</v>
      </c>
      <c r="T1036" s="2">
        <v>1</v>
      </c>
    </row>
    <row r="1037" spans="1:25">
      <c r="A1037" s="7">
        <f>MAX($A$1:$A1036)+1</f>
        <v>1036</v>
      </c>
      <c r="B1037" s="2" t="s">
        <v>278</v>
      </c>
      <c r="C1037" s="2" t="s">
        <v>170</v>
      </c>
      <c r="D1037" s="2" t="s">
        <v>36</v>
      </c>
      <c r="E1037" s="7" t="s">
        <v>392</v>
      </c>
      <c r="F1037" s="4">
        <v>48.9071</v>
      </c>
      <c r="G1037" s="18">
        <v>-125.03701700000001</v>
      </c>
      <c r="H1037" s="5" t="s">
        <v>13</v>
      </c>
      <c r="I1037" s="2">
        <v>3</v>
      </c>
      <c r="J1037" s="2">
        <v>40</v>
      </c>
      <c r="K1037" s="6">
        <v>0.4284722222222222</v>
      </c>
      <c r="L1037" s="2" t="s">
        <v>279</v>
      </c>
      <c r="M1037" s="2">
        <v>10</v>
      </c>
      <c r="N1037" s="2">
        <v>2</v>
      </c>
      <c r="O1037" s="2">
        <v>1</v>
      </c>
      <c r="P1037" s="2" t="s">
        <v>238</v>
      </c>
      <c r="Q1037" s="7" t="s">
        <v>69</v>
      </c>
      <c r="R1037" s="4" t="s">
        <v>313</v>
      </c>
      <c r="S1037" s="20">
        <v>1</v>
      </c>
      <c r="T1037" s="2">
        <v>1</v>
      </c>
    </row>
    <row r="1038" spans="1:25">
      <c r="A1038" s="7">
        <f>MAX($A$1:$A1037)+1</f>
        <v>1037</v>
      </c>
      <c r="B1038" s="2" t="s">
        <v>278</v>
      </c>
      <c r="C1038" s="2" t="s">
        <v>170</v>
      </c>
      <c r="D1038" s="2" t="s">
        <v>36</v>
      </c>
      <c r="E1038" s="7" t="s">
        <v>392</v>
      </c>
      <c r="F1038" s="4">
        <v>48.9071</v>
      </c>
      <c r="G1038" s="18">
        <v>-125.03701700000001</v>
      </c>
      <c r="H1038" s="5" t="s">
        <v>13</v>
      </c>
      <c r="I1038" s="2">
        <v>3</v>
      </c>
      <c r="J1038" s="2">
        <v>40</v>
      </c>
      <c r="K1038" s="6">
        <v>0.4284722222222222</v>
      </c>
      <c r="L1038" s="2" t="s">
        <v>279</v>
      </c>
      <c r="M1038" s="2">
        <v>10</v>
      </c>
      <c r="N1038" s="2">
        <v>2</v>
      </c>
      <c r="O1038" s="2">
        <v>1</v>
      </c>
      <c r="P1038" s="2" t="s">
        <v>401</v>
      </c>
      <c r="Q1038" s="7" t="s">
        <v>135</v>
      </c>
      <c r="R1038" s="4" t="s">
        <v>402</v>
      </c>
      <c r="S1038" s="20">
        <v>1</v>
      </c>
      <c r="T1038" s="2">
        <v>1</v>
      </c>
    </row>
    <row r="1039" spans="1:25">
      <c r="A1039" s="7">
        <f>MAX($A$1:$A1038)+1</f>
        <v>1038</v>
      </c>
      <c r="B1039" s="2" t="s">
        <v>278</v>
      </c>
      <c r="C1039" s="2" t="s">
        <v>170</v>
      </c>
      <c r="D1039" s="2" t="s">
        <v>36</v>
      </c>
      <c r="E1039" s="7" t="s">
        <v>392</v>
      </c>
      <c r="F1039" s="4">
        <v>48.9071</v>
      </c>
      <c r="G1039" s="18">
        <v>-125.03701700000001</v>
      </c>
      <c r="H1039" s="5" t="s">
        <v>13</v>
      </c>
      <c r="I1039" s="2">
        <v>3</v>
      </c>
      <c r="J1039" s="2">
        <v>40</v>
      </c>
      <c r="K1039" s="6">
        <v>0.4284722222222222</v>
      </c>
      <c r="L1039" s="2" t="s">
        <v>279</v>
      </c>
      <c r="M1039" s="2">
        <v>10</v>
      </c>
      <c r="N1039" s="2">
        <v>2</v>
      </c>
      <c r="O1039" s="2">
        <v>1</v>
      </c>
      <c r="P1039" s="2" t="s">
        <v>345</v>
      </c>
      <c r="Q1039" s="7" t="s">
        <v>127</v>
      </c>
      <c r="R1039" s="4" t="s">
        <v>346</v>
      </c>
      <c r="S1039" s="20">
        <v>1</v>
      </c>
      <c r="T1039" s="2">
        <v>1</v>
      </c>
    </row>
    <row r="1040" spans="1:25">
      <c r="A1040" s="7">
        <f>MAX($A$1:$A1039)+1</f>
        <v>1039</v>
      </c>
      <c r="B1040" s="2" t="s">
        <v>278</v>
      </c>
      <c r="C1040" s="2" t="s">
        <v>170</v>
      </c>
      <c r="D1040" s="2" t="s">
        <v>36</v>
      </c>
      <c r="E1040" s="7" t="s">
        <v>392</v>
      </c>
      <c r="F1040" s="4">
        <v>48.9071</v>
      </c>
      <c r="G1040" s="18">
        <v>-125.03701700000001</v>
      </c>
      <c r="H1040" s="5" t="s">
        <v>13</v>
      </c>
      <c r="I1040" s="2">
        <v>3</v>
      </c>
      <c r="J1040" s="2">
        <v>40</v>
      </c>
      <c r="K1040" s="6">
        <v>0.4284722222222222</v>
      </c>
      <c r="L1040" s="2" t="s">
        <v>279</v>
      </c>
      <c r="M1040" s="2">
        <v>10</v>
      </c>
      <c r="N1040" s="2">
        <v>2</v>
      </c>
      <c r="O1040" s="2">
        <v>1</v>
      </c>
      <c r="P1040" s="2" t="s">
        <v>403</v>
      </c>
      <c r="Q1040" s="7" t="s">
        <v>136</v>
      </c>
      <c r="R1040" s="4">
        <v>0</v>
      </c>
      <c r="S1040" s="20">
        <v>2</v>
      </c>
      <c r="T1040" s="2">
        <v>2</v>
      </c>
    </row>
    <row r="1041" spans="1:28">
      <c r="A1041" s="7">
        <f>MAX($A$1:$A1040)+1</f>
        <v>1040</v>
      </c>
      <c r="B1041" s="2" t="s">
        <v>278</v>
      </c>
      <c r="C1041" s="2" t="s">
        <v>170</v>
      </c>
      <c r="D1041" s="2" t="s">
        <v>36</v>
      </c>
      <c r="E1041" s="7" t="s">
        <v>392</v>
      </c>
      <c r="F1041" s="4">
        <v>48.9071</v>
      </c>
      <c r="G1041" s="18">
        <v>-125.03701700000001</v>
      </c>
      <c r="H1041" s="5" t="s">
        <v>13</v>
      </c>
      <c r="I1041" s="2">
        <v>3</v>
      </c>
      <c r="J1041" s="2">
        <v>40</v>
      </c>
      <c r="K1041" s="6">
        <v>0.4284722222222222</v>
      </c>
      <c r="L1041" s="2" t="s">
        <v>279</v>
      </c>
      <c r="M1041" s="2">
        <v>10</v>
      </c>
      <c r="N1041" s="2">
        <v>2</v>
      </c>
      <c r="O1041" s="2">
        <v>1</v>
      </c>
      <c r="P1041" s="2" t="s">
        <v>328</v>
      </c>
      <c r="Q1041" s="7" t="s">
        <v>126</v>
      </c>
      <c r="R1041" s="4" t="s">
        <v>329</v>
      </c>
      <c r="S1041" s="20">
        <v>0</v>
      </c>
      <c r="T1041" s="2">
        <v>0</v>
      </c>
    </row>
    <row r="1042" spans="1:28">
      <c r="A1042" s="7">
        <f>MAX($A$1:$A1041)+1</f>
        <v>1041</v>
      </c>
      <c r="B1042" s="2" t="s">
        <v>409</v>
      </c>
      <c r="C1042" s="2" t="s">
        <v>269</v>
      </c>
      <c r="D1042" s="2" t="s">
        <v>36</v>
      </c>
      <c r="E1042" s="7" t="s">
        <v>392</v>
      </c>
      <c r="F1042" s="4">
        <v>48.9071</v>
      </c>
      <c r="G1042" s="18">
        <v>-125.03701700000001</v>
      </c>
      <c r="H1042" s="28" t="s">
        <v>13</v>
      </c>
      <c r="I1042" s="2">
        <v>4</v>
      </c>
      <c r="J1042" s="2">
        <v>240</v>
      </c>
      <c r="K1042" s="6">
        <v>0.43194444444444446</v>
      </c>
      <c r="L1042" s="2" t="s">
        <v>270</v>
      </c>
      <c r="M1042" s="2">
        <v>9.5</v>
      </c>
      <c r="N1042" s="2">
        <v>1</v>
      </c>
      <c r="O1042" s="2">
        <v>2</v>
      </c>
      <c r="P1042" s="2" t="s">
        <v>230</v>
      </c>
      <c r="Q1042" s="7" t="s">
        <v>42</v>
      </c>
      <c r="R1042" s="4" t="s">
        <v>321</v>
      </c>
      <c r="S1042" s="20">
        <v>2</v>
      </c>
      <c r="T1042" s="2">
        <v>0</v>
      </c>
      <c r="X1042" s="2">
        <v>2</v>
      </c>
    </row>
    <row r="1043" spans="1:28">
      <c r="A1043" s="7">
        <f>MAX($A$1:$A1042)+1</f>
        <v>1042</v>
      </c>
      <c r="B1043" s="2" t="s">
        <v>409</v>
      </c>
      <c r="C1043" s="2" t="s">
        <v>269</v>
      </c>
      <c r="D1043" s="2" t="s">
        <v>36</v>
      </c>
      <c r="E1043" s="7" t="s">
        <v>392</v>
      </c>
      <c r="F1043" s="4">
        <v>48.9071</v>
      </c>
      <c r="G1043" s="18">
        <v>-125.03701700000001</v>
      </c>
      <c r="H1043" s="28" t="s">
        <v>13</v>
      </c>
      <c r="I1043" s="2">
        <v>4</v>
      </c>
      <c r="J1043" s="2">
        <v>240</v>
      </c>
      <c r="K1043" s="6">
        <v>0.43194444444444446</v>
      </c>
      <c r="L1043" s="2" t="s">
        <v>270</v>
      </c>
      <c r="M1043" s="2">
        <v>9.5</v>
      </c>
      <c r="N1043" s="2">
        <v>1</v>
      </c>
      <c r="O1043" s="2">
        <v>2</v>
      </c>
      <c r="P1043" s="2" t="s">
        <v>232</v>
      </c>
      <c r="Q1043" s="7" t="s">
        <v>43</v>
      </c>
      <c r="R1043" s="4" t="s">
        <v>324</v>
      </c>
      <c r="S1043" s="20">
        <v>2</v>
      </c>
      <c r="T1043" s="2">
        <v>0</v>
      </c>
      <c r="AB1043" s="2">
        <v>2</v>
      </c>
    </row>
    <row r="1044" spans="1:28">
      <c r="A1044" s="7">
        <f>MAX($A$1:$A1043)+1</f>
        <v>1043</v>
      </c>
      <c r="B1044" s="2" t="s">
        <v>409</v>
      </c>
      <c r="C1044" s="2" t="s">
        <v>269</v>
      </c>
      <c r="D1044" s="2" t="s">
        <v>36</v>
      </c>
      <c r="E1044" s="7" t="s">
        <v>392</v>
      </c>
      <c r="F1044" s="4">
        <v>48.9071</v>
      </c>
      <c r="G1044" s="18">
        <v>-125.03701700000001</v>
      </c>
      <c r="H1044" s="28" t="s">
        <v>13</v>
      </c>
      <c r="I1044" s="2">
        <v>4</v>
      </c>
      <c r="J1044" s="2">
        <v>240</v>
      </c>
      <c r="K1044" s="6">
        <v>0.43194444444444446</v>
      </c>
      <c r="L1044" s="2" t="s">
        <v>270</v>
      </c>
      <c r="M1044" s="2">
        <v>9.5</v>
      </c>
      <c r="N1044" s="2">
        <v>1</v>
      </c>
      <c r="O1044" s="2">
        <v>2</v>
      </c>
      <c r="P1044" s="2" t="s">
        <v>234</v>
      </c>
      <c r="Q1044" s="7" t="s">
        <v>45</v>
      </c>
      <c r="R1044" s="4" t="s">
        <v>353</v>
      </c>
      <c r="S1044" s="20">
        <v>1</v>
      </c>
      <c r="T1044" s="2">
        <v>0</v>
      </c>
      <c r="AA1044" s="2">
        <v>1</v>
      </c>
    </row>
    <row r="1045" spans="1:28">
      <c r="A1045" s="7">
        <f>MAX($A$1:$A1044)+1</f>
        <v>1044</v>
      </c>
      <c r="B1045" s="2" t="s">
        <v>409</v>
      </c>
      <c r="C1045" s="2" t="s">
        <v>269</v>
      </c>
      <c r="D1045" s="2" t="s">
        <v>36</v>
      </c>
      <c r="E1045" s="7" t="s">
        <v>392</v>
      </c>
      <c r="F1045" s="4">
        <v>48.9071</v>
      </c>
      <c r="G1045" s="18">
        <v>-125.03701700000001</v>
      </c>
      <c r="H1045" s="28" t="s">
        <v>13</v>
      </c>
      <c r="I1045" s="2">
        <v>4</v>
      </c>
      <c r="J1045" s="2">
        <v>240</v>
      </c>
      <c r="K1045" s="6">
        <v>0.43194444444444446</v>
      </c>
      <c r="L1045" s="2" t="s">
        <v>270</v>
      </c>
      <c r="M1045" s="2">
        <v>9.5</v>
      </c>
      <c r="N1045" s="2">
        <v>1</v>
      </c>
      <c r="O1045" s="2">
        <v>2</v>
      </c>
      <c r="P1045" s="2" t="s">
        <v>231</v>
      </c>
      <c r="Q1045" s="7" t="s">
        <v>48</v>
      </c>
      <c r="R1045" s="4" t="s">
        <v>365</v>
      </c>
      <c r="S1045" s="20">
        <v>9</v>
      </c>
      <c r="T1045" s="2">
        <v>0</v>
      </c>
      <c r="Y1045" s="2">
        <v>1</v>
      </c>
      <c r="Z1045" s="2">
        <v>5</v>
      </c>
      <c r="AA1045" s="2">
        <v>3</v>
      </c>
    </row>
    <row r="1046" spans="1:28">
      <c r="A1046" s="7">
        <f>MAX($A$1:$A1045)+1</f>
        <v>1045</v>
      </c>
      <c r="B1046" s="2" t="s">
        <v>409</v>
      </c>
      <c r="C1046" s="2" t="s">
        <v>269</v>
      </c>
      <c r="D1046" s="2" t="s">
        <v>36</v>
      </c>
      <c r="E1046" s="7" t="s">
        <v>392</v>
      </c>
      <c r="F1046" s="4">
        <v>48.9071</v>
      </c>
      <c r="G1046" s="18">
        <v>-125.03701700000001</v>
      </c>
      <c r="H1046" s="28" t="s">
        <v>13</v>
      </c>
      <c r="I1046" s="2">
        <v>4</v>
      </c>
      <c r="J1046" s="2">
        <v>240</v>
      </c>
      <c r="K1046" s="6">
        <v>0.43194444444444446</v>
      </c>
      <c r="L1046" s="2" t="s">
        <v>270</v>
      </c>
      <c r="M1046" s="2">
        <v>9.5</v>
      </c>
      <c r="N1046" s="2">
        <v>1</v>
      </c>
      <c r="O1046" s="2">
        <v>2</v>
      </c>
      <c r="P1046" s="2" t="s">
        <v>291</v>
      </c>
      <c r="Q1046" s="7" t="s">
        <v>59</v>
      </c>
      <c r="R1046" s="4" t="s">
        <v>292</v>
      </c>
      <c r="S1046" s="20">
        <v>3</v>
      </c>
      <c r="T1046" s="2">
        <v>0</v>
      </c>
      <c r="W1046" s="2">
        <v>2</v>
      </c>
      <c r="X1046" s="2">
        <v>1</v>
      </c>
    </row>
    <row r="1047" spans="1:28">
      <c r="A1047" s="7">
        <f>MAX($A$1:$A1046)+1</f>
        <v>1046</v>
      </c>
      <c r="B1047" s="2" t="s">
        <v>409</v>
      </c>
      <c r="C1047" s="2" t="s">
        <v>269</v>
      </c>
      <c r="D1047" s="2" t="s">
        <v>36</v>
      </c>
      <c r="E1047" s="7" t="s">
        <v>392</v>
      </c>
      <c r="F1047" s="4">
        <v>48.9071</v>
      </c>
      <c r="G1047" s="18">
        <v>-125.03701700000001</v>
      </c>
      <c r="H1047" s="28" t="s">
        <v>13</v>
      </c>
      <c r="I1047" s="2">
        <v>4</v>
      </c>
      <c r="J1047" s="2">
        <v>240</v>
      </c>
      <c r="K1047" s="6">
        <v>0.43194444444444446</v>
      </c>
      <c r="L1047" s="2" t="s">
        <v>270</v>
      </c>
      <c r="M1047" s="2">
        <v>9.5</v>
      </c>
      <c r="N1047" s="2">
        <v>2</v>
      </c>
      <c r="O1047" s="2">
        <v>2</v>
      </c>
      <c r="P1047" s="2" t="s">
        <v>310</v>
      </c>
      <c r="Q1047" s="7" t="s">
        <v>98</v>
      </c>
      <c r="R1047" s="4" t="s">
        <v>311</v>
      </c>
      <c r="S1047" s="20">
        <v>2</v>
      </c>
      <c r="T1047" s="2">
        <v>2</v>
      </c>
    </row>
    <row r="1048" spans="1:28">
      <c r="A1048" s="7">
        <f>MAX($A$1:$A1047)+1</f>
        <v>1047</v>
      </c>
      <c r="B1048" s="2" t="s">
        <v>409</v>
      </c>
      <c r="C1048" s="2" t="s">
        <v>269</v>
      </c>
      <c r="D1048" s="2" t="s">
        <v>36</v>
      </c>
      <c r="E1048" s="7" t="s">
        <v>392</v>
      </c>
      <c r="F1048" s="4">
        <v>48.9071</v>
      </c>
      <c r="G1048" s="18">
        <v>-125.03701700000001</v>
      </c>
      <c r="H1048" s="28" t="s">
        <v>13</v>
      </c>
      <c r="I1048" s="2">
        <v>4</v>
      </c>
      <c r="J1048" s="2">
        <v>240</v>
      </c>
      <c r="K1048" s="6">
        <v>0.43194444444444446</v>
      </c>
      <c r="L1048" s="2" t="s">
        <v>270</v>
      </c>
      <c r="M1048" s="2">
        <v>9.5</v>
      </c>
      <c r="N1048" s="2">
        <v>2</v>
      </c>
      <c r="O1048" s="2">
        <v>2</v>
      </c>
      <c r="P1048" s="2" t="s">
        <v>395</v>
      </c>
      <c r="Q1048" s="7" t="s">
        <v>81</v>
      </c>
      <c r="R1048" s="4" t="s">
        <v>396</v>
      </c>
      <c r="S1048" s="20">
        <v>4</v>
      </c>
      <c r="T1048" s="2">
        <v>4</v>
      </c>
    </row>
    <row r="1049" spans="1:28">
      <c r="A1049" s="7">
        <f>MAX($A$1:$A1048)+1</f>
        <v>1048</v>
      </c>
      <c r="B1049" s="2" t="s">
        <v>409</v>
      </c>
      <c r="C1049" s="2" t="s">
        <v>269</v>
      </c>
      <c r="D1049" s="2" t="s">
        <v>36</v>
      </c>
      <c r="E1049" s="7" t="s">
        <v>392</v>
      </c>
      <c r="F1049" s="4">
        <v>48.9071</v>
      </c>
      <c r="G1049" s="18">
        <v>-125.03701700000001</v>
      </c>
      <c r="H1049" s="28" t="s">
        <v>13</v>
      </c>
      <c r="I1049" s="2">
        <v>4</v>
      </c>
      <c r="J1049" s="2">
        <v>240</v>
      </c>
      <c r="K1049" s="6">
        <v>0.43194444444444446</v>
      </c>
      <c r="L1049" s="2" t="s">
        <v>270</v>
      </c>
      <c r="M1049" s="2">
        <v>9.5</v>
      </c>
      <c r="N1049" s="2">
        <v>2</v>
      </c>
      <c r="O1049" s="2">
        <v>2</v>
      </c>
      <c r="P1049" s="2" t="s">
        <v>340</v>
      </c>
      <c r="Q1049" s="7" t="s">
        <v>114</v>
      </c>
      <c r="R1049" s="4" t="s">
        <v>341</v>
      </c>
      <c r="S1049" s="20">
        <v>1</v>
      </c>
      <c r="T1049" s="2">
        <v>1</v>
      </c>
    </row>
    <row r="1050" spans="1:28">
      <c r="A1050" s="7">
        <f>MAX($A$1:$A1049)+1</f>
        <v>1049</v>
      </c>
      <c r="B1050" s="2" t="s">
        <v>409</v>
      </c>
      <c r="C1050" s="2" t="s">
        <v>269</v>
      </c>
      <c r="D1050" s="2" t="s">
        <v>36</v>
      </c>
      <c r="E1050" s="7" t="s">
        <v>392</v>
      </c>
      <c r="F1050" s="4">
        <v>48.9071</v>
      </c>
      <c r="G1050" s="18">
        <v>-125.03701700000001</v>
      </c>
      <c r="H1050" s="28" t="s">
        <v>13</v>
      </c>
      <c r="I1050" s="2">
        <v>4</v>
      </c>
      <c r="J1050" s="2">
        <v>240</v>
      </c>
      <c r="K1050" s="6">
        <v>0.43194444444444446</v>
      </c>
      <c r="L1050" s="2" t="s">
        <v>270</v>
      </c>
      <c r="M1050" s="2">
        <v>9.5</v>
      </c>
      <c r="N1050" s="2">
        <v>2</v>
      </c>
      <c r="O1050" s="2">
        <v>2</v>
      </c>
      <c r="P1050" s="2" t="s">
        <v>397</v>
      </c>
      <c r="Q1050" s="7" t="s">
        <v>118</v>
      </c>
      <c r="R1050" s="4" t="s">
        <v>398</v>
      </c>
      <c r="S1050" s="20">
        <v>6</v>
      </c>
      <c r="T1050" s="2">
        <v>6</v>
      </c>
    </row>
    <row r="1051" spans="1:28">
      <c r="A1051" s="7">
        <f>MAX($A$1:$A1050)+1</f>
        <v>1050</v>
      </c>
      <c r="B1051" s="2" t="s">
        <v>409</v>
      </c>
      <c r="C1051" s="2" t="s">
        <v>269</v>
      </c>
      <c r="D1051" s="2" t="s">
        <v>36</v>
      </c>
      <c r="E1051" s="7" t="s">
        <v>392</v>
      </c>
      <c r="F1051" s="4">
        <v>48.9071</v>
      </c>
      <c r="G1051" s="18">
        <v>-125.03701700000001</v>
      </c>
      <c r="H1051" s="28" t="s">
        <v>13</v>
      </c>
      <c r="I1051" s="2">
        <v>4</v>
      </c>
      <c r="J1051" s="2">
        <v>240</v>
      </c>
      <c r="K1051" s="6">
        <v>0.43194444444444446</v>
      </c>
      <c r="L1051" s="2" t="s">
        <v>270</v>
      </c>
      <c r="M1051" s="2">
        <v>9.5</v>
      </c>
      <c r="N1051" s="2">
        <v>2</v>
      </c>
      <c r="O1051" s="2">
        <v>2</v>
      </c>
      <c r="P1051" s="2" t="s">
        <v>230</v>
      </c>
      <c r="Q1051" s="7" t="s">
        <v>42</v>
      </c>
      <c r="R1051" s="4" t="s">
        <v>321</v>
      </c>
      <c r="S1051" s="20">
        <v>12</v>
      </c>
      <c r="T1051" s="2">
        <v>0</v>
      </c>
      <c r="V1051" s="2">
        <v>2</v>
      </c>
      <c r="W1051" s="2">
        <v>4</v>
      </c>
      <c r="X1051" s="2">
        <v>6</v>
      </c>
    </row>
    <row r="1052" spans="1:28">
      <c r="A1052" s="7">
        <f>MAX($A$1:$A1051)+1</f>
        <v>1051</v>
      </c>
      <c r="B1052" s="2" t="s">
        <v>409</v>
      </c>
      <c r="C1052" s="2" t="s">
        <v>269</v>
      </c>
      <c r="D1052" s="2" t="s">
        <v>36</v>
      </c>
      <c r="E1052" s="7" t="s">
        <v>392</v>
      </c>
      <c r="F1052" s="4">
        <v>48.9071</v>
      </c>
      <c r="G1052" s="18">
        <v>-125.03701700000001</v>
      </c>
      <c r="H1052" s="28" t="s">
        <v>13</v>
      </c>
      <c r="I1052" s="2">
        <v>4</v>
      </c>
      <c r="J1052" s="2">
        <v>240</v>
      </c>
      <c r="K1052" s="6">
        <v>0.43194444444444446</v>
      </c>
      <c r="L1052" s="2" t="s">
        <v>270</v>
      </c>
      <c r="M1052" s="2">
        <v>9.5</v>
      </c>
      <c r="N1052" s="2">
        <v>2</v>
      </c>
      <c r="O1052" s="2">
        <v>2</v>
      </c>
      <c r="P1052" s="2" t="s">
        <v>411</v>
      </c>
      <c r="Q1052" s="7" t="s">
        <v>138</v>
      </c>
      <c r="R1052" s="4" t="s">
        <v>412</v>
      </c>
      <c r="S1052" s="20">
        <v>13</v>
      </c>
      <c r="T1052" s="2">
        <v>13</v>
      </c>
    </row>
    <row r="1053" spans="1:28">
      <c r="A1053" s="7">
        <f>MAX($A$1:$A1052)+1</f>
        <v>1052</v>
      </c>
      <c r="B1053" s="2" t="s">
        <v>409</v>
      </c>
      <c r="C1053" s="2" t="s">
        <v>269</v>
      </c>
      <c r="D1053" s="2" t="s">
        <v>36</v>
      </c>
      <c r="E1053" s="7" t="s">
        <v>392</v>
      </c>
      <c r="F1053" s="4">
        <v>48.9071</v>
      </c>
      <c r="G1053" s="18">
        <v>-125.03701700000001</v>
      </c>
      <c r="H1053" s="28" t="s">
        <v>13</v>
      </c>
      <c r="I1053" s="2">
        <v>4</v>
      </c>
      <c r="J1053" s="2">
        <v>240</v>
      </c>
      <c r="K1053" s="6">
        <v>0.43194444444444446</v>
      </c>
      <c r="L1053" s="2" t="s">
        <v>270</v>
      </c>
      <c r="M1053" s="2">
        <v>9.5</v>
      </c>
      <c r="N1053" s="2">
        <v>2</v>
      </c>
      <c r="O1053" s="2">
        <v>2</v>
      </c>
      <c r="P1053" s="2" t="s">
        <v>298</v>
      </c>
      <c r="Q1053" s="7" t="s">
        <v>99</v>
      </c>
      <c r="R1053" s="4" t="s">
        <v>299</v>
      </c>
      <c r="S1053" s="20">
        <v>6</v>
      </c>
      <c r="T1053" s="2">
        <v>6</v>
      </c>
    </row>
    <row r="1054" spans="1:28">
      <c r="A1054" s="7">
        <f>MAX($A$1:$A1053)+1</f>
        <v>1053</v>
      </c>
      <c r="B1054" s="2" t="s">
        <v>409</v>
      </c>
      <c r="C1054" s="2" t="s">
        <v>269</v>
      </c>
      <c r="D1054" s="2" t="s">
        <v>36</v>
      </c>
      <c r="E1054" s="7" t="s">
        <v>392</v>
      </c>
      <c r="F1054" s="4">
        <v>48.9071</v>
      </c>
      <c r="G1054" s="18">
        <v>-125.03701700000001</v>
      </c>
      <c r="H1054" s="28" t="s">
        <v>13</v>
      </c>
      <c r="I1054" s="2">
        <v>4</v>
      </c>
      <c r="J1054" s="2">
        <v>240</v>
      </c>
      <c r="K1054" s="6">
        <v>0.43194444444444446</v>
      </c>
      <c r="L1054" s="2" t="s">
        <v>270</v>
      </c>
      <c r="M1054" s="2">
        <v>9.5</v>
      </c>
      <c r="N1054" s="2">
        <v>2</v>
      </c>
      <c r="O1054" s="2">
        <v>2</v>
      </c>
      <c r="P1054" s="2" t="s">
        <v>419</v>
      </c>
      <c r="Q1054" s="7" t="s">
        <v>139</v>
      </c>
      <c r="R1054" s="4" t="s">
        <v>420</v>
      </c>
      <c r="S1054" s="20">
        <v>1</v>
      </c>
      <c r="T1054" s="2">
        <v>1</v>
      </c>
    </row>
    <row r="1055" spans="1:28">
      <c r="A1055" s="7">
        <f>MAX($A$1:$A1054)+1</f>
        <v>1054</v>
      </c>
      <c r="B1055" s="2" t="s">
        <v>409</v>
      </c>
      <c r="C1055" s="2" t="s">
        <v>269</v>
      </c>
      <c r="D1055" s="2" t="s">
        <v>36</v>
      </c>
      <c r="E1055" s="7" t="s">
        <v>392</v>
      </c>
      <c r="F1055" s="4">
        <v>48.9071</v>
      </c>
      <c r="G1055" s="18">
        <v>-125.03701700000001</v>
      </c>
      <c r="H1055" s="28" t="s">
        <v>13</v>
      </c>
      <c r="I1055" s="2">
        <v>4</v>
      </c>
      <c r="J1055" s="2">
        <v>240</v>
      </c>
      <c r="K1055" s="6">
        <v>0.43194444444444446</v>
      </c>
      <c r="L1055" s="2" t="s">
        <v>270</v>
      </c>
      <c r="M1055" s="2">
        <v>9.5</v>
      </c>
      <c r="N1055" s="2">
        <v>2</v>
      </c>
      <c r="O1055" s="2">
        <v>2</v>
      </c>
      <c r="P1055" s="2" t="s">
        <v>296</v>
      </c>
      <c r="Q1055" s="7" t="s">
        <v>75</v>
      </c>
      <c r="R1055" s="4" t="s">
        <v>297</v>
      </c>
      <c r="S1055" s="20">
        <v>2</v>
      </c>
      <c r="T1055" s="2">
        <v>2</v>
      </c>
    </row>
    <row r="1056" spans="1:28">
      <c r="A1056" s="7">
        <f>MAX($A$1:$A1055)+1</f>
        <v>1055</v>
      </c>
      <c r="B1056" s="2" t="s">
        <v>409</v>
      </c>
      <c r="C1056" s="2" t="s">
        <v>269</v>
      </c>
      <c r="D1056" s="2" t="s">
        <v>36</v>
      </c>
      <c r="E1056" s="7" t="s">
        <v>392</v>
      </c>
      <c r="F1056" s="4">
        <v>48.9071</v>
      </c>
      <c r="G1056" s="18">
        <v>-125.03701700000001</v>
      </c>
      <c r="H1056" s="28" t="s">
        <v>13</v>
      </c>
      <c r="I1056" s="2">
        <v>4</v>
      </c>
      <c r="J1056" s="2">
        <v>240</v>
      </c>
      <c r="K1056" s="6">
        <v>0.43194444444444446</v>
      </c>
      <c r="L1056" s="2" t="s">
        <v>270</v>
      </c>
      <c r="M1056" s="2">
        <v>9.5</v>
      </c>
      <c r="N1056" s="2">
        <v>2</v>
      </c>
      <c r="O1056" s="2">
        <v>2</v>
      </c>
      <c r="P1056" s="2" t="s">
        <v>247</v>
      </c>
      <c r="Q1056" s="7" t="s">
        <v>64</v>
      </c>
      <c r="R1056" s="4" t="s">
        <v>293</v>
      </c>
      <c r="S1056" s="20">
        <v>15</v>
      </c>
      <c r="T1056" s="2">
        <v>15</v>
      </c>
    </row>
    <row r="1057" spans="1:28">
      <c r="A1057" s="7">
        <f>MAX($A$1:$A1056)+1</f>
        <v>1056</v>
      </c>
      <c r="B1057" s="2" t="s">
        <v>409</v>
      </c>
      <c r="C1057" s="2" t="s">
        <v>269</v>
      </c>
      <c r="D1057" s="2" t="s">
        <v>36</v>
      </c>
      <c r="E1057" s="7" t="s">
        <v>392</v>
      </c>
      <c r="F1057" s="4">
        <v>48.9071</v>
      </c>
      <c r="G1057" s="18">
        <v>-125.03701700000001</v>
      </c>
      <c r="H1057" s="28" t="s">
        <v>13</v>
      </c>
      <c r="I1057" s="2">
        <v>4</v>
      </c>
      <c r="J1057" s="2">
        <v>240</v>
      </c>
      <c r="K1057" s="6">
        <v>0.43194444444444446</v>
      </c>
      <c r="L1057" s="2" t="s">
        <v>270</v>
      </c>
      <c r="M1057" s="2">
        <v>9.5</v>
      </c>
      <c r="N1057" s="2">
        <v>2</v>
      </c>
      <c r="O1057" s="2">
        <v>2</v>
      </c>
      <c r="P1057" s="2" t="s">
        <v>238</v>
      </c>
      <c r="Q1057" s="7" t="s">
        <v>69</v>
      </c>
      <c r="R1057" s="4" t="s">
        <v>313</v>
      </c>
      <c r="S1057" s="20">
        <v>3</v>
      </c>
      <c r="T1057" s="2">
        <v>3</v>
      </c>
    </row>
    <row r="1058" spans="1:28">
      <c r="A1058" s="7">
        <f>MAX($A$1:$A1057)+1</f>
        <v>1057</v>
      </c>
      <c r="B1058" s="2" t="s">
        <v>409</v>
      </c>
      <c r="C1058" s="2" t="s">
        <v>269</v>
      </c>
      <c r="D1058" s="2" t="s">
        <v>36</v>
      </c>
      <c r="E1058" s="7" t="s">
        <v>392</v>
      </c>
      <c r="F1058" s="4">
        <v>48.9071</v>
      </c>
      <c r="G1058" s="18">
        <v>-125.03701700000001</v>
      </c>
      <c r="H1058" s="28" t="s">
        <v>13</v>
      </c>
      <c r="I1058" s="2">
        <v>4</v>
      </c>
      <c r="J1058" s="2">
        <v>240</v>
      </c>
      <c r="K1058" s="6">
        <v>0.43194444444444446</v>
      </c>
      <c r="L1058" s="2" t="s">
        <v>270</v>
      </c>
      <c r="M1058" s="2">
        <v>9.5</v>
      </c>
      <c r="N1058" s="2">
        <v>2</v>
      </c>
      <c r="O1058" s="2">
        <v>2</v>
      </c>
      <c r="P1058" s="2" t="s">
        <v>255</v>
      </c>
      <c r="Q1058" s="7" t="s">
        <v>79</v>
      </c>
      <c r="R1058" s="4" t="s">
        <v>429</v>
      </c>
      <c r="S1058" s="20">
        <v>1</v>
      </c>
      <c r="T1058" s="2">
        <v>1</v>
      </c>
    </row>
    <row r="1059" spans="1:28">
      <c r="A1059" s="7">
        <f>MAX($A$1:$A1058)+1</f>
        <v>1058</v>
      </c>
      <c r="B1059" s="2" t="s">
        <v>409</v>
      </c>
      <c r="C1059" s="2" t="s">
        <v>269</v>
      </c>
      <c r="D1059" s="2" t="s">
        <v>36</v>
      </c>
      <c r="E1059" s="7" t="s">
        <v>392</v>
      </c>
      <c r="F1059" s="4">
        <v>48.9071</v>
      </c>
      <c r="G1059" s="18">
        <v>-125.03701700000001</v>
      </c>
      <c r="H1059" s="28" t="s">
        <v>13</v>
      </c>
      <c r="I1059" s="2">
        <v>4</v>
      </c>
      <c r="J1059" s="2">
        <v>240</v>
      </c>
      <c r="K1059" s="6">
        <v>0.43194444444444446</v>
      </c>
      <c r="L1059" s="2" t="s">
        <v>270</v>
      </c>
      <c r="M1059" s="2">
        <v>9.5</v>
      </c>
      <c r="N1059" s="2">
        <v>2</v>
      </c>
      <c r="O1059" s="2">
        <v>2</v>
      </c>
      <c r="P1059" s="2" t="s">
        <v>248</v>
      </c>
      <c r="Q1059" s="7" t="s">
        <v>78</v>
      </c>
      <c r="R1059" s="4" t="s">
        <v>349</v>
      </c>
      <c r="S1059" s="20">
        <v>1</v>
      </c>
      <c r="T1059" s="2">
        <v>0</v>
      </c>
      <c r="AB1059" s="2">
        <v>1</v>
      </c>
    </row>
    <row r="1060" spans="1:28">
      <c r="A1060" s="7">
        <f>MAX($A$1:$A1059)+1</f>
        <v>1059</v>
      </c>
      <c r="B1060" s="2" t="s">
        <v>409</v>
      </c>
      <c r="C1060" s="2" t="s">
        <v>269</v>
      </c>
      <c r="D1060" s="2" t="s">
        <v>36</v>
      </c>
      <c r="E1060" s="7" t="s">
        <v>392</v>
      </c>
      <c r="F1060" s="4">
        <v>48.9071</v>
      </c>
      <c r="G1060" s="18">
        <v>-125.03701700000001</v>
      </c>
      <c r="H1060" s="28" t="s">
        <v>13</v>
      </c>
      <c r="I1060" s="2">
        <v>4</v>
      </c>
      <c r="J1060" s="2">
        <v>240</v>
      </c>
      <c r="K1060" s="6">
        <v>0.43194444444444446</v>
      </c>
      <c r="L1060" s="2" t="s">
        <v>270</v>
      </c>
      <c r="M1060" s="2">
        <v>9.5</v>
      </c>
      <c r="N1060" s="2">
        <v>2</v>
      </c>
      <c r="O1060" s="2">
        <v>2</v>
      </c>
      <c r="P1060" s="2" t="s">
        <v>236</v>
      </c>
      <c r="Q1060" s="7" t="s">
        <v>44</v>
      </c>
      <c r="R1060" s="4" t="s">
        <v>369</v>
      </c>
      <c r="S1060" s="20">
        <v>1</v>
      </c>
      <c r="T1060" s="2">
        <v>0</v>
      </c>
      <c r="AA1060" s="2">
        <v>1</v>
      </c>
    </row>
    <row r="1061" spans="1:28">
      <c r="A1061" s="7">
        <f>MAX($A$1:$A1060)+1</f>
        <v>1060</v>
      </c>
      <c r="B1061" s="2" t="s">
        <v>409</v>
      </c>
      <c r="C1061" s="2" t="s">
        <v>269</v>
      </c>
      <c r="D1061" s="2" t="s">
        <v>36</v>
      </c>
      <c r="E1061" s="7" t="s">
        <v>392</v>
      </c>
      <c r="F1061" s="4">
        <v>48.9071</v>
      </c>
      <c r="G1061" s="18">
        <v>-125.03701700000001</v>
      </c>
      <c r="H1061" s="28" t="s">
        <v>13</v>
      </c>
      <c r="I1061" s="2">
        <v>4</v>
      </c>
      <c r="J1061" s="2">
        <v>240</v>
      </c>
      <c r="K1061" s="6">
        <v>0.43194444444444446</v>
      </c>
      <c r="L1061" s="2" t="s">
        <v>270</v>
      </c>
      <c r="M1061" s="2">
        <v>9.5</v>
      </c>
      <c r="N1061" s="2">
        <v>2</v>
      </c>
      <c r="O1061" s="2">
        <v>2</v>
      </c>
      <c r="P1061" s="2" t="s">
        <v>305</v>
      </c>
      <c r="Q1061" s="7" t="s">
        <v>89</v>
      </c>
      <c r="R1061" s="4" t="s">
        <v>306</v>
      </c>
      <c r="S1061" s="20">
        <v>3</v>
      </c>
      <c r="T1061" s="2">
        <v>0</v>
      </c>
      <c r="V1061" s="2">
        <v>2</v>
      </c>
      <c r="X1061" s="2">
        <v>1</v>
      </c>
    </row>
    <row r="1062" spans="1:28">
      <c r="A1062" s="7">
        <f>MAX($A$1:$A1061)+1</f>
        <v>1061</v>
      </c>
      <c r="B1062" s="2" t="s">
        <v>409</v>
      </c>
      <c r="C1062" s="2" t="s">
        <v>269</v>
      </c>
      <c r="D1062" s="2" t="s">
        <v>36</v>
      </c>
      <c r="E1062" s="7" t="s">
        <v>392</v>
      </c>
      <c r="F1062" s="4">
        <v>48.9071</v>
      </c>
      <c r="G1062" s="18">
        <v>-125.03701700000001</v>
      </c>
      <c r="H1062" s="28" t="s">
        <v>13</v>
      </c>
      <c r="I1062" s="2">
        <v>4</v>
      </c>
      <c r="J1062" s="2">
        <v>240</v>
      </c>
      <c r="K1062" s="6">
        <v>0.43194444444444446</v>
      </c>
      <c r="L1062" s="2" t="s">
        <v>270</v>
      </c>
      <c r="M1062" s="2">
        <v>9.5</v>
      </c>
      <c r="N1062" s="2">
        <v>2</v>
      </c>
      <c r="O1062" s="2">
        <v>2</v>
      </c>
      <c r="P1062" s="2" t="s">
        <v>331</v>
      </c>
      <c r="Q1062" s="7" t="s">
        <v>67</v>
      </c>
      <c r="R1062" s="4" t="s">
        <v>332</v>
      </c>
      <c r="S1062" s="20">
        <v>8</v>
      </c>
      <c r="T1062" s="2">
        <v>8</v>
      </c>
    </row>
    <row r="1063" spans="1:28">
      <c r="A1063" s="7">
        <f>MAX($A$1:$A1062)+1</f>
        <v>1062</v>
      </c>
      <c r="B1063" s="2" t="s">
        <v>409</v>
      </c>
      <c r="C1063" s="2" t="s">
        <v>269</v>
      </c>
      <c r="D1063" s="2" t="s">
        <v>36</v>
      </c>
      <c r="E1063" s="7" t="s">
        <v>392</v>
      </c>
      <c r="F1063" s="4">
        <v>48.9071</v>
      </c>
      <c r="G1063" s="18">
        <v>-125.03701700000001</v>
      </c>
      <c r="H1063" s="28" t="s">
        <v>13</v>
      </c>
      <c r="I1063" s="2">
        <v>4</v>
      </c>
      <c r="J1063" s="2">
        <v>240</v>
      </c>
      <c r="K1063" s="6">
        <v>0.43194444444444446</v>
      </c>
      <c r="L1063" s="2" t="s">
        <v>270</v>
      </c>
      <c r="M1063" s="2">
        <v>9.5</v>
      </c>
      <c r="N1063" s="2">
        <v>2</v>
      </c>
      <c r="O1063" s="2">
        <v>2</v>
      </c>
      <c r="P1063" s="2" t="s">
        <v>421</v>
      </c>
      <c r="Q1063" s="7" t="s">
        <v>140</v>
      </c>
      <c r="R1063" s="4" t="s">
        <v>422</v>
      </c>
      <c r="S1063" s="20">
        <v>1</v>
      </c>
      <c r="T1063" s="2">
        <v>0</v>
      </c>
      <c r="Z1063" s="2">
        <v>1</v>
      </c>
    </row>
    <row r="1064" spans="1:28">
      <c r="A1064" s="7">
        <f>MAX($A$1:$A1063)+1</f>
        <v>1063</v>
      </c>
      <c r="B1064" s="2" t="s">
        <v>409</v>
      </c>
      <c r="C1064" s="2" t="s">
        <v>269</v>
      </c>
      <c r="D1064" s="2" t="s">
        <v>36</v>
      </c>
      <c r="E1064" s="7" t="s">
        <v>392</v>
      </c>
      <c r="F1064" s="4">
        <v>48.9071</v>
      </c>
      <c r="G1064" s="18">
        <v>-125.03701700000001</v>
      </c>
      <c r="H1064" s="28" t="s">
        <v>13</v>
      </c>
      <c r="I1064" s="2">
        <v>4</v>
      </c>
      <c r="J1064" s="2">
        <v>240</v>
      </c>
      <c r="K1064" s="6">
        <v>0.43194444444444446</v>
      </c>
      <c r="L1064" s="2" t="s">
        <v>270</v>
      </c>
      <c r="M1064" s="2">
        <v>9.5</v>
      </c>
      <c r="N1064" s="2">
        <v>2</v>
      </c>
      <c r="O1064" s="2">
        <v>2</v>
      </c>
      <c r="P1064" s="2" t="s">
        <v>401</v>
      </c>
      <c r="Q1064" s="7" t="s">
        <v>135</v>
      </c>
      <c r="R1064" s="4" t="s">
        <v>414</v>
      </c>
      <c r="S1064" s="20">
        <v>1</v>
      </c>
      <c r="T1064" s="2">
        <v>1</v>
      </c>
    </row>
    <row r="1065" spans="1:28">
      <c r="A1065" s="7">
        <f>MAX($A$1:$A1064)+1</f>
        <v>1064</v>
      </c>
      <c r="B1065" s="2" t="s">
        <v>409</v>
      </c>
      <c r="C1065" s="2" t="s">
        <v>269</v>
      </c>
      <c r="D1065" s="2" t="s">
        <v>36</v>
      </c>
      <c r="E1065" s="7" t="s">
        <v>392</v>
      </c>
      <c r="F1065" s="4">
        <v>48.9071</v>
      </c>
      <c r="G1065" s="18">
        <v>-125.03701700000001</v>
      </c>
      <c r="H1065" s="28" t="s">
        <v>13</v>
      </c>
      <c r="I1065" s="2">
        <v>4</v>
      </c>
      <c r="J1065" s="2">
        <v>240</v>
      </c>
      <c r="K1065" s="6">
        <v>0.43194444444444446</v>
      </c>
      <c r="L1065" s="2" t="s">
        <v>270</v>
      </c>
      <c r="M1065" s="2">
        <v>9.5</v>
      </c>
      <c r="N1065" s="2">
        <v>2</v>
      </c>
      <c r="O1065" s="2">
        <v>2</v>
      </c>
      <c r="P1065" s="2" t="s">
        <v>246</v>
      </c>
      <c r="Q1065" s="7" t="s">
        <v>66</v>
      </c>
      <c r="R1065" s="4" t="s">
        <v>318</v>
      </c>
      <c r="S1065" s="20">
        <v>0</v>
      </c>
      <c r="T1065" s="2">
        <v>0</v>
      </c>
    </row>
    <row r="1066" spans="1:28">
      <c r="A1066" s="7">
        <f>MAX($A$1:$A1065)+1</f>
        <v>1065</v>
      </c>
      <c r="B1066" s="2" t="s">
        <v>409</v>
      </c>
      <c r="C1066" s="2" t="s">
        <v>269</v>
      </c>
      <c r="D1066" s="2" t="s">
        <v>36</v>
      </c>
      <c r="E1066" s="7" t="s">
        <v>392</v>
      </c>
      <c r="F1066" s="4">
        <v>48.9071</v>
      </c>
      <c r="G1066" s="18">
        <v>-125.03701700000001</v>
      </c>
      <c r="H1066" s="28" t="s">
        <v>13</v>
      </c>
      <c r="I1066" s="2">
        <v>4</v>
      </c>
      <c r="J1066" s="2">
        <v>240</v>
      </c>
      <c r="K1066" s="6">
        <v>0.43194444444444446</v>
      </c>
      <c r="L1066" s="2" t="s">
        <v>270</v>
      </c>
      <c r="M1066" s="2">
        <v>9.5</v>
      </c>
      <c r="N1066" s="2">
        <v>2</v>
      </c>
      <c r="O1066" s="2">
        <v>2</v>
      </c>
      <c r="P1066" s="2" t="s">
        <v>373</v>
      </c>
      <c r="Q1066" s="7" t="s">
        <v>131</v>
      </c>
      <c r="R1066" s="4" t="s">
        <v>410</v>
      </c>
      <c r="S1066" s="20">
        <v>2</v>
      </c>
      <c r="T1066" s="2">
        <v>1</v>
      </c>
      <c r="Z1066" s="2">
        <v>1</v>
      </c>
    </row>
    <row r="1067" spans="1:28">
      <c r="A1067" s="7">
        <f>MAX($A$1:$A1066)+1</f>
        <v>1066</v>
      </c>
      <c r="B1067" s="2" t="s">
        <v>409</v>
      </c>
      <c r="C1067" s="2" t="s">
        <v>269</v>
      </c>
      <c r="D1067" s="2" t="s">
        <v>36</v>
      </c>
      <c r="E1067" s="7" t="s">
        <v>392</v>
      </c>
      <c r="F1067" s="4">
        <v>48.9071</v>
      </c>
      <c r="G1067" s="18">
        <v>-125.03701700000001</v>
      </c>
      <c r="H1067" s="28" t="s">
        <v>13</v>
      </c>
      <c r="I1067" s="2">
        <v>4</v>
      </c>
      <c r="J1067" s="2">
        <v>240</v>
      </c>
      <c r="K1067" s="6">
        <v>0.43194444444444446</v>
      </c>
      <c r="L1067" s="2" t="s">
        <v>270</v>
      </c>
      <c r="M1067" s="2">
        <v>9.5</v>
      </c>
      <c r="N1067" s="2">
        <v>2</v>
      </c>
      <c r="O1067" s="2">
        <v>2</v>
      </c>
      <c r="P1067" s="2" t="s">
        <v>249</v>
      </c>
      <c r="Q1067" s="7" t="s">
        <v>90</v>
      </c>
      <c r="R1067" s="4" t="s">
        <v>352</v>
      </c>
      <c r="S1067" s="20">
        <v>2</v>
      </c>
      <c r="T1067" s="2">
        <v>2</v>
      </c>
    </row>
    <row r="1068" spans="1:28">
      <c r="A1068" s="7">
        <f>MAX($A$1:$A1067)+1</f>
        <v>1067</v>
      </c>
      <c r="B1068" s="2" t="s">
        <v>409</v>
      </c>
      <c r="C1068" s="2" t="s">
        <v>269</v>
      </c>
      <c r="D1068" s="2" t="s">
        <v>36</v>
      </c>
      <c r="E1068" s="7" t="s">
        <v>392</v>
      </c>
      <c r="F1068" s="4">
        <v>48.9071</v>
      </c>
      <c r="G1068" s="18">
        <v>-125.03701700000001</v>
      </c>
      <c r="H1068" s="28" t="s">
        <v>13</v>
      </c>
      <c r="I1068" s="2">
        <v>4</v>
      </c>
      <c r="J1068" s="2">
        <v>240</v>
      </c>
      <c r="K1068" s="6">
        <v>0.43194444444444446</v>
      </c>
      <c r="L1068" s="2" t="s">
        <v>270</v>
      </c>
      <c r="M1068" s="2">
        <v>9.5</v>
      </c>
      <c r="N1068" s="2">
        <v>2</v>
      </c>
      <c r="O1068" s="2">
        <v>2</v>
      </c>
      <c r="P1068" s="2" t="s">
        <v>415</v>
      </c>
      <c r="Q1068" s="7" t="s">
        <v>92</v>
      </c>
      <c r="R1068" s="4" t="s">
        <v>416</v>
      </c>
      <c r="S1068" s="20">
        <v>1</v>
      </c>
      <c r="T1068" s="2">
        <v>1</v>
      </c>
    </row>
    <row r="1069" spans="1:28">
      <c r="A1069" s="7">
        <f>MAX($A$1:$A1068)+1</f>
        <v>1068</v>
      </c>
      <c r="B1069" s="2" t="s">
        <v>409</v>
      </c>
      <c r="C1069" s="2" t="s">
        <v>269</v>
      </c>
      <c r="D1069" s="2" t="s">
        <v>36</v>
      </c>
      <c r="E1069" s="7" t="s">
        <v>392</v>
      </c>
      <c r="F1069" s="4">
        <v>48.9071</v>
      </c>
      <c r="G1069" s="18">
        <v>-125.03701700000001</v>
      </c>
      <c r="H1069" s="28" t="s">
        <v>13</v>
      </c>
      <c r="I1069" s="2">
        <v>4</v>
      </c>
      <c r="J1069" s="2">
        <v>240</v>
      </c>
      <c r="K1069" s="6">
        <v>0.43194444444444446</v>
      </c>
      <c r="L1069" s="2" t="s">
        <v>270</v>
      </c>
      <c r="M1069" s="2">
        <v>9.5</v>
      </c>
      <c r="N1069" s="2">
        <v>2</v>
      </c>
      <c r="O1069" s="2">
        <v>2</v>
      </c>
      <c r="P1069" s="2" t="s">
        <v>383</v>
      </c>
      <c r="Q1069" s="7" t="s">
        <v>72</v>
      </c>
      <c r="R1069" s="4" t="s">
        <v>384</v>
      </c>
      <c r="S1069" s="20">
        <v>1</v>
      </c>
      <c r="T1069" s="2">
        <v>1</v>
      </c>
    </row>
    <row r="1070" spans="1:28">
      <c r="A1070" s="7">
        <f>MAX($A$1:$A1069)+1</f>
        <v>1069</v>
      </c>
      <c r="B1070" s="2" t="s">
        <v>409</v>
      </c>
      <c r="C1070" s="2" t="s">
        <v>269</v>
      </c>
      <c r="D1070" s="2" t="s">
        <v>36</v>
      </c>
      <c r="E1070" s="7" t="s">
        <v>392</v>
      </c>
      <c r="F1070" s="4">
        <v>48.9071</v>
      </c>
      <c r="G1070" s="18">
        <v>-125.03701700000001</v>
      </c>
      <c r="H1070" s="28" t="s">
        <v>13</v>
      </c>
      <c r="I1070" s="2">
        <v>4</v>
      </c>
      <c r="J1070" s="2">
        <v>240</v>
      </c>
      <c r="K1070" s="6">
        <v>0.43194444444444446</v>
      </c>
      <c r="L1070" s="2" t="s">
        <v>270</v>
      </c>
      <c r="M1070" s="2">
        <v>9.5</v>
      </c>
      <c r="N1070" s="2">
        <v>2</v>
      </c>
      <c r="O1070" s="2">
        <v>2</v>
      </c>
      <c r="P1070" s="2" t="s">
        <v>436</v>
      </c>
      <c r="Q1070" s="7" t="s">
        <v>145</v>
      </c>
      <c r="R1070" s="4" t="s">
        <v>437</v>
      </c>
      <c r="S1070" s="20">
        <v>1</v>
      </c>
      <c r="T1070" s="2">
        <v>1</v>
      </c>
    </row>
    <row r="1071" spans="1:28">
      <c r="A1071" s="7">
        <f>MAX($A$1:$A1070)+1</f>
        <v>1070</v>
      </c>
      <c r="B1071" s="27" t="s">
        <v>269</v>
      </c>
      <c r="C1071" s="2" t="s">
        <v>409</v>
      </c>
      <c r="D1071" s="2" t="s">
        <v>36</v>
      </c>
      <c r="E1071" s="7" t="s">
        <v>392</v>
      </c>
      <c r="F1071" s="4">
        <v>48.9071</v>
      </c>
      <c r="G1071" s="18">
        <v>-125.03701700000001</v>
      </c>
      <c r="H1071" s="5" t="s">
        <v>13</v>
      </c>
      <c r="I1071" s="2">
        <v>3</v>
      </c>
      <c r="J1071" s="2">
        <v>240</v>
      </c>
      <c r="K1071" s="6">
        <v>0.43194444444444446</v>
      </c>
      <c r="L1071" s="2" t="s">
        <v>270</v>
      </c>
      <c r="M1071" s="2">
        <v>9.5</v>
      </c>
      <c r="N1071" s="2">
        <v>1</v>
      </c>
      <c r="O1071" s="2">
        <v>1</v>
      </c>
      <c r="P1071" s="2" t="s">
        <v>230</v>
      </c>
      <c r="Q1071" s="7" t="s">
        <v>42</v>
      </c>
      <c r="R1071" s="4" t="s">
        <v>321</v>
      </c>
      <c r="S1071" s="20">
        <v>1</v>
      </c>
      <c r="T1071" s="2">
        <v>0</v>
      </c>
      <c r="W1071" s="2">
        <v>1</v>
      </c>
    </row>
    <row r="1072" spans="1:28">
      <c r="A1072" s="7">
        <f>MAX($A$1:$A1071)+1</f>
        <v>1071</v>
      </c>
      <c r="B1072" s="27" t="s">
        <v>269</v>
      </c>
      <c r="C1072" s="2" t="s">
        <v>409</v>
      </c>
      <c r="D1072" s="2" t="s">
        <v>36</v>
      </c>
      <c r="E1072" s="7" t="s">
        <v>392</v>
      </c>
      <c r="F1072" s="4">
        <v>48.9071</v>
      </c>
      <c r="G1072" s="18">
        <v>-125.03701700000001</v>
      </c>
      <c r="H1072" s="5" t="s">
        <v>13</v>
      </c>
      <c r="I1072" s="2">
        <v>3</v>
      </c>
      <c r="J1072" s="2">
        <v>240</v>
      </c>
      <c r="K1072" s="6">
        <v>0.43194444444444446</v>
      </c>
      <c r="L1072" s="2" t="s">
        <v>270</v>
      </c>
      <c r="M1072" s="2">
        <v>9.5</v>
      </c>
      <c r="N1072" s="2">
        <v>1</v>
      </c>
      <c r="O1072" s="2">
        <v>1</v>
      </c>
      <c r="P1072" s="2" t="s">
        <v>232</v>
      </c>
      <c r="Q1072" s="7" t="s">
        <v>43</v>
      </c>
      <c r="R1072" s="4" t="s">
        <v>324</v>
      </c>
      <c r="S1072" s="20">
        <v>1</v>
      </c>
      <c r="T1072" s="2">
        <v>0</v>
      </c>
      <c r="AA1072" s="2">
        <v>1</v>
      </c>
    </row>
    <row r="1073" spans="1:26">
      <c r="A1073" s="7">
        <f>MAX($A$1:$A1072)+1</f>
        <v>1072</v>
      </c>
      <c r="B1073" s="27" t="s">
        <v>269</v>
      </c>
      <c r="C1073" s="2" t="s">
        <v>409</v>
      </c>
      <c r="D1073" s="2" t="s">
        <v>36</v>
      </c>
      <c r="E1073" s="7" t="s">
        <v>392</v>
      </c>
      <c r="F1073" s="4">
        <v>48.9071</v>
      </c>
      <c r="G1073" s="18">
        <v>-125.03701700000001</v>
      </c>
      <c r="H1073" s="5" t="s">
        <v>13</v>
      </c>
      <c r="I1073" s="2">
        <v>3</v>
      </c>
      <c r="J1073" s="2">
        <v>240</v>
      </c>
      <c r="K1073" s="6">
        <v>0.43194444444444446</v>
      </c>
      <c r="L1073" s="2" t="s">
        <v>270</v>
      </c>
      <c r="M1073" s="2">
        <v>9.5</v>
      </c>
      <c r="N1073" s="2">
        <v>2</v>
      </c>
      <c r="O1073" s="2">
        <v>1</v>
      </c>
      <c r="P1073" s="2" t="s">
        <v>296</v>
      </c>
      <c r="Q1073" s="7" t="s">
        <v>75</v>
      </c>
      <c r="R1073" s="4" t="s">
        <v>297</v>
      </c>
      <c r="S1073" s="20">
        <v>2</v>
      </c>
      <c r="T1073" s="2">
        <v>2</v>
      </c>
    </row>
    <row r="1074" spans="1:26">
      <c r="A1074" s="7">
        <f>MAX($A$1:$A1073)+1</f>
        <v>1073</v>
      </c>
      <c r="B1074" s="27" t="s">
        <v>269</v>
      </c>
      <c r="C1074" s="2" t="s">
        <v>409</v>
      </c>
      <c r="D1074" s="2" t="s">
        <v>36</v>
      </c>
      <c r="E1074" s="7" t="s">
        <v>392</v>
      </c>
      <c r="F1074" s="4">
        <v>48.9071</v>
      </c>
      <c r="G1074" s="18">
        <v>-125.03701700000001</v>
      </c>
      <c r="H1074" s="5" t="s">
        <v>13</v>
      </c>
      <c r="I1074" s="2">
        <v>3</v>
      </c>
      <c r="J1074" s="2">
        <v>240</v>
      </c>
      <c r="K1074" s="6">
        <v>0.43194444444444446</v>
      </c>
      <c r="L1074" s="2" t="s">
        <v>270</v>
      </c>
      <c r="M1074" s="2">
        <v>9.5</v>
      </c>
      <c r="N1074" s="2">
        <v>2</v>
      </c>
      <c r="O1074" s="2">
        <v>1</v>
      </c>
      <c r="P1074" s="2" t="s">
        <v>241</v>
      </c>
      <c r="Q1074" s="7" t="s">
        <v>63</v>
      </c>
      <c r="R1074" s="4" t="s">
        <v>294</v>
      </c>
      <c r="S1074" s="20">
        <v>3</v>
      </c>
      <c r="T1074" s="2">
        <v>3</v>
      </c>
    </row>
    <row r="1075" spans="1:26">
      <c r="A1075" s="7">
        <f>MAX($A$1:$A1074)+1</f>
        <v>1074</v>
      </c>
      <c r="B1075" s="27" t="s">
        <v>269</v>
      </c>
      <c r="C1075" s="2" t="s">
        <v>409</v>
      </c>
      <c r="D1075" s="2" t="s">
        <v>36</v>
      </c>
      <c r="E1075" s="7" t="s">
        <v>392</v>
      </c>
      <c r="F1075" s="4">
        <v>48.9071</v>
      </c>
      <c r="G1075" s="18">
        <v>-125.03701700000001</v>
      </c>
      <c r="H1075" s="5" t="s">
        <v>13</v>
      </c>
      <c r="I1075" s="2">
        <v>3</v>
      </c>
      <c r="J1075" s="2">
        <v>240</v>
      </c>
      <c r="K1075" s="6">
        <v>0.43194444444444446</v>
      </c>
      <c r="L1075" s="2" t="s">
        <v>270</v>
      </c>
      <c r="M1075" s="2">
        <v>9.5</v>
      </c>
      <c r="N1075" s="2">
        <v>2</v>
      </c>
      <c r="O1075" s="2">
        <v>1</v>
      </c>
      <c r="P1075" s="2" t="s">
        <v>238</v>
      </c>
      <c r="Q1075" s="7" t="s">
        <v>69</v>
      </c>
      <c r="R1075" s="4" t="s">
        <v>313</v>
      </c>
      <c r="S1075" s="20">
        <v>4</v>
      </c>
      <c r="T1075" s="2">
        <v>4</v>
      </c>
    </row>
    <row r="1076" spans="1:26">
      <c r="A1076" s="7">
        <f>MAX($A$1:$A1075)+1</f>
        <v>1075</v>
      </c>
      <c r="B1076" s="27" t="s">
        <v>269</v>
      </c>
      <c r="C1076" s="2" t="s">
        <v>409</v>
      </c>
      <c r="D1076" s="2" t="s">
        <v>36</v>
      </c>
      <c r="E1076" s="7" t="s">
        <v>392</v>
      </c>
      <c r="F1076" s="4">
        <v>48.9071</v>
      </c>
      <c r="G1076" s="18">
        <v>-125.03701700000001</v>
      </c>
      <c r="H1076" s="5" t="s">
        <v>13</v>
      </c>
      <c r="I1076" s="2">
        <v>3</v>
      </c>
      <c r="J1076" s="2">
        <v>240</v>
      </c>
      <c r="K1076" s="6">
        <v>0.43194444444444446</v>
      </c>
      <c r="L1076" s="2" t="s">
        <v>270</v>
      </c>
      <c r="M1076" s="2">
        <v>9.5</v>
      </c>
      <c r="N1076" s="2">
        <v>2</v>
      </c>
      <c r="O1076" s="2">
        <v>1</v>
      </c>
      <c r="P1076" s="2" t="s">
        <v>427</v>
      </c>
      <c r="Q1076" s="7" t="s">
        <v>142</v>
      </c>
      <c r="R1076" s="4" t="s">
        <v>428</v>
      </c>
      <c r="S1076" s="20">
        <v>2</v>
      </c>
      <c r="T1076" s="2">
        <v>2</v>
      </c>
    </row>
    <row r="1077" spans="1:26">
      <c r="A1077" s="7">
        <f>MAX($A$1:$A1076)+1</f>
        <v>1076</v>
      </c>
      <c r="B1077" s="27" t="s">
        <v>269</v>
      </c>
      <c r="C1077" s="2" t="s">
        <v>409</v>
      </c>
      <c r="D1077" s="2" t="s">
        <v>36</v>
      </c>
      <c r="E1077" s="7" t="s">
        <v>392</v>
      </c>
      <c r="F1077" s="4">
        <v>48.9071</v>
      </c>
      <c r="G1077" s="18">
        <v>-125.03701700000001</v>
      </c>
      <c r="H1077" s="5" t="s">
        <v>13</v>
      </c>
      <c r="I1077" s="2">
        <v>3</v>
      </c>
      <c r="J1077" s="2">
        <v>240</v>
      </c>
      <c r="K1077" s="6">
        <v>0.43194444444444446</v>
      </c>
      <c r="L1077" s="2" t="s">
        <v>270</v>
      </c>
      <c r="M1077" s="2">
        <v>9.5</v>
      </c>
      <c r="N1077" s="2">
        <v>2</v>
      </c>
      <c r="O1077" s="2">
        <v>1</v>
      </c>
      <c r="P1077" s="2" t="s">
        <v>243</v>
      </c>
      <c r="Q1077" s="7" t="s">
        <v>85</v>
      </c>
      <c r="R1077" s="4" t="s">
        <v>312</v>
      </c>
      <c r="S1077" s="20">
        <v>2</v>
      </c>
      <c r="T1077" s="2">
        <v>2</v>
      </c>
    </row>
    <row r="1078" spans="1:26">
      <c r="A1078" s="7">
        <f>MAX($A$1:$A1077)+1</f>
        <v>1077</v>
      </c>
      <c r="B1078" s="27" t="s">
        <v>269</v>
      </c>
      <c r="C1078" s="2" t="s">
        <v>409</v>
      </c>
      <c r="D1078" s="2" t="s">
        <v>36</v>
      </c>
      <c r="E1078" s="7" t="s">
        <v>392</v>
      </c>
      <c r="F1078" s="4">
        <v>48.9071</v>
      </c>
      <c r="G1078" s="18">
        <v>-125.03701700000001</v>
      </c>
      <c r="H1078" s="5" t="s">
        <v>13</v>
      </c>
      <c r="I1078" s="2">
        <v>3</v>
      </c>
      <c r="J1078" s="2">
        <v>240</v>
      </c>
      <c r="K1078" s="6">
        <v>0.43194444444444446</v>
      </c>
      <c r="L1078" s="2" t="s">
        <v>270</v>
      </c>
      <c r="M1078" s="2">
        <v>9.5</v>
      </c>
      <c r="N1078" s="2">
        <v>2</v>
      </c>
      <c r="O1078" s="2">
        <v>1</v>
      </c>
      <c r="P1078" s="2" t="s">
        <v>247</v>
      </c>
      <c r="Q1078" s="7" t="s">
        <v>64</v>
      </c>
      <c r="R1078" s="4" t="s">
        <v>293</v>
      </c>
      <c r="S1078" s="20">
        <v>14</v>
      </c>
      <c r="T1078" s="2">
        <v>14</v>
      </c>
    </row>
    <row r="1079" spans="1:26">
      <c r="A1079" s="7">
        <f>MAX($A$1:$A1078)+1</f>
        <v>1078</v>
      </c>
      <c r="B1079" s="27" t="s">
        <v>269</v>
      </c>
      <c r="C1079" s="2" t="s">
        <v>409</v>
      </c>
      <c r="D1079" s="2" t="s">
        <v>36</v>
      </c>
      <c r="E1079" s="7" t="s">
        <v>392</v>
      </c>
      <c r="F1079" s="4">
        <v>48.9071</v>
      </c>
      <c r="G1079" s="18">
        <v>-125.03701700000001</v>
      </c>
      <c r="H1079" s="5" t="s">
        <v>13</v>
      </c>
      <c r="I1079" s="2">
        <v>3</v>
      </c>
      <c r="J1079" s="2">
        <v>240</v>
      </c>
      <c r="K1079" s="6">
        <v>0.43194444444444446</v>
      </c>
      <c r="L1079" s="2" t="s">
        <v>270</v>
      </c>
      <c r="M1079" s="2">
        <v>9.5</v>
      </c>
      <c r="N1079" s="2">
        <v>2</v>
      </c>
      <c r="O1079" s="2">
        <v>1</v>
      </c>
      <c r="P1079" s="2" t="s">
        <v>310</v>
      </c>
      <c r="Q1079" s="7" t="s">
        <v>98</v>
      </c>
      <c r="R1079" s="4" t="s">
        <v>311</v>
      </c>
      <c r="S1079" s="20">
        <v>3</v>
      </c>
      <c r="T1079" s="2">
        <v>3</v>
      </c>
    </row>
    <row r="1080" spans="1:26">
      <c r="A1080" s="7">
        <f>MAX($A$1:$A1079)+1</f>
        <v>1079</v>
      </c>
      <c r="B1080" s="27" t="s">
        <v>269</v>
      </c>
      <c r="C1080" s="2" t="s">
        <v>409</v>
      </c>
      <c r="D1080" s="2" t="s">
        <v>36</v>
      </c>
      <c r="E1080" s="7" t="s">
        <v>392</v>
      </c>
      <c r="F1080" s="4">
        <v>48.9071</v>
      </c>
      <c r="G1080" s="18">
        <v>-125.03701700000001</v>
      </c>
      <c r="H1080" s="5" t="s">
        <v>13</v>
      </c>
      <c r="I1080" s="2">
        <v>3</v>
      </c>
      <c r="J1080" s="2">
        <v>240</v>
      </c>
      <c r="K1080" s="6">
        <v>0.43194444444444446</v>
      </c>
      <c r="L1080" s="2" t="s">
        <v>270</v>
      </c>
      <c r="M1080" s="2">
        <v>9.5</v>
      </c>
      <c r="N1080" s="2">
        <v>2</v>
      </c>
      <c r="O1080" s="2">
        <v>1</v>
      </c>
      <c r="P1080" s="2" t="s">
        <v>331</v>
      </c>
      <c r="Q1080" s="7" t="s">
        <v>67</v>
      </c>
      <c r="R1080" s="4" t="s">
        <v>332</v>
      </c>
      <c r="S1080" s="20">
        <v>7</v>
      </c>
      <c r="T1080" s="2">
        <v>7</v>
      </c>
    </row>
    <row r="1081" spans="1:26">
      <c r="A1081" s="7">
        <f>MAX($A$1:$A1080)+1</f>
        <v>1080</v>
      </c>
      <c r="B1081" s="27" t="s">
        <v>269</v>
      </c>
      <c r="C1081" s="2" t="s">
        <v>409</v>
      </c>
      <c r="D1081" s="2" t="s">
        <v>36</v>
      </c>
      <c r="E1081" s="7" t="s">
        <v>392</v>
      </c>
      <c r="F1081" s="4">
        <v>48.9071</v>
      </c>
      <c r="G1081" s="18">
        <v>-125.03701700000001</v>
      </c>
      <c r="H1081" s="5" t="s">
        <v>13</v>
      </c>
      <c r="I1081" s="2">
        <v>3</v>
      </c>
      <c r="J1081" s="2">
        <v>240</v>
      </c>
      <c r="K1081" s="6">
        <v>0.43194444444444446</v>
      </c>
      <c r="L1081" s="2" t="s">
        <v>270</v>
      </c>
      <c r="M1081" s="2">
        <v>9.5</v>
      </c>
      <c r="N1081" s="2">
        <v>2</v>
      </c>
      <c r="O1081" s="2">
        <v>1</v>
      </c>
      <c r="P1081" s="2" t="s">
        <v>331</v>
      </c>
      <c r="Q1081" s="7" t="s">
        <v>67</v>
      </c>
      <c r="R1081" s="4" t="s">
        <v>332</v>
      </c>
      <c r="S1081" s="20">
        <v>18</v>
      </c>
      <c r="T1081" s="2">
        <v>0</v>
      </c>
      <c r="U1081" s="2">
        <v>1</v>
      </c>
      <c r="V1081" s="2">
        <v>5</v>
      </c>
      <c r="W1081" s="2">
        <v>7</v>
      </c>
      <c r="X1081" s="2">
        <v>2</v>
      </c>
      <c r="Y1081" s="2">
        <v>3</v>
      </c>
    </row>
    <row r="1082" spans="1:26">
      <c r="A1082" s="7">
        <f>MAX($A$1:$A1081)+1</f>
        <v>1081</v>
      </c>
      <c r="B1082" s="27" t="s">
        <v>269</v>
      </c>
      <c r="C1082" s="2" t="s">
        <v>409</v>
      </c>
      <c r="D1082" s="2" t="s">
        <v>36</v>
      </c>
      <c r="E1082" s="7" t="s">
        <v>392</v>
      </c>
      <c r="F1082" s="4">
        <v>48.9071</v>
      </c>
      <c r="G1082" s="18">
        <v>-125.03701700000001</v>
      </c>
      <c r="H1082" s="5" t="s">
        <v>13</v>
      </c>
      <c r="I1082" s="2">
        <v>3</v>
      </c>
      <c r="J1082" s="2">
        <v>240</v>
      </c>
      <c r="K1082" s="6">
        <v>0.43194444444444446</v>
      </c>
      <c r="L1082" s="2" t="s">
        <v>270</v>
      </c>
      <c r="M1082" s="2">
        <v>9.5</v>
      </c>
      <c r="N1082" s="2">
        <v>2</v>
      </c>
      <c r="O1082" s="2">
        <v>1</v>
      </c>
      <c r="P1082" s="2" t="s">
        <v>244</v>
      </c>
      <c r="Q1082" s="7" t="s">
        <v>65</v>
      </c>
      <c r="R1082" s="4" t="s">
        <v>307</v>
      </c>
      <c r="S1082" s="20">
        <v>1</v>
      </c>
      <c r="T1082" s="2">
        <v>1</v>
      </c>
    </row>
    <row r="1083" spans="1:26">
      <c r="A1083" s="7">
        <f>MAX($A$1:$A1082)+1</f>
        <v>1082</v>
      </c>
      <c r="B1083" s="27" t="s">
        <v>269</v>
      </c>
      <c r="C1083" s="2" t="s">
        <v>409</v>
      </c>
      <c r="D1083" s="2" t="s">
        <v>36</v>
      </c>
      <c r="E1083" s="7" t="s">
        <v>392</v>
      </c>
      <c r="F1083" s="4">
        <v>48.9071</v>
      </c>
      <c r="G1083" s="18">
        <v>-125.03701700000001</v>
      </c>
      <c r="H1083" s="5" t="s">
        <v>13</v>
      </c>
      <c r="I1083" s="2">
        <v>3</v>
      </c>
      <c r="J1083" s="2">
        <v>240</v>
      </c>
      <c r="K1083" s="6">
        <v>0.43194444444444446</v>
      </c>
      <c r="L1083" s="2" t="s">
        <v>270</v>
      </c>
      <c r="M1083" s="2">
        <v>9.5</v>
      </c>
      <c r="N1083" s="2">
        <v>2</v>
      </c>
      <c r="O1083" s="2">
        <v>1</v>
      </c>
      <c r="P1083" s="2" t="s">
        <v>373</v>
      </c>
      <c r="Q1083" s="7" t="s">
        <v>131</v>
      </c>
      <c r="R1083" s="4" t="s">
        <v>374</v>
      </c>
      <c r="S1083" s="20">
        <v>2</v>
      </c>
      <c r="T1083" s="2">
        <v>2</v>
      </c>
    </row>
    <row r="1084" spans="1:26">
      <c r="A1084" s="7">
        <f>MAX($A$1:$A1083)+1</f>
        <v>1083</v>
      </c>
      <c r="B1084" s="27" t="s">
        <v>269</v>
      </c>
      <c r="C1084" s="2" t="s">
        <v>409</v>
      </c>
      <c r="D1084" s="2" t="s">
        <v>36</v>
      </c>
      <c r="E1084" s="7" t="s">
        <v>392</v>
      </c>
      <c r="F1084" s="4">
        <v>48.9071</v>
      </c>
      <c r="G1084" s="18">
        <v>-125.03701700000001</v>
      </c>
      <c r="H1084" s="5" t="s">
        <v>13</v>
      </c>
      <c r="I1084" s="2">
        <v>3</v>
      </c>
      <c r="J1084" s="2">
        <v>240</v>
      </c>
      <c r="K1084" s="6">
        <v>0.43194444444444446</v>
      </c>
      <c r="L1084" s="2" t="s">
        <v>270</v>
      </c>
      <c r="M1084" s="2">
        <v>9.5</v>
      </c>
      <c r="N1084" s="2">
        <v>2</v>
      </c>
      <c r="O1084" s="2">
        <v>1</v>
      </c>
      <c r="P1084" s="2" t="s">
        <v>305</v>
      </c>
      <c r="Q1084" s="7" t="s">
        <v>89</v>
      </c>
      <c r="R1084" s="4" t="s">
        <v>306</v>
      </c>
      <c r="S1084" s="20">
        <v>14</v>
      </c>
      <c r="T1084" s="2">
        <v>0</v>
      </c>
      <c r="U1084" s="2">
        <v>6</v>
      </c>
      <c r="V1084" s="2">
        <v>3</v>
      </c>
      <c r="W1084" s="2">
        <v>3</v>
      </c>
      <c r="X1084" s="2">
        <v>1</v>
      </c>
      <c r="Z1084" s="2">
        <v>1</v>
      </c>
    </row>
    <row r="1085" spans="1:26">
      <c r="A1085" s="7">
        <f>MAX($A$1:$A1084)+1</f>
        <v>1084</v>
      </c>
      <c r="B1085" s="27" t="s">
        <v>269</v>
      </c>
      <c r="C1085" s="2" t="s">
        <v>409</v>
      </c>
      <c r="D1085" s="2" t="s">
        <v>36</v>
      </c>
      <c r="E1085" s="7" t="s">
        <v>392</v>
      </c>
      <c r="F1085" s="4">
        <v>48.9071</v>
      </c>
      <c r="G1085" s="18">
        <v>-125.03701700000001</v>
      </c>
      <c r="H1085" s="5" t="s">
        <v>13</v>
      </c>
      <c r="I1085" s="2">
        <v>3</v>
      </c>
      <c r="J1085" s="2">
        <v>240</v>
      </c>
      <c r="K1085" s="6">
        <v>0.43194444444444446</v>
      </c>
      <c r="L1085" s="2" t="s">
        <v>270</v>
      </c>
      <c r="M1085" s="2">
        <v>9.5</v>
      </c>
      <c r="N1085" s="2">
        <v>2</v>
      </c>
      <c r="O1085" s="2">
        <v>1</v>
      </c>
      <c r="P1085" s="2" t="s">
        <v>395</v>
      </c>
      <c r="Q1085" s="7" t="s">
        <v>81</v>
      </c>
      <c r="R1085" s="4" t="s">
        <v>396</v>
      </c>
      <c r="S1085" s="20">
        <v>6</v>
      </c>
      <c r="T1085" s="2">
        <v>6</v>
      </c>
    </row>
    <row r="1086" spans="1:26">
      <c r="A1086" s="7">
        <f>MAX($A$1:$A1085)+1</f>
        <v>1085</v>
      </c>
      <c r="B1086" s="27" t="s">
        <v>269</v>
      </c>
      <c r="C1086" s="2" t="s">
        <v>409</v>
      </c>
      <c r="D1086" s="2" t="s">
        <v>36</v>
      </c>
      <c r="E1086" s="7" t="s">
        <v>392</v>
      </c>
      <c r="F1086" s="4">
        <v>48.9071</v>
      </c>
      <c r="G1086" s="18">
        <v>-125.03701700000001</v>
      </c>
      <c r="H1086" s="5" t="s">
        <v>13</v>
      </c>
      <c r="I1086" s="2">
        <v>3</v>
      </c>
      <c r="J1086" s="2">
        <v>240</v>
      </c>
      <c r="K1086" s="6">
        <v>0.43194444444444446</v>
      </c>
      <c r="L1086" s="2" t="s">
        <v>270</v>
      </c>
      <c r="M1086" s="2">
        <v>9.5</v>
      </c>
      <c r="N1086" s="2">
        <v>2</v>
      </c>
      <c r="O1086" s="2">
        <v>1</v>
      </c>
      <c r="P1086" s="2" t="s">
        <v>248</v>
      </c>
      <c r="Q1086" s="7" t="s">
        <v>78</v>
      </c>
      <c r="R1086" s="4" t="s">
        <v>349</v>
      </c>
      <c r="S1086" s="20">
        <v>4</v>
      </c>
      <c r="T1086" s="2">
        <v>0</v>
      </c>
      <c r="U1086" s="2">
        <v>1</v>
      </c>
      <c r="W1086" s="2">
        <v>1</v>
      </c>
      <c r="Y1086" s="2">
        <v>1</v>
      </c>
      <c r="Z1086" s="2">
        <v>1</v>
      </c>
    </row>
    <row r="1087" spans="1:26">
      <c r="A1087" s="7">
        <f>MAX($A$1:$A1086)+1</f>
        <v>1086</v>
      </c>
      <c r="B1087" s="27" t="s">
        <v>269</v>
      </c>
      <c r="C1087" s="2" t="s">
        <v>409</v>
      </c>
      <c r="D1087" s="2" t="s">
        <v>36</v>
      </c>
      <c r="E1087" s="7" t="s">
        <v>392</v>
      </c>
      <c r="F1087" s="4">
        <v>48.9071</v>
      </c>
      <c r="G1087" s="18">
        <v>-125.03701700000001</v>
      </c>
      <c r="H1087" s="5" t="s">
        <v>13</v>
      </c>
      <c r="I1087" s="2">
        <v>3</v>
      </c>
      <c r="J1087" s="2">
        <v>240</v>
      </c>
      <c r="K1087" s="6">
        <v>0.43194444444444446</v>
      </c>
      <c r="L1087" s="2" t="s">
        <v>270</v>
      </c>
      <c r="M1087" s="2">
        <v>9.5</v>
      </c>
      <c r="N1087" s="2">
        <v>2</v>
      </c>
      <c r="O1087" s="2">
        <v>1</v>
      </c>
      <c r="P1087" s="2" t="s">
        <v>442</v>
      </c>
      <c r="Q1087" s="7" t="s">
        <v>148</v>
      </c>
      <c r="R1087" s="4" t="s">
        <v>317</v>
      </c>
      <c r="S1087" s="20">
        <v>7</v>
      </c>
      <c r="T1087" s="2">
        <v>7</v>
      </c>
    </row>
    <row r="1088" spans="1:26">
      <c r="A1088" s="7">
        <f>MAX($A$1:$A1087)+1</f>
        <v>1087</v>
      </c>
      <c r="B1088" s="27" t="s">
        <v>269</v>
      </c>
      <c r="C1088" s="2" t="s">
        <v>409</v>
      </c>
      <c r="D1088" s="2" t="s">
        <v>36</v>
      </c>
      <c r="E1088" s="7" t="s">
        <v>392</v>
      </c>
      <c r="F1088" s="4">
        <v>48.9071</v>
      </c>
      <c r="G1088" s="18">
        <v>-125.03701700000001</v>
      </c>
      <c r="H1088" s="5" t="s">
        <v>13</v>
      </c>
      <c r="I1088" s="2">
        <v>3</v>
      </c>
      <c r="J1088" s="2">
        <v>240</v>
      </c>
      <c r="K1088" s="6">
        <v>0.43194444444444446</v>
      </c>
      <c r="L1088" s="2" t="s">
        <v>270</v>
      </c>
      <c r="M1088" s="2">
        <v>9.5</v>
      </c>
      <c r="N1088" s="2">
        <v>2</v>
      </c>
      <c r="O1088" s="2">
        <v>1</v>
      </c>
      <c r="P1088" s="2" t="s">
        <v>251</v>
      </c>
      <c r="Q1088" s="7" t="s">
        <v>73</v>
      </c>
      <c r="R1088" s="4" t="s">
        <v>325</v>
      </c>
      <c r="S1088" s="20">
        <v>5</v>
      </c>
      <c r="T1088" s="2">
        <v>5</v>
      </c>
    </row>
    <row r="1089" spans="1:28">
      <c r="A1089" s="7">
        <f>MAX($A$1:$A1088)+1</f>
        <v>1088</v>
      </c>
      <c r="B1089" s="27" t="s">
        <v>269</v>
      </c>
      <c r="C1089" s="2" t="s">
        <v>409</v>
      </c>
      <c r="D1089" s="2" t="s">
        <v>36</v>
      </c>
      <c r="E1089" s="7" t="s">
        <v>392</v>
      </c>
      <c r="F1089" s="4">
        <v>48.9071</v>
      </c>
      <c r="G1089" s="18">
        <v>-125.03701700000001</v>
      </c>
      <c r="H1089" s="5" t="s">
        <v>13</v>
      </c>
      <c r="I1089" s="2">
        <v>3</v>
      </c>
      <c r="J1089" s="2">
        <v>240</v>
      </c>
      <c r="K1089" s="6">
        <v>0.43194444444444446</v>
      </c>
      <c r="L1089" s="2" t="s">
        <v>270</v>
      </c>
      <c r="M1089" s="2">
        <v>9.5</v>
      </c>
      <c r="N1089" s="2">
        <v>2</v>
      </c>
      <c r="O1089" s="2">
        <v>1</v>
      </c>
      <c r="P1089" s="2" t="s">
        <v>250</v>
      </c>
      <c r="Q1089" s="7" t="s">
        <v>46</v>
      </c>
      <c r="R1089" s="4" t="s">
        <v>295</v>
      </c>
      <c r="S1089" s="20">
        <v>4</v>
      </c>
      <c r="T1089" s="2">
        <v>0</v>
      </c>
      <c r="V1089" s="2">
        <v>1</v>
      </c>
      <c r="W1089" s="2">
        <v>3</v>
      </c>
    </row>
    <row r="1090" spans="1:28">
      <c r="A1090" s="7">
        <f>MAX($A$1:$A1089)+1</f>
        <v>1089</v>
      </c>
      <c r="B1090" s="27" t="s">
        <v>269</v>
      </c>
      <c r="C1090" s="2" t="s">
        <v>409</v>
      </c>
      <c r="D1090" s="2" t="s">
        <v>36</v>
      </c>
      <c r="E1090" s="7" t="s">
        <v>392</v>
      </c>
      <c r="F1090" s="4">
        <v>48.9071</v>
      </c>
      <c r="G1090" s="18">
        <v>-125.03701700000001</v>
      </c>
      <c r="H1090" s="5" t="s">
        <v>13</v>
      </c>
      <c r="I1090" s="2">
        <v>3</v>
      </c>
      <c r="J1090" s="2">
        <v>240</v>
      </c>
      <c r="K1090" s="6">
        <v>0.43194444444444446</v>
      </c>
      <c r="L1090" s="2" t="s">
        <v>270</v>
      </c>
      <c r="M1090" s="2">
        <v>9.5</v>
      </c>
      <c r="N1090" s="2">
        <v>2</v>
      </c>
      <c r="O1090" s="2">
        <v>1</v>
      </c>
      <c r="P1090" s="2" t="s">
        <v>319</v>
      </c>
      <c r="Q1090" s="7" t="s">
        <v>120</v>
      </c>
      <c r="R1090" s="4" t="s">
        <v>320</v>
      </c>
      <c r="S1090" s="20">
        <v>1</v>
      </c>
      <c r="T1090" s="2">
        <v>1</v>
      </c>
    </row>
    <row r="1091" spans="1:28">
      <c r="A1091" s="7">
        <f>MAX($A$1:$A1090)+1</f>
        <v>1090</v>
      </c>
      <c r="B1091" s="27" t="s">
        <v>269</v>
      </c>
      <c r="C1091" s="2" t="s">
        <v>409</v>
      </c>
      <c r="D1091" s="2" t="s">
        <v>36</v>
      </c>
      <c r="E1091" s="7" t="s">
        <v>392</v>
      </c>
      <c r="F1091" s="4">
        <v>48.9071</v>
      </c>
      <c r="G1091" s="18">
        <v>-125.03701700000001</v>
      </c>
      <c r="H1091" s="5" t="s">
        <v>13</v>
      </c>
      <c r="I1091" s="2">
        <v>3</v>
      </c>
      <c r="J1091" s="2">
        <v>240</v>
      </c>
      <c r="K1091" s="6">
        <v>0.43194444444444446</v>
      </c>
      <c r="L1091" s="2" t="s">
        <v>270</v>
      </c>
      <c r="M1091" s="2">
        <v>9.5</v>
      </c>
      <c r="N1091" s="2">
        <v>2</v>
      </c>
      <c r="O1091" s="2">
        <v>1</v>
      </c>
      <c r="P1091" s="2" t="s">
        <v>456</v>
      </c>
      <c r="Q1091" s="7" t="s">
        <v>151</v>
      </c>
      <c r="R1091" s="4" t="s">
        <v>457</v>
      </c>
      <c r="S1091" s="20">
        <v>1</v>
      </c>
      <c r="T1091" s="2">
        <v>1</v>
      </c>
    </row>
    <row r="1092" spans="1:28">
      <c r="A1092" s="7">
        <f>MAX($A$1:$A1091)+1</f>
        <v>1091</v>
      </c>
      <c r="B1092" s="27" t="s">
        <v>269</v>
      </c>
      <c r="C1092" s="2" t="s">
        <v>409</v>
      </c>
      <c r="D1092" s="2" t="s">
        <v>36</v>
      </c>
      <c r="E1092" s="7" t="s">
        <v>392</v>
      </c>
      <c r="F1092" s="4">
        <v>48.9071</v>
      </c>
      <c r="G1092" s="18">
        <v>-125.03701700000001</v>
      </c>
      <c r="H1092" s="5" t="s">
        <v>13</v>
      </c>
      <c r="I1092" s="2">
        <v>3</v>
      </c>
      <c r="J1092" s="2">
        <v>240</v>
      </c>
      <c r="K1092" s="6">
        <v>0.43194444444444446</v>
      </c>
      <c r="L1092" s="2" t="s">
        <v>270</v>
      </c>
      <c r="M1092" s="2">
        <v>9.5</v>
      </c>
      <c r="N1092" s="2">
        <v>0</v>
      </c>
      <c r="O1092" s="2">
        <v>1</v>
      </c>
      <c r="P1092" s="2" t="s">
        <v>305</v>
      </c>
      <c r="Q1092" s="7" t="s">
        <v>89</v>
      </c>
      <c r="R1092" s="4" t="s">
        <v>306</v>
      </c>
      <c r="S1092" s="20">
        <v>1</v>
      </c>
      <c r="T1092" s="2">
        <v>0</v>
      </c>
      <c r="AA1092" s="2">
        <v>1</v>
      </c>
    </row>
    <row r="1093" spans="1:28">
      <c r="A1093" s="7">
        <f>MAX($A$1:$A1092)+1</f>
        <v>1092</v>
      </c>
      <c r="B1093" s="27" t="s">
        <v>269</v>
      </c>
      <c r="C1093" s="2" t="s">
        <v>409</v>
      </c>
      <c r="D1093" s="2" t="s">
        <v>36</v>
      </c>
      <c r="E1093" s="7" t="s">
        <v>392</v>
      </c>
      <c r="F1093" s="4">
        <v>48.9071</v>
      </c>
      <c r="G1093" s="18">
        <v>-125.03701700000001</v>
      </c>
      <c r="H1093" s="5" t="s">
        <v>13</v>
      </c>
      <c r="I1093" s="2">
        <v>3</v>
      </c>
      <c r="J1093" s="2">
        <v>240</v>
      </c>
      <c r="K1093" s="6">
        <v>0.43194444444444446</v>
      </c>
      <c r="L1093" s="2" t="s">
        <v>270</v>
      </c>
      <c r="M1093" s="2">
        <v>9.5</v>
      </c>
      <c r="N1093" s="2">
        <v>0</v>
      </c>
      <c r="O1093" s="2">
        <v>1</v>
      </c>
      <c r="P1093" s="2" t="s">
        <v>231</v>
      </c>
      <c r="Q1093" s="7" t="s">
        <v>48</v>
      </c>
      <c r="R1093" s="4" t="s">
        <v>365</v>
      </c>
      <c r="S1093" s="20">
        <v>1</v>
      </c>
      <c r="T1093" s="2">
        <v>0</v>
      </c>
      <c r="Z1093" s="2">
        <v>1</v>
      </c>
    </row>
    <row r="1094" spans="1:28">
      <c r="A1094" s="7">
        <f>MAX($A$1:$A1093)+1</f>
        <v>1093</v>
      </c>
      <c r="B1094" s="2" t="s">
        <v>278</v>
      </c>
      <c r="C1094" s="2" t="s">
        <v>171</v>
      </c>
      <c r="D1094" s="2" t="s">
        <v>37</v>
      </c>
      <c r="E1094" s="7" t="s">
        <v>404</v>
      </c>
      <c r="F1094" s="4">
        <v>48.901183000000003</v>
      </c>
      <c r="G1094" s="18">
        <v>-125.060433</v>
      </c>
      <c r="H1094" s="5" t="s">
        <v>13</v>
      </c>
      <c r="I1094" s="2">
        <v>3</v>
      </c>
      <c r="J1094" s="2">
        <v>340</v>
      </c>
      <c r="K1094" s="6">
        <v>0.55833333333333335</v>
      </c>
      <c r="L1094" s="2" t="s">
        <v>405</v>
      </c>
      <c r="M1094" s="2">
        <v>9</v>
      </c>
      <c r="N1094" s="2">
        <v>1</v>
      </c>
      <c r="O1094" s="2">
        <v>1</v>
      </c>
      <c r="P1094" s="2" t="s">
        <v>232</v>
      </c>
      <c r="Q1094" s="7" t="s">
        <v>43</v>
      </c>
      <c r="R1094" s="4" t="s">
        <v>324</v>
      </c>
      <c r="S1094" s="20">
        <v>8</v>
      </c>
      <c r="T1094" s="2">
        <v>0</v>
      </c>
      <c r="Y1094" s="2">
        <v>3</v>
      </c>
      <c r="Z1094" s="2">
        <v>2</v>
      </c>
      <c r="AA1094" s="2">
        <v>2</v>
      </c>
      <c r="AB1094" s="2">
        <v>1</v>
      </c>
    </row>
    <row r="1095" spans="1:28">
      <c r="A1095" s="7">
        <f>MAX($A$1:$A1094)+1</f>
        <v>1094</v>
      </c>
      <c r="B1095" s="2" t="s">
        <v>278</v>
      </c>
      <c r="C1095" s="2" t="s">
        <v>171</v>
      </c>
      <c r="D1095" s="2" t="s">
        <v>37</v>
      </c>
      <c r="E1095" s="7" t="s">
        <v>404</v>
      </c>
      <c r="F1095" s="4">
        <v>48.901183000000003</v>
      </c>
      <c r="G1095" s="18">
        <v>-125.060433</v>
      </c>
      <c r="H1095" s="5" t="s">
        <v>13</v>
      </c>
      <c r="I1095" s="2">
        <v>3</v>
      </c>
      <c r="J1095" s="2">
        <v>340</v>
      </c>
      <c r="K1095" s="6">
        <v>0.55833333333333335</v>
      </c>
      <c r="L1095" s="2" t="s">
        <v>405</v>
      </c>
      <c r="M1095" s="2">
        <v>9</v>
      </c>
      <c r="N1095" s="2">
        <v>1</v>
      </c>
      <c r="O1095" s="2">
        <v>1</v>
      </c>
      <c r="P1095" s="2" t="s">
        <v>234</v>
      </c>
      <c r="Q1095" s="7" t="s">
        <v>45</v>
      </c>
      <c r="R1095" s="4" t="s">
        <v>353</v>
      </c>
      <c r="S1095" s="20">
        <v>1</v>
      </c>
      <c r="T1095" s="2">
        <v>0</v>
      </c>
      <c r="AB1095" s="2">
        <v>1</v>
      </c>
    </row>
    <row r="1096" spans="1:28">
      <c r="A1096" s="7">
        <f>MAX($A$1:$A1095)+1</f>
        <v>1095</v>
      </c>
      <c r="B1096" s="2" t="s">
        <v>278</v>
      </c>
      <c r="C1096" s="2" t="s">
        <v>171</v>
      </c>
      <c r="D1096" s="2" t="s">
        <v>37</v>
      </c>
      <c r="E1096" s="7" t="s">
        <v>404</v>
      </c>
      <c r="F1096" s="4">
        <v>48.901183000000003</v>
      </c>
      <c r="G1096" s="18">
        <v>-125.060433</v>
      </c>
      <c r="H1096" s="5" t="s">
        <v>13</v>
      </c>
      <c r="I1096" s="2">
        <v>3</v>
      </c>
      <c r="J1096" s="2">
        <v>340</v>
      </c>
      <c r="K1096" s="6">
        <v>0.55833333333333335</v>
      </c>
      <c r="L1096" s="2" t="s">
        <v>405</v>
      </c>
      <c r="M1096" s="2">
        <v>9</v>
      </c>
      <c r="N1096" s="2">
        <v>2</v>
      </c>
      <c r="O1096" s="2">
        <v>1</v>
      </c>
      <c r="P1096" s="2" t="s">
        <v>241</v>
      </c>
      <c r="Q1096" s="7" t="s">
        <v>63</v>
      </c>
      <c r="R1096" s="4" t="s">
        <v>294</v>
      </c>
      <c r="S1096" s="20">
        <v>44</v>
      </c>
      <c r="T1096" s="2">
        <v>44</v>
      </c>
    </row>
    <row r="1097" spans="1:28">
      <c r="A1097" s="7">
        <f>MAX($A$1:$A1096)+1</f>
        <v>1096</v>
      </c>
      <c r="B1097" s="2" t="s">
        <v>278</v>
      </c>
      <c r="C1097" s="2" t="s">
        <v>171</v>
      </c>
      <c r="D1097" s="2" t="s">
        <v>37</v>
      </c>
      <c r="E1097" s="7" t="s">
        <v>404</v>
      </c>
      <c r="F1097" s="4">
        <v>48.901183000000003</v>
      </c>
      <c r="G1097" s="18">
        <v>-125.060433</v>
      </c>
      <c r="H1097" s="5" t="s">
        <v>13</v>
      </c>
      <c r="I1097" s="2">
        <v>3</v>
      </c>
      <c r="J1097" s="2">
        <v>340</v>
      </c>
      <c r="K1097" s="6">
        <v>0.55833333333333335</v>
      </c>
      <c r="L1097" s="2" t="s">
        <v>405</v>
      </c>
      <c r="M1097" s="2">
        <v>9</v>
      </c>
      <c r="N1097" s="2">
        <v>2</v>
      </c>
      <c r="O1097" s="2">
        <v>1</v>
      </c>
      <c r="P1097" s="2" t="s">
        <v>238</v>
      </c>
      <c r="Q1097" s="7" t="s">
        <v>69</v>
      </c>
      <c r="R1097" s="4" t="s">
        <v>313</v>
      </c>
      <c r="S1097" s="20">
        <v>33</v>
      </c>
      <c r="T1097" s="2">
        <v>33</v>
      </c>
    </row>
    <row r="1098" spans="1:28">
      <c r="A1098" s="7">
        <f>MAX($A$1:$A1097)+1</f>
        <v>1097</v>
      </c>
      <c r="B1098" s="2" t="s">
        <v>278</v>
      </c>
      <c r="C1098" s="2" t="s">
        <v>171</v>
      </c>
      <c r="D1098" s="2" t="s">
        <v>37</v>
      </c>
      <c r="E1098" s="7" t="s">
        <v>404</v>
      </c>
      <c r="F1098" s="4">
        <v>48.901183000000003</v>
      </c>
      <c r="G1098" s="18">
        <v>-125.060433</v>
      </c>
      <c r="H1098" s="5" t="s">
        <v>13</v>
      </c>
      <c r="I1098" s="2">
        <v>3</v>
      </c>
      <c r="J1098" s="2">
        <v>340</v>
      </c>
      <c r="K1098" s="6">
        <v>0.55833333333333335</v>
      </c>
      <c r="L1098" s="2" t="s">
        <v>405</v>
      </c>
      <c r="M1098" s="2">
        <v>9</v>
      </c>
      <c r="N1098" s="2">
        <v>2</v>
      </c>
      <c r="O1098" s="2">
        <v>1</v>
      </c>
      <c r="P1098" s="2" t="s">
        <v>248</v>
      </c>
      <c r="Q1098" s="7" t="s">
        <v>78</v>
      </c>
      <c r="R1098" s="4" t="s">
        <v>349</v>
      </c>
      <c r="S1098" s="20">
        <v>7</v>
      </c>
      <c r="T1098" s="2">
        <v>0</v>
      </c>
      <c r="V1098" s="2">
        <v>1</v>
      </c>
      <c r="W1098" s="2">
        <v>2</v>
      </c>
      <c r="X1098" s="2">
        <v>3</v>
      </c>
      <c r="Y1098" s="2">
        <v>1</v>
      </c>
    </row>
    <row r="1099" spans="1:28">
      <c r="A1099" s="7">
        <f>MAX($A$1:$A1098)+1</f>
        <v>1098</v>
      </c>
      <c r="B1099" s="2" t="s">
        <v>278</v>
      </c>
      <c r="C1099" s="2" t="s">
        <v>171</v>
      </c>
      <c r="D1099" s="2" t="s">
        <v>37</v>
      </c>
      <c r="E1099" s="7" t="s">
        <v>404</v>
      </c>
      <c r="F1099" s="4">
        <v>48.901183000000003</v>
      </c>
      <c r="G1099" s="18">
        <v>-125.060433</v>
      </c>
      <c r="H1099" s="5" t="s">
        <v>13</v>
      </c>
      <c r="I1099" s="2">
        <v>3</v>
      </c>
      <c r="J1099" s="2">
        <v>340</v>
      </c>
      <c r="K1099" s="6">
        <v>0.55833333333333335</v>
      </c>
      <c r="L1099" s="2" t="s">
        <v>405</v>
      </c>
      <c r="M1099" s="2">
        <v>9</v>
      </c>
      <c r="N1099" s="2">
        <v>2</v>
      </c>
      <c r="O1099" s="2">
        <v>1</v>
      </c>
      <c r="P1099" s="2" t="s">
        <v>331</v>
      </c>
      <c r="Q1099" s="7" t="s">
        <v>67</v>
      </c>
      <c r="R1099" s="4" t="s">
        <v>332</v>
      </c>
      <c r="S1099" s="20">
        <v>21</v>
      </c>
      <c r="T1099" s="2">
        <v>21</v>
      </c>
    </row>
    <row r="1100" spans="1:28">
      <c r="A1100" s="7">
        <f>MAX($A$1:$A1099)+1</f>
        <v>1099</v>
      </c>
      <c r="B1100" s="2" t="s">
        <v>278</v>
      </c>
      <c r="C1100" s="2" t="s">
        <v>171</v>
      </c>
      <c r="D1100" s="2" t="s">
        <v>37</v>
      </c>
      <c r="E1100" s="7" t="s">
        <v>404</v>
      </c>
      <c r="F1100" s="4">
        <v>48.901183000000003</v>
      </c>
      <c r="G1100" s="18">
        <v>-125.060433</v>
      </c>
      <c r="H1100" s="5" t="s">
        <v>13</v>
      </c>
      <c r="I1100" s="2">
        <v>3</v>
      </c>
      <c r="J1100" s="2">
        <v>340</v>
      </c>
      <c r="K1100" s="6">
        <v>0.55833333333333335</v>
      </c>
      <c r="L1100" s="2" t="s">
        <v>405</v>
      </c>
      <c r="M1100" s="2">
        <v>9</v>
      </c>
      <c r="N1100" s="2">
        <v>2</v>
      </c>
      <c r="O1100" s="2">
        <v>1</v>
      </c>
      <c r="P1100" s="2" t="s">
        <v>247</v>
      </c>
      <c r="Q1100" s="7" t="s">
        <v>64</v>
      </c>
      <c r="R1100" s="4" t="s">
        <v>293</v>
      </c>
      <c r="S1100" s="20">
        <v>5</v>
      </c>
      <c r="T1100" s="2">
        <v>5</v>
      </c>
    </row>
    <row r="1101" spans="1:28">
      <c r="A1101" s="7">
        <f>MAX($A$1:$A1100)+1</f>
        <v>1100</v>
      </c>
      <c r="B1101" s="2" t="s">
        <v>278</v>
      </c>
      <c r="C1101" s="2" t="s">
        <v>171</v>
      </c>
      <c r="D1101" s="2" t="s">
        <v>37</v>
      </c>
      <c r="E1101" s="7" t="s">
        <v>404</v>
      </c>
      <c r="F1101" s="4">
        <v>48.901183000000003</v>
      </c>
      <c r="G1101" s="18">
        <v>-125.060433</v>
      </c>
      <c r="H1101" s="5" t="s">
        <v>13</v>
      </c>
      <c r="I1101" s="2">
        <v>3</v>
      </c>
      <c r="J1101" s="2">
        <v>340</v>
      </c>
      <c r="K1101" s="6">
        <v>0.55833333333333335</v>
      </c>
      <c r="L1101" s="2" t="s">
        <v>405</v>
      </c>
      <c r="M1101" s="2">
        <v>9</v>
      </c>
      <c r="N1101" s="2">
        <v>2</v>
      </c>
      <c r="O1101" s="2">
        <v>1</v>
      </c>
      <c r="P1101" s="2" t="s">
        <v>271</v>
      </c>
      <c r="Q1101" s="7" t="s">
        <v>84</v>
      </c>
      <c r="R1101" s="4" t="s">
        <v>406</v>
      </c>
      <c r="S1101" s="20">
        <v>1</v>
      </c>
      <c r="T1101" s="2">
        <v>1</v>
      </c>
    </row>
    <row r="1102" spans="1:28">
      <c r="A1102" s="7">
        <f>MAX($A$1:$A1101)+1</f>
        <v>1101</v>
      </c>
      <c r="B1102" s="2" t="s">
        <v>278</v>
      </c>
      <c r="C1102" s="2" t="s">
        <v>171</v>
      </c>
      <c r="D1102" s="2" t="s">
        <v>37</v>
      </c>
      <c r="E1102" s="7" t="s">
        <v>404</v>
      </c>
      <c r="F1102" s="4">
        <v>48.901183000000003</v>
      </c>
      <c r="G1102" s="18">
        <v>-125.060433</v>
      </c>
      <c r="H1102" s="5" t="s">
        <v>13</v>
      </c>
      <c r="I1102" s="2">
        <v>3</v>
      </c>
      <c r="J1102" s="2">
        <v>340</v>
      </c>
      <c r="K1102" s="6">
        <v>0.55833333333333335</v>
      </c>
      <c r="L1102" s="2" t="s">
        <v>405</v>
      </c>
      <c r="M1102" s="2">
        <v>9</v>
      </c>
      <c r="N1102" s="2">
        <v>2</v>
      </c>
      <c r="O1102" s="2">
        <v>1</v>
      </c>
      <c r="P1102" s="2" t="s">
        <v>240</v>
      </c>
      <c r="Q1102" s="7" t="s">
        <v>74</v>
      </c>
      <c r="R1102" s="4" t="s">
        <v>337</v>
      </c>
      <c r="S1102" s="20">
        <v>1</v>
      </c>
      <c r="T1102" s="2">
        <v>1</v>
      </c>
    </row>
    <row r="1103" spans="1:28">
      <c r="A1103" s="7">
        <f>MAX($A$1:$A1102)+1</f>
        <v>1102</v>
      </c>
      <c r="B1103" s="2" t="s">
        <v>278</v>
      </c>
      <c r="C1103" s="2" t="s">
        <v>171</v>
      </c>
      <c r="D1103" s="2" t="s">
        <v>37</v>
      </c>
      <c r="E1103" s="7" t="s">
        <v>404</v>
      </c>
      <c r="F1103" s="4">
        <v>48.901183000000003</v>
      </c>
      <c r="G1103" s="18">
        <v>-125.060433</v>
      </c>
      <c r="H1103" s="5" t="s">
        <v>13</v>
      </c>
      <c r="I1103" s="2">
        <v>3</v>
      </c>
      <c r="J1103" s="2">
        <v>340</v>
      </c>
      <c r="K1103" s="6">
        <v>0.55833333333333335</v>
      </c>
      <c r="L1103" s="2" t="s">
        <v>405</v>
      </c>
      <c r="M1103" s="2">
        <v>9</v>
      </c>
      <c r="N1103" s="2">
        <v>2</v>
      </c>
      <c r="O1103" s="2">
        <v>1</v>
      </c>
      <c r="P1103" s="2" t="s">
        <v>239</v>
      </c>
      <c r="Q1103" s="7" t="s">
        <v>80</v>
      </c>
      <c r="R1103" s="4" t="s">
        <v>300</v>
      </c>
      <c r="S1103" s="20">
        <v>3</v>
      </c>
      <c r="T1103" s="2">
        <v>3</v>
      </c>
    </row>
    <row r="1104" spans="1:28">
      <c r="A1104" s="7">
        <f>MAX($A$1:$A1103)+1</f>
        <v>1103</v>
      </c>
      <c r="B1104" s="2" t="s">
        <v>278</v>
      </c>
      <c r="C1104" s="2" t="s">
        <v>171</v>
      </c>
      <c r="D1104" s="2" t="s">
        <v>37</v>
      </c>
      <c r="E1104" s="7" t="s">
        <v>404</v>
      </c>
      <c r="F1104" s="4">
        <v>48.901183000000003</v>
      </c>
      <c r="G1104" s="18">
        <v>-125.060433</v>
      </c>
      <c r="H1104" s="5" t="s">
        <v>13</v>
      </c>
      <c r="I1104" s="2">
        <v>3</v>
      </c>
      <c r="J1104" s="2">
        <v>340</v>
      </c>
      <c r="K1104" s="6">
        <v>0.55833333333333335</v>
      </c>
      <c r="L1104" s="2" t="s">
        <v>405</v>
      </c>
      <c r="M1104" s="2">
        <v>9</v>
      </c>
      <c r="N1104" s="2">
        <v>2</v>
      </c>
      <c r="O1104" s="2">
        <v>1</v>
      </c>
      <c r="P1104" s="2" t="s">
        <v>305</v>
      </c>
      <c r="Q1104" s="7" t="s">
        <v>89</v>
      </c>
      <c r="R1104" s="4" t="s">
        <v>306</v>
      </c>
      <c r="S1104" s="20">
        <v>2</v>
      </c>
      <c r="T1104" s="2">
        <v>0</v>
      </c>
      <c r="V1104" s="2">
        <v>1</v>
      </c>
      <c r="Z1104" s="2">
        <v>1</v>
      </c>
    </row>
    <row r="1105" spans="1:25">
      <c r="A1105" s="7">
        <f>MAX($A$1:$A1104)+1</f>
        <v>1104</v>
      </c>
      <c r="B1105" s="2" t="s">
        <v>278</v>
      </c>
      <c r="C1105" s="2" t="s">
        <v>171</v>
      </c>
      <c r="D1105" s="2" t="s">
        <v>37</v>
      </c>
      <c r="E1105" s="7" t="s">
        <v>404</v>
      </c>
      <c r="F1105" s="4">
        <v>48.901183000000003</v>
      </c>
      <c r="G1105" s="18">
        <v>-125.060433</v>
      </c>
      <c r="H1105" s="5" t="s">
        <v>13</v>
      </c>
      <c r="I1105" s="2">
        <v>3</v>
      </c>
      <c r="J1105" s="2">
        <v>340</v>
      </c>
      <c r="K1105" s="6">
        <v>0.55833333333333335</v>
      </c>
      <c r="L1105" s="2" t="s">
        <v>405</v>
      </c>
      <c r="M1105" s="2">
        <v>9</v>
      </c>
      <c r="N1105" s="2">
        <v>2</v>
      </c>
      <c r="O1105" s="2">
        <v>1</v>
      </c>
      <c r="P1105" s="2" t="s">
        <v>243</v>
      </c>
      <c r="Q1105" s="7" t="s">
        <v>85</v>
      </c>
      <c r="R1105" s="4" t="s">
        <v>312</v>
      </c>
      <c r="S1105" s="20">
        <v>2</v>
      </c>
      <c r="T1105" s="2">
        <v>2</v>
      </c>
    </row>
    <row r="1106" spans="1:25">
      <c r="A1106" s="7">
        <f>MAX($A$1:$A1105)+1</f>
        <v>1105</v>
      </c>
      <c r="B1106" s="2" t="s">
        <v>278</v>
      </c>
      <c r="C1106" s="2" t="s">
        <v>171</v>
      </c>
      <c r="D1106" s="2" t="s">
        <v>37</v>
      </c>
      <c r="E1106" s="7" t="s">
        <v>404</v>
      </c>
      <c r="F1106" s="4">
        <v>48.901183000000003</v>
      </c>
      <c r="G1106" s="18">
        <v>-125.060433</v>
      </c>
      <c r="H1106" s="5" t="s">
        <v>13</v>
      </c>
      <c r="I1106" s="2">
        <v>3</v>
      </c>
      <c r="J1106" s="2">
        <v>340</v>
      </c>
      <c r="K1106" s="6">
        <v>0.55833333333333335</v>
      </c>
      <c r="L1106" s="2" t="s">
        <v>405</v>
      </c>
      <c r="M1106" s="2">
        <v>9</v>
      </c>
      <c r="N1106" s="2">
        <v>2</v>
      </c>
      <c r="O1106" s="2">
        <v>1</v>
      </c>
      <c r="P1106" s="2" t="s">
        <v>301</v>
      </c>
      <c r="Q1106" s="7" t="s">
        <v>97</v>
      </c>
      <c r="R1106" s="4" t="s">
        <v>302</v>
      </c>
      <c r="S1106" s="20">
        <v>2</v>
      </c>
      <c r="T1106" s="2">
        <v>2</v>
      </c>
    </row>
    <row r="1107" spans="1:25">
      <c r="A1107" s="7">
        <f>MAX($A$1:$A1106)+1</f>
        <v>1106</v>
      </c>
      <c r="B1107" s="2" t="s">
        <v>278</v>
      </c>
      <c r="C1107" s="2" t="s">
        <v>171</v>
      </c>
      <c r="D1107" s="2" t="s">
        <v>37</v>
      </c>
      <c r="E1107" s="7" t="s">
        <v>404</v>
      </c>
      <c r="F1107" s="4">
        <v>48.901183000000003</v>
      </c>
      <c r="G1107" s="18">
        <v>-125.060433</v>
      </c>
      <c r="H1107" s="5" t="s">
        <v>13</v>
      </c>
      <c r="I1107" s="2">
        <v>3</v>
      </c>
      <c r="J1107" s="2">
        <v>340</v>
      </c>
      <c r="K1107" s="6">
        <v>0.55833333333333335</v>
      </c>
      <c r="L1107" s="2" t="s">
        <v>405</v>
      </c>
      <c r="M1107" s="2">
        <v>9</v>
      </c>
      <c r="N1107" s="2">
        <v>2</v>
      </c>
      <c r="O1107" s="2">
        <v>1</v>
      </c>
      <c r="P1107" s="2" t="s">
        <v>230</v>
      </c>
      <c r="Q1107" s="7" t="s">
        <v>42</v>
      </c>
      <c r="R1107" s="4" t="s">
        <v>321</v>
      </c>
      <c r="S1107" s="20">
        <v>28</v>
      </c>
      <c r="T1107" s="2">
        <v>0</v>
      </c>
      <c r="U1107" s="2">
        <v>2</v>
      </c>
      <c r="V1107" s="2">
        <v>15</v>
      </c>
      <c r="W1107" s="2">
        <v>10</v>
      </c>
      <c r="X1107" s="2">
        <v>1</v>
      </c>
    </row>
    <row r="1108" spans="1:25">
      <c r="A1108" s="7">
        <f>MAX($A$1:$A1107)+1</f>
        <v>1107</v>
      </c>
      <c r="B1108" s="2" t="s">
        <v>278</v>
      </c>
      <c r="C1108" s="2" t="s">
        <v>171</v>
      </c>
      <c r="D1108" s="2" t="s">
        <v>37</v>
      </c>
      <c r="E1108" s="7" t="s">
        <v>404</v>
      </c>
      <c r="F1108" s="4">
        <v>48.901183000000003</v>
      </c>
      <c r="G1108" s="18">
        <v>-125.060433</v>
      </c>
      <c r="H1108" s="5" t="s">
        <v>13</v>
      </c>
      <c r="I1108" s="2">
        <v>3</v>
      </c>
      <c r="J1108" s="2">
        <v>340</v>
      </c>
      <c r="K1108" s="6">
        <v>0.55833333333333335</v>
      </c>
      <c r="L1108" s="2" t="s">
        <v>405</v>
      </c>
      <c r="M1108" s="2">
        <v>9</v>
      </c>
      <c r="N1108" s="2">
        <v>2</v>
      </c>
      <c r="O1108" s="2">
        <v>1</v>
      </c>
      <c r="P1108" s="2" t="s">
        <v>345</v>
      </c>
      <c r="Q1108" s="7" t="s">
        <v>127</v>
      </c>
      <c r="R1108" s="4" t="s">
        <v>346</v>
      </c>
      <c r="S1108" s="20">
        <v>7</v>
      </c>
      <c r="T1108" s="2">
        <v>7</v>
      </c>
    </row>
    <row r="1109" spans="1:25">
      <c r="A1109" s="7">
        <f>MAX($A$1:$A1108)+1</f>
        <v>1108</v>
      </c>
      <c r="B1109" s="2" t="s">
        <v>278</v>
      </c>
      <c r="C1109" s="2" t="s">
        <v>171</v>
      </c>
      <c r="D1109" s="2" t="s">
        <v>37</v>
      </c>
      <c r="E1109" s="7" t="s">
        <v>404</v>
      </c>
      <c r="F1109" s="4">
        <v>48.901183000000003</v>
      </c>
      <c r="G1109" s="18">
        <v>-125.060433</v>
      </c>
      <c r="H1109" s="5" t="s">
        <v>13</v>
      </c>
      <c r="I1109" s="2">
        <v>3</v>
      </c>
      <c r="J1109" s="2">
        <v>340</v>
      </c>
      <c r="K1109" s="6">
        <v>0.55833333333333335</v>
      </c>
      <c r="L1109" s="2" t="s">
        <v>405</v>
      </c>
      <c r="M1109" s="2">
        <v>9</v>
      </c>
      <c r="N1109" s="2">
        <v>2</v>
      </c>
      <c r="O1109" s="2">
        <v>1</v>
      </c>
      <c r="P1109" s="2" t="s">
        <v>335</v>
      </c>
      <c r="Q1109" s="7" t="s">
        <v>91</v>
      </c>
      <c r="R1109" s="4" t="s">
        <v>336</v>
      </c>
      <c r="S1109" s="20">
        <v>1</v>
      </c>
      <c r="T1109" s="2">
        <v>1</v>
      </c>
    </row>
    <row r="1110" spans="1:25">
      <c r="A1110" s="7">
        <f>MAX($A$1:$A1109)+1</f>
        <v>1109</v>
      </c>
      <c r="B1110" s="2" t="s">
        <v>278</v>
      </c>
      <c r="C1110" s="2" t="s">
        <v>171</v>
      </c>
      <c r="D1110" s="2" t="s">
        <v>37</v>
      </c>
      <c r="E1110" s="7" t="s">
        <v>404</v>
      </c>
      <c r="F1110" s="4">
        <v>48.901183000000003</v>
      </c>
      <c r="G1110" s="18">
        <v>-125.060433</v>
      </c>
      <c r="H1110" s="5" t="s">
        <v>13</v>
      </c>
      <c r="I1110" s="2">
        <v>3</v>
      </c>
      <c r="J1110" s="2">
        <v>340</v>
      </c>
      <c r="K1110" s="6">
        <v>0.55833333333333335</v>
      </c>
      <c r="L1110" s="2" t="s">
        <v>405</v>
      </c>
      <c r="M1110" s="2">
        <v>9</v>
      </c>
      <c r="N1110" s="2">
        <v>2</v>
      </c>
      <c r="O1110" s="2">
        <v>1</v>
      </c>
      <c r="P1110" s="2" t="s">
        <v>333</v>
      </c>
      <c r="Q1110" s="7" t="s">
        <v>102</v>
      </c>
      <c r="R1110" s="4" t="s">
        <v>334</v>
      </c>
      <c r="S1110" s="20">
        <v>1</v>
      </c>
      <c r="T1110" s="2">
        <v>1</v>
      </c>
    </row>
    <row r="1111" spans="1:25">
      <c r="A1111" s="7">
        <f>MAX($A$1:$A1110)+1</f>
        <v>1110</v>
      </c>
      <c r="B1111" s="2" t="s">
        <v>278</v>
      </c>
      <c r="C1111" s="2" t="s">
        <v>171</v>
      </c>
      <c r="D1111" s="2" t="s">
        <v>37</v>
      </c>
      <c r="E1111" s="7" t="s">
        <v>404</v>
      </c>
      <c r="F1111" s="4">
        <v>48.901183000000003</v>
      </c>
      <c r="G1111" s="18">
        <v>-125.060433</v>
      </c>
      <c r="H1111" s="5" t="s">
        <v>13</v>
      </c>
      <c r="I1111" s="2">
        <v>3</v>
      </c>
      <c r="J1111" s="2">
        <v>340</v>
      </c>
      <c r="K1111" s="6">
        <v>0.55833333333333335</v>
      </c>
      <c r="L1111" s="2" t="s">
        <v>405</v>
      </c>
      <c r="M1111" s="2">
        <v>9</v>
      </c>
      <c r="N1111" s="2">
        <v>2</v>
      </c>
      <c r="O1111" s="2">
        <v>1</v>
      </c>
      <c r="P1111" s="2" t="s">
        <v>340</v>
      </c>
      <c r="Q1111" s="7" t="s">
        <v>114</v>
      </c>
      <c r="R1111" s="4" t="s">
        <v>341</v>
      </c>
      <c r="S1111" s="20">
        <v>1</v>
      </c>
      <c r="T1111" s="2">
        <v>1</v>
      </c>
    </row>
    <row r="1112" spans="1:25">
      <c r="A1112" s="7">
        <f>MAX($A$1:$A1111)+1</f>
        <v>1111</v>
      </c>
      <c r="B1112" s="2" t="s">
        <v>278</v>
      </c>
      <c r="C1112" s="2" t="s">
        <v>171</v>
      </c>
      <c r="D1112" s="2" t="s">
        <v>37</v>
      </c>
      <c r="E1112" s="7" t="s">
        <v>404</v>
      </c>
      <c r="F1112" s="4">
        <v>48.901183000000003</v>
      </c>
      <c r="G1112" s="18">
        <v>-125.060433</v>
      </c>
      <c r="H1112" s="5" t="s">
        <v>13</v>
      </c>
      <c r="I1112" s="2">
        <v>3</v>
      </c>
      <c r="J1112" s="2">
        <v>340</v>
      </c>
      <c r="K1112" s="6">
        <v>0.55833333333333335</v>
      </c>
      <c r="L1112" s="2" t="s">
        <v>405</v>
      </c>
      <c r="M1112" s="2">
        <v>9</v>
      </c>
      <c r="N1112" s="2">
        <v>2</v>
      </c>
      <c r="O1112" s="2">
        <v>1</v>
      </c>
      <c r="P1112" s="2" t="s">
        <v>395</v>
      </c>
      <c r="Q1112" s="7" t="s">
        <v>81</v>
      </c>
      <c r="R1112" s="4" t="s">
        <v>396</v>
      </c>
      <c r="S1112" s="20">
        <v>2</v>
      </c>
      <c r="T1112" s="2">
        <v>2</v>
      </c>
    </row>
    <row r="1113" spans="1:25">
      <c r="A1113" s="7">
        <f>MAX($A$1:$A1112)+1</f>
        <v>1112</v>
      </c>
      <c r="B1113" s="2" t="s">
        <v>278</v>
      </c>
      <c r="C1113" s="2" t="s">
        <v>171</v>
      </c>
      <c r="D1113" s="2" t="s">
        <v>37</v>
      </c>
      <c r="E1113" s="7" t="s">
        <v>404</v>
      </c>
      <c r="F1113" s="4">
        <v>48.901183000000003</v>
      </c>
      <c r="G1113" s="18">
        <v>-125.060433</v>
      </c>
      <c r="H1113" s="5" t="s">
        <v>13</v>
      </c>
      <c r="I1113" s="2">
        <v>3</v>
      </c>
      <c r="J1113" s="2">
        <v>340</v>
      </c>
      <c r="K1113" s="6">
        <v>0.55833333333333335</v>
      </c>
      <c r="L1113" s="2" t="s">
        <v>405</v>
      </c>
      <c r="M1113" s="2">
        <v>9</v>
      </c>
      <c r="N1113" s="2">
        <v>2</v>
      </c>
      <c r="O1113" s="2">
        <v>1</v>
      </c>
      <c r="P1113" s="2" t="s">
        <v>310</v>
      </c>
      <c r="Q1113" s="7" t="s">
        <v>98</v>
      </c>
      <c r="R1113" s="4" t="s">
        <v>311</v>
      </c>
      <c r="S1113" s="20">
        <v>1</v>
      </c>
      <c r="T1113" s="2">
        <v>1</v>
      </c>
    </row>
    <row r="1114" spans="1:25">
      <c r="A1114" s="7">
        <f>MAX($A$1:$A1113)+1</f>
        <v>1113</v>
      </c>
      <c r="B1114" s="2" t="s">
        <v>278</v>
      </c>
      <c r="C1114" s="2" t="s">
        <v>171</v>
      </c>
      <c r="D1114" s="2" t="s">
        <v>37</v>
      </c>
      <c r="E1114" s="7" t="s">
        <v>404</v>
      </c>
      <c r="F1114" s="4">
        <v>48.901183000000003</v>
      </c>
      <c r="G1114" s="18">
        <v>-125.060433</v>
      </c>
      <c r="H1114" s="5" t="s">
        <v>13</v>
      </c>
      <c r="I1114" s="2">
        <v>3</v>
      </c>
      <c r="J1114" s="2">
        <v>340</v>
      </c>
      <c r="K1114" s="6">
        <v>0.55833333333333335</v>
      </c>
      <c r="L1114" s="2" t="s">
        <v>405</v>
      </c>
      <c r="M1114" s="2">
        <v>9</v>
      </c>
      <c r="N1114" s="2">
        <v>2</v>
      </c>
      <c r="O1114" s="2">
        <v>1</v>
      </c>
      <c r="P1114" s="2" t="s">
        <v>251</v>
      </c>
      <c r="Q1114" s="7" t="s">
        <v>73</v>
      </c>
      <c r="R1114" s="4" t="s">
        <v>325</v>
      </c>
      <c r="S1114" s="20">
        <v>1</v>
      </c>
      <c r="T1114" s="2">
        <v>1</v>
      </c>
    </row>
    <row r="1115" spans="1:25">
      <c r="A1115" s="7">
        <f>MAX($A$1:$A1114)+1</f>
        <v>1114</v>
      </c>
      <c r="B1115" s="2" t="s">
        <v>278</v>
      </c>
      <c r="C1115" s="2" t="s">
        <v>171</v>
      </c>
      <c r="D1115" s="2" t="s">
        <v>37</v>
      </c>
      <c r="E1115" s="7" t="s">
        <v>404</v>
      </c>
      <c r="F1115" s="4">
        <v>48.901183000000003</v>
      </c>
      <c r="G1115" s="18">
        <v>-125.060433</v>
      </c>
      <c r="H1115" s="5" t="s">
        <v>13</v>
      </c>
      <c r="I1115" s="2">
        <v>3</v>
      </c>
      <c r="J1115" s="2">
        <v>340</v>
      </c>
      <c r="K1115" s="6">
        <v>0.55833333333333335</v>
      </c>
      <c r="L1115" s="2" t="s">
        <v>405</v>
      </c>
      <c r="M1115" s="2">
        <v>9</v>
      </c>
      <c r="N1115" s="2">
        <v>2</v>
      </c>
      <c r="O1115" s="2">
        <v>1</v>
      </c>
      <c r="P1115" s="2" t="s">
        <v>244</v>
      </c>
      <c r="Q1115" s="7" t="s">
        <v>65</v>
      </c>
      <c r="R1115" s="4" t="s">
        <v>307</v>
      </c>
      <c r="S1115" s="20">
        <v>2</v>
      </c>
      <c r="T1115" s="2">
        <v>2</v>
      </c>
    </row>
    <row r="1116" spans="1:25">
      <c r="A1116" s="7">
        <f>MAX($A$1:$A1115)+1</f>
        <v>1115</v>
      </c>
      <c r="B1116" s="2" t="s">
        <v>278</v>
      </c>
      <c r="C1116" s="2" t="s">
        <v>171</v>
      </c>
      <c r="D1116" s="2" t="s">
        <v>37</v>
      </c>
      <c r="E1116" s="7" t="s">
        <v>404</v>
      </c>
      <c r="F1116" s="4">
        <v>48.901183000000003</v>
      </c>
      <c r="G1116" s="18">
        <v>-125.060433</v>
      </c>
      <c r="H1116" s="5" t="s">
        <v>13</v>
      </c>
      <c r="I1116" s="2">
        <v>3</v>
      </c>
      <c r="J1116" s="2">
        <v>340</v>
      </c>
      <c r="K1116" s="6">
        <v>0.55833333333333335</v>
      </c>
      <c r="L1116" s="2" t="s">
        <v>405</v>
      </c>
      <c r="M1116" s="2">
        <v>9</v>
      </c>
      <c r="N1116" s="2">
        <v>2</v>
      </c>
      <c r="O1116" s="2">
        <v>1</v>
      </c>
      <c r="P1116" s="2" t="s">
        <v>316</v>
      </c>
      <c r="Q1116" s="7" t="s">
        <v>123</v>
      </c>
      <c r="R1116" s="4" t="s">
        <v>317</v>
      </c>
      <c r="S1116" s="20">
        <v>2</v>
      </c>
      <c r="T1116" s="2">
        <v>2</v>
      </c>
    </row>
    <row r="1117" spans="1:25">
      <c r="A1117" s="7">
        <f>MAX($A$1:$A1116)+1</f>
        <v>1116</v>
      </c>
      <c r="B1117" s="2" t="s">
        <v>278</v>
      </c>
      <c r="C1117" s="2" t="s">
        <v>171</v>
      </c>
      <c r="D1117" s="2" t="s">
        <v>37</v>
      </c>
      <c r="E1117" s="7" t="s">
        <v>404</v>
      </c>
      <c r="F1117" s="4">
        <v>48.901183000000003</v>
      </c>
      <c r="G1117" s="18">
        <v>-125.060433</v>
      </c>
      <c r="H1117" s="5" t="s">
        <v>13</v>
      </c>
      <c r="I1117" s="2">
        <v>3</v>
      </c>
      <c r="J1117" s="2">
        <v>340</v>
      </c>
      <c r="K1117" s="6">
        <v>0.55833333333333335</v>
      </c>
      <c r="L1117" s="2" t="s">
        <v>405</v>
      </c>
      <c r="M1117" s="2">
        <v>9</v>
      </c>
      <c r="N1117" s="2">
        <v>2</v>
      </c>
      <c r="O1117" s="2">
        <v>1</v>
      </c>
      <c r="P1117" s="2" t="s">
        <v>298</v>
      </c>
      <c r="Q1117" s="7" t="s">
        <v>99</v>
      </c>
      <c r="R1117" s="4" t="s">
        <v>299</v>
      </c>
      <c r="S1117" s="20">
        <v>5</v>
      </c>
      <c r="T1117" s="2">
        <v>5</v>
      </c>
    </row>
    <row r="1118" spans="1:25">
      <c r="A1118" s="7">
        <f>MAX($A$1:$A1117)+1</f>
        <v>1117</v>
      </c>
      <c r="B1118" s="2" t="s">
        <v>278</v>
      </c>
      <c r="C1118" s="2" t="s">
        <v>171</v>
      </c>
      <c r="D1118" s="2" t="s">
        <v>37</v>
      </c>
      <c r="E1118" s="7" t="s">
        <v>404</v>
      </c>
      <c r="F1118" s="4">
        <v>48.901183000000003</v>
      </c>
      <c r="G1118" s="18">
        <v>-125.060433</v>
      </c>
      <c r="H1118" s="5" t="s">
        <v>13</v>
      </c>
      <c r="I1118" s="2">
        <v>3</v>
      </c>
      <c r="J1118" s="2">
        <v>340</v>
      </c>
      <c r="K1118" s="6">
        <v>0.55833333333333335</v>
      </c>
      <c r="L1118" s="2" t="s">
        <v>405</v>
      </c>
      <c r="M1118" s="2">
        <v>9</v>
      </c>
      <c r="N1118" s="2">
        <v>2</v>
      </c>
      <c r="O1118" s="2">
        <v>1</v>
      </c>
      <c r="P1118" s="2" t="s">
        <v>250</v>
      </c>
      <c r="Q1118" s="7" t="s">
        <v>46</v>
      </c>
      <c r="R1118" s="4" t="s">
        <v>295</v>
      </c>
      <c r="S1118" s="20">
        <v>2</v>
      </c>
      <c r="U1118" s="2">
        <v>1</v>
      </c>
      <c r="V1118" s="2">
        <v>1</v>
      </c>
    </row>
    <row r="1119" spans="1:25">
      <c r="A1119" s="7">
        <f>MAX($A$1:$A1118)+1</f>
        <v>1118</v>
      </c>
      <c r="B1119" s="2" t="s">
        <v>278</v>
      </c>
      <c r="C1119" s="2" t="s">
        <v>171</v>
      </c>
      <c r="D1119" s="2" t="s">
        <v>37</v>
      </c>
      <c r="E1119" s="7" t="s">
        <v>404</v>
      </c>
      <c r="F1119" s="4">
        <v>48.901183000000003</v>
      </c>
      <c r="G1119" s="18">
        <v>-125.060433</v>
      </c>
      <c r="H1119" s="5" t="s">
        <v>13</v>
      </c>
      <c r="I1119" s="2">
        <v>3</v>
      </c>
      <c r="J1119" s="2">
        <v>340</v>
      </c>
      <c r="K1119" s="6">
        <v>0.55833333333333335</v>
      </c>
      <c r="L1119" s="2" t="s">
        <v>405</v>
      </c>
      <c r="M1119" s="2">
        <v>9</v>
      </c>
      <c r="N1119" s="2">
        <v>0</v>
      </c>
      <c r="O1119" s="2">
        <v>1</v>
      </c>
      <c r="P1119" s="2" t="s">
        <v>232</v>
      </c>
      <c r="Q1119" s="7" t="s">
        <v>43</v>
      </c>
      <c r="R1119" s="4" t="s">
        <v>324</v>
      </c>
      <c r="S1119" s="20">
        <v>2</v>
      </c>
      <c r="T1119" s="2">
        <v>0</v>
      </c>
      <c r="W1119" s="2">
        <v>1</v>
      </c>
      <c r="Y1119" s="2">
        <v>1</v>
      </c>
    </row>
    <row r="1120" spans="1:25">
      <c r="A1120" s="7">
        <f>MAX($A$1:$A1119)+1</f>
        <v>1119</v>
      </c>
      <c r="B1120" s="2" t="s">
        <v>278</v>
      </c>
      <c r="C1120" s="2" t="s">
        <v>171</v>
      </c>
      <c r="D1120" s="27" t="s">
        <v>37</v>
      </c>
      <c r="E1120" s="7" t="s">
        <v>404</v>
      </c>
      <c r="F1120" s="4">
        <v>48.901183000000003</v>
      </c>
      <c r="G1120" s="18">
        <v>-125.060433</v>
      </c>
      <c r="H1120" s="5" t="s">
        <v>13</v>
      </c>
      <c r="I1120" s="2">
        <v>3</v>
      </c>
      <c r="J1120" s="2">
        <v>340</v>
      </c>
      <c r="K1120" s="6">
        <v>0.55833333333333335</v>
      </c>
      <c r="L1120" s="2" t="s">
        <v>405</v>
      </c>
      <c r="M1120" s="2">
        <v>9</v>
      </c>
      <c r="N1120" s="2">
        <v>2</v>
      </c>
      <c r="O1120" s="2">
        <v>1</v>
      </c>
      <c r="P1120" s="2" t="s">
        <v>373</v>
      </c>
      <c r="Q1120" s="7" t="s">
        <v>131</v>
      </c>
      <c r="R1120" s="4" t="s">
        <v>374</v>
      </c>
      <c r="S1120" s="20">
        <v>1</v>
      </c>
      <c r="T1120" s="2">
        <v>1</v>
      </c>
    </row>
    <row r="1121" spans="1:31">
      <c r="A1121" s="7">
        <f>MAX($A$1:$A1120)+1</f>
        <v>1120</v>
      </c>
      <c r="B1121" s="2" t="s">
        <v>278</v>
      </c>
      <c r="C1121" s="2" t="s">
        <v>171</v>
      </c>
      <c r="D1121" s="27" t="s">
        <v>37</v>
      </c>
      <c r="E1121" s="7" t="s">
        <v>404</v>
      </c>
      <c r="F1121" s="4">
        <v>48.901183000000003</v>
      </c>
      <c r="G1121" s="18">
        <v>-125.060433</v>
      </c>
      <c r="H1121" s="5" t="s">
        <v>13</v>
      </c>
      <c r="I1121" s="2">
        <v>3</v>
      </c>
      <c r="J1121" s="2">
        <v>340</v>
      </c>
      <c r="K1121" s="6">
        <v>0.55833333333333335</v>
      </c>
      <c r="L1121" s="2" t="s">
        <v>405</v>
      </c>
      <c r="M1121" s="2">
        <v>9</v>
      </c>
      <c r="N1121" s="2">
        <v>2</v>
      </c>
      <c r="O1121" s="2">
        <v>1</v>
      </c>
      <c r="P1121" s="2" t="s">
        <v>407</v>
      </c>
      <c r="Q1121" s="7" t="s">
        <v>137</v>
      </c>
      <c r="R1121" s="4" t="s">
        <v>408</v>
      </c>
      <c r="S1121" s="20">
        <v>1</v>
      </c>
      <c r="T1121" s="2">
        <v>1</v>
      </c>
    </row>
    <row r="1122" spans="1:31">
      <c r="A1122" s="7">
        <f>MAX($A$1:$A1121)+1</f>
        <v>1121</v>
      </c>
      <c r="B1122" s="2" t="s">
        <v>409</v>
      </c>
      <c r="C1122" s="2" t="s">
        <v>269</v>
      </c>
      <c r="D1122" s="27" t="s">
        <v>37</v>
      </c>
      <c r="E1122" s="7" t="s">
        <v>404</v>
      </c>
      <c r="F1122" s="4">
        <v>48.901183000000003</v>
      </c>
      <c r="G1122" s="18">
        <v>-125.060433</v>
      </c>
      <c r="H1122" s="28" t="s">
        <v>13</v>
      </c>
      <c r="I1122" s="2">
        <v>3</v>
      </c>
      <c r="J1122" s="2">
        <v>320</v>
      </c>
      <c r="K1122" s="6">
        <v>0.55833333333333335</v>
      </c>
      <c r="L1122" s="2" t="s">
        <v>270</v>
      </c>
      <c r="M1122" s="2">
        <v>7</v>
      </c>
      <c r="N1122" s="2">
        <v>1</v>
      </c>
      <c r="O1122" s="2">
        <v>1</v>
      </c>
      <c r="P1122" s="2" t="s">
        <v>230</v>
      </c>
      <c r="Q1122" s="7" t="s">
        <v>42</v>
      </c>
      <c r="R1122" s="4" t="s">
        <v>321</v>
      </c>
      <c r="S1122" s="20">
        <v>17</v>
      </c>
      <c r="T1122" s="2">
        <v>0</v>
      </c>
      <c r="V1122" s="2">
        <v>6</v>
      </c>
      <c r="W1122" s="2">
        <v>9</v>
      </c>
      <c r="X1122" s="2">
        <v>2</v>
      </c>
    </row>
    <row r="1123" spans="1:31">
      <c r="A1123" s="7">
        <f>MAX($A$1:$A1122)+1</f>
        <v>1122</v>
      </c>
      <c r="B1123" s="2" t="s">
        <v>409</v>
      </c>
      <c r="C1123" s="2" t="s">
        <v>269</v>
      </c>
      <c r="D1123" s="2" t="s">
        <v>37</v>
      </c>
      <c r="E1123" s="7" t="s">
        <v>404</v>
      </c>
      <c r="F1123" s="4">
        <v>48.901183000000003</v>
      </c>
      <c r="G1123" s="18">
        <v>-125.060433</v>
      </c>
      <c r="H1123" s="28" t="s">
        <v>13</v>
      </c>
      <c r="I1123" s="2">
        <v>3</v>
      </c>
      <c r="J1123" s="2">
        <v>320</v>
      </c>
      <c r="K1123" s="6">
        <v>0.55833333333333335</v>
      </c>
      <c r="L1123" s="2" t="s">
        <v>270</v>
      </c>
      <c r="M1123" s="2">
        <v>7</v>
      </c>
      <c r="N1123" s="2">
        <v>1</v>
      </c>
      <c r="O1123" s="2">
        <v>1</v>
      </c>
      <c r="P1123" s="2" t="s">
        <v>232</v>
      </c>
      <c r="Q1123" s="7" t="s">
        <v>43</v>
      </c>
      <c r="R1123" s="4" t="s">
        <v>324</v>
      </c>
      <c r="S1123" s="20">
        <v>8</v>
      </c>
      <c r="T1123" s="2">
        <v>0</v>
      </c>
      <c r="Z1123" s="2">
        <v>1</v>
      </c>
      <c r="AA1123" s="2">
        <v>1</v>
      </c>
      <c r="AB1123" s="2">
        <v>4</v>
      </c>
      <c r="AC1123" s="2">
        <v>2</v>
      </c>
    </row>
    <row r="1124" spans="1:31">
      <c r="A1124" s="7">
        <f>MAX($A$1:$A1123)+1</f>
        <v>1123</v>
      </c>
      <c r="B1124" s="2" t="s">
        <v>409</v>
      </c>
      <c r="C1124" s="2" t="s">
        <v>269</v>
      </c>
      <c r="D1124" s="2" t="s">
        <v>37</v>
      </c>
      <c r="E1124" s="7" t="s">
        <v>404</v>
      </c>
      <c r="F1124" s="4">
        <v>48.901183000000003</v>
      </c>
      <c r="G1124" s="18">
        <v>-125.060433</v>
      </c>
      <c r="H1124" s="28" t="s">
        <v>13</v>
      </c>
      <c r="I1124" s="2">
        <v>3</v>
      </c>
      <c r="J1124" s="2">
        <v>320</v>
      </c>
      <c r="K1124" s="6">
        <v>0.55833333333333335</v>
      </c>
      <c r="L1124" s="2" t="s">
        <v>270</v>
      </c>
      <c r="M1124" s="2">
        <v>7</v>
      </c>
      <c r="N1124" s="2">
        <v>0</v>
      </c>
      <c r="O1124" s="2">
        <v>1</v>
      </c>
      <c r="P1124" s="2" t="s">
        <v>237</v>
      </c>
      <c r="Q1124" s="7" t="s">
        <v>51</v>
      </c>
      <c r="R1124" s="4" t="s">
        <v>368</v>
      </c>
      <c r="S1124" s="20">
        <v>1</v>
      </c>
      <c r="T1124" s="2">
        <v>0</v>
      </c>
      <c r="AE1124" s="2">
        <v>1</v>
      </c>
    </row>
    <row r="1125" spans="1:31">
      <c r="A1125" s="7">
        <f>MAX($A$1:$A1124)+1</f>
        <v>1124</v>
      </c>
      <c r="B1125" s="2" t="s">
        <v>409</v>
      </c>
      <c r="C1125" s="2" t="s">
        <v>269</v>
      </c>
      <c r="D1125" s="2" t="s">
        <v>37</v>
      </c>
      <c r="E1125" s="7" t="s">
        <v>404</v>
      </c>
      <c r="F1125" s="4">
        <v>48.901183000000003</v>
      </c>
      <c r="G1125" s="18">
        <v>-125.060433</v>
      </c>
      <c r="H1125" s="28" t="s">
        <v>13</v>
      </c>
      <c r="I1125" s="2">
        <v>3</v>
      </c>
      <c r="J1125" s="2">
        <v>320</v>
      </c>
      <c r="K1125" s="6">
        <v>0.55833333333333335</v>
      </c>
      <c r="L1125" s="2" t="s">
        <v>270</v>
      </c>
      <c r="M1125" s="2">
        <v>7</v>
      </c>
      <c r="N1125" s="2">
        <v>2</v>
      </c>
      <c r="O1125" s="2">
        <v>1</v>
      </c>
      <c r="P1125" s="2" t="s">
        <v>241</v>
      </c>
      <c r="Q1125" s="7" t="s">
        <v>63</v>
      </c>
      <c r="R1125" s="4" t="s">
        <v>294</v>
      </c>
      <c r="S1125" s="20">
        <v>143</v>
      </c>
      <c r="T1125" s="2">
        <v>143</v>
      </c>
    </row>
    <row r="1126" spans="1:31">
      <c r="A1126" s="7">
        <f>MAX($A$1:$A1125)+1</f>
        <v>1125</v>
      </c>
      <c r="B1126" s="2" t="s">
        <v>409</v>
      </c>
      <c r="C1126" s="2" t="s">
        <v>269</v>
      </c>
      <c r="D1126" s="2" t="s">
        <v>37</v>
      </c>
      <c r="E1126" s="7" t="s">
        <v>404</v>
      </c>
      <c r="F1126" s="4">
        <v>48.901183000000003</v>
      </c>
      <c r="G1126" s="18">
        <v>-125.060433</v>
      </c>
      <c r="H1126" s="28" t="s">
        <v>13</v>
      </c>
      <c r="I1126" s="2">
        <v>3</v>
      </c>
      <c r="J1126" s="2">
        <v>320</v>
      </c>
      <c r="K1126" s="6">
        <v>0.55833333333333335</v>
      </c>
      <c r="L1126" s="2" t="s">
        <v>270</v>
      </c>
      <c r="M1126" s="2">
        <v>7</v>
      </c>
      <c r="N1126" s="2">
        <v>2</v>
      </c>
      <c r="O1126" s="2">
        <v>1</v>
      </c>
      <c r="P1126" s="2" t="s">
        <v>419</v>
      </c>
      <c r="Q1126" s="7" t="s">
        <v>139</v>
      </c>
      <c r="R1126" s="4" t="s">
        <v>420</v>
      </c>
      <c r="S1126" s="20">
        <v>5</v>
      </c>
      <c r="T1126" s="2">
        <v>5</v>
      </c>
    </row>
    <row r="1127" spans="1:31">
      <c r="A1127" s="7">
        <f>MAX($A$1:$A1126)+1</f>
        <v>1126</v>
      </c>
      <c r="B1127" s="2" t="s">
        <v>409</v>
      </c>
      <c r="C1127" s="2" t="s">
        <v>269</v>
      </c>
      <c r="D1127" s="2" t="s">
        <v>37</v>
      </c>
      <c r="E1127" s="7" t="s">
        <v>404</v>
      </c>
      <c r="F1127" s="4">
        <v>48.901183000000003</v>
      </c>
      <c r="G1127" s="18">
        <v>-125.060433</v>
      </c>
      <c r="H1127" s="28" t="s">
        <v>13</v>
      </c>
      <c r="I1127" s="2">
        <v>3</v>
      </c>
      <c r="J1127" s="2">
        <v>320</v>
      </c>
      <c r="K1127" s="6">
        <v>0.55833333333333335</v>
      </c>
      <c r="L1127" s="2" t="s">
        <v>270</v>
      </c>
      <c r="M1127" s="2">
        <v>7</v>
      </c>
      <c r="N1127" s="2">
        <v>2</v>
      </c>
      <c r="O1127" s="2">
        <v>1</v>
      </c>
      <c r="P1127" s="2" t="s">
        <v>331</v>
      </c>
      <c r="Q1127" s="7" t="s">
        <v>67</v>
      </c>
      <c r="R1127" s="4" t="s">
        <v>332</v>
      </c>
      <c r="S1127" s="20">
        <v>25</v>
      </c>
      <c r="T1127" s="2">
        <v>25</v>
      </c>
    </row>
    <row r="1128" spans="1:31">
      <c r="A1128" s="7">
        <f>MAX($A$1:$A1127)+1</f>
        <v>1127</v>
      </c>
      <c r="B1128" s="2" t="s">
        <v>409</v>
      </c>
      <c r="C1128" s="2" t="s">
        <v>269</v>
      </c>
      <c r="D1128" s="2" t="s">
        <v>37</v>
      </c>
      <c r="E1128" s="7" t="s">
        <v>404</v>
      </c>
      <c r="F1128" s="4">
        <v>48.901183000000003</v>
      </c>
      <c r="G1128" s="18">
        <v>-125.060433</v>
      </c>
      <c r="H1128" s="28" t="s">
        <v>13</v>
      </c>
      <c r="I1128" s="2">
        <v>3</v>
      </c>
      <c r="J1128" s="2">
        <v>320</v>
      </c>
      <c r="K1128" s="6">
        <v>0.55833333333333335</v>
      </c>
      <c r="L1128" s="2" t="s">
        <v>270</v>
      </c>
      <c r="M1128" s="2">
        <v>7</v>
      </c>
      <c r="N1128" s="2">
        <v>2</v>
      </c>
      <c r="O1128" s="2">
        <v>1</v>
      </c>
      <c r="P1128" s="2" t="s">
        <v>298</v>
      </c>
      <c r="Q1128" s="7" t="s">
        <v>99</v>
      </c>
      <c r="R1128" s="4" t="s">
        <v>299</v>
      </c>
      <c r="S1128" s="20">
        <v>9</v>
      </c>
      <c r="T1128" s="2">
        <v>9</v>
      </c>
    </row>
    <row r="1129" spans="1:31">
      <c r="A1129" s="7">
        <f>MAX($A$1:$A1128)+1</f>
        <v>1128</v>
      </c>
      <c r="B1129" s="2" t="s">
        <v>409</v>
      </c>
      <c r="C1129" s="2" t="s">
        <v>269</v>
      </c>
      <c r="D1129" s="2" t="s">
        <v>37</v>
      </c>
      <c r="E1129" s="7" t="s">
        <v>404</v>
      </c>
      <c r="F1129" s="4">
        <v>48.901183000000003</v>
      </c>
      <c r="G1129" s="18">
        <v>-125.060433</v>
      </c>
      <c r="H1129" s="28" t="s">
        <v>13</v>
      </c>
      <c r="I1129" s="2">
        <v>3</v>
      </c>
      <c r="J1129" s="2">
        <v>320</v>
      </c>
      <c r="K1129" s="6">
        <v>0.55833333333333335</v>
      </c>
      <c r="L1129" s="2" t="s">
        <v>270</v>
      </c>
      <c r="M1129" s="2">
        <v>7</v>
      </c>
      <c r="N1129" s="2">
        <v>2</v>
      </c>
      <c r="O1129" s="2">
        <v>1</v>
      </c>
      <c r="P1129" s="2" t="s">
        <v>250</v>
      </c>
      <c r="Q1129" s="7" t="s">
        <v>46</v>
      </c>
      <c r="R1129" s="4" t="s">
        <v>295</v>
      </c>
      <c r="S1129" s="20">
        <v>7</v>
      </c>
      <c r="T1129" s="2">
        <v>7</v>
      </c>
    </row>
    <row r="1130" spans="1:31">
      <c r="A1130" s="7">
        <f>MAX($A$1:$A1129)+1</f>
        <v>1129</v>
      </c>
      <c r="B1130" s="2" t="s">
        <v>409</v>
      </c>
      <c r="C1130" s="2" t="s">
        <v>269</v>
      </c>
      <c r="D1130" s="2" t="s">
        <v>37</v>
      </c>
      <c r="E1130" s="7" t="s">
        <v>404</v>
      </c>
      <c r="F1130" s="4">
        <v>48.901183000000003</v>
      </c>
      <c r="G1130" s="18">
        <v>-125.060433</v>
      </c>
      <c r="H1130" s="28" t="s">
        <v>13</v>
      </c>
      <c r="I1130" s="2">
        <v>3</v>
      </c>
      <c r="J1130" s="2">
        <v>320</v>
      </c>
      <c r="K1130" s="6">
        <v>0.55833333333333335</v>
      </c>
      <c r="L1130" s="2" t="s">
        <v>270</v>
      </c>
      <c r="M1130" s="2">
        <v>7</v>
      </c>
      <c r="N1130" s="2">
        <v>2</v>
      </c>
      <c r="O1130" s="2">
        <v>1</v>
      </c>
      <c r="P1130" s="2" t="s">
        <v>305</v>
      </c>
      <c r="Q1130" s="7" t="s">
        <v>89</v>
      </c>
      <c r="R1130" s="4" t="s">
        <v>306</v>
      </c>
      <c r="S1130" s="20">
        <v>1</v>
      </c>
      <c r="T1130" s="2">
        <v>0</v>
      </c>
      <c r="X1130" s="2">
        <v>1</v>
      </c>
    </row>
    <row r="1131" spans="1:31">
      <c r="A1131" s="7">
        <f>MAX($A$1:$A1130)+1</f>
        <v>1130</v>
      </c>
      <c r="B1131" s="2" t="s">
        <v>409</v>
      </c>
      <c r="C1131" s="2" t="s">
        <v>269</v>
      </c>
      <c r="D1131" s="2" t="s">
        <v>37</v>
      </c>
      <c r="E1131" s="7" t="s">
        <v>404</v>
      </c>
      <c r="F1131" s="4">
        <v>48.901183000000003</v>
      </c>
      <c r="G1131" s="18">
        <v>-125.060433</v>
      </c>
      <c r="H1131" s="28" t="s">
        <v>13</v>
      </c>
      <c r="I1131" s="2">
        <v>3</v>
      </c>
      <c r="J1131" s="2">
        <v>320</v>
      </c>
      <c r="K1131" s="6">
        <v>0.55833333333333335</v>
      </c>
      <c r="L1131" s="2" t="s">
        <v>270</v>
      </c>
      <c r="M1131" s="2">
        <v>7</v>
      </c>
      <c r="N1131" s="2">
        <v>2</v>
      </c>
      <c r="O1131" s="2">
        <v>1</v>
      </c>
      <c r="P1131" s="2" t="s">
        <v>296</v>
      </c>
      <c r="Q1131" s="7" t="s">
        <v>75</v>
      </c>
      <c r="R1131" s="4" t="s">
        <v>297</v>
      </c>
      <c r="S1131" s="20">
        <v>7</v>
      </c>
      <c r="T1131" s="2">
        <v>7</v>
      </c>
    </row>
    <row r="1132" spans="1:31">
      <c r="A1132" s="7">
        <f>MAX($A$1:$A1131)+1</f>
        <v>1131</v>
      </c>
      <c r="B1132" s="2" t="s">
        <v>409</v>
      </c>
      <c r="C1132" s="2" t="s">
        <v>269</v>
      </c>
      <c r="D1132" s="2" t="s">
        <v>37</v>
      </c>
      <c r="E1132" s="7" t="s">
        <v>404</v>
      </c>
      <c r="F1132" s="4">
        <v>48.901183000000003</v>
      </c>
      <c r="G1132" s="18">
        <v>-125.060433</v>
      </c>
      <c r="H1132" s="28" t="s">
        <v>13</v>
      </c>
      <c r="I1132" s="2">
        <v>3</v>
      </c>
      <c r="J1132" s="2">
        <v>320</v>
      </c>
      <c r="K1132" s="6">
        <v>0.55833333333333335</v>
      </c>
      <c r="L1132" s="2" t="s">
        <v>270</v>
      </c>
      <c r="M1132" s="2">
        <v>7</v>
      </c>
      <c r="N1132" s="2">
        <v>2</v>
      </c>
      <c r="O1132" s="2">
        <v>1</v>
      </c>
      <c r="P1132" s="2" t="s">
        <v>243</v>
      </c>
      <c r="Q1132" s="7" t="s">
        <v>85</v>
      </c>
      <c r="R1132" s="4" t="s">
        <v>312</v>
      </c>
      <c r="S1132" s="20">
        <v>9</v>
      </c>
      <c r="T1132" s="2">
        <v>9</v>
      </c>
    </row>
    <row r="1133" spans="1:31">
      <c r="A1133" s="7">
        <f>MAX($A$1:$A1132)+1</f>
        <v>1132</v>
      </c>
      <c r="B1133" s="2" t="s">
        <v>409</v>
      </c>
      <c r="C1133" s="2" t="s">
        <v>269</v>
      </c>
      <c r="D1133" s="2" t="s">
        <v>37</v>
      </c>
      <c r="E1133" s="7" t="s">
        <v>404</v>
      </c>
      <c r="F1133" s="4">
        <v>48.901183000000003</v>
      </c>
      <c r="G1133" s="18">
        <v>-125.060433</v>
      </c>
      <c r="H1133" s="28" t="s">
        <v>13</v>
      </c>
      <c r="I1133" s="2">
        <v>3</v>
      </c>
      <c r="J1133" s="2">
        <v>320</v>
      </c>
      <c r="K1133" s="6">
        <v>0.55833333333333335</v>
      </c>
      <c r="L1133" s="2" t="s">
        <v>270</v>
      </c>
      <c r="M1133" s="2">
        <v>7</v>
      </c>
      <c r="N1133" s="2">
        <v>2</v>
      </c>
      <c r="O1133" s="2">
        <v>1</v>
      </c>
      <c r="P1133" s="2" t="s">
        <v>248</v>
      </c>
      <c r="Q1133" s="7" t="s">
        <v>78</v>
      </c>
      <c r="R1133" s="4" t="s">
        <v>349</v>
      </c>
      <c r="S1133" s="20">
        <v>4</v>
      </c>
      <c r="T1133" s="2">
        <v>0</v>
      </c>
      <c r="Z1133" s="2">
        <v>2</v>
      </c>
      <c r="AA1133" s="2">
        <v>1</v>
      </c>
      <c r="AC1133" s="2">
        <v>1</v>
      </c>
    </row>
    <row r="1134" spans="1:31">
      <c r="A1134" s="7">
        <f>MAX($A$1:$A1133)+1</f>
        <v>1133</v>
      </c>
      <c r="B1134" s="2" t="s">
        <v>409</v>
      </c>
      <c r="C1134" s="2" t="s">
        <v>269</v>
      </c>
      <c r="D1134" s="2" t="s">
        <v>37</v>
      </c>
      <c r="E1134" s="7" t="s">
        <v>404</v>
      </c>
      <c r="F1134" s="4">
        <v>48.901183000000003</v>
      </c>
      <c r="G1134" s="18">
        <v>-125.060433</v>
      </c>
      <c r="H1134" s="28" t="s">
        <v>13</v>
      </c>
      <c r="I1134" s="2">
        <v>3</v>
      </c>
      <c r="J1134" s="2">
        <v>320</v>
      </c>
      <c r="K1134" s="6">
        <v>0.55833333333333335</v>
      </c>
      <c r="L1134" s="2" t="s">
        <v>270</v>
      </c>
      <c r="M1134" s="2">
        <v>7</v>
      </c>
      <c r="N1134" s="2">
        <v>2</v>
      </c>
      <c r="O1134" s="2">
        <v>1</v>
      </c>
      <c r="P1134" s="2" t="s">
        <v>259</v>
      </c>
      <c r="Q1134" s="7" t="s">
        <v>106</v>
      </c>
      <c r="R1134" s="4" t="s">
        <v>343</v>
      </c>
      <c r="S1134" s="20">
        <v>2</v>
      </c>
      <c r="T1134" s="2">
        <v>2</v>
      </c>
    </row>
    <row r="1135" spans="1:31">
      <c r="A1135" s="7">
        <f>MAX($A$1:$A1134)+1</f>
        <v>1134</v>
      </c>
      <c r="B1135" s="2" t="s">
        <v>409</v>
      </c>
      <c r="C1135" s="2" t="s">
        <v>269</v>
      </c>
      <c r="D1135" s="2" t="s">
        <v>37</v>
      </c>
      <c r="E1135" s="7" t="s">
        <v>404</v>
      </c>
      <c r="F1135" s="4">
        <v>48.901183000000003</v>
      </c>
      <c r="G1135" s="18">
        <v>-125.060433</v>
      </c>
      <c r="H1135" s="28" t="s">
        <v>13</v>
      </c>
      <c r="I1135" s="2">
        <v>3</v>
      </c>
      <c r="J1135" s="2">
        <v>320</v>
      </c>
      <c r="K1135" s="6">
        <v>0.55833333333333335</v>
      </c>
      <c r="L1135" s="2" t="s">
        <v>270</v>
      </c>
      <c r="M1135" s="2">
        <v>7</v>
      </c>
      <c r="N1135" s="2">
        <v>2</v>
      </c>
      <c r="O1135" s="2">
        <v>1</v>
      </c>
      <c r="P1135" s="2" t="s">
        <v>249</v>
      </c>
      <c r="Q1135" s="7" t="s">
        <v>90</v>
      </c>
      <c r="R1135" s="4" t="s">
        <v>352</v>
      </c>
      <c r="S1135" s="20">
        <v>2</v>
      </c>
      <c r="T1135" s="2">
        <v>2</v>
      </c>
    </row>
    <row r="1136" spans="1:31">
      <c r="A1136" s="7">
        <f>MAX($A$1:$A1135)+1</f>
        <v>1135</v>
      </c>
      <c r="B1136" s="2" t="s">
        <v>409</v>
      </c>
      <c r="C1136" s="2" t="s">
        <v>269</v>
      </c>
      <c r="D1136" s="2" t="s">
        <v>37</v>
      </c>
      <c r="E1136" s="7" t="s">
        <v>404</v>
      </c>
      <c r="F1136" s="4">
        <v>48.901183000000003</v>
      </c>
      <c r="G1136" s="18">
        <v>-125.060433</v>
      </c>
      <c r="H1136" s="28" t="s">
        <v>13</v>
      </c>
      <c r="I1136" s="2">
        <v>3</v>
      </c>
      <c r="J1136" s="2">
        <v>320</v>
      </c>
      <c r="K1136" s="6">
        <v>0.55833333333333335</v>
      </c>
      <c r="L1136" s="2" t="s">
        <v>270</v>
      </c>
      <c r="M1136" s="2">
        <v>7</v>
      </c>
      <c r="N1136" s="2">
        <v>2</v>
      </c>
      <c r="O1136" s="2">
        <v>1</v>
      </c>
      <c r="P1136" s="2" t="s">
        <v>373</v>
      </c>
      <c r="Q1136" s="7" t="s">
        <v>131</v>
      </c>
      <c r="R1136" s="4" t="s">
        <v>410</v>
      </c>
      <c r="S1136" s="20">
        <v>4</v>
      </c>
      <c r="T1136" s="2">
        <v>4</v>
      </c>
    </row>
    <row r="1137" spans="1:26">
      <c r="A1137" s="7">
        <f>MAX($A$1:$A1136)+1</f>
        <v>1136</v>
      </c>
      <c r="B1137" s="2" t="s">
        <v>409</v>
      </c>
      <c r="C1137" s="2" t="s">
        <v>269</v>
      </c>
      <c r="D1137" s="2" t="s">
        <v>37</v>
      </c>
      <c r="E1137" s="7" t="s">
        <v>404</v>
      </c>
      <c r="F1137" s="4">
        <v>48.901183000000003</v>
      </c>
      <c r="G1137" s="18">
        <v>-125.060433</v>
      </c>
      <c r="H1137" s="28" t="s">
        <v>13</v>
      </c>
      <c r="I1137" s="2">
        <v>3</v>
      </c>
      <c r="J1137" s="2">
        <v>320</v>
      </c>
      <c r="K1137" s="6">
        <v>0.55833333333333335</v>
      </c>
      <c r="L1137" s="2" t="s">
        <v>270</v>
      </c>
      <c r="M1137" s="2">
        <v>7</v>
      </c>
      <c r="N1137" s="2">
        <v>2</v>
      </c>
      <c r="O1137" s="2">
        <v>1</v>
      </c>
      <c r="P1137" s="2" t="s">
        <v>239</v>
      </c>
      <c r="Q1137" s="7" t="s">
        <v>80</v>
      </c>
      <c r="R1137" s="4" t="s">
        <v>300</v>
      </c>
      <c r="S1137" s="20">
        <v>1</v>
      </c>
      <c r="T1137" s="2">
        <v>1</v>
      </c>
    </row>
    <row r="1138" spans="1:26">
      <c r="A1138" s="7">
        <f>MAX($A$1:$A1137)+1</f>
        <v>1137</v>
      </c>
      <c r="B1138" s="2" t="s">
        <v>409</v>
      </c>
      <c r="C1138" s="2" t="s">
        <v>269</v>
      </c>
      <c r="D1138" s="2" t="s">
        <v>37</v>
      </c>
      <c r="E1138" s="7" t="s">
        <v>404</v>
      </c>
      <c r="F1138" s="4">
        <v>48.901183000000003</v>
      </c>
      <c r="G1138" s="18">
        <v>-125.060433</v>
      </c>
      <c r="H1138" s="28" t="s">
        <v>13</v>
      </c>
      <c r="I1138" s="2">
        <v>3</v>
      </c>
      <c r="J1138" s="2">
        <v>320</v>
      </c>
      <c r="K1138" s="6">
        <v>0.55833333333333335</v>
      </c>
      <c r="L1138" s="2" t="s">
        <v>270</v>
      </c>
      <c r="M1138" s="2">
        <v>7</v>
      </c>
      <c r="N1138" s="2">
        <v>2</v>
      </c>
      <c r="O1138" s="2">
        <v>1</v>
      </c>
      <c r="P1138" s="2" t="s">
        <v>397</v>
      </c>
      <c r="Q1138" s="7" t="s">
        <v>118</v>
      </c>
      <c r="R1138" s="4" t="s">
        <v>398</v>
      </c>
      <c r="S1138" s="20">
        <v>3</v>
      </c>
      <c r="T1138" s="2">
        <v>3</v>
      </c>
    </row>
    <row r="1139" spans="1:26">
      <c r="A1139" s="7">
        <f>MAX($A$1:$A1138)+1</f>
        <v>1138</v>
      </c>
      <c r="B1139" s="2" t="s">
        <v>409</v>
      </c>
      <c r="C1139" s="2" t="s">
        <v>269</v>
      </c>
      <c r="D1139" s="2" t="s">
        <v>37</v>
      </c>
      <c r="E1139" s="7" t="s">
        <v>404</v>
      </c>
      <c r="F1139" s="4">
        <v>48.901183000000003</v>
      </c>
      <c r="G1139" s="18">
        <v>-125.060433</v>
      </c>
      <c r="H1139" s="28" t="s">
        <v>13</v>
      </c>
      <c r="I1139" s="2">
        <v>3</v>
      </c>
      <c r="J1139" s="2">
        <v>320</v>
      </c>
      <c r="K1139" s="6">
        <v>0.55833333333333335</v>
      </c>
      <c r="L1139" s="2" t="s">
        <v>270</v>
      </c>
      <c r="M1139" s="2">
        <v>7</v>
      </c>
      <c r="N1139" s="2">
        <v>2</v>
      </c>
      <c r="O1139" s="2">
        <v>1</v>
      </c>
      <c r="P1139" s="2" t="s">
        <v>238</v>
      </c>
      <c r="Q1139" s="7" t="s">
        <v>69</v>
      </c>
      <c r="R1139" s="4" t="s">
        <v>313</v>
      </c>
      <c r="S1139" s="20">
        <v>13</v>
      </c>
      <c r="T1139" s="2">
        <v>13</v>
      </c>
    </row>
    <row r="1140" spans="1:26">
      <c r="A1140" s="7">
        <f>MAX($A$1:$A1139)+1</f>
        <v>1139</v>
      </c>
      <c r="B1140" s="2" t="s">
        <v>409</v>
      </c>
      <c r="C1140" s="2" t="s">
        <v>269</v>
      </c>
      <c r="D1140" s="2" t="s">
        <v>37</v>
      </c>
      <c r="E1140" s="7" t="s">
        <v>404</v>
      </c>
      <c r="F1140" s="4">
        <v>48.901183000000003</v>
      </c>
      <c r="G1140" s="18">
        <v>-125.060433</v>
      </c>
      <c r="H1140" s="28" t="s">
        <v>13</v>
      </c>
      <c r="I1140" s="2">
        <v>3</v>
      </c>
      <c r="J1140" s="2">
        <v>320</v>
      </c>
      <c r="K1140" s="6">
        <v>0.55833333333333335</v>
      </c>
      <c r="L1140" s="2" t="s">
        <v>270</v>
      </c>
      <c r="M1140" s="2">
        <v>7</v>
      </c>
      <c r="N1140" s="2">
        <v>2</v>
      </c>
      <c r="O1140" s="2">
        <v>1</v>
      </c>
      <c r="P1140" s="2" t="s">
        <v>350</v>
      </c>
      <c r="Q1140" s="7" t="s">
        <v>83</v>
      </c>
      <c r="R1140" s="4" t="s">
        <v>351</v>
      </c>
      <c r="S1140" s="20">
        <v>3</v>
      </c>
      <c r="T1140" s="2">
        <v>3</v>
      </c>
    </row>
    <row r="1141" spans="1:26">
      <c r="A1141" s="7">
        <f>MAX($A$1:$A1140)+1</f>
        <v>1140</v>
      </c>
      <c r="B1141" s="2" t="s">
        <v>409</v>
      </c>
      <c r="C1141" s="2" t="s">
        <v>269</v>
      </c>
      <c r="D1141" s="2" t="s">
        <v>37</v>
      </c>
      <c r="E1141" s="7" t="s">
        <v>404</v>
      </c>
      <c r="F1141" s="4">
        <v>48.901183000000003</v>
      </c>
      <c r="G1141" s="18">
        <v>-125.060433</v>
      </c>
      <c r="H1141" s="28" t="s">
        <v>13</v>
      </c>
      <c r="I1141" s="2">
        <v>3</v>
      </c>
      <c r="J1141" s="2">
        <v>320</v>
      </c>
      <c r="K1141" s="6">
        <v>0.55833333333333335</v>
      </c>
      <c r="L1141" s="2" t="s">
        <v>270</v>
      </c>
      <c r="M1141" s="2">
        <v>7</v>
      </c>
      <c r="N1141" s="2">
        <v>2</v>
      </c>
      <c r="O1141" s="2">
        <v>1</v>
      </c>
      <c r="P1141" s="2" t="s">
        <v>255</v>
      </c>
      <c r="Q1141" s="7" t="s">
        <v>79</v>
      </c>
      <c r="R1141" s="4" t="s">
        <v>429</v>
      </c>
      <c r="S1141" s="20">
        <v>6</v>
      </c>
      <c r="T1141" s="2">
        <v>6</v>
      </c>
    </row>
    <row r="1142" spans="1:26">
      <c r="A1142" s="7">
        <f>MAX($A$1:$A1141)+1</f>
        <v>1141</v>
      </c>
      <c r="B1142" s="2" t="s">
        <v>409</v>
      </c>
      <c r="C1142" s="2" t="s">
        <v>269</v>
      </c>
      <c r="D1142" s="2" t="s">
        <v>37</v>
      </c>
      <c r="E1142" s="7" t="s">
        <v>404</v>
      </c>
      <c r="F1142" s="4">
        <v>48.901183000000003</v>
      </c>
      <c r="G1142" s="18">
        <v>-125.060433</v>
      </c>
      <c r="H1142" s="28" t="s">
        <v>13</v>
      </c>
      <c r="I1142" s="2">
        <v>3</v>
      </c>
      <c r="J1142" s="2">
        <v>320</v>
      </c>
      <c r="K1142" s="6">
        <v>0.55833333333333335</v>
      </c>
      <c r="L1142" s="2" t="s">
        <v>270</v>
      </c>
      <c r="M1142" s="2">
        <v>7</v>
      </c>
      <c r="N1142" s="2">
        <v>2</v>
      </c>
      <c r="O1142" s="2">
        <v>1</v>
      </c>
      <c r="P1142" s="2" t="s">
        <v>230</v>
      </c>
      <c r="Q1142" s="7" t="s">
        <v>42</v>
      </c>
      <c r="R1142" s="4" t="s">
        <v>321</v>
      </c>
      <c r="S1142" s="20">
        <v>33</v>
      </c>
      <c r="T1142" s="2">
        <v>0</v>
      </c>
      <c r="V1142" s="2">
        <v>9</v>
      </c>
      <c r="W1142" s="2">
        <v>9</v>
      </c>
      <c r="X1142" s="2">
        <v>15</v>
      </c>
    </row>
    <row r="1143" spans="1:26">
      <c r="A1143" s="7">
        <f>MAX($A$1:$A1142)+1</f>
        <v>1142</v>
      </c>
      <c r="B1143" s="2" t="s">
        <v>409</v>
      </c>
      <c r="C1143" s="2" t="s">
        <v>269</v>
      </c>
      <c r="D1143" s="2" t="s">
        <v>37</v>
      </c>
      <c r="E1143" s="7" t="s">
        <v>404</v>
      </c>
      <c r="F1143" s="4">
        <v>48.901183000000003</v>
      </c>
      <c r="G1143" s="18">
        <v>-125.060433</v>
      </c>
      <c r="H1143" s="28" t="s">
        <v>13</v>
      </c>
      <c r="I1143" s="2">
        <v>3</v>
      </c>
      <c r="J1143" s="2">
        <v>320</v>
      </c>
      <c r="K1143" s="6">
        <v>0.55833333333333335</v>
      </c>
      <c r="L1143" s="2" t="s">
        <v>270</v>
      </c>
      <c r="M1143" s="2">
        <v>7</v>
      </c>
      <c r="N1143" s="2">
        <v>2</v>
      </c>
      <c r="O1143" s="2">
        <v>1</v>
      </c>
      <c r="P1143" s="2" t="s">
        <v>247</v>
      </c>
      <c r="Q1143" s="7" t="s">
        <v>64</v>
      </c>
      <c r="R1143" s="4" t="s">
        <v>293</v>
      </c>
      <c r="S1143" s="20">
        <v>12</v>
      </c>
      <c r="T1143" s="2">
        <v>12</v>
      </c>
    </row>
    <row r="1144" spans="1:26">
      <c r="A1144" s="7">
        <f>MAX($A$1:$A1143)+1</f>
        <v>1143</v>
      </c>
      <c r="B1144" s="2" t="s">
        <v>409</v>
      </c>
      <c r="C1144" s="2" t="s">
        <v>269</v>
      </c>
      <c r="D1144" s="2" t="s">
        <v>37</v>
      </c>
      <c r="E1144" s="7" t="s">
        <v>404</v>
      </c>
      <c r="F1144" s="4">
        <v>48.901183000000003</v>
      </c>
      <c r="G1144" s="18">
        <v>-125.060433</v>
      </c>
      <c r="H1144" s="28" t="s">
        <v>13</v>
      </c>
      <c r="I1144" s="2">
        <v>3</v>
      </c>
      <c r="J1144" s="2">
        <v>320</v>
      </c>
      <c r="K1144" s="6">
        <v>0.55833333333333335</v>
      </c>
      <c r="L1144" s="2" t="s">
        <v>270</v>
      </c>
      <c r="M1144" s="2">
        <v>7</v>
      </c>
      <c r="N1144" s="2">
        <v>2</v>
      </c>
      <c r="O1144" s="2">
        <v>1</v>
      </c>
      <c r="P1144" s="2" t="s">
        <v>244</v>
      </c>
      <c r="Q1144" s="7" t="s">
        <v>65</v>
      </c>
      <c r="R1144" s="4" t="s">
        <v>307</v>
      </c>
      <c r="S1144" s="20">
        <v>5</v>
      </c>
      <c r="T1144" s="2">
        <v>5</v>
      </c>
    </row>
    <row r="1145" spans="1:26">
      <c r="A1145" s="7">
        <f>MAX($A$1:$A1144)+1</f>
        <v>1144</v>
      </c>
      <c r="B1145" s="2" t="s">
        <v>409</v>
      </c>
      <c r="C1145" s="2" t="s">
        <v>269</v>
      </c>
      <c r="D1145" s="2" t="s">
        <v>37</v>
      </c>
      <c r="E1145" s="7" t="s">
        <v>404</v>
      </c>
      <c r="F1145" s="4">
        <v>48.901183000000003</v>
      </c>
      <c r="G1145" s="18">
        <v>-125.060433</v>
      </c>
      <c r="H1145" s="28" t="s">
        <v>13</v>
      </c>
      <c r="I1145" s="2">
        <v>3</v>
      </c>
      <c r="J1145" s="2">
        <v>320</v>
      </c>
      <c r="K1145" s="6">
        <v>0.55833333333333335</v>
      </c>
      <c r="L1145" s="2" t="s">
        <v>270</v>
      </c>
      <c r="M1145" s="2">
        <v>7</v>
      </c>
      <c r="N1145" s="2">
        <v>2</v>
      </c>
      <c r="O1145" s="2">
        <v>1</v>
      </c>
      <c r="P1145" s="2" t="s">
        <v>246</v>
      </c>
      <c r="Q1145" s="7" t="s">
        <v>66</v>
      </c>
      <c r="R1145" s="4" t="s">
        <v>318</v>
      </c>
      <c r="S1145" s="20">
        <v>4</v>
      </c>
      <c r="T1145" s="2">
        <v>0</v>
      </c>
      <c r="W1145" s="2">
        <v>1</v>
      </c>
      <c r="X1145" s="2">
        <v>3</v>
      </c>
    </row>
    <row r="1146" spans="1:26">
      <c r="A1146" s="7">
        <f>MAX($A$1:$A1145)+1</f>
        <v>1145</v>
      </c>
      <c r="B1146" s="2" t="s">
        <v>409</v>
      </c>
      <c r="C1146" s="2" t="s">
        <v>269</v>
      </c>
      <c r="D1146" s="2" t="s">
        <v>37</v>
      </c>
      <c r="E1146" s="7" t="s">
        <v>404</v>
      </c>
      <c r="F1146" s="4">
        <v>48.901183000000003</v>
      </c>
      <c r="G1146" s="18">
        <v>-125.060433</v>
      </c>
      <c r="H1146" s="28" t="s">
        <v>13</v>
      </c>
      <c r="I1146" s="2">
        <v>3</v>
      </c>
      <c r="J1146" s="2">
        <v>320</v>
      </c>
      <c r="K1146" s="6">
        <v>0.55833333333333335</v>
      </c>
      <c r="L1146" s="2" t="s">
        <v>270</v>
      </c>
      <c r="M1146" s="2">
        <v>7</v>
      </c>
      <c r="N1146" s="2">
        <v>2</v>
      </c>
      <c r="O1146" s="2">
        <v>1</v>
      </c>
      <c r="P1146" s="2" t="s">
        <v>310</v>
      </c>
      <c r="Q1146" s="7" t="s">
        <v>98</v>
      </c>
      <c r="R1146" s="4" t="s">
        <v>311</v>
      </c>
      <c r="S1146" s="20">
        <v>1</v>
      </c>
      <c r="T1146" s="2">
        <v>1</v>
      </c>
    </row>
    <row r="1147" spans="1:26">
      <c r="A1147" s="7">
        <f>MAX($A$1:$A1146)+1</f>
        <v>1146</v>
      </c>
      <c r="B1147" s="2" t="s">
        <v>409</v>
      </c>
      <c r="C1147" s="2" t="s">
        <v>269</v>
      </c>
      <c r="D1147" s="2" t="s">
        <v>37</v>
      </c>
      <c r="E1147" s="7" t="s">
        <v>404</v>
      </c>
      <c r="F1147" s="4">
        <v>48.901183000000003</v>
      </c>
      <c r="G1147" s="18">
        <v>-125.060433</v>
      </c>
      <c r="H1147" s="28" t="s">
        <v>13</v>
      </c>
      <c r="I1147" s="2">
        <v>3</v>
      </c>
      <c r="J1147" s="2">
        <v>320</v>
      </c>
      <c r="K1147" s="6">
        <v>0.55833333333333335</v>
      </c>
      <c r="L1147" s="2" t="s">
        <v>270</v>
      </c>
      <c r="M1147" s="2">
        <v>7</v>
      </c>
      <c r="N1147" s="2">
        <v>2</v>
      </c>
      <c r="O1147" s="2">
        <v>1</v>
      </c>
      <c r="P1147" s="2" t="s">
        <v>411</v>
      </c>
      <c r="Q1147" s="7" t="s">
        <v>138</v>
      </c>
      <c r="R1147" s="4" t="s">
        <v>412</v>
      </c>
      <c r="S1147" s="20">
        <v>2</v>
      </c>
      <c r="T1147" s="2">
        <v>2</v>
      </c>
    </row>
    <row r="1148" spans="1:26">
      <c r="A1148" s="7">
        <f>MAX($A$1:$A1147)+1</f>
        <v>1147</v>
      </c>
      <c r="B1148" s="2" t="s">
        <v>409</v>
      </c>
      <c r="C1148" s="2" t="s">
        <v>269</v>
      </c>
      <c r="D1148" s="2" t="s">
        <v>37</v>
      </c>
      <c r="E1148" s="7" t="s">
        <v>404</v>
      </c>
      <c r="F1148" s="4">
        <v>48.901183000000003</v>
      </c>
      <c r="G1148" s="18">
        <v>-125.060433</v>
      </c>
      <c r="H1148" s="28" t="s">
        <v>13</v>
      </c>
      <c r="I1148" s="2">
        <v>3</v>
      </c>
      <c r="J1148" s="2">
        <v>320</v>
      </c>
      <c r="K1148" s="6">
        <v>0.55833333333333335</v>
      </c>
      <c r="L1148" s="2" t="s">
        <v>270</v>
      </c>
      <c r="M1148" s="2">
        <v>7</v>
      </c>
      <c r="N1148" s="2">
        <v>2</v>
      </c>
      <c r="O1148" s="2">
        <v>1</v>
      </c>
      <c r="P1148" s="2" t="s">
        <v>338</v>
      </c>
      <c r="Q1148" s="7" t="s">
        <v>101</v>
      </c>
      <c r="R1148" s="4" t="s">
        <v>339</v>
      </c>
      <c r="S1148" s="20">
        <v>2</v>
      </c>
      <c r="T1148" s="2">
        <v>0</v>
      </c>
      <c r="V1148" s="2">
        <v>1</v>
      </c>
      <c r="X1148" s="2">
        <v>1</v>
      </c>
    </row>
    <row r="1149" spans="1:26">
      <c r="A1149" s="7">
        <f>MAX($A$1:$A1148)+1</f>
        <v>1148</v>
      </c>
      <c r="B1149" s="2" t="s">
        <v>409</v>
      </c>
      <c r="C1149" s="2" t="s">
        <v>269</v>
      </c>
      <c r="D1149" s="2" t="s">
        <v>37</v>
      </c>
      <c r="E1149" s="7" t="s">
        <v>404</v>
      </c>
      <c r="F1149" s="4">
        <v>48.901183000000003</v>
      </c>
      <c r="G1149" s="18">
        <v>-125.060433</v>
      </c>
      <c r="H1149" s="28" t="s">
        <v>13</v>
      </c>
      <c r="I1149" s="2">
        <v>3</v>
      </c>
      <c r="J1149" s="2">
        <v>320</v>
      </c>
      <c r="K1149" s="6">
        <v>0.55833333333333335</v>
      </c>
      <c r="L1149" s="2" t="s">
        <v>270</v>
      </c>
      <c r="M1149" s="2">
        <v>7</v>
      </c>
      <c r="N1149" s="2">
        <v>2</v>
      </c>
      <c r="O1149" s="2">
        <v>1</v>
      </c>
      <c r="P1149" s="2" t="s">
        <v>251</v>
      </c>
      <c r="Q1149" s="7" t="s">
        <v>73</v>
      </c>
      <c r="R1149" s="4" t="s">
        <v>325</v>
      </c>
      <c r="S1149" s="20">
        <v>1</v>
      </c>
      <c r="T1149" s="2">
        <v>1</v>
      </c>
    </row>
    <row r="1150" spans="1:26">
      <c r="A1150" s="7">
        <f>MAX($A$1:$A1149)+1</f>
        <v>1149</v>
      </c>
      <c r="B1150" s="2" t="s">
        <v>409</v>
      </c>
      <c r="C1150" s="2" t="s">
        <v>269</v>
      </c>
      <c r="D1150" s="2" t="s">
        <v>37</v>
      </c>
      <c r="E1150" s="7" t="s">
        <v>404</v>
      </c>
      <c r="F1150" s="4">
        <v>48.901183000000003</v>
      </c>
      <c r="G1150" s="18">
        <v>-125.060433</v>
      </c>
      <c r="H1150" s="28" t="s">
        <v>13</v>
      </c>
      <c r="I1150" s="2">
        <v>3</v>
      </c>
      <c r="J1150" s="2">
        <v>320</v>
      </c>
      <c r="K1150" s="6">
        <v>0.55833333333333335</v>
      </c>
      <c r="L1150" s="2" t="s">
        <v>270</v>
      </c>
      <c r="M1150" s="2">
        <v>7</v>
      </c>
      <c r="N1150" s="2">
        <v>2</v>
      </c>
      <c r="O1150" s="2">
        <v>1</v>
      </c>
      <c r="P1150" s="2" t="s">
        <v>401</v>
      </c>
      <c r="Q1150" s="7" t="s">
        <v>135</v>
      </c>
      <c r="R1150" s="4" t="s">
        <v>414</v>
      </c>
      <c r="S1150" s="20">
        <v>1</v>
      </c>
      <c r="T1150" s="2">
        <v>1</v>
      </c>
    </row>
    <row r="1151" spans="1:26">
      <c r="A1151" s="7">
        <f>MAX($A$1:$A1150)+1</f>
        <v>1150</v>
      </c>
      <c r="B1151" s="2" t="s">
        <v>409</v>
      </c>
      <c r="C1151" s="2" t="s">
        <v>269</v>
      </c>
      <c r="D1151" s="2" t="s">
        <v>37</v>
      </c>
      <c r="E1151" s="7" t="s">
        <v>404</v>
      </c>
      <c r="F1151" s="4">
        <v>48.901183000000003</v>
      </c>
      <c r="G1151" s="18">
        <v>-125.060433</v>
      </c>
      <c r="H1151" s="28" t="s">
        <v>13</v>
      </c>
      <c r="I1151" s="2">
        <v>3</v>
      </c>
      <c r="J1151" s="2">
        <v>320</v>
      </c>
      <c r="K1151" s="6">
        <v>0.55833333333333335</v>
      </c>
      <c r="L1151" s="2" t="s">
        <v>270</v>
      </c>
      <c r="M1151" s="2">
        <v>7</v>
      </c>
      <c r="N1151" s="2">
        <v>2</v>
      </c>
      <c r="O1151" s="2">
        <v>1</v>
      </c>
      <c r="P1151" s="2" t="s">
        <v>395</v>
      </c>
      <c r="Q1151" s="7" t="s">
        <v>81</v>
      </c>
      <c r="R1151" s="4" t="s">
        <v>396</v>
      </c>
      <c r="S1151" s="20">
        <v>1</v>
      </c>
      <c r="T1151" s="2">
        <v>1</v>
      </c>
    </row>
    <row r="1152" spans="1:26">
      <c r="A1152" s="7">
        <f>MAX($A$1:$A1151)+1</f>
        <v>1151</v>
      </c>
      <c r="B1152" s="2" t="s">
        <v>409</v>
      </c>
      <c r="C1152" s="2" t="s">
        <v>269</v>
      </c>
      <c r="D1152" s="2" t="s">
        <v>37</v>
      </c>
      <c r="E1152" s="7" t="s">
        <v>404</v>
      </c>
      <c r="F1152" s="4">
        <v>48.901183000000003</v>
      </c>
      <c r="G1152" s="18">
        <v>-125.060433</v>
      </c>
      <c r="H1152" s="28" t="s">
        <v>13</v>
      </c>
      <c r="I1152" s="2">
        <v>3</v>
      </c>
      <c r="J1152" s="2">
        <v>320</v>
      </c>
      <c r="K1152" s="6">
        <v>0.55833333333333335</v>
      </c>
      <c r="L1152" s="2" t="s">
        <v>270</v>
      </c>
      <c r="M1152" s="2">
        <v>7</v>
      </c>
      <c r="N1152" s="2">
        <v>2</v>
      </c>
      <c r="O1152" s="2">
        <v>1</v>
      </c>
      <c r="P1152" s="2" t="s">
        <v>438</v>
      </c>
      <c r="Q1152" s="7" t="s">
        <v>146</v>
      </c>
      <c r="R1152" s="4" t="s">
        <v>439</v>
      </c>
      <c r="S1152" s="20">
        <v>1</v>
      </c>
      <c r="T1152" s="2">
        <v>0</v>
      </c>
      <c r="Z1152" s="2">
        <v>1</v>
      </c>
    </row>
    <row r="1153" spans="1:32">
      <c r="A1153" s="7">
        <f>MAX($A$1:$A1152)+1</f>
        <v>1152</v>
      </c>
      <c r="B1153" s="27" t="s">
        <v>269</v>
      </c>
      <c r="C1153" s="2" t="s">
        <v>409</v>
      </c>
      <c r="D1153" s="2" t="s">
        <v>37</v>
      </c>
      <c r="E1153" s="7" t="s">
        <v>404</v>
      </c>
      <c r="F1153" s="4">
        <v>48.901183000000003</v>
      </c>
      <c r="G1153" s="18">
        <v>-125.060433</v>
      </c>
      <c r="H1153" s="5" t="s">
        <v>13</v>
      </c>
      <c r="I1153" s="2">
        <v>3</v>
      </c>
      <c r="J1153" s="2">
        <v>320</v>
      </c>
      <c r="K1153" s="6">
        <v>0.55833333333333335</v>
      </c>
      <c r="L1153" s="2" t="s">
        <v>270</v>
      </c>
      <c r="M1153" s="2">
        <v>7</v>
      </c>
      <c r="N1153" s="2">
        <v>1</v>
      </c>
      <c r="O1153" s="2">
        <v>2</v>
      </c>
      <c r="P1153" s="2" t="s">
        <v>230</v>
      </c>
      <c r="Q1153" s="7" t="s">
        <v>42</v>
      </c>
      <c r="R1153" s="4" t="s">
        <v>321</v>
      </c>
      <c r="S1153" s="20">
        <v>14</v>
      </c>
      <c r="T1153" s="2">
        <v>0</v>
      </c>
      <c r="W1153" s="2">
        <v>3</v>
      </c>
      <c r="X1153" s="2">
        <v>9</v>
      </c>
      <c r="Y1153" s="2">
        <v>2</v>
      </c>
    </row>
    <row r="1154" spans="1:32">
      <c r="A1154" s="7">
        <f>MAX($A$1:$A1153)+1</f>
        <v>1153</v>
      </c>
      <c r="B1154" s="27" t="s">
        <v>269</v>
      </c>
      <c r="C1154" s="2" t="s">
        <v>409</v>
      </c>
      <c r="D1154" s="2" t="s">
        <v>37</v>
      </c>
      <c r="E1154" s="7" t="s">
        <v>404</v>
      </c>
      <c r="F1154" s="4">
        <v>48.901183000000003</v>
      </c>
      <c r="G1154" s="18">
        <v>-125.060433</v>
      </c>
      <c r="H1154" s="5" t="s">
        <v>13</v>
      </c>
      <c r="I1154" s="2">
        <v>3</v>
      </c>
      <c r="J1154" s="2">
        <v>320</v>
      </c>
      <c r="K1154" s="6">
        <v>0.55833333333333335</v>
      </c>
      <c r="L1154" s="2" t="s">
        <v>270</v>
      </c>
      <c r="M1154" s="2">
        <v>7</v>
      </c>
      <c r="N1154" s="2">
        <v>1</v>
      </c>
      <c r="O1154" s="2">
        <v>2</v>
      </c>
      <c r="P1154" s="2" t="s">
        <v>250</v>
      </c>
      <c r="Q1154" s="7" t="s">
        <v>46</v>
      </c>
      <c r="R1154" s="4" t="s">
        <v>295</v>
      </c>
      <c r="S1154" s="20">
        <v>1</v>
      </c>
      <c r="T1154" s="2">
        <v>0</v>
      </c>
      <c r="V1154" s="2">
        <v>1</v>
      </c>
    </row>
    <row r="1155" spans="1:32">
      <c r="A1155" s="7">
        <f>MAX($A$1:$A1154)+1</f>
        <v>1154</v>
      </c>
      <c r="B1155" s="27" t="s">
        <v>269</v>
      </c>
      <c r="C1155" s="2" t="s">
        <v>409</v>
      </c>
      <c r="D1155" s="2" t="s">
        <v>37</v>
      </c>
      <c r="E1155" s="7" t="s">
        <v>404</v>
      </c>
      <c r="F1155" s="4">
        <v>48.901183000000003</v>
      </c>
      <c r="G1155" s="18">
        <v>-125.060433</v>
      </c>
      <c r="H1155" s="5" t="s">
        <v>13</v>
      </c>
      <c r="I1155" s="2">
        <v>3</v>
      </c>
      <c r="J1155" s="2">
        <v>320</v>
      </c>
      <c r="K1155" s="6">
        <v>0.55833333333333335</v>
      </c>
      <c r="L1155" s="2" t="s">
        <v>270</v>
      </c>
      <c r="M1155" s="2">
        <v>7</v>
      </c>
      <c r="N1155" s="2">
        <v>1</v>
      </c>
      <c r="O1155" s="2">
        <v>2</v>
      </c>
      <c r="P1155" s="2" t="s">
        <v>237</v>
      </c>
      <c r="Q1155" s="7" t="s">
        <v>51</v>
      </c>
      <c r="R1155" s="4" t="s">
        <v>368</v>
      </c>
      <c r="S1155" s="20">
        <v>1</v>
      </c>
      <c r="T1155" s="2">
        <v>0</v>
      </c>
      <c r="AF1155" s="2">
        <v>1</v>
      </c>
    </row>
    <row r="1156" spans="1:32">
      <c r="A1156" s="7">
        <f>MAX($A$1:$A1155)+1</f>
        <v>1155</v>
      </c>
      <c r="B1156" s="27" t="s">
        <v>269</v>
      </c>
      <c r="C1156" s="2" t="s">
        <v>409</v>
      </c>
      <c r="D1156" s="2" t="s">
        <v>37</v>
      </c>
      <c r="E1156" s="7" t="s">
        <v>404</v>
      </c>
      <c r="F1156" s="4">
        <v>48.901183000000003</v>
      </c>
      <c r="G1156" s="18">
        <v>-125.060433</v>
      </c>
      <c r="H1156" s="5" t="s">
        <v>13</v>
      </c>
      <c r="I1156" s="2">
        <v>3</v>
      </c>
      <c r="J1156" s="2">
        <v>320</v>
      </c>
      <c r="K1156" s="6">
        <v>0.55833333333333335</v>
      </c>
      <c r="L1156" s="2" t="s">
        <v>270</v>
      </c>
      <c r="M1156" s="2">
        <v>7</v>
      </c>
      <c r="N1156" s="2">
        <v>2</v>
      </c>
      <c r="O1156" s="2">
        <v>2</v>
      </c>
      <c r="P1156" s="2" t="s">
        <v>259</v>
      </c>
      <c r="Q1156" s="7" t="s">
        <v>106</v>
      </c>
      <c r="R1156" s="4" t="s">
        <v>343</v>
      </c>
      <c r="S1156" s="20">
        <v>2</v>
      </c>
      <c r="T1156" s="2">
        <v>2</v>
      </c>
    </row>
    <row r="1157" spans="1:32">
      <c r="A1157" s="7">
        <f>MAX($A$1:$A1156)+1</f>
        <v>1156</v>
      </c>
      <c r="B1157" s="27" t="s">
        <v>269</v>
      </c>
      <c r="C1157" s="2" t="s">
        <v>409</v>
      </c>
      <c r="D1157" s="2" t="s">
        <v>37</v>
      </c>
      <c r="E1157" s="7" t="s">
        <v>404</v>
      </c>
      <c r="F1157" s="4">
        <v>48.901183000000003</v>
      </c>
      <c r="G1157" s="18">
        <v>-125.060433</v>
      </c>
      <c r="H1157" s="5" t="s">
        <v>13</v>
      </c>
      <c r="I1157" s="2">
        <v>3</v>
      </c>
      <c r="J1157" s="2">
        <v>320</v>
      </c>
      <c r="K1157" s="6">
        <v>0.55833333333333335</v>
      </c>
      <c r="L1157" s="2" t="s">
        <v>270</v>
      </c>
      <c r="M1157" s="2">
        <v>7</v>
      </c>
      <c r="N1157" s="2">
        <v>2</v>
      </c>
      <c r="O1157" s="2">
        <v>2</v>
      </c>
      <c r="P1157" s="2" t="s">
        <v>319</v>
      </c>
      <c r="Q1157" s="7" t="s">
        <v>120</v>
      </c>
      <c r="R1157" s="4" t="s">
        <v>320</v>
      </c>
      <c r="S1157" s="20">
        <v>1</v>
      </c>
      <c r="T1157" s="2">
        <v>1</v>
      </c>
    </row>
    <row r="1158" spans="1:32">
      <c r="A1158" s="7">
        <f>MAX($A$1:$A1157)+1</f>
        <v>1157</v>
      </c>
      <c r="B1158" s="27" t="s">
        <v>269</v>
      </c>
      <c r="C1158" s="2" t="s">
        <v>409</v>
      </c>
      <c r="D1158" s="2" t="s">
        <v>37</v>
      </c>
      <c r="E1158" s="7" t="s">
        <v>404</v>
      </c>
      <c r="F1158" s="4">
        <v>48.901183000000003</v>
      </c>
      <c r="G1158" s="18">
        <v>-125.060433</v>
      </c>
      <c r="H1158" s="5" t="s">
        <v>13</v>
      </c>
      <c r="I1158" s="2">
        <v>3</v>
      </c>
      <c r="J1158" s="2">
        <v>320</v>
      </c>
      <c r="K1158" s="6">
        <v>0.55833333333333335</v>
      </c>
      <c r="L1158" s="2" t="s">
        <v>270</v>
      </c>
      <c r="M1158" s="2">
        <v>7</v>
      </c>
      <c r="N1158" s="2">
        <v>2</v>
      </c>
      <c r="O1158" s="2">
        <v>2</v>
      </c>
      <c r="P1158" s="2" t="s">
        <v>345</v>
      </c>
      <c r="Q1158" s="7" t="s">
        <v>127</v>
      </c>
      <c r="R1158" s="4" t="s">
        <v>346</v>
      </c>
      <c r="S1158" s="20">
        <v>2</v>
      </c>
      <c r="T1158" s="2">
        <v>2</v>
      </c>
    </row>
    <row r="1159" spans="1:32">
      <c r="A1159" s="7">
        <f>MAX($A$1:$A1158)+1</f>
        <v>1158</v>
      </c>
      <c r="B1159" s="27" t="s">
        <v>269</v>
      </c>
      <c r="C1159" s="2" t="s">
        <v>409</v>
      </c>
      <c r="D1159" s="2" t="s">
        <v>37</v>
      </c>
      <c r="E1159" s="7" t="s">
        <v>404</v>
      </c>
      <c r="F1159" s="4">
        <v>48.901183000000003</v>
      </c>
      <c r="G1159" s="18">
        <v>-125.060433</v>
      </c>
      <c r="H1159" s="5" t="s">
        <v>13</v>
      </c>
      <c r="I1159" s="2">
        <v>3</v>
      </c>
      <c r="J1159" s="2">
        <v>320</v>
      </c>
      <c r="K1159" s="6">
        <v>0.55833333333333335</v>
      </c>
      <c r="L1159" s="2" t="s">
        <v>270</v>
      </c>
      <c r="M1159" s="2">
        <v>7</v>
      </c>
      <c r="N1159" s="2">
        <v>2</v>
      </c>
      <c r="O1159" s="2">
        <v>2</v>
      </c>
      <c r="P1159" s="2" t="s">
        <v>238</v>
      </c>
      <c r="Q1159" s="7" t="s">
        <v>69</v>
      </c>
      <c r="R1159" s="4" t="s">
        <v>313</v>
      </c>
      <c r="S1159" s="20">
        <v>8</v>
      </c>
      <c r="T1159" s="2">
        <v>8</v>
      </c>
    </row>
    <row r="1160" spans="1:32">
      <c r="A1160" s="7">
        <f>MAX($A$1:$A1159)+1</f>
        <v>1159</v>
      </c>
      <c r="B1160" s="27" t="s">
        <v>269</v>
      </c>
      <c r="C1160" s="2" t="s">
        <v>409</v>
      </c>
      <c r="D1160" s="2" t="s">
        <v>37</v>
      </c>
      <c r="E1160" s="7" t="s">
        <v>404</v>
      </c>
      <c r="F1160" s="4">
        <v>48.901183000000003</v>
      </c>
      <c r="G1160" s="18">
        <v>-125.060433</v>
      </c>
      <c r="H1160" s="5" t="s">
        <v>13</v>
      </c>
      <c r="I1160" s="2">
        <v>3</v>
      </c>
      <c r="J1160" s="2">
        <v>320</v>
      </c>
      <c r="K1160" s="6">
        <v>0.55833333333333335</v>
      </c>
      <c r="L1160" s="2" t="s">
        <v>270</v>
      </c>
      <c r="M1160" s="2">
        <v>7</v>
      </c>
      <c r="N1160" s="2">
        <v>2</v>
      </c>
      <c r="O1160" s="2">
        <v>2</v>
      </c>
      <c r="P1160" s="2" t="s">
        <v>241</v>
      </c>
      <c r="Q1160" s="7" t="s">
        <v>63</v>
      </c>
      <c r="R1160" s="4" t="s">
        <v>294</v>
      </c>
      <c r="S1160" s="20">
        <v>154</v>
      </c>
      <c r="T1160" s="2">
        <v>154</v>
      </c>
    </row>
    <row r="1161" spans="1:32">
      <c r="A1161" s="7">
        <f>MAX($A$1:$A1160)+1</f>
        <v>1160</v>
      </c>
      <c r="B1161" s="27" t="s">
        <v>269</v>
      </c>
      <c r="C1161" s="2" t="s">
        <v>409</v>
      </c>
      <c r="D1161" s="2" t="s">
        <v>37</v>
      </c>
      <c r="E1161" s="7" t="s">
        <v>404</v>
      </c>
      <c r="F1161" s="4">
        <v>48.901183000000003</v>
      </c>
      <c r="G1161" s="18">
        <v>-125.060433</v>
      </c>
      <c r="H1161" s="5" t="s">
        <v>13</v>
      </c>
      <c r="I1161" s="2">
        <v>3</v>
      </c>
      <c r="J1161" s="2">
        <v>320</v>
      </c>
      <c r="K1161" s="6">
        <v>0.55833333333333335</v>
      </c>
      <c r="L1161" s="2" t="s">
        <v>270</v>
      </c>
      <c r="M1161" s="2">
        <v>7</v>
      </c>
      <c r="N1161" s="2">
        <v>2</v>
      </c>
      <c r="O1161" s="2">
        <v>2</v>
      </c>
      <c r="P1161" s="2" t="s">
        <v>298</v>
      </c>
      <c r="Q1161" s="7" t="s">
        <v>99</v>
      </c>
      <c r="R1161" s="4" t="s">
        <v>299</v>
      </c>
      <c r="S1161" s="20">
        <v>20</v>
      </c>
      <c r="T1161" s="2">
        <v>20</v>
      </c>
    </row>
    <row r="1162" spans="1:32">
      <c r="A1162" s="7">
        <f>MAX($A$1:$A1161)+1</f>
        <v>1161</v>
      </c>
      <c r="B1162" s="27" t="s">
        <v>269</v>
      </c>
      <c r="C1162" s="2" t="s">
        <v>409</v>
      </c>
      <c r="D1162" s="2" t="s">
        <v>37</v>
      </c>
      <c r="E1162" s="7" t="s">
        <v>404</v>
      </c>
      <c r="F1162" s="4">
        <v>48.901183000000003</v>
      </c>
      <c r="G1162" s="18">
        <v>-125.060433</v>
      </c>
      <c r="H1162" s="5" t="s">
        <v>13</v>
      </c>
      <c r="I1162" s="2">
        <v>3</v>
      </c>
      <c r="J1162" s="2">
        <v>320</v>
      </c>
      <c r="K1162" s="6">
        <v>0.55833333333333335</v>
      </c>
      <c r="L1162" s="2" t="s">
        <v>270</v>
      </c>
      <c r="M1162" s="2">
        <v>7</v>
      </c>
      <c r="N1162" s="2">
        <v>2</v>
      </c>
      <c r="O1162" s="2">
        <v>2</v>
      </c>
      <c r="P1162" s="2" t="s">
        <v>230</v>
      </c>
      <c r="Q1162" s="7" t="s">
        <v>42</v>
      </c>
      <c r="R1162" s="4" t="s">
        <v>321</v>
      </c>
      <c r="S1162" s="20">
        <v>33</v>
      </c>
      <c r="T1162" s="2">
        <v>0</v>
      </c>
      <c r="V1162" s="2">
        <v>6</v>
      </c>
      <c r="W1162" s="2">
        <v>5</v>
      </c>
      <c r="X1162" s="2">
        <v>10</v>
      </c>
      <c r="Y1162" s="2">
        <v>8</v>
      </c>
      <c r="Z1162" s="2">
        <v>4</v>
      </c>
    </row>
    <row r="1163" spans="1:32">
      <c r="A1163" s="7">
        <f>MAX($A$1:$A1162)+1</f>
        <v>1162</v>
      </c>
      <c r="B1163" s="27" t="s">
        <v>269</v>
      </c>
      <c r="C1163" s="2" t="s">
        <v>409</v>
      </c>
      <c r="D1163" s="2" t="s">
        <v>37</v>
      </c>
      <c r="E1163" s="7" t="s">
        <v>404</v>
      </c>
      <c r="F1163" s="4">
        <v>48.901183000000003</v>
      </c>
      <c r="G1163" s="18">
        <v>-125.060433</v>
      </c>
      <c r="H1163" s="5" t="s">
        <v>13</v>
      </c>
      <c r="I1163" s="2">
        <v>3</v>
      </c>
      <c r="J1163" s="2">
        <v>320</v>
      </c>
      <c r="K1163" s="6">
        <v>0.55833333333333335</v>
      </c>
      <c r="L1163" s="2" t="s">
        <v>270</v>
      </c>
      <c r="M1163" s="2">
        <v>7</v>
      </c>
      <c r="N1163" s="2">
        <v>2</v>
      </c>
      <c r="O1163" s="2">
        <v>2</v>
      </c>
      <c r="P1163" s="2" t="s">
        <v>250</v>
      </c>
      <c r="Q1163" s="7" t="s">
        <v>46</v>
      </c>
      <c r="R1163" s="4" t="s">
        <v>295</v>
      </c>
      <c r="S1163" s="20">
        <v>16</v>
      </c>
      <c r="T1163" s="2">
        <v>0</v>
      </c>
      <c r="W1163" s="2">
        <v>1</v>
      </c>
      <c r="X1163" s="2">
        <v>6</v>
      </c>
      <c r="Y1163" s="2">
        <v>9</v>
      </c>
    </row>
    <row r="1164" spans="1:32">
      <c r="A1164" s="7">
        <f>MAX($A$1:$A1163)+1</f>
        <v>1163</v>
      </c>
      <c r="B1164" s="27" t="s">
        <v>269</v>
      </c>
      <c r="C1164" s="2" t="s">
        <v>409</v>
      </c>
      <c r="D1164" s="2" t="s">
        <v>37</v>
      </c>
      <c r="E1164" s="7" t="s">
        <v>404</v>
      </c>
      <c r="F1164" s="4">
        <v>48.901183000000003</v>
      </c>
      <c r="G1164" s="18">
        <v>-125.060433</v>
      </c>
      <c r="H1164" s="5" t="s">
        <v>13</v>
      </c>
      <c r="I1164" s="2">
        <v>3</v>
      </c>
      <c r="J1164" s="2">
        <v>320</v>
      </c>
      <c r="K1164" s="6">
        <v>0.55833333333333335</v>
      </c>
      <c r="L1164" s="2" t="s">
        <v>270</v>
      </c>
      <c r="M1164" s="2">
        <v>7</v>
      </c>
      <c r="N1164" s="2">
        <v>2</v>
      </c>
      <c r="O1164" s="2">
        <v>2</v>
      </c>
      <c r="P1164" s="2" t="s">
        <v>248</v>
      </c>
      <c r="Q1164" s="7" t="s">
        <v>78</v>
      </c>
      <c r="R1164" s="4" t="s">
        <v>349</v>
      </c>
      <c r="S1164" s="20">
        <v>8</v>
      </c>
      <c r="T1164" s="2">
        <v>0</v>
      </c>
      <c r="W1164" s="2">
        <v>1</v>
      </c>
      <c r="X1164" s="2">
        <v>1</v>
      </c>
      <c r="Y1164" s="2">
        <v>3</v>
      </c>
      <c r="Z1164" s="2">
        <v>3</v>
      </c>
    </row>
    <row r="1165" spans="1:32">
      <c r="A1165" s="7">
        <f>MAX($A$1:$A1164)+1</f>
        <v>1164</v>
      </c>
      <c r="B1165" s="27" t="s">
        <v>269</v>
      </c>
      <c r="C1165" s="2" t="s">
        <v>409</v>
      </c>
      <c r="D1165" s="2" t="s">
        <v>37</v>
      </c>
      <c r="E1165" s="7" t="s">
        <v>404</v>
      </c>
      <c r="F1165" s="4">
        <v>48.901183000000003</v>
      </c>
      <c r="G1165" s="18">
        <v>-125.060433</v>
      </c>
      <c r="H1165" s="5" t="s">
        <v>13</v>
      </c>
      <c r="I1165" s="2">
        <v>3</v>
      </c>
      <c r="J1165" s="2">
        <v>320</v>
      </c>
      <c r="K1165" s="6">
        <v>0.55833333333333335</v>
      </c>
      <c r="L1165" s="2" t="s">
        <v>270</v>
      </c>
      <c r="M1165" s="2">
        <v>7</v>
      </c>
      <c r="N1165" s="2">
        <v>2</v>
      </c>
      <c r="O1165" s="2">
        <v>2</v>
      </c>
      <c r="P1165" s="2" t="s">
        <v>247</v>
      </c>
      <c r="Q1165" s="7" t="s">
        <v>64</v>
      </c>
      <c r="R1165" s="4" t="s">
        <v>293</v>
      </c>
      <c r="S1165" s="20">
        <v>12</v>
      </c>
      <c r="T1165" s="2">
        <v>12</v>
      </c>
    </row>
    <row r="1166" spans="1:32">
      <c r="A1166" s="7">
        <f>MAX($A$1:$A1165)+1</f>
        <v>1165</v>
      </c>
      <c r="B1166" s="27" t="s">
        <v>269</v>
      </c>
      <c r="C1166" s="2" t="s">
        <v>409</v>
      </c>
      <c r="D1166" s="2" t="s">
        <v>37</v>
      </c>
      <c r="E1166" s="7" t="s">
        <v>404</v>
      </c>
      <c r="F1166" s="4">
        <v>48.901183000000003</v>
      </c>
      <c r="G1166" s="18">
        <v>-125.060433</v>
      </c>
      <c r="H1166" s="5" t="s">
        <v>13</v>
      </c>
      <c r="I1166" s="2">
        <v>3</v>
      </c>
      <c r="J1166" s="2">
        <v>320</v>
      </c>
      <c r="K1166" s="6">
        <v>0.55833333333333335</v>
      </c>
      <c r="L1166" s="2" t="s">
        <v>270</v>
      </c>
      <c r="M1166" s="2">
        <v>7</v>
      </c>
      <c r="N1166" s="2">
        <v>2</v>
      </c>
      <c r="O1166" s="2">
        <v>2</v>
      </c>
      <c r="P1166" s="2" t="s">
        <v>335</v>
      </c>
      <c r="Q1166" s="7" t="s">
        <v>91</v>
      </c>
      <c r="R1166" s="4" t="s">
        <v>336</v>
      </c>
      <c r="S1166" s="20">
        <v>2</v>
      </c>
      <c r="T1166" s="2">
        <v>2</v>
      </c>
    </row>
    <row r="1167" spans="1:32">
      <c r="A1167" s="7">
        <f>MAX($A$1:$A1166)+1</f>
        <v>1166</v>
      </c>
      <c r="B1167" s="27" t="s">
        <v>269</v>
      </c>
      <c r="C1167" s="2" t="s">
        <v>409</v>
      </c>
      <c r="D1167" s="2" t="s">
        <v>37</v>
      </c>
      <c r="E1167" s="7" t="s">
        <v>404</v>
      </c>
      <c r="F1167" s="4">
        <v>48.901183000000003</v>
      </c>
      <c r="G1167" s="18">
        <v>-125.060433</v>
      </c>
      <c r="H1167" s="5" t="s">
        <v>13</v>
      </c>
      <c r="I1167" s="2">
        <v>3</v>
      </c>
      <c r="J1167" s="2">
        <v>320</v>
      </c>
      <c r="K1167" s="6">
        <v>0.55833333333333335</v>
      </c>
      <c r="L1167" s="2" t="s">
        <v>270</v>
      </c>
      <c r="M1167" s="2">
        <v>7</v>
      </c>
      <c r="N1167" s="2">
        <v>2</v>
      </c>
      <c r="O1167" s="2">
        <v>2</v>
      </c>
      <c r="P1167" s="2" t="s">
        <v>419</v>
      </c>
      <c r="Q1167" s="7" t="s">
        <v>139</v>
      </c>
      <c r="R1167" s="4" t="s">
        <v>420</v>
      </c>
      <c r="S1167" s="20">
        <v>8</v>
      </c>
      <c r="T1167" s="2">
        <v>8</v>
      </c>
    </row>
    <row r="1168" spans="1:32">
      <c r="A1168" s="7">
        <f>MAX($A$1:$A1167)+1</f>
        <v>1167</v>
      </c>
      <c r="B1168" s="27" t="s">
        <v>269</v>
      </c>
      <c r="C1168" s="2" t="s">
        <v>409</v>
      </c>
      <c r="D1168" s="2" t="s">
        <v>37</v>
      </c>
      <c r="E1168" s="7" t="s">
        <v>404</v>
      </c>
      <c r="F1168" s="4">
        <v>48.901183000000003</v>
      </c>
      <c r="G1168" s="18">
        <v>-125.060433</v>
      </c>
      <c r="H1168" s="5" t="s">
        <v>13</v>
      </c>
      <c r="I1168" s="2">
        <v>3</v>
      </c>
      <c r="J1168" s="2">
        <v>320</v>
      </c>
      <c r="K1168" s="6">
        <v>0.55833333333333335</v>
      </c>
      <c r="L1168" s="2" t="s">
        <v>270</v>
      </c>
      <c r="M1168" s="2">
        <v>7</v>
      </c>
      <c r="N1168" s="2">
        <v>2</v>
      </c>
      <c r="O1168" s="2">
        <v>2</v>
      </c>
      <c r="P1168" s="2" t="s">
        <v>249</v>
      </c>
      <c r="Q1168" s="7" t="s">
        <v>90</v>
      </c>
      <c r="R1168" s="4" t="s">
        <v>352</v>
      </c>
      <c r="S1168" s="20">
        <v>3</v>
      </c>
      <c r="T1168" s="2">
        <v>3</v>
      </c>
    </row>
    <row r="1169" spans="1:25">
      <c r="A1169" s="7">
        <f>MAX($A$1:$A1168)+1</f>
        <v>1168</v>
      </c>
      <c r="B1169" s="27" t="s">
        <v>269</v>
      </c>
      <c r="C1169" s="2" t="s">
        <v>409</v>
      </c>
      <c r="D1169" s="2" t="s">
        <v>37</v>
      </c>
      <c r="E1169" s="7" t="s">
        <v>404</v>
      </c>
      <c r="F1169" s="4">
        <v>48.901183000000003</v>
      </c>
      <c r="G1169" s="18">
        <v>-125.060433</v>
      </c>
      <c r="H1169" s="5" t="s">
        <v>13</v>
      </c>
      <c r="I1169" s="2">
        <v>3</v>
      </c>
      <c r="J1169" s="2">
        <v>320</v>
      </c>
      <c r="K1169" s="6">
        <v>0.55833333333333335</v>
      </c>
      <c r="L1169" s="2" t="s">
        <v>270</v>
      </c>
      <c r="M1169" s="2">
        <v>7</v>
      </c>
      <c r="N1169" s="2">
        <v>2</v>
      </c>
      <c r="O1169" s="2">
        <v>2</v>
      </c>
      <c r="P1169" s="2" t="s">
        <v>331</v>
      </c>
      <c r="Q1169" s="7" t="s">
        <v>67</v>
      </c>
      <c r="R1169" s="4" t="s">
        <v>332</v>
      </c>
      <c r="S1169" s="20">
        <v>67</v>
      </c>
      <c r="T1169" s="2">
        <v>67</v>
      </c>
    </row>
    <row r="1170" spans="1:25">
      <c r="A1170" s="7">
        <f>MAX($A$1:$A1169)+1</f>
        <v>1169</v>
      </c>
      <c r="B1170" s="27" t="s">
        <v>269</v>
      </c>
      <c r="C1170" s="2" t="s">
        <v>409</v>
      </c>
      <c r="D1170" s="2" t="s">
        <v>37</v>
      </c>
      <c r="E1170" s="7" t="s">
        <v>404</v>
      </c>
      <c r="F1170" s="4">
        <v>48.901183000000003</v>
      </c>
      <c r="G1170" s="18">
        <v>-125.060433</v>
      </c>
      <c r="H1170" s="5" t="s">
        <v>13</v>
      </c>
      <c r="I1170" s="2">
        <v>3</v>
      </c>
      <c r="J1170" s="2">
        <v>320</v>
      </c>
      <c r="K1170" s="6">
        <v>0.55833333333333335</v>
      </c>
      <c r="L1170" s="2" t="s">
        <v>270</v>
      </c>
      <c r="M1170" s="2">
        <v>7</v>
      </c>
      <c r="N1170" s="2">
        <v>2</v>
      </c>
      <c r="O1170" s="2">
        <v>2</v>
      </c>
      <c r="P1170" s="2" t="s">
        <v>296</v>
      </c>
      <c r="Q1170" s="7" t="s">
        <v>75</v>
      </c>
      <c r="R1170" s="4" t="s">
        <v>297</v>
      </c>
      <c r="S1170" s="20">
        <v>12</v>
      </c>
      <c r="T1170" s="2">
        <v>12</v>
      </c>
    </row>
    <row r="1171" spans="1:25">
      <c r="A1171" s="7">
        <f>MAX($A$1:$A1170)+1</f>
        <v>1170</v>
      </c>
      <c r="B1171" s="27" t="s">
        <v>269</v>
      </c>
      <c r="C1171" s="2" t="s">
        <v>409</v>
      </c>
      <c r="D1171" s="2" t="s">
        <v>37</v>
      </c>
      <c r="E1171" s="7" t="s">
        <v>404</v>
      </c>
      <c r="F1171" s="4">
        <v>48.901183000000003</v>
      </c>
      <c r="G1171" s="18">
        <v>-125.060433</v>
      </c>
      <c r="H1171" s="5" t="s">
        <v>13</v>
      </c>
      <c r="I1171" s="2">
        <v>3</v>
      </c>
      <c r="J1171" s="2">
        <v>320</v>
      </c>
      <c r="K1171" s="6">
        <v>0.55833333333333335</v>
      </c>
      <c r="L1171" s="2" t="s">
        <v>270</v>
      </c>
      <c r="M1171" s="2">
        <v>7</v>
      </c>
      <c r="N1171" s="2">
        <v>2</v>
      </c>
      <c r="O1171" s="2">
        <v>2</v>
      </c>
      <c r="P1171" s="2" t="s">
        <v>444</v>
      </c>
      <c r="Q1171" s="7" t="s">
        <v>149</v>
      </c>
      <c r="R1171" s="4" t="s">
        <v>445</v>
      </c>
      <c r="S1171" s="20">
        <v>1</v>
      </c>
      <c r="T1171" s="2">
        <v>1</v>
      </c>
    </row>
    <row r="1172" spans="1:25">
      <c r="A1172" s="7">
        <f>MAX($A$1:$A1171)+1</f>
        <v>1171</v>
      </c>
      <c r="B1172" s="27" t="s">
        <v>269</v>
      </c>
      <c r="C1172" s="2" t="s">
        <v>409</v>
      </c>
      <c r="D1172" s="2" t="s">
        <v>37</v>
      </c>
      <c r="E1172" s="7" t="s">
        <v>404</v>
      </c>
      <c r="F1172" s="4">
        <v>48.901183000000003</v>
      </c>
      <c r="G1172" s="18">
        <v>-125.060433</v>
      </c>
      <c r="H1172" s="5" t="s">
        <v>13</v>
      </c>
      <c r="I1172" s="2">
        <v>3</v>
      </c>
      <c r="J1172" s="2">
        <v>320</v>
      </c>
      <c r="K1172" s="6">
        <v>0.55833333333333335</v>
      </c>
      <c r="L1172" s="2" t="s">
        <v>270</v>
      </c>
      <c r="M1172" s="2">
        <v>7</v>
      </c>
      <c r="N1172" s="2">
        <v>2</v>
      </c>
      <c r="O1172" s="2">
        <v>2</v>
      </c>
      <c r="P1172" s="2" t="s">
        <v>338</v>
      </c>
      <c r="Q1172" s="7" t="s">
        <v>101</v>
      </c>
      <c r="R1172" s="4" t="s">
        <v>339</v>
      </c>
      <c r="S1172" s="20">
        <v>6</v>
      </c>
      <c r="T1172" s="2">
        <v>0</v>
      </c>
      <c r="V1172" s="2">
        <v>1</v>
      </c>
      <c r="W1172" s="2">
        <v>3</v>
      </c>
      <c r="X1172" s="2">
        <v>2</v>
      </c>
    </row>
    <row r="1173" spans="1:25">
      <c r="A1173" s="7">
        <f>MAX($A$1:$A1172)+1</f>
        <v>1172</v>
      </c>
      <c r="B1173" s="27" t="s">
        <v>269</v>
      </c>
      <c r="C1173" s="2" t="s">
        <v>409</v>
      </c>
      <c r="D1173" s="2" t="s">
        <v>37</v>
      </c>
      <c r="E1173" s="7" t="s">
        <v>404</v>
      </c>
      <c r="F1173" s="4">
        <v>48.901183000000003</v>
      </c>
      <c r="G1173" s="18">
        <v>-125.060433</v>
      </c>
      <c r="H1173" s="5" t="s">
        <v>13</v>
      </c>
      <c r="I1173" s="2">
        <v>3</v>
      </c>
      <c r="J1173" s="2">
        <v>320</v>
      </c>
      <c r="K1173" s="6">
        <v>0.55833333333333335</v>
      </c>
      <c r="L1173" s="2" t="s">
        <v>270</v>
      </c>
      <c r="M1173" s="2">
        <v>7</v>
      </c>
      <c r="N1173" s="2">
        <v>2</v>
      </c>
      <c r="O1173" s="2">
        <v>2</v>
      </c>
      <c r="P1173" s="2" t="s">
        <v>255</v>
      </c>
      <c r="Q1173" s="7" t="s">
        <v>79</v>
      </c>
      <c r="R1173" s="4" t="s">
        <v>443</v>
      </c>
      <c r="S1173" s="20">
        <v>4</v>
      </c>
      <c r="T1173" s="2">
        <v>4</v>
      </c>
    </row>
    <row r="1174" spans="1:25">
      <c r="A1174" s="7">
        <f>MAX($A$1:$A1173)+1</f>
        <v>1173</v>
      </c>
      <c r="B1174" s="27" t="s">
        <v>269</v>
      </c>
      <c r="C1174" s="2" t="s">
        <v>409</v>
      </c>
      <c r="D1174" s="2" t="s">
        <v>37</v>
      </c>
      <c r="E1174" s="7" t="s">
        <v>404</v>
      </c>
      <c r="F1174" s="4">
        <v>48.901183000000003</v>
      </c>
      <c r="G1174" s="18">
        <v>-125.060433</v>
      </c>
      <c r="H1174" s="5" t="s">
        <v>13</v>
      </c>
      <c r="I1174" s="2">
        <v>3</v>
      </c>
      <c r="J1174" s="2">
        <v>320</v>
      </c>
      <c r="K1174" s="6">
        <v>0.55833333333333335</v>
      </c>
      <c r="L1174" s="2" t="s">
        <v>270</v>
      </c>
      <c r="M1174" s="2">
        <v>7</v>
      </c>
      <c r="N1174" s="2">
        <v>2</v>
      </c>
      <c r="O1174" s="2">
        <v>2</v>
      </c>
      <c r="P1174" s="2" t="s">
        <v>310</v>
      </c>
      <c r="Q1174" s="7" t="s">
        <v>98</v>
      </c>
      <c r="R1174" s="4" t="s">
        <v>311</v>
      </c>
      <c r="S1174" s="20">
        <v>1</v>
      </c>
      <c r="T1174" s="2">
        <v>1</v>
      </c>
    </row>
    <row r="1175" spans="1:25">
      <c r="A1175" s="7">
        <f>MAX($A$1:$A1174)+1</f>
        <v>1174</v>
      </c>
      <c r="B1175" s="27" t="s">
        <v>269</v>
      </c>
      <c r="C1175" s="2" t="s">
        <v>409</v>
      </c>
      <c r="D1175" s="2" t="s">
        <v>37</v>
      </c>
      <c r="E1175" s="7" t="s">
        <v>404</v>
      </c>
      <c r="F1175" s="4">
        <v>48.901183000000003</v>
      </c>
      <c r="G1175" s="18">
        <v>-125.060433</v>
      </c>
      <c r="H1175" s="5" t="s">
        <v>13</v>
      </c>
      <c r="I1175" s="2">
        <v>3</v>
      </c>
      <c r="J1175" s="2">
        <v>320</v>
      </c>
      <c r="K1175" s="6">
        <v>0.55833333333333335</v>
      </c>
      <c r="L1175" s="2" t="s">
        <v>270</v>
      </c>
      <c r="M1175" s="2">
        <v>7</v>
      </c>
      <c r="N1175" s="2">
        <v>2</v>
      </c>
      <c r="O1175" s="2">
        <v>2</v>
      </c>
      <c r="P1175" s="2" t="s">
        <v>246</v>
      </c>
      <c r="Q1175" s="7" t="s">
        <v>66</v>
      </c>
      <c r="R1175" s="4" t="s">
        <v>318</v>
      </c>
      <c r="S1175" s="20">
        <v>6</v>
      </c>
      <c r="T1175" s="2">
        <v>0</v>
      </c>
      <c r="U1175" s="2">
        <v>1</v>
      </c>
      <c r="W1175" s="2">
        <v>3</v>
      </c>
      <c r="X1175" s="2">
        <v>2</v>
      </c>
    </row>
    <row r="1176" spans="1:25">
      <c r="A1176" s="7">
        <f>MAX($A$1:$A1175)+1</f>
        <v>1175</v>
      </c>
      <c r="B1176" s="27" t="s">
        <v>269</v>
      </c>
      <c r="C1176" s="2" t="s">
        <v>409</v>
      </c>
      <c r="D1176" s="2" t="s">
        <v>37</v>
      </c>
      <c r="E1176" s="7" t="s">
        <v>404</v>
      </c>
      <c r="F1176" s="4">
        <v>48.901183000000003</v>
      </c>
      <c r="G1176" s="18">
        <v>-125.060433</v>
      </c>
      <c r="H1176" s="5" t="s">
        <v>13</v>
      </c>
      <c r="I1176" s="2">
        <v>3</v>
      </c>
      <c r="J1176" s="2">
        <v>320</v>
      </c>
      <c r="K1176" s="6">
        <v>0.55833333333333335</v>
      </c>
      <c r="L1176" s="2" t="s">
        <v>270</v>
      </c>
      <c r="M1176" s="2">
        <v>7</v>
      </c>
      <c r="N1176" s="2">
        <v>2</v>
      </c>
      <c r="O1176" s="2">
        <v>2</v>
      </c>
      <c r="P1176" s="2" t="s">
        <v>243</v>
      </c>
      <c r="Q1176" s="7" t="s">
        <v>85</v>
      </c>
      <c r="R1176" s="4" t="s">
        <v>312</v>
      </c>
      <c r="S1176" s="20">
        <v>4</v>
      </c>
      <c r="T1176" s="2">
        <v>4</v>
      </c>
    </row>
    <row r="1177" spans="1:25">
      <c r="A1177" s="7">
        <f>MAX($A$1:$A1176)+1</f>
        <v>1176</v>
      </c>
      <c r="B1177" s="27" t="s">
        <v>269</v>
      </c>
      <c r="C1177" s="2" t="s">
        <v>409</v>
      </c>
      <c r="D1177" s="2" t="s">
        <v>37</v>
      </c>
      <c r="E1177" s="7" t="s">
        <v>404</v>
      </c>
      <c r="F1177" s="4">
        <v>48.901183000000003</v>
      </c>
      <c r="G1177" s="18">
        <v>-125.060433</v>
      </c>
      <c r="H1177" s="5" t="s">
        <v>13</v>
      </c>
      <c r="I1177" s="2">
        <v>3</v>
      </c>
      <c r="J1177" s="2">
        <v>320</v>
      </c>
      <c r="K1177" s="6">
        <v>0.55833333333333335</v>
      </c>
      <c r="L1177" s="2" t="s">
        <v>270</v>
      </c>
      <c r="M1177" s="2">
        <v>7</v>
      </c>
      <c r="N1177" s="2">
        <v>2</v>
      </c>
      <c r="O1177" s="2">
        <v>2</v>
      </c>
      <c r="P1177" s="2" t="s">
        <v>456</v>
      </c>
      <c r="Q1177" s="7" t="s">
        <v>151</v>
      </c>
      <c r="R1177" s="4" t="s">
        <v>457</v>
      </c>
      <c r="S1177" s="20">
        <v>2</v>
      </c>
      <c r="T1177" s="2">
        <v>2</v>
      </c>
    </row>
    <row r="1178" spans="1:25">
      <c r="A1178" s="7">
        <f>MAX($A$1:$A1177)+1</f>
        <v>1177</v>
      </c>
      <c r="B1178" s="27" t="s">
        <v>269</v>
      </c>
      <c r="C1178" s="2" t="s">
        <v>409</v>
      </c>
      <c r="D1178" s="2" t="s">
        <v>37</v>
      </c>
      <c r="E1178" s="7" t="s">
        <v>404</v>
      </c>
      <c r="F1178" s="4">
        <v>48.901183000000003</v>
      </c>
      <c r="G1178" s="18">
        <v>-125.060433</v>
      </c>
      <c r="H1178" s="5" t="s">
        <v>13</v>
      </c>
      <c r="I1178" s="2">
        <v>3</v>
      </c>
      <c r="J1178" s="2">
        <v>320</v>
      </c>
      <c r="K1178" s="6">
        <v>0.55833333333333335</v>
      </c>
      <c r="L1178" s="2" t="s">
        <v>270</v>
      </c>
      <c r="M1178" s="2">
        <v>7</v>
      </c>
      <c r="N1178" s="2">
        <v>2</v>
      </c>
      <c r="O1178" s="2">
        <v>2</v>
      </c>
      <c r="P1178" s="2" t="s">
        <v>448</v>
      </c>
      <c r="Q1178" s="7" t="s">
        <v>112</v>
      </c>
      <c r="R1178" s="4" t="s">
        <v>449</v>
      </c>
      <c r="S1178" s="20">
        <v>1</v>
      </c>
      <c r="T1178" s="2">
        <v>1</v>
      </c>
    </row>
    <row r="1179" spans="1:25">
      <c r="A1179" s="7">
        <f>MAX($A$1:$A1178)+1</f>
        <v>1178</v>
      </c>
      <c r="B1179" s="27" t="s">
        <v>269</v>
      </c>
      <c r="C1179" s="2" t="s">
        <v>409</v>
      </c>
      <c r="D1179" s="2" t="s">
        <v>37</v>
      </c>
      <c r="E1179" s="7" t="s">
        <v>404</v>
      </c>
      <c r="F1179" s="4">
        <v>48.901183000000003</v>
      </c>
      <c r="G1179" s="18">
        <v>-125.060433</v>
      </c>
      <c r="H1179" s="5" t="s">
        <v>13</v>
      </c>
      <c r="I1179" s="2">
        <v>3</v>
      </c>
      <c r="J1179" s="2">
        <v>320</v>
      </c>
      <c r="K1179" s="6">
        <v>0.55833333333333335</v>
      </c>
      <c r="L1179" s="2" t="s">
        <v>270</v>
      </c>
      <c r="M1179" s="2">
        <v>7</v>
      </c>
      <c r="N1179" s="2">
        <v>2</v>
      </c>
      <c r="O1179" s="2">
        <v>2</v>
      </c>
      <c r="P1179" s="2" t="s">
        <v>236</v>
      </c>
      <c r="Q1179" s="7" t="s">
        <v>44</v>
      </c>
      <c r="R1179" s="4" t="s">
        <v>369</v>
      </c>
      <c r="S1179" s="20">
        <v>1</v>
      </c>
      <c r="T1179" s="2">
        <v>0</v>
      </c>
      <c r="Y1179" s="2">
        <v>1</v>
      </c>
    </row>
    <row r="1180" spans="1:25">
      <c r="A1180" s="7">
        <f>MAX($A$1:$A1179)+1</f>
        <v>1179</v>
      </c>
      <c r="B1180" s="27" t="s">
        <v>269</v>
      </c>
      <c r="C1180" s="2" t="s">
        <v>409</v>
      </c>
      <c r="D1180" s="2" t="s">
        <v>37</v>
      </c>
      <c r="E1180" s="7" t="s">
        <v>404</v>
      </c>
      <c r="F1180" s="4">
        <v>48.901183000000003</v>
      </c>
      <c r="G1180" s="18">
        <v>-125.060433</v>
      </c>
      <c r="H1180" s="5" t="s">
        <v>13</v>
      </c>
      <c r="I1180" s="2">
        <v>3</v>
      </c>
      <c r="J1180" s="2">
        <v>320</v>
      </c>
      <c r="K1180" s="6">
        <v>0.55833333333333335</v>
      </c>
      <c r="L1180" s="2" t="s">
        <v>270</v>
      </c>
      <c r="M1180" s="2">
        <v>7</v>
      </c>
      <c r="N1180" s="2">
        <v>2</v>
      </c>
      <c r="O1180" s="2">
        <v>2</v>
      </c>
      <c r="P1180" s="2" t="s">
        <v>239</v>
      </c>
      <c r="Q1180" s="7" t="s">
        <v>80</v>
      </c>
      <c r="R1180" s="4" t="s">
        <v>300</v>
      </c>
      <c r="S1180" s="20">
        <v>1</v>
      </c>
      <c r="T1180" s="2">
        <v>1</v>
      </c>
    </row>
    <row r="1181" spans="1:25">
      <c r="A1181" s="7">
        <f>MAX($A$1:$A1180)+1</f>
        <v>1180</v>
      </c>
      <c r="B1181" s="27" t="s">
        <v>269</v>
      </c>
      <c r="C1181" s="2" t="s">
        <v>409</v>
      </c>
      <c r="D1181" s="2" t="s">
        <v>37</v>
      </c>
      <c r="E1181" s="7" t="s">
        <v>404</v>
      </c>
      <c r="F1181" s="4">
        <v>48.901183000000003</v>
      </c>
      <c r="G1181" s="18">
        <v>-125.060433</v>
      </c>
      <c r="H1181" s="5" t="s">
        <v>13</v>
      </c>
      <c r="I1181" s="2">
        <v>3</v>
      </c>
      <c r="J1181" s="2">
        <v>320</v>
      </c>
      <c r="K1181" s="6">
        <v>0.55833333333333335</v>
      </c>
      <c r="L1181" s="2" t="s">
        <v>270</v>
      </c>
      <c r="M1181" s="2">
        <v>7</v>
      </c>
      <c r="N1181" s="2">
        <v>2</v>
      </c>
      <c r="O1181" s="2">
        <v>2</v>
      </c>
      <c r="P1181" s="2" t="s">
        <v>254</v>
      </c>
      <c r="Q1181" s="7" t="s">
        <v>108</v>
      </c>
      <c r="R1181" s="4" t="s">
        <v>385</v>
      </c>
      <c r="S1181" s="20">
        <v>1</v>
      </c>
      <c r="T1181" s="2">
        <v>0</v>
      </c>
      <c r="X1181" s="2">
        <v>1</v>
      </c>
    </row>
    <row r="1182" spans="1:25">
      <c r="A1182" s="7">
        <f>MAX($A$1:$A1181)+1</f>
        <v>1181</v>
      </c>
      <c r="B1182" s="27" t="s">
        <v>269</v>
      </c>
      <c r="C1182" s="2" t="s">
        <v>409</v>
      </c>
      <c r="D1182" s="2" t="s">
        <v>37</v>
      </c>
      <c r="E1182" s="7" t="s">
        <v>404</v>
      </c>
      <c r="F1182" s="4">
        <v>48.901183000000003</v>
      </c>
      <c r="G1182" s="18">
        <v>-125.060433</v>
      </c>
      <c r="H1182" s="5" t="s">
        <v>13</v>
      </c>
      <c r="I1182" s="2">
        <v>3</v>
      </c>
      <c r="J1182" s="2">
        <v>320</v>
      </c>
      <c r="K1182" s="6">
        <v>0.55833333333333335</v>
      </c>
      <c r="L1182" s="2" t="s">
        <v>270</v>
      </c>
      <c r="M1182" s="2">
        <v>7</v>
      </c>
      <c r="N1182" s="2">
        <v>2</v>
      </c>
      <c r="O1182" s="2">
        <v>2</v>
      </c>
      <c r="P1182" s="2" t="s">
        <v>442</v>
      </c>
      <c r="Q1182" s="7" t="s">
        <v>148</v>
      </c>
      <c r="R1182" s="4" t="s">
        <v>317</v>
      </c>
      <c r="S1182" s="20">
        <v>1</v>
      </c>
      <c r="T1182" s="2">
        <v>1</v>
      </c>
    </row>
    <row r="1183" spans="1:25">
      <c r="A1183" s="7">
        <f>MAX($A$1:$A1182)+1</f>
        <v>1182</v>
      </c>
      <c r="B1183" s="27" t="s">
        <v>269</v>
      </c>
      <c r="C1183" s="2" t="s">
        <v>409</v>
      </c>
      <c r="D1183" s="2" t="s">
        <v>37</v>
      </c>
      <c r="E1183" s="7" t="s">
        <v>404</v>
      </c>
      <c r="F1183" s="4">
        <v>48.901183000000003</v>
      </c>
      <c r="G1183" s="18">
        <v>-125.060433</v>
      </c>
      <c r="H1183" s="5" t="s">
        <v>13</v>
      </c>
      <c r="I1183" s="2">
        <v>3</v>
      </c>
      <c r="J1183" s="2">
        <v>320</v>
      </c>
      <c r="K1183" s="6">
        <v>0.55833333333333335</v>
      </c>
      <c r="L1183" s="2" t="s">
        <v>270</v>
      </c>
      <c r="M1183" s="2">
        <v>7</v>
      </c>
      <c r="N1183" s="2">
        <v>2</v>
      </c>
      <c r="O1183" s="2">
        <v>2</v>
      </c>
      <c r="P1183" s="2" t="s">
        <v>244</v>
      </c>
      <c r="Q1183" s="7" t="s">
        <v>65</v>
      </c>
      <c r="R1183" s="4" t="s">
        <v>307</v>
      </c>
      <c r="S1183" s="20">
        <v>3</v>
      </c>
      <c r="T1183" s="2">
        <v>3</v>
      </c>
    </row>
    <row r="1184" spans="1:25">
      <c r="A1184" s="7">
        <f>MAX($A$1:$A1183)+1</f>
        <v>1183</v>
      </c>
      <c r="B1184" s="27" t="s">
        <v>269</v>
      </c>
      <c r="C1184" s="2" t="s">
        <v>409</v>
      </c>
      <c r="D1184" s="2" t="s">
        <v>37</v>
      </c>
      <c r="E1184" s="7" t="s">
        <v>404</v>
      </c>
      <c r="F1184" s="4">
        <v>48.901183000000003</v>
      </c>
      <c r="G1184" s="18">
        <v>-125.060433</v>
      </c>
      <c r="H1184" s="5" t="s">
        <v>13</v>
      </c>
      <c r="I1184" s="2">
        <v>3</v>
      </c>
      <c r="J1184" s="2">
        <v>320</v>
      </c>
      <c r="K1184" s="6">
        <v>0.55833333333333335</v>
      </c>
      <c r="L1184" s="2" t="s">
        <v>270</v>
      </c>
      <c r="M1184" s="2">
        <v>7</v>
      </c>
      <c r="N1184" s="2">
        <v>2</v>
      </c>
      <c r="O1184" s="2">
        <v>2</v>
      </c>
      <c r="P1184" s="2" t="s">
        <v>388</v>
      </c>
      <c r="Q1184" s="7" t="s">
        <v>82</v>
      </c>
      <c r="R1184" s="4" t="s">
        <v>389</v>
      </c>
      <c r="S1184" s="20">
        <v>2</v>
      </c>
      <c r="T1184" s="2">
        <v>2</v>
      </c>
    </row>
    <row r="1185" spans="1:33">
      <c r="A1185" s="7">
        <f>MAX($A$1:$A1184)+1</f>
        <v>1184</v>
      </c>
      <c r="B1185" s="2" t="s">
        <v>171</v>
      </c>
      <c r="C1185" s="2" t="s">
        <v>504</v>
      </c>
      <c r="D1185" s="2" t="s">
        <v>37</v>
      </c>
      <c r="E1185" s="7" t="s">
        <v>404</v>
      </c>
      <c r="F1185" s="4">
        <v>48.901183000000003</v>
      </c>
      <c r="G1185" s="18">
        <v>-125.060433</v>
      </c>
      <c r="H1185" s="5" t="s">
        <v>13</v>
      </c>
      <c r="I1185" s="2">
        <v>3</v>
      </c>
      <c r="J1185" s="2">
        <v>340</v>
      </c>
      <c r="K1185" s="6">
        <v>0.55833333333333335</v>
      </c>
      <c r="L1185" s="2" t="s">
        <v>172</v>
      </c>
      <c r="M1185" s="2">
        <v>9</v>
      </c>
      <c r="N1185" s="2">
        <v>1</v>
      </c>
      <c r="O1185" s="2">
        <v>2</v>
      </c>
      <c r="P1185" s="2" t="s">
        <v>232</v>
      </c>
      <c r="Q1185" s="7" t="s">
        <v>43</v>
      </c>
      <c r="R1185" s="4" t="s">
        <v>324</v>
      </c>
      <c r="S1185" s="20">
        <v>9</v>
      </c>
      <c r="T1185" s="2">
        <v>0</v>
      </c>
      <c r="Y1185" s="2">
        <v>1</v>
      </c>
      <c r="Z1185" s="2">
        <v>2</v>
      </c>
      <c r="AA1185" s="2">
        <v>4</v>
      </c>
      <c r="AB1185" s="2">
        <v>1</v>
      </c>
      <c r="AC1185" s="2">
        <v>1</v>
      </c>
    </row>
    <row r="1186" spans="1:33">
      <c r="A1186" s="7">
        <f>MAX($A$1:$A1185)+1</f>
        <v>1185</v>
      </c>
      <c r="B1186" s="2" t="s">
        <v>171</v>
      </c>
      <c r="C1186" s="2" t="s">
        <v>504</v>
      </c>
      <c r="D1186" s="2" t="s">
        <v>37</v>
      </c>
      <c r="E1186" s="7" t="s">
        <v>404</v>
      </c>
      <c r="F1186" s="4">
        <v>48.901183000000003</v>
      </c>
      <c r="G1186" s="18">
        <v>-125.060433</v>
      </c>
      <c r="H1186" s="5" t="s">
        <v>13</v>
      </c>
      <c r="I1186" s="2">
        <v>3</v>
      </c>
      <c r="J1186" s="2">
        <v>340</v>
      </c>
      <c r="K1186" s="6">
        <v>0.55833333333333335</v>
      </c>
      <c r="L1186" s="2" t="s">
        <v>172</v>
      </c>
      <c r="M1186" s="2">
        <v>9</v>
      </c>
      <c r="N1186" s="2">
        <v>1</v>
      </c>
      <c r="O1186" s="2">
        <v>2</v>
      </c>
      <c r="P1186" s="2" t="s">
        <v>237</v>
      </c>
      <c r="Q1186" s="7" t="s">
        <v>51</v>
      </c>
      <c r="R1186" s="4" t="s">
        <v>368</v>
      </c>
      <c r="S1186" s="20">
        <v>1</v>
      </c>
      <c r="T1186" s="2">
        <v>0</v>
      </c>
      <c r="AG1186" s="2">
        <v>1</v>
      </c>
    </row>
    <row r="1187" spans="1:33">
      <c r="A1187" s="7">
        <f>MAX($A$1:$A1186)+1</f>
        <v>1186</v>
      </c>
      <c r="B1187" s="2" t="s">
        <v>171</v>
      </c>
      <c r="C1187" s="2" t="s">
        <v>504</v>
      </c>
      <c r="D1187" s="2" t="s">
        <v>37</v>
      </c>
      <c r="E1187" s="7" t="s">
        <v>404</v>
      </c>
      <c r="F1187" s="4">
        <v>48.901183000000003</v>
      </c>
      <c r="G1187" s="18">
        <v>-125.060433</v>
      </c>
      <c r="H1187" s="5" t="s">
        <v>13</v>
      </c>
      <c r="I1187" s="2">
        <v>3</v>
      </c>
      <c r="J1187" s="2">
        <v>340</v>
      </c>
      <c r="K1187" s="6">
        <v>0.55833333333333335</v>
      </c>
      <c r="L1187" s="2" t="s">
        <v>172</v>
      </c>
      <c r="M1187" s="2">
        <v>9</v>
      </c>
      <c r="N1187" s="2">
        <v>1</v>
      </c>
      <c r="O1187" s="2">
        <v>2</v>
      </c>
      <c r="P1187" s="2" t="s">
        <v>230</v>
      </c>
      <c r="Q1187" s="7" t="s">
        <v>42</v>
      </c>
      <c r="R1187" s="4" t="s">
        <v>321</v>
      </c>
      <c r="S1187" s="20">
        <v>6</v>
      </c>
      <c r="T1187" s="2">
        <v>0</v>
      </c>
      <c r="V1187" s="2">
        <v>1</v>
      </c>
      <c r="W1187" s="2">
        <v>5</v>
      </c>
    </row>
    <row r="1188" spans="1:33">
      <c r="A1188" s="7">
        <f>MAX($A$1:$A1187)+1</f>
        <v>1187</v>
      </c>
      <c r="B1188" s="2" t="s">
        <v>171</v>
      </c>
      <c r="C1188" s="2" t="s">
        <v>504</v>
      </c>
      <c r="D1188" s="2" t="s">
        <v>37</v>
      </c>
      <c r="E1188" s="7" t="s">
        <v>404</v>
      </c>
      <c r="F1188" s="4">
        <v>48.901183000000003</v>
      </c>
      <c r="G1188" s="18">
        <v>-125.060433</v>
      </c>
      <c r="H1188" s="5" t="s">
        <v>13</v>
      </c>
      <c r="I1188" s="2">
        <v>3</v>
      </c>
      <c r="J1188" s="2">
        <v>340</v>
      </c>
      <c r="K1188" s="6">
        <v>0.55833333333333335</v>
      </c>
      <c r="L1188" s="2" t="s">
        <v>172</v>
      </c>
      <c r="M1188" s="2">
        <v>9</v>
      </c>
      <c r="N1188" s="2">
        <v>2</v>
      </c>
      <c r="O1188" s="2">
        <v>2</v>
      </c>
      <c r="P1188" s="2" t="s">
        <v>305</v>
      </c>
      <c r="Q1188" s="7" t="s">
        <v>89</v>
      </c>
      <c r="R1188" s="4" t="s">
        <v>306</v>
      </c>
      <c r="S1188" s="20">
        <v>2</v>
      </c>
      <c r="T1188" s="2">
        <v>0</v>
      </c>
      <c r="U1188" s="2">
        <v>1</v>
      </c>
      <c r="X1188" s="2">
        <v>1</v>
      </c>
    </row>
    <row r="1189" spans="1:33">
      <c r="A1189" s="7">
        <f>MAX($A$1:$A1188)+1</f>
        <v>1188</v>
      </c>
      <c r="B1189" s="2" t="s">
        <v>171</v>
      </c>
      <c r="C1189" s="2" t="s">
        <v>504</v>
      </c>
      <c r="D1189" s="2" t="s">
        <v>37</v>
      </c>
      <c r="E1189" s="7" t="s">
        <v>404</v>
      </c>
      <c r="F1189" s="4">
        <v>48.901183000000003</v>
      </c>
      <c r="G1189" s="18">
        <v>-125.060433</v>
      </c>
      <c r="H1189" s="5" t="s">
        <v>13</v>
      </c>
      <c r="I1189" s="2">
        <v>3</v>
      </c>
      <c r="J1189" s="2">
        <v>340</v>
      </c>
      <c r="K1189" s="6">
        <v>0.55833333333333335</v>
      </c>
      <c r="L1189" s="2" t="s">
        <v>172</v>
      </c>
      <c r="M1189" s="2">
        <v>9</v>
      </c>
      <c r="N1189" s="2">
        <v>2</v>
      </c>
      <c r="O1189" s="2">
        <v>2</v>
      </c>
      <c r="P1189" s="2" t="s">
        <v>241</v>
      </c>
      <c r="Q1189" s="7" t="s">
        <v>63</v>
      </c>
      <c r="R1189" s="4" t="s">
        <v>294</v>
      </c>
      <c r="S1189" s="20">
        <v>45</v>
      </c>
      <c r="T1189" s="2">
        <v>45</v>
      </c>
    </row>
    <row r="1190" spans="1:33">
      <c r="A1190" s="7">
        <f>MAX($A$1:$A1189)+1</f>
        <v>1189</v>
      </c>
      <c r="B1190" s="2" t="s">
        <v>171</v>
      </c>
      <c r="C1190" s="2" t="s">
        <v>504</v>
      </c>
      <c r="D1190" s="2" t="s">
        <v>37</v>
      </c>
      <c r="E1190" s="7" t="s">
        <v>404</v>
      </c>
      <c r="F1190" s="4">
        <v>48.901183000000003</v>
      </c>
      <c r="G1190" s="18">
        <v>-125.060433</v>
      </c>
      <c r="H1190" s="5" t="s">
        <v>13</v>
      </c>
      <c r="I1190" s="2">
        <v>3</v>
      </c>
      <c r="J1190" s="2">
        <v>340</v>
      </c>
      <c r="K1190" s="6">
        <v>0.55833333333333335</v>
      </c>
      <c r="L1190" s="2" t="s">
        <v>172</v>
      </c>
      <c r="M1190" s="2">
        <v>9</v>
      </c>
      <c r="N1190" s="2">
        <v>2</v>
      </c>
      <c r="O1190" s="2">
        <v>2</v>
      </c>
      <c r="P1190" s="2" t="s">
        <v>238</v>
      </c>
      <c r="Q1190" s="7" t="s">
        <v>69</v>
      </c>
      <c r="R1190" s="4" t="s">
        <v>313</v>
      </c>
      <c r="S1190" s="20">
        <v>33</v>
      </c>
      <c r="T1190" s="2">
        <v>33</v>
      </c>
    </row>
    <row r="1191" spans="1:33">
      <c r="A1191" s="7">
        <f>MAX($A$1:$A1190)+1</f>
        <v>1190</v>
      </c>
      <c r="B1191" s="2" t="s">
        <v>171</v>
      </c>
      <c r="C1191" s="2" t="s">
        <v>504</v>
      </c>
      <c r="D1191" s="2" t="s">
        <v>37</v>
      </c>
      <c r="E1191" s="7" t="s">
        <v>404</v>
      </c>
      <c r="F1191" s="4">
        <v>48.901183000000003</v>
      </c>
      <c r="G1191" s="18">
        <v>-125.060433</v>
      </c>
      <c r="H1191" s="5" t="s">
        <v>13</v>
      </c>
      <c r="I1191" s="2">
        <v>3</v>
      </c>
      <c r="J1191" s="2">
        <v>340</v>
      </c>
      <c r="K1191" s="6">
        <v>0.55833333333333335</v>
      </c>
      <c r="L1191" s="2" t="s">
        <v>172</v>
      </c>
      <c r="M1191" s="2">
        <v>9</v>
      </c>
      <c r="N1191" s="2">
        <v>2</v>
      </c>
      <c r="O1191" s="2">
        <v>2</v>
      </c>
      <c r="P1191" s="2" t="s">
        <v>335</v>
      </c>
      <c r="Q1191" s="7" t="s">
        <v>91</v>
      </c>
      <c r="R1191" s="4" t="s">
        <v>336</v>
      </c>
      <c r="S1191" s="20">
        <v>4</v>
      </c>
      <c r="T1191" s="2">
        <v>4</v>
      </c>
    </row>
    <row r="1192" spans="1:33">
      <c r="A1192" s="7">
        <f>MAX($A$1:$A1191)+1</f>
        <v>1191</v>
      </c>
      <c r="B1192" s="2" t="s">
        <v>171</v>
      </c>
      <c r="C1192" s="2" t="s">
        <v>504</v>
      </c>
      <c r="D1192" s="2" t="s">
        <v>37</v>
      </c>
      <c r="E1192" s="7" t="s">
        <v>404</v>
      </c>
      <c r="F1192" s="4">
        <v>48.901183000000003</v>
      </c>
      <c r="G1192" s="18">
        <v>-125.060433</v>
      </c>
      <c r="H1192" s="5" t="s">
        <v>13</v>
      </c>
      <c r="I1192" s="2">
        <v>3</v>
      </c>
      <c r="J1192" s="2">
        <v>340</v>
      </c>
      <c r="K1192" s="6">
        <v>0.55833333333333335</v>
      </c>
      <c r="L1192" s="2" t="s">
        <v>172</v>
      </c>
      <c r="M1192" s="2">
        <v>9</v>
      </c>
      <c r="N1192" s="2">
        <v>2</v>
      </c>
      <c r="O1192" s="2">
        <v>2</v>
      </c>
      <c r="P1192" s="2" t="s">
        <v>247</v>
      </c>
      <c r="Q1192" s="7" t="s">
        <v>64</v>
      </c>
      <c r="R1192" s="4" t="s">
        <v>293</v>
      </c>
      <c r="S1192" s="20">
        <v>8</v>
      </c>
      <c r="T1192" s="2">
        <v>8</v>
      </c>
    </row>
    <row r="1193" spans="1:33">
      <c r="A1193" s="7">
        <f>MAX($A$1:$A1192)+1</f>
        <v>1192</v>
      </c>
      <c r="B1193" s="2" t="s">
        <v>171</v>
      </c>
      <c r="C1193" s="2" t="s">
        <v>504</v>
      </c>
      <c r="D1193" s="2" t="s">
        <v>37</v>
      </c>
      <c r="E1193" s="7" t="s">
        <v>404</v>
      </c>
      <c r="F1193" s="4">
        <v>48.901183000000003</v>
      </c>
      <c r="G1193" s="18">
        <v>-125.060433</v>
      </c>
      <c r="H1193" s="5" t="s">
        <v>13</v>
      </c>
      <c r="I1193" s="2">
        <v>3</v>
      </c>
      <c r="J1193" s="2">
        <v>340</v>
      </c>
      <c r="K1193" s="6">
        <v>0.55833333333333335</v>
      </c>
      <c r="L1193" s="2" t="s">
        <v>172</v>
      </c>
      <c r="M1193" s="2">
        <v>9</v>
      </c>
      <c r="N1193" s="2">
        <v>2</v>
      </c>
      <c r="O1193" s="2">
        <v>2</v>
      </c>
      <c r="P1193" s="2" t="s">
        <v>511</v>
      </c>
      <c r="Q1193" s="7" t="s">
        <v>512</v>
      </c>
      <c r="R1193" s="4" t="s">
        <v>445</v>
      </c>
      <c r="S1193" s="20">
        <v>2</v>
      </c>
      <c r="T1193" s="2">
        <v>2</v>
      </c>
    </row>
    <row r="1194" spans="1:33">
      <c r="A1194" s="7">
        <f>MAX($A$1:$A1193)+1</f>
        <v>1193</v>
      </c>
      <c r="B1194" s="2" t="s">
        <v>171</v>
      </c>
      <c r="C1194" s="2" t="s">
        <v>504</v>
      </c>
      <c r="D1194" s="2" t="s">
        <v>37</v>
      </c>
      <c r="E1194" s="7" t="s">
        <v>404</v>
      </c>
      <c r="F1194" s="4">
        <v>48.901183000000003</v>
      </c>
      <c r="G1194" s="18">
        <v>-125.060433</v>
      </c>
      <c r="H1194" s="5" t="s">
        <v>13</v>
      </c>
      <c r="I1194" s="2">
        <v>3</v>
      </c>
      <c r="J1194" s="2">
        <v>340</v>
      </c>
      <c r="K1194" s="6">
        <v>0.55833333333333335</v>
      </c>
      <c r="L1194" s="2" t="s">
        <v>172</v>
      </c>
      <c r="M1194" s="2">
        <v>9</v>
      </c>
      <c r="N1194" s="2">
        <v>2</v>
      </c>
      <c r="O1194" s="2">
        <v>2</v>
      </c>
      <c r="P1194" s="2" t="s">
        <v>230</v>
      </c>
      <c r="Q1194" s="7" t="s">
        <v>42</v>
      </c>
      <c r="R1194" s="4" t="s">
        <v>321</v>
      </c>
      <c r="S1194" s="20">
        <v>29</v>
      </c>
      <c r="T1194" s="2">
        <v>0</v>
      </c>
      <c r="U1194" s="2">
        <v>2</v>
      </c>
      <c r="V1194" s="2">
        <v>14</v>
      </c>
      <c r="W1194" s="2">
        <v>11</v>
      </c>
      <c r="X1194" s="2">
        <v>2</v>
      </c>
    </row>
    <row r="1195" spans="1:33">
      <c r="A1195" s="7">
        <f>MAX($A$1:$A1194)+1</f>
        <v>1194</v>
      </c>
      <c r="B1195" s="2" t="s">
        <v>171</v>
      </c>
      <c r="C1195" s="2" t="s">
        <v>504</v>
      </c>
      <c r="D1195" s="2" t="s">
        <v>37</v>
      </c>
      <c r="E1195" s="7" t="s">
        <v>404</v>
      </c>
      <c r="F1195" s="4">
        <v>48.901183000000003</v>
      </c>
      <c r="G1195" s="18">
        <v>-125.060433</v>
      </c>
      <c r="H1195" s="5" t="s">
        <v>13</v>
      </c>
      <c r="I1195" s="2">
        <v>3</v>
      </c>
      <c r="J1195" s="2">
        <v>340</v>
      </c>
      <c r="K1195" s="6">
        <v>0.55833333333333335</v>
      </c>
      <c r="L1195" s="2" t="s">
        <v>172</v>
      </c>
      <c r="M1195" s="2">
        <v>9</v>
      </c>
      <c r="N1195" s="2">
        <v>2</v>
      </c>
      <c r="O1195" s="2">
        <v>2</v>
      </c>
      <c r="P1195" s="2" t="s">
        <v>331</v>
      </c>
      <c r="Q1195" s="7" t="s">
        <v>67</v>
      </c>
      <c r="R1195" s="4" t="s">
        <v>332</v>
      </c>
      <c r="S1195" s="20">
        <v>14</v>
      </c>
      <c r="T1195" s="2">
        <v>14</v>
      </c>
    </row>
    <row r="1196" spans="1:33">
      <c r="A1196" s="7">
        <f>MAX($A$1:$A1195)+1</f>
        <v>1195</v>
      </c>
      <c r="B1196" s="2" t="s">
        <v>171</v>
      </c>
      <c r="C1196" s="2" t="s">
        <v>504</v>
      </c>
      <c r="D1196" s="2" t="s">
        <v>37</v>
      </c>
      <c r="E1196" s="7" t="s">
        <v>404</v>
      </c>
      <c r="F1196" s="4">
        <v>48.901183000000003</v>
      </c>
      <c r="G1196" s="18">
        <v>-125.060433</v>
      </c>
      <c r="H1196" s="5" t="s">
        <v>13</v>
      </c>
      <c r="I1196" s="2">
        <v>3</v>
      </c>
      <c r="J1196" s="2">
        <v>340</v>
      </c>
      <c r="K1196" s="6">
        <v>0.55833333333333335</v>
      </c>
      <c r="L1196" s="2" t="s">
        <v>172</v>
      </c>
      <c r="M1196" s="2">
        <v>9</v>
      </c>
      <c r="N1196" s="2">
        <v>2</v>
      </c>
      <c r="O1196" s="2">
        <v>2</v>
      </c>
      <c r="P1196" s="2" t="s">
        <v>301</v>
      </c>
      <c r="Q1196" s="7" t="s">
        <v>97</v>
      </c>
      <c r="R1196" s="4" t="s">
        <v>302</v>
      </c>
      <c r="S1196" s="20">
        <v>7</v>
      </c>
      <c r="T1196" s="2">
        <v>7</v>
      </c>
    </row>
    <row r="1197" spans="1:33">
      <c r="A1197" s="7">
        <f>MAX($A$1:$A1196)+1</f>
        <v>1196</v>
      </c>
      <c r="B1197" s="2" t="s">
        <v>171</v>
      </c>
      <c r="C1197" s="2" t="s">
        <v>504</v>
      </c>
      <c r="D1197" s="2" t="s">
        <v>37</v>
      </c>
      <c r="E1197" s="7" t="s">
        <v>404</v>
      </c>
      <c r="F1197" s="4">
        <v>48.901183000000003</v>
      </c>
      <c r="G1197" s="18">
        <v>-125.060433</v>
      </c>
      <c r="H1197" s="5" t="s">
        <v>13</v>
      </c>
      <c r="I1197" s="2">
        <v>3</v>
      </c>
      <c r="J1197" s="2">
        <v>340</v>
      </c>
      <c r="K1197" s="6">
        <v>0.55833333333333335</v>
      </c>
      <c r="L1197" s="2" t="s">
        <v>172</v>
      </c>
      <c r="M1197" s="2">
        <v>9</v>
      </c>
      <c r="N1197" s="2">
        <v>2</v>
      </c>
      <c r="O1197" s="2">
        <v>2</v>
      </c>
      <c r="P1197" s="2" t="s">
        <v>248</v>
      </c>
      <c r="Q1197" s="7" t="s">
        <v>78</v>
      </c>
      <c r="R1197" s="4" t="s">
        <v>349</v>
      </c>
      <c r="S1197" s="20">
        <v>8</v>
      </c>
      <c r="T1197" s="2">
        <v>0</v>
      </c>
      <c r="W1197" s="2">
        <v>3</v>
      </c>
      <c r="X1197" s="2">
        <v>2</v>
      </c>
      <c r="Y1197" s="2">
        <v>2</v>
      </c>
      <c r="Z1197" s="2">
        <v>1</v>
      </c>
    </row>
    <row r="1198" spans="1:33">
      <c r="A1198" s="7">
        <f>MAX($A$1:$A1197)+1</f>
        <v>1197</v>
      </c>
      <c r="B1198" s="2" t="s">
        <v>171</v>
      </c>
      <c r="C1198" s="2" t="s">
        <v>504</v>
      </c>
      <c r="D1198" s="2" t="s">
        <v>37</v>
      </c>
      <c r="E1198" s="7" t="s">
        <v>404</v>
      </c>
      <c r="F1198" s="4">
        <v>48.901183000000003</v>
      </c>
      <c r="G1198" s="18">
        <v>-125.060433</v>
      </c>
      <c r="H1198" s="5" t="s">
        <v>13</v>
      </c>
      <c r="I1198" s="2">
        <v>3</v>
      </c>
      <c r="J1198" s="2">
        <v>340</v>
      </c>
      <c r="K1198" s="6">
        <v>0.55833333333333335</v>
      </c>
      <c r="L1198" s="2" t="s">
        <v>172</v>
      </c>
      <c r="M1198" s="2">
        <v>9</v>
      </c>
      <c r="N1198" s="2">
        <v>2</v>
      </c>
      <c r="O1198" s="2">
        <v>2</v>
      </c>
      <c r="P1198" s="2" t="s">
        <v>250</v>
      </c>
      <c r="Q1198" s="7" t="s">
        <v>46</v>
      </c>
      <c r="R1198" s="4" t="s">
        <v>295</v>
      </c>
      <c r="S1198" s="20">
        <v>1</v>
      </c>
      <c r="T1198" s="2">
        <v>0</v>
      </c>
      <c r="V1198" s="2">
        <v>1</v>
      </c>
    </row>
    <row r="1199" spans="1:33">
      <c r="A1199" s="7">
        <f>MAX($A$1:$A1198)+1</f>
        <v>1198</v>
      </c>
      <c r="B1199" s="2" t="s">
        <v>171</v>
      </c>
      <c r="C1199" s="2" t="s">
        <v>504</v>
      </c>
      <c r="D1199" s="2" t="s">
        <v>37</v>
      </c>
      <c r="E1199" s="7" t="s">
        <v>404</v>
      </c>
      <c r="F1199" s="4">
        <v>48.901183000000003</v>
      </c>
      <c r="G1199" s="18">
        <v>-125.060433</v>
      </c>
      <c r="H1199" s="5" t="s">
        <v>13</v>
      </c>
      <c r="I1199" s="2">
        <v>3</v>
      </c>
      <c r="J1199" s="2">
        <v>340</v>
      </c>
      <c r="K1199" s="6">
        <v>0.55833333333333335</v>
      </c>
      <c r="L1199" s="2" t="s">
        <v>172</v>
      </c>
      <c r="M1199" s="2">
        <v>9</v>
      </c>
      <c r="N1199" s="2">
        <v>2</v>
      </c>
      <c r="O1199" s="2">
        <v>2</v>
      </c>
      <c r="P1199" s="2" t="s">
        <v>296</v>
      </c>
      <c r="Q1199" s="7" t="s">
        <v>75</v>
      </c>
      <c r="R1199" s="4" t="s">
        <v>297</v>
      </c>
      <c r="S1199" s="20">
        <v>6</v>
      </c>
      <c r="T1199" s="2">
        <v>6</v>
      </c>
    </row>
    <row r="1200" spans="1:33">
      <c r="A1200" s="7">
        <f>MAX($A$1:$A1199)+1</f>
        <v>1199</v>
      </c>
      <c r="B1200" s="2" t="s">
        <v>171</v>
      </c>
      <c r="C1200" s="2" t="s">
        <v>504</v>
      </c>
      <c r="D1200" s="2" t="s">
        <v>37</v>
      </c>
      <c r="E1200" s="7" t="s">
        <v>404</v>
      </c>
      <c r="F1200" s="4">
        <v>48.901183000000003</v>
      </c>
      <c r="G1200" s="18">
        <v>-125.060433</v>
      </c>
      <c r="H1200" s="5" t="s">
        <v>13</v>
      </c>
      <c r="I1200" s="2">
        <v>3</v>
      </c>
      <c r="J1200" s="2">
        <v>340</v>
      </c>
      <c r="K1200" s="6">
        <v>0.55833333333333335</v>
      </c>
      <c r="L1200" s="2" t="s">
        <v>172</v>
      </c>
      <c r="M1200" s="2">
        <v>9</v>
      </c>
      <c r="N1200" s="2">
        <v>2</v>
      </c>
      <c r="O1200" s="2">
        <v>2</v>
      </c>
      <c r="P1200" s="2" t="s">
        <v>298</v>
      </c>
      <c r="Q1200" s="7" t="s">
        <v>99</v>
      </c>
      <c r="R1200" s="4" t="s">
        <v>299</v>
      </c>
      <c r="S1200" s="20">
        <v>1</v>
      </c>
      <c r="T1200" s="2">
        <v>1</v>
      </c>
    </row>
    <row r="1201" spans="1:30">
      <c r="A1201" s="7">
        <f>MAX($A$1:$A1200)+1</f>
        <v>1200</v>
      </c>
      <c r="B1201" s="2" t="s">
        <v>171</v>
      </c>
      <c r="C1201" s="2" t="s">
        <v>504</v>
      </c>
      <c r="D1201" s="2" t="s">
        <v>37</v>
      </c>
      <c r="E1201" s="7" t="s">
        <v>404</v>
      </c>
      <c r="F1201" s="4">
        <v>48.901183000000003</v>
      </c>
      <c r="G1201" s="18">
        <v>-125.060433</v>
      </c>
      <c r="H1201" s="5" t="s">
        <v>13</v>
      </c>
      <c r="I1201" s="2">
        <v>3</v>
      </c>
      <c r="J1201" s="2">
        <v>340</v>
      </c>
      <c r="K1201" s="6">
        <v>0.55833333333333335</v>
      </c>
      <c r="L1201" s="2" t="s">
        <v>172</v>
      </c>
      <c r="M1201" s="2">
        <v>9</v>
      </c>
      <c r="N1201" s="2">
        <v>2</v>
      </c>
      <c r="O1201" s="2">
        <v>2</v>
      </c>
      <c r="P1201" s="2" t="s">
        <v>345</v>
      </c>
      <c r="Q1201" s="7" t="s">
        <v>127</v>
      </c>
      <c r="R1201" s="4" t="s">
        <v>346</v>
      </c>
      <c r="S1201" s="20">
        <v>10</v>
      </c>
      <c r="T1201" s="2">
        <v>10</v>
      </c>
    </row>
    <row r="1202" spans="1:30">
      <c r="A1202" s="7">
        <f>MAX($A$1:$A1201)+1</f>
        <v>1201</v>
      </c>
      <c r="B1202" s="2" t="s">
        <v>171</v>
      </c>
      <c r="C1202" s="2" t="s">
        <v>504</v>
      </c>
      <c r="D1202" s="2" t="s">
        <v>37</v>
      </c>
      <c r="E1202" s="7" t="s">
        <v>404</v>
      </c>
      <c r="F1202" s="4">
        <v>48.901183000000003</v>
      </c>
      <c r="G1202" s="18">
        <v>-125.060433</v>
      </c>
      <c r="H1202" s="5" t="s">
        <v>13</v>
      </c>
      <c r="I1202" s="2">
        <v>3</v>
      </c>
      <c r="J1202" s="2">
        <v>340</v>
      </c>
      <c r="K1202" s="6">
        <v>0.55833333333333335</v>
      </c>
      <c r="L1202" s="2" t="s">
        <v>172</v>
      </c>
      <c r="M1202" s="2">
        <v>9</v>
      </c>
      <c r="N1202" s="2">
        <v>2</v>
      </c>
      <c r="O1202" s="2">
        <v>2</v>
      </c>
      <c r="P1202" s="2" t="s">
        <v>366</v>
      </c>
      <c r="Q1202" s="7" t="s">
        <v>103</v>
      </c>
      <c r="R1202" s="4" t="s">
        <v>367</v>
      </c>
      <c r="S1202" s="20">
        <v>3</v>
      </c>
      <c r="T1202" s="2">
        <v>3</v>
      </c>
    </row>
    <row r="1203" spans="1:30">
      <c r="A1203" s="7">
        <f>MAX($A$1:$A1202)+1</f>
        <v>1202</v>
      </c>
      <c r="B1203" s="2" t="s">
        <v>171</v>
      </c>
      <c r="C1203" s="2" t="s">
        <v>504</v>
      </c>
      <c r="D1203" s="2" t="s">
        <v>37</v>
      </c>
      <c r="E1203" s="7" t="s">
        <v>404</v>
      </c>
      <c r="F1203" s="4">
        <v>48.901183000000003</v>
      </c>
      <c r="G1203" s="18">
        <v>-125.060433</v>
      </c>
      <c r="H1203" s="5" t="s">
        <v>13</v>
      </c>
      <c r="I1203" s="2">
        <v>3</v>
      </c>
      <c r="J1203" s="2">
        <v>340</v>
      </c>
      <c r="K1203" s="6">
        <v>0.55833333333333335</v>
      </c>
      <c r="L1203" s="2" t="s">
        <v>172</v>
      </c>
      <c r="M1203" s="2">
        <v>9</v>
      </c>
      <c r="N1203" s="2">
        <v>2</v>
      </c>
      <c r="O1203" s="2">
        <v>2</v>
      </c>
      <c r="P1203" s="2" t="s">
        <v>316</v>
      </c>
      <c r="Q1203" s="7" t="s">
        <v>123</v>
      </c>
      <c r="R1203" s="4" t="s">
        <v>317</v>
      </c>
      <c r="S1203" s="20">
        <v>4</v>
      </c>
      <c r="T1203" s="2">
        <v>4</v>
      </c>
    </row>
    <row r="1204" spans="1:30">
      <c r="A1204" s="7">
        <f>MAX($A$1:$A1203)+1</f>
        <v>1203</v>
      </c>
      <c r="B1204" s="2" t="s">
        <v>171</v>
      </c>
      <c r="C1204" s="2" t="s">
        <v>504</v>
      </c>
      <c r="D1204" s="2" t="s">
        <v>37</v>
      </c>
      <c r="E1204" s="7" t="s">
        <v>404</v>
      </c>
      <c r="F1204" s="4">
        <v>48.901183000000003</v>
      </c>
      <c r="G1204" s="18">
        <v>-125.060433</v>
      </c>
      <c r="H1204" s="5" t="s">
        <v>13</v>
      </c>
      <c r="I1204" s="2">
        <v>3</v>
      </c>
      <c r="J1204" s="2">
        <v>340</v>
      </c>
      <c r="K1204" s="6">
        <v>0.55833333333333335</v>
      </c>
      <c r="L1204" s="2" t="s">
        <v>172</v>
      </c>
      <c r="M1204" s="2">
        <v>9</v>
      </c>
      <c r="N1204" s="2">
        <v>2</v>
      </c>
      <c r="O1204" s="2">
        <v>2</v>
      </c>
      <c r="P1204" s="2" t="s">
        <v>249</v>
      </c>
      <c r="Q1204" s="7" t="s">
        <v>90</v>
      </c>
      <c r="R1204" s="4" t="s">
        <v>352</v>
      </c>
      <c r="S1204" s="20">
        <v>1</v>
      </c>
      <c r="T1204" s="2">
        <v>1</v>
      </c>
    </row>
    <row r="1205" spans="1:30">
      <c r="A1205" s="7">
        <f>MAX($A$1:$A1204)+1</f>
        <v>1204</v>
      </c>
      <c r="B1205" s="2" t="s">
        <v>171</v>
      </c>
      <c r="C1205" s="2" t="s">
        <v>504</v>
      </c>
      <c r="D1205" s="2" t="s">
        <v>37</v>
      </c>
      <c r="E1205" s="7" t="s">
        <v>404</v>
      </c>
      <c r="F1205" s="4">
        <v>48.901183000000003</v>
      </c>
      <c r="G1205" s="18">
        <v>-125.060433</v>
      </c>
      <c r="H1205" s="5" t="s">
        <v>13</v>
      </c>
      <c r="I1205" s="2">
        <v>3</v>
      </c>
      <c r="J1205" s="2">
        <v>340</v>
      </c>
      <c r="K1205" s="6">
        <v>0.55833333333333335</v>
      </c>
      <c r="L1205" s="2" t="s">
        <v>172</v>
      </c>
      <c r="M1205" s="2">
        <v>9</v>
      </c>
      <c r="N1205" s="2">
        <v>2</v>
      </c>
      <c r="O1205" s="2">
        <v>2</v>
      </c>
      <c r="P1205" s="2" t="s">
        <v>243</v>
      </c>
      <c r="Q1205" s="7" t="s">
        <v>85</v>
      </c>
      <c r="R1205" s="4" t="s">
        <v>312</v>
      </c>
      <c r="S1205" s="20">
        <v>3</v>
      </c>
      <c r="T1205" s="2">
        <v>3</v>
      </c>
    </row>
    <row r="1206" spans="1:30">
      <c r="A1206" s="7">
        <f>MAX($A$1:$A1205)+1</f>
        <v>1205</v>
      </c>
      <c r="B1206" s="2" t="s">
        <v>171</v>
      </c>
      <c r="C1206" s="2" t="s">
        <v>504</v>
      </c>
      <c r="D1206" s="2" t="s">
        <v>37</v>
      </c>
      <c r="E1206" s="7" t="s">
        <v>404</v>
      </c>
      <c r="F1206" s="4">
        <v>48.901183000000003</v>
      </c>
      <c r="G1206" s="18">
        <v>-125.060433</v>
      </c>
      <c r="H1206" s="5" t="s">
        <v>13</v>
      </c>
      <c r="I1206" s="2">
        <v>3</v>
      </c>
      <c r="J1206" s="2">
        <v>340</v>
      </c>
      <c r="K1206" s="6">
        <v>0.55833333333333335</v>
      </c>
      <c r="L1206" s="2" t="s">
        <v>172</v>
      </c>
      <c r="M1206" s="2">
        <v>9</v>
      </c>
      <c r="N1206" s="2">
        <v>2</v>
      </c>
      <c r="O1206" s="2">
        <v>2</v>
      </c>
      <c r="P1206" s="2" t="s">
        <v>401</v>
      </c>
      <c r="Q1206" s="7" t="s">
        <v>135</v>
      </c>
      <c r="R1206" s="4" t="s">
        <v>402</v>
      </c>
      <c r="S1206" s="20">
        <v>1</v>
      </c>
      <c r="T1206" s="2">
        <v>1</v>
      </c>
    </row>
    <row r="1207" spans="1:30">
      <c r="A1207" s="7">
        <f>MAX($A$1:$A1206)+1</f>
        <v>1206</v>
      </c>
      <c r="B1207" s="2" t="s">
        <v>171</v>
      </c>
      <c r="C1207" s="2" t="s">
        <v>504</v>
      </c>
      <c r="D1207" s="2" t="s">
        <v>37</v>
      </c>
      <c r="E1207" s="7" t="s">
        <v>404</v>
      </c>
      <c r="F1207" s="4">
        <v>48.901183000000003</v>
      </c>
      <c r="G1207" s="18">
        <v>-125.060433</v>
      </c>
      <c r="H1207" s="5" t="s">
        <v>13</v>
      </c>
      <c r="I1207" s="2">
        <v>3</v>
      </c>
      <c r="J1207" s="2">
        <v>340</v>
      </c>
      <c r="K1207" s="6">
        <v>0.55833333333333335</v>
      </c>
      <c r="L1207" s="2" t="s">
        <v>172</v>
      </c>
      <c r="M1207" s="2">
        <v>9</v>
      </c>
      <c r="N1207" s="2">
        <v>2</v>
      </c>
      <c r="O1207" s="2">
        <v>2</v>
      </c>
      <c r="P1207" s="2" t="s">
        <v>244</v>
      </c>
      <c r="Q1207" s="7" t="s">
        <v>65</v>
      </c>
      <c r="R1207" s="4" t="s">
        <v>307</v>
      </c>
      <c r="S1207" s="20">
        <v>1</v>
      </c>
      <c r="T1207" s="2">
        <v>1</v>
      </c>
    </row>
    <row r="1208" spans="1:30">
      <c r="A1208" s="7">
        <f>MAX($A$1:$A1207)+1</f>
        <v>1207</v>
      </c>
      <c r="B1208" s="2" t="s">
        <v>171</v>
      </c>
      <c r="C1208" s="2" t="s">
        <v>504</v>
      </c>
      <c r="D1208" s="2" t="s">
        <v>37</v>
      </c>
      <c r="E1208" s="7" t="s">
        <v>404</v>
      </c>
      <c r="F1208" s="4">
        <v>48.901183000000003</v>
      </c>
      <c r="G1208" s="18">
        <v>-125.060433</v>
      </c>
      <c r="H1208" s="5" t="s">
        <v>13</v>
      </c>
      <c r="I1208" s="2">
        <v>3</v>
      </c>
      <c r="J1208" s="2">
        <v>340</v>
      </c>
      <c r="K1208" s="6">
        <v>0.55833333333333335</v>
      </c>
      <c r="L1208" s="2" t="s">
        <v>172</v>
      </c>
      <c r="M1208" s="2">
        <v>9</v>
      </c>
      <c r="N1208" s="2">
        <v>2</v>
      </c>
      <c r="O1208" s="2">
        <v>2</v>
      </c>
      <c r="P1208" s="2" t="s">
        <v>246</v>
      </c>
      <c r="Q1208" s="7" t="s">
        <v>66</v>
      </c>
      <c r="R1208" s="4" t="s">
        <v>318</v>
      </c>
      <c r="S1208" s="20">
        <v>1</v>
      </c>
      <c r="T1208" s="2">
        <v>0</v>
      </c>
      <c r="V1208" s="2">
        <v>1</v>
      </c>
    </row>
    <row r="1209" spans="1:30">
      <c r="A1209" s="7">
        <f>MAX($A$1:$A1208)+1</f>
        <v>1208</v>
      </c>
      <c r="B1209" s="2" t="s">
        <v>171</v>
      </c>
      <c r="C1209" s="2" t="s">
        <v>504</v>
      </c>
      <c r="D1209" s="2" t="s">
        <v>37</v>
      </c>
      <c r="E1209" s="7" t="s">
        <v>404</v>
      </c>
      <c r="F1209" s="4">
        <v>48.901183000000003</v>
      </c>
      <c r="G1209" s="18">
        <v>-125.060433</v>
      </c>
      <c r="H1209" s="5" t="s">
        <v>13</v>
      </c>
      <c r="I1209" s="2">
        <v>3</v>
      </c>
      <c r="J1209" s="2">
        <v>340</v>
      </c>
      <c r="K1209" s="6">
        <v>0.55833333333333335</v>
      </c>
      <c r="L1209" s="2" t="s">
        <v>172</v>
      </c>
      <c r="M1209" s="2">
        <v>9</v>
      </c>
      <c r="N1209" s="2">
        <v>2</v>
      </c>
      <c r="O1209" s="2">
        <v>2</v>
      </c>
      <c r="P1209" s="2" t="s">
        <v>528</v>
      </c>
      <c r="Q1209" s="7" t="s">
        <v>95</v>
      </c>
      <c r="R1209" s="4" t="s">
        <v>529</v>
      </c>
      <c r="S1209" s="20">
        <v>1</v>
      </c>
      <c r="T1209" s="2">
        <v>1</v>
      </c>
    </row>
    <row r="1210" spans="1:30">
      <c r="A1210" s="7">
        <f>MAX($A$1:$A1209)+1</f>
        <v>1209</v>
      </c>
      <c r="B1210" s="2" t="s">
        <v>171</v>
      </c>
      <c r="C1210" s="2" t="s">
        <v>504</v>
      </c>
      <c r="D1210" s="2" t="s">
        <v>37</v>
      </c>
      <c r="E1210" s="7" t="s">
        <v>404</v>
      </c>
      <c r="F1210" s="4">
        <v>48.901183000000003</v>
      </c>
      <c r="G1210" s="18">
        <v>-125.060433</v>
      </c>
      <c r="H1210" s="5" t="s">
        <v>13</v>
      </c>
      <c r="I1210" s="2">
        <v>3</v>
      </c>
      <c r="J1210" s="2">
        <v>340</v>
      </c>
      <c r="K1210" s="6">
        <v>0.55833333333333335</v>
      </c>
      <c r="L1210" s="2" t="s">
        <v>172</v>
      </c>
      <c r="M1210" s="2">
        <v>9</v>
      </c>
      <c r="N1210" s="2">
        <v>0</v>
      </c>
      <c r="O1210" s="2">
        <v>0</v>
      </c>
      <c r="P1210" s="2" t="s">
        <v>259</v>
      </c>
      <c r="Q1210" s="7" t="s">
        <v>106</v>
      </c>
      <c r="R1210" s="4" t="s">
        <v>343</v>
      </c>
      <c r="S1210" s="20">
        <v>1</v>
      </c>
      <c r="T1210" s="2">
        <v>1</v>
      </c>
    </row>
    <row r="1211" spans="1:30">
      <c r="A1211" s="7">
        <f>MAX($A$1:$A1210)+1</f>
        <v>1210</v>
      </c>
      <c r="B1211" s="2" t="s">
        <v>171</v>
      </c>
      <c r="C1211" s="2" t="s">
        <v>504</v>
      </c>
      <c r="D1211" s="2" t="s">
        <v>37</v>
      </c>
      <c r="E1211" s="7" t="s">
        <v>404</v>
      </c>
      <c r="F1211" s="4">
        <v>48.901183000000003</v>
      </c>
      <c r="G1211" s="18">
        <v>-125.060433</v>
      </c>
      <c r="H1211" s="5" t="s">
        <v>13</v>
      </c>
      <c r="I1211" s="2">
        <v>3</v>
      </c>
      <c r="J1211" s="2">
        <v>340</v>
      </c>
      <c r="K1211" s="6">
        <v>0.55833333333333335</v>
      </c>
      <c r="L1211" s="2" t="s">
        <v>172</v>
      </c>
      <c r="M1211" s="2">
        <v>9</v>
      </c>
      <c r="N1211" s="2">
        <v>0</v>
      </c>
      <c r="O1211" s="2">
        <v>0</v>
      </c>
      <c r="P1211" s="2" t="s">
        <v>395</v>
      </c>
      <c r="Q1211" s="7" t="s">
        <v>81</v>
      </c>
      <c r="R1211" s="4" t="s">
        <v>396</v>
      </c>
      <c r="S1211" s="20">
        <v>1</v>
      </c>
      <c r="T1211" s="2">
        <v>1</v>
      </c>
    </row>
    <row r="1212" spans="1:30">
      <c r="A1212" s="7">
        <f>MAX($A$1:$A1211)+1</f>
        <v>1211</v>
      </c>
      <c r="B1212" s="2" t="s">
        <v>171</v>
      </c>
      <c r="C1212" s="2" t="s">
        <v>504</v>
      </c>
      <c r="D1212" s="2" t="s">
        <v>37</v>
      </c>
      <c r="E1212" s="7" t="s">
        <v>404</v>
      </c>
      <c r="F1212" s="4">
        <v>48.901183000000003</v>
      </c>
      <c r="G1212" s="18">
        <v>-125.060433</v>
      </c>
      <c r="H1212" s="5" t="s">
        <v>13</v>
      </c>
      <c r="I1212" s="2">
        <v>3</v>
      </c>
      <c r="J1212" s="2">
        <v>340</v>
      </c>
      <c r="K1212" s="6">
        <v>0.55833333333333335</v>
      </c>
      <c r="L1212" s="2" t="s">
        <v>172</v>
      </c>
      <c r="M1212" s="2">
        <v>9</v>
      </c>
      <c r="N1212" s="2">
        <v>0</v>
      </c>
      <c r="O1212" s="2">
        <v>0</v>
      </c>
      <c r="P1212" s="2" t="s">
        <v>305</v>
      </c>
      <c r="Q1212" s="7" t="s">
        <v>89</v>
      </c>
      <c r="R1212" s="4" t="s">
        <v>306</v>
      </c>
      <c r="S1212" s="20">
        <v>1</v>
      </c>
      <c r="T1212" s="2">
        <v>0</v>
      </c>
      <c r="AA1212" s="2">
        <v>1</v>
      </c>
    </row>
    <row r="1213" spans="1:30">
      <c r="A1213" s="7">
        <f>MAX($A$1:$A1212)+1</f>
        <v>1212</v>
      </c>
      <c r="B1213" s="2" t="s">
        <v>171</v>
      </c>
      <c r="C1213" s="2" t="s">
        <v>504</v>
      </c>
      <c r="D1213" s="2" t="s">
        <v>37</v>
      </c>
      <c r="E1213" s="7" t="s">
        <v>404</v>
      </c>
      <c r="F1213" s="4">
        <v>48.901183000000003</v>
      </c>
      <c r="G1213" s="18">
        <v>-125.060433</v>
      </c>
      <c r="H1213" s="5" t="s">
        <v>13</v>
      </c>
      <c r="I1213" s="2">
        <v>3</v>
      </c>
      <c r="J1213" s="2">
        <v>340</v>
      </c>
      <c r="K1213" s="6">
        <v>0.55833333333333335</v>
      </c>
      <c r="L1213" s="2" t="s">
        <v>172</v>
      </c>
      <c r="M1213" s="2">
        <v>9</v>
      </c>
      <c r="N1213" s="2">
        <v>0</v>
      </c>
      <c r="O1213" s="2">
        <v>0</v>
      </c>
      <c r="P1213" s="2" t="s">
        <v>255</v>
      </c>
      <c r="Q1213" s="7" t="s">
        <v>79</v>
      </c>
      <c r="R1213" s="4" t="s">
        <v>354</v>
      </c>
      <c r="S1213" s="20">
        <v>1</v>
      </c>
      <c r="T1213" s="2">
        <v>1</v>
      </c>
    </row>
    <row r="1214" spans="1:30">
      <c r="A1214" s="7">
        <f>MAX($A$1:$A1213)+1</f>
        <v>1213</v>
      </c>
      <c r="B1214" s="2" t="str">
        <f t="shared" ref="B1214:B1243" si="125">IF(ISERROR(B1213),IF(ISERROR(B1212),IF(ISERROR(B1211),"BLANK",B1211),B1212),B1213)</f>
        <v>Em Lim</v>
      </c>
      <c r="C1214" s="2" t="str">
        <f t="shared" ref="C1214:C1243" si="126">IF(ISERROR(C1213),IF(ISERROR(C1212),IF(ISERROR(C1211),"BLANK",C1211),C1212),C1213)</f>
        <v>Isabelle Côté</v>
      </c>
      <c r="D1214" s="27" t="s">
        <v>29</v>
      </c>
      <c r="E1214" s="7" t="str">
        <f>IF(ISERROR(VLOOKUP($D1214,SITES!$A:$E,2,FALSE)),"",VLOOKUP($D1214,SITES!$A:$E,2,FALSE))</f>
        <v>Ohiat</v>
      </c>
      <c r="F1214" s="4">
        <f>IF(ISERROR(VLOOKUP($D1214,SITES!$A:$E,3,FALSE)),"",VLOOKUP($D1214,SITES!$A:$E,3,FALSE))</f>
        <v>48.855583190917898</v>
      </c>
      <c r="G1214" s="18">
        <f>IF(ISERROR(VLOOKUP($D1214,SITES!$A:$E,4,FALSE)),"",VLOOKUP($D1214,SITES!$A:$E,4,FALSE))</f>
        <v>-125.183799743652</v>
      </c>
      <c r="H1214" s="5" t="str">
        <f t="shared" ref="H1214:H1243" si="127">IF(ISERROR(H1213),IF(ISERROR(H1212),IF(ISERROR(H1211),"BLANK",H1211),H1212),H1213)</f>
        <v>19/05/2023</v>
      </c>
      <c r="I1214" s="2">
        <v>1</v>
      </c>
      <c r="J1214" s="2">
        <v>270</v>
      </c>
      <c r="K1214" s="6">
        <v>0.52777777777777779</v>
      </c>
      <c r="L1214" s="2" t="str">
        <f t="shared" ref="L1214:L1243" si="128">IF(ISERROR(L1213),IF(ISERROR(L1212),IF(ISERROR(L1211),"BLANK",L1211),L1212),L1213)</f>
        <v>EGL</v>
      </c>
      <c r="M1214" s="2">
        <v>7.5</v>
      </c>
      <c r="N1214" s="2">
        <v>1</v>
      </c>
      <c r="O1214" s="2">
        <v>1</v>
      </c>
      <c r="P1214" s="27" t="s">
        <v>200</v>
      </c>
      <c r="Q1214" s="7" t="str">
        <f>IF($N1214=1,IF(ISERROR(VLOOKUP($P1214,'M1'!$A:$C,Q$2,FALSE)),"NOT PRESENT",VLOOKUP($P1214,'M1'!$A:$C,Q$2,FALSE)),IF($N1214=2,IF(ISERROR(VLOOKUP(DATA!$P265,'M2'!$A:$C,Q$2,FALSE)),"NOT PRESENT",VLOOKUP(DATA!$P265,'M2'!$A:$C,Q$2,FALSE)),IF($N1214=0,IF(ISERROR(VLOOKUP($P1214,'M1'!$A:$C,Q$2,FALSE)),IF(ISERROR(VLOOKUP(DATA!$P265,'M2'!$A:$C,Q$2,FALSE)),"NOT PRESENT",VLOOKUP(DATA!$P265,'M2'!$A:$C,Q$2,FALSE)),VLOOKUP($P1214,'M1'!$A:$C,Q$2,FALSE)),"SPECIFY METHOD")))</f>
        <v>NOT PRESENT</v>
      </c>
      <c r="R1214" s="4" t="str">
        <f>IF($N1214=1,IF(ISERROR(VLOOKUP($P1214,'M1'!$A:$C,R$2,FALSE)),"NOT PRESENT",VLOOKUP($P1214,'M1'!$A:$C,R$2,FALSE)),IF($N1214=2,IF(ISERROR(VLOOKUP(DATA!$P265,'M2'!$A:$C,R$2,FALSE)),"NOT PRESENT",VLOOKUP(DATA!$P265,'M2'!$A:$C,R$2,FALSE)),IF($N1214=0,IF(ISERROR(VLOOKUP($P1214,'M1'!$A:$C,R$2,FALSE)),IF(ISERROR(VLOOKUP(DATA!$P265,'M2'!$A:$C,R$2,FALSE)),"NOT PRESENT",VLOOKUP(DATA!$P265,'M2'!$A:$C,R$2,FALSE)),VLOOKUP($P1214,'M1'!$A:$C,R$2,FALSE)),"SPECIFY METHOD")))</f>
        <v>NOT PRESENT</v>
      </c>
      <c r="S1214" s="20">
        <f t="shared" ref="S1214:S1243" si="129">SUM(T1214:AV1214)</f>
        <v>3</v>
      </c>
      <c r="T1214" s="2">
        <v>0</v>
      </c>
      <c r="Z1214" s="2">
        <v>1</v>
      </c>
      <c r="AA1214" s="2">
        <v>1</v>
      </c>
      <c r="AB1214" s="2">
        <v>1</v>
      </c>
    </row>
    <row r="1215" spans="1:30">
      <c r="A1215" s="7">
        <f>MAX($A$1:$A1214)+1</f>
        <v>1214</v>
      </c>
      <c r="B1215" s="2" t="str">
        <f t="shared" si="125"/>
        <v>Em Lim</v>
      </c>
      <c r="C1215" s="2" t="str">
        <f t="shared" si="126"/>
        <v>Isabelle Côté</v>
      </c>
      <c r="D1215" s="2" t="str">
        <f t="shared" ref="D1215:D1243" si="130">IF(ISERROR(D1214),IF(ISERROR(D1213),IF(ISERROR(D1212),"BLANK",D1212),D1213),D1214)</f>
        <v>BMSC3</v>
      </c>
      <c r="E1215" s="7" t="str">
        <f>IF(ISERROR(VLOOKUP($D1215,SITES!$A:$E,2,FALSE)),"",VLOOKUP($D1215,SITES!$A:$E,2,FALSE))</f>
        <v>Ohiat</v>
      </c>
      <c r="F1215" s="4">
        <f>IF(ISERROR(VLOOKUP($D1215,SITES!$A:$E,3,FALSE)),"",VLOOKUP($D1215,SITES!$A:$E,3,FALSE))</f>
        <v>48.855583190917898</v>
      </c>
      <c r="G1215" s="18">
        <f>IF(ISERROR(VLOOKUP($D1215,SITES!$A:$E,4,FALSE)),"",VLOOKUP($D1215,SITES!$A:$E,4,FALSE))</f>
        <v>-125.183799743652</v>
      </c>
      <c r="H1215" s="5" t="str">
        <f t="shared" si="127"/>
        <v>19/05/2023</v>
      </c>
      <c r="I1215" s="2">
        <f t="shared" ref="I1215:I1243" si="131">IF(ISERROR(I1214),IF(ISERROR(I1213),IF(ISERROR(I1212),"BLANK",I1212),I1213),I1214)</f>
        <v>1</v>
      </c>
      <c r="J1215" s="2">
        <f t="shared" ref="J1215:J1243" si="132">IF(ISERROR(J1214),IF(ISERROR(J1213),IF(ISERROR(J1212),"BLANK",J1212),J1213),J1214)</f>
        <v>270</v>
      </c>
      <c r="K1215" s="6">
        <f t="shared" ref="K1215:K1243" si="133">IF(ISERROR(K1214),IF(ISERROR(K1213),IF(ISERROR(K1212),"BLANK",K1212),K1213),K1214)</f>
        <v>0.52777777777777779</v>
      </c>
      <c r="L1215" s="2" t="str">
        <f t="shared" si="128"/>
        <v>EGL</v>
      </c>
      <c r="M1215" s="2">
        <f t="shared" ref="M1215:O1217" si="134">IF(ISERROR(M1214),IF(ISERROR(M1213),IF(ISERROR(M1212),"BLANK",M1212),M1213),M1214)</f>
        <v>7.5</v>
      </c>
      <c r="N1215" s="2">
        <f t="shared" si="134"/>
        <v>1</v>
      </c>
      <c r="O1215" s="2">
        <f t="shared" si="134"/>
        <v>1</v>
      </c>
      <c r="P1215" s="27" t="s">
        <v>174</v>
      </c>
      <c r="Q1215" s="7" t="str">
        <f>IF($N1215=1,IF(ISERROR(VLOOKUP($P1215,'M1'!$A:$C,Q$2,FALSE)),"NOT PRESENT",VLOOKUP($P1215,'M1'!$A:$C,Q$2,FALSE)),IF($N1215=2,IF(ISERROR(VLOOKUP(DATA!$P266,'M2'!$A:$C,Q$2,FALSE)),"NOT PRESENT",VLOOKUP(DATA!$P266,'M2'!$A:$C,Q$2,FALSE)),IF($N1215=0,IF(ISERROR(VLOOKUP($P1215,'M1'!$A:$C,Q$2,FALSE)),IF(ISERROR(VLOOKUP(DATA!$P266,'M2'!$A:$C,Q$2,FALSE)),"NOT PRESENT",VLOOKUP(DATA!$P266,'M2'!$A:$C,Q$2,FALSE)),VLOOKUP($P1215,'M1'!$A:$C,Q$2,FALSE)),"SPECIFY METHOD")))</f>
        <v>NOT PRESENT</v>
      </c>
      <c r="R1215" s="4" t="str">
        <f>IF($N1215=1,IF(ISERROR(VLOOKUP($P1215,'M1'!$A:$C,R$2,FALSE)),"NOT PRESENT",VLOOKUP($P1215,'M1'!$A:$C,R$2,FALSE)),IF($N1215=2,IF(ISERROR(VLOOKUP(DATA!$P266,'M2'!$A:$C,R$2,FALSE)),"NOT PRESENT",VLOOKUP(DATA!$P266,'M2'!$A:$C,R$2,FALSE)),IF($N1215=0,IF(ISERROR(VLOOKUP($P1215,'M1'!$A:$C,R$2,FALSE)),IF(ISERROR(VLOOKUP(DATA!$P266,'M2'!$A:$C,R$2,FALSE)),"NOT PRESENT",VLOOKUP(DATA!$P266,'M2'!$A:$C,R$2,FALSE)),VLOOKUP($P1215,'M1'!$A:$C,R$2,FALSE)),"SPECIFY METHOD")))</f>
        <v>NOT PRESENT</v>
      </c>
      <c r="S1215" s="20">
        <f t="shared" si="129"/>
        <v>6</v>
      </c>
      <c r="T1215" s="2">
        <v>0</v>
      </c>
      <c r="AB1215" s="2">
        <v>1</v>
      </c>
      <c r="AC1215" s="2">
        <v>3</v>
      </c>
      <c r="AD1215" s="2">
        <v>2</v>
      </c>
    </row>
    <row r="1216" spans="1:30">
      <c r="A1216" s="7">
        <f>MAX($A$1:$A1215)+1</f>
        <v>1215</v>
      </c>
      <c r="B1216" s="2" t="str">
        <f t="shared" si="125"/>
        <v>Em Lim</v>
      </c>
      <c r="C1216" s="2" t="str">
        <f t="shared" si="126"/>
        <v>Isabelle Côté</v>
      </c>
      <c r="D1216" s="2" t="str">
        <f t="shared" si="130"/>
        <v>BMSC3</v>
      </c>
      <c r="E1216" s="7" t="str">
        <f>IF(ISERROR(VLOOKUP($D1216,SITES!$A:$E,2,FALSE)),"",VLOOKUP($D1216,SITES!$A:$E,2,FALSE))</f>
        <v>Ohiat</v>
      </c>
      <c r="F1216" s="4">
        <f>IF(ISERROR(VLOOKUP($D1216,SITES!$A:$E,3,FALSE)),"",VLOOKUP($D1216,SITES!$A:$E,3,FALSE))</f>
        <v>48.855583190917898</v>
      </c>
      <c r="G1216" s="18">
        <f>IF(ISERROR(VLOOKUP($D1216,SITES!$A:$E,4,FALSE)),"",VLOOKUP($D1216,SITES!$A:$E,4,FALSE))</f>
        <v>-125.183799743652</v>
      </c>
      <c r="H1216" s="5" t="str">
        <f t="shared" si="127"/>
        <v>19/05/2023</v>
      </c>
      <c r="I1216" s="2">
        <f t="shared" si="131"/>
        <v>1</v>
      </c>
      <c r="J1216" s="2">
        <f t="shared" si="132"/>
        <v>270</v>
      </c>
      <c r="K1216" s="6">
        <f t="shared" si="133"/>
        <v>0.52777777777777779</v>
      </c>
      <c r="L1216" s="2" t="str">
        <f t="shared" si="128"/>
        <v>EGL</v>
      </c>
      <c r="M1216" s="2">
        <f t="shared" si="134"/>
        <v>7.5</v>
      </c>
      <c r="N1216" s="2">
        <f t="shared" si="134"/>
        <v>1</v>
      </c>
      <c r="O1216" s="2">
        <f t="shared" si="134"/>
        <v>1</v>
      </c>
      <c r="P1216" s="27" t="s">
        <v>173</v>
      </c>
      <c r="Q1216" s="7" t="str">
        <f>IF($N1216=1,IF(ISERROR(VLOOKUP($P1216,'M1'!$A:$C,Q$2,FALSE)),"NOT PRESENT",VLOOKUP($P1216,'M1'!$A:$C,Q$2,FALSE)),IF($N1216=2,IF(ISERROR(VLOOKUP(DATA!$P267,'M2'!$A:$C,Q$2,FALSE)),"NOT PRESENT",VLOOKUP(DATA!$P267,'M2'!$A:$C,Q$2,FALSE)),IF($N1216=0,IF(ISERROR(VLOOKUP($P1216,'M1'!$A:$C,Q$2,FALSE)),IF(ISERROR(VLOOKUP(DATA!$P267,'M2'!$A:$C,Q$2,FALSE)),"NOT PRESENT",VLOOKUP(DATA!$P267,'M2'!$A:$C,Q$2,FALSE)),VLOOKUP($P1216,'M1'!$A:$C,Q$2,FALSE)),"SPECIFY METHOD")))</f>
        <v>NOT PRESENT</v>
      </c>
      <c r="R1216" s="4" t="str">
        <f>IF($N1216=1,IF(ISERROR(VLOOKUP($P1216,'M1'!$A:$C,R$2,FALSE)),"NOT PRESENT",VLOOKUP($P1216,'M1'!$A:$C,R$2,FALSE)),IF($N1216=2,IF(ISERROR(VLOOKUP(DATA!$P267,'M2'!$A:$C,R$2,FALSE)),"NOT PRESENT",VLOOKUP(DATA!$P267,'M2'!$A:$C,R$2,FALSE)),IF($N1216=0,IF(ISERROR(VLOOKUP($P1216,'M1'!$A:$C,R$2,FALSE)),IF(ISERROR(VLOOKUP(DATA!$P267,'M2'!$A:$C,R$2,FALSE)),"NOT PRESENT",VLOOKUP(DATA!$P267,'M2'!$A:$C,R$2,FALSE)),VLOOKUP($P1216,'M1'!$A:$C,R$2,FALSE)),"SPECIFY METHOD")))</f>
        <v>NOT PRESENT</v>
      </c>
      <c r="S1216" s="20">
        <f t="shared" si="129"/>
        <v>1</v>
      </c>
      <c r="T1216" s="2">
        <v>0</v>
      </c>
      <c r="W1216" s="2">
        <v>1</v>
      </c>
    </row>
    <row r="1217" spans="1:31">
      <c r="A1217" s="7">
        <f>MAX($A$1:$A1216)+1</f>
        <v>1216</v>
      </c>
      <c r="B1217" s="2" t="str">
        <f t="shared" si="125"/>
        <v>Em Lim</v>
      </c>
      <c r="C1217" s="2" t="str">
        <f t="shared" si="126"/>
        <v>Isabelle Côté</v>
      </c>
      <c r="D1217" s="2" t="str">
        <f t="shared" si="130"/>
        <v>BMSC3</v>
      </c>
      <c r="E1217" s="7" t="str">
        <f>IF(ISERROR(VLOOKUP($D1217,SITES!$A:$E,2,FALSE)),"",VLOOKUP($D1217,SITES!$A:$E,2,FALSE))</f>
        <v>Ohiat</v>
      </c>
      <c r="F1217" s="4">
        <f>IF(ISERROR(VLOOKUP($D1217,SITES!$A:$E,3,FALSE)),"",VLOOKUP($D1217,SITES!$A:$E,3,FALSE))</f>
        <v>48.855583190917898</v>
      </c>
      <c r="G1217" s="18">
        <f>IF(ISERROR(VLOOKUP($D1217,SITES!$A:$E,4,FALSE)),"",VLOOKUP($D1217,SITES!$A:$E,4,FALSE))</f>
        <v>-125.183799743652</v>
      </c>
      <c r="H1217" s="5" t="str">
        <f t="shared" si="127"/>
        <v>19/05/2023</v>
      </c>
      <c r="I1217" s="2">
        <f t="shared" si="131"/>
        <v>1</v>
      </c>
      <c r="J1217" s="2">
        <f t="shared" si="132"/>
        <v>270</v>
      </c>
      <c r="K1217" s="6">
        <f t="shared" si="133"/>
        <v>0.52777777777777779</v>
      </c>
      <c r="L1217" s="2" t="str">
        <f t="shared" si="128"/>
        <v>EGL</v>
      </c>
      <c r="M1217" s="2">
        <f t="shared" si="134"/>
        <v>7.5</v>
      </c>
      <c r="N1217" s="2">
        <f t="shared" si="134"/>
        <v>1</v>
      </c>
      <c r="O1217" s="2">
        <f t="shared" si="134"/>
        <v>1</v>
      </c>
      <c r="P1217" s="27" t="s">
        <v>224</v>
      </c>
      <c r="Q1217" s="7" t="str">
        <f>IF($N1217=1,IF(ISERROR(VLOOKUP($P1217,'M1'!$A:$C,Q$2,FALSE)),"NOT PRESENT",VLOOKUP($P1217,'M1'!$A:$C,Q$2,FALSE)),IF($N1217=2,IF(ISERROR(VLOOKUP(DATA!$P268,'M2'!$A:$C,Q$2,FALSE)),"NOT PRESENT",VLOOKUP(DATA!$P268,'M2'!$A:$C,Q$2,FALSE)),IF($N1217=0,IF(ISERROR(VLOOKUP($P1217,'M1'!$A:$C,Q$2,FALSE)),IF(ISERROR(VLOOKUP(DATA!$P268,'M2'!$A:$C,Q$2,FALSE)),"NOT PRESENT",VLOOKUP(DATA!$P268,'M2'!$A:$C,Q$2,FALSE)),VLOOKUP($P1217,'M1'!$A:$C,Q$2,FALSE)),"SPECIFY METHOD")))</f>
        <v>NOT PRESENT</v>
      </c>
      <c r="R1217" s="4" t="str">
        <f>IF($N1217=1,IF(ISERROR(VLOOKUP($P1217,'M1'!$A:$C,R$2,FALSE)),"NOT PRESENT",VLOOKUP($P1217,'M1'!$A:$C,R$2,FALSE)),IF($N1217=2,IF(ISERROR(VLOOKUP(DATA!$P268,'M2'!$A:$C,R$2,FALSE)),"NOT PRESENT",VLOOKUP(DATA!$P268,'M2'!$A:$C,R$2,FALSE)),IF($N1217=0,IF(ISERROR(VLOOKUP($P1217,'M1'!$A:$C,R$2,FALSE)),IF(ISERROR(VLOOKUP(DATA!$P268,'M2'!$A:$C,R$2,FALSE)),"NOT PRESENT",VLOOKUP(DATA!$P268,'M2'!$A:$C,R$2,FALSE)),VLOOKUP($P1217,'M1'!$A:$C,R$2,FALSE)),"SPECIFY METHOD")))</f>
        <v>NOT PRESENT</v>
      </c>
      <c r="S1217" s="20">
        <f t="shared" si="129"/>
        <v>1</v>
      </c>
      <c r="T1217" s="2">
        <v>0</v>
      </c>
      <c r="AE1217" s="2">
        <v>1</v>
      </c>
    </row>
    <row r="1218" spans="1:31">
      <c r="A1218" s="7">
        <f>MAX($A$1:$A1217)+1</f>
        <v>1217</v>
      </c>
      <c r="B1218" s="2" t="str">
        <f t="shared" si="125"/>
        <v>Em Lim</v>
      </c>
      <c r="C1218" s="2" t="str">
        <f t="shared" si="126"/>
        <v>Isabelle Côté</v>
      </c>
      <c r="D1218" s="2" t="str">
        <f t="shared" si="130"/>
        <v>BMSC3</v>
      </c>
      <c r="E1218" s="7" t="str">
        <f>IF(ISERROR(VLOOKUP($D1218,SITES!$A:$E,2,FALSE)),"",VLOOKUP($D1218,SITES!$A:$E,2,FALSE))</f>
        <v>Ohiat</v>
      </c>
      <c r="F1218" s="4">
        <f>IF(ISERROR(VLOOKUP($D1218,SITES!$A:$E,3,FALSE)),"",VLOOKUP($D1218,SITES!$A:$E,3,FALSE))</f>
        <v>48.855583190917898</v>
      </c>
      <c r="G1218" s="18">
        <f>IF(ISERROR(VLOOKUP($D1218,SITES!$A:$E,4,FALSE)),"",VLOOKUP($D1218,SITES!$A:$E,4,FALSE))</f>
        <v>-125.183799743652</v>
      </c>
      <c r="H1218" s="5" t="str">
        <f t="shared" si="127"/>
        <v>19/05/2023</v>
      </c>
      <c r="I1218" s="2">
        <f t="shared" si="131"/>
        <v>1</v>
      </c>
      <c r="J1218" s="2">
        <f t="shared" si="132"/>
        <v>270</v>
      </c>
      <c r="K1218" s="6">
        <f t="shared" si="133"/>
        <v>0.52777777777777779</v>
      </c>
      <c r="L1218" s="2" t="str">
        <f t="shared" si="128"/>
        <v>EGL</v>
      </c>
      <c r="M1218" s="2">
        <f t="shared" ref="M1218:M1243" si="135">IF(ISERROR(M1217),IF(ISERROR(M1216),IF(ISERROR(M1215),"BLANK",M1215),M1216),M1217)</f>
        <v>7.5</v>
      </c>
      <c r="N1218" s="2">
        <v>2</v>
      </c>
      <c r="O1218" s="2">
        <f t="shared" ref="O1218:O1242" si="136">IF(ISERROR(O1217),IF(ISERROR(O1216),IF(ISERROR(O1215),"BLANK",O1215),O1216),O1217)</f>
        <v>1</v>
      </c>
      <c r="P1218" s="27" t="s">
        <v>199</v>
      </c>
      <c r="Q1218" s="7" t="str">
        <f>IF($N1218=1,IF(ISERROR(VLOOKUP($P1218,'M1'!$A:$C,Q$2,FALSE)),"NOT PRESENT",VLOOKUP($P1218,'M1'!$A:$C,Q$2,FALSE)),IF($N1218=2,IF(ISERROR(VLOOKUP(DATA!$P269,'M2'!$A:$C,Q$2,FALSE)),"NOT PRESENT",VLOOKUP(DATA!$P269,'M2'!$A:$C,Q$2,FALSE)),IF($N1218=0,IF(ISERROR(VLOOKUP($P1218,'M1'!$A:$C,Q$2,FALSE)),IF(ISERROR(VLOOKUP(DATA!$P269,'M2'!$A:$C,Q$2,FALSE)),"NOT PRESENT",VLOOKUP(DATA!$P269,'M2'!$A:$C,Q$2,FALSE)),VLOOKUP($P1218,'M1'!$A:$C,Q$2,FALSE)),"SPECIFY METHOD")))</f>
        <v>NOT PRESENT</v>
      </c>
      <c r="R1218" s="4" t="str">
        <f>IF($N1218=1,IF(ISERROR(VLOOKUP($P1218,'M1'!$A:$C,R$2,FALSE)),"NOT PRESENT",VLOOKUP($P1218,'M1'!$A:$C,R$2,FALSE)),IF($N1218=2,IF(ISERROR(VLOOKUP(DATA!$P269,'M2'!$A:$C,R$2,FALSE)),"NOT PRESENT",VLOOKUP(DATA!$P269,'M2'!$A:$C,R$2,FALSE)),IF($N1218=0,IF(ISERROR(VLOOKUP($P1218,'M1'!$A:$C,R$2,FALSE)),IF(ISERROR(VLOOKUP(DATA!$P269,'M2'!$A:$C,R$2,FALSE)),"NOT PRESENT",VLOOKUP(DATA!$P269,'M2'!$A:$C,R$2,FALSE)),VLOOKUP($P1218,'M1'!$A:$C,R$2,FALSE)),"SPECIFY METHOD")))</f>
        <v>NOT PRESENT</v>
      </c>
      <c r="S1218" s="20">
        <f t="shared" si="129"/>
        <v>5</v>
      </c>
      <c r="T1218" s="2">
        <v>5</v>
      </c>
    </row>
    <row r="1219" spans="1:31">
      <c r="A1219" s="7">
        <f>MAX($A$1:$A1218)+1</f>
        <v>1218</v>
      </c>
      <c r="B1219" s="2" t="str">
        <f t="shared" si="125"/>
        <v>Em Lim</v>
      </c>
      <c r="C1219" s="2" t="str">
        <f t="shared" si="126"/>
        <v>Isabelle Côté</v>
      </c>
      <c r="D1219" s="2" t="str">
        <f t="shared" si="130"/>
        <v>BMSC3</v>
      </c>
      <c r="E1219" s="7" t="str">
        <f>IF(ISERROR(VLOOKUP($D1219,SITES!$A:$E,2,FALSE)),"",VLOOKUP($D1219,SITES!$A:$E,2,FALSE))</f>
        <v>Ohiat</v>
      </c>
      <c r="F1219" s="4">
        <f>IF(ISERROR(VLOOKUP($D1219,SITES!$A:$E,3,FALSE)),"",VLOOKUP($D1219,SITES!$A:$E,3,FALSE))</f>
        <v>48.855583190917898</v>
      </c>
      <c r="G1219" s="18">
        <f>IF(ISERROR(VLOOKUP($D1219,SITES!$A:$E,4,FALSE)),"",VLOOKUP($D1219,SITES!$A:$E,4,FALSE))</f>
        <v>-125.183799743652</v>
      </c>
      <c r="H1219" s="5" t="str">
        <f t="shared" si="127"/>
        <v>19/05/2023</v>
      </c>
      <c r="I1219" s="2">
        <f t="shared" si="131"/>
        <v>1</v>
      </c>
      <c r="J1219" s="2">
        <f t="shared" si="132"/>
        <v>270</v>
      </c>
      <c r="K1219" s="6">
        <f t="shared" si="133"/>
        <v>0.52777777777777779</v>
      </c>
      <c r="L1219" s="2" t="str">
        <f t="shared" si="128"/>
        <v>EGL</v>
      </c>
      <c r="M1219" s="2">
        <f t="shared" si="135"/>
        <v>7.5</v>
      </c>
      <c r="N1219" s="2">
        <f t="shared" ref="N1219:N1226" si="137">IF(ISERROR(N1218),IF(ISERROR(N1217),IF(ISERROR(N1216),"BLANK",N1216),N1217),N1218)</f>
        <v>2</v>
      </c>
      <c r="O1219" s="2">
        <f t="shared" si="136"/>
        <v>1</v>
      </c>
      <c r="P1219" s="27" t="s">
        <v>194</v>
      </c>
      <c r="Q1219" s="7" t="str">
        <f>IF($N1219=1,IF(ISERROR(VLOOKUP($P1219,'M1'!$A:$C,Q$2,FALSE)),"NOT PRESENT",VLOOKUP($P1219,'M1'!$A:$C,Q$2,FALSE)),IF($N1219=2,IF(ISERROR(VLOOKUP(DATA!$P270,'M2'!$A:$C,Q$2,FALSE)),"NOT PRESENT",VLOOKUP(DATA!$P270,'M2'!$A:$C,Q$2,FALSE)),IF($N1219=0,IF(ISERROR(VLOOKUP($P1219,'M1'!$A:$C,Q$2,FALSE)),IF(ISERROR(VLOOKUP(DATA!$P270,'M2'!$A:$C,Q$2,FALSE)),"NOT PRESENT",VLOOKUP(DATA!$P270,'M2'!$A:$C,Q$2,FALSE)),VLOOKUP($P1219,'M1'!$A:$C,Q$2,FALSE)),"SPECIFY METHOD")))</f>
        <v>NOT PRESENT</v>
      </c>
      <c r="R1219" s="4" t="str">
        <f>IF($N1219=1,IF(ISERROR(VLOOKUP($P1219,'M1'!$A:$C,R$2,FALSE)),"NOT PRESENT",VLOOKUP($P1219,'M1'!$A:$C,R$2,FALSE)),IF($N1219=2,IF(ISERROR(VLOOKUP(DATA!$P270,'M2'!$A:$C,R$2,FALSE)),"NOT PRESENT",VLOOKUP(DATA!$P270,'M2'!$A:$C,R$2,FALSE)),IF($N1219=0,IF(ISERROR(VLOOKUP($P1219,'M1'!$A:$C,R$2,FALSE)),IF(ISERROR(VLOOKUP(DATA!$P270,'M2'!$A:$C,R$2,FALSE)),"NOT PRESENT",VLOOKUP(DATA!$P270,'M2'!$A:$C,R$2,FALSE)),VLOOKUP($P1219,'M1'!$A:$C,R$2,FALSE)),"SPECIFY METHOD")))</f>
        <v>NOT PRESENT</v>
      </c>
      <c r="S1219" s="20">
        <f t="shared" si="129"/>
        <v>10</v>
      </c>
      <c r="T1219" s="2">
        <v>0</v>
      </c>
      <c r="U1219" s="2">
        <v>9</v>
      </c>
      <c r="V1219" s="2">
        <v>1</v>
      </c>
    </row>
    <row r="1220" spans="1:31">
      <c r="A1220" s="7">
        <f>MAX($A$1:$A1219)+1</f>
        <v>1219</v>
      </c>
      <c r="B1220" s="2" t="str">
        <f t="shared" si="125"/>
        <v>Em Lim</v>
      </c>
      <c r="C1220" s="2" t="str">
        <f t="shared" si="126"/>
        <v>Isabelle Côté</v>
      </c>
      <c r="D1220" s="2" t="str">
        <f t="shared" si="130"/>
        <v>BMSC3</v>
      </c>
      <c r="E1220" s="7" t="str">
        <f>IF(ISERROR(VLOOKUP($D1220,SITES!$A:$E,2,FALSE)),"",VLOOKUP($D1220,SITES!$A:$E,2,FALSE))</f>
        <v>Ohiat</v>
      </c>
      <c r="F1220" s="4">
        <f>IF(ISERROR(VLOOKUP($D1220,SITES!$A:$E,3,FALSE)),"",VLOOKUP($D1220,SITES!$A:$E,3,FALSE))</f>
        <v>48.855583190917898</v>
      </c>
      <c r="G1220" s="18">
        <f>IF(ISERROR(VLOOKUP($D1220,SITES!$A:$E,4,FALSE)),"",VLOOKUP($D1220,SITES!$A:$E,4,FALSE))</f>
        <v>-125.183799743652</v>
      </c>
      <c r="H1220" s="5" t="str">
        <f t="shared" si="127"/>
        <v>19/05/2023</v>
      </c>
      <c r="I1220" s="2">
        <f t="shared" si="131"/>
        <v>1</v>
      </c>
      <c r="J1220" s="2">
        <f t="shared" si="132"/>
        <v>270</v>
      </c>
      <c r="K1220" s="6">
        <f t="shared" si="133"/>
        <v>0.52777777777777779</v>
      </c>
      <c r="L1220" s="2" t="str">
        <f t="shared" si="128"/>
        <v>EGL</v>
      </c>
      <c r="M1220" s="2">
        <f t="shared" si="135"/>
        <v>7.5</v>
      </c>
      <c r="N1220" s="2">
        <f t="shared" si="137"/>
        <v>2</v>
      </c>
      <c r="O1220" s="2">
        <f t="shared" si="136"/>
        <v>1</v>
      </c>
      <c r="P1220" s="27" t="s">
        <v>178</v>
      </c>
      <c r="Q1220" s="7" t="str">
        <f>IF($N1220=1,IF(ISERROR(VLOOKUP($P1220,'M1'!$A:$C,Q$2,FALSE)),"NOT PRESENT",VLOOKUP($P1220,'M1'!$A:$C,Q$2,FALSE)),IF($N1220=2,IF(ISERROR(VLOOKUP(DATA!$P271,'M2'!$A:$C,Q$2,FALSE)),"NOT PRESENT",VLOOKUP(DATA!$P271,'M2'!$A:$C,Q$2,FALSE)),IF($N1220=0,IF(ISERROR(VLOOKUP($P1220,'M1'!$A:$C,Q$2,FALSE)),IF(ISERROR(VLOOKUP(DATA!$P271,'M2'!$A:$C,Q$2,FALSE)),"NOT PRESENT",VLOOKUP(DATA!$P271,'M2'!$A:$C,Q$2,FALSE)),VLOOKUP($P1220,'M1'!$A:$C,Q$2,FALSE)),"SPECIFY METHOD")))</f>
        <v>NOT PRESENT</v>
      </c>
      <c r="R1220" s="4" t="str">
        <f>IF($N1220=1,IF(ISERROR(VLOOKUP($P1220,'M1'!$A:$C,R$2,FALSE)),"NOT PRESENT",VLOOKUP($P1220,'M1'!$A:$C,R$2,FALSE)),IF($N1220=2,IF(ISERROR(VLOOKUP(DATA!$P271,'M2'!$A:$C,R$2,FALSE)),"NOT PRESENT",VLOOKUP(DATA!$P271,'M2'!$A:$C,R$2,FALSE)),IF($N1220=0,IF(ISERROR(VLOOKUP($P1220,'M1'!$A:$C,R$2,FALSE)),IF(ISERROR(VLOOKUP(DATA!$P271,'M2'!$A:$C,R$2,FALSE)),"NOT PRESENT",VLOOKUP(DATA!$P271,'M2'!$A:$C,R$2,FALSE)),VLOOKUP($P1220,'M1'!$A:$C,R$2,FALSE)),"SPECIFY METHOD")))</f>
        <v>NOT PRESENT</v>
      </c>
      <c r="S1220" s="20">
        <f t="shared" si="129"/>
        <v>460</v>
      </c>
      <c r="T1220" s="2">
        <v>460</v>
      </c>
    </row>
    <row r="1221" spans="1:31">
      <c r="A1221" s="7">
        <f>MAX($A$1:$A1220)+1</f>
        <v>1220</v>
      </c>
      <c r="B1221" s="2" t="str">
        <f t="shared" si="125"/>
        <v>Em Lim</v>
      </c>
      <c r="C1221" s="2" t="str">
        <f t="shared" si="126"/>
        <v>Isabelle Côté</v>
      </c>
      <c r="D1221" s="2" t="str">
        <f t="shared" si="130"/>
        <v>BMSC3</v>
      </c>
      <c r="E1221" s="7" t="str">
        <f>IF(ISERROR(VLOOKUP($D1221,SITES!$A:$E,2,FALSE)),"",VLOOKUP($D1221,SITES!$A:$E,2,FALSE))</f>
        <v>Ohiat</v>
      </c>
      <c r="F1221" s="4">
        <f>IF(ISERROR(VLOOKUP($D1221,SITES!$A:$E,3,FALSE)),"",VLOOKUP($D1221,SITES!$A:$E,3,FALSE))</f>
        <v>48.855583190917898</v>
      </c>
      <c r="G1221" s="18">
        <f>IF(ISERROR(VLOOKUP($D1221,SITES!$A:$E,4,FALSE)),"",VLOOKUP($D1221,SITES!$A:$E,4,FALSE))</f>
        <v>-125.183799743652</v>
      </c>
      <c r="H1221" s="5" t="str">
        <f t="shared" si="127"/>
        <v>19/05/2023</v>
      </c>
      <c r="I1221" s="2">
        <f t="shared" si="131"/>
        <v>1</v>
      </c>
      <c r="J1221" s="2">
        <f t="shared" si="132"/>
        <v>270</v>
      </c>
      <c r="K1221" s="6">
        <f t="shared" si="133"/>
        <v>0.52777777777777779</v>
      </c>
      <c r="L1221" s="2" t="str">
        <f t="shared" si="128"/>
        <v>EGL</v>
      </c>
      <c r="M1221" s="2">
        <f t="shared" si="135"/>
        <v>7.5</v>
      </c>
      <c r="N1221" s="2">
        <f t="shared" si="137"/>
        <v>2</v>
      </c>
      <c r="O1221" s="2">
        <f t="shared" si="136"/>
        <v>1</v>
      </c>
      <c r="P1221" s="27" t="s">
        <v>181</v>
      </c>
      <c r="Q1221" s="7" t="str">
        <f>IF($N1221=1,IF(ISERROR(VLOOKUP($P1221,'M1'!$A:$C,Q$2,FALSE)),"NOT PRESENT",VLOOKUP($P1221,'M1'!$A:$C,Q$2,FALSE)),IF($N1221=2,IF(ISERROR(VLOOKUP(DATA!$P272,'M2'!$A:$C,Q$2,FALSE)),"NOT PRESENT",VLOOKUP(DATA!$P272,'M2'!$A:$C,Q$2,FALSE)),IF($N1221=0,IF(ISERROR(VLOOKUP($P1221,'M1'!$A:$C,Q$2,FALSE)),IF(ISERROR(VLOOKUP(DATA!$P272,'M2'!$A:$C,Q$2,FALSE)),"NOT PRESENT",VLOOKUP(DATA!$P272,'M2'!$A:$C,Q$2,FALSE)),VLOOKUP($P1221,'M1'!$A:$C,Q$2,FALSE)),"SPECIFY METHOD")))</f>
        <v>NOT PRESENT</v>
      </c>
      <c r="R1221" s="4" t="str">
        <f>IF($N1221=1,IF(ISERROR(VLOOKUP($P1221,'M1'!$A:$C,R$2,FALSE)),"NOT PRESENT",VLOOKUP($P1221,'M1'!$A:$C,R$2,FALSE)),IF($N1221=2,IF(ISERROR(VLOOKUP(DATA!$P272,'M2'!$A:$C,R$2,FALSE)),"NOT PRESENT",VLOOKUP(DATA!$P272,'M2'!$A:$C,R$2,FALSE)),IF($N1221=0,IF(ISERROR(VLOOKUP($P1221,'M1'!$A:$C,R$2,FALSE)),IF(ISERROR(VLOOKUP(DATA!$P272,'M2'!$A:$C,R$2,FALSE)),"NOT PRESENT",VLOOKUP(DATA!$P272,'M2'!$A:$C,R$2,FALSE)),VLOOKUP($P1221,'M1'!$A:$C,R$2,FALSE)),"SPECIFY METHOD")))</f>
        <v>NOT PRESENT</v>
      </c>
      <c r="S1221" s="20">
        <f t="shared" si="129"/>
        <v>39</v>
      </c>
      <c r="T1221" s="2">
        <v>0</v>
      </c>
      <c r="U1221" s="2">
        <v>30</v>
      </c>
      <c r="V1221" s="2">
        <v>8</v>
      </c>
      <c r="W1221" s="2">
        <v>1</v>
      </c>
    </row>
    <row r="1222" spans="1:31">
      <c r="A1222" s="7">
        <f>MAX($A$1:$A1221)+1</f>
        <v>1221</v>
      </c>
      <c r="B1222" s="2" t="str">
        <f t="shared" si="125"/>
        <v>Em Lim</v>
      </c>
      <c r="C1222" s="2" t="str">
        <f t="shared" si="126"/>
        <v>Isabelle Côté</v>
      </c>
      <c r="D1222" s="2" t="str">
        <f t="shared" si="130"/>
        <v>BMSC3</v>
      </c>
      <c r="E1222" s="7" t="str">
        <f>IF(ISERROR(VLOOKUP($D1222,SITES!$A:$E,2,FALSE)),"",VLOOKUP($D1222,SITES!$A:$E,2,FALSE))</f>
        <v>Ohiat</v>
      </c>
      <c r="F1222" s="4">
        <f>IF(ISERROR(VLOOKUP($D1222,SITES!$A:$E,3,FALSE)),"",VLOOKUP($D1222,SITES!$A:$E,3,FALSE))</f>
        <v>48.855583190917898</v>
      </c>
      <c r="G1222" s="18">
        <f>IF(ISERROR(VLOOKUP($D1222,SITES!$A:$E,4,FALSE)),"",VLOOKUP($D1222,SITES!$A:$E,4,FALSE))</f>
        <v>-125.183799743652</v>
      </c>
      <c r="H1222" s="5" t="str">
        <f t="shared" si="127"/>
        <v>19/05/2023</v>
      </c>
      <c r="I1222" s="2">
        <f t="shared" si="131"/>
        <v>1</v>
      </c>
      <c r="J1222" s="2">
        <f t="shared" si="132"/>
        <v>270</v>
      </c>
      <c r="K1222" s="6">
        <f t="shared" si="133"/>
        <v>0.52777777777777779</v>
      </c>
      <c r="L1222" s="2" t="str">
        <f t="shared" si="128"/>
        <v>EGL</v>
      </c>
      <c r="M1222" s="2">
        <f t="shared" si="135"/>
        <v>7.5</v>
      </c>
      <c r="N1222" s="2">
        <f t="shared" si="137"/>
        <v>2</v>
      </c>
      <c r="O1222" s="2">
        <f t="shared" si="136"/>
        <v>1</v>
      </c>
      <c r="P1222" s="27" t="s">
        <v>193</v>
      </c>
      <c r="Q1222" s="7" t="str">
        <f>IF($N1222=1,IF(ISERROR(VLOOKUP($P1222,'M1'!$A:$C,Q$2,FALSE)),"NOT PRESENT",VLOOKUP($P1222,'M1'!$A:$C,Q$2,FALSE)),IF($N1222=2,IF(ISERROR(VLOOKUP(DATA!$P273,'M2'!$A:$C,Q$2,FALSE)),"NOT PRESENT",VLOOKUP(DATA!$P273,'M2'!$A:$C,Q$2,FALSE)),IF($N1222=0,IF(ISERROR(VLOOKUP($P1222,'M1'!$A:$C,Q$2,FALSE)),IF(ISERROR(VLOOKUP(DATA!$P273,'M2'!$A:$C,Q$2,FALSE)),"NOT PRESENT",VLOOKUP(DATA!$P273,'M2'!$A:$C,Q$2,FALSE)),VLOOKUP($P1222,'M1'!$A:$C,Q$2,FALSE)),"SPECIFY METHOD")))</f>
        <v>NOT PRESENT</v>
      </c>
      <c r="R1222" s="4" t="str">
        <f>IF($N1222=1,IF(ISERROR(VLOOKUP($P1222,'M1'!$A:$C,R$2,FALSE)),"NOT PRESENT",VLOOKUP($P1222,'M1'!$A:$C,R$2,FALSE)),IF($N1222=2,IF(ISERROR(VLOOKUP(DATA!$P273,'M2'!$A:$C,R$2,FALSE)),"NOT PRESENT",VLOOKUP(DATA!$P273,'M2'!$A:$C,R$2,FALSE)),IF($N1222=0,IF(ISERROR(VLOOKUP($P1222,'M1'!$A:$C,R$2,FALSE)),IF(ISERROR(VLOOKUP(DATA!$P273,'M2'!$A:$C,R$2,FALSE)),"NOT PRESENT",VLOOKUP(DATA!$P273,'M2'!$A:$C,R$2,FALSE)),VLOOKUP($P1222,'M1'!$A:$C,R$2,FALSE)),"SPECIFY METHOD")))</f>
        <v>NOT PRESENT</v>
      </c>
      <c r="S1222" s="20">
        <f t="shared" si="129"/>
        <v>36</v>
      </c>
      <c r="T1222" s="2">
        <v>0</v>
      </c>
      <c r="U1222" s="2">
        <v>1</v>
      </c>
      <c r="V1222" s="2">
        <v>13</v>
      </c>
      <c r="W1222" s="2">
        <v>11</v>
      </c>
      <c r="X1222" s="2">
        <v>8</v>
      </c>
      <c r="Y1222" s="2">
        <v>3</v>
      </c>
    </row>
    <row r="1223" spans="1:31">
      <c r="A1223" s="7">
        <f>MAX($A$1:$A1222)+1</f>
        <v>1222</v>
      </c>
      <c r="B1223" s="2" t="str">
        <f t="shared" si="125"/>
        <v>Em Lim</v>
      </c>
      <c r="C1223" s="2" t="str">
        <f t="shared" si="126"/>
        <v>Isabelle Côté</v>
      </c>
      <c r="D1223" s="2" t="str">
        <f t="shared" si="130"/>
        <v>BMSC3</v>
      </c>
      <c r="E1223" s="7" t="str">
        <f>IF(ISERROR(VLOOKUP($D1223,SITES!$A:$E,2,FALSE)),"",VLOOKUP($D1223,SITES!$A:$E,2,FALSE))</f>
        <v>Ohiat</v>
      </c>
      <c r="F1223" s="4">
        <f>IF(ISERROR(VLOOKUP($D1223,SITES!$A:$E,3,FALSE)),"",VLOOKUP($D1223,SITES!$A:$E,3,FALSE))</f>
        <v>48.855583190917898</v>
      </c>
      <c r="G1223" s="18">
        <f>IF(ISERROR(VLOOKUP($D1223,SITES!$A:$E,4,FALSE)),"",VLOOKUP($D1223,SITES!$A:$E,4,FALSE))</f>
        <v>-125.183799743652</v>
      </c>
      <c r="H1223" s="5" t="str">
        <f t="shared" si="127"/>
        <v>19/05/2023</v>
      </c>
      <c r="I1223" s="2">
        <f t="shared" si="131"/>
        <v>1</v>
      </c>
      <c r="J1223" s="2">
        <f t="shared" si="132"/>
        <v>270</v>
      </c>
      <c r="K1223" s="6">
        <f t="shared" si="133"/>
        <v>0.52777777777777779</v>
      </c>
      <c r="L1223" s="2" t="str">
        <f t="shared" si="128"/>
        <v>EGL</v>
      </c>
      <c r="M1223" s="2">
        <f t="shared" si="135"/>
        <v>7.5</v>
      </c>
      <c r="N1223" s="2">
        <f t="shared" si="137"/>
        <v>2</v>
      </c>
      <c r="O1223" s="2">
        <f t="shared" si="136"/>
        <v>1</v>
      </c>
      <c r="P1223" s="27" t="s">
        <v>173</v>
      </c>
      <c r="Q1223" s="7" t="str">
        <f>IF($N1223=1,IF(ISERROR(VLOOKUP($P1223,'M1'!$A:$C,Q$2,FALSE)),"NOT PRESENT",VLOOKUP($P1223,'M1'!$A:$C,Q$2,FALSE)),IF($N1223=2,IF(ISERROR(VLOOKUP(DATA!$P274,'M2'!$A:$C,Q$2,FALSE)),"NOT PRESENT",VLOOKUP(DATA!$P274,'M2'!$A:$C,Q$2,FALSE)),IF($N1223=0,IF(ISERROR(VLOOKUP($P1223,'M1'!$A:$C,Q$2,FALSE)),IF(ISERROR(VLOOKUP(DATA!$P274,'M2'!$A:$C,Q$2,FALSE)),"NOT PRESENT",VLOOKUP(DATA!$P274,'M2'!$A:$C,Q$2,FALSE)),VLOOKUP($P1223,'M1'!$A:$C,Q$2,FALSE)),"SPECIFY METHOD")))</f>
        <v>NOT PRESENT</v>
      </c>
      <c r="R1223" s="4" t="str">
        <f>IF($N1223=1,IF(ISERROR(VLOOKUP($P1223,'M1'!$A:$C,R$2,FALSE)),"NOT PRESENT",VLOOKUP($P1223,'M1'!$A:$C,R$2,FALSE)),IF($N1223=2,IF(ISERROR(VLOOKUP(DATA!$P274,'M2'!$A:$C,R$2,FALSE)),"NOT PRESENT",VLOOKUP(DATA!$P274,'M2'!$A:$C,R$2,FALSE)),IF($N1223=0,IF(ISERROR(VLOOKUP($P1223,'M1'!$A:$C,R$2,FALSE)),IF(ISERROR(VLOOKUP(DATA!$P274,'M2'!$A:$C,R$2,FALSE)),"NOT PRESENT",VLOOKUP(DATA!$P274,'M2'!$A:$C,R$2,FALSE)),VLOOKUP($P1223,'M1'!$A:$C,R$2,FALSE)),"SPECIFY METHOD")))</f>
        <v>NOT PRESENT</v>
      </c>
      <c r="S1223" s="20">
        <f t="shared" si="129"/>
        <v>14</v>
      </c>
      <c r="T1223" s="2">
        <v>0</v>
      </c>
      <c r="U1223" s="2">
        <v>4</v>
      </c>
      <c r="V1223" s="2">
        <v>5</v>
      </c>
      <c r="W1223" s="2">
        <v>4</v>
      </c>
      <c r="X1223" s="2">
        <v>1</v>
      </c>
    </row>
    <row r="1224" spans="1:31">
      <c r="A1224" s="7">
        <f>MAX($A$1:$A1223)+1</f>
        <v>1223</v>
      </c>
      <c r="B1224" s="2" t="str">
        <f t="shared" si="125"/>
        <v>Em Lim</v>
      </c>
      <c r="C1224" s="2" t="str">
        <f t="shared" si="126"/>
        <v>Isabelle Côté</v>
      </c>
      <c r="D1224" s="2" t="str">
        <f t="shared" si="130"/>
        <v>BMSC3</v>
      </c>
      <c r="E1224" s="7" t="str">
        <f>IF(ISERROR(VLOOKUP($D1224,SITES!$A:$E,2,FALSE)),"",VLOOKUP($D1224,SITES!$A:$E,2,FALSE))</f>
        <v>Ohiat</v>
      </c>
      <c r="F1224" s="4">
        <f>IF(ISERROR(VLOOKUP($D1224,SITES!$A:$E,3,FALSE)),"",VLOOKUP($D1224,SITES!$A:$E,3,FALSE))</f>
        <v>48.855583190917898</v>
      </c>
      <c r="G1224" s="18">
        <f>IF(ISERROR(VLOOKUP($D1224,SITES!$A:$E,4,FALSE)),"",VLOOKUP($D1224,SITES!$A:$E,4,FALSE))</f>
        <v>-125.183799743652</v>
      </c>
      <c r="H1224" s="5" t="str">
        <f t="shared" si="127"/>
        <v>19/05/2023</v>
      </c>
      <c r="I1224" s="2">
        <f t="shared" si="131"/>
        <v>1</v>
      </c>
      <c r="J1224" s="2">
        <f t="shared" si="132"/>
        <v>270</v>
      </c>
      <c r="K1224" s="6">
        <f t="shared" si="133"/>
        <v>0.52777777777777779</v>
      </c>
      <c r="L1224" s="2" t="str">
        <f t="shared" si="128"/>
        <v>EGL</v>
      </c>
      <c r="M1224" s="2">
        <f t="shared" si="135"/>
        <v>7.5</v>
      </c>
      <c r="N1224" s="2">
        <f t="shared" si="137"/>
        <v>2</v>
      </c>
      <c r="O1224" s="2">
        <f t="shared" si="136"/>
        <v>1</v>
      </c>
      <c r="P1224" s="27" t="s">
        <v>179</v>
      </c>
      <c r="Q1224" s="7" t="str">
        <f>IF($N1224=1,IF(ISERROR(VLOOKUP($P1224,'M1'!$A:$C,Q$2,FALSE)),"NOT PRESENT",VLOOKUP($P1224,'M1'!$A:$C,Q$2,FALSE)),IF($N1224=2,IF(ISERROR(VLOOKUP(DATA!$P275,'M2'!$A:$C,Q$2,FALSE)),"NOT PRESENT",VLOOKUP(DATA!$P275,'M2'!$A:$C,Q$2,FALSE)),IF($N1224=0,IF(ISERROR(VLOOKUP($P1224,'M1'!$A:$C,Q$2,FALSE)),IF(ISERROR(VLOOKUP(DATA!$P275,'M2'!$A:$C,Q$2,FALSE)),"NOT PRESENT",VLOOKUP(DATA!$P275,'M2'!$A:$C,Q$2,FALSE)),VLOOKUP($P1224,'M1'!$A:$C,Q$2,FALSE)),"SPECIFY METHOD")))</f>
        <v>NOT PRESENT</v>
      </c>
      <c r="R1224" s="4" t="str">
        <f>IF($N1224=1,IF(ISERROR(VLOOKUP($P1224,'M1'!$A:$C,R$2,FALSE)),"NOT PRESENT",VLOOKUP($P1224,'M1'!$A:$C,R$2,FALSE)),IF($N1224=2,IF(ISERROR(VLOOKUP(DATA!$P275,'M2'!$A:$C,R$2,FALSE)),"NOT PRESENT",VLOOKUP(DATA!$P275,'M2'!$A:$C,R$2,FALSE)),IF($N1224=0,IF(ISERROR(VLOOKUP($P1224,'M1'!$A:$C,R$2,FALSE)),IF(ISERROR(VLOOKUP(DATA!$P275,'M2'!$A:$C,R$2,FALSE)),"NOT PRESENT",VLOOKUP(DATA!$P275,'M2'!$A:$C,R$2,FALSE)),VLOOKUP($P1224,'M1'!$A:$C,R$2,FALSE)),"SPECIFY METHOD")))</f>
        <v>NOT PRESENT</v>
      </c>
      <c r="S1224" s="20">
        <f t="shared" si="129"/>
        <v>12</v>
      </c>
      <c r="T1224" s="2">
        <v>12</v>
      </c>
    </row>
    <row r="1225" spans="1:31">
      <c r="A1225" s="7">
        <f>MAX($A$1:$A1224)+1</f>
        <v>1224</v>
      </c>
      <c r="B1225" s="2" t="str">
        <f t="shared" si="125"/>
        <v>Em Lim</v>
      </c>
      <c r="C1225" s="2" t="str">
        <f t="shared" si="126"/>
        <v>Isabelle Côté</v>
      </c>
      <c r="D1225" s="2" t="str">
        <f t="shared" si="130"/>
        <v>BMSC3</v>
      </c>
      <c r="E1225" s="7" t="str">
        <f>IF(ISERROR(VLOOKUP($D1225,SITES!$A:$E,2,FALSE)),"",VLOOKUP($D1225,SITES!$A:$E,2,FALSE))</f>
        <v>Ohiat</v>
      </c>
      <c r="F1225" s="4">
        <f>IF(ISERROR(VLOOKUP($D1225,SITES!$A:$E,3,FALSE)),"",VLOOKUP($D1225,SITES!$A:$E,3,FALSE))</f>
        <v>48.855583190917898</v>
      </c>
      <c r="G1225" s="18">
        <f>IF(ISERROR(VLOOKUP($D1225,SITES!$A:$E,4,FALSE)),"",VLOOKUP($D1225,SITES!$A:$E,4,FALSE))</f>
        <v>-125.183799743652</v>
      </c>
      <c r="H1225" s="5" t="str">
        <f t="shared" si="127"/>
        <v>19/05/2023</v>
      </c>
      <c r="I1225" s="2">
        <f t="shared" si="131"/>
        <v>1</v>
      </c>
      <c r="J1225" s="2">
        <f t="shared" si="132"/>
        <v>270</v>
      </c>
      <c r="K1225" s="6">
        <f t="shared" si="133"/>
        <v>0.52777777777777779</v>
      </c>
      <c r="L1225" s="2" t="str">
        <f t="shared" si="128"/>
        <v>EGL</v>
      </c>
      <c r="M1225" s="2">
        <f t="shared" si="135"/>
        <v>7.5</v>
      </c>
      <c r="N1225" s="2">
        <f t="shared" si="137"/>
        <v>2</v>
      </c>
      <c r="O1225" s="2">
        <f t="shared" si="136"/>
        <v>1</v>
      </c>
      <c r="P1225" s="27" t="s">
        <v>221</v>
      </c>
      <c r="Q1225" s="7" t="str">
        <f>IF($N1225=1,IF(ISERROR(VLOOKUP($P1225,'M1'!$A:$C,Q$2,FALSE)),"NOT PRESENT",VLOOKUP($P1225,'M1'!$A:$C,Q$2,FALSE)),IF($N1225=2,IF(ISERROR(VLOOKUP(DATA!$P276,'M2'!$A:$C,Q$2,FALSE)),"NOT PRESENT",VLOOKUP(DATA!$P276,'M2'!$A:$C,Q$2,FALSE)),IF($N1225=0,IF(ISERROR(VLOOKUP($P1225,'M1'!$A:$C,Q$2,FALSE)),IF(ISERROR(VLOOKUP(DATA!$P276,'M2'!$A:$C,Q$2,FALSE)),"NOT PRESENT",VLOOKUP(DATA!$P276,'M2'!$A:$C,Q$2,FALSE)),VLOOKUP($P1225,'M1'!$A:$C,Q$2,FALSE)),"SPECIFY METHOD")))</f>
        <v>NOT PRESENT</v>
      </c>
      <c r="R1225" s="4" t="str">
        <f>IF($N1225=1,IF(ISERROR(VLOOKUP($P1225,'M1'!$A:$C,R$2,FALSE)),"NOT PRESENT",VLOOKUP($P1225,'M1'!$A:$C,R$2,FALSE)),IF($N1225=2,IF(ISERROR(VLOOKUP(DATA!$P276,'M2'!$A:$C,R$2,FALSE)),"NOT PRESENT",VLOOKUP(DATA!$P276,'M2'!$A:$C,R$2,FALSE)),IF($N1225=0,IF(ISERROR(VLOOKUP($P1225,'M1'!$A:$C,R$2,FALSE)),IF(ISERROR(VLOOKUP(DATA!$P276,'M2'!$A:$C,R$2,FALSE)),"NOT PRESENT",VLOOKUP(DATA!$P276,'M2'!$A:$C,R$2,FALSE)),VLOOKUP($P1225,'M1'!$A:$C,R$2,FALSE)),"SPECIFY METHOD")))</f>
        <v>NOT PRESENT</v>
      </c>
      <c r="S1225" s="20">
        <f t="shared" si="129"/>
        <v>11</v>
      </c>
      <c r="T1225" s="2">
        <v>11</v>
      </c>
    </row>
    <row r="1226" spans="1:31">
      <c r="A1226" s="7">
        <f>MAX($A$1:$A1225)+1</f>
        <v>1225</v>
      </c>
      <c r="B1226" s="2" t="str">
        <f t="shared" si="125"/>
        <v>Em Lim</v>
      </c>
      <c r="C1226" s="2" t="str">
        <f t="shared" si="126"/>
        <v>Isabelle Côté</v>
      </c>
      <c r="D1226" s="2" t="str">
        <f t="shared" si="130"/>
        <v>BMSC3</v>
      </c>
      <c r="E1226" s="7" t="str">
        <f>IF(ISERROR(VLOOKUP($D1226,SITES!$A:$E,2,FALSE)),"",VLOOKUP($D1226,SITES!$A:$E,2,FALSE))</f>
        <v>Ohiat</v>
      </c>
      <c r="F1226" s="4">
        <f>IF(ISERROR(VLOOKUP($D1226,SITES!$A:$E,3,FALSE)),"",VLOOKUP($D1226,SITES!$A:$E,3,FALSE))</f>
        <v>48.855583190917898</v>
      </c>
      <c r="G1226" s="18">
        <f>IF(ISERROR(VLOOKUP($D1226,SITES!$A:$E,4,FALSE)),"",VLOOKUP($D1226,SITES!$A:$E,4,FALSE))</f>
        <v>-125.183799743652</v>
      </c>
      <c r="H1226" s="5" t="str">
        <f t="shared" si="127"/>
        <v>19/05/2023</v>
      </c>
      <c r="I1226" s="2">
        <f t="shared" si="131"/>
        <v>1</v>
      </c>
      <c r="J1226" s="2">
        <f t="shared" si="132"/>
        <v>270</v>
      </c>
      <c r="K1226" s="6">
        <f t="shared" si="133"/>
        <v>0.52777777777777779</v>
      </c>
      <c r="L1226" s="2" t="str">
        <f t="shared" si="128"/>
        <v>EGL</v>
      </c>
      <c r="M1226" s="2">
        <f t="shared" si="135"/>
        <v>7.5</v>
      </c>
      <c r="N1226" s="2">
        <f t="shared" si="137"/>
        <v>2</v>
      </c>
      <c r="O1226" s="2">
        <f t="shared" si="136"/>
        <v>1</v>
      </c>
      <c r="P1226" s="27" t="s">
        <v>267</v>
      </c>
      <c r="Q1226" s="7" t="str">
        <f>IF($N1226=1,IF(ISERROR(VLOOKUP($P1226,'M1'!$A:$C,Q$2,FALSE)),"NOT PRESENT",VLOOKUP($P1226,'M1'!$A:$C,Q$2,FALSE)),IF($N1226=2,IF(ISERROR(VLOOKUP(DATA!$P277,'M2'!$A:$C,Q$2,FALSE)),"NOT PRESENT",VLOOKUP(DATA!$P277,'M2'!$A:$C,Q$2,FALSE)),IF($N1226=0,IF(ISERROR(VLOOKUP($P1226,'M1'!$A:$C,Q$2,FALSE)),IF(ISERROR(VLOOKUP(DATA!$P277,'M2'!$A:$C,Q$2,FALSE)),"NOT PRESENT",VLOOKUP(DATA!$P277,'M2'!$A:$C,Q$2,FALSE)),VLOOKUP($P1226,'M1'!$A:$C,Q$2,FALSE)),"SPECIFY METHOD")))</f>
        <v>NOT PRESENT</v>
      </c>
      <c r="R1226" s="4" t="str">
        <f>IF($N1226=1,IF(ISERROR(VLOOKUP($P1226,'M1'!$A:$C,R$2,FALSE)),"NOT PRESENT",VLOOKUP($P1226,'M1'!$A:$C,R$2,FALSE)),IF($N1226=2,IF(ISERROR(VLOOKUP(DATA!$P277,'M2'!$A:$C,R$2,FALSE)),"NOT PRESENT",VLOOKUP(DATA!$P277,'M2'!$A:$C,R$2,FALSE)),IF($N1226=0,IF(ISERROR(VLOOKUP($P1226,'M1'!$A:$C,R$2,FALSE)),IF(ISERROR(VLOOKUP(DATA!$P277,'M2'!$A:$C,R$2,FALSE)),"NOT PRESENT",VLOOKUP(DATA!$P277,'M2'!$A:$C,R$2,FALSE)),VLOOKUP($P1226,'M1'!$A:$C,R$2,FALSE)),"SPECIFY METHOD")))</f>
        <v>NOT PRESENT</v>
      </c>
      <c r="S1226" s="20">
        <f t="shared" si="129"/>
        <v>1</v>
      </c>
      <c r="T1226" s="2">
        <v>1</v>
      </c>
    </row>
    <row r="1227" spans="1:31">
      <c r="A1227" s="7">
        <f>MAX($A$1:$A1226)+1</f>
        <v>1226</v>
      </c>
      <c r="B1227" s="2" t="str">
        <f t="shared" si="125"/>
        <v>Em Lim</v>
      </c>
      <c r="C1227" s="2" t="str">
        <f t="shared" si="126"/>
        <v>Isabelle Côté</v>
      </c>
      <c r="D1227" s="2" t="str">
        <f t="shared" si="130"/>
        <v>BMSC3</v>
      </c>
      <c r="E1227" s="7" t="str">
        <f>IF(ISERROR(VLOOKUP($D1227,SITES!$A:$E,2,FALSE)),"",VLOOKUP($D1227,SITES!$A:$E,2,FALSE))</f>
        <v>Ohiat</v>
      </c>
      <c r="F1227" s="4">
        <f>IF(ISERROR(VLOOKUP($D1227,SITES!$A:$E,3,FALSE)),"",VLOOKUP($D1227,SITES!$A:$E,3,FALSE))</f>
        <v>48.855583190917898</v>
      </c>
      <c r="G1227" s="18">
        <f>IF(ISERROR(VLOOKUP($D1227,SITES!$A:$E,4,FALSE)),"",VLOOKUP($D1227,SITES!$A:$E,4,FALSE))</f>
        <v>-125.183799743652</v>
      </c>
      <c r="H1227" s="5" t="str">
        <f t="shared" si="127"/>
        <v>19/05/2023</v>
      </c>
      <c r="I1227" s="2">
        <f t="shared" si="131"/>
        <v>1</v>
      </c>
      <c r="J1227" s="2">
        <f t="shared" si="132"/>
        <v>270</v>
      </c>
      <c r="K1227" s="6">
        <f t="shared" si="133"/>
        <v>0.52777777777777779</v>
      </c>
      <c r="L1227" s="2" t="str">
        <f t="shared" si="128"/>
        <v>EGL</v>
      </c>
      <c r="M1227" s="2">
        <f t="shared" si="135"/>
        <v>7.5</v>
      </c>
      <c r="N1227" s="2">
        <v>0</v>
      </c>
      <c r="O1227" s="2">
        <f t="shared" si="136"/>
        <v>1</v>
      </c>
      <c r="P1227" s="27" t="s">
        <v>226</v>
      </c>
      <c r="Q1227" s="7" t="str">
        <f>IF($N1227=1,IF(ISERROR(VLOOKUP($P1227,'M1'!$A:$C,Q$2,FALSE)),"NOT PRESENT",VLOOKUP($P1227,'M1'!$A:$C,Q$2,FALSE)),IF($N1227=2,IF(ISERROR(VLOOKUP(DATA!$P278,'M2'!$A:$C,Q$2,FALSE)),"NOT PRESENT",VLOOKUP(DATA!$P278,'M2'!$A:$C,Q$2,FALSE)),IF($N1227=0,IF(ISERROR(VLOOKUP($P1227,'M1'!$A:$C,Q$2,FALSE)),IF(ISERROR(VLOOKUP(DATA!$P278,'M2'!$A:$C,Q$2,FALSE)),"NOT PRESENT",VLOOKUP(DATA!$P278,'M2'!$A:$C,Q$2,FALSE)),VLOOKUP($P1227,'M1'!$A:$C,Q$2,FALSE)),"SPECIFY METHOD")))</f>
        <v>NOT PRESENT</v>
      </c>
      <c r="R1227" s="4" t="str">
        <f>IF($N1227=1,IF(ISERROR(VLOOKUP($P1227,'M1'!$A:$C,R$2,FALSE)),"NOT PRESENT",VLOOKUP($P1227,'M1'!$A:$C,R$2,FALSE)),IF($N1227=2,IF(ISERROR(VLOOKUP(DATA!$P278,'M2'!$A:$C,R$2,FALSE)),"NOT PRESENT",VLOOKUP(DATA!$P278,'M2'!$A:$C,R$2,FALSE)),IF($N1227=0,IF(ISERROR(VLOOKUP($P1227,'M1'!$A:$C,R$2,FALSE)),IF(ISERROR(VLOOKUP(DATA!$P278,'M2'!$A:$C,R$2,FALSE)),"NOT PRESENT",VLOOKUP(DATA!$P278,'M2'!$A:$C,R$2,FALSE)),VLOOKUP($P1227,'M1'!$A:$C,R$2,FALSE)),"SPECIFY METHOD")))</f>
        <v>NOT PRESENT</v>
      </c>
      <c r="S1227" s="20">
        <f t="shared" si="129"/>
        <v>2</v>
      </c>
      <c r="T1227" s="2">
        <v>0</v>
      </c>
      <c r="Z1227" s="2">
        <v>1</v>
      </c>
      <c r="AA1227" s="2">
        <v>1</v>
      </c>
    </row>
    <row r="1228" spans="1:31">
      <c r="A1228" s="7">
        <f>MAX($A$1:$A1227)+1</f>
        <v>1227</v>
      </c>
      <c r="B1228" s="2" t="str">
        <f t="shared" si="125"/>
        <v>Em Lim</v>
      </c>
      <c r="C1228" s="2" t="str">
        <f t="shared" si="126"/>
        <v>Isabelle Côté</v>
      </c>
      <c r="D1228" s="2" t="str">
        <f t="shared" si="130"/>
        <v>BMSC3</v>
      </c>
      <c r="E1228" s="7" t="str">
        <f>IF(ISERROR(VLOOKUP($D1228,SITES!$A:$E,2,FALSE)),"",VLOOKUP($D1228,SITES!$A:$E,2,FALSE))</f>
        <v>Ohiat</v>
      </c>
      <c r="F1228" s="4">
        <f>IF(ISERROR(VLOOKUP($D1228,SITES!$A:$E,3,FALSE)),"",VLOOKUP($D1228,SITES!$A:$E,3,FALSE))</f>
        <v>48.855583190917898</v>
      </c>
      <c r="G1228" s="18">
        <f>IF(ISERROR(VLOOKUP($D1228,SITES!$A:$E,4,FALSE)),"",VLOOKUP($D1228,SITES!$A:$E,4,FALSE))</f>
        <v>-125.183799743652</v>
      </c>
      <c r="H1228" s="5" t="str">
        <f t="shared" si="127"/>
        <v>19/05/2023</v>
      </c>
      <c r="I1228" s="2">
        <f t="shared" si="131"/>
        <v>1</v>
      </c>
      <c r="J1228" s="2">
        <f t="shared" si="132"/>
        <v>270</v>
      </c>
      <c r="K1228" s="6">
        <f t="shared" si="133"/>
        <v>0.52777777777777779</v>
      </c>
      <c r="L1228" s="2" t="str">
        <f t="shared" si="128"/>
        <v>EGL</v>
      </c>
      <c r="M1228" s="2">
        <f t="shared" si="135"/>
        <v>7.5</v>
      </c>
      <c r="N1228" s="2">
        <v>2</v>
      </c>
      <c r="O1228" s="2">
        <f t="shared" si="136"/>
        <v>1</v>
      </c>
      <c r="P1228" s="27" t="s">
        <v>268</v>
      </c>
      <c r="Q1228" s="7" t="str">
        <f>IF($N1228=1,IF(ISERROR(VLOOKUP($P1228,'M1'!$A:$C,Q$2,FALSE)),"NOT PRESENT",VLOOKUP($P1228,'M1'!$A:$C,Q$2,FALSE)),IF($N1228=2,IF(ISERROR(VLOOKUP(DATA!$P279,'M2'!$A:$C,Q$2,FALSE)),"NOT PRESENT",VLOOKUP(DATA!$P279,'M2'!$A:$C,Q$2,FALSE)),IF($N1228=0,IF(ISERROR(VLOOKUP($P1228,'M1'!$A:$C,Q$2,FALSE)),IF(ISERROR(VLOOKUP(DATA!$P279,'M2'!$A:$C,Q$2,FALSE)),"NOT PRESENT",VLOOKUP(DATA!$P279,'M2'!$A:$C,Q$2,FALSE)),VLOOKUP($P1228,'M1'!$A:$C,Q$2,FALSE)),"SPECIFY METHOD")))</f>
        <v>NOT PRESENT</v>
      </c>
      <c r="R1228" s="4" t="str">
        <f>IF($N1228=1,IF(ISERROR(VLOOKUP($P1228,'M1'!$A:$C,R$2,FALSE)),"NOT PRESENT",VLOOKUP($P1228,'M1'!$A:$C,R$2,FALSE)),IF($N1228=2,IF(ISERROR(VLOOKUP(DATA!$P279,'M2'!$A:$C,R$2,FALSE)),"NOT PRESENT",VLOOKUP(DATA!$P279,'M2'!$A:$C,R$2,FALSE)),IF($N1228=0,IF(ISERROR(VLOOKUP($P1228,'M1'!$A:$C,R$2,FALSE)),IF(ISERROR(VLOOKUP(DATA!$P279,'M2'!$A:$C,R$2,FALSE)),"NOT PRESENT",VLOOKUP(DATA!$P279,'M2'!$A:$C,R$2,FALSE)),VLOOKUP($P1228,'M1'!$A:$C,R$2,FALSE)),"SPECIFY METHOD")))</f>
        <v>NOT PRESENT</v>
      </c>
      <c r="S1228" s="20">
        <f t="shared" si="129"/>
        <v>2</v>
      </c>
      <c r="T1228" s="2">
        <v>0</v>
      </c>
      <c r="W1228" s="2">
        <v>1</v>
      </c>
      <c r="X1228" s="2">
        <v>1</v>
      </c>
    </row>
    <row r="1229" spans="1:31">
      <c r="A1229" s="7">
        <f>MAX($A$1:$A1228)+1</f>
        <v>1228</v>
      </c>
      <c r="B1229" s="2" t="str">
        <f t="shared" si="125"/>
        <v>Em Lim</v>
      </c>
      <c r="C1229" s="2" t="str">
        <f t="shared" si="126"/>
        <v>Isabelle Côté</v>
      </c>
      <c r="D1229" s="2" t="str">
        <f t="shared" si="130"/>
        <v>BMSC3</v>
      </c>
      <c r="E1229" s="7" t="str">
        <f>IF(ISERROR(VLOOKUP($D1229,SITES!$A:$E,2,FALSE)),"",VLOOKUP($D1229,SITES!$A:$E,2,FALSE))</f>
        <v>Ohiat</v>
      </c>
      <c r="F1229" s="4">
        <f>IF(ISERROR(VLOOKUP($D1229,SITES!$A:$E,3,FALSE)),"",VLOOKUP($D1229,SITES!$A:$E,3,FALSE))</f>
        <v>48.855583190917898</v>
      </c>
      <c r="G1229" s="18">
        <f>IF(ISERROR(VLOOKUP($D1229,SITES!$A:$E,4,FALSE)),"",VLOOKUP($D1229,SITES!$A:$E,4,FALSE))</f>
        <v>-125.183799743652</v>
      </c>
      <c r="H1229" s="5" t="str">
        <f t="shared" si="127"/>
        <v>19/05/2023</v>
      </c>
      <c r="I1229" s="2">
        <f t="shared" si="131"/>
        <v>1</v>
      </c>
      <c r="J1229" s="2">
        <f t="shared" si="132"/>
        <v>270</v>
      </c>
      <c r="K1229" s="6">
        <f t="shared" si="133"/>
        <v>0.52777777777777779</v>
      </c>
      <c r="L1229" s="2" t="str">
        <f t="shared" si="128"/>
        <v>EGL</v>
      </c>
      <c r="M1229" s="2">
        <f t="shared" si="135"/>
        <v>7.5</v>
      </c>
      <c r="N1229" s="2">
        <f t="shared" ref="N1229:N1242" si="138">IF(ISERROR(N1228),IF(ISERROR(N1227),IF(ISERROR(N1226),"BLANK",N1226),N1227),N1228)</f>
        <v>2</v>
      </c>
      <c r="O1229" s="2">
        <f t="shared" si="136"/>
        <v>1</v>
      </c>
      <c r="P1229" s="27" t="s">
        <v>190</v>
      </c>
      <c r="Q1229" s="7" t="str">
        <f>IF($N1229=1,IF(ISERROR(VLOOKUP($P1229,'M1'!$A:$C,Q$2,FALSE)),"NOT PRESENT",VLOOKUP($P1229,'M1'!$A:$C,Q$2,FALSE)),IF($N1229=2,IF(ISERROR(VLOOKUP(DATA!$P280,'M2'!$A:$C,Q$2,FALSE)),"NOT PRESENT",VLOOKUP(DATA!$P280,'M2'!$A:$C,Q$2,FALSE)),IF($N1229=0,IF(ISERROR(VLOOKUP($P1229,'M1'!$A:$C,Q$2,FALSE)),IF(ISERROR(VLOOKUP(DATA!$P280,'M2'!$A:$C,Q$2,FALSE)),"NOT PRESENT",VLOOKUP(DATA!$P280,'M2'!$A:$C,Q$2,FALSE)),VLOOKUP($P1229,'M1'!$A:$C,Q$2,FALSE)),"SPECIFY METHOD")))</f>
        <v>NOT PRESENT</v>
      </c>
      <c r="R1229" s="4" t="str">
        <f>IF($N1229=1,IF(ISERROR(VLOOKUP($P1229,'M1'!$A:$C,R$2,FALSE)),"NOT PRESENT",VLOOKUP($P1229,'M1'!$A:$C,R$2,FALSE)),IF($N1229=2,IF(ISERROR(VLOOKUP(DATA!$P280,'M2'!$A:$C,R$2,FALSE)),"NOT PRESENT",VLOOKUP(DATA!$P280,'M2'!$A:$C,R$2,FALSE)),IF($N1229=0,IF(ISERROR(VLOOKUP($P1229,'M1'!$A:$C,R$2,FALSE)),IF(ISERROR(VLOOKUP(DATA!$P280,'M2'!$A:$C,R$2,FALSE)),"NOT PRESENT",VLOOKUP(DATA!$P280,'M2'!$A:$C,R$2,FALSE)),VLOOKUP($P1229,'M1'!$A:$C,R$2,FALSE)),"SPECIFY METHOD")))</f>
        <v>NOT PRESENT</v>
      </c>
      <c r="S1229" s="20">
        <f t="shared" si="129"/>
        <v>21</v>
      </c>
      <c r="T1229" s="2">
        <v>21</v>
      </c>
    </row>
    <row r="1230" spans="1:31">
      <c r="A1230" s="7">
        <f>MAX($A$1:$A1229)+1</f>
        <v>1229</v>
      </c>
      <c r="B1230" s="2" t="str">
        <f t="shared" si="125"/>
        <v>Em Lim</v>
      </c>
      <c r="C1230" s="2" t="str">
        <f t="shared" si="126"/>
        <v>Isabelle Côté</v>
      </c>
      <c r="D1230" s="2" t="str">
        <f t="shared" si="130"/>
        <v>BMSC3</v>
      </c>
      <c r="E1230" s="7" t="str">
        <f>IF(ISERROR(VLOOKUP($D1230,SITES!$A:$E,2,FALSE)),"",VLOOKUP($D1230,SITES!$A:$E,2,FALSE))</f>
        <v>Ohiat</v>
      </c>
      <c r="F1230" s="4">
        <f>IF(ISERROR(VLOOKUP($D1230,SITES!$A:$E,3,FALSE)),"",VLOOKUP($D1230,SITES!$A:$E,3,FALSE))</f>
        <v>48.855583190917898</v>
      </c>
      <c r="G1230" s="18">
        <f>IF(ISERROR(VLOOKUP($D1230,SITES!$A:$E,4,FALSE)),"",VLOOKUP($D1230,SITES!$A:$E,4,FALSE))</f>
        <v>-125.183799743652</v>
      </c>
      <c r="H1230" s="5" t="str">
        <f t="shared" si="127"/>
        <v>19/05/2023</v>
      </c>
      <c r="I1230" s="2">
        <f t="shared" si="131"/>
        <v>1</v>
      </c>
      <c r="J1230" s="2">
        <f t="shared" si="132"/>
        <v>270</v>
      </c>
      <c r="K1230" s="6">
        <f t="shared" si="133"/>
        <v>0.52777777777777779</v>
      </c>
      <c r="L1230" s="2" t="str">
        <f t="shared" si="128"/>
        <v>EGL</v>
      </c>
      <c r="M1230" s="2">
        <f t="shared" si="135"/>
        <v>7.5</v>
      </c>
      <c r="N1230" s="2">
        <f t="shared" si="138"/>
        <v>2</v>
      </c>
      <c r="O1230" s="2">
        <f t="shared" si="136"/>
        <v>1</v>
      </c>
      <c r="P1230" s="27" t="s">
        <v>183</v>
      </c>
      <c r="Q1230" s="7" t="str">
        <f>IF($N1230=1,IF(ISERROR(VLOOKUP($P1230,'M1'!$A:$C,Q$2,FALSE)),"NOT PRESENT",VLOOKUP($P1230,'M1'!$A:$C,Q$2,FALSE)),IF($N1230=2,IF(ISERROR(VLOOKUP(DATA!$P281,'M2'!$A:$C,Q$2,FALSE)),"NOT PRESENT",VLOOKUP(DATA!$P281,'M2'!$A:$C,Q$2,FALSE)),IF($N1230=0,IF(ISERROR(VLOOKUP($P1230,'M1'!$A:$C,Q$2,FALSE)),IF(ISERROR(VLOOKUP(DATA!$P281,'M2'!$A:$C,Q$2,FALSE)),"NOT PRESENT",VLOOKUP(DATA!$P281,'M2'!$A:$C,Q$2,FALSE)),VLOOKUP($P1230,'M1'!$A:$C,Q$2,FALSE)),"SPECIFY METHOD")))</f>
        <v>NOT PRESENT</v>
      </c>
      <c r="R1230" s="4" t="str">
        <f>IF($N1230=1,IF(ISERROR(VLOOKUP($P1230,'M1'!$A:$C,R$2,FALSE)),"NOT PRESENT",VLOOKUP($P1230,'M1'!$A:$C,R$2,FALSE)),IF($N1230=2,IF(ISERROR(VLOOKUP(DATA!$P281,'M2'!$A:$C,R$2,FALSE)),"NOT PRESENT",VLOOKUP(DATA!$P281,'M2'!$A:$C,R$2,FALSE)),IF($N1230=0,IF(ISERROR(VLOOKUP($P1230,'M1'!$A:$C,R$2,FALSE)),IF(ISERROR(VLOOKUP(DATA!$P281,'M2'!$A:$C,R$2,FALSE)),"NOT PRESENT",VLOOKUP(DATA!$P281,'M2'!$A:$C,R$2,FALSE)),VLOOKUP($P1230,'M1'!$A:$C,R$2,FALSE)),"SPECIFY METHOD")))</f>
        <v>NOT PRESENT</v>
      </c>
      <c r="S1230" s="20">
        <f t="shared" si="129"/>
        <v>1</v>
      </c>
      <c r="T1230" s="2">
        <v>1</v>
      </c>
    </row>
    <row r="1231" spans="1:31">
      <c r="A1231" s="7">
        <f>MAX($A$1:$A1230)+1</f>
        <v>1230</v>
      </c>
      <c r="B1231" s="2" t="str">
        <f t="shared" si="125"/>
        <v>Em Lim</v>
      </c>
      <c r="C1231" s="2" t="str">
        <f t="shared" si="126"/>
        <v>Isabelle Côté</v>
      </c>
      <c r="D1231" s="2" t="str">
        <f t="shared" si="130"/>
        <v>BMSC3</v>
      </c>
      <c r="E1231" s="7" t="str">
        <f>IF(ISERROR(VLOOKUP($D1231,SITES!$A:$E,2,FALSE)),"",VLOOKUP($D1231,SITES!$A:$E,2,FALSE))</f>
        <v>Ohiat</v>
      </c>
      <c r="F1231" s="4">
        <f>IF(ISERROR(VLOOKUP($D1231,SITES!$A:$E,3,FALSE)),"",VLOOKUP($D1231,SITES!$A:$E,3,FALSE))</f>
        <v>48.855583190917898</v>
      </c>
      <c r="G1231" s="18">
        <f>IF(ISERROR(VLOOKUP($D1231,SITES!$A:$E,4,FALSE)),"",VLOOKUP($D1231,SITES!$A:$E,4,FALSE))</f>
        <v>-125.183799743652</v>
      </c>
      <c r="H1231" s="5" t="str">
        <f t="shared" si="127"/>
        <v>19/05/2023</v>
      </c>
      <c r="I1231" s="2">
        <f t="shared" si="131"/>
        <v>1</v>
      </c>
      <c r="J1231" s="2">
        <f t="shared" si="132"/>
        <v>270</v>
      </c>
      <c r="K1231" s="6">
        <f t="shared" si="133"/>
        <v>0.52777777777777779</v>
      </c>
      <c r="L1231" s="2" t="str">
        <f t="shared" si="128"/>
        <v>EGL</v>
      </c>
      <c r="M1231" s="2">
        <f t="shared" si="135"/>
        <v>7.5</v>
      </c>
      <c r="N1231" s="2">
        <f t="shared" si="138"/>
        <v>2</v>
      </c>
      <c r="O1231" s="2">
        <f t="shared" si="136"/>
        <v>1</v>
      </c>
      <c r="P1231" s="27" t="s">
        <v>184</v>
      </c>
      <c r="Q1231" s="7" t="str">
        <f>IF($N1231=1,IF(ISERROR(VLOOKUP($P1231,'M1'!$A:$C,Q$2,FALSE)),"NOT PRESENT",VLOOKUP($P1231,'M1'!$A:$C,Q$2,FALSE)),IF($N1231=2,IF(ISERROR(VLOOKUP(DATA!$P282,'M2'!$A:$C,Q$2,FALSE)),"NOT PRESENT",VLOOKUP(DATA!$P282,'M2'!$A:$C,Q$2,FALSE)),IF($N1231=0,IF(ISERROR(VLOOKUP($P1231,'M1'!$A:$C,Q$2,FALSE)),IF(ISERROR(VLOOKUP(DATA!$P282,'M2'!$A:$C,Q$2,FALSE)),"NOT PRESENT",VLOOKUP(DATA!$P282,'M2'!$A:$C,Q$2,FALSE)),VLOOKUP($P1231,'M1'!$A:$C,Q$2,FALSE)),"SPECIFY METHOD")))</f>
        <v>NOT PRESENT</v>
      </c>
      <c r="R1231" s="4" t="str">
        <f>IF($N1231=1,IF(ISERROR(VLOOKUP($P1231,'M1'!$A:$C,R$2,FALSE)),"NOT PRESENT",VLOOKUP($P1231,'M1'!$A:$C,R$2,FALSE)),IF($N1231=2,IF(ISERROR(VLOOKUP(DATA!$P282,'M2'!$A:$C,R$2,FALSE)),"NOT PRESENT",VLOOKUP(DATA!$P282,'M2'!$A:$C,R$2,FALSE)),IF($N1231=0,IF(ISERROR(VLOOKUP($P1231,'M1'!$A:$C,R$2,FALSE)),IF(ISERROR(VLOOKUP(DATA!$P282,'M2'!$A:$C,R$2,FALSE)),"NOT PRESENT",VLOOKUP(DATA!$P282,'M2'!$A:$C,R$2,FALSE)),VLOOKUP($P1231,'M1'!$A:$C,R$2,FALSE)),"SPECIFY METHOD")))</f>
        <v>NOT PRESENT</v>
      </c>
      <c r="S1231" s="20">
        <f t="shared" si="129"/>
        <v>28</v>
      </c>
      <c r="T1231" s="2">
        <v>28</v>
      </c>
    </row>
    <row r="1232" spans="1:31">
      <c r="A1232" s="7">
        <f>MAX($A$1:$A1231)+1</f>
        <v>1231</v>
      </c>
      <c r="B1232" s="2" t="str">
        <f t="shared" si="125"/>
        <v>Em Lim</v>
      </c>
      <c r="C1232" s="2" t="str">
        <f t="shared" si="126"/>
        <v>Isabelle Côté</v>
      </c>
      <c r="D1232" s="2" t="str">
        <f t="shared" si="130"/>
        <v>BMSC3</v>
      </c>
      <c r="E1232" s="7" t="str">
        <f>IF(ISERROR(VLOOKUP($D1232,SITES!$A:$E,2,FALSE)),"",VLOOKUP($D1232,SITES!$A:$E,2,FALSE))</f>
        <v>Ohiat</v>
      </c>
      <c r="F1232" s="4">
        <f>IF(ISERROR(VLOOKUP($D1232,SITES!$A:$E,3,FALSE)),"",VLOOKUP($D1232,SITES!$A:$E,3,FALSE))</f>
        <v>48.855583190917898</v>
      </c>
      <c r="G1232" s="18">
        <f>IF(ISERROR(VLOOKUP($D1232,SITES!$A:$E,4,FALSE)),"",VLOOKUP($D1232,SITES!$A:$E,4,FALSE))</f>
        <v>-125.183799743652</v>
      </c>
      <c r="H1232" s="5" t="str">
        <f t="shared" si="127"/>
        <v>19/05/2023</v>
      </c>
      <c r="I1232" s="2">
        <f t="shared" si="131"/>
        <v>1</v>
      </c>
      <c r="J1232" s="2">
        <f t="shared" si="132"/>
        <v>270</v>
      </c>
      <c r="K1232" s="6">
        <f t="shared" si="133"/>
        <v>0.52777777777777779</v>
      </c>
      <c r="L1232" s="2" t="str">
        <f t="shared" si="128"/>
        <v>EGL</v>
      </c>
      <c r="M1232" s="2">
        <f t="shared" si="135"/>
        <v>7.5</v>
      </c>
      <c r="N1232" s="2">
        <f t="shared" si="138"/>
        <v>2</v>
      </c>
      <c r="O1232" s="2">
        <f t="shared" si="136"/>
        <v>1</v>
      </c>
      <c r="P1232" s="27" t="s">
        <v>196</v>
      </c>
      <c r="Q1232" s="7" t="str">
        <f>IF($N1232=1,IF(ISERROR(VLOOKUP($P1232,'M1'!$A:$C,Q$2,FALSE)),"NOT PRESENT",VLOOKUP($P1232,'M1'!$A:$C,Q$2,FALSE)),IF($N1232=2,IF(ISERROR(VLOOKUP(DATA!$P283,'M2'!$A:$C,Q$2,FALSE)),"NOT PRESENT",VLOOKUP(DATA!$P283,'M2'!$A:$C,Q$2,FALSE)),IF($N1232=0,IF(ISERROR(VLOOKUP($P1232,'M1'!$A:$C,Q$2,FALSE)),IF(ISERROR(VLOOKUP(DATA!$P283,'M2'!$A:$C,Q$2,FALSE)),"NOT PRESENT",VLOOKUP(DATA!$P283,'M2'!$A:$C,Q$2,FALSE)),VLOOKUP($P1232,'M1'!$A:$C,Q$2,FALSE)),"SPECIFY METHOD")))</f>
        <v>NOT PRESENT</v>
      </c>
      <c r="R1232" s="4" t="str">
        <f>IF($N1232=1,IF(ISERROR(VLOOKUP($P1232,'M1'!$A:$C,R$2,FALSE)),"NOT PRESENT",VLOOKUP($P1232,'M1'!$A:$C,R$2,FALSE)),IF($N1232=2,IF(ISERROR(VLOOKUP(DATA!$P283,'M2'!$A:$C,R$2,FALSE)),"NOT PRESENT",VLOOKUP(DATA!$P283,'M2'!$A:$C,R$2,FALSE)),IF($N1232=0,IF(ISERROR(VLOOKUP($P1232,'M1'!$A:$C,R$2,FALSE)),IF(ISERROR(VLOOKUP(DATA!$P283,'M2'!$A:$C,R$2,FALSE)),"NOT PRESENT",VLOOKUP(DATA!$P283,'M2'!$A:$C,R$2,FALSE)),VLOOKUP($P1232,'M1'!$A:$C,R$2,FALSE)),"SPECIFY METHOD")))</f>
        <v>NOT PRESENT</v>
      </c>
      <c r="S1232" s="20">
        <f t="shared" si="129"/>
        <v>7</v>
      </c>
      <c r="T1232" s="2">
        <v>7</v>
      </c>
    </row>
    <row r="1233" spans="1:29">
      <c r="A1233" s="7">
        <f>MAX($A$1:$A1232)+1</f>
        <v>1232</v>
      </c>
      <c r="B1233" s="2" t="str">
        <f t="shared" si="125"/>
        <v>Em Lim</v>
      </c>
      <c r="C1233" s="2" t="str">
        <f t="shared" si="126"/>
        <v>Isabelle Côté</v>
      </c>
      <c r="D1233" s="2" t="str">
        <f t="shared" si="130"/>
        <v>BMSC3</v>
      </c>
      <c r="E1233" s="7" t="str">
        <f>IF(ISERROR(VLOOKUP($D1233,SITES!$A:$E,2,FALSE)),"",VLOOKUP($D1233,SITES!$A:$E,2,FALSE))</f>
        <v>Ohiat</v>
      </c>
      <c r="F1233" s="4">
        <f>IF(ISERROR(VLOOKUP($D1233,SITES!$A:$E,3,FALSE)),"",VLOOKUP($D1233,SITES!$A:$E,3,FALSE))</f>
        <v>48.855583190917898</v>
      </c>
      <c r="G1233" s="18">
        <f>IF(ISERROR(VLOOKUP($D1233,SITES!$A:$E,4,FALSE)),"",VLOOKUP($D1233,SITES!$A:$E,4,FALSE))</f>
        <v>-125.183799743652</v>
      </c>
      <c r="H1233" s="5" t="str">
        <f t="shared" si="127"/>
        <v>19/05/2023</v>
      </c>
      <c r="I1233" s="2">
        <f t="shared" si="131"/>
        <v>1</v>
      </c>
      <c r="J1233" s="2">
        <f t="shared" si="132"/>
        <v>270</v>
      </c>
      <c r="K1233" s="6">
        <f t="shared" si="133"/>
        <v>0.52777777777777779</v>
      </c>
      <c r="L1233" s="2" t="str">
        <f t="shared" si="128"/>
        <v>EGL</v>
      </c>
      <c r="M1233" s="2">
        <f t="shared" si="135"/>
        <v>7.5</v>
      </c>
      <c r="N1233" s="2">
        <f t="shared" si="138"/>
        <v>2</v>
      </c>
      <c r="O1233" s="2">
        <f t="shared" si="136"/>
        <v>1</v>
      </c>
      <c r="P1233" s="27" t="s">
        <v>182</v>
      </c>
      <c r="Q1233" s="7" t="str">
        <f>IF($N1233=1,IF(ISERROR(VLOOKUP($P1233,'M1'!$A:$C,Q$2,FALSE)),"NOT PRESENT",VLOOKUP($P1233,'M1'!$A:$C,Q$2,FALSE)),IF($N1233=2,IF(ISERROR(VLOOKUP(DATA!$P284,'M2'!$A:$C,Q$2,FALSE)),"NOT PRESENT",VLOOKUP(DATA!$P284,'M2'!$A:$C,Q$2,FALSE)),IF($N1233=0,IF(ISERROR(VLOOKUP($P1233,'M1'!$A:$C,Q$2,FALSE)),IF(ISERROR(VLOOKUP(DATA!$P284,'M2'!$A:$C,Q$2,FALSE)),"NOT PRESENT",VLOOKUP(DATA!$P284,'M2'!$A:$C,Q$2,FALSE)),VLOOKUP($P1233,'M1'!$A:$C,Q$2,FALSE)),"SPECIFY METHOD")))</f>
        <v>NOT PRESENT</v>
      </c>
      <c r="R1233" s="4" t="str">
        <f>IF($N1233=1,IF(ISERROR(VLOOKUP($P1233,'M1'!$A:$C,R$2,FALSE)),"NOT PRESENT",VLOOKUP($P1233,'M1'!$A:$C,R$2,FALSE)),IF($N1233=2,IF(ISERROR(VLOOKUP(DATA!$P284,'M2'!$A:$C,R$2,FALSE)),"NOT PRESENT",VLOOKUP(DATA!$P284,'M2'!$A:$C,R$2,FALSE)),IF($N1233=0,IF(ISERROR(VLOOKUP($P1233,'M1'!$A:$C,R$2,FALSE)),IF(ISERROR(VLOOKUP(DATA!$P284,'M2'!$A:$C,R$2,FALSE)),"NOT PRESENT",VLOOKUP(DATA!$P284,'M2'!$A:$C,R$2,FALSE)),VLOOKUP($P1233,'M1'!$A:$C,R$2,FALSE)),"SPECIFY METHOD")))</f>
        <v>NOT PRESENT</v>
      </c>
      <c r="S1233" s="20">
        <f t="shared" si="129"/>
        <v>41</v>
      </c>
      <c r="T1233" s="2">
        <v>41</v>
      </c>
    </row>
    <row r="1234" spans="1:29">
      <c r="A1234" s="7">
        <f>MAX($A$1:$A1233)+1</f>
        <v>1233</v>
      </c>
      <c r="B1234" s="2" t="str">
        <f t="shared" si="125"/>
        <v>Em Lim</v>
      </c>
      <c r="C1234" s="2" t="str">
        <f t="shared" si="126"/>
        <v>Isabelle Côté</v>
      </c>
      <c r="D1234" s="2" t="str">
        <f t="shared" si="130"/>
        <v>BMSC3</v>
      </c>
      <c r="E1234" s="7" t="str">
        <f>IF(ISERROR(VLOOKUP($D1234,SITES!$A:$E,2,FALSE)),"",VLOOKUP($D1234,SITES!$A:$E,2,FALSE))</f>
        <v>Ohiat</v>
      </c>
      <c r="F1234" s="4">
        <f>IF(ISERROR(VLOOKUP($D1234,SITES!$A:$E,3,FALSE)),"",VLOOKUP($D1234,SITES!$A:$E,3,FALSE))</f>
        <v>48.855583190917898</v>
      </c>
      <c r="G1234" s="18">
        <f>IF(ISERROR(VLOOKUP($D1234,SITES!$A:$E,4,FALSE)),"",VLOOKUP($D1234,SITES!$A:$E,4,FALSE))</f>
        <v>-125.183799743652</v>
      </c>
      <c r="H1234" s="5" t="str">
        <f t="shared" si="127"/>
        <v>19/05/2023</v>
      </c>
      <c r="I1234" s="2">
        <f t="shared" si="131"/>
        <v>1</v>
      </c>
      <c r="J1234" s="2">
        <f t="shared" si="132"/>
        <v>270</v>
      </c>
      <c r="K1234" s="6">
        <f t="shared" si="133"/>
        <v>0.52777777777777779</v>
      </c>
      <c r="L1234" s="2" t="str">
        <f t="shared" si="128"/>
        <v>EGL</v>
      </c>
      <c r="M1234" s="2">
        <f t="shared" si="135"/>
        <v>7.5</v>
      </c>
      <c r="N1234" s="2">
        <f t="shared" si="138"/>
        <v>2</v>
      </c>
      <c r="O1234" s="2">
        <f t="shared" si="136"/>
        <v>1</v>
      </c>
      <c r="P1234" s="27" t="s">
        <v>223</v>
      </c>
      <c r="Q1234" s="7" t="str">
        <f>IF($N1234=1,IF(ISERROR(VLOOKUP($P1234,'M1'!$A:$C,Q$2,FALSE)),"NOT PRESENT",VLOOKUP($P1234,'M1'!$A:$C,Q$2,FALSE)),IF($N1234=2,IF(ISERROR(VLOOKUP(DATA!$P285,'M2'!$A:$C,Q$2,FALSE)),"NOT PRESENT",VLOOKUP(DATA!$P285,'M2'!$A:$C,Q$2,FALSE)),IF($N1234=0,IF(ISERROR(VLOOKUP($P1234,'M1'!$A:$C,Q$2,FALSE)),IF(ISERROR(VLOOKUP(DATA!$P285,'M2'!$A:$C,Q$2,FALSE)),"NOT PRESENT",VLOOKUP(DATA!$P285,'M2'!$A:$C,Q$2,FALSE)),VLOOKUP($P1234,'M1'!$A:$C,Q$2,FALSE)),"SPECIFY METHOD")))</f>
        <v>NOT PRESENT</v>
      </c>
      <c r="R1234" s="4" t="str">
        <f>IF($N1234=1,IF(ISERROR(VLOOKUP($P1234,'M1'!$A:$C,R$2,FALSE)),"NOT PRESENT",VLOOKUP($P1234,'M1'!$A:$C,R$2,FALSE)),IF($N1234=2,IF(ISERROR(VLOOKUP(DATA!$P285,'M2'!$A:$C,R$2,FALSE)),"NOT PRESENT",VLOOKUP(DATA!$P285,'M2'!$A:$C,R$2,FALSE)),IF($N1234=0,IF(ISERROR(VLOOKUP($P1234,'M1'!$A:$C,R$2,FALSE)),IF(ISERROR(VLOOKUP(DATA!$P285,'M2'!$A:$C,R$2,FALSE)),"NOT PRESENT",VLOOKUP(DATA!$P285,'M2'!$A:$C,R$2,FALSE)),VLOOKUP($P1234,'M1'!$A:$C,R$2,FALSE)),"SPECIFY METHOD")))</f>
        <v>NOT PRESENT</v>
      </c>
      <c r="S1234" s="20">
        <f t="shared" si="129"/>
        <v>4</v>
      </c>
      <c r="T1234" s="2">
        <v>0</v>
      </c>
      <c r="U1234" s="2">
        <v>2</v>
      </c>
      <c r="V1234" s="2">
        <v>2</v>
      </c>
    </row>
    <row r="1235" spans="1:29">
      <c r="A1235" s="7">
        <f>MAX($A$1:$A1234)+1</f>
        <v>1234</v>
      </c>
      <c r="B1235" s="2" t="str">
        <f t="shared" si="125"/>
        <v>Em Lim</v>
      </c>
      <c r="C1235" s="2" t="str">
        <f t="shared" si="126"/>
        <v>Isabelle Côté</v>
      </c>
      <c r="D1235" s="2" t="str">
        <f t="shared" si="130"/>
        <v>BMSC3</v>
      </c>
      <c r="E1235" s="7" t="str">
        <f>IF(ISERROR(VLOOKUP($D1235,SITES!$A:$E,2,FALSE)),"",VLOOKUP($D1235,SITES!$A:$E,2,FALSE))</f>
        <v>Ohiat</v>
      </c>
      <c r="F1235" s="4">
        <f>IF(ISERROR(VLOOKUP($D1235,SITES!$A:$E,3,FALSE)),"",VLOOKUP($D1235,SITES!$A:$E,3,FALSE))</f>
        <v>48.855583190917898</v>
      </c>
      <c r="G1235" s="18">
        <f>IF(ISERROR(VLOOKUP($D1235,SITES!$A:$E,4,FALSE)),"",VLOOKUP($D1235,SITES!$A:$E,4,FALSE))</f>
        <v>-125.183799743652</v>
      </c>
      <c r="H1235" s="5" t="str">
        <f t="shared" si="127"/>
        <v>19/05/2023</v>
      </c>
      <c r="I1235" s="2">
        <f t="shared" si="131"/>
        <v>1</v>
      </c>
      <c r="J1235" s="2">
        <f t="shared" si="132"/>
        <v>270</v>
      </c>
      <c r="K1235" s="6">
        <f t="shared" si="133"/>
        <v>0.52777777777777779</v>
      </c>
      <c r="L1235" s="2" t="str">
        <f t="shared" si="128"/>
        <v>EGL</v>
      </c>
      <c r="M1235" s="2">
        <f t="shared" si="135"/>
        <v>7.5</v>
      </c>
      <c r="N1235" s="2">
        <f t="shared" si="138"/>
        <v>2</v>
      </c>
      <c r="O1235" s="2">
        <f t="shared" si="136"/>
        <v>1</v>
      </c>
      <c r="P1235" s="27" t="s">
        <v>202</v>
      </c>
      <c r="Q1235" s="7" t="str">
        <f>IF($N1235=1,IF(ISERROR(VLOOKUP($P1235,'M1'!$A:$C,Q$2,FALSE)),"NOT PRESENT",VLOOKUP($P1235,'M1'!$A:$C,Q$2,FALSE)),IF($N1235=2,IF(ISERROR(VLOOKUP(DATA!$P286,'M2'!$A:$C,Q$2,FALSE)),"NOT PRESENT",VLOOKUP(DATA!$P286,'M2'!$A:$C,Q$2,FALSE)),IF($N1235=0,IF(ISERROR(VLOOKUP($P1235,'M1'!$A:$C,Q$2,FALSE)),IF(ISERROR(VLOOKUP(DATA!$P286,'M2'!$A:$C,Q$2,FALSE)),"NOT PRESENT",VLOOKUP(DATA!$P286,'M2'!$A:$C,Q$2,FALSE)),VLOOKUP($P1235,'M1'!$A:$C,Q$2,FALSE)),"SPECIFY METHOD")))</f>
        <v>NOT PRESENT</v>
      </c>
      <c r="R1235" s="4" t="str">
        <f>IF($N1235=1,IF(ISERROR(VLOOKUP($P1235,'M1'!$A:$C,R$2,FALSE)),"NOT PRESENT",VLOOKUP($P1235,'M1'!$A:$C,R$2,FALSE)),IF($N1235=2,IF(ISERROR(VLOOKUP(DATA!$P286,'M2'!$A:$C,R$2,FALSE)),"NOT PRESENT",VLOOKUP(DATA!$P286,'M2'!$A:$C,R$2,FALSE)),IF($N1235=0,IF(ISERROR(VLOOKUP($P1235,'M1'!$A:$C,R$2,FALSE)),IF(ISERROR(VLOOKUP(DATA!$P286,'M2'!$A:$C,R$2,FALSE)),"NOT PRESENT",VLOOKUP(DATA!$P286,'M2'!$A:$C,R$2,FALSE)),VLOOKUP($P1235,'M1'!$A:$C,R$2,FALSE)),"SPECIFY METHOD")))</f>
        <v>NOT PRESENT</v>
      </c>
      <c r="S1235" s="20">
        <f t="shared" si="129"/>
        <v>18</v>
      </c>
      <c r="T1235" s="2">
        <v>18</v>
      </c>
    </row>
    <row r="1236" spans="1:29">
      <c r="A1236" s="7">
        <f>MAX($A$1:$A1235)+1</f>
        <v>1235</v>
      </c>
      <c r="B1236" s="2" t="str">
        <f t="shared" si="125"/>
        <v>Em Lim</v>
      </c>
      <c r="C1236" s="2" t="str">
        <f t="shared" si="126"/>
        <v>Isabelle Côté</v>
      </c>
      <c r="D1236" s="2" t="str">
        <f t="shared" si="130"/>
        <v>BMSC3</v>
      </c>
      <c r="E1236" s="7" t="str">
        <f>IF(ISERROR(VLOOKUP($D1236,SITES!$A:$E,2,FALSE)),"",VLOOKUP($D1236,SITES!$A:$E,2,FALSE))</f>
        <v>Ohiat</v>
      </c>
      <c r="F1236" s="4">
        <f>IF(ISERROR(VLOOKUP($D1236,SITES!$A:$E,3,FALSE)),"",VLOOKUP($D1236,SITES!$A:$E,3,FALSE))</f>
        <v>48.855583190917898</v>
      </c>
      <c r="G1236" s="18">
        <f>IF(ISERROR(VLOOKUP($D1236,SITES!$A:$E,4,FALSE)),"",VLOOKUP($D1236,SITES!$A:$E,4,FALSE))</f>
        <v>-125.183799743652</v>
      </c>
      <c r="H1236" s="5" t="str">
        <f t="shared" si="127"/>
        <v>19/05/2023</v>
      </c>
      <c r="I1236" s="2">
        <f t="shared" si="131"/>
        <v>1</v>
      </c>
      <c r="J1236" s="2">
        <f t="shared" si="132"/>
        <v>270</v>
      </c>
      <c r="K1236" s="6">
        <f t="shared" si="133"/>
        <v>0.52777777777777779</v>
      </c>
      <c r="L1236" s="2" t="str">
        <f t="shared" si="128"/>
        <v>EGL</v>
      </c>
      <c r="M1236" s="2">
        <f t="shared" si="135"/>
        <v>7.5</v>
      </c>
      <c r="N1236" s="2">
        <f t="shared" si="138"/>
        <v>2</v>
      </c>
      <c r="O1236" s="2">
        <f t="shared" si="136"/>
        <v>1</v>
      </c>
      <c r="P1236" s="27" t="s">
        <v>180</v>
      </c>
      <c r="Q1236" s="7" t="str">
        <f>IF($N1236=1,IF(ISERROR(VLOOKUP($P1236,'M1'!$A:$C,Q$2,FALSE)),"NOT PRESENT",VLOOKUP($P1236,'M1'!$A:$C,Q$2,FALSE)),IF($N1236=2,IF(ISERROR(VLOOKUP(DATA!$P287,'M2'!$A:$C,Q$2,FALSE)),"NOT PRESENT",VLOOKUP(DATA!$P287,'M2'!$A:$C,Q$2,FALSE)),IF($N1236=0,IF(ISERROR(VLOOKUP($P1236,'M1'!$A:$C,Q$2,FALSE)),IF(ISERROR(VLOOKUP(DATA!$P287,'M2'!$A:$C,Q$2,FALSE)),"NOT PRESENT",VLOOKUP(DATA!$P287,'M2'!$A:$C,Q$2,FALSE)),VLOOKUP($P1236,'M1'!$A:$C,Q$2,FALSE)),"SPECIFY METHOD")))</f>
        <v>NOT PRESENT</v>
      </c>
      <c r="R1236" s="4" t="str">
        <f>IF($N1236=1,IF(ISERROR(VLOOKUP($P1236,'M1'!$A:$C,R$2,FALSE)),"NOT PRESENT",VLOOKUP($P1236,'M1'!$A:$C,R$2,FALSE)),IF($N1236=2,IF(ISERROR(VLOOKUP(DATA!$P287,'M2'!$A:$C,R$2,FALSE)),"NOT PRESENT",VLOOKUP(DATA!$P287,'M2'!$A:$C,R$2,FALSE)),IF($N1236=0,IF(ISERROR(VLOOKUP($P1236,'M1'!$A:$C,R$2,FALSE)),IF(ISERROR(VLOOKUP(DATA!$P287,'M2'!$A:$C,R$2,FALSE)),"NOT PRESENT",VLOOKUP(DATA!$P287,'M2'!$A:$C,R$2,FALSE)),VLOOKUP($P1236,'M1'!$A:$C,R$2,FALSE)),"SPECIFY METHOD")))</f>
        <v>NOT PRESENT</v>
      </c>
      <c r="S1236" s="20">
        <f t="shared" si="129"/>
        <v>6</v>
      </c>
      <c r="T1236" s="2">
        <v>6</v>
      </c>
    </row>
    <row r="1237" spans="1:29">
      <c r="A1237" s="7">
        <f>MAX($A$1:$A1236)+1</f>
        <v>1236</v>
      </c>
      <c r="B1237" s="2" t="str">
        <f t="shared" si="125"/>
        <v>Em Lim</v>
      </c>
      <c r="C1237" s="2" t="str">
        <f t="shared" si="126"/>
        <v>Isabelle Côté</v>
      </c>
      <c r="D1237" s="2" t="str">
        <f t="shared" si="130"/>
        <v>BMSC3</v>
      </c>
      <c r="E1237" s="7" t="str">
        <f>IF(ISERROR(VLOOKUP($D1237,SITES!$A:$E,2,FALSE)),"",VLOOKUP($D1237,SITES!$A:$E,2,FALSE))</f>
        <v>Ohiat</v>
      </c>
      <c r="F1237" s="4">
        <f>IF(ISERROR(VLOOKUP($D1237,SITES!$A:$E,3,FALSE)),"",VLOOKUP($D1237,SITES!$A:$E,3,FALSE))</f>
        <v>48.855583190917898</v>
      </c>
      <c r="G1237" s="18">
        <f>IF(ISERROR(VLOOKUP($D1237,SITES!$A:$E,4,FALSE)),"",VLOOKUP($D1237,SITES!$A:$E,4,FALSE))</f>
        <v>-125.183799743652</v>
      </c>
      <c r="H1237" s="5" t="str">
        <f t="shared" si="127"/>
        <v>19/05/2023</v>
      </c>
      <c r="I1237" s="2">
        <f t="shared" si="131"/>
        <v>1</v>
      </c>
      <c r="J1237" s="2">
        <f t="shared" si="132"/>
        <v>270</v>
      </c>
      <c r="K1237" s="6">
        <f t="shared" si="133"/>
        <v>0.52777777777777779</v>
      </c>
      <c r="L1237" s="2" t="str">
        <f t="shared" si="128"/>
        <v>EGL</v>
      </c>
      <c r="M1237" s="2">
        <f t="shared" si="135"/>
        <v>7.5</v>
      </c>
      <c r="N1237" s="2">
        <f t="shared" si="138"/>
        <v>2</v>
      </c>
      <c r="O1237" s="2">
        <f t="shared" si="136"/>
        <v>1</v>
      </c>
      <c r="P1237" s="27" t="s">
        <v>211</v>
      </c>
      <c r="Q1237" s="7" t="str">
        <f>IF($N1237=1,IF(ISERROR(VLOOKUP($P1237,'M1'!$A:$C,Q$2,FALSE)),"NOT PRESENT",VLOOKUP($P1237,'M1'!$A:$C,Q$2,FALSE)),IF($N1237=2,IF(ISERROR(VLOOKUP(DATA!$P288,'M2'!$A:$C,Q$2,FALSE)),"NOT PRESENT",VLOOKUP(DATA!$P288,'M2'!$A:$C,Q$2,FALSE)),IF($N1237=0,IF(ISERROR(VLOOKUP($P1237,'M1'!$A:$C,Q$2,FALSE)),IF(ISERROR(VLOOKUP(DATA!$P288,'M2'!$A:$C,Q$2,FALSE)),"NOT PRESENT",VLOOKUP(DATA!$P288,'M2'!$A:$C,Q$2,FALSE)),VLOOKUP($P1237,'M1'!$A:$C,Q$2,FALSE)),"SPECIFY METHOD")))</f>
        <v>NOT PRESENT</v>
      </c>
      <c r="R1237" s="4" t="str">
        <f>IF($N1237=1,IF(ISERROR(VLOOKUP($P1237,'M1'!$A:$C,R$2,FALSE)),"NOT PRESENT",VLOOKUP($P1237,'M1'!$A:$C,R$2,FALSE)),IF($N1237=2,IF(ISERROR(VLOOKUP(DATA!$P288,'M2'!$A:$C,R$2,FALSE)),"NOT PRESENT",VLOOKUP(DATA!$P288,'M2'!$A:$C,R$2,FALSE)),IF($N1237=0,IF(ISERROR(VLOOKUP($P1237,'M1'!$A:$C,R$2,FALSE)),IF(ISERROR(VLOOKUP(DATA!$P288,'M2'!$A:$C,R$2,FALSE)),"NOT PRESENT",VLOOKUP(DATA!$P288,'M2'!$A:$C,R$2,FALSE)),VLOOKUP($P1237,'M1'!$A:$C,R$2,FALSE)),"SPECIFY METHOD")))</f>
        <v>NOT PRESENT</v>
      </c>
      <c r="S1237" s="20">
        <f t="shared" si="129"/>
        <v>1</v>
      </c>
      <c r="T1237" s="2">
        <v>1</v>
      </c>
    </row>
    <row r="1238" spans="1:29">
      <c r="A1238" s="7">
        <f>MAX($A$1:$A1237)+1</f>
        <v>1237</v>
      </c>
      <c r="B1238" s="2" t="str">
        <f t="shared" si="125"/>
        <v>Em Lim</v>
      </c>
      <c r="C1238" s="2" t="str">
        <f t="shared" si="126"/>
        <v>Isabelle Côté</v>
      </c>
      <c r="D1238" s="2" t="str">
        <f t="shared" si="130"/>
        <v>BMSC3</v>
      </c>
      <c r="E1238" s="7" t="str">
        <f>IF(ISERROR(VLOOKUP($D1238,SITES!$A:$E,2,FALSE)),"",VLOOKUP($D1238,SITES!$A:$E,2,FALSE))</f>
        <v>Ohiat</v>
      </c>
      <c r="F1238" s="4">
        <f>IF(ISERROR(VLOOKUP($D1238,SITES!$A:$E,3,FALSE)),"",VLOOKUP($D1238,SITES!$A:$E,3,FALSE))</f>
        <v>48.855583190917898</v>
      </c>
      <c r="G1238" s="18">
        <f>IF(ISERROR(VLOOKUP($D1238,SITES!$A:$E,4,FALSE)),"",VLOOKUP($D1238,SITES!$A:$E,4,FALSE))</f>
        <v>-125.183799743652</v>
      </c>
      <c r="H1238" s="5" t="str">
        <f t="shared" si="127"/>
        <v>19/05/2023</v>
      </c>
      <c r="I1238" s="2">
        <f t="shared" si="131"/>
        <v>1</v>
      </c>
      <c r="J1238" s="2">
        <f t="shared" si="132"/>
        <v>270</v>
      </c>
      <c r="K1238" s="6">
        <f t="shared" si="133"/>
        <v>0.52777777777777779</v>
      </c>
      <c r="L1238" s="2" t="str">
        <f t="shared" si="128"/>
        <v>EGL</v>
      </c>
      <c r="M1238" s="2">
        <f t="shared" si="135"/>
        <v>7.5</v>
      </c>
      <c r="N1238" s="2">
        <f t="shared" si="138"/>
        <v>2</v>
      </c>
      <c r="O1238" s="2">
        <f t="shared" si="136"/>
        <v>1</v>
      </c>
      <c r="P1238" s="27" t="s">
        <v>219</v>
      </c>
      <c r="Q1238" s="7" t="str">
        <f>IF($N1238=1,IF(ISERROR(VLOOKUP($P1238,'M1'!$A:$C,Q$2,FALSE)),"NOT PRESENT",VLOOKUP($P1238,'M1'!$A:$C,Q$2,FALSE)),IF($N1238=2,IF(ISERROR(VLOOKUP(DATA!$P289,'M2'!$A:$C,Q$2,FALSE)),"NOT PRESENT",VLOOKUP(DATA!$P289,'M2'!$A:$C,Q$2,FALSE)),IF($N1238=0,IF(ISERROR(VLOOKUP($P1238,'M1'!$A:$C,Q$2,FALSE)),IF(ISERROR(VLOOKUP(DATA!$P289,'M2'!$A:$C,Q$2,FALSE)),"NOT PRESENT",VLOOKUP(DATA!$P289,'M2'!$A:$C,Q$2,FALSE)),VLOOKUP($P1238,'M1'!$A:$C,Q$2,FALSE)),"SPECIFY METHOD")))</f>
        <v>NOT PRESENT</v>
      </c>
      <c r="R1238" s="4" t="str">
        <f>IF($N1238=1,IF(ISERROR(VLOOKUP($P1238,'M1'!$A:$C,R$2,FALSE)),"NOT PRESENT",VLOOKUP($P1238,'M1'!$A:$C,R$2,FALSE)),IF($N1238=2,IF(ISERROR(VLOOKUP(DATA!$P289,'M2'!$A:$C,R$2,FALSE)),"NOT PRESENT",VLOOKUP(DATA!$P289,'M2'!$A:$C,R$2,FALSE)),IF($N1238=0,IF(ISERROR(VLOOKUP($P1238,'M1'!$A:$C,R$2,FALSE)),IF(ISERROR(VLOOKUP(DATA!$P289,'M2'!$A:$C,R$2,FALSE)),"NOT PRESENT",VLOOKUP(DATA!$P289,'M2'!$A:$C,R$2,FALSE)),VLOOKUP($P1238,'M1'!$A:$C,R$2,FALSE)),"SPECIFY METHOD")))</f>
        <v>NOT PRESENT</v>
      </c>
      <c r="S1238" s="20">
        <f t="shared" si="129"/>
        <v>1</v>
      </c>
      <c r="T1238" s="2">
        <v>1</v>
      </c>
    </row>
    <row r="1239" spans="1:29">
      <c r="A1239" s="7">
        <f>MAX($A$1:$A1238)+1</f>
        <v>1238</v>
      </c>
      <c r="B1239" s="2" t="str">
        <f t="shared" si="125"/>
        <v>Em Lim</v>
      </c>
      <c r="C1239" s="2" t="str">
        <f t="shared" si="126"/>
        <v>Isabelle Côté</v>
      </c>
      <c r="D1239" s="2" t="str">
        <f t="shared" si="130"/>
        <v>BMSC3</v>
      </c>
      <c r="E1239" s="7" t="str">
        <f>IF(ISERROR(VLOOKUP($D1239,SITES!$A:$E,2,FALSE)),"",VLOOKUP($D1239,SITES!$A:$E,2,FALSE))</f>
        <v>Ohiat</v>
      </c>
      <c r="F1239" s="4">
        <f>IF(ISERROR(VLOOKUP($D1239,SITES!$A:$E,3,FALSE)),"",VLOOKUP($D1239,SITES!$A:$E,3,FALSE))</f>
        <v>48.855583190917898</v>
      </c>
      <c r="G1239" s="18">
        <f>IF(ISERROR(VLOOKUP($D1239,SITES!$A:$E,4,FALSE)),"",VLOOKUP($D1239,SITES!$A:$E,4,FALSE))</f>
        <v>-125.183799743652</v>
      </c>
      <c r="H1239" s="5" t="str">
        <f t="shared" si="127"/>
        <v>19/05/2023</v>
      </c>
      <c r="I1239" s="2">
        <f t="shared" si="131"/>
        <v>1</v>
      </c>
      <c r="J1239" s="2">
        <f t="shared" si="132"/>
        <v>270</v>
      </c>
      <c r="K1239" s="6">
        <f t="shared" si="133"/>
        <v>0.52777777777777779</v>
      </c>
      <c r="L1239" s="2" t="str">
        <f t="shared" si="128"/>
        <v>EGL</v>
      </c>
      <c r="M1239" s="2">
        <f t="shared" si="135"/>
        <v>7.5</v>
      </c>
      <c r="N1239" s="2">
        <f t="shared" si="138"/>
        <v>2</v>
      </c>
      <c r="O1239" s="2">
        <f t="shared" si="136"/>
        <v>1</v>
      </c>
      <c r="P1239" s="27" t="s">
        <v>203</v>
      </c>
      <c r="Q1239" s="7" t="str">
        <f>IF($N1239=1,IF(ISERROR(VLOOKUP($P1239,'M1'!$A:$C,Q$2,FALSE)),"NOT PRESENT",VLOOKUP($P1239,'M1'!$A:$C,Q$2,FALSE)),IF($N1239=2,IF(ISERROR(VLOOKUP(DATA!$P290,'M2'!$A:$C,Q$2,FALSE)),"NOT PRESENT",VLOOKUP(DATA!$P290,'M2'!$A:$C,Q$2,FALSE)),IF($N1239=0,IF(ISERROR(VLOOKUP($P1239,'M1'!$A:$C,Q$2,FALSE)),IF(ISERROR(VLOOKUP(DATA!$P290,'M2'!$A:$C,Q$2,FALSE)),"NOT PRESENT",VLOOKUP(DATA!$P290,'M2'!$A:$C,Q$2,FALSE)),VLOOKUP($P1239,'M1'!$A:$C,Q$2,FALSE)),"SPECIFY METHOD")))</f>
        <v>NOT PRESENT</v>
      </c>
      <c r="R1239" s="4" t="str">
        <f>IF($N1239=1,IF(ISERROR(VLOOKUP($P1239,'M1'!$A:$C,R$2,FALSE)),"NOT PRESENT",VLOOKUP($P1239,'M1'!$A:$C,R$2,FALSE)),IF($N1239=2,IF(ISERROR(VLOOKUP(DATA!$P290,'M2'!$A:$C,R$2,FALSE)),"NOT PRESENT",VLOOKUP(DATA!$P290,'M2'!$A:$C,R$2,FALSE)),IF($N1239=0,IF(ISERROR(VLOOKUP($P1239,'M1'!$A:$C,R$2,FALSE)),IF(ISERROR(VLOOKUP(DATA!$P290,'M2'!$A:$C,R$2,FALSE)),"NOT PRESENT",VLOOKUP(DATA!$P290,'M2'!$A:$C,R$2,FALSE)),VLOOKUP($P1239,'M1'!$A:$C,R$2,FALSE)),"SPECIFY METHOD")))</f>
        <v>NOT PRESENT</v>
      </c>
      <c r="S1239" s="20">
        <f t="shared" si="129"/>
        <v>1</v>
      </c>
      <c r="T1239" s="2">
        <v>1</v>
      </c>
    </row>
    <row r="1240" spans="1:29">
      <c r="A1240" s="7">
        <f>MAX($A$1:$A1239)+1</f>
        <v>1239</v>
      </c>
      <c r="B1240" s="2" t="str">
        <f t="shared" si="125"/>
        <v>Em Lim</v>
      </c>
      <c r="C1240" s="2" t="str">
        <f t="shared" si="126"/>
        <v>Isabelle Côté</v>
      </c>
      <c r="D1240" s="2" t="str">
        <f t="shared" si="130"/>
        <v>BMSC3</v>
      </c>
      <c r="E1240" s="7" t="str">
        <f>IF(ISERROR(VLOOKUP($D1240,SITES!$A:$E,2,FALSE)),"",VLOOKUP($D1240,SITES!$A:$E,2,FALSE))</f>
        <v>Ohiat</v>
      </c>
      <c r="F1240" s="4">
        <f>IF(ISERROR(VLOOKUP($D1240,SITES!$A:$E,3,FALSE)),"",VLOOKUP($D1240,SITES!$A:$E,3,FALSE))</f>
        <v>48.855583190917898</v>
      </c>
      <c r="G1240" s="18">
        <f>IF(ISERROR(VLOOKUP($D1240,SITES!$A:$E,4,FALSE)),"",VLOOKUP($D1240,SITES!$A:$E,4,FALSE))</f>
        <v>-125.183799743652</v>
      </c>
      <c r="H1240" s="5" t="str">
        <f t="shared" si="127"/>
        <v>19/05/2023</v>
      </c>
      <c r="I1240" s="2">
        <f t="shared" si="131"/>
        <v>1</v>
      </c>
      <c r="J1240" s="2">
        <f t="shared" si="132"/>
        <v>270</v>
      </c>
      <c r="K1240" s="6">
        <f t="shared" si="133"/>
        <v>0.52777777777777779</v>
      </c>
      <c r="L1240" s="2" t="str">
        <f t="shared" si="128"/>
        <v>EGL</v>
      </c>
      <c r="M1240" s="2">
        <f t="shared" si="135"/>
        <v>7.5</v>
      </c>
      <c r="N1240" s="2">
        <f t="shared" si="138"/>
        <v>2</v>
      </c>
      <c r="O1240" s="2">
        <f t="shared" si="136"/>
        <v>1</v>
      </c>
      <c r="P1240" s="27" t="s">
        <v>210</v>
      </c>
      <c r="Q1240" s="7" t="str">
        <f>IF($N1240=1,IF(ISERROR(VLOOKUP($P1240,'M1'!$A:$C,Q$2,FALSE)),"NOT PRESENT",VLOOKUP($P1240,'M1'!$A:$C,Q$2,FALSE)),IF($N1240=2,IF(ISERROR(VLOOKUP(DATA!$P291,'M2'!$A:$C,Q$2,FALSE)),"NOT PRESENT",VLOOKUP(DATA!$P291,'M2'!$A:$C,Q$2,FALSE)),IF($N1240=0,IF(ISERROR(VLOOKUP($P1240,'M1'!$A:$C,Q$2,FALSE)),IF(ISERROR(VLOOKUP(DATA!$P291,'M2'!$A:$C,Q$2,FALSE)),"NOT PRESENT",VLOOKUP(DATA!$P291,'M2'!$A:$C,Q$2,FALSE)),VLOOKUP($P1240,'M1'!$A:$C,Q$2,FALSE)),"SPECIFY METHOD")))</f>
        <v>NOT PRESENT</v>
      </c>
      <c r="R1240" s="4" t="str">
        <f>IF($N1240=1,IF(ISERROR(VLOOKUP($P1240,'M1'!$A:$C,R$2,FALSE)),"NOT PRESENT",VLOOKUP($P1240,'M1'!$A:$C,R$2,FALSE)),IF($N1240=2,IF(ISERROR(VLOOKUP(DATA!$P291,'M2'!$A:$C,R$2,FALSE)),"NOT PRESENT",VLOOKUP(DATA!$P291,'M2'!$A:$C,R$2,FALSE)),IF($N1240=0,IF(ISERROR(VLOOKUP($P1240,'M1'!$A:$C,R$2,FALSE)),IF(ISERROR(VLOOKUP(DATA!$P291,'M2'!$A:$C,R$2,FALSE)),"NOT PRESENT",VLOOKUP(DATA!$P291,'M2'!$A:$C,R$2,FALSE)),VLOOKUP($P1240,'M1'!$A:$C,R$2,FALSE)),"SPECIFY METHOD")))</f>
        <v>NOT PRESENT</v>
      </c>
      <c r="S1240" s="20">
        <f t="shared" si="129"/>
        <v>1</v>
      </c>
      <c r="T1240" s="2">
        <v>1</v>
      </c>
    </row>
    <row r="1241" spans="1:29">
      <c r="A1241" s="7">
        <f>MAX($A$1:$A1240)+1</f>
        <v>1240</v>
      </c>
      <c r="B1241" s="2" t="str">
        <f t="shared" si="125"/>
        <v>Em Lim</v>
      </c>
      <c r="C1241" s="2" t="str">
        <f t="shared" si="126"/>
        <v>Isabelle Côté</v>
      </c>
      <c r="D1241" s="2" t="str">
        <f t="shared" si="130"/>
        <v>BMSC3</v>
      </c>
      <c r="E1241" s="7" t="str">
        <f>IF(ISERROR(VLOOKUP($D1241,SITES!$A:$E,2,FALSE)),"",VLOOKUP($D1241,SITES!$A:$E,2,FALSE))</f>
        <v>Ohiat</v>
      </c>
      <c r="F1241" s="4">
        <f>IF(ISERROR(VLOOKUP($D1241,SITES!$A:$E,3,FALSE)),"",VLOOKUP($D1241,SITES!$A:$E,3,FALSE))</f>
        <v>48.855583190917898</v>
      </c>
      <c r="G1241" s="18">
        <f>IF(ISERROR(VLOOKUP($D1241,SITES!$A:$E,4,FALSE)),"",VLOOKUP($D1241,SITES!$A:$E,4,FALSE))</f>
        <v>-125.183799743652</v>
      </c>
      <c r="H1241" s="5" t="str">
        <f t="shared" si="127"/>
        <v>19/05/2023</v>
      </c>
      <c r="I1241" s="2">
        <f t="shared" si="131"/>
        <v>1</v>
      </c>
      <c r="J1241" s="2">
        <f t="shared" si="132"/>
        <v>270</v>
      </c>
      <c r="K1241" s="6">
        <f t="shared" si="133"/>
        <v>0.52777777777777779</v>
      </c>
      <c r="L1241" s="2" t="str">
        <f t="shared" si="128"/>
        <v>EGL</v>
      </c>
      <c r="M1241" s="2">
        <f t="shared" si="135"/>
        <v>7.5</v>
      </c>
      <c r="N1241" s="2">
        <f t="shared" si="138"/>
        <v>2</v>
      </c>
      <c r="O1241" s="2">
        <f t="shared" si="136"/>
        <v>1</v>
      </c>
      <c r="P1241" s="27" t="s">
        <v>191</v>
      </c>
      <c r="Q1241" s="7" t="str">
        <f>IF($N1241=1,IF(ISERROR(VLOOKUP($P1241,'M1'!$A:$C,Q$2,FALSE)),"NOT PRESENT",VLOOKUP($P1241,'M1'!$A:$C,Q$2,FALSE)),IF($N1241=2,IF(ISERROR(VLOOKUP(DATA!$P292,'M2'!$A:$C,Q$2,FALSE)),"NOT PRESENT",VLOOKUP(DATA!$P292,'M2'!$A:$C,Q$2,FALSE)),IF($N1241=0,IF(ISERROR(VLOOKUP($P1241,'M1'!$A:$C,Q$2,FALSE)),IF(ISERROR(VLOOKUP(DATA!$P292,'M2'!$A:$C,Q$2,FALSE)),"NOT PRESENT",VLOOKUP(DATA!$P292,'M2'!$A:$C,Q$2,FALSE)),VLOOKUP($P1241,'M1'!$A:$C,Q$2,FALSE)),"SPECIFY METHOD")))</f>
        <v>NOT PRESENT</v>
      </c>
      <c r="R1241" s="4" t="str">
        <f>IF($N1241=1,IF(ISERROR(VLOOKUP($P1241,'M1'!$A:$C,R$2,FALSE)),"NOT PRESENT",VLOOKUP($P1241,'M1'!$A:$C,R$2,FALSE)),IF($N1241=2,IF(ISERROR(VLOOKUP(DATA!$P292,'M2'!$A:$C,R$2,FALSE)),"NOT PRESENT",VLOOKUP(DATA!$P292,'M2'!$A:$C,R$2,FALSE)),IF($N1241=0,IF(ISERROR(VLOOKUP($P1241,'M1'!$A:$C,R$2,FALSE)),IF(ISERROR(VLOOKUP(DATA!$P292,'M2'!$A:$C,R$2,FALSE)),"NOT PRESENT",VLOOKUP(DATA!$P292,'M2'!$A:$C,R$2,FALSE)),VLOOKUP($P1241,'M1'!$A:$C,R$2,FALSE)),"SPECIFY METHOD")))</f>
        <v>NOT PRESENT</v>
      </c>
      <c r="S1241" s="20">
        <f t="shared" si="129"/>
        <v>1</v>
      </c>
      <c r="T1241" s="2">
        <v>1</v>
      </c>
    </row>
    <row r="1242" spans="1:29">
      <c r="A1242" s="7">
        <f>MAX($A$1:$A1241)+1</f>
        <v>1241</v>
      </c>
      <c r="B1242" s="2" t="str">
        <f t="shared" si="125"/>
        <v>Em Lim</v>
      </c>
      <c r="C1242" s="2" t="str">
        <f t="shared" si="126"/>
        <v>Isabelle Côté</v>
      </c>
      <c r="D1242" s="2" t="str">
        <f t="shared" si="130"/>
        <v>BMSC3</v>
      </c>
      <c r="E1242" s="7" t="str">
        <f>IF(ISERROR(VLOOKUP($D1242,SITES!$A:$E,2,FALSE)),"",VLOOKUP($D1242,SITES!$A:$E,2,FALSE))</f>
        <v>Ohiat</v>
      </c>
      <c r="F1242" s="4">
        <f>IF(ISERROR(VLOOKUP($D1242,SITES!$A:$E,3,FALSE)),"",VLOOKUP($D1242,SITES!$A:$E,3,FALSE))</f>
        <v>48.855583190917898</v>
      </c>
      <c r="G1242" s="18">
        <f>IF(ISERROR(VLOOKUP($D1242,SITES!$A:$E,4,FALSE)),"",VLOOKUP($D1242,SITES!$A:$E,4,FALSE))</f>
        <v>-125.183799743652</v>
      </c>
      <c r="H1242" s="5" t="str">
        <f t="shared" si="127"/>
        <v>19/05/2023</v>
      </c>
      <c r="I1242" s="2">
        <f t="shared" si="131"/>
        <v>1</v>
      </c>
      <c r="J1242" s="2">
        <f t="shared" si="132"/>
        <v>270</v>
      </c>
      <c r="K1242" s="6">
        <f t="shared" si="133"/>
        <v>0.52777777777777779</v>
      </c>
      <c r="L1242" s="2" t="str">
        <f t="shared" si="128"/>
        <v>EGL</v>
      </c>
      <c r="M1242" s="2">
        <f t="shared" si="135"/>
        <v>7.5</v>
      </c>
      <c r="N1242" s="2">
        <f t="shared" si="138"/>
        <v>2</v>
      </c>
      <c r="O1242" s="2">
        <f t="shared" si="136"/>
        <v>1</v>
      </c>
      <c r="P1242" s="27" t="s">
        <v>188</v>
      </c>
      <c r="Q1242" s="7" t="str">
        <f>IF($N1242=1,IF(ISERROR(VLOOKUP($P1242,'M1'!$A:$C,Q$2,FALSE)),"NOT PRESENT",VLOOKUP($P1242,'M1'!$A:$C,Q$2,FALSE)),IF($N1242=2,IF(ISERROR(VLOOKUP(DATA!$P293,'M2'!$A:$C,Q$2,FALSE)),"NOT PRESENT",VLOOKUP(DATA!$P293,'M2'!$A:$C,Q$2,FALSE)),IF($N1242=0,IF(ISERROR(VLOOKUP($P1242,'M1'!$A:$C,Q$2,FALSE)),IF(ISERROR(VLOOKUP(DATA!$P293,'M2'!$A:$C,Q$2,FALSE)),"NOT PRESENT",VLOOKUP(DATA!$P293,'M2'!$A:$C,Q$2,FALSE)),VLOOKUP($P1242,'M1'!$A:$C,Q$2,FALSE)),"SPECIFY METHOD")))</f>
        <v>NOT PRESENT</v>
      </c>
      <c r="R1242" s="4" t="str">
        <f>IF($N1242=1,IF(ISERROR(VLOOKUP($P1242,'M1'!$A:$C,R$2,FALSE)),"NOT PRESENT",VLOOKUP($P1242,'M1'!$A:$C,R$2,FALSE)),IF($N1242=2,IF(ISERROR(VLOOKUP(DATA!$P293,'M2'!$A:$C,R$2,FALSE)),"NOT PRESENT",VLOOKUP(DATA!$P293,'M2'!$A:$C,R$2,FALSE)),IF($N1242=0,IF(ISERROR(VLOOKUP($P1242,'M1'!$A:$C,R$2,FALSE)),IF(ISERROR(VLOOKUP(DATA!$P293,'M2'!$A:$C,R$2,FALSE)),"NOT PRESENT",VLOOKUP(DATA!$P293,'M2'!$A:$C,R$2,FALSE)),VLOOKUP($P1242,'M1'!$A:$C,R$2,FALSE)),"SPECIFY METHOD")))</f>
        <v>NOT PRESENT</v>
      </c>
      <c r="S1242" s="20">
        <f t="shared" si="129"/>
        <v>1</v>
      </c>
      <c r="T1242" s="2">
        <v>1</v>
      </c>
    </row>
    <row r="1243" spans="1:29">
      <c r="A1243" s="7">
        <f>MAX($A$1:$A1242)+1</f>
        <v>1242</v>
      </c>
      <c r="B1243" s="2" t="str">
        <f t="shared" si="125"/>
        <v>Em Lim</v>
      </c>
      <c r="C1243" s="2" t="str">
        <f t="shared" si="126"/>
        <v>Isabelle Côté</v>
      </c>
      <c r="D1243" s="2" t="str">
        <f t="shared" si="130"/>
        <v>BMSC3</v>
      </c>
      <c r="E1243" s="7" t="str">
        <f>IF(ISERROR(VLOOKUP($D1243,SITES!$A:$E,2,FALSE)),"",VLOOKUP($D1243,SITES!$A:$E,2,FALSE))</f>
        <v>Ohiat</v>
      </c>
      <c r="F1243" s="4">
        <f>IF(ISERROR(VLOOKUP($D1243,SITES!$A:$E,3,FALSE)),"",VLOOKUP($D1243,SITES!$A:$E,3,FALSE))</f>
        <v>48.855583190917898</v>
      </c>
      <c r="G1243" s="18">
        <f>IF(ISERROR(VLOOKUP($D1243,SITES!$A:$E,4,FALSE)),"",VLOOKUP($D1243,SITES!$A:$E,4,FALSE))</f>
        <v>-125.183799743652</v>
      </c>
      <c r="H1243" s="5" t="str">
        <f t="shared" si="127"/>
        <v>19/05/2023</v>
      </c>
      <c r="I1243" s="2">
        <f t="shared" si="131"/>
        <v>1</v>
      </c>
      <c r="J1243" s="2">
        <f t="shared" si="132"/>
        <v>270</v>
      </c>
      <c r="K1243" s="6">
        <f t="shared" si="133"/>
        <v>0.52777777777777779</v>
      </c>
      <c r="L1243" s="2" t="str">
        <f t="shared" si="128"/>
        <v>EGL</v>
      </c>
      <c r="M1243" s="2">
        <f t="shared" si="135"/>
        <v>7.5</v>
      </c>
      <c r="N1243" s="2">
        <v>0</v>
      </c>
      <c r="O1243" s="2">
        <v>0</v>
      </c>
      <c r="P1243" s="27" t="s">
        <v>200</v>
      </c>
      <c r="Q1243" s="7" t="str">
        <f>IF($N1243=1,IF(ISERROR(VLOOKUP($P1243,'M1'!$A:$C,Q$2,FALSE)),"NOT PRESENT",VLOOKUP($P1243,'M1'!$A:$C,Q$2,FALSE)),IF($N1243=2,IF(ISERROR(VLOOKUP(DATA!$P294,'M2'!$A:$C,Q$2,FALSE)),"NOT PRESENT",VLOOKUP(DATA!$P294,'M2'!$A:$C,Q$2,FALSE)),IF($N1243=0,IF(ISERROR(VLOOKUP($P1243,'M1'!$A:$C,Q$2,FALSE)),IF(ISERROR(VLOOKUP(DATA!$P294,'M2'!$A:$C,Q$2,FALSE)),"NOT PRESENT",VLOOKUP(DATA!$P294,'M2'!$A:$C,Q$2,FALSE)),VLOOKUP($P1243,'M1'!$A:$C,Q$2,FALSE)),"SPECIFY METHOD")))</f>
        <v>NOT PRESENT</v>
      </c>
      <c r="R1243" s="4" t="str">
        <f>IF($N1243=1,IF(ISERROR(VLOOKUP($P1243,'M1'!$A:$C,R$2,FALSE)),"NOT PRESENT",VLOOKUP($P1243,'M1'!$A:$C,R$2,FALSE)),IF($N1243=2,IF(ISERROR(VLOOKUP(DATA!$P294,'M2'!$A:$C,R$2,FALSE)),"NOT PRESENT",VLOOKUP(DATA!$P294,'M2'!$A:$C,R$2,FALSE)),IF($N1243=0,IF(ISERROR(VLOOKUP($P1243,'M1'!$A:$C,R$2,FALSE)),IF(ISERROR(VLOOKUP(DATA!$P294,'M2'!$A:$C,R$2,FALSE)),"NOT PRESENT",VLOOKUP(DATA!$P294,'M2'!$A:$C,R$2,FALSE)),VLOOKUP($P1243,'M1'!$A:$C,R$2,FALSE)),"SPECIFY METHOD")))</f>
        <v>NOT PRESENT</v>
      </c>
      <c r="S1243" s="20">
        <f t="shared" si="129"/>
        <v>3</v>
      </c>
      <c r="T1243" s="2">
        <v>0</v>
      </c>
      <c r="Z1243" s="2">
        <v>1</v>
      </c>
      <c r="AA1243" s="2">
        <v>2</v>
      </c>
    </row>
    <row r="1244" spans="1:29">
      <c r="A1244" s="7">
        <f>MAX($A$1:$A1243)+1</f>
        <v>1243</v>
      </c>
      <c r="B1244" s="2" t="s">
        <v>171</v>
      </c>
      <c r="C1244" s="2" t="s">
        <v>170</v>
      </c>
      <c r="D1244" s="2" t="s">
        <v>29</v>
      </c>
      <c r="E1244" s="7" t="s">
        <v>497</v>
      </c>
      <c r="F1244" s="4">
        <v>48.855583190917898</v>
      </c>
      <c r="G1244" s="18">
        <v>-125.183799743652</v>
      </c>
      <c r="H1244" s="5" t="s">
        <v>9</v>
      </c>
      <c r="I1244" s="2">
        <v>1</v>
      </c>
      <c r="J1244" s="2">
        <v>270</v>
      </c>
      <c r="K1244" s="6">
        <v>0.52569444444444446</v>
      </c>
      <c r="L1244" s="2" t="s">
        <v>172</v>
      </c>
      <c r="M1244" s="2">
        <v>7.5</v>
      </c>
      <c r="N1244" s="2">
        <v>1</v>
      </c>
      <c r="O1244" s="2">
        <v>2</v>
      </c>
      <c r="P1244" s="2" t="s">
        <v>231</v>
      </c>
      <c r="Q1244" s="7" t="s">
        <v>48</v>
      </c>
      <c r="R1244" s="4" t="s">
        <v>365</v>
      </c>
      <c r="S1244" s="20">
        <v>17</v>
      </c>
      <c r="T1244" s="2">
        <v>0</v>
      </c>
      <c r="Z1244" s="2">
        <v>4</v>
      </c>
      <c r="AA1244" s="2">
        <v>10</v>
      </c>
      <c r="AB1244" s="2">
        <v>2</v>
      </c>
      <c r="AC1244" s="2">
        <v>1</v>
      </c>
    </row>
    <row r="1245" spans="1:29">
      <c r="A1245" s="7">
        <f>MAX($A$1:$A1244)+1</f>
        <v>1244</v>
      </c>
      <c r="B1245" s="2" t="s">
        <v>171</v>
      </c>
      <c r="C1245" s="2" t="s">
        <v>170</v>
      </c>
      <c r="D1245" s="2" t="s">
        <v>29</v>
      </c>
      <c r="E1245" s="7" t="s">
        <v>497</v>
      </c>
      <c r="F1245" s="4">
        <v>48.855583190917898</v>
      </c>
      <c r="G1245" s="18">
        <v>-125.183799743652</v>
      </c>
      <c r="H1245" s="5" t="s">
        <v>9</v>
      </c>
      <c r="I1245" s="2">
        <v>1</v>
      </c>
      <c r="J1245" s="2">
        <v>270</v>
      </c>
      <c r="K1245" s="6">
        <v>0.52569444444444446</v>
      </c>
      <c r="L1245" s="2" t="s">
        <v>172</v>
      </c>
      <c r="M1245" s="2">
        <v>7.5</v>
      </c>
      <c r="N1245" s="2">
        <v>1</v>
      </c>
      <c r="O1245" s="2">
        <v>2</v>
      </c>
      <c r="P1245" s="2" t="s">
        <v>232</v>
      </c>
      <c r="Q1245" s="7" t="s">
        <v>43</v>
      </c>
      <c r="R1245" s="4" t="s">
        <v>324</v>
      </c>
      <c r="S1245" s="20">
        <v>4</v>
      </c>
      <c r="T1245" s="2">
        <v>0</v>
      </c>
      <c r="AA1245" s="2">
        <v>1</v>
      </c>
      <c r="AB1245" s="2">
        <v>1</v>
      </c>
      <c r="AC1245" s="2">
        <v>2</v>
      </c>
    </row>
    <row r="1246" spans="1:29">
      <c r="A1246" s="7">
        <f>MAX($A$1:$A1245)+1</f>
        <v>1245</v>
      </c>
      <c r="B1246" s="2" t="s">
        <v>171</v>
      </c>
      <c r="C1246" s="2" t="s">
        <v>170</v>
      </c>
      <c r="D1246" s="2" t="s">
        <v>29</v>
      </c>
      <c r="E1246" s="7" t="s">
        <v>497</v>
      </c>
      <c r="F1246" s="4">
        <v>48.855583190917898</v>
      </c>
      <c r="G1246" s="18">
        <v>-125.183799743652</v>
      </c>
      <c r="H1246" s="5" t="s">
        <v>9</v>
      </c>
      <c r="I1246" s="2">
        <v>1</v>
      </c>
      <c r="J1246" s="2">
        <v>270</v>
      </c>
      <c r="K1246" s="6">
        <v>0.52569444444444446</v>
      </c>
      <c r="L1246" s="2" t="s">
        <v>172</v>
      </c>
      <c r="M1246" s="2">
        <v>7.5</v>
      </c>
      <c r="N1246" s="2">
        <v>1</v>
      </c>
      <c r="O1246" s="2">
        <v>2</v>
      </c>
      <c r="P1246" s="2" t="s">
        <v>230</v>
      </c>
      <c r="Q1246" s="7" t="s">
        <v>42</v>
      </c>
      <c r="R1246" s="4" t="s">
        <v>321</v>
      </c>
      <c r="S1246" s="20">
        <v>2</v>
      </c>
      <c r="T1246" s="2">
        <v>0</v>
      </c>
      <c r="W1246" s="2">
        <v>2</v>
      </c>
    </row>
    <row r="1247" spans="1:29">
      <c r="A1247" s="7">
        <f>MAX($A$1:$A1246)+1</f>
        <v>1246</v>
      </c>
      <c r="B1247" s="2" t="s">
        <v>171</v>
      </c>
      <c r="C1247" s="2" t="s">
        <v>170</v>
      </c>
      <c r="D1247" s="2" t="s">
        <v>29</v>
      </c>
      <c r="E1247" s="7" t="s">
        <v>497</v>
      </c>
      <c r="F1247" s="4">
        <v>48.855583190917898</v>
      </c>
      <c r="G1247" s="18">
        <v>-125.183799743652</v>
      </c>
      <c r="H1247" s="5" t="s">
        <v>9</v>
      </c>
      <c r="I1247" s="2">
        <v>1</v>
      </c>
      <c r="J1247" s="2">
        <v>270</v>
      </c>
      <c r="K1247" s="6">
        <v>0.52569444444444446</v>
      </c>
      <c r="L1247" s="2" t="s">
        <v>172</v>
      </c>
      <c r="M1247" s="2">
        <v>7.5</v>
      </c>
      <c r="N1247" s="2">
        <v>2</v>
      </c>
      <c r="O1247" s="2">
        <v>2</v>
      </c>
      <c r="P1247" s="2" t="s">
        <v>241</v>
      </c>
      <c r="Q1247" s="7" t="s">
        <v>63</v>
      </c>
      <c r="R1247" s="4" t="s">
        <v>294</v>
      </c>
      <c r="S1247" s="20">
        <v>418</v>
      </c>
      <c r="T1247" s="2">
        <v>418</v>
      </c>
    </row>
    <row r="1248" spans="1:29">
      <c r="A1248" s="7">
        <f>MAX($A$1:$A1247)+1</f>
        <v>1247</v>
      </c>
      <c r="B1248" s="2" t="s">
        <v>171</v>
      </c>
      <c r="C1248" s="2" t="s">
        <v>170</v>
      </c>
      <c r="D1248" s="2" t="s">
        <v>29</v>
      </c>
      <c r="E1248" s="7" t="s">
        <v>497</v>
      </c>
      <c r="F1248" s="4">
        <v>48.855583190917898</v>
      </c>
      <c r="G1248" s="18">
        <v>-125.183799743652</v>
      </c>
      <c r="H1248" s="5" t="s">
        <v>9</v>
      </c>
      <c r="I1248" s="2">
        <v>1</v>
      </c>
      <c r="J1248" s="2">
        <v>270</v>
      </c>
      <c r="K1248" s="6">
        <v>0.52569444444444446</v>
      </c>
      <c r="L1248" s="2" t="s">
        <v>172</v>
      </c>
      <c r="M1248" s="2">
        <v>7.5</v>
      </c>
      <c r="N1248" s="2">
        <v>2</v>
      </c>
      <c r="O1248" s="2">
        <v>2</v>
      </c>
      <c r="P1248" s="2" t="s">
        <v>246</v>
      </c>
      <c r="Q1248" s="7" t="s">
        <v>66</v>
      </c>
      <c r="R1248" s="4" t="s">
        <v>318</v>
      </c>
      <c r="S1248" s="20">
        <v>32</v>
      </c>
      <c r="T1248" s="2">
        <v>32</v>
      </c>
    </row>
    <row r="1249" spans="1:28">
      <c r="A1249" s="7">
        <f>MAX($A$1:$A1248)+1</f>
        <v>1248</v>
      </c>
      <c r="B1249" s="2" t="s">
        <v>171</v>
      </c>
      <c r="C1249" s="2" t="s">
        <v>170</v>
      </c>
      <c r="D1249" s="2" t="s">
        <v>29</v>
      </c>
      <c r="E1249" s="7" t="s">
        <v>497</v>
      </c>
      <c r="F1249" s="4">
        <v>48.855583190917898</v>
      </c>
      <c r="G1249" s="18">
        <v>-125.183799743652</v>
      </c>
      <c r="H1249" s="5" t="s">
        <v>9</v>
      </c>
      <c r="I1249" s="2">
        <v>1</v>
      </c>
      <c r="J1249" s="2">
        <v>270</v>
      </c>
      <c r="K1249" s="6">
        <v>0.52569444444444446</v>
      </c>
      <c r="L1249" s="2" t="s">
        <v>172</v>
      </c>
      <c r="M1249" s="2">
        <v>7.5</v>
      </c>
      <c r="N1249" s="2">
        <v>2</v>
      </c>
      <c r="O1249" s="2">
        <v>2</v>
      </c>
      <c r="P1249" s="2" t="s">
        <v>243</v>
      </c>
      <c r="Q1249" s="7" t="s">
        <v>85</v>
      </c>
      <c r="R1249" s="4" t="s">
        <v>312</v>
      </c>
      <c r="S1249" s="20">
        <v>9</v>
      </c>
      <c r="T1249" s="2">
        <v>9</v>
      </c>
    </row>
    <row r="1250" spans="1:28">
      <c r="A1250" s="7">
        <f>MAX($A$1:$A1249)+1</f>
        <v>1249</v>
      </c>
      <c r="B1250" s="2" t="s">
        <v>171</v>
      </c>
      <c r="C1250" s="2" t="s">
        <v>170</v>
      </c>
      <c r="D1250" s="2" t="s">
        <v>29</v>
      </c>
      <c r="E1250" s="7" t="s">
        <v>497</v>
      </c>
      <c r="F1250" s="4">
        <v>48.855583190917898</v>
      </c>
      <c r="G1250" s="18">
        <v>-125.183799743652</v>
      </c>
      <c r="H1250" s="5" t="s">
        <v>9</v>
      </c>
      <c r="I1250" s="2">
        <v>1</v>
      </c>
      <c r="J1250" s="2">
        <v>270</v>
      </c>
      <c r="K1250" s="6">
        <v>0.52569444444444446</v>
      </c>
      <c r="L1250" s="2" t="s">
        <v>172</v>
      </c>
      <c r="M1250" s="2">
        <v>7.5</v>
      </c>
      <c r="N1250" s="2">
        <v>2</v>
      </c>
      <c r="O1250" s="2">
        <v>2</v>
      </c>
      <c r="P1250" s="2" t="s">
        <v>248</v>
      </c>
      <c r="Q1250" s="7" t="s">
        <v>78</v>
      </c>
      <c r="R1250" s="4" t="s">
        <v>349</v>
      </c>
      <c r="S1250" s="20">
        <v>30</v>
      </c>
      <c r="T1250" s="2">
        <v>0</v>
      </c>
      <c r="V1250" s="2">
        <v>7</v>
      </c>
      <c r="W1250" s="2">
        <v>12</v>
      </c>
      <c r="X1250" s="2">
        <v>7</v>
      </c>
      <c r="Y1250" s="2">
        <v>3</v>
      </c>
      <c r="Z1250" s="2">
        <v>1</v>
      </c>
    </row>
    <row r="1251" spans="1:28">
      <c r="A1251" s="7">
        <f>MAX($A$1:$A1250)+1</f>
        <v>1250</v>
      </c>
      <c r="B1251" s="2" t="s">
        <v>171</v>
      </c>
      <c r="C1251" s="2" t="s">
        <v>170</v>
      </c>
      <c r="D1251" s="2" t="s">
        <v>29</v>
      </c>
      <c r="E1251" s="7" t="s">
        <v>497</v>
      </c>
      <c r="F1251" s="4">
        <v>48.855583190917898</v>
      </c>
      <c r="G1251" s="18">
        <v>-125.183799743652</v>
      </c>
      <c r="H1251" s="5" t="s">
        <v>9</v>
      </c>
      <c r="I1251" s="2">
        <v>1</v>
      </c>
      <c r="J1251" s="2">
        <v>270</v>
      </c>
      <c r="K1251" s="6">
        <v>0.52569444444444446</v>
      </c>
      <c r="L1251" s="2" t="s">
        <v>172</v>
      </c>
      <c r="M1251" s="2">
        <v>7.5</v>
      </c>
      <c r="N1251" s="2">
        <v>2</v>
      </c>
      <c r="O1251" s="2">
        <v>2</v>
      </c>
      <c r="P1251" s="2" t="s">
        <v>247</v>
      </c>
      <c r="Q1251" s="7" t="s">
        <v>64</v>
      </c>
      <c r="R1251" s="4" t="s">
        <v>293</v>
      </c>
      <c r="S1251" s="20">
        <v>15</v>
      </c>
      <c r="T1251" s="2">
        <v>15</v>
      </c>
    </row>
    <row r="1252" spans="1:28">
      <c r="A1252" s="7">
        <f>MAX($A$1:$A1251)+1</f>
        <v>1251</v>
      </c>
      <c r="B1252" s="2" t="s">
        <v>171</v>
      </c>
      <c r="C1252" s="2" t="s">
        <v>170</v>
      </c>
      <c r="D1252" s="2" t="s">
        <v>29</v>
      </c>
      <c r="E1252" s="7" t="s">
        <v>497</v>
      </c>
      <c r="F1252" s="4">
        <v>48.855583190917898</v>
      </c>
      <c r="G1252" s="18">
        <v>-125.183799743652</v>
      </c>
      <c r="H1252" s="5" t="s">
        <v>9</v>
      </c>
      <c r="I1252" s="2">
        <v>1</v>
      </c>
      <c r="J1252" s="2">
        <v>270</v>
      </c>
      <c r="K1252" s="6">
        <v>0.52569444444444446</v>
      </c>
      <c r="L1252" s="2" t="s">
        <v>172</v>
      </c>
      <c r="M1252" s="2">
        <v>7.5</v>
      </c>
      <c r="N1252" s="2">
        <v>2</v>
      </c>
      <c r="O1252" s="2">
        <v>2</v>
      </c>
      <c r="P1252" s="2" t="s">
        <v>230</v>
      </c>
      <c r="Q1252" s="7" t="s">
        <v>42</v>
      </c>
      <c r="R1252" s="4" t="s">
        <v>321</v>
      </c>
      <c r="S1252" s="20">
        <v>10</v>
      </c>
      <c r="T1252" s="2">
        <v>0</v>
      </c>
      <c r="U1252" s="2">
        <v>2</v>
      </c>
      <c r="V1252" s="2">
        <v>6</v>
      </c>
      <c r="W1252" s="2">
        <v>2</v>
      </c>
    </row>
    <row r="1253" spans="1:28">
      <c r="A1253" s="7">
        <f>MAX($A$1:$A1252)+1</f>
        <v>1252</v>
      </c>
      <c r="B1253" s="2" t="s">
        <v>171</v>
      </c>
      <c r="C1253" s="2" t="s">
        <v>170</v>
      </c>
      <c r="D1253" s="2" t="s">
        <v>29</v>
      </c>
      <c r="E1253" s="7" t="s">
        <v>497</v>
      </c>
      <c r="F1253" s="4">
        <v>48.855583190917898</v>
      </c>
      <c r="G1253" s="18">
        <v>-125.183799743652</v>
      </c>
      <c r="H1253" s="5" t="s">
        <v>9</v>
      </c>
      <c r="I1253" s="2">
        <v>1</v>
      </c>
      <c r="J1253" s="2">
        <v>270</v>
      </c>
      <c r="K1253" s="6">
        <v>0.52569444444444446</v>
      </c>
      <c r="L1253" s="2" t="s">
        <v>172</v>
      </c>
      <c r="M1253" s="2">
        <v>7.5</v>
      </c>
      <c r="N1253" s="2">
        <v>2</v>
      </c>
      <c r="O1253" s="2">
        <v>2</v>
      </c>
      <c r="P1253" s="2" t="s">
        <v>250</v>
      </c>
      <c r="Q1253" s="7" t="s">
        <v>46</v>
      </c>
      <c r="R1253" s="4" t="s">
        <v>295</v>
      </c>
      <c r="S1253" s="20">
        <v>8</v>
      </c>
      <c r="T1253" s="2">
        <v>0</v>
      </c>
      <c r="U1253" s="2">
        <v>3</v>
      </c>
      <c r="V1253" s="2">
        <v>5</v>
      </c>
    </row>
    <row r="1254" spans="1:28">
      <c r="A1254" s="7">
        <f>MAX($A$1:$A1253)+1</f>
        <v>1253</v>
      </c>
      <c r="B1254" s="2" t="s">
        <v>171</v>
      </c>
      <c r="C1254" s="2" t="s">
        <v>170</v>
      </c>
      <c r="D1254" s="2" t="s">
        <v>29</v>
      </c>
      <c r="E1254" s="7" t="s">
        <v>497</v>
      </c>
      <c r="F1254" s="4">
        <v>48.855583190917898</v>
      </c>
      <c r="G1254" s="18">
        <v>-125.183799743652</v>
      </c>
      <c r="H1254" s="5" t="s">
        <v>9</v>
      </c>
      <c r="I1254" s="2">
        <v>1</v>
      </c>
      <c r="J1254" s="2">
        <v>270</v>
      </c>
      <c r="K1254" s="6">
        <v>0.52569444444444446</v>
      </c>
      <c r="L1254" s="2" t="s">
        <v>172</v>
      </c>
      <c r="M1254" s="2">
        <v>7.5</v>
      </c>
      <c r="N1254" s="2">
        <v>2</v>
      </c>
      <c r="O1254" s="2">
        <v>2</v>
      </c>
      <c r="P1254" s="2" t="s">
        <v>350</v>
      </c>
      <c r="Q1254" s="7" t="s">
        <v>83</v>
      </c>
      <c r="R1254" s="4" t="s">
        <v>351</v>
      </c>
      <c r="S1254" s="20">
        <v>2</v>
      </c>
      <c r="T1254" s="2">
        <v>2</v>
      </c>
    </row>
    <row r="1255" spans="1:28">
      <c r="A1255" s="7">
        <f>MAX($A$1:$A1254)+1</f>
        <v>1254</v>
      </c>
      <c r="B1255" s="2" t="s">
        <v>171</v>
      </c>
      <c r="C1255" s="2" t="s">
        <v>170</v>
      </c>
      <c r="D1255" s="2" t="s">
        <v>29</v>
      </c>
      <c r="E1255" s="7" t="s">
        <v>497</v>
      </c>
      <c r="F1255" s="4">
        <v>48.855583190917898</v>
      </c>
      <c r="G1255" s="18">
        <v>-125.183799743652</v>
      </c>
      <c r="H1255" s="5" t="s">
        <v>9</v>
      </c>
      <c r="I1255" s="2">
        <v>1</v>
      </c>
      <c r="J1255" s="2">
        <v>270</v>
      </c>
      <c r="K1255" s="6">
        <v>0.52569444444444446</v>
      </c>
      <c r="L1255" s="2" t="s">
        <v>172</v>
      </c>
      <c r="M1255" s="2">
        <v>7.5</v>
      </c>
      <c r="N1255" s="2">
        <v>2</v>
      </c>
      <c r="O1255" s="2">
        <v>2</v>
      </c>
      <c r="P1255" s="2" t="s">
        <v>448</v>
      </c>
      <c r="Q1255" s="7" t="s">
        <v>112</v>
      </c>
      <c r="R1255" s="4" t="s">
        <v>449</v>
      </c>
      <c r="S1255" s="20">
        <v>2</v>
      </c>
      <c r="T1255" s="2">
        <v>2</v>
      </c>
    </row>
    <row r="1256" spans="1:28">
      <c r="A1256" s="7">
        <f>MAX($A$1:$A1255)+1</f>
        <v>1255</v>
      </c>
      <c r="B1256" s="2" t="s">
        <v>171</v>
      </c>
      <c r="C1256" s="2" t="s">
        <v>170</v>
      </c>
      <c r="D1256" s="2" t="s">
        <v>29</v>
      </c>
      <c r="E1256" s="7" t="s">
        <v>497</v>
      </c>
      <c r="F1256" s="4">
        <v>48.855583190917898</v>
      </c>
      <c r="G1256" s="18">
        <v>-125.183799743652</v>
      </c>
      <c r="H1256" s="5" t="s">
        <v>9</v>
      </c>
      <c r="I1256" s="2">
        <v>1</v>
      </c>
      <c r="J1256" s="2">
        <v>270</v>
      </c>
      <c r="K1256" s="6">
        <v>0.52569444444444446</v>
      </c>
      <c r="L1256" s="2" t="s">
        <v>172</v>
      </c>
      <c r="M1256" s="2">
        <v>7.5</v>
      </c>
      <c r="N1256" s="2">
        <v>2</v>
      </c>
      <c r="O1256" s="2">
        <v>2</v>
      </c>
      <c r="P1256" s="2" t="s">
        <v>254</v>
      </c>
      <c r="Q1256" s="7" t="s">
        <v>108</v>
      </c>
      <c r="R1256" s="4" t="s">
        <v>385</v>
      </c>
      <c r="S1256" s="20">
        <v>1</v>
      </c>
      <c r="T1256" s="2">
        <v>0</v>
      </c>
      <c r="AB1256" s="2">
        <v>1</v>
      </c>
    </row>
    <row r="1257" spans="1:28">
      <c r="A1257" s="7">
        <f>MAX($A$1:$A1256)+1</f>
        <v>1256</v>
      </c>
      <c r="B1257" s="2" t="s">
        <v>171</v>
      </c>
      <c r="C1257" s="2" t="s">
        <v>170</v>
      </c>
      <c r="D1257" s="2" t="s">
        <v>29</v>
      </c>
      <c r="E1257" s="7" t="s">
        <v>497</v>
      </c>
      <c r="F1257" s="4">
        <v>48.855583190917898</v>
      </c>
      <c r="G1257" s="18">
        <v>-125.183799743652</v>
      </c>
      <c r="H1257" s="5" t="s">
        <v>9</v>
      </c>
      <c r="I1257" s="2">
        <v>1</v>
      </c>
      <c r="J1257" s="2">
        <v>270</v>
      </c>
      <c r="K1257" s="6">
        <v>0.52569444444444446</v>
      </c>
      <c r="L1257" s="2" t="s">
        <v>172</v>
      </c>
      <c r="M1257" s="2">
        <v>7.5</v>
      </c>
      <c r="N1257" s="2">
        <v>2</v>
      </c>
      <c r="O1257" s="2">
        <v>2</v>
      </c>
      <c r="P1257" s="2" t="s">
        <v>271</v>
      </c>
      <c r="Q1257" s="7" t="s">
        <v>84</v>
      </c>
      <c r="R1257" s="4" t="s">
        <v>406</v>
      </c>
      <c r="S1257" s="20">
        <v>2</v>
      </c>
      <c r="T1257" s="2">
        <v>2</v>
      </c>
    </row>
    <row r="1258" spans="1:28">
      <c r="A1258" s="7">
        <f>MAX($A$1:$A1257)+1</f>
        <v>1257</v>
      </c>
      <c r="B1258" s="2" t="s">
        <v>171</v>
      </c>
      <c r="C1258" s="2" t="s">
        <v>170</v>
      </c>
      <c r="D1258" s="2" t="s">
        <v>29</v>
      </c>
      <c r="E1258" s="7" t="s">
        <v>497</v>
      </c>
      <c r="F1258" s="4">
        <v>48.855583190917898</v>
      </c>
      <c r="G1258" s="18">
        <v>-125.183799743652</v>
      </c>
      <c r="H1258" s="5" t="s">
        <v>9</v>
      </c>
      <c r="I1258" s="2">
        <v>1</v>
      </c>
      <c r="J1258" s="2">
        <v>270</v>
      </c>
      <c r="K1258" s="6">
        <v>0.52569444444444446</v>
      </c>
      <c r="L1258" s="2" t="s">
        <v>172</v>
      </c>
      <c r="M1258" s="2">
        <v>7.5</v>
      </c>
      <c r="N1258" s="2">
        <v>2</v>
      </c>
      <c r="O1258" s="2">
        <v>2</v>
      </c>
      <c r="P1258" s="2" t="s">
        <v>239</v>
      </c>
      <c r="Q1258" s="7" t="s">
        <v>80</v>
      </c>
      <c r="R1258" s="4" t="s">
        <v>300</v>
      </c>
      <c r="S1258" s="20">
        <v>11</v>
      </c>
      <c r="T1258" s="2">
        <v>11</v>
      </c>
    </row>
    <row r="1259" spans="1:28">
      <c r="A1259" s="7">
        <f>MAX($A$1:$A1258)+1</f>
        <v>1258</v>
      </c>
      <c r="B1259" s="2" t="s">
        <v>171</v>
      </c>
      <c r="C1259" s="2" t="s">
        <v>170</v>
      </c>
      <c r="D1259" s="2" t="s">
        <v>29</v>
      </c>
      <c r="E1259" s="7" t="s">
        <v>497</v>
      </c>
      <c r="F1259" s="4">
        <v>48.855583190917898</v>
      </c>
      <c r="G1259" s="18">
        <v>-125.183799743652</v>
      </c>
      <c r="H1259" s="5" t="s">
        <v>9</v>
      </c>
      <c r="I1259" s="2">
        <v>1</v>
      </c>
      <c r="J1259" s="2">
        <v>270</v>
      </c>
      <c r="K1259" s="6">
        <v>0.52569444444444446</v>
      </c>
      <c r="L1259" s="2" t="s">
        <v>172</v>
      </c>
      <c r="M1259" s="2">
        <v>7.5</v>
      </c>
      <c r="N1259" s="2">
        <v>0</v>
      </c>
      <c r="O1259" s="2">
        <v>2</v>
      </c>
      <c r="P1259" s="2" t="s">
        <v>380</v>
      </c>
      <c r="Q1259" s="7" t="s">
        <v>52</v>
      </c>
      <c r="R1259" s="4" t="s">
        <v>381</v>
      </c>
      <c r="S1259" s="20">
        <v>1</v>
      </c>
      <c r="T1259" s="2">
        <v>0</v>
      </c>
      <c r="AB1259" s="2">
        <v>1</v>
      </c>
    </row>
    <row r="1260" spans="1:28">
      <c r="A1260" s="7">
        <f>MAX($A$1:$A1259)+1</f>
        <v>1259</v>
      </c>
      <c r="B1260" s="2" t="s">
        <v>171</v>
      </c>
      <c r="C1260" s="2" t="s">
        <v>170</v>
      </c>
      <c r="D1260" s="2" t="s">
        <v>29</v>
      </c>
      <c r="E1260" s="7" t="s">
        <v>497</v>
      </c>
      <c r="F1260" s="4">
        <v>48.855583190917898</v>
      </c>
      <c r="G1260" s="18">
        <v>-125.183799743652</v>
      </c>
      <c r="H1260" s="5" t="s">
        <v>9</v>
      </c>
      <c r="I1260" s="2">
        <v>1</v>
      </c>
      <c r="J1260" s="2">
        <v>270</v>
      </c>
      <c r="K1260" s="6">
        <v>0.52569444444444446</v>
      </c>
      <c r="L1260" s="2" t="s">
        <v>172</v>
      </c>
      <c r="M1260" s="2">
        <v>7.5</v>
      </c>
      <c r="N1260" s="2">
        <v>2</v>
      </c>
      <c r="O1260" s="2">
        <v>2</v>
      </c>
      <c r="P1260" s="2" t="s">
        <v>238</v>
      </c>
      <c r="Q1260" s="7" t="s">
        <v>69</v>
      </c>
      <c r="R1260" s="4" t="s">
        <v>313</v>
      </c>
      <c r="S1260" s="20">
        <v>27</v>
      </c>
      <c r="T1260" s="2">
        <v>27</v>
      </c>
    </row>
    <row r="1261" spans="1:28">
      <c r="A1261" s="7">
        <f>MAX($A$1:$A1260)+1</f>
        <v>1260</v>
      </c>
      <c r="B1261" s="2" t="s">
        <v>171</v>
      </c>
      <c r="C1261" s="2" t="s">
        <v>170</v>
      </c>
      <c r="D1261" s="2" t="s">
        <v>29</v>
      </c>
      <c r="E1261" s="7" t="s">
        <v>497</v>
      </c>
      <c r="F1261" s="4">
        <v>48.855583190917898</v>
      </c>
      <c r="G1261" s="18">
        <v>-125.183799743652</v>
      </c>
      <c r="H1261" s="5" t="s">
        <v>9</v>
      </c>
      <c r="I1261" s="2">
        <v>1</v>
      </c>
      <c r="J1261" s="2">
        <v>270</v>
      </c>
      <c r="K1261" s="6">
        <v>0.52569444444444446</v>
      </c>
      <c r="L1261" s="2" t="s">
        <v>172</v>
      </c>
      <c r="M1261" s="2">
        <v>7.5</v>
      </c>
      <c r="N1261" s="2">
        <v>2</v>
      </c>
      <c r="O1261" s="2">
        <v>2</v>
      </c>
      <c r="P1261" s="2" t="s">
        <v>298</v>
      </c>
      <c r="Q1261" s="7" t="s">
        <v>99</v>
      </c>
      <c r="R1261" s="4" t="s">
        <v>299</v>
      </c>
      <c r="S1261" s="20">
        <v>8</v>
      </c>
      <c r="T1261" s="2">
        <v>8</v>
      </c>
    </row>
    <row r="1262" spans="1:28">
      <c r="A1262" s="7">
        <f>MAX($A$1:$A1261)+1</f>
        <v>1261</v>
      </c>
      <c r="B1262" s="2" t="s">
        <v>171</v>
      </c>
      <c r="C1262" s="2" t="s">
        <v>170</v>
      </c>
      <c r="D1262" s="2" t="s">
        <v>29</v>
      </c>
      <c r="E1262" s="7" t="s">
        <v>497</v>
      </c>
      <c r="F1262" s="4">
        <v>48.855583190917898</v>
      </c>
      <c r="G1262" s="18">
        <v>-125.183799743652</v>
      </c>
      <c r="H1262" s="5" t="s">
        <v>9</v>
      </c>
      <c r="I1262" s="2">
        <v>1</v>
      </c>
      <c r="J1262" s="2">
        <v>270</v>
      </c>
      <c r="K1262" s="6">
        <v>0.52569444444444446</v>
      </c>
      <c r="L1262" s="2" t="s">
        <v>172</v>
      </c>
      <c r="M1262" s="2">
        <v>7.5</v>
      </c>
      <c r="N1262" s="2">
        <v>2</v>
      </c>
      <c r="O1262" s="2">
        <v>2</v>
      </c>
      <c r="P1262" s="2" t="s">
        <v>331</v>
      </c>
      <c r="Q1262" s="7" t="s">
        <v>67</v>
      </c>
      <c r="R1262" s="4" t="s">
        <v>332</v>
      </c>
      <c r="S1262" s="20">
        <v>33</v>
      </c>
      <c r="T1262" s="2">
        <v>33</v>
      </c>
    </row>
    <row r="1263" spans="1:28">
      <c r="A1263" s="7">
        <f>MAX($A$1:$A1262)+1</f>
        <v>1262</v>
      </c>
      <c r="B1263" s="2" t="s">
        <v>171</v>
      </c>
      <c r="C1263" s="2" t="s">
        <v>170</v>
      </c>
      <c r="D1263" s="2" t="s">
        <v>29</v>
      </c>
      <c r="E1263" s="7" t="s">
        <v>497</v>
      </c>
      <c r="F1263" s="4">
        <v>48.855583190917898</v>
      </c>
      <c r="G1263" s="18">
        <v>-125.183799743652</v>
      </c>
      <c r="H1263" s="5" t="s">
        <v>9</v>
      </c>
      <c r="I1263" s="2">
        <v>1</v>
      </c>
      <c r="J1263" s="2">
        <v>270</v>
      </c>
      <c r="K1263" s="6">
        <v>0.52569444444444446</v>
      </c>
      <c r="L1263" s="2" t="s">
        <v>172</v>
      </c>
      <c r="M1263" s="2">
        <v>7.5</v>
      </c>
      <c r="N1263" s="2">
        <v>2</v>
      </c>
      <c r="O1263" s="2">
        <v>2</v>
      </c>
      <c r="P1263" s="2" t="s">
        <v>296</v>
      </c>
      <c r="Q1263" s="7" t="s">
        <v>75</v>
      </c>
      <c r="R1263" s="4" t="s">
        <v>297</v>
      </c>
      <c r="S1263" s="20">
        <v>5</v>
      </c>
      <c r="T1263" s="2">
        <v>5</v>
      </c>
    </row>
    <row r="1264" spans="1:28">
      <c r="A1264" s="7">
        <f>MAX($A$1:$A1263)+1</f>
        <v>1263</v>
      </c>
      <c r="B1264" s="2" t="s">
        <v>171</v>
      </c>
      <c r="C1264" s="2" t="s">
        <v>170</v>
      </c>
      <c r="D1264" s="2" t="s">
        <v>29</v>
      </c>
      <c r="E1264" s="7" t="s">
        <v>497</v>
      </c>
      <c r="F1264" s="4">
        <v>48.855583190917898</v>
      </c>
      <c r="G1264" s="18">
        <v>-125.183799743652</v>
      </c>
      <c r="H1264" s="5" t="s">
        <v>9</v>
      </c>
      <c r="I1264" s="2">
        <v>1</v>
      </c>
      <c r="J1264" s="2">
        <v>270</v>
      </c>
      <c r="K1264" s="6">
        <v>0.52569444444444446</v>
      </c>
      <c r="L1264" s="2" t="s">
        <v>172</v>
      </c>
      <c r="M1264" s="2">
        <v>7.5</v>
      </c>
      <c r="N1264" s="2">
        <v>2</v>
      </c>
      <c r="O1264" s="2">
        <v>2</v>
      </c>
      <c r="P1264" s="2" t="s">
        <v>240</v>
      </c>
      <c r="Q1264" s="7" t="s">
        <v>74</v>
      </c>
      <c r="R1264" s="4" t="s">
        <v>459</v>
      </c>
      <c r="S1264" s="20">
        <v>2</v>
      </c>
      <c r="T1264" s="2">
        <v>2</v>
      </c>
    </row>
    <row r="1265" spans="1:30">
      <c r="A1265" s="7">
        <f>MAX($A$1:$A1264)+1</f>
        <v>1264</v>
      </c>
      <c r="B1265" s="2" t="s">
        <v>171</v>
      </c>
      <c r="C1265" s="2" t="s">
        <v>170</v>
      </c>
      <c r="D1265" s="2" t="s">
        <v>29</v>
      </c>
      <c r="E1265" s="7" t="s">
        <v>497</v>
      </c>
      <c r="F1265" s="4">
        <v>48.855583190917898</v>
      </c>
      <c r="G1265" s="18">
        <v>-125.183799743652</v>
      </c>
      <c r="H1265" s="5" t="s">
        <v>9</v>
      </c>
      <c r="I1265" s="2">
        <v>1</v>
      </c>
      <c r="J1265" s="2">
        <v>270</v>
      </c>
      <c r="K1265" s="6">
        <v>0.52569444444444446</v>
      </c>
      <c r="L1265" s="2" t="s">
        <v>172</v>
      </c>
      <c r="M1265" s="2">
        <v>7.5</v>
      </c>
      <c r="N1265" s="2">
        <v>2</v>
      </c>
      <c r="O1265" s="2">
        <v>2</v>
      </c>
      <c r="P1265" s="2" t="s">
        <v>498</v>
      </c>
      <c r="Q1265" s="7" t="s">
        <v>499</v>
      </c>
      <c r="R1265" s="4" t="s">
        <v>500</v>
      </c>
      <c r="S1265" s="20">
        <v>1</v>
      </c>
      <c r="T1265" s="2">
        <v>1</v>
      </c>
    </row>
    <row r="1266" spans="1:30">
      <c r="A1266" s="7">
        <f>MAX($A$1:$A1265)+1</f>
        <v>1265</v>
      </c>
      <c r="B1266" s="2" t="s">
        <v>171</v>
      </c>
      <c r="C1266" s="2" t="s">
        <v>170</v>
      </c>
      <c r="D1266" s="2" t="s">
        <v>29</v>
      </c>
      <c r="E1266" s="7" t="s">
        <v>497</v>
      </c>
      <c r="F1266" s="4">
        <v>48.855583190917898</v>
      </c>
      <c r="G1266" s="18">
        <v>-125.183799743652</v>
      </c>
      <c r="H1266" s="5" t="s">
        <v>9</v>
      </c>
      <c r="I1266" s="2">
        <v>1</v>
      </c>
      <c r="J1266" s="2">
        <v>270</v>
      </c>
      <c r="K1266" s="6">
        <v>0.52569444444444446</v>
      </c>
      <c r="L1266" s="2" t="s">
        <v>172</v>
      </c>
      <c r="M1266" s="2">
        <v>7.5</v>
      </c>
      <c r="N1266" s="2">
        <v>2</v>
      </c>
      <c r="O1266" s="2">
        <v>2</v>
      </c>
      <c r="P1266" s="2" t="s">
        <v>419</v>
      </c>
      <c r="Q1266" s="7" t="s">
        <v>139</v>
      </c>
      <c r="R1266" s="4" t="s">
        <v>420</v>
      </c>
      <c r="S1266" s="20">
        <v>3</v>
      </c>
      <c r="T1266" s="2">
        <v>3</v>
      </c>
    </row>
    <row r="1267" spans="1:30">
      <c r="A1267" s="7">
        <f>MAX($A$1:$A1266)+1</f>
        <v>1266</v>
      </c>
      <c r="B1267" s="2" t="s">
        <v>171</v>
      </c>
      <c r="C1267" s="2" t="s">
        <v>170</v>
      </c>
      <c r="D1267" s="2" t="s">
        <v>29</v>
      </c>
      <c r="E1267" s="7" t="s">
        <v>497</v>
      </c>
      <c r="F1267" s="4">
        <v>48.855583190917898</v>
      </c>
      <c r="G1267" s="18">
        <v>-125.183799743652</v>
      </c>
      <c r="H1267" s="5" t="s">
        <v>9</v>
      </c>
      <c r="I1267" s="2">
        <v>1</v>
      </c>
      <c r="J1267" s="2">
        <v>270</v>
      </c>
      <c r="K1267" s="6">
        <v>0.52569444444444446</v>
      </c>
      <c r="L1267" s="2" t="s">
        <v>172</v>
      </c>
      <c r="M1267" s="2">
        <v>7.5</v>
      </c>
      <c r="N1267" s="2">
        <v>2</v>
      </c>
      <c r="O1267" s="2">
        <v>2</v>
      </c>
      <c r="P1267" s="2" t="s">
        <v>249</v>
      </c>
      <c r="Q1267" s="7" t="s">
        <v>90</v>
      </c>
      <c r="R1267" s="4" t="s">
        <v>352</v>
      </c>
      <c r="S1267" s="20">
        <v>2</v>
      </c>
      <c r="T1267" s="2">
        <v>2</v>
      </c>
    </row>
    <row r="1268" spans="1:30">
      <c r="A1268" s="7">
        <f>MAX($A$1:$A1267)+1</f>
        <v>1267</v>
      </c>
      <c r="B1268" s="2" t="s">
        <v>171</v>
      </c>
      <c r="C1268" s="2" t="s">
        <v>170</v>
      </c>
      <c r="D1268" s="2" t="s">
        <v>29</v>
      </c>
      <c r="E1268" s="7" t="s">
        <v>497</v>
      </c>
      <c r="F1268" s="4">
        <v>48.855583190917898</v>
      </c>
      <c r="G1268" s="18">
        <v>-125.183799743652</v>
      </c>
      <c r="H1268" s="5" t="s">
        <v>9</v>
      </c>
      <c r="I1268" s="2">
        <v>1</v>
      </c>
      <c r="J1268" s="2">
        <v>270</v>
      </c>
      <c r="K1268" s="6">
        <v>0.52569444444444446</v>
      </c>
      <c r="L1268" s="2" t="s">
        <v>172</v>
      </c>
      <c r="M1268" s="2">
        <v>7.5</v>
      </c>
      <c r="N1268" s="2">
        <v>2</v>
      </c>
      <c r="O1268" s="2">
        <v>2</v>
      </c>
      <c r="P1268" s="2" t="s">
        <v>259</v>
      </c>
      <c r="Q1268" s="7" t="s">
        <v>106</v>
      </c>
      <c r="R1268" s="4" t="s">
        <v>343</v>
      </c>
      <c r="S1268" s="20">
        <v>1</v>
      </c>
      <c r="T1268" s="2">
        <v>1</v>
      </c>
    </row>
    <row r="1269" spans="1:30">
      <c r="A1269" s="7">
        <f>MAX($A$1:$A1268)+1</f>
        <v>1268</v>
      </c>
      <c r="B1269" s="2" t="s">
        <v>171</v>
      </c>
      <c r="C1269" s="2" t="s">
        <v>170</v>
      </c>
      <c r="D1269" s="2" t="s">
        <v>29</v>
      </c>
      <c r="E1269" s="7" t="s">
        <v>497</v>
      </c>
      <c r="F1269" s="4">
        <v>48.855583190917898</v>
      </c>
      <c r="G1269" s="18">
        <v>-125.183799743652</v>
      </c>
      <c r="H1269" s="5" t="s">
        <v>9</v>
      </c>
      <c r="I1269" s="2">
        <v>1</v>
      </c>
      <c r="J1269" s="2">
        <v>270</v>
      </c>
      <c r="K1269" s="6">
        <v>0.52569444444444446</v>
      </c>
      <c r="L1269" s="2" t="s">
        <v>172</v>
      </c>
      <c r="M1269" s="2">
        <v>7.5</v>
      </c>
      <c r="N1269" s="2">
        <v>2</v>
      </c>
      <c r="O1269" s="2">
        <v>2</v>
      </c>
      <c r="P1269" s="2" t="s">
        <v>244</v>
      </c>
      <c r="Q1269" s="7" t="s">
        <v>65</v>
      </c>
      <c r="R1269" s="4" t="s">
        <v>307</v>
      </c>
      <c r="S1269" s="20">
        <v>11</v>
      </c>
      <c r="T1269" s="2">
        <v>11</v>
      </c>
    </row>
    <row r="1270" spans="1:30">
      <c r="A1270" s="7">
        <f>MAX($A$1:$A1269)+1</f>
        <v>1269</v>
      </c>
      <c r="B1270" s="2" t="s">
        <v>171</v>
      </c>
      <c r="C1270" s="2" t="s">
        <v>170</v>
      </c>
      <c r="D1270" s="2" t="s">
        <v>29</v>
      </c>
      <c r="E1270" s="7" t="s">
        <v>497</v>
      </c>
      <c r="F1270" s="4">
        <v>48.855583190917898</v>
      </c>
      <c r="G1270" s="18">
        <v>-125.183799743652</v>
      </c>
      <c r="H1270" s="5" t="s">
        <v>9</v>
      </c>
      <c r="I1270" s="2">
        <v>1</v>
      </c>
      <c r="J1270" s="2">
        <v>270</v>
      </c>
      <c r="K1270" s="6">
        <v>0.52569444444444446</v>
      </c>
      <c r="L1270" s="2" t="s">
        <v>172</v>
      </c>
      <c r="M1270" s="2">
        <v>7.5</v>
      </c>
      <c r="N1270" s="2">
        <v>2</v>
      </c>
      <c r="O1270" s="2">
        <v>2</v>
      </c>
      <c r="P1270" s="2" t="s">
        <v>251</v>
      </c>
      <c r="Q1270" s="7" t="s">
        <v>73</v>
      </c>
      <c r="R1270" s="4" t="s">
        <v>325</v>
      </c>
      <c r="S1270" s="20">
        <v>1</v>
      </c>
      <c r="T1270" s="2">
        <v>1</v>
      </c>
    </row>
    <row r="1271" spans="1:30">
      <c r="A1271" s="7">
        <f>MAX($A$1:$A1270)+1</f>
        <v>1270</v>
      </c>
      <c r="B1271" s="2" t="s">
        <v>171</v>
      </c>
      <c r="C1271" s="2" t="s">
        <v>170</v>
      </c>
      <c r="D1271" s="2" t="s">
        <v>29</v>
      </c>
      <c r="E1271" s="7" t="s">
        <v>497</v>
      </c>
      <c r="F1271" s="4">
        <v>48.855583190917898</v>
      </c>
      <c r="G1271" s="18">
        <v>-125.183799743652</v>
      </c>
      <c r="H1271" s="5" t="s">
        <v>9</v>
      </c>
      <c r="I1271" s="2">
        <v>1</v>
      </c>
      <c r="J1271" s="2">
        <v>270</v>
      </c>
      <c r="K1271" s="6">
        <v>0.52569444444444446</v>
      </c>
      <c r="L1271" s="2" t="s">
        <v>172</v>
      </c>
      <c r="M1271" s="2">
        <v>7.5</v>
      </c>
      <c r="N1271" s="2">
        <v>2</v>
      </c>
      <c r="O1271" s="2">
        <v>2</v>
      </c>
      <c r="P1271" s="2" t="s">
        <v>338</v>
      </c>
      <c r="Q1271" s="7" t="s">
        <v>101</v>
      </c>
      <c r="R1271" s="4" t="s">
        <v>339</v>
      </c>
      <c r="S1271" s="20">
        <v>2</v>
      </c>
      <c r="T1271" s="2">
        <v>0</v>
      </c>
      <c r="U1271" s="2">
        <v>2</v>
      </c>
    </row>
    <row r="1272" spans="1:30">
      <c r="A1272" s="7">
        <f>MAX($A$1:$A1271)+1</f>
        <v>1271</v>
      </c>
      <c r="B1272" s="2" t="s">
        <v>171</v>
      </c>
      <c r="C1272" s="2" t="s">
        <v>170</v>
      </c>
      <c r="D1272" s="2" t="s">
        <v>29</v>
      </c>
      <c r="E1272" s="7" t="s">
        <v>497</v>
      </c>
      <c r="F1272" s="4">
        <v>48.855583190917898</v>
      </c>
      <c r="G1272" s="18">
        <v>-125.183799743652</v>
      </c>
      <c r="H1272" s="5" t="s">
        <v>9</v>
      </c>
      <c r="I1272" s="2">
        <v>1</v>
      </c>
      <c r="J1272" s="2">
        <v>270</v>
      </c>
      <c r="K1272" s="6">
        <v>0.52569444444444446</v>
      </c>
      <c r="L1272" s="2" t="s">
        <v>172</v>
      </c>
      <c r="M1272" s="2">
        <v>7.5</v>
      </c>
      <c r="N1272" s="2">
        <v>2</v>
      </c>
      <c r="O1272" s="2">
        <v>2</v>
      </c>
      <c r="P1272" s="2" t="s">
        <v>316</v>
      </c>
      <c r="Q1272" s="7" t="s">
        <v>123</v>
      </c>
      <c r="R1272" s="4" t="s">
        <v>317</v>
      </c>
      <c r="S1272" s="20">
        <v>3</v>
      </c>
      <c r="T1272" s="2">
        <v>3</v>
      </c>
    </row>
    <row r="1273" spans="1:30">
      <c r="A1273" s="7">
        <f>MAX($A$1:$A1272)+1</f>
        <v>1272</v>
      </c>
      <c r="B1273" s="2" t="s">
        <v>171</v>
      </c>
      <c r="C1273" s="2" t="s">
        <v>170</v>
      </c>
      <c r="D1273" s="2" t="s">
        <v>29</v>
      </c>
      <c r="E1273" s="7" t="s">
        <v>497</v>
      </c>
      <c r="F1273" s="4">
        <v>48.855583190917898</v>
      </c>
      <c r="G1273" s="18">
        <v>-125.183799743652</v>
      </c>
      <c r="H1273" s="5" t="s">
        <v>9</v>
      </c>
      <c r="I1273" s="2">
        <v>1</v>
      </c>
      <c r="J1273" s="2">
        <v>270</v>
      </c>
      <c r="K1273" s="6">
        <v>0.52569444444444446</v>
      </c>
      <c r="L1273" s="2" t="s">
        <v>172</v>
      </c>
      <c r="M1273" s="2">
        <v>7.5</v>
      </c>
      <c r="N1273" s="2">
        <v>2</v>
      </c>
      <c r="O1273" s="2">
        <v>2</v>
      </c>
      <c r="P1273" s="2" t="s">
        <v>483</v>
      </c>
      <c r="Q1273" s="7" t="s">
        <v>149</v>
      </c>
      <c r="R1273" s="4" t="s">
        <v>484</v>
      </c>
      <c r="S1273" s="20">
        <v>3</v>
      </c>
      <c r="T1273" s="2">
        <v>3</v>
      </c>
    </row>
    <row r="1274" spans="1:30">
      <c r="A1274" s="7">
        <f>MAX($A$1:$A1273)+1</f>
        <v>1273</v>
      </c>
      <c r="B1274" s="2" t="s">
        <v>171</v>
      </c>
      <c r="C1274" s="2" t="s">
        <v>170</v>
      </c>
      <c r="D1274" s="2" t="s">
        <v>29</v>
      </c>
      <c r="E1274" s="7" t="s">
        <v>497</v>
      </c>
      <c r="F1274" s="4">
        <v>48.855583190917898</v>
      </c>
      <c r="G1274" s="18">
        <v>-125.183799743652</v>
      </c>
      <c r="H1274" s="5" t="s">
        <v>9</v>
      </c>
      <c r="I1274" s="2">
        <v>1</v>
      </c>
      <c r="J1274" s="2">
        <v>270</v>
      </c>
      <c r="K1274" s="6">
        <v>0.52569444444444446</v>
      </c>
      <c r="L1274" s="2" t="s">
        <v>172</v>
      </c>
      <c r="M1274" s="2">
        <v>7.5</v>
      </c>
      <c r="N1274" s="2">
        <v>2</v>
      </c>
      <c r="O1274" s="2">
        <v>2</v>
      </c>
      <c r="P1274" s="2" t="s">
        <v>333</v>
      </c>
      <c r="Q1274" s="7" t="s">
        <v>102</v>
      </c>
      <c r="R1274" s="4" t="s">
        <v>334</v>
      </c>
      <c r="S1274" s="20">
        <v>1</v>
      </c>
      <c r="T1274" s="2">
        <v>1</v>
      </c>
    </row>
    <row r="1275" spans="1:30">
      <c r="A1275" s="7">
        <f>MAX($A$1:$A1274)+1</f>
        <v>1274</v>
      </c>
      <c r="B1275" s="2" t="s">
        <v>171</v>
      </c>
      <c r="C1275" s="2" t="s">
        <v>170</v>
      </c>
      <c r="D1275" s="2" t="s">
        <v>29</v>
      </c>
      <c r="E1275" s="7" t="s">
        <v>497</v>
      </c>
      <c r="F1275" s="4">
        <v>48.855583190917898</v>
      </c>
      <c r="G1275" s="18">
        <v>-125.183799743652</v>
      </c>
      <c r="H1275" s="5" t="s">
        <v>9</v>
      </c>
      <c r="I1275" s="2">
        <v>1</v>
      </c>
      <c r="J1275" s="2">
        <v>270</v>
      </c>
      <c r="K1275" s="6">
        <v>0.52569444444444446</v>
      </c>
      <c r="L1275" s="2" t="s">
        <v>172</v>
      </c>
      <c r="M1275" s="2">
        <v>7.5</v>
      </c>
      <c r="N1275" s="2">
        <v>2</v>
      </c>
      <c r="O1275" s="2">
        <v>2</v>
      </c>
      <c r="P1275" s="2" t="s">
        <v>501</v>
      </c>
      <c r="Q1275" s="7" t="s">
        <v>502</v>
      </c>
      <c r="R1275" s="4" t="s">
        <v>503</v>
      </c>
      <c r="S1275" s="20">
        <v>1</v>
      </c>
      <c r="T1275" s="2">
        <v>0</v>
      </c>
      <c r="W1275" s="2">
        <v>1</v>
      </c>
    </row>
    <row r="1276" spans="1:30">
      <c r="A1276" s="7">
        <f>MAX($A$1:$A1275)+1</f>
        <v>1275</v>
      </c>
      <c r="B1276" s="2" t="s">
        <v>171</v>
      </c>
      <c r="C1276" s="2" t="s">
        <v>170</v>
      </c>
      <c r="D1276" s="2" t="s">
        <v>29</v>
      </c>
      <c r="E1276" s="7" t="s">
        <v>497</v>
      </c>
      <c r="F1276" s="4">
        <v>48.855583190917898</v>
      </c>
      <c r="G1276" s="18">
        <v>-125.183799743652</v>
      </c>
      <c r="H1276" s="5" t="s">
        <v>9</v>
      </c>
      <c r="I1276" s="2">
        <v>1</v>
      </c>
      <c r="J1276" s="2">
        <v>270</v>
      </c>
      <c r="K1276" s="6">
        <v>0.52569444444444446</v>
      </c>
      <c r="L1276" s="2" t="s">
        <v>172</v>
      </c>
      <c r="M1276" s="2">
        <v>7.5</v>
      </c>
      <c r="N1276" s="2">
        <v>2</v>
      </c>
      <c r="O1276" s="2">
        <v>2</v>
      </c>
      <c r="P1276" s="2" t="s">
        <v>342</v>
      </c>
      <c r="Q1276" s="7" t="s">
        <v>126</v>
      </c>
      <c r="R1276" s="4" t="s">
        <v>329</v>
      </c>
      <c r="S1276" s="20">
        <v>0</v>
      </c>
      <c r="T1276" s="2">
        <v>0</v>
      </c>
    </row>
    <row r="1277" spans="1:30">
      <c r="A1277" s="7">
        <f>MAX($A$1:$A1276)+1</f>
        <v>1276</v>
      </c>
      <c r="B1277" s="2" t="str">
        <f t="shared" ref="B1277:B1298" si="139">IF(ISERROR(B1276),IF(ISERROR(B1275),IF(ISERROR(B1274),"BLANK",B1274),B1275),B1276)</f>
        <v>Em Lim</v>
      </c>
      <c r="C1277" s="2" t="str">
        <f t="shared" ref="C1277:C1298" si="140">IF(ISERROR(C1276),IF(ISERROR(C1275),IF(ISERROR(C1274),"BLANK",C1274),C1275),C1276)</f>
        <v>Jasmin Schuster</v>
      </c>
      <c r="D1277" s="27" t="s">
        <v>28</v>
      </c>
      <c r="E1277" s="7" t="str">
        <f>IF(ISERROR(VLOOKUP($D1277,SITES!$A:$E,2,FALSE)),"",VLOOKUP($D1277,SITES!$A:$E,2,FALSE))</f>
        <v>Kii xin</v>
      </c>
      <c r="F1277" s="4">
        <f>IF(ISERROR(VLOOKUP($D1277,SITES!$A:$E,3,FALSE)),"",VLOOKUP($D1277,SITES!$A:$E,3,FALSE))</f>
        <v>48.815116882324197</v>
      </c>
      <c r="G1277" s="18">
        <f>IF(ISERROR(VLOOKUP($D1277,SITES!$A:$E,4,FALSE)),"",VLOOKUP($D1277,SITES!$A:$E,4,FALSE))</f>
        <v>-125.175331115722</v>
      </c>
      <c r="H1277" s="28" t="s">
        <v>9</v>
      </c>
      <c r="I1277" s="2">
        <v>1.5</v>
      </c>
      <c r="J1277" s="2">
        <f t="shared" ref="J1277:J1298" si="141">IF(ISERROR(J1276),IF(ISERROR(J1275),IF(ISERROR(J1274),"BLANK",J1274),J1275),J1276)</f>
        <v>270</v>
      </c>
      <c r="K1277" s="6">
        <v>0.42152777777777778</v>
      </c>
      <c r="L1277" s="2" t="str">
        <f t="shared" ref="L1277:L1298" si="142">IF(ISERROR(L1276),IF(ISERROR(L1275),IF(ISERROR(L1274),"BLANK",L1274),L1275),L1276)</f>
        <v>EGL</v>
      </c>
      <c r="M1277" s="2">
        <v>8.5</v>
      </c>
      <c r="N1277" s="2">
        <v>1</v>
      </c>
      <c r="O1277" s="2">
        <v>1</v>
      </c>
      <c r="P1277" s="27" t="s">
        <v>174</v>
      </c>
      <c r="Q1277" s="7" t="str">
        <f>IF($N1277=1,IF(ISERROR(VLOOKUP($P1277,'M1'!$A:$C,Q$2,FALSE)),"NOT PRESENT",VLOOKUP($P1277,'M1'!$A:$C,Q$2,FALSE)),IF($N1277=2,IF(ISERROR(VLOOKUP(DATA!$P243,'M2'!$A:$C,Q$2,FALSE)),"NOT PRESENT",VLOOKUP(DATA!$P243,'M2'!$A:$C,Q$2,FALSE)),IF($N1277=0,IF(ISERROR(VLOOKUP($P1277,'M1'!$A:$C,Q$2,FALSE)),IF(ISERROR(VLOOKUP(DATA!$P243,'M2'!$A:$C,Q$2,FALSE)),"NOT PRESENT",VLOOKUP(DATA!$P243,'M2'!$A:$C,Q$2,FALSE)),VLOOKUP($P1277,'M1'!$A:$C,Q$2,FALSE)),"SPECIFY METHOD")))</f>
        <v>NOT PRESENT</v>
      </c>
      <c r="R1277" s="4" t="str">
        <f>IF($N1277=1,IF(ISERROR(VLOOKUP($P1277,'M1'!$A:$C,R$2,FALSE)),"NOT PRESENT",VLOOKUP($P1277,'M1'!$A:$C,R$2,FALSE)),IF($N1277=2,IF(ISERROR(VLOOKUP(DATA!$P243,'M2'!$A:$C,R$2,FALSE)),"NOT PRESENT",VLOOKUP(DATA!$P243,'M2'!$A:$C,R$2,FALSE)),IF($N1277=0,IF(ISERROR(VLOOKUP($P1277,'M1'!$A:$C,R$2,FALSE)),IF(ISERROR(VLOOKUP(DATA!$P243,'M2'!$A:$C,R$2,FALSE)),"NOT PRESENT",VLOOKUP(DATA!$P243,'M2'!$A:$C,R$2,FALSE)),VLOOKUP($P1277,'M1'!$A:$C,R$2,FALSE)),"SPECIFY METHOD")))</f>
        <v>NOT PRESENT</v>
      </c>
      <c r="S1277" s="20">
        <f t="shared" ref="S1277:S1298" si="143">SUM(T1277:AV1277)</f>
        <v>4</v>
      </c>
      <c r="T1277" s="2">
        <v>0</v>
      </c>
      <c r="Y1277" s="2">
        <v>1</v>
      </c>
      <c r="AA1277" s="2">
        <v>1</v>
      </c>
      <c r="AB1277" s="2">
        <v>1</v>
      </c>
      <c r="AD1277" s="2">
        <v>1</v>
      </c>
    </row>
    <row r="1278" spans="1:30">
      <c r="A1278" s="7">
        <f>MAX($A$1:$A1277)+1</f>
        <v>1277</v>
      </c>
      <c r="B1278" s="2" t="str">
        <f t="shared" si="139"/>
        <v>Em Lim</v>
      </c>
      <c r="C1278" s="2" t="str">
        <f t="shared" si="140"/>
        <v>Jasmin Schuster</v>
      </c>
      <c r="D1278" s="2" t="str">
        <f t="shared" ref="D1278:D1298" si="144">IF(ISERROR(D1277),IF(ISERROR(D1276),IF(ISERROR(D1275),"BLANK",D1275),D1276),D1277)</f>
        <v>BMSC4</v>
      </c>
      <c r="E1278" s="7" t="str">
        <f>IF(ISERROR(VLOOKUP($D1278,SITES!$A:$E,2,FALSE)),"",VLOOKUP($D1278,SITES!$A:$E,2,FALSE))</f>
        <v>Kii xin</v>
      </c>
      <c r="F1278" s="4">
        <f>IF(ISERROR(VLOOKUP($D1278,SITES!$A:$E,3,FALSE)),"",VLOOKUP($D1278,SITES!$A:$E,3,FALSE))</f>
        <v>48.815116882324197</v>
      </c>
      <c r="G1278" s="18">
        <f>IF(ISERROR(VLOOKUP($D1278,SITES!$A:$E,4,FALSE)),"",VLOOKUP($D1278,SITES!$A:$E,4,FALSE))</f>
        <v>-125.175331115722</v>
      </c>
      <c r="H1278" s="5" t="str">
        <f t="shared" ref="H1278:H1298" si="145">IF(ISERROR(H1277),IF(ISERROR(H1276),IF(ISERROR(H1275),"BLANK",H1275),H1276),H1277)</f>
        <v>12/05/2023</v>
      </c>
      <c r="I1278" s="2">
        <f t="shared" ref="I1278:I1298" si="146">IF(ISERROR(I1277),IF(ISERROR(I1276),IF(ISERROR(I1275),"BLANK",I1275),I1276),I1277)</f>
        <v>1.5</v>
      </c>
      <c r="J1278" s="2">
        <f t="shared" si="141"/>
        <v>270</v>
      </c>
      <c r="K1278" s="6">
        <f t="shared" ref="K1278:K1298" si="147">IF(ISERROR(K1277),IF(ISERROR(K1276),IF(ISERROR(K1275),"BLANK",K1275),K1276),K1277)</f>
        <v>0.42152777777777778</v>
      </c>
      <c r="L1278" s="2" t="str">
        <f t="shared" si="142"/>
        <v>EGL</v>
      </c>
      <c r="M1278" s="2">
        <f t="shared" ref="M1278:M1298" si="148">IF(ISERROR(M1277),IF(ISERROR(M1276),IF(ISERROR(M1275),"BLANK",M1275),M1276),M1277)</f>
        <v>8.5</v>
      </c>
      <c r="N1278" s="2">
        <v>2</v>
      </c>
      <c r="O1278" s="2">
        <f t="shared" ref="O1278:O1297" si="149">IF(ISERROR(O1277),IF(ISERROR(O1276),IF(ISERROR(O1275),"BLANK",O1275),O1276),O1277)</f>
        <v>1</v>
      </c>
      <c r="P1278" s="27" t="s">
        <v>178</v>
      </c>
      <c r="Q1278" s="7" t="str">
        <f>IF($N1278=1,IF(ISERROR(VLOOKUP($P1278,'M1'!$A:$C,Q$2,FALSE)),"NOT PRESENT",VLOOKUP($P1278,'M1'!$A:$C,Q$2,FALSE)),IF($N1278=2,IF(ISERROR(VLOOKUP(DATA!$P244,'M2'!$A:$C,Q$2,FALSE)),"NOT PRESENT",VLOOKUP(DATA!$P244,'M2'!$A:$C,Q$2,FALSE)),IF($N1278=0,IF(ISERROR(VLOOKUP($P1278,'M1'!$A:$C,Q$2,FALSE)),IF(ISERROR(VLOOKUP(DATA!$P244,'M2'!$A:$C,Q$2,FALSE)),"NOT PRESENT",VLOOKUP(DATA!$P244,'M2'!$A:$C,Q$2,FALSE)),VLOOKUP($P1278,'M1'!$A:$C,Q$2,FALSE)),"SPECIFY METHOD")))</f>
        <v>NOT PRESENT</v>
      </c>
      <c r="R1278" s="4" t="str">
        <f>IF($N1278=1,IF(ISERROR(VLOOKUP($P1278,'M1'!$A:$C,R$2,FALSE)),"NOT PRESENT",VLOOKUP($P1278,'M1'!$A:$C,R$2,FALSE)),IF($N1278=2,IF(ISERROR(VLOOKUP(DATA!$P244,'M2'!$A:$C,R$2,FALSE)),"NOT PRESENT",VLOOKUP(DATA!$P244,'M2'!$A:$C,R$2,FALSE)),IF($N1278=0,IF(ISERROR(VLOOKUP($P1278,'M1'!$A:$C,R$2,FALSE)),IF(ISERROR(VLOOKUP(DATA!$P244,'M2'!$A:$C,R$2,FALSE)),"NOT PRESENT",VLOOKUP(DATA!$P244,'M2'!$A:$C,R$2,FALSE)),VLOOKUP($P1278,'M1'!$A:$C,R$2,FALSE)),"SPECIFY METHOD")))</f>
        <v>NOT PRESENT</v>
      </c>
      <c r="S1278" s="20">
        <f t="shared" si="143"/>
        <v>159</v>
      </c>
      <c r="T1278" s="2">
        <v>159</v>
      </c>
    </row>
    <row r="1279" spans="1:30">
      <c r="A1279" s="7">
        <f>MAX($A$1:$A1278)+1</f>
        <v>1278</v>
      </c>
      <c r="B1279" s="2" t="str">
        <f t="shared" si="139"/>
        <v>Em Lim</v>
      </c>
      <c r="C1279" s="2" t="str">
        <f t="shared" si="140"/>
        <v>Jasmin Schuster</v>
      </c>
      <c r="D1279" s="2" t="str">
        <f t="shared" si="144"/>
        <v>BMSC4</v>
      </c>
      <c r="E1279" s="7" t="str">
        <f>IF(ISERROR(VLOOKUP($D1279,SITES!$A:$E,2,FALSE)),"",VLOOKUP($D1279,SITES!$A:$E,2,FALSE))</f>
        <v>Kii xin</v>
      </c>
      <c r="F1279" s="4">
        <f>IF(ISERROR(VLOOKUP($D1279,SITES!$A:$E,3,FALSE)),"",VLOOKUP($D1279,SITES!$A:$E,3,FALSE))</f>
        <v>48.815116882324197</v>
      </c>
      <c r="G1279" s="18">
        <f>IF(ISERROR(VLOOKUP($D1279,SITES!$A:$E,4,FALSE)),"",VLOOKUP($D1279,SITES!$A:$E,4,FALSE))</f>
        <v>-125.175331115722</v>
      </c>
      <c r="H1279" s="5" t="str">
        <f t="shared" si="145"/>
        <v>12/05/2023</v>
      </c>
      <c r="I1279" s="2">
        <f t="shared" si="146"/>
        <v>1.5</v>
      </c>
      <c r="J1279" s="2">
        <f t="shared" si="141"/>
        <v>270</v>
      </c>
      <c r="K1279" s="6">
        <f t="shared" si="147"/>
        <v>0.42152777777777778</v>
      </c>
      <c r="L1279" s="2" t="str">
        <f t="shared" si="142"/>
        <v>EGL</v>
      </c>
      <c r="M1279" s="2">
        <f t="shared" si="148"/>
        <v>8.5</v>
      </c>
      <c r="N1279" s="2">
        <f t="shared" ref="N1279:N1296" si="150">IF(ISERROR(N1278),IF(ISERROR(N1277),IF(ISERROR(N1276),"BLANK",N1276),N1277),N1278)</f>
        <v>2</v>
      </c>
      <c r="O1279" s="2">
        <f t="shared" si="149"/>
        <v>1</v>
      </c>
      <c r="P1279" s="27" t="s">
        <v>188</v>
      </c>
      <c r="Q1279" s="7" t="str">
        <f>IF($N1279=1,IF(ISERROR(VLOOKUP($P1279,'M1'!$A:$C,Q$2,FALSE)),"NOT PRESENT",VLOOKUP($P1279,'M1'!$A:$C,Q$2,FALSE)),IF($N1279=2,IF(ISERROR(VLOOKUP(DATA!$P245,'M2'!$A:$C,Q$2,FALSE)),"NOT PRESENT",VLOOKUP(DATA!$P245,'M2'!$A:$C,Q$2,FALSE)),IF($N1279=0,IF(ISERROR(VLOOKUP($P1279,'M1'!$A:$C,Q$2,FALSE)),IF(ISERROR(VLOOKUP(DATA!$P245,'M2'!$A:$C,Q$2,FALSE)),"NOT PRESENT",VLOOKUP(DATA!$P245,'M2'!$A:$C,Q$2,FALSE)),VLOOKUP($P1279,'M1'!$A:$C,Q$2,FALSE)),"SPECIFY METHOD")))</f>
        <v>NOT PRESENT</v>
      </c>
      <c r="R1279" s="4" t="str">
        <f>IF($N1279=1,IF(ISERROR(VLOOKUP($P1279,'M1'!$A:$C,R$2,FALSE)),"NOT PRESENT",VLOOKUP($P1279,'M1'!$A:$C,R$2,FALSE)),IF($N1279=2,IF(ISERROR(VLOOKUP(DATA!$P245,'M2'!$A:$C,R$2,FALSE)),"NOT PRESENT",VLOOKUP(DATA!$P245,'M2'!$A:$C,R$2,FALSE)),IF($N1279=0,IF(ISERROR(VLOOKUP($P1279,'M1'!$A:$C,R$2,FALSE)),IF(ISERROR(VLOOKUP(DATA!$P245,'M2'!$A:$C,R$2,FALSE)),"NOT PRESENT",VLOOKUP(DATA!$P245,'M2'!$A:$C,R$2,FALSE)),VLOOKUP($P1279,'M1'!$A:$C,R$2,FALSE)),"SPECIFY METHOD")))</f>
        <v>NOT PRESENT</v>
      </c>
      <c r="S1279" s="20">
        <f t="shared" si="143"/>
        <v>2</v>
      </c>
      <c r="T1279" s="2">
        <v>2</v>
      </c>
    </row>
    <row r="1280" spans="1:30">
      <c r="A1280" s="7">
        <f>MAX($A$1:$A1279)+1</f>
        <v>1279</v>
      </c>
      <c r="B1280" s="2" t="str">
        <f t="shared" si="139"/>
        <v>Em Lim</v>
      </c>
      <c r="C1280" s="2" t="str">
        <f t="shared" si="140"/>
        <v>Jasmin Schuster</v>
      </c>
      <c r="D1280" s="2" t="str">
        <f t="shared" si="144"/>
        <v>BMSC4</v>
      </c>
      <c r="E1280" s="7" t="str">
        <f>IF(ISERROR(VLOOKUP($D1280,SITES!$A:$E,2,FALSE)),"",VLOOKUP($D1280,SITES!$A:$E,2,FALSE))</f>
        <v>Kii xin</v>
      </c>
      <c r="F1280" s="4">
        <f>IF(ISERROR(VLOOKUP($D1280,SITES!$A:$E,3,FALSE)),"",VLOOKUP($D1280,SITES!$A:$E,3,FALSE))</f>
        <v>48.815116882324197</v>
      </c>
      <c r="G1280" s="18">
        <f>IF(ISERROR(VLOOKUP($D1280,SITES!$A:$E,4,FALSE)),"",VLOOKUP($D1280,SITES!$A:$E,4,FALSE))</f>
        <v>-125.175331115722</v>
      </c>
      <c r="H1280" s="5" t="str">
        <f t="shared" si="145"/>
        <v>12/05/2023</v>
      </c>
      <c r="I1280" s="2">
        <f t="shared" si="146"/>
        <v>1.5</v>
      </c>
      <c r="J1280" s="2">
        <f t="shared" si="141"/>
        <v>270</v>
      </c>
      <c r="K1280" s="6">
        <f t="shared" si="147"/>
        <v>0.42152777777777778</v>
      </c>
      <c r="L1280" s="2" t="str">
        <f t="shared" si="142"/>
        <v>EGL</v>
      </c>
      <c r="M1280" s="2">
        <f t="shared" si="148"/>
        <v>8.5</v>
      </c>
      <c r="N1280" s="2">
        <f t="shared" si="150"/>
        <v>2</v>
      </c>
      <c r="O1280" s="2">
        <f t="shared" si="149"/>
        <v>1</v>
      </c>
      <c r="P1280" s="27" t="s">
        <v>194</v>
      </c>
      <c r="Q1280" s="7" t="str">
        <f>IF($N1280=1,IF(ISERROR(VLOOKUP($P1280,'M1'!$A:$C,Q$2,FALSE)),"NOT PRESENT",VLOOKUP($P1280,'M1'!$A:$C,Q$2,FALSE)),IF($N1280=2,IF(ISERROR(VLOOKUP(DATA!$P246,'M2'!$A:$C,Q$2,FALSE)),"NOT PRESENT",VLOOKUP(DATA!$P246,'M2'!$A:$C,Q$2,FALSE)),IF($N1280=0,IF(ISERROR(VLOOKUP($P1280,'M1'!$A:$C,Q$2,FALSE)),IF(ISERROR(VLOOKUP(DATA!$P246,'M2'!$A:$C,Q$2,FALSE)),"NOT PRESENT",VLOOKUP(DATA!$P246,'M2'!$A:$C,Q$2,FALSE)),VLOOKUP($P1280,'M1'!$A:$C,Q$2,FALSE)),"SPECIFY METHOD")))</f>
        <v>NOT PRESENT</v>
      </c>
      <c r="R1280" s="4" t="str">
        <f>IF($N1280=1,IF(ISERROR(VLOOKUP($P1280,'M1'!$A:$C,R$2,FALSE)),"NOT PRESENT",VLOOKUP($P1280,'M1'!$A:$C,R$2,FALSE)),IF($N1280=2,IF(ISERROR(VLOOKUP(DATA!$P246,'M2'!$A:$C,R$2,FALSE)),"NOT PRESENT",VLOOKUP(DATA!$P246,'M2'!$A:$C,R$2,FALSE)),IF($N1280=0,IF(ISERROR(VLOOKUP($P1280,'M1'!$A:$C,R$2,FALSE)),IF(ISERROR(VLOOKUP(DATA!$P246,'M2'!$A:$C,R$2,FALSE)),"NOT PRESENT",VLOOKUP(DATA!$P246,'M2'!$A:$C,R$2,FALSE)),VLOOKUP($P1280,'M1'!$A:$C,R$2,FALSE)),"SPECIFY METHOD")))</f>
        <v>NOT PRESENT</v>
      </c>
      <c r="S1280" s="20">
        <f t="shared" si="143"/>
        <v>5</v>
      </c>
      <c r="U1280" s="2">
        <v>5</v>
      </c>
    </row>
    <row r="1281" spans="1:24">
      <c r="A1281" s="7">
        <f>MAX($A$1:$A1280)+1</f>
        <v>1280</v>
      </c>
      <c r="B1281" s="2" t="str">
        <f t="shared" si="139"/>
        <v>Em Lim</v>
      </c>
      <c r="C1281" s="2" t="str">
        <f t="shared" si="140"/>
        <v>Jasmin Schuster</v>
      </c>
      <c r="D1281" s="2" t="str">
        <f t="shared" si="144"/>
        <v>BMSC4</v>
      </c>
      <c r="E1281" s="7" t="str">
        <f>IF(ISERROR(VLOOKUP($D1281,SITES!$A:$E,2,FALSE)),"",VLOOKUP($D1281,SITES!$A:$E,2,FALSE))</f>
        <v>Kii xin</v>
      </c>
      <c r="F1281" s="4">
        <f>IF(ISERROR(VLOOKUP($D1281,SITES!$A:$E,3,FALSE)),"",VLOOKUP($D1281,SITES!$A:$E,3,FALSE))</f>
        <v>48.815116882324197</v>
      </c>
      <c r="G1281" s="18">
        <f>IF(ISERROR(VLOOKUP($D1281,SITES!$A:$E,4,FALSE)),"",VLOOKUP($D1281,SITES!$A:$E,4,FALSE))</f>
        <v>-125.175331115722</v>
      </c>
      <c r="H1281" s="5" t="str">
        <f t="shared" si="145"/>
        <v>12/05/2023</v>
      </c>
      <c r="I1281" s="2">
        <f t="shared" si="146"/>
        <v>1.5</v>
      </c>
      <c r="J1281" s="2">
        <f t="shared" si="141"/>
        <v>270</v>
      </c>
      <c r="K1281" s="6">
        <f t="shared" si="147"/>
        <v>0.42152777777777778</v>
      </c>
      <c r="L1281" s="2" t="str">
        <f t="shared" si="142"/>
        <v>EGL</v>
      </c>
      <c r="M1281" s="2">
        <f t="shared" si="148"/>
        <v>8.5</v>
      </c>
      <c r="N1281" s="2">
        <f t="shared" si="150"/>
        <v>2</v>
      </c>
      <c r="O1281" s="2">
        <f t="shared" si="149"/>
        <v>1</v>
      </c>
      <c r="P1281" s="27" t="s">
        <v>179</v>
      </c>
      <c r="Q1281" s="7" t="str">
        <f>IF($N1281=1,IF(ISERROR(VLOOKUP($P1281,'M1'!$A:$C,Q$2,FALSE)),"NOT PRESENT",VLOOKUP($P1281,'M1'!$A:$C,Q$2,FALSE)),IF($N1281=2,IF(ISERROR(VLOOKUP(DATA!$P247,'M2'!$A:$C,Q$2,FALSE)),"NOT PRESENT",VLOOKUP(DATA!$P247,'M2'!$A:$C,Q$2,FALSE)),IF($N1281=0,IF(ISERROR(VLOOKUP($P1281,'M1'!$A:$C,Q$2,FALSE)),IF(ISERROR(VLOOKUP(DATA!$P247,'M2'!$A:$C,Q$2,FALSE)),"NOT PRESENT",VLOOKUP(DATA!$P247,'M2'!$A:$C,Q$2,FALSE)),VLOOKUP($P1281,'M1'!$A:$C,Q$2,FALSE)),"SPECIFY METHOD")))</f>
        <v>NOT PRESENT</v>
      </c>
      <c r="R1281" s="4" t="str">
        <f>IF($N1281=1,IF(ISERROR(VLOOKUP($P1281,'M1'!$A:$C,R$2,FALSE)),"NOT PRESENT",VLOOKUP($P1281,'M1'!$A:$C,R$2,FALSE)),IF($N1281=2,IF(ISERROR(VLOOKUP(DATA!$P247,'M2'!$A:$C,R$2,FALSE)),"NOT PRESENT",VLOOKUP(DATA!$P247,'M2'!$A:$C,R$2,FALSE)),IF($N1281=0,IF(ISERROR(VLOOKUP($P1281,'M1'!$A:$C,R$2,FALSE)),IF(ISERROR(VLOOKUP(DATA!$P247,'M2'!$A:$C,R$2,FALSE)),"NOT PRESENT",VLOOKUP(DATA!$P247,'M2'!$A:$C,R$2,FALSE)),VLOOKUP($P1281,'M1'!$A:$C,R$2,FALSE)),"SPECIFY METHOD")))</f>
        <v>NOT PRESENT</v>
      </c>
      <c r="S1281" s="20">
        <f t="shared" si="143"/>
        <v>14</v>
      </c>
      <c r="T1281" s="2">
        <v>14</v>
      </c>
    </row>
    <row r="1282" spans="1:24">
      <c r="A1282" s="7">
        <f>MAX($A$1:$A1281)+1</f>
        <v>1281</v>
      </c>
      <c r="B1282" s="2" t="str">
        <f t="shared" si="139"/>
        <v>Em Lim</v>
      </c>
      <c r="C1282" s="2" t="str">
        <f t="shared" si="140"/>
        <v>Jasmin Schuster</v>
      </c>
      <c r="D1282" s="2" t="str">
        <f t="shared" si="144"/>
        <v>BMSC4</v>
      </c>
      <c r="E1282" s="7" t="str">
        <f>IF(ISERROR(VLOOKUP($D1282,SITES!$A:$E,2,FALSE)),"",VLOOKUP($D1282,SITES!$A:$E,2,FALSE))</f>
        <v>Kii xin</v>
      </c>
      <c r="F1282" s="4">
        <f>IF(ISERROR(VLOOKUP($D1282,SITES!$A:$E,3,FALSE)),"",VLOOKUP($D1282,SITES!$A:$E,3,FALSE))</f>
        <v>48.815116882324197</v>
      </c>
      <c r="G1282" s="18">
        <f>IF(ISERROR(VLOOKUP($D1282,SITES!$A:$E,4,FALSE)),"",VLOOKUP($D1282,SITES!$A:$E,4,FALSE))</f>
        <v>-125.175331115722</v>
      </c>
      <c r="H1282" s="5" t="str">
        <f t="shared" si="145"/>
        <v>12/05/2023</v>
      </c>
      <c r="I1282" s="2">
        <f t="shared" si="146"/>
        <v>1.5</v>
      </c>
      <c r="J1282" s="2">
        <f t="shared" si="141"/>
        <v>270</v>
      </c>
      <c r="K1282" s="6">
        <f t="shared" si="147"/>
        <v>0.42152777777777778</v>
      </c>
      <c r="L1282" s="2" t="str">
        <f t="shared" si="142"/>
        <v>EGL</v>
      </c>
      <c r="M1282" s="2">
        <f t="shared" si="148"/>
        <v>8.5</v>
      </c>
      <c r="N1282" s="2">
        <f t="shared" si="150"/>
        <v>2</v>
      </c>
      <c r="O1282" s="2">
        <f t="shared" si="149"/>
        <v>1</v>
      </c>
      <c r="P1282" s="27" t="s">
        <v>199</v>
      </c>
      <c r="Q1282" s="7" t="str">
        <f>IF($N1282=1,IF(ISERROR(VLOOKUP($P1282,'M1'!$A:$C,Q$2,FALSE)),"NOT PRESENT",VLOOKUP($P1282,'M1'!$A:$C,Q$2,FALSE)),IF($N1282=2,IF(ISERROR(VLOOKUP(DATA!$P248,'M2'!$A:$C,Q$2,FALSE)),"NOT PRESENT",VLOOKUP(DATA!$P248,'M2'!$A:$C,Q$2,FALSE)),IF($N1282=0,IF(ISERROR(VLOOKUP($P1282,'M1'!$A:$C,Q$2,FALSE)),IF(ISERROR(VLOOKUP(DATA!$P248,'M2'!$A:$C,Q$2,FALSE)),"NOT PRESENT",VLOOKUP(DATA!$P248,'M2'!$A:$C,Q$2,FALSE)),VLOOKUP($P1282,'M1'!$A:$C,Q$2,FALSE)),"SPECIFY METHOD")))</f>
        <v>NOT PRESENT</v>
      </c>
      <c r="R1282" s="4" t="str">
        <f>IF($N1282=1,IF(ISERROR(VLOOKUP($P1282,'M1'!$A:$C,R$2,FALSE)),"NOT PRESENT",VLOOKUP($P1282,'M1'!$A:$C,R$2,FALSE)),IF($N1282=2,IF(ISERROR(VLOOKUP(DATA!$P248,'M2'!$A:$C,R$2,FALSE)),"NOT PRESENT",VLOOKUP(DATA!$P248,'M2'!$A:$C,R$2,FALSE)),IF($N1282=0,IF(ISERROR(VLOOKUP($P1282,'M1'!$A:$C,R$2,FALSE)),IF(ISERROR(VLOOKUP(DATA!$P248,'M2'!$A:$C,R$2,FALSE)),"NOT PRESENT",VLOOKUP(DATA!$P248,'M2'!$A:$C,R$2,FALSE)),VLOOKUP($P1282,'M1'!$A:$C,R$2,FALSE)),"SPECIFY METHOD")))</f>
        <v>NOT PRESENT</v>
      </c>
      <c r="S1282" s="20">
        <f t="shared" si="143"/>
        <v>3</v>
      </c>
      <c r="T1282" s="2">
        <v>3</v>
      </c>
    </row>
    <row r="1283" spans="1:24">
      <c r="A1283" s="7">
        <f>MAX($A$1:$A1282)+1</f>
        <v>1282</v>
      </c>
      <c r="B1283" s="2" t="str">
        <f t="shared" si="139"/>
        <v>Em Lim</v>
      </c>
      <c r="C1283" s="2" t="str">
        <f t="shared" si="140"/>
        <v>Jasmin Schuster</v>
      </c>
      <c r="D1283" s="2" t="str">
        <f t="shared" si="144"/>
        <v>BMSC4</v>
      </c>
      <c r="E1283" s="7" t="str">
        <f>IF(ISERROR(VLOOKUP($D1283,SITES!$A:$E,2,FALSE)),"",VLOOKUP($D1283,SITES!$A:$E,2,FALSE))</f>
        <v>Kii xin</v>
      </c>
      <c r="F1283" s="4">
        <f>IF(ISERROR(VLOOKUP($D1283,SITES!$A:$E,3,FALSE)),"",VLOOKUP($D1283,SITES!$A:$E,3,FALSE))</f>
        <v>48.815116882324197</v>
      </c>
      <c r="G1283" s="18">
        <f>IF(ISERROR(VLOOKUP($D1283,SITES!$A:$E,4,FALSE)),"",VLOOKUP($D1283,SITES!$A:$E,4,FALSE))</f>
        <v>-125.175331115722</v>
      </c>
      <c r="H1283" s="5" t="str">
        <f t="shared" si="145"/>
        <v>12/05/2023</v>
      </c>
      <c r="I1283" s="2">
        <f t="shared" si="146"/>
        <v>1.5</v>
      </c>
      <c r="J1283" s="2">
        <f t="shared" si="141"/>
        <v>270</v>
      </c>
      <c r="K1283" s="6">
        <f t="shared" si="147"/>
        <v>0.42152777777777778</v>
      </c>
      <c r="L1283" s="2" t="str">
        <f t="shared" si="142"/>
        <v>EGL</v>
      </c>
      <c r="M1283" s="2">
        <f t="shared" si="148"/>
        <v>8.5</v>
      </c>
      <c r="N1283" s="2">
        <f t="shared" si="150"/>
        <v>2</v>
      </c>
      <c r="O1283" s="2">
        <f t="shared" si="149"/>
        <v>1</v>
      </c>
      <c r="P1283" s="27" t="s">
        <v>184</v>
      </c>
      <c r="Q1283" s="7" t="str">
        <f>IF($N1283=1,IF(ISERROR(VLOOKUP($P1283,'M1'!$A:$C,Q$2,FALSE)),"NOT PRESENT",VLOOKUP($P1283,'M1'!$A:$C,Q$2,FALSE)),IF($N1283=2,IF(ISERROR(VLOOKUP(DATA!$P249,'M2'!$A:$C,Q$2,FALSE)),"NOT PRESENT",VLOOKUP(DATA!$P249,'M2'!$A:$C,Q$2,FALSE)),IF($N1283=0,IF(ISERROR(VLOOKUP($P1283,'M1'!$A:$C,Q$2,FALSE)),IF(ISERROR(VLOOKUP(DATA!$P249,'M2'!$A:$C,Q$2,FALSE)),"NOT PRESENT",VLOOKUP(DATA!$P249,'M2'!$A:$C,Q$2,FALSE)),VLOOKUP($P1283,'M1'!$A:$C,Q$2,FALSE)),"SPECIFY METHOD")))</f>
        <v>NOT PRESENT</v>
      </c>
      <c r="R1283" s="4" t="str">
        <f>IF($N1283=1,IF(ISERROR(VLOOKUP($P1283,'M1'!$A:$C,R$2,FALSE)),"NOT PRESENT",VLOOKUP($P1283,'M1'!$A:$C,R$2,FALSE)),IF($N1283=2,IF(ISERROR(VLOOKUP(DATA!$P249,'M2'!$A:$C,R$2,FALSE)),"NOT PRESENT",VLOOKUP(DATA!$P249,'M2'!$A:$C,R$2,FALSE)),IF($N1283=0,IF(ISERROR(VLOOKUP($P1283,'M1'!$A:$C,R$2,FALSE)),IF(ISERROR(VLOOKUP(DATA!$P249,'M2'!$A:$C,R$2,FALSE)),"NOT PRESENT",VLOOKUP(DATA!$P249,'M2'!$A:$C,R$2,FALSE)),VLOOKUP($P1283,'M1'!$A:$C,R$2,FALSE)),"SPECIFY METHOD")))</f>
        <v>NOT PRESENT</v>
      </c>
      <c r="S1283" s="20">
        <f t="shared" si="143"/>
        <v>19</v>
      </c>
      <c r="T1283" s="2">
        <v>19</v>
      </c>
    </row>
    <row r="1284" spans="1:24">
      <c r="A1284" s="7">
        <f>MAX($A$1:$A1283)+1</f>
        <v>1283</v>
      </c>
      <c r="B1284" s="2" t="str">
        <f t="shared" si="139"/>
        <v>Em Lim</v>
      </c>
      <c r="C1284" s="2" t="str">
        <f t="shared" si="140"/>
        <v>Jasmin Schuster</v>
      </c>
      <c r="D1284" s="2" t="str">
        <f t="shared" si="144"/>
        <v>BMSC4</v>
      </c>
      <c r="E1284" s="7" t="str">
        <f>IF(ISERROR(VLOOKUP($D1284,SITES!$A:$E,2,FALSE)),"",VLOOKUP($D1284,SITES!$A:$E,2,FALSE))</f>
        <v>Kii xin</v>
      </c>
      <c r="F1284" s="4">
        <f>IF(ISERROR(VLOOKUP($D1284,SITES!$A:$E,3,FALSE)),"",VLOOKUP($D1284,SITES!$A:$E,3,FALSE))</f>
        <v>48.815116882324197</v>
      </c>
      <c r="G1284" s="18">
        <f>IF(ISERROR(VLOOKUP($D1284,SITES!$A:$E,4,FALSE)),"",VLOOKUP($D1284,SITES!$A:$E,4,FALSE))</f>
        <v>-125.175331115722</v>
      </c>
      <c r="H1284" s="5" t="str">
        <f t="shared" si="145"/>
        <v>12/05/2023</v>
      </c>
      <c r="I1284" s="2">
        <f t="shared" si="146"/>
        <v>1.5</v>
      </c>
      <c r="J1284" s="2">
        <f t="shared" si="141"/>
        <v>270</v>
      </c>
      <c r="K1284" s="6">
        <f t="shared" si="147"/>
        <v>0.42152777777777778</v>
      </c>
      <c r="L1284" s="2" t="str">
        <f t="shared" si="142"/>
        <v>EGL</v>
      </c>
      <c r="M1284" s="2">
        <f t="shared" si="148"/>
        <v>8.5</v>
      </c>
      <c r="N1284" s="2">
        <f t="shared" si="150"/>
        <v>2</v>
      </c>
      <c r="O1284" s="2">
        <f t="shared" si="149"/>
        <v>1</v>
      </c>
      <c r="P1284" s="27" t="s">
        <v>181</v>
      </c>
      <c r="Q1284" s="7" t="str">
        <f>IF($N1284=1,IF(ISERROR(VLOOKUP($P1284,'M1'!$A:$C,Q$2,FALSE)),"NOT PRESENT",VLOOKUP($P1284,'M1'!$A:$C,Q$2,FALSE)),IF($N1284=2,IF(ISERROR(VLOOKUP(DATA!$P250,'M2'!$A:$C,Q$2,FALSE)),"NOT PRESENT",VLOOKUP(DATA!$P250,'M2'!$A:$C,Q$2,FALSE)),IF($N1284=0,IF(ISERROR(VLOOKUP($P1284,'M1'!$A:$C,Q$2,FALSE)),IF(ISERROR(VLOOKUP(DATA!$P250,'M2'!$A:$C,Q$2,FALSE)),"NOT PRESENT",VLOOKUP(DATA!$P250,'M2'!$A:$C,Q$2,FALSE)),VLOOKUP($P1284,'M1'!$A:$C,Q$2,FALSE)),"SPECIFY METHOD")))</f>
        <v>NOT PRESENT</v>
      </c>
      <c r="R1284" s="4" t="str">
        <f>IF($N1284=1,IF(ISERROR(VLOOKUP($P1284,'M1'!$A:$C,R$2,FALSE)),"NOT PRESENT",VLOOKUP($P1284,'M1'!$A:$C,R$2,FALSE)),IF($N1284=2,IF(ISERROR(VLOOKUP(DATA!$P250,'M2'!$A:$C,R$2,FALSE)),"NOT PRESENT",VLOOKUP(DATA!$P250,'M2'!$A:$C,R$2,FALSE)),IF($N1284=0,IF(ISERROR(VLOOKUP($P1284,'M1'!$A:$C,R$2,FALSE)),IF(ISERROR(VLOOKUP(DATA!$P250,'M2'!$A:$C,R$2,FALSE)),"NOT PRESENT",VLOOKUP(DATA!$P250,'M2'!$A:$C,R$2,FALSE)),VLOOKUP($P1284,'M1'!$A:$C,R$2,FALSE)),"SPECIFY METHOD")))</f>
        <v>NOT PRESENT</v>
      </c>
      <c r="S1284" s="20">
        <f t="shared" si="143"/>
        <v>8</v>
      </c>
      <c r="T1284" s="2">
        <v>0</v>
      </c>
      <c r="U1284" s="2">
        <v>4</v>
      </c>
      <c r="V1284" s="2">
        <v>2</v>
      </c>
      <c r="W1284" s="2">
        <v>1</v>
      </c>
      <c r="X1284" s="2">
        <v>1</v>
      </c>
    </row>
    <row r="1285" spans="1:24">
      <c r="A1285" s="7">
        <f>MAX($A$1:$A1284)+1</f>
        <v>1284</v>
      </c>
      <c r="B1285" s="2" t="str">
        <f t="shared" si="139"/>
        <v>Em Lim</v>
      </c>
      <c r="C1285" s="2" t="str">
        <f t="shared" si="140"/>
        <v>Jasmin Schuster</v>
      </c>
      <c r="D1285" s="2" t="str">
        <f t="shared" si="144"/>
        <v>BMSC4</v>
      </c>
      <c r="E1285" s="7" t="str">
        <f>IF(ISERROR(VLOOKUP($D1285,SITES!$A:$E,2,FALSE)),"",VLOOKUP($D1285,SITES!$A:$E,2,FALSE))</f>
        <v>Kii xin</v>
      </c>
      <c r="F1285" s="4">
        <f>IF(ISERROR(VLOOKUP($D1285,SITES!$A:$E,3,FALSE)),"",VLOOKUP($D1285,SITES!$A:$E,3,FALSE))</f>
        <v>48.815116882324197</v>
      </c>
      <c r="G1285" s="18">
        <f>IF(ISERROR(VLOOKUP($D1285,SITES!$A:$E,4,FALSE)),"",VLOOKUP($D1285,SITES!$A:$E,4,FALSE))</f>
        <v>-125.175331115722</v>
      </c>
      <c r="H1285" s="5" t="str">
        <f t="shared" si="145"/>
        <v>12/05/2023</v>
      </c>
      <c r="I1285" s="2">
        <f t="shared" si="146"/>
        <v>1.5</v>
      </c>
      <c r="J1285" s="2">
        <f t="shared" si="141"/>
        <v>270</v>
      </c>
      <c r="K1285" s="6">
        <f t="shared" si="147"/>
        <v>0.42152777777777778</v>
      </c>
      <c r="L1285" s="2" t="str">
        <f t="shared" si="142"/>
        <v>EGL</v>
      </c>
      <c r="M1285" s="2">
        <f t="shared" si="148"/>
        <v>8.5</v>
      </c>
      <c r="N1285" s="2">
        <f t="shared" si="150"/>
        <v>2</v>
      </c>
      <c r="O1285" s="2">
        <f t="shared" si="149"/>
        <v>1</v>
      </c>
      <c r="P1285" s="27" t="s">
        <v>190</v>
      </c>
      <c r="Q1285" s="7" t="str">
        <f>IF($N1285=1,IF(ISERROR(VLOOKUP($P1285,'M1'!$A:$C,Q$2,FALSE)),"NOT PRESENT",VLOOKUP($P1285,'M1'!$A:$C,Q$2,FALSE)),IF($N1285=2,IF(ISERROR(VLOOKUP(DATA!$P251,'M2'!$A:$C,Q$2,FALSE)),"NOT PRESENT",VLOOKUP(DATA!$P251,'M2'!$A:$C,Q$2,FALSE)),IF($N1285=0,IF(ISERROR(VLOOKUP($P1285,'M1'!$A:$C,Q$2,FALSE)),IF(ISERROR(VLOOKUP(DATA!$P251,'M2'!$A:$C,Q$2,FALSE)),"NOT PRESENT",VLOOKUP(DATA!$P251,'M2'!$A:$C,Q$2,FALSE)),VLOOKUP($P1285,'M1'!$A:$C,Q$2,FALSE)),"SPECIFY METHOD")))</f>
        <v>NOT PRESENT</v>
      </c>
      <c r="R1285" s="4" t="str">
        <f>IF($N1285=1,IF(ISERROR(VLOOKUP($P1285,'M1'!$A:$C,R$2,FALSE)),"NOT PRESENT",VLOOKUP($P1285,'M1'!$A:$C,R$2,FALSE)),IF($N1285=2,IF(ISERROR(VLOOKUP(DATA!$P251,'M2'!$A:$C,R$2,FALSE)),"NOT PRESENT",VLOOKUP(DATA!$P251,'M2'!$A:$C,R$2,FALSE)),IF($N1285=0,IF(ISERROR(VLOOKUP($P1285,'M1'!$A:$C,R$2,FALSE)),IF(ISERROR(VLOOKUP(DATA!$P251,'M2'!$A:$C,R$2,FALSE)),"NOT PRESENT",VLOOKUP(DATA!$P251,'M2'!$A:$C,R$2,FALSE)),VLOOKUP($P1285,'M1'!$A:$C,R$2,FALSE)),"SPECIFY METHOD")))</f>
        <v>NOT PRESENT</v>
      </c>
      <c r="S1285" s="20">
        <f t="shared" si="143"/>
        <v>17</v>
      </c>
      <c r="T1285" s="2">
        <v>17</v>
      </c>
    </row>
    <row r="1286" spans="1:24">
      <c r="A1286" s="7">
        <f>MAX($A$1:$A1285)+1</f>
        <v>1285</v>
      </c>
      <c r="B1286" s="2" t="str">
        <f t="shared" si="139"/>
        <v>Em Lim</v>
      </c>
      <c r="C1286" s="2" t="str">
        <f t="shared" si="140"/>
        <v>Jasmin Schuster</v>
      </c>
      <c r="D1286" s="2" t="str">
        <f t="shared" si="144"/>
        <v>BMSC4</v>
      </c>
      <c r="E1286" s="7" t="str">
        <f>IF(ISERROR(VLOOKUP($D1286,SITES!$A:$E,2,FALSE)),"",VLOOKUP($D1286,SITES!$A:$E,2,FALSE))</f>
        <v>Kii xin</v>
      </c>
      <c r="F1286" s="4">
        <f>IF(ISERROR(VLOOKUP($D1286,SITES!$A:$E,3,FALSE)),"",VLOOKUP($D1286,SITES!$A:$E,3,FALSE))</f>
        <v>48.815116882324197</v>
      </c>
      <c r="G1286" s="18">
        <f>IF(ISERROR(VLOOKUP($D1286,SITES!$A:$E,4,FALSE)),"",VLOOKUP($D1286,SITES!$A:$E,4,FALSE))</f>
        <v>-125.175331115722</v>
      </c>
      <c r="H1286" s="5" t="str">
        <f t="shared" si="145"/>
        <v>12/05/2023</v>
      </c>
      <c r="I1286" s="2">
        <f t="shared" si="146"/>
        <v>1.5</v>
      </c>
      <c r="J1286" s="2">
        <f t="shared" si="141"/>
        <v>270</v>
      </c>
      <c r="K1286" s="6">
        <f t="shared" si="147"/>
        <v>0.42152777777777778</v>
      </c>
      <c r="L1286" s="2" t="str">
        <f t="shared" si="142"/>
        <v>EGL</v>
      </c>
      <c r="M1286" s="2">
        <f t="shared" si="148"/>
        <v>8.5</v>
      </c>
      <c r="N1286" s="2">
        <f t="shared" si="150"/>
        <v>2</v>
      </c>
      <c r="O1286" s="2">
        <f t="shared" si="149"/>
        <v>1</v>
      </c>
      <c r="P1286" s="27" t="s">
        <v>219</v>
      </c>
      <c r="Q1286" s="7" t="str">
        <f>IF($N1286=1,IF(ISERROR(VLOOKUP($P1286,'M1'!$A:$C,Q$2,FALSE)),"NOT PRESENT",VLOOKUP($P1286,'M1'!$A:$C,Q$2,FALSE)),IF($N1286=2,IF(ISERROR(VLOOKUP(DATA!$P252,'M2'!$A:$C,Q$2,FALSE)),"NOT PRESENT",VLOOKUP(DATA!$P252,'M2'!$A:$C,Q$2,FALSE)),IF($N1286=0,IF(ISERROR(VLOOKUP($P1286,'M1'!$A:$C,Q$2,FALSE)),IF(ISERROR(VLOOKUP(DATA!$P252,'M2'!$A:$C,Q$2,FALSE)),"NOT PRESENT",VLOOKUP(DATA!$P252,'M2'!$A:$C,Q$2,FALSE)),VLOOKUP($P1286,'M1'!$A:$C,Q$2,FALSE)),"SPECIFY METHOD")))</f>
        <v>NOT PRESENT</v>
      </c>
      <c r="R1286" s="4" t="str">
        <f>IF($N1286=1,IF(ISERROR(VLOOKUP($P1286,'M1'!$A:$C,R$2,FALSE)),"NOT PRESENT",VLOOKUP($P1286,'M1'!$A:$C,R$2,FALSE)),IF($N1286=2,IF(ISERROR(VLOOKUP(DATA!$P252,'M2'!$A:$C,R$2,FALSE)),"NOT PRESENT",VLOOKUP(DATA!$P252,'M2'!$A:$C,R$2,FALSE)),IF($N1286=0,IF(ISERROR(VLOOKUP($P1286,'M1'!$A:$C,R$2,FALSE)),IF(ISERROR(VLOOKUP(DATA!$P252,'M2'!$A:$C,R$2,FALSE)),"NOT PRESENT",VLOOKUP(DATA!$P252,'M2'!$A:$C,R$2,FALSE)),VLOOKUP($P1286,'M1'!$A:$C,R$2,FALSE)),"SPECIFY METHOD")))</f>
        <v>NOT PRESENT</v>
      </c>
      <c r="S1286" s="20">
        <f t="shared" si="143"/>
        <v>20</v>
      </c>
      <c r="T1286" s="2">
        <v>20</v>
      </c>
    </row>
    <row r="1287" spans="1:24">
      <c r="A1287" s="7">
        <f>MAX($A$1:$A1286)+1</f>
        <v>1286</v>
      </c>
      <c r="B1287" s="2" t="str">
        <f t="shared" si="139"/>
        <v>Em Lim</v>
      </c>
      <c r="C1287" s="2" t="str">
        <f t="shared" si="140"/>
        <v>Jasmin Schuster</v>
      </c>
      <c r="D1287" s="2" t="str">
        <f t="shared" si="144"/>
        <v>BMSC4</v>
      </c>
      <c r="E1287" s="7" t="str">
        <f>IF(ISERROR(VLOOKUP($D1287,SITES!$A:$E,2,FALSE)),"",VLOOKUP($D1287,SITES!$A:$E,2,FALSE))</f>
        <v>Kii xin</v>
      </c>
      <c r="F1287" s="4">
        <f>IF(ISERROR(VLOOKUP($D1287,SITES!$A:$E,3,FALSE)),"",VLOOKUP($D1287,SITES!$A:$E,3,FALSE))</f>
        <v>48.815116882324197</v>
      </c>
      <c r="G1287" s="18">
        <f>IF(ISERROR(VLOOKUP($D1287,SITES!$A:$E,4,FALSE)),"",VLOOKUP($D1287,SITES!$A:$E,4,FALSE))</f>
        <v>-125.175331115722</v>
      </c>
      <c r="H1287" s="5" t="str">
        <f t="shared" si="145"/>
        <v>12/05/2023</v>
      </c>
      <c r="I1287" s="2">
        <f t="shared" si="146"/>
        <v>1.5</v>
      </c>
      <c r="J1287" s="2">
        <f t="shared" si="141"/>
        <v>270</v>
      </c>
      <c r="K1287" s="6">
        <f t="shared" si="147"/>
        <v>0.42152777777777778</v>
      </c>
      <c r="L1287" s="2" t="str">
        <f t="shared" si="142"/>
        <v>EGL</v>
      </c>
      <c r="M1287" s="2">
        <f t="shared" si="148"/>
        <v>8.5</v>
      </c>
      <c r="N1287" s="2">
        <f t="shared" si="150"/>
        <v>2</v>
      </c>
      <c r="O1287" s="2">
        <f t="shared" si="149"/>
        <v>1</v>
      </c>
      <c r="P1287" s="27" t="s">
        <v>189</v>
      </c>
      <c r="Q1287" s="7" t="str">
        <f>IF($N1287=1,IF(ISERROR(VLOOKUP($P1287,'M1'!$A:$C,Q$2,FALSE)),"NOT PRESENT",VLOOKUP($P1287,'M1'!$A:$C,Q$2,FALSE)),IF($N1287=2,IF(ISERROR(VLOOKUP(DATA!$P253,'M2'!$A:$C,Q$2,FALSE)),"NOT PRESENT",VLOOKUP(DATA!$P253,'M2'!$A:$C,Q$2,FALSE)),IF($N1287=0,IF(ISERROR(VLOOKUP($P1287,'M1'!$A:$C,Q$2,FALSE)),IF(ISERROR(VLOOKUP(DATA!$P253,'M2'!$A:$C,Q$2,FALSE)),"NOT PRESENT",VLOOKUP(DATA!$P253,'M2'!$A:$C,Q$2,FALSE)),VLOOKUP($P1287,'M1'!$A:$C,Q$2,FALSE)),"SPECIFY METHOD")))</f>
        <v>NOT PRESENT</v>
      </c>
      <c r="R1287" s="4" t="str">
        <f>IF($N1287=1,IF(ISERROR(VLOOKUP($P1287,'M1'!$A:$C,R$2,FALSE)),"NOT PRESENT",VLOOKUP($P1287,'M1'!$A:$C,R$2,FALSE)),IF($N1287=2,IF(ISERROR(VLOOKUP(DATA!$P253,'M2'!$A:$C,R$2,FALSE)),"NOT PRESENT",VLOOKUP(DATA!$P253,'M2'!$A:$C,R$2,FALSE)),IF($N1287=0,IF(ISERROR(VLOOKUP($P1287,'M1'!$A:$C,R$2,FALSE)),IF(ISERROR(VLOOKUP(DATA!$P253,'M2'!$A:$C,R$2,FALSE)),"NOT PRESENT",VLOOKUP(DATA!$P253,'M2'!$A:$C,R$2,FALSE)),VLOOKUP($P1287,'M1'!$A:$C,R$2,FALSE)),"SPECIFY METHOD")))</f>
        <v>NOT PRESENT</v>
      </c>
      <c r="S1287" s="20">
        <f t="shared" si="143"/>
        <v>1</v>
      </c>
      <c r="T1287" s="2">
        <v>1</v>
      </c>
    </row>
    <row r="1288" spans="1:24">
      <c r="A1288" s="7">
        <f>MAX($A$1:$A1287)+1</f>
        <v>1287</v>
      </c>
      <c r="B1288" s="2" t="str">
        <f t="shared" si="139"/>
        <v>Em Lim</v>
      </c>
      <c r="C1288" s="2" t="str">
        <f t="shared" si="140"/>
        <v>Jasmin Schuster</v>
      </c>
      <c r="D1288" s="2" t="str">
        <f t="shared" si="144"/>
        <v>BMSC4</v>
      </c>
      <c r="E1288" s="7" t="str">
        <f>IF(ISERROR(VLOOKUP($D1288,SITES!$A:$E,2,FALSE)),"",VLOOKUP($D1288,SITES!$A:$E,2,FALSE))</f>
        <v>Kii xin</v>
      </c>
      <c r="F1288" s="4">
        <f>IF(ISERROR(VLOOKUP($D1288,SITES!$A:$E,3,FALSE)),"",VLOOKUP($D1288,SITES!$A:$E,3,FALSE))</f>
        <v>48.815116882324197</v>
      </c>
      <c r="G1288" s="18">
        <f>IF(ISERROR(VLOOKUP($D1288,SITES!$A:$E,4,FALSE)),"",VLOOKUP($D1288,SITES!$A:$E,4,FALSE))</f>
        <v>-125.175331115722</v>
      </c>
      <c r="H1288" s="5" t="str">
        <f t="shared" si="145"/>
        <v>12/05/2023</v>
      </c>
      <c r="I1288" s="2">
        <f t="shared" si="146"/>
        <v>1.5</v>
      </c>
      <c r="J1288" s="2">
        <f t="shared" si="141"/>
        <v>270</v>
      </c>
      <c r="K1288" s="6">
        <f t="shared" si="147"/>
        <v>0.42152777777777778</v>
      </c>
      <c r="L1288" s="2" t="str">
        <f t="shared" si="142"/>
        <v>EGL</v>
      </c>
      <c r="M1288" s="2">
        <f t="shared" si="148"/>
        <v>8.5</v>
      </c>
      <c r="N1288" s="2">
        <f t="shared" si="150"/>
        <v>2</v>
      </c>
      <c r="O1288" s="2">
        <f t="shared" si="149"/>
        <v>1</v>
      </c>
      <c r="P1288" s="27" t="s">
        <v>218</v>
      </c>
      <c r="Q1288" s="7" t="str">
        <f>IF($N1288=1,IF(ISERROR(VLOOKUP($P1288,'M1'!$A:$C,Q$2,FALSE)),"NOT PRESENT",VLOOKUP($P1288,'M1'!$A:$C,Q$2,FALSE)),IF($N1288=2,IF(ISERROR(VLOOKUP(DATA!$P254,'M2'!$A:$C,Q$2,FALSE)),"NOT PRESENT",VLOOKUP(DATA!$P254,'M2'!$A:$C,Q$2,FALSE)),IF($N1288=0,IF(ISERROR(VLOOKUP($P1288,'M1'!$A:$C,Q$2,FALSE)),IF(ISERROR(VLOOKUP(DATA!$P254,'M2'!$A:$C,Q$2,FALSE)),"NOT PRESENT",VLOOKUP(DATA!$P254,'M2'!$A:$C,Q$2,FALSE)),VLOOKUP($P1288,'M1'!$A:$C,Q$2,FALSE)),"SPECIFY METHOD")))</f>
        <v>NOT PRESENT</v>
      </c>
      <c r="R1288" s="4" t="str">
        <f>IF($N1288=1,IF(ISERROR(VLOOKUP($P1288,'M1'!$A:$C,R$2,FALSE)),"NOT PRESENT",VLOOKUP($P1288,'M1'!$A:$C,R$2,FALSE)),IF($N1288=2,IF(ISERROR(VLOOKUP(DATA!$P254,'M2'!$A:$C,R$2,FALSE)),"NOT PRESENT",VLOOKUP(DATA!$P254,'M2'!$A:$C,R$2,FALSE)),IF($N1288=0,IF(ISERROR(VLOOKUP($P1288,'M1'!$A:$C,R$2,FALSE)),IF(ISERROR(VLOOKUP(DATA!$P254,'M2'!$A:$C,R$2,FALSE)),"NOT PRESENT",VLOOKUP(DATA!$P254,'M2'!$A:$C,R$2,FALSE)),VLOOKUP($P1288,'M1'!$A:$C,R$2,FALSE)),"SPECIFY METHOD")))</f>
        <v>NOT PRESENT</v>
      </c>
      <c r="S1288" s="20">
        <f t="shared" si="143"/>
        <v>5</v>
      </c>
      <c r="T1288" s="2">
        <v>5</v>
      </c>
    </row>
    <row r="1289" spans="1:24">
      <c r="A1289" s="7">
        <f>MAX($A$1:$A1288)+1</f>
        <v>1288</v>
      </c>
      <c r="B1289" s="2" t="str">
        <f t="shared" si="139"/>
        <v>Em Lim</v>
      </c>
      <c r="C1289" s="2" t="str">
        <f t="shared" si="140"/>
        <v>Jasmin Schuster</v>
      </c>
      <c r="D1289" s="2" t="str">
        <f t="shared" si="144"/>
        <v>BMSC4</v>
      </c>
      <c r="E1289" s="7" t="str">
        <f>IF(ISERROR(VLOOKUP($D1289,SITES!$A:$E,2,FALSE)),"",VLOOKUP($D1289,SITES!$A:$E,2,FALSE))</f>
        <v>Kii xin</v>
      </c>
      <c r="F1289" s="4">
        <f>IF(ISERROR(VLOOKUP($D1289,SITES!$A:$E,3,FALSE)),"",VLOOKUP($D1289,SITES!$A:$E,3,FALSE))</f>
        <v>48.815116882324197</v>
      </c>
      <c r="G1289" s="18">
        <f>IF(ISERROR(VLOOKUP($D1289,SITES!$A:$E,4,FALSE)),"",VLOOKUP($D1289,SITES!$A:$E,4,FALSE))</f>
        <v>-125.175331115722</v>
      </c>
      <c r="H1289" s="5" t="str">
        <f t="shared" si="145"/>
        <v>12/05/2023</v>
      </c>
      <c r="I1289" s="2">
        <f t="shared" si="146"/>
        <v>1.5</v>
      </c>
      <c r="J1289" s="2">
        <f t="shared" si="141"/>
        <v>270</v>
      </c>
      <c r="K1289" s="6">
        <f t="shared" si="147"/>
        <v>0.42152777777777778</v>
      </c>
      <c r="L1289" s="2" t="str">
        <f t="shared" si="142"/>
        <v>EGL</v>
      </c>
      <c r="M1289" s="2">
        <f t="shared" si="148"/>
        <v>8.5</v>
      </c>
      <c r="N1289" s="2">
        <f t="shared" si="150"/>
        <v>2</v>
      </c>
      <c r="O1289" s="2">
        <f t="shared" si="149"/>
        <v>1</v>
      </c>
      <c r="P1289" s="27" t="s">
        <v>264</v>
      </c>
      <c r="Q1289" s="7" t="str">
        <f>IF($N1289=1,IF(ISERROR(VLOOKUP($P1289,'M1'!$A:$C,Q$2,FALSE)),"NOT PRESENT",VLOOKUP($P1289,'M1'!$A:$C,Q$2,FALSE)),IF($N1289=2,IF(ISERROR(VLOOKUP(DATA!$P255,'M2'!$A:$C,Q$2,FALSE)),"NOT PRESENT",VLOOKUP(DATA!$P255,'M2'!$A:$C,Q$2,FALSE)),IF($N1289=0,IF(ISERROR(VLOOKUP($P1289,'M1'!$A:$C,Q$2,FALSE)),IF(ISERROR(VLOOKUP(DATA!$P255,'M2'!$A:$C,Q$2,FALSE)),"NOT PRESENT",VLOOKUP(DATA!$P255,'M2'!$A:$C,Q$2,FALSE)),VLOOKUP($P1289,'M1'!$A:$C,Q$2,FALSE)),"SPECIFY METHOD")))</f>
        <v>NOT PRESENT</v>
      </c>
      <c r="R1289" s="4" t="str">
        <f>IF($N1289=1,IF(ISERROR(VLOOKUP($P1289,'M1'!$A:$C,R$2,FALSE)),"NOT PRESENT",VLOOKUP($P1289,'M1'!$A:$C,R$2,FALSE)),IF($N1289=2,IF(ISERROR(VLOOKUP(DATA!$P255,'M2'!$A:$C,R$2,FALSE)),"NOT PRESENT",VLOOKUP(DATA!$P255,'M2'!$A:$C,R$2,FALSE)),IF($N1289=0,IF(ISERROR(VLOOKUP($P1289,'M1'!$A:$C,R$2,FALSE)),IF(ISERROR(VLOOKUP(DATA!$P255,'M2'!$A:$C,R$2,FALSE)),"NOT PRESENT",VLOOKUP(DATA!$P255,'M2'!$A:$C,R$2,FALSE)),VLOOKUP($P1289,'M1'!$A:$C,R$2,FALSE)),"SPECIFY METHOD")))</f>
        <v>NOT PRESENT</v>
      </c>
      <c r="S1289" s="20">
        <f t="shared" si="143"/>
        <v>1</v>
      </c>
      <c r="T1289" s="2">
        <v>1</v>
      </c>
    </row>
    <row r="1290" spans="1:24">
      <c r="A1290" s="7">
        <f>MAX($A$1:$A1289)+1</f>
        <v>1289</v>
      </c>
      <c r="B1290" s="2" t="str">
        <f t="shared" si="139"/>
        <v>Em Lim</v>
      </c>
      <c r="C1290" s="2" t="str">
        <f t="shared" si="140"/>
        <v>Jasmin Schuster</v>
      </c>
      <c r="D1290" s="2" t="str">
        <f t="shared" si="144"/>
        <v>BMSC4</v>
      </c>
      <c r="E1290" s="7" t="str">
        <f>IF(ISERROR(VLOOKUP($D1290,SITES!$A:$E,2,FALSE)),"",VLOOKUP($D1290,SITES!$A:$E,2,FALSE))</f>
        <v>Kii xin</v>
      </c>
      <c r="F1290" s="4">
        <f>IF(ISERROR(VLOOKUP($D1290,SITES!$A:$E,3,FALSE)),"",VLOOKUP($D1290,SITES!$A:$E,3,FALSE))</f>
        <v>48.815116882324197</v>
      </c>
      <c r="G1290" s="18">
        <f>IF(ISERROR(VLOOKUP($D1290,SITES!$A:$E,4,FALSE)),"",VLOOKUP($D1290,SITES!$A:$E,4,FALSE))</f>
        <v>-125.175331115722</v>
      </c>
      <c r="H1290" s="5" t="str">
        <f t="shared" si="145"/>
        <v>12/05/2023</v>
      </c>
      <c r="I1290" s="2">
        <f t="shared" si="146"/>
        <v>1.5</v>
      </c>
      <c r="J1290" s="2">
        <f t="shared" si="141"/>
        <v>270</v>
      </c>
      <c r="K1290" s="6">
        <f t="shared" si="147"/>
        <v>0.42152777777777778</v>
      </c>
      <c r="L1290" s="2" t="str">
        <f t="shared" si="142"/>
        <v>EGL</v>
      </c>
      <c r="M1290" s="2">
        <f t="shared" si="148"/>
        <v>8.5</v>
      </c>
      <c r="N1290" s="2">
        <f t="shared" si="150"/>
        <v>2</v>
      </c>
      <c r="O1290" s="2">
        <f t="shared" si="149"/>
        <v>1</v>
      </c>
      <c r="P1290" s="27" t="s">
        <v>187</v>
      </c>
      <c r="Q1290" s="7" t="str">
        <f>IF($N1290=1,IF(ISERROR(VLOOKUP($P1290,'M1'!$A:$C,Q$2,FALSE)),"NOT PRESENT",VLOOKUP($P1290,'M1'!$A:$C,Q$2,FALSE)),IF($N1290=2,IF(ISERROR(VLOOKUP(DATA!$P256,'M2'!$A:$C,Q$2,FALSE)),"NOT PRESENT",VLOOKUP(DATA!$P256,'M2'!$A:$C,Q$2,FALSE)),IF($N1290=0,IF(ISERROR(VLOOKUP($P1290,'M1'!$A:$C,Q$2,FALSE)),IF(ISERROR(VLOOKUP(DATA!$P256,'M2'!$A:$C,Q$2,FALSE)),"NOT PRESENT",VLOOKUP(DATA!$P256,'M2'!$A:$C,Q$2,FALSE)),VLOOKUP($P1290,'M1'!$A:$C,Q$2,FALSE)),"SPECIFY METHOD")))</f>
        <v>NOT PRESENT</v>
      </c>
      <c r="R1290" s="4" t="str">
        <f>IF($N1290=1,IF(ISERROR(VLOOKUP($P1290,'M1'!$A:$C,R$2,FALSE)),"NOT PRESENT",VLOOKUP($P1290,'M1'!$A:$C,R$2,FALSE)),IF($N1290=2,IF(ISERROR(VLOOKUP(DATA!$P256,'M2'!$A:$C,R$2,FALSE)),"NOT PRESENT",VLOOKUP(DATA!$P256,'M2'!$A:$C,R$2,FALSE)),IF($N1290=0,IF(ISERROR(VLOOKUP($P1290,'M1'!$A:$C,R$2,FALSE)),IF(ISERROR(VLOOKUP(DATA!$P256,'M2'!$A:$C,R$2,FALSE)),"NOT PRESENT",VLOOKUP(DATA!$P256,'M2'!$A:$C,R$2,FALSE)),VLOOKUP($P1290,'M1'!$A:$C,R$2,FALSE)),"SPECIFY METHOD")))</f>
        <v>NOT PRESENT</v>
      </c>
      <c r="S1290" s="20">
        <f t="shared" si="143"/>
        <v>1</v>
      </c>
      <c r="T1290" s="2">
        <v>1</v>
      </c>
    </row>
    <row r="1291" spans="1:24">
      <c r="A1291" s="7">
        <f>MAX($A$1:$A1290)+1</f>
        <v>1290</v>
      </c>
      <c r="B1291" s="2" t="str">
        <f t="shared" si="139"/>
        <v>Em Lim</v>
      </c>
      <c r="C1291" s="2" t="str">
        <f t="shared" si="140"/>
        <v>Jasmin Schuster</v>
      </c>
      <c r="D1291" s="2" t="str">
        <f t="shared" si="144"/>
        <v>BMSC4</v>
      </c>
      <c r="E1291" s="7" t="str">
        <f>IF(ISERROR(VLOOKUP($D1291,SITES!$A:$E,2,FALSE)),"",VLOOKUP($D1291,SITES!$A:$E,2,FALSE))</f>
        <v>Kii xin</v>
      </c>
      <c r="F1291" s="4">
        <f>IF(ISERROR(VLOOKUP($D1291,SITES!$A:$E,3,FALSE)),"",VLOOKUP($D1291,SITES!$A:$E,3,FALSE))</f>
        <v>48.815116882324197</v>
      </c>
      <c r="G1291" s="18">
        <f>IF(ISERROR(VLOOKUP($D1291,SITES!$A:$E,4,FALSE)),"",VLOOKUP($D1291,SITES!$A:$E,4,FALSE))</f>
        <v>-125.175331115722</v>
      </c>
      <c r="H1291" s="5" t="str">
        <f t="shared" si="145"/>
        <v>12/05/2023</v>
      </c>
      <c r="I1291" s="2">
        <f t="shared" si="146"/>
        <v>1.5</v>
      </c>
      <c r="J1291" s="2">
        <f t="shared" si="141"/>
        <v>270</v>
      </c>
      <c r="K1291" s="6">
        <f t="shared" si="147"/>
        <v>0.42152777777777778</v>
      </c>
      <c r="L1291" s="2" t="str">
        <f t="shared" si="142"/>
        <v>EGL</v>
      </c>
      <c r="M1291" s="2">
        <f t="shared" si="148"/>
        <v>8.5</v>
      </c>
      <c r="N1291" s="2">
        <f t="shared" si="150"/>
        <v>2</v>
      </c>
      <c r="O1291" s="2">
        <f t="shared" si="149"/>
        <v>1</v>
      </c>
      <c r="P1291" s="27" t="s">
        <v>202</v>
      </c>
      <c r="Q1291" s="7" t="str">
        <f>IF($N1291=1,IF(ISERROR(VLOOKUP($P1291,'M1'!$A:$C,Q$2,FALSE)),"NOT PRESENT",VLOOKUP($P1291,'M1'!$A:$C,Q$2,FALSE)),IF($N1291=2,IF(ISERROR(VLOOKUP(DATA!$P257,'M2'!$A:$C,Q$2,FALSE)),"NOT PRESENT",VLOOKUP(DATA!$P257,'M2'!$A:$C,Q$2,FALSE)),IF($N1291=0,IF(ISERROR(VLOOKUP($P1291,'M1'!$A:$C,Q$2,FALSE)),IF(ISERROR(VLOOKUP(DATA!$P257,'M2'!$A:$C,Q$2,FALSE)),"NOT PRESENT",VLOOKUP(DATA!$P257,'M2'!$A:$C,Q$2,FALSE)),VLOOKUP($P1291,'M1'!$A:$C,Q$2,FALSE)),"SPECIFY METHOD")))</f>
        <v>NOT PRESENT</v>
      </c>
      <c r="R1291" s="4" t="str">
        <f>IF($N1291=1,IF(ISERROR(VLOOKUP($P1291,'M1'!$A:$C,R$2,FALSE)),"NOT PRESENT",VLOOKUP($P1291,'M1'!$A:$C,R$2,FALSE)),IF($N1291=2,IF(ISERROR(VLOOKUP(DATA!$P257,'M2'!$A:$C,R$2,FALSE)),"NOT PRESENT",VLOOKUP(DATA!$P257,'M2'!$A:$C,R$2,FALSE)),IF($N1291=0,IF(ISERROR(VLOOKUP($P1291,'M1'!$A:$C,R$2,FALSE)),IF(ISERROR(VLOOKUP(DATA!$P257,'M2'!$A:$C,R$2,FALSE)),"NOT PRESENT",VLOOKUP(DATA!$P257,'M2'!$A:$C,R$2,FALSE)),VLOOKUP($P1291,'M1'!$A:$C,R$2,FALSE)),"SPECIFY METHOD")))</f>
        <v>NOT PRESENT</v>
      </c>
      <c r="S1291" s="20">
        <f t="shared" si="143"/>
        <v>12</v>
      </c>
      <c r="T1291" s="2">
        <v>12</v>
      </c>
    </row>
    <row r="1292" spans="1:24">
      <c r="A1292" s="7">
        <f>MAX($A$1:$A1291)+1</f>
        <v>1291</v>
      </c>
      <c r="B1292" s="2" t="str">
        <f t="shared" si="139"/>
        <v>Em Lim</v>
      </c>
      <c r="C1292" s="2" t="str">
        <f t="shared" si="140"/>
        <v>Jasmin Schuster</v>
      </c>
      <c r="D1292" s="2" t="str">
        <f t="shared" si="144"/>
        <v>BMSC4</v>
      </c>
      <c r="E1292" s="7" t="str">
        <f>IF(ISERROR(VLOOKUP($D1292,SITES!$A:$E,2,FALSE)),"",VLOOKUP($D1292,SITES!$A:$E,2,FALSE))</f>
        <v>Kii xin</v>
      </c>
      <c r="F1292" s="4">
        <f>IF(ISERROR(VLOOKUP($D1292,SITES!$A:$E,3,FALSE)),"",VLOOKUP($D1292,SITES!$A:$E,3,FALSE))</f>
        <v>48.815116882324197</v>
      </c>
      <c r="G1292" s="18">
        <f>IF(ISERROR(VLOOKUP($D1292,SITES!$A:$E,4,FALSE)),"",VLOOKUP($D1292,SITES!$A:$E,4,FALSE))</f>
        <v>-125.175331115722</v>
      </c>
      <c r="H1292" s="5" t="str">
        <f t="shared" si="145"/>
        <v>12/05/2023</v>
      </c>
      <c r="I1292" s="2">
        <f t="shared" si="146"/>
        <v>1.5</v>
      </c>
      <c r="J1292" s="2">
        <f t="shared" si="141"/>
        <v>270</v>
      </c>
      <c r="K1292" s="6">
        <f t="shared" si="147"/>
        <v>0.42152777777777778</v>
      </c>
      <c r="L1292" s="2" t="str">
        <f t="shared" si="142"/>
        <v>EGL</v>
      </c>
      <c r="M1292" s="2">
        <f t="shared" si="148"/>
        <v>8.5</v>
      </c>
      <c r="N1292" s="2">
        <f t="shared" si="150"/>
        <v>2</v>
      </c>
      <c r="O1292" s="2">
        <f t="shared" si="149"/>
        <v>1</v>
      </c>
      <c r="P1292" s="27" t="s">
        <v>180</v>
      </c>
      <c r="Q1292" s="7" t="str">
        <f>IF($N1292=1,IF(ISERROR(VLOOKUP($P1292,'M1'!$A:$C,Q$2,FALSE)),"NOT PRESENT",VLOOKUP($P1292,'M1'!$A:$C,Q$2,FALSE)),IF($N1292=2,IF(ISERROR(VLOOKUP(DATA!$P258,'M2'!$A:$C,Q$2,FALSE)),"NOT PRESENT",VLOOKUP(DATA!$P258,'M2'!$A:$C,Q$2,FALSE)),IF($N1292=0,IF(ISERROR(VLOOKUP($P1292,'M1'!$A:$C,Q$2,FALSE)),IF(ISERROR(VLOOKUP(DATA!$P258,'M2'!$A:$C,Q$2,FALSE)),"NOT PRESENT",VLOOKUP(DATA!$P258,'M2'!$A:$C,Q$2,FALSE)),VLOOKUP($P1292,'M1'!$A:$C,Q$2,FALSE)),"SPECIFY METHOD")))</f>
        <v>NOT PRESENT</v>
      </c>
      <c r="R1292" s="4" t="str">
        <f>IF($N1292=1,IF(ISERROR(VLOOKUP($P1292,'M1'!$A:$C,R$2,FALSE)),"NOT PRESENT",VLOOKUP($P1292,'M1'!$A:$C,R$2,FALSE)),IF($N1292=2,IF(ISERROR(VLOOKUP(DATA!$P258,'M2'!$A:$C,R$2,FALSE)),"NOT PRESENT",VLOOKUP(DATA!$P258,'M2'!$A:$C,R$2,FALSE)),IF($N1292=0,IF(ISERROR(VLOOKUP($P1292,'M1'!$A:$C,R$2,FALSE)),IF(ISERROR(VLOOKUP(DATA!$P258,'M2'!$A:$C,R$2,FALSE)),"NOT PRESENT",VLOOKUP(DATA!$P258,'M2'!$A:$C,R$2,FALSE)),VLOOKUP($P1292,'M1'!$A:$C,R$2,FALSE)),"SPECIFY METHOD")))</f>
        <v>NOT PRESENT</v>
      </c>
      <c r="S1292" s="20">
        <f t="shared" si="143"/>
        <v>1</v>
      </c>
      <c r="T1292" s="2">
        <v>1</v>
      </c>
    </row>
    <row r="1293" spans="1:24">
      <c r="A1293" s="7">
        <f>MAX($A$1:$A1292)+1</f>
        <v>1292</v>
      </c>
      <c r="B1293" s="2" t="str">
        <f t="shared" si="139"/>
        <v>Em Lim</v>
      </c>
      <c r="C1293" s="2" t="str">
        <f t="shared" si="140"/>
        <v>Jasmin Schuster</v>
      </c>
      <c r="D1293" s="2" t="str">
        <f t="shared" si="144"/>
        <v>BMSC4</v>
      </c>
      <c r="E1293" s="7" t="str">
        <f>IF(ISERROR(VLOOKUP($D1293,SITES!$A:$E,2,FALSE)),"",VLOOKUP($D1293,SITES!$A:$E,2,FALSE))</f>
        <v>Kii xin</v>
      </c>
      <c r="F1293" s="4">
        <f>IF(ISERROR(VLOOKUP($D1293,SITES!$A:$E,3,FALSE)),"",VLOOKUP($D1293,SITES!$A:$E,3,FALSE))</f>
        <v>48.815116882324197</v>
      </c>
      <c r="G1293" s="18">
        <f>IF(ISERROR(VLOOKUP($D1293,SITES!$A:$E,4,FALSE)),"",VLOOKUP($D1293,SITES!$A:$E,4,FALSE))</f>
        <v>-125.175331115722</v>
      </c>
      <c r="H1293" s="5" t="str">
        <f t="shared" si="145"/>
        <v>12/05/2023</v>
      </c>
      <c r="I1293" s="2">
        <f t="shared" si="146"/>
        <v>1.5</v>
      </c>
      <c r="J1293" s="2">
        <f t="shared" si="141"/>
        <v>270</v>
      </c>
      <c r="K1293" s="6">
        <f t="shared" si="147"/>
        <v>0.42152777777777778</v>
      </c>
      <c r="L1293" s="2" t="str">
        <f t="shared" si="142"/>
        <v>EGL</v>
      </c>
      <c r="M1293" s="2">
        <f t="shared" si="148"/>
        <v>8.5</v>
      </c>
      <c r="N1293" s="2">
        <f t="shared" si="150"/>
        <v>2</v>
      </c>
      <c r="O1293" s="2">
        <f t="shared" si="149"/>
        <v>1</v>
      </c>
      <c r="P1293" s="27" t="s">
        <v>193</v>
      </c>
      <c r="Q1293" s="7" t="str">
        <f>IF($N1293=1,IF(ISERROR(VLOOKUP($P1293,'M1'!$A:$C,Q$2,FALSE)),"NOT PRESENT",VLOOKUP($P1293,'M1'!$A:$C,Q$2,FALSE)),IF($N1293=2,IF(ISERROR(VLOOKUP(DATA!$P259,'M2'!$A:$C,Q$2,FALSE)),"NOT PRESENT",VLOOKUP(DATA!$P259,'M2'!$A:$C,Q$2,FALSE)),IF($N1293=0,IF(ISERROR(VLOOKUP($P1293,'M1'!$A:$C,Q$2,FALSE)),IF(ISERROR(VLOOKUP(DATA!$P259,'M2'!$A:$C,Q$2,FALSE)),"NOT PRESENT",VLOOKUP(DATA!$P259,'M2'!$A:$C,Q$2,FALSE)),VLOOKUP($P1293,'M1'!$A:$C,Q$2,FALSE)),"SPECIFY METHOD")))</f>
        <v>NOT PRESENT</v>
      </c>
      <c r="R1293" s="4" t="str">
        <f>IF($N1293=1,IF(ISERROR(VLOOKUP($P1293,'M1'!$A:$C,R$2,FALSE)),"NOT PRESENT",VLOOKUP($P1293,'M1'!$A:$C,R$2,FALSE)),IF($N1293=2,IF(ISERROR(VLOOKUP(DATA!$P259,'M2'!$A:$C,R$2,FALSE)),"NOT PRESENT",VLOOKUP(DATA!$P259,'M2'!$A:$C,R$2,FALSE)),IF($N1293=0,IF(ISERROR(VLOOKUP($P1293,'M1'!$A:$C,R$2,FALSE)),IF(ISERROR(VLOOKUP(DATA!$P259,'M2'!$A:$C,R$2,FALSE)),"NOT PRESENT",VLOOKUP(DATA!$P259,'M2'!$A:$C,R$2,FALSE)),VLOOKUP($P1293,'M1'!$A:$C,R$2,FALSE)),"SPECIFY METHOD")))</f>
        <v>NOT PRESENT</v>
      </c>
      <c r="S1293" s="20">
        <f t="shared" si="143"/>
        <v>2</v>
      </c>
      <c r="T1293" s="2">
        <v>0</v>
      </c>
      <c r="V1293" s="2">
        <v>1</v>
      </c>
      <c r="W1293" s="2">
        <v>1</v>
      </c>
    </row>
    <row r="1294" spans="1:24">
      <c r="A1294" s="7">
        <f>MAX($A$1:$A1293)+1</f>
        <v>1293</v>
      </c>
      <c r="B1294" s="2" t="str">
        <f t="shared" si="139"/>
        <v>Em Lim</v>
      </c>
      <c r="C1294" s="2" t="str">
        <f t="shared" si="140"/>
        <v>Jasmin Schuster</v>
      </c>
      <c r="D1294" s="2" t="str">
        <f t="shared" si="144"/>
        <v>BMSC4</v>
      </c>
      <c r="E1294" s="7" t="str">
        <f>IF(ISERROR(VLOOKUP($D1294,SITES!$A:$E,2,FALSE)),"",VLOOKUP($D1294,SITES!$A:$E,2,FALSE))</f>
        <v>Kii xin</v>
      </c>
      <c r="F1294" s="4">
        <f>IF(ISERROR(VLOOKUP($D1294,SITES!$A:$E,3,FALSE)),"",VLOOKUP($D1294,SITES!$A:$E,3,FALSE))</f>
        <v>48.815116882324197</v>
      </c>
      <c r="G1294" s="18">
        <f>IF(ISERROR(VLOOKUP($D1294,SITES!$A:$E,4,FALSE)),"",VLOOKUP($D1294,SITES!$A:$E,4,FALSE))</f>
        <v>-125.175331115722</v>
      </c>
      <c r="H1294" s="5" t="str">
        <f t="shared" si="145"/>
        <v>12/05/2023</v>
      </c>
      <c r="I1294" s="2">
        <f t="shared" si="146"/>
        <v>1.5</v>
      </c>
      <c r="J1294" s="2">
        <f t="shared" si="141"/>
        <v>270</v>
      </c>
      <c r="K1294" s="6">
        <f t="shared" si="147"/>
        <v>0.42152777777777778</v>
      </c>
      <c r="L1294" s="2" t="str">
        <f t="shared" si="142"/>
        <v>EGL</v>
      </c>
      <c r="M1294" s="2">
        <f t="shared" si="148"/>
        <v>8.5</v>
      </c>
      <c r="N1294" s="2">
        <f t="shared" si="150"/>
        <v>2</v>
      </c>
      <c r="O1294" s="2">
        <f t="shared" si="149"/>
        <v>1</v>
      </c>
      <c r="P1294" s="27" t="s">
        <v>265</v>
      </c>
      <c r="Q1294" s="7" t="str">
        <f>IF($N1294=1,IF(ISERROR(VLOOKUP($P1294,'M1'!$A:$C,Q$2,FALSE)),"NOT PRESENT",VLOOKUP($P1294,'M1'!$A:$C,Q$2,FALSE)),IF($N1294=2,IF(ISERROR(VLOOKUP(DATA!$P260,'M2'!$A:$C,Q$2,FALSE)),"NOT PRESENT",VLOOKUP(DATA!$P260,'M2'!$A:$C,Q$2,FALSE)),IF($N1294=0,IF(ISERROR(VLOOKUP($P1294,'M1'!$A:$C,Q$2,FALSE)),IF(ISERROR(VLOOKUP(DATA!$P260,'M2'!$A:$C,Q$2,FALSE)),"NOT PRESENT",VLOOKUP(DATA!$P260,'M2'!$A:$C,Q$2,FALSE)),VLOOKUP($P1294,'M1'!$A:$C,Q$2,FALSE)),"SPECIFY METHOD")))</f>
        <v>NOT PRESENT</v>
      </c>
      <c r="R1294" s="4" t="str">
        <f>IF($N1294=1,IF(ISERROR(VLOOKUP($P1294,'M1'!$A:$C,R$2,FALSE)),"NOT PRESENT",VLOOKUP($P1294,'M1'!$A:$C,R$2,FALSE)),IF($N1294=2,IF(ISERROR(VLOOKUP(DATA!$P260,'M2'!$A:$C,R$2,FALSE)),"NOT PRESENT",VLOOKUP(DATA!$P260,'M2'!$A:$C,R$2,FALSE)),IF($N1294=0,IF(ISERROR(VLOOKUP($P1294,'M1'!$A:$C,R$2,FALSE)),IF(ISERROR(VLOOKUP(DATA!$P260,'M2'!$A:$C,R$2,FALSE)),"NOT PRESENT",VLOOKUP(DATA!$P260,'M2'!$A:$C,R$2,FALSE)),VLOOKUP($P1294,'M1'!$A:$C,R$2,FALSE)),"SPECIFY METHOD")))</f>
        <v>NOT PRESENT</v>
      </c>
      <c r="S1294" s="20">
        <f t="shared" si="143"/>
        <v>1</v>
      </c>
      <c r="T1294" s="2">
        <v>1</v>
      </c>
    </row>
    <row r="1295" spans="1:24">
      <c r="A1295" s="7">
        <f>MAX($A$1:$A1294)+1</f>
        <v>1294</v>
      </c>
      <c r="B1295" s="2" t="str">
        <f t="shared" si="139"/>
        <v>Em Lim</v>
      </c>
      <c r="C1295" s="2" t="str">
        <f t="shared" si="140"/>
        <v>Jasmin Schuster</v>
      </c>
      <c r="D1295" s="2" t="str">
        <f t="shared" si="144"/>
        <v>BMSC4</v>
      </c>
      <c r="E1295" s="7" t="str">
        <f>IF(ISERROR(VLOOKUP($D1295,SITES!$A:$E,2,FALSE)),"",VLOOKUP($D1295,SITES!$A:$E,2,FALSE))</f>
        <v>Kii xin</v>
      </c>
      <c r="F1295" s="4">
        <f>IF(ISERROR(VLOOKUP($D1295,SITES!$A:$E,3,FALSE)),"",VLOOKUP($D1295,SITES!$A:$E,3,FALSE))</f>
        <v>48.815116882324197</v>
      </c>
      <c r="G1295" s="18">
        <f>IF(ISERROR(VLOOKUP($D1295,SITES!$A:$E,4,FALSE)),"",VLOOKUP($D1295,SITES!$A:$E,4,FALSE))</f>
        <v>-125.175331115722</v>
      </c>
      <c r="H1295" s="5" t="str">
        <f t="shared" si="145"/>
        <v>12/05/2023</v>
      </c>
      <c r="I1295" s="2">
        <f t="shared" si="146"/>
        <v>1.5</v>
      </c>
      <c r="J1295" s="2">
        <f t="shared" si="141"/>
        <v>270</v>
      </c>
      <c r="K1295" s="6">
        <f t="shared" si="147"/>
        <v>0.42152777777777778</v>
      </c>
      <c r="L1295" s="2" t="str">
        <f t="shared" si="142"/>
        <v>EGL</v>
      </c>
      <c r="M1295" s="2">
        <f t="shared" si="148"/>
        <v>8.5</v>
      </c>
      <c r="N1295" s="2">
        <f t="shared" si="150"/>
        <v>2</v>
      </c>
      <c r="O1295" s="2">
        <f t="shared" si="149"/>
        <v>1</v>
      </c>
      <c r="P1295" s="27" t="s">
        <v>183</v>
      </c>
      <c r="Q1295" s="7" t="str">
        <f>IF($N1295=1,IF(ISERROR(VLOOKUP($P1295,'M1'!$A:$C,Q$2,FALSE)),"NOT PRESENT",VLOOKUP($P1295,'M1'!$A:$C,Q$2,FALSE)),IF($N1295=2,IF(ISERROR(VLOOKUP(DATA!$P261,'M2'!$A:$C,Q$2,FALSE)),"NOT PRESENT",VLOOKUP(DATA!$P261,'M2'!$A:$C,Q$2,FALSE)),IF($N1295=0,IF(ISERROR(VLOOKUP($P1295,'M1'!$A:$C,Q$2,FALSE)),IF(ISERROR(VLOOKUP(DATA!$P261,'M2'!$A:$C,Q$2,FALSE)),"NOT PRESENT",VLOOKUP(DATA!$P261,'M2'!$A:$C,Q$2,FALSE)),VLOOKUP($P1295,'M1'!$A:$C,Q$2,FALSE)),"SPECIFY METHOD")))</f>
        <v>NOT PRESENT</v>
      </c>
      <c r="R1295" s="4" t="str">
        <f>IF($N1295=1,IF(ISERROR(VLOOKUP($P1295,'M1'!$A:$C,R$2,FALSE)),"NOT PRESENT",VLOOKUP($P1295,'M1'!$A:$C,R$2,FALSE)),IF($N1295=2,IF(ISERROR(VLOOKUP(DATA!$P261,'M2'!$A:$C,R$2,FALSE)),"NOT PRESENT",VLOOKUP(DATA!$P261,'M2'!$A:$C,R$2,FALSE)),IF($N1295=0,IF(ISERROR(VLOOKUP($P1295,'M1'!$A:$C,R$2,FALSE)),IF(ISERROR(VLOOKUP(DATA!$P261,'M2'!$A:$C,R$2,FALSE)),"NOT PRESENT",VLOOKUP(DATA!$P261,'M2'!$A:$C,R$2,FALSE)),VLOOKUP($P1295,'M1'!$A:$C,R$2,FALSE)),"SPECIFY METHOD")))</f>
        <v>NOT PRESENT</v>
      </c>
      <c r="S1295" s="20">
        <f t="shared" si="143"/>
        <v>5</v>
      </c>
      <c r="T1295" s="2">
        <v>5</v>
      </c>
    </row>
    <row r="1296" spans="1:24">
      <c r="A1296" s="7">
        <f>MAX($A$1:$A1295)+1</f>
        <v>1295</v>
      </c>
      <c r="B1296" s="2" t="str">
        <f t="shared" si="139"/>
        <v>Em Lim</v>
      </c>
      <c r="C1296" s="2" t="str">
        <f t="shared" si="140"/>
        <v>Jasmin Schuster</v>
      </c>
      <c r="D1296" s="2" t="str">
        <f t="shared" si="144"/>
        <v>BMSC4</v>
      </c>
      <c r="E1296" s="7" t="str">
        <f>IF(ISERROR(VLOOKUP($D1296,SITES!$A:$E,2,FALSE)),"",VLOOKUP($D1296,SITES!$A:$E,2,FALSE))</f>
        <v>Kii xin</v>
      </c>
      <c r="F1296" s="4">
        <f>IF(ISERROR(VLOOKUP($D1296,SITES!$A:$E,3,FALSE)),"",VLOOKUP($D1296,SITES!$A:$E,3,FALSE))</f>
        <v>48.815116882324197</v>
      </c>
      <c r="G1296" s="18">
        <f>IF(ISERROR(VLOOKUP($D1296,SITES!$A:$E,4,FALSE)),"",VLOOKUP($D1296,SITES!$A:$E,4,FALSE))</f>
        <v>-125.175331115722</v>
      </c>
      <c r="H1296" s="5" t="str">
        <f t="shared" si="145"/>
        <v>12/05/2023</v>
      </c>
      <c r="I1296" s="2">
        <f t="shared" si="146"/>
        <v>1.5</v>
      </c>
      <c r="J1296" s="2">
        <f t="shared" si="141"/>
        <v>270</v>
      </c>
      <c r="K1296" s="6">
        <f t="shared" si="147"/>
        <v>0.42152777777777778</v>
      </c>
      <c r="L1296" s="2" t="str">
        <f t="shared" si="142"/>
        <v>EGL</v>
      </c>
      <c r="M1296" s="2">
        <f t="shared" si="148"/>
        <v>8.5</v>
      </c>
      <c r="N1296" s="2">
        <f t="shared" si="150"/>
        <v>2</v>
      </c>
      <c r="O1296" s="2">
        <f t="shared" si="149"/>
        <v>1</v>
      </c>
      <c r="P1296" s="27" t="s">
        <v>196</v>
      </c>
      <c r="Q1296" s="7" t="str">
        <f>IF($N1296=1,IF(ISERROR(VLOOKUP($P1296,'M1'!$A:$C,Q$2,FALSE)),"NOT PRESENT",VLOOKUP($P1296,'M1'!$A:$C,Q$2,FALSE)),IF($N1296=2,IF(ISERROR(VLOOKUP(DATA!$P262,'M2'!$A:$C,Q$2,FALSE)),"NOT PRESENT",VLOOKUP(DATA!$P262,'M2'!$A:$C,Q$2,FALSE)),IF($N1296=0,IF(ISERROR(VLOOKUP($P1296,'M1'!$A:$C,Q$2,FALSE)),IF(ISERROR(VLOOKUP(DATA!$P262,'M2'!$A:$C,Q$2,FALSE)),"NOT PRESENT",VLOOKUP(DATA!$P262,'M2'!$A:$C,Q$2,FALSE)),VLOOKUP($P1296,'M1'!$A:$C,Q$2,FALSE)),"SPECIFY METHOD")))</f>
        <v>NOT PRESENT</v>
      </c>
      <c r="R1296" s="4" t="str">
        <f>IF($N1296=1,IF(ISERROR(VLOOKUP($P1296,'M1'!$A:$C,R$2,FALSE)),"NOT PRESENT",VLOOKUP($P1296,'M1'!$A:$C,R$2,FALSE)),IF($N1296=2,IF(ISERROR(VLOOKUP(DATA!$P262,'M2'!$A:$C,R$2,FALSE)),"NOT PRESENT",VLOOKUP(DATA!$P262,'M2'!$A:$C,R$2,FALSE)),IF($N1296=0,IF(ISERROR(VLOOKUP($P1296,'M1'!$A:$C,R$2,FALSE)),IF(ISERROR(VLOOKUP(DATA!$P262,'M2'!$A:$C,R$2,FALSE)),"NOT PRESENT",VLOOKUP(DATA!$P262,'M2'!$A:$C,R$2,FALSE)),VLOOKUP($P1296,'M1'!$A:$C,R$2,FALSE)),"SPECIFY METHOD")))</f>
        <v>NOT PRESENT</v>
      </c>
      <c r="S1296" s="20">
        <f t="shared" si="143"/>
        <v>1</v>
      </c>
      <c r="T1296" s="2">
        <v>1</v>
      </c>
    </row>
    <row r="1297" spans="1:28">
      <c r="A1297" s="7">
        <f>MAX($A$1:$A1296)+1</f>
        <v>1296</v>
      </c>
      <c r="B1297" s="2" t="str">
        <f t="shared" si="139"/>
        <v>Em Lim</v>
      </c>
      <c r="C1297" s="2" t="str">
        <f t="shared" si="140"/>
        <v>Jasmin Schuster</v>
      </c>
      <c r="D1297" s="2" t="str">
        <f t="shared" si="144"/>
        <v>BMSC4</v>
      </c>
      <c r="E1297" s="7" t="str">
        <f>IF(ISERROR(VLOOKUP($D1297,SITES!$A:$E,2,FALSE)),"",VLOOKUP($D1297,SITES!$A:$E,2,FALSE))</f>
        <v>Kii xin</v>
      </c>
      <c r="F1297" s="4">
        <f>IF(ISERROR(VLOOKUP($D1297,SITES!$A:$E,3,FALSE)),"",VLOOKUP($D1297,SITES!$A:$E,3,FALSE))</f>
        <v>48.815116882324197</v>
      </c>
      <c r="G1297" s="18">
        <f>IF(ISERROR(VLOOKUP($D1297,SITES!$A:$E,4,FALSE)),"",VLOOKUP($D1297,SITES!$A:$E,4,FALSE))</f>
        <v>-125.175331115722</v>
      </c>
      <c r="H1297" s="5" t="str">
        <f t="shared" si="145"/>
        <v>12/05/2023</v>
      </c>
      <c r="I1297" s="2">
        <f t="shared" si="146"/>
        <v>1.5</v>
      </c>
      <c r="J1297" s="2">
        <f t="shared" si="141"/>
        <v>270</v>
      </c>
      <c r="K1297" s="6">
        <f t="shared" si="147"/>
        <v>0.42152777777777778</v>
      </c>
      <c r="L1297" s="2" t="str">
        <f t="shared" si="142"/>
        <v>EGL</v>
      </c>
      <c r="M1297" s="2">
        <f t="shared" si="148"/>
        <v>8.5</v>
      </c>
      <c r="N1297" s="2">
        <v>0</v>
      </c>
      <c r="O1297" s="2">
        <f t="shared" si="149"/>
        <v>1</v>
      </c>
      <c r="P1297" s="27" t="s">
        <v>186</v>
      </c>
      <c r="Q1297" s="7" t="str">
        <f>IF($N1297=1,IF(ISERROR(VLOOKUP($P1297,'M1'!$A:$C,Q$2,FALSE)),"NOT PRESENT",VLOOKUP($P1297,'M1'!$A:$C,Q$2,FALSE)),IF($N1297=2,IF(ISERROR(VLOOKUP(DATA!$P263,'M2'!$A:$C,Q$2,FALSE)),"NOT PRESENT",VLOOKUP(DATA!$P263,'M2'!$A:$C,Q$2,FALSE)),IF($N1297=0,IF(ISERROR(VLOOKUP($P1297,'M1'!$A:$C,Q$2,FALSE)),IF(ISERROR(VLOOKUP(DATA!$P263,'M2'!$A:$C,Q$2,FALSE)),"NOT PRESENT",VLOOKUP(DATA!$P263,'M2'!$A:$C,Q$2,FALSE)),VLOOKUP($P1297,'M1'!$A:$C,Q$2,FALSE)),"SPECIFY METHOD")))</f>
        <v>NOT PRESENT</v>
      </c>
      <c r="R1297" s="4" t="str">
        <f>IF($N1297=1,IF(ISERROR(VLOOKUP($P1297,'M1'!$A:$C,R$2,FALSE)),"NOT PRESENT",VLOOKUP($P1297,'M1'!$A:$C,R$2,FALSE)),IF($N1297=2,IF(ISERROR(VLOOKUP(DATA!$P263,'M2'!$A:$C,R$2,FALSE)),"NOT PRESENT",VLOOKUP(DATA!$P263,'M2'!$A:$C,R$2,FALSE)),IF($N1297=0,IF(ISERROR(VLOOKUP($P1297,'M1'!$A:$C,R$2,FALSE)),IF(ISERROR(VLOOKUP(DATA!$P263,'M2'!$A:$C,R$2,FALSE)),"NOT PRESENT",VLOOKUP(DATA!$P263,'M2'!$A:$C,R$2,FALSE)),VLOOKUP($P1297,'M1'!$A:$C,R$2,FALSE)),"SPECIFY METHOD")))</f>
        <v>NOT PRESENT</v>
      </c>
      <c r="S1297" s="20">
        <f t="shared" si="143"/>
        <v>1</v>
      </c>
      <c r="T1297" s="2">
        <v>1</v>
      </c>
    </row>
    <row r="1298" spans="1:28">
      <c r="A1298" s="7">
        <f>MAX($A$1:$A1297)+1</f>
        <v>1297</v>
      </c>
      <c r="B1298" s="2" t="str">
        <f t="shared" si="139"/>
        <v>Em Lim</v>
      </c>
      <c r="C1298" s="2" t="str">
        <f t="shared" si="140"/>
        <v>Jasmin Schuster</v>
      </c>
      <c r="D1298" s="2" t="str">
        <f t="shared" si="144"/>
        <v>BMSC4</v>
      </c>
      <c r="E1298" s="7" t="str">
        <f>IF(ISERROR(VLOOKUP($D1298,SITES!$A:$E,2,FALSE)),"",VLOOKUP($D1298,SITES!$A:$E,2,FALSE))</f>
        <v>Kii xin</v>
      </c>
      <c r="F1298" s="4">
        <f>IF(ISERROR(VLOOKUP($D1298,SITES!$A:$E,3,FALSE)),"",VLOOKUP($D1298,SITES!$A:$E,3,FALSE))</f>
        <v>48.815116882324197</v>
      </c>
      <c r="G1298" s="18">
        <f>IF(ISERROR(VLOOKUP($D1298,SITES!$A:$E,4,FALSE)),"",VLOOKUP($D1298,SITES!$A:$E,4,FALSE))</f>
        <v>-125.175331115722</v>
      </c>
      <c r="H1298" s="5" t="str">
        <f t="shared" si="145"/>
        <v>12/05/2023</v>
      </c>
      <c r="I1298" s="2">
        <f t="shared" si="146"/>
        <v>1.5</v>
      </c>
      <c r="J1298" s="2">
        <f t="shared" si="141"/>
        <v>270</v>
      </c>
      <c r="K1298" s="6">
        <f t="shared" si="147"/>
        <v>0.42152777777777778</v>
      </c>
      <c r="L1298" s="2" t="str">
        <f t="shared" si="142"/>
        <v>EGL</v>
      </c>
      <c r="M1298" s="2">
        <f t="shared" si="148"/>
        <v>8.5</v>
      </c>
      <c r="N1298" s="2">
        <f>IF(ISERROR(N1297),IF(ISERROR(N1296),IF(ISERROR(N1295),"BLANK",N1295),N1296),N1297)</f>
        <v>0</v>
      </c>
      <c r="O1298" s="2">
        <v>0</v>
      </c>
      <c r="P1298" s="27" t="s">
        <v>266</v>
      </c>
      <c r="Q1298" s="7" t="str">
        <f>IF($N1298=1,IF(ISERROR(VLOOKUP($P1298,'M1'!$A:$C,Q$2,FALSE)),"NOT PRESENT",VLOOKUP($P1298,'M1'!$A:$C,Q$2,FALSE)),IF($N1298=2,IF(ISERROR(VLOOKUP(DATA!$P264,'M2'!$A:$C,Q$2,FALSE)),"NOT PRESENT",VLOOKUP(DATA!$P264,'M2'!$A:$C,Q$2,FALSE)),IF($N1298=0,IF(ISERROR(VLOOKUP($P1298,'M1'!$A:$C,Q$2,FALSE)),IF(ISERROR(VLOOKUP(DATA!$P264,'M2'!$A:$C,Q$2,FALSE)),"NOT PRESENT",VLOOKUP(DATA!$P264,'M2'!$A:$C,Q$2,FALSE)),VLOOKUP($P1298,'M1'!$A:$C,Q$2,FALSE)),"SPECIFY METHOD")))</f>
        <v>NOT PRESENT</v>
      </c>
      <c r="R1298" s="4" t="str">
        <f>IF($N1298=1,IF(ISERROR(VLOOKUP($P1298,'M1'!$A:$C,R$2,FALSE)),"NOT PRESENT",VLOOKUP($P1298,'M1'!$A:$C,R$2,FALSE)),IF($N1298=2,IF(ISERROR(VLOOKUP(DATA!$P264,'M2'!$A:$C,R$2,FALSE)),"NOT PRESENT",VLOOKUP(DATA!$P264,'M2'!$A:$C,R$2,FALSE)),IF($N1298=0,IF(ISERROR(VLOOKUP($P1298,'M1'!$A:$C,R$2,FALSE)),IF(ISERROR(VLOOKUP(DATA!$P264,'M2'!$A:$C,R$2,FALSE)),"NOT PRESENT",VLOOKUP(DATA!$P264,'M2'!$A:$C,R$2,FALSE)),VLOOKUP($P1298,'M1'!$A:$C,R$2,FALSE)),"SPECIFY METHOD")))</f>
        <v>NOT PRESENT</v>
      </c>
      <c r="S1298" s="20">
        <f t="shared" si="143"/>
        <v>1</v>
      </c>
      <c r="T1298" s="2">
        <v>1</v>
      </c>
    </row>
    <row r="1299" spans="1:28">
      <c r="A1299" s="7">
        <f>MAX($A$1:$A1298)+1</f>
        <v>1298</v>
      </c>
      <c r="B1299" s="2" t="s">
        <v>171</v>
      </c>
      <c r="C1299" s="2" t="s">
        <v>170</v>
      </c>
      <c r="D1299" s="2" t="s">
        <v>28</v>
      </c>
      <c r="E1299" s="7" t="s">
        <v>494</v>
      </c>
      <c r="F1299" s="4">
        <v>48.815116882324197</v>
      </c>
      <c r="G1299" s="18">
        <v>-125.175331115722</v>
      </c>
      <c r="H1299" s="5" t="s">
        <v>9</v>
      </c>
      <c r="I1299" s="2">
        <v>1.5</v>
      </c>
      <c r="J1299" s="2">
        <v>30</v>
      </c>
      <c r="K1299" s="6">
        <v>0.42152777777777778</v>
      </c>
      <c r="L1299" s="2" t="s">
        <v>172</v>
      </c>
      <c r="M1299" s="2">
        <v>8.5</v>
      </c>
      <c r="N1299" s="2">
        <v>1</v>
      </c>
      <c r="O1299" s="2">
        <v>2</v>
      </c>
      <c r="P1299" s="2" t="s">
        <v>232</v>
      </c>
      <c r="Q1299" s="7" t="s">
        <v>43</v>
      </c>
      <c r="R1299" s="4" t="s">
        <v>324</v>
      </c>
      <c r="S1299" s="20">
        <v>1</v>
      </c>
      <c r="T1299" s="2">
        <v>0</v>
      </c>
      <c r="AB1299" s="2">
        <v>1</v>
      </c>
    </row>
    <row r="1300" spans="1:28">
      <c r="A1300" s="7">
        <f>MAX($A$1:$A1299)+1</f>
        <v>1299</v>
      </c>
      <c r="B1300" s="2" t="s">
        <v>171</v>
      </c>
      <c r="C1300" s="2" t="s">
        <v>170</v>
      </c>
      <c r="D1300" s="2" t="s">
        <v>28</v>
      </c>
      <c r="E1300" s="7" t="s">
        <v>494</v>
      </c>
      <c r="F1300" s="4">
        <v>48.815116882324197</v>
      </c>
      <c r="G1300" s="18">
        <v>-125.175331115722</v>
      </c>
      <c r="H1300" s="5" t="s">
        <v>9</v>
      </c>
      <c r="I1300" s="2">
        <v>1.5</v>
      </c>
      <c r="J1300" s="2">
        <v>30</v>
      </c>
      <c r="K1300" s="6">
        <v>0.42152777777777778</v>
      </c>
      <c r="L1300" s="2" t="s">
        <v>172</v>
      </c>
      <c r="M1300" s="2">
        <v>8.5</v>
      </c>
      <c r="N1300" s="2">
        <v>2</v>
      </c>
      <c r="O1300" s="2">
        <v>2</v>
      </c>
      <c r="P1300" s="2" t="s">
        <v>241</v>
      </c>
      <c r="Q1300" s="7" t="s">
        <v>63</v>
      </c>
      <c r="R1300" s="4" t="s">
        <v>294</v>
      </c>
      <c r="S1300" s="20">
        <v>261</v>
      </c>
      <c r="T1300" s="2">
        <v>261</v>
      </c>
    </row>
    <row r="1301" spans="1:28">
      <c r="A1301" s="7">
        <f>MAX($A$1:$A1300)+1</f>
        <v>1300</v>
      </c>
      <c r="B1301" s="2" t="s">
        <v>171</v>
      </c>
      <c r="C1301" s="2" t="s">
        <v>170</v>
      </c>
      <c r="D1301" s="2" t="s">
        <v>28</v>
      </c>
      <c r="E1301" s="7" t="s">
        <v>494</v>
      </c>
      <c r="F1301" s="4">
        <v>48.815116882324197</v>
      </c>
      <c r="G1301" s="18">
        <v>-125.175331115722</v>
      </c>
      <c r="H1301" s="5" t="s">
        <v>9</v>
      </c>
      <c r="I1301" s="2">
        <v>1.5</v>
      </c>
      <c r="J1301" s="2">
        <v>30</v>
      </c>
      <c r="K1301" s="6">
        <v>0.42152777777777778</v>
      </c>
      <c r="L1301" s="2" t="s">
        <v>172</v>
      </c>
      <c r="M1301" s="2">
        <v>8.5</v>
      </c>
      <c r="N1301" s="2">
        <v>2</v>
      </c>
      <c r="O1301" s="2">
        <v>2</v>
      </c>
      <c r="P1301" s="2" t="s">
        <v>238</v>
      </c>
      <c r="Q1301" s="7" t="s">
        <v>69</v>
      </c>
      <c r="R1301" s="4" t="s">
        <v>313</v>
      </c>
      <c r="S1301" s="20">
        <v>15</v>
      </c>
      <c r="T1301" s="2">
        <v>15</v>
      </c>
    </row>
    <row r="1302" spans="1:28">
      <c r="A1302" s="7">
        <f>MAX($A$1:$A1301)+1</f>
        <v>1301</v>
      </c>
      <c r="B1302" s="2" t="s">
        <v>171</v>
      </c>
      <c r="C1302" s="2" t="s">
        <v>170</v>
      </c>
      <c r="D1302" s="2" t="s">
        <v>28</v>
      </c>
      <c r="E1302" s="7" t="s">
        <v>494</v>
      </c>
      <c r="F1302" s="4">
        <v>48.815116882324197</v>
      </c>
      <c r="G1302" s="18">
        <v>-125.175331115722</v>
      </c>
      <c r="H1302" s="5" t="s">
        <v>9</v>
      </c>
      <c r="I1302" s="2">
        <v>1.5</v>
      </c>
      <c r="J1302" s="2">
        <v>30</v>
      </c>
      <c r="K1302" s="6">
        <v>0.42152777777777778</v>
      </c>
      <c r="L1302" s="2" t="s">
        <v>172</v>
      </c>
      <c r="M1302" s="2">
        <v>8.5</v>
      </c>
      <c r="N1302" s="2">
        <v>2</v>
      </c>
      <c r="O1302" s="2">
        <v>2</v>
      </c>
      <c r="P1302" s="2" t="s">
        <v>340</v>
      </c>
      <c r="Q1302" s="7" t="s">
        <v>114</v>
      </c>
      <c r="R1302" s="4" t="s">
        <v>341</v>
      </c>
      <c r="S1302" s="20">
        <v>1</v>
      </c>
      <c r="T1302" s="2">
        <v>1</v>
      </c>
    </row>
    <row r="1303" spans="1:28">
      <c r="A1303" s="7">
        <f>MAX($A$1:$A1302)+1</f>
        <v>1302</v>
      </c>
      <c r="B1303" s="2" t="s">
        <v>171</v>
      </c>
      <c r="C1303" s="2" t="s">
        <v>170</v>
      </c>
      <c r="D1303" s="2" t="s">
        <v>28</v>
      </c>
      <c r="E1303" s="7" t="s">
        <v>494</v>
      </c>
      <c r="F1303" s="4">
        <v>48.815116882324197</v>
      </c>
      <c r="G1303" s="18">
        <v>-125.175331115722</v>
      </c>
      <c r="H1303" s="5" t="s">
        <v>9</v>
      </c>
      <c r="I1303" s="2">
        <v>1.5</v>
      </c>
      <c r="J1303" s="2">
        <v>30</v>
      </c>
      <c r="K1303" s="6">
        <v>0.42152777777777778</v>
      </c>
      <c r="L1303" s="2" t="s">
        <v>172</v>
      </c>
      <c r="M1303" s="2">
        <v>8.5</v>
      </c>
      <c r="N1303" s="2">
        <v>2</v>
      </c>
      <c r="O1303" s="2">
        <v>2</v>
      </c>
      <c r="P1303" s="2" t="s">
        <v>314</v>
      </c>
      <c r="Q1303" s="7" t="s">
        <v>71</v>
      </c>
      <c r="R1303" s="4" t="s">
        <v>315</v>
      </c>
      <c r="S1303" s="20">
        <v>2</v>
      </c>
      <c r="T1303" s="2">
        <v>2</v>
      </c>
    </row>
    <row r="1304" spans="1:28">
      <c r="A1304" s="7">
        <f>MAX($A$1:$A1303)+1</f>
        <v>1303</v>
      </c>
      <c r="B1304" s="2" t="s">
        <v>171</v>
      </c>
      <c r="C1304" s="2" t="s">
        <v>170</v>
      </c>
      <c r="D1304" s="2" t="s">
        <v>28</v>
      </c>
      <c r="E1304" s="7" t="s">
        <v>494</v>
      </c>
      <c r="F1304" s="4">
        <v>48.815116882324197</v>
      </c>
      <c r="G1304" s="18">
        <v>-125.175331115722</v>
      </c>
      <c r="H1304" s="5" t="s">
        <v>9</v>
      </c>
      <c r="I1304" s="2">
        <v>1.5</v>
      </c>
      <c r="J1304" s="2">
        <v>30</v>
      </c>
      <c r="K1304" s="6">
        <v>0.42152777777777778</v>
      </c>
      <c r="L1304" s="2" t="s">
        <v>172</v>
      </c>
      <c r="M1304" s="2">
        <v>8.5</v>
      </c>
      <c r="N1304" s="2">
        <v>2</v>
      </c>
      <c r="O1304" s="2">
        <v>2</v>
      </c>
      <c r="P1304" s="2" t="s">
        <v>316</v>
      </c>
      <c r="Q1304" s="7" t="s">
        <v>123</v>
      </c>
      <c r="R1304" s="4" t="s">
        <v>317</v>
      </c>
      <c r="S1304" s="20">
        <v>12</v>
      </c>
      <c r="T1304" s="2">
        <v>12</v>
      </c>
    </row>
    <row r="1305" spans="1:28">
      <c r="A1305" s="7">
        <f>MAX($A$1:$A1304)+1</f>
        <v>1304</v>
      </c>
      <c r="B1305" s="2" t="s">
        <v>171</v>
      </c>
      <c r="C1305" s="2" t="s">
        <v>170</v>
      </c>
      <c r="D1305" s="2" t="s">
        <v>28</v>
      </c>
      <c r="E1305" s="7" t="s">
        <v>494</v>
      </c>
      <c r="F1305" s="4">
        <v>48.815116882324197</v>
      </c>
      <c r="G1305" s="18">
        <v>-125.175331115722</v>
      </c>
      <c r="H1305" s="5" t="s">
        <v>9</v>
      </c>
      <c r="I1305" s="2">
        <v>1.5</v>
      </c>
      <c r="J1305" s="2">
        <v>30</v>
      </c>
      <c r="K1305" s="6">
        <v>0.42152777777777778</v>
      </c>
      <c r="L1305" s="2" t="s">
        <v>172</v>
      </c>
      <c r="M1305" s="2">
        <v>8.5</v>
      </c>
      <c r="N1305" s="2">
        <v>2</v>
      </c>
      <c r="O1305" s="2">
        <v>2</v>
      </c>
      <c r="P1305" s="2" t="s">
        <v>296</v>
      </c>
      <c r="Q1305" s="7" t="s">
        <v>75</v>
      </c>
      <c r="R1305" s="4" t="s">
        <v>297</v>
      </c>
      <c r="S1305" s="20">
        <v>10</v>
      </c>
      <c r="T1305" s="2">
        <v>10</v>
      </c>
    </row>
    <row r="1306" spans="1:28">
      <c r="A1306" s="7">
        <f>MAX($A$1:$A1305)+1</f>
        <v>1305</v>
      </c>
      <c r="B1306" s="2" t="s">
        <v>171</v>
      </c>
      <c r="C1306" s="2" t="s">
        <v>170</v>
      </c>
      <c r="D1306" s="2" t="s">
        <v>28</v>
      </c>
      <c r="E1306" s="7" t="s">
        <v>494</v>
      </c>
      <c r="F1306" s="4">
        <v>48.815116882324197</v>
      </c>
      <c r="G1306" s="18">
        <v>-125.175331115722</v>
      </c>
      <c r="H1306" s="5" t="s">
        <v>9</v>
      </c>
      <c r="I1306" s="2">
        <v>1.5</v>
      </c>
      <c r="J1306" s="2">
        <v>30</v>
      </c>
      <c r="K1306" s="6">
        <v>0.42152777777777778</v>
      </c>
      <c r="L1306" s="2" t="s">
        <v>172</v>
      </c>
      <c r="M1306" s="2">
        <v>8.5</v>
      </c>
      <c r="N1306" s="2">
        <v>2</v>
      </c>
      <c r="O1306" s="2">
        <v>2</v>
      </c>
      <c r="P1306" s="2" t="s">
        <v>243</v>
      </c>
      <c r="Q1306" s="7" t="s">
        <v>85</v>
      </c>
      <c r="R1306" s="4" t="s">
        <v>312</v>
      </c>
      <c r="S1306" s="20">
        <v>15</v>
      </c>
      <c r="T1306" s="2">
        <v>15</v>
      </c>
    </row>
    <row r="1307" spans="1:28">
      <c r="A1307" s="7">
        <f>MAX($A$1:$A1306)+1</f>
        <v>1306</v>
      </c>
      <c r="B1307" s="2" t="s">
        <v>171</v>
      </c>
      <c r="C1307" s="2" t="s">
        <v>170</v>
      </c>
      <c r="D1307" s="2" t="s">
        <v>28</v>
      </c>
      <c r="E1307" s="7" t="s">
        <v>494</v>
      </c>
      <c r="F1307" s="4">
        <v>48.815116882324197</v>
      </c>
      <c r="G1307" s="18">
        <v>-125.175331115722</v>
      </c>
      <c r="H1307" s="5" t="s">
        <v>9</v>
      </c>
      <c r="I1307" s="2">
        <v>1.5</v>
      </c>
      <c r="J1307" s="2">
        <v>30</v>
      </c>
      <c r="K1307" s="6">
        <v>0.42152777777777778</v>
      </c>
      <c r="L1307" s="2" t="s">
        <v>172</v>
      </c>
      <c r="M1307" s="2">
        <v>8.5</v>
      </c>
      <c r="N1307" s="2">
        <v>2</v>
      </c>
      <c r="O1307" s="2">
        <v>2</v>
      </c>
      <c r="P1307" s="2" t="s">
        <v>251</v>
      </c>
      <c r="Q1307" s="7" t="s">
        <v>73</v>
      </c>
      <c r="R1307" s="4" t="s">
        <v>325</v>
      </c>
      <c r="S1307" s="20">
        <v>6</v>
      </c>
      <c r="T1307" s="2">
        <v>6</v>
      </c>
    </row>
    <row r="1308" spans="1:28">
      <c r="A1308" s="7">
        <f>MAX($A$1:$A1307)+1</f>
        <v>1307</v>
      </c>
      <c r="B1308" s="2" t="s">
        <v>171</v>
      </c>
      <c r="C1308" s="2" t="s">
        <v>170</v>
      </c>
      <c r="D1308" s="2" t="s">
        <v>28</v>
      </c>
      <c r="E1308" s="7" t="s">
        <v>494</v>
      </c>
      <c r="F1308" s="4">
        <v>48.815116882324197</v>
      </c>
      <c r="G1308" s="18">
        <v>-125.175331115722</v>
      </c>
      <c r="H1308" s="5" t="s">
        <v>9</v>
      </c>
      <c r="I1308" s="2">
        <v>1.5</v>
      </c>
      <c r="J1308" s="2">
        <v>30</v>
      </c>
      <c r="K1308" s="6">
        <v>0.42152777777777778</v>
      </c>
      <c r="L1308" s="2" t="s">
        <v>172</v>
      </c>
      <c r="M1308" s="2">
        <v>8.5</v>
      </c>
      <c r="N1308" s="2">
        <v>2</v>
      </c>
      <c r="O1308" s="2">
        <v>2</v>
      </c>
      <c r="P1308" s="2" t="s">
        <v>246</v>
      </c>
      <c r="Q1308" s="7" t="s">
        <v>66</v>
      </c>
      <c r="R1308" s="4" t="s">
        <v>318</v>
      </c>
      <c r="S1308" s="20">
        <v>8</v>
      </c>
      <c r="T1308" s="2">
        <v>0</v>
      </c>
      <c r="V1308" s="2">
        <v>4</v>
      </c>
      <c r="W1308" s="2">
        <v>3</v>
      </c>
      <c r="X1308" s="2">
        <v>1</v>
      </c>
    </row>
    <row r="1309" spans="1:28">
      <c r="A1309" s="7">
        <f>MAX($A$1:$A1308)+1</f>
        <v>1308</v>
      </c>
      <c r="B1309" s="2" t="s">
        <v>171</v>
      </c>
      <c r="C1309" s="2" t="s">
        <v>170</v>
      </c>
      <c r="D1309" s="2" t="s">
        <v>28</v>
      </c>
      <c r="E1309" s="7" t="s">
        <v>494</v>
      </c>
      <c r="F1309" s="4">
        <v>48.815116882324197</v>
      </c>
      <c r="G1309" s="18">
        <v>-125.175331115722</v>
      </c>
      <c r="H1309" s="5" t="s">
        <v>9</v>
      </c>
      <c r="I1309" s="2">
        <v>1.5</v>
      </c>
      <c r="J1309" s="2">
        <v>30</v>
      </c>
      <c r="K1309" s="6">
        <v>0.42152777777777778</v>
      </c>
      <c r="L1309" s="2" t="s">
        <v>172</v>
      </c>
      <c r="M1309" s="2">
        <v>8.5</v>
      </c>
      <c r="N1309" s="2">
        <v>2</v>
      </c>
      <c r="O1309" s="2">
        <v>2</v>
      </c>
      <c r="P1309" s="2" t="s">
        <v>495</v>
      </c>
      <c r="Q1309" s="7" t="s">
        <v>96</v>
      </c>
      <c r="R1309" s="4" t="s">
        <v>496</v>
      </c>
      <c r="S1309" s="20">
        <v>32</v>
      </c>
      <c r="T1309" s="2">
        <v>32</v>
      </c>
    </row>
    <row r="1310" spans="1:28">
      <c r="A1310" s="7">
        <f>MAX($A$1:$A1309)+1</f>
        <v>1309</v>
      </c>
      <c r="B1310" s="2" t="s">
        <v>171</v>
      </c>
      <c r="C1310" s="2" t="s">
        <v>170</v>
      </c>
      <c r="D1310" s="2" t="s">
        <v>28</v>
      </c>
      <c r="E1310" s="7" t="s">
        <v>494</v>
      </c>
      <c r="F1310" s="4">
        <v>48.815116882324197</v>
      </c>
      <c r="G1310" s="18">
        <v>-125.175331115722</v>
      </c>
      <c r="H1310" s="5" t="s">
        <v>9</v>
      </c>
      <c r="I1310" s="2">
        <v>1.5</v>
      </c>
      <c r="J1310" s="2">
        <v>30</v>
      </c>
      <c r="K1310" s="6">
        <v>0.42152777777777778</v>
      </c>
      <c r="L1310" s="2" t="s">
        <v>172</v>
      </c>
      <c r="M1310" s="2">
        <v>8.5</v>
      </c>
      <c r="N1310" s="2">
        <v>2</v>
      </c>
      <c r="O1310" s="2">
        <v>2</v>
      </c>
      <c r="P1310" s="2" t="s">
        <v>250</v>
      </c>
      <c r="Q1310" s="7" t="s">
        <v>46</v>
      </c>
      <c r="R1310" s="4" t="s">
        <v>295</v>
      </c>
      <c r="S1310" s="20">
        <v>6</v>
      </c>
      <c r="T1310" s="2">
        <v>6</v>
      </c>
    </row>
    <row r="1311" spans="1:28">
      <c r="A1311" s="7">
        <f>MAX($A$1:$A1310)+1</f>
        <v>1310</v>
      </c>
      <c r="B1311" s="2" t="s">
        <v>171</v>
      </c>
      <c r="C1311" s="2" t="s">
        <v>170</v>
      </c>
      <c r="D1311" s="2" t="s">
        <v>28</v>
      </c>
      <c r="E1311" s="7" t="s">
        <v>494</v>
      </c>
      <c r="F1311" s="4">
        <v>48.815116882324197</v>
      </c>
      <c r="G1311" s="18">
        <v>-125.175331115722</v>
      </c>
      <c r="H1311" s="5" t="s">
        <v>9</v>
      </c>
      <c r="I1311" s="2">
        <v>1.5</v>
      </c>
      <c r="J1311" s="2">
        <v>30</v>
      </c>
      <c r="K1311" s="6">
        <v>0.42152777777777778</v>
      </c>
      <c r="L1311" s="2" t="s">
        <v>172</v>
      </c>
      <c r="M1311" s="2">
        <v>8.5</v>
      </c>
      <c r="N1311" s="2">
        <v>2</v>
      </c>
      <c r="O1311" s="2">
        <v>2</v>
      </c>
      <c r="P1311" s="2" t="s">
        <v>448</v>
      </c>
      <c r="Q1311" s="7" t="s">
        <v>112</v>
      </c>
      <c r="R1311" s="4" t="s">
        <v>449</v>
      </c>
      <c r="S1311" s="20">
        <v>6</v>
      </c>
      <c r="T1311" s="2">
        <v>6</v>
      </c>
    </row>
    <row r="1312" spans="1:28">
      <c r="A1312" s="7">
        <f>MAX($A$1:$A1311)+1</f>
        <v>1311</v>
      </c>
      <c r="B1312" s="2" t="s">
        <v>171</v>
      </c>
      <c r="C1312" s="2" t="s">
        <v>170</v>
      </c>
      <c r="D1312" s="2" t="s">
        <v>28</v>
      </c>
      <c r="E1312" s="7" t="s">
        <v>494</v>
      </c>
      <c r="F1312" s="4">
        <v>48.815116882324197</v>
      </c>
      <c r="G1312" s="18">
        <v>-125.175331115722</v>
      </c>
      <c r="H1312" s="5" t="s">
        <v>9</v>
      </c>
      <c r="I1312" s="2">
        <v>1.5</v>
      </c>
      <c r="J1312" s="2">
        <v>30</v>
      </c>
      <c r="K1312" s="6">
        <v>0.42152777777777778</v>
      </c>
      <c r="L1312" s="2" t="s">
        <v>172</v>
      </c>
      <c r="M1312" s="2">
        <v>8.5</v>
      </c>
      <c r="N1312" s="2">
        <v>2</v>
      </c>
      <c r="O1312" s="2">
        <v>2</v>
      </c>
      <c r="P1312" s="2" t="s">
        <v>419</v>
      </c>
      <c r="Q1312" s="7" t="s">
        <v>139</v>
      </c>
      <c r="R1312" s="4" t="s">
        <v>420</v>
      </c>
      <c r="S1312" s="20">
        <v>11</v>
      </c>
      <c r="T1312" s="2">
        <v>11</v>
      </c>
    </row>
    <row r="1313" spans="1:25">
      <c r="A1313" s="7">
        <f>MAX($A$1:$A1312)+1</f>
        <v>1312</v>
      </c>
      <c r="B1313" s="2" t="s">
        <v>171</v>
      </c>
      <c r="C1313" s="2" t="s">
        <v>170</v>
      </c>
      <c r="D1313" s="2" t="s">
        <v>28</v>
      </c>
      <c r="E1313" s="7" t="s">
        <v>494</v>
      </c>
      <c r="F1313" s="4">
        <v>48.815116882324197</v>
      </c>
      <c r="G1313" s="18">
        <v>-125.175331115722</v>
      </c>
      <c r="H1313" s="5" t="s">
        <v>9</v>
      </c>
      <c r="I1313" s="2">
        <v>1.5</v>
      </c>
      <c r="J1313" s="2">
        <v>30</v>
      </c>
      <c r="K1313" s="6">
        <v>0.42152777777777778</v>
      </c>
      <c r="L1313" s="2" t="s">
        <v>172</v>
      </c>
      <c r="M1313" s="2">
        <v>8.5</v>
      </c>
      <c r="N1313" s="2">
        <v>2</v>
      </c>
      <c r="O1313" s="2">
        <v>2</v>
      </c>
      <c r="P1313" s="2" t="s">
        <v>247</v>
      </c>
      <c r="Q1313" s="7" t="s">
        <v>64</v>
      </c>
      <c r="R1313" s="4" t="s">
        <v>293</v>
      </c>
      <c r="S1313" s="20">
        <v>8</v>
      </c>
      <c r="T1313" s="2">
        <v>8</v>
      </c>
    </row>
    <row r="1314" spans="1:25">
      <c r="A1314" s="7">
        <f>MAX($A$1:$A1313)+1</f>
        <v>1313</v>
      </c>
      <c r="B1314" s="2" t="s">
        <v>171</v>
      </c>
      <c r="C1314" s="2" t="s">
        <v>170</v>
      </c>
      <c r="D1314" s="2" t="s">
        <v>28</v>
      </c>
      <c r="E1314" s="7" t="s">
        <v>494</v>
      </c>
      <c r="F1314" s="4">
        <v>48.815116882324197</v>
      </c>
      <c r="G1314" s="18">
        <v>-125.175331115722</v>
      </c>
      <c r="H1314" s="5" t="s">
        <v>9</v>
      </c>
      <c r="I1314" s="2">
        <v>1.5</v>
      </c>
      <c r="J1314" s="2">
        <v>30</v>
      </c>
      <c r="K1314" s="6">
        <v>0.42152777777777778</v>
      </c>
      <c r="L1314" s="2" t="s">
        <v>172</v>
      </c>
      <c r="M1314" s="2">
        <v>8.5</v>
      </c>
      <c r="N1314" s="2">
        <v>2</v>
      </c>
      <c r="O1314" s="2">
        <v>2</v>
      </c>
      <c r="P1314" s="2" t="s">
        <v>249</v>
      </c>
      <c r="Q1314" s="7" t="s">
        <v>90</v>
      </c>
      <c r="R1314" s="4" t="s">
        <v>352</v>
      </c>
      <c r="S1314" s="20">
        <v>1</v>
      </c>
      <c r="T1314" s="2">
        <v>1</v>
      </c>
    </row>
    <row r="1315" spans="1:25">
      <c r="A1315" s="7">
        <f>MAX($A$1:$A1314)+1</f>
        <v>1314</v>
      </c>
      <c r="B1315" s="2" t="s">
        <v>171</v>
      </c>
      <c r="C1315" s="2" t="s">
        <v>170</v>
      </c>
      <c r="D1315" s="2" t="s">
        <v>28</v>
      </c>
      <c r="E1315" s="7" t="s">
        <v>494</v>
      </c>
      <c r="F1315" s="4">
        <v>48.815116882324197</v>
      </c>
      <c r="G1315" s="18">
        <v>-125.175331115722</v>
      </c>
      <c r="H1315" s="5" t="s">
        <v>9</v>
      </c>
      <c r="I1315" s="2">
        <v>1.5</v>
      </c>
      <c r="J1315" s="2">
        <v>30</v>
      </c>
      <c r="K1315" s="6">
        <v>0.42152777777777778</v>
      </c>
      <c r="L1315" s="2" t="s">
        <v>172</v>
      </c>
      <c r="M1315" s="2">
        <v>8.5</v>
      </c>
      <c r="N1315" s="2">
        <v>2</v>
      </c>
      <c r="O1315" s="2">
        <v>2</v>
      </c>
      <c r="P1315" s="2" t="s">
        <v>240</v>
      </c>
      <c r="Q1315" s="7" t="s">
        <v>74</v>
      </c>
      <c r="R1315" s="4" t="s">
        <v>459</v>
      </c>
      <c r="S1315" s="20">
        <v>1</v>
      </c>
      <c r="T1315" s="2">
        <v>1</v>
      </c>
    </row>
    <row r="1316" spans="1:25">
      <c r="A1316" s="7">
        <f>MAX($A$1:$A1315)+1</f>
        <v>1315</v>
      </c>
      <c r="B1316" s="2" t="s">
        <v>171</v>
      </c>
      <c r="C1316" s="2" t="s">
        <v>170</v>
      </c>
      <c r="D1316" s="2" t="s">
        <v>28</v>
      </c>
      <c r="E1316" s="7" t="s">
        <v>494</v>
      </c>
      <c r="F1316" s="4">
        <v>48.815116882324197</v>
      </c>
      <c r="G1316" s="18">
        <v>-125.175331115722</v>
      </c>
      <c r="H1316" s="5" t="s">
        <v>9</v>
      </c>
      <c r="I1316" s="2">
        <v>1.5</v>
      </c>
      <c r="J1316" s="2">
        <v>30</v>
      </c>
      <c r="K1316" s="6">
        <v>0.42152777777777778</v>
      </c>
      <c r="L1316" s="2" t="s">
        <v>172</v>
      </c>
      <c r="M1316" s="2">
        <v>8.5</v>
      </c>
      <c r="N1316" s="2">
        <v>2</v>
      </c>
      <c r="O1316" s="2">
        <v>2</v>
      </c>
      <c r="P1316" s="2" t="s">
        <v>248</v>
      </c>
      <c r="Q1316" s="7" t="s">
        <v>78</v>
      </c>
      <c r="R1316" s="4" t="s">
        <v>349</v>
      </c>
      <c r="S1316" s="20">
        <v>1</v>
      </c>
      <c r="T1316" s="2">
        <v>0</v>
      </c>
      <c r="X1316" s="2">
        <v>1</v>
      </c>
    </row>
    <row r="1317" spans="1:25">
      <c r="A1317" s="7">
        <f>MAX($A$1:$A1316)+1</f>
        <v>1316</v>
      </c>
      <c r="B1317" s="2" t="s">
        <v>171</v>
      </c>
      <c r="C1317" s="2" t="s">
        <v>170</v>
      </c>
      <c r="D1317" s="2" t="s">
        <v>28</v>
      </c>
      <c r="E1317" s="7" t="s">
        <v>494</v>
      </c>
      <c r="F1317" s="4">
        <v>48.815116882324197</v>
      </c>
      <c r="G1317" s="18">
        <v>-125.175331115722</v>
      </c>
      <c r="H1317" s="5" t="s">
        <v>9</v>
      </c>
      <c r="I1317" s="2">
        <v>1.5</v>
      </c>
      <c r="J1317" s="2">
        <v>30</v>
      </c>
      <c r="K1317" s="6">
        <v>0.42152777777777778</v>
      </c>
      <c r="L1317" s="2" t="s">
        <v>172</v>
      </c>
      <c r="M1317" s="2">
        <v>8.5</v>
      </c>
      <c r="N1317" s="2">
        <v>2</v>
      </c>
      <c r="O1317" s="2">
        <v>2</v>
      </c>
      <c r="P1317" s="2" t="s">
        <v>271</v>
      </c>
      <c r="Q1317" s="7" t="s">
        <v>84</v>
      </c>
      <c r="R1317" s="4" t="s">
        <v>406</v>
      </c>
      <c r="S1317" s="20">
        <v>1</v>
      </c>
      <c r="T1317" s="2">
        <v>1</v>
      </c>
    </row>
    <row r="1318" spans="1:25">
      <c r="A1318" s="7">
        <f>MAX($A$1:$A1317)+1</f>
        <v>1317</v>
      </c>
      <c r="B1318" s="2" t="s">
        <v>171</v>
      </c>
      <c r="C1318" s="2" t="s">
        <v>170</v>
      </c>
      <c r="D1318" s="2" t="s">
        <v>28</v>
      </c>
      <c r="E1318" s="7" t="s">
        <v>494</v>
      </c>
      <c r="F1318" s="4">
        <v>48.815116882324197</v>
      </c>
      <c r="G1318" s="18">
        <v>-125.175331115722</v>
      </c>
      <c r="H1318" s="5" t="s">
        <v>9</v>
      </c>
      <c r="I1318" s="2">
        <v>1.5</v>
      </c>
      <c r="J1318" s="2">
        <v>30</v>
      </c>
      <c r="K1318" s="6">
        <v>0.42152777777777778</v>
      </c>
      <c r="L1318" s="2" t="s">
        <v>172</v>
      </c>
      <c r="M1318" s="2">
        <v>8.5</v>
      </c>
      <c r="N1318" s="2">
        <v>2</v>
      </c>
      <c r="O1318" s="2">
        <v>2</v>
      </c>
      <c r="P1318" s="2" t="s">
        <v>350</v>
      </c>
      <c r="Q1318" s="7" t="s">
        <v>83</v>
      </c>
      <c r="R1318" s="4" t="s">
        <v>351</v>
      </c>
      <c r="S1318" s="20">
        <v>2</v>
      </c>
      <c r="T1318" s="2">
        <v>2</v>
      </c>
    </row>
    <row r="1319" spans="1:25">
      <c r="A1319" s="7">
        <f>MAX($A$1:$A1318)+1</f>
        <v>1318</v>
      </c>
      <c r="B1319" s="2" t="s">
        <v>171</v>
      </c>
      <c r="C1319" s="2" t="s">
        <v>170</v>
      </c>
      <c r="D1319" s="2" t="s">
        <v>28</v>
      </c>
      <c r="E1319" s="7" t="s">
        <v>494</v>
      </c>
      <c r="F1319" s="4">
        <v>48.815116882324197</v>
      </c>
      <c r="G1319" s="18">
        <v>-125.175331115722</v>
      </c>
      <c r="H1319" s="5" t="s">
        <v>9</v>
      </c>
      <c r="I1319" s="2">
        <v>1.5</v>
      </c>
      <c r="J1319" s="2">
        <v>30</v>
      </c>
      <c r="K1319" s="6">
        <v>0.42152777777777778</v>
      </c>
      <c r="L1319" s="2" t="s">
        <v>172</v>
      </c>
      <c r="M1319" s="2">
        <v>8.5</v>
      </c>
      <c r="N1319" s="2">
        <v>0</v>
      </c>
      <c r="O1319" s="2">
        <v>0</v>
      </c>
      <c r="P1319" s="2" t="s">
        <v>255</v>
      </c>
      <c r="Q1319" s="7" t="s">
        <v>79</v>
      </c>
      <c r="R1319" s="4" t="s">
        <v>354</v>
      </c>
      <c r="S1319" s="20">
        <v>1</v>
      </c>
      <c r="T1319" s="2">
        <v>1</v>
      </c>
    </row>
    <row r="1320" spans="1:25">
      <c r="A1320" s="7">
        <f>MAX($A$1:$A1319)+1</f>
        <v>1319</v>
      </c>
      <c r="B1320" s="2" t="s">
        <v>171</v>
      </c>
      <c r="C1320" s="2" t="s">
        <v>170</v>
      </c>
      <c r="D1320" s="2" t="s">
        <v>28</v>
      </c>
      <c r="E1320" s="7" t="s">
        <v>494</v>
      </c>
      <c r="F1320" s="4">
        <v>48.815116882324197</v>
      </c>
      <c r="G1320" s="18">
        <v>-125.175331115722</v>
      </c>
      <c r="H1320" s="5" t="s">
        <v>9</v>
      </c>
      <c r="I1320" s="2">
        <v>1.5</v>
      </c>
      <c r="J1320" s="2">
        <v>30</v>
      </c>
      <c r="K1320" s="6">
        <v>0.42152777777777778</v>
      </c>
      <c r="L1320" s="2" t="s">
        <v>172</v>
      </c>
      <c r="M1320" s="2">
        <v>8.5</v>
      </c>
      <c r="N1320" s="2">
        <v>0</v>
      </c>
      <c r="O1320" s="2">
        <v>0</v>
      </c>
      <c r="P1320" s="2" t="s">
        <v>298</v>
      </c>
      <c r="Q1320" s="7" t="s">
        <v>99</v>
      </c>
      <c r="R1320" s="4" t="s">
        <v>299</v>
      </c>
      <c r="S1320" s="20">
        <v>1</v>
      </c>
      <c r="T1320" s="2">
        <v>1</v>
      </c>
    </row>
    <row r="1321" spans="1:25">
      <c r="A1321" s="7">
        <f>MAX($A$1:$A1320)+1</f>
        <v>1320</v>
      </c>
      <c r="B1321" s="2" t="s">
        <v>171</v>
      </c>
      <c r="C1321" s="2" t="s">
        <v>170</v>
      </c>
      <c r="D1321" s="2" t="s">
        <v>28</v>
      </c>
      <c r="E1321" s="7" t="s">
        <v>494</v>
      </c>
      <c r="F1321" s="4">
        <v>48.815116882324197</v>
      </c>
      <c r="G1321" s="18">
        <v>-125.175331115722</v>
      </c>
      <c r="H1321" s="5" t="s">
        <v>9</v>
      </c>
      <c r="I1321" s="2">
        <v>1.5</v>
      </c>
      <c r="J1321" s="2">
        <v>30</v>
      </c>
      <c r="K1321" s="6">
        <v>0.42152777777777778</v>
      </c>
      <c r="L1321" s="2" t="s">
        <v>172</v>
      </c>
      <c r="M1321" s="2">
        <v>8.5</v>
      </c>
      <c r="N1321" s="2">
        <v>0</v>
      </c>
      <c r="O1321" s="2">
        <v>0</v>
      </c>
      <c r="P1321" s="2" t="s">
        <v>239</v>
      </c>
      <c r="Q1321" s="7" t="s">
        <v>80</v>
      </c>
      <c r="R1321" s="4" t="s">
        <v>300</v>
      </c>
      <c r="S1321" s="20">
        <v>1</v>
      </c>
      <c r="T1321" s="2">
        <v>1</v>
      </c>
    </row>
    <row r="1322" spans="1:25">
      <c r="A1322" s="7">
        <f>MAX($A$1:$A1321)+1</f>
        <v>1321</v>
      </c>
      <c r="B1322" s="2" t="s">
        <v>171</v>
      </c>
      <c r="C1322" s="2" t="s">
        <v>170</v>
      </c>
      <c r="D1322" s="2" t="s">
        <v>28</v>
      </c>
      <c r="E1322" s="7" t="s">
        <v>494</v>
      </c>
      <c r="F1322" s="4">
        <v>48.815116882324197</v>
      </c>
      <c r="G1322" s="18">
        <v>-125.175331115722</v>
      </c>
      <c r="H1322" s="5" t="s">
        <v>9</v>
      </c>
      <c r="I1322" s="2">
        <v>1.5</v>
      </c>
      <c r="J1322" s="2">
        <v>30</v>
      </c>
      <c r="K1322" s="6">
        <v>0.42152777777777778</v>
      </c>
      <c r="L1322" s="2" t="s">
        <v>172</v>
      </c>
      <c r="M1322" s="2">
        <v>8.5</v>
      </c>
      <c r="N1322" s="2">
        <v>0</v>
      </c>
      <c r="O1322" s="2">
        <v>0</v>
      </c>
      <c r="P1322" s="2" t="s">
        <v>230</v>
      </c>
      <c r="Q1322" s="7" t="s">
        <v>42</v>
      </c>
      <c r="R1322" s="4" t="s">
        <v>321</v>
      </c>
      <c r="S1322" s="20">
        <v>2</v>
      </c>
      <c r="T1322" s="2">
        <v>2</v>
      </c>
    </row>
    <row r="1323" spans="1:25">
      <c r="A1323" s="7">
        <f>MAX($A$1:$A1322)+1</f>
        <v>1322</v>
      </c>
      <c r="B1323" s="2" t="s">
        <v>171</v>
      </c>
      <c r="C1323" s="2" t="s">
        <v>170</v>
      </c>
      <c r="D1323" s="2" t="s">
        <v>28</v>
      </c>
      <c r="E1323" s="7" t="s">
        <v>494</v>
      </c>
      <c r="F1323" s="4">
        <v>48.815116882324197</v>
      </c>
      <c r="G1323" s="18">
        <v>-125.175331115722</v>
      </c>
      <c r="H1323" s="5" t="s">
        <v>9</v>
      </c>
      <c r="I1323" s="2">
        <v>1.5</v>
      </c>
      <c r="J1323" s="2">
        <v>30</v>
      </c>
      <c r="K1323" s="6">
        <v>0.42152777777777778</v>
      </c>
      <c r="L1323" s="2" t="s">
        <v>172</v>
      </c>
      <c r="M1323" s="2">
        <v>8.5</v>
      </c>
      <c r="N1323" s="2">
        <v>2</v>
      </c>
      <c r="O1323" s="2">
        <v>2</v>
      </c>
      <c r="P1323" s="2" t="s">
        <v>342</v>
      </c>
      <c r="Q1323" s="7" t="s">
        <v>126</v>
      </c>
      <c r="R1323" s="4" t="s">
        <v>329</v>
      </c>
      <c r="S1323" s="20">
        <v>0</v>
      </c>
      <c r="T1323" s="2">
        <v>0</v>
      </c>
    </row>
    <row r="1324" spans="1:25">
      <c r="A1324" s="7">
        <f>MAX($A$1:$A1323)+1</f>
        <v>1323</v>
      </c>
      <c r="B1324" s="2" t="str">
        <f t="shared" ref="B1324:B1329" si="151">IF(ISERROR(B1323),IF(ISERROR(B1322),IF(ISERROR(B1321),"BLANK",B1321),B1322),B1323)</f>
        <v>Em Lim</v>
      </c>
      <c r="C1324" s="27" t="s">
        <v>269</v>
      </c>
      <c r="D1324" s="27" t="s">
        <v>30</v>
      </c>
      <c r="E1324" s="7" t="str">
        <f>IF(ISERROR(VLOOKUP($D1324,SITES!$A:$E,2,FALSE)),"",VLOOKUP($D1324,SITES!$A:$E,2,FALSE))</f>
        <v>Taylor Rock</v>
      </c>
      <c r="F1324" s="4">
        <f>IF(ISERROR(VLOOKUP($D1324,SITES!$A:$E,3,FALSE)),"",VLOOKUP($D1324,SITES!$A:$E,3,FALSE))</f>
        <v>48.8273315429687</v>
      </c>
      <c r="G1324" s="18">
        <f>IF(ISERROR(VLOOKUP($D1324,SITES!$A:$E,4,FALSE)),"",VLOOKUP($D1324,SITES!$A:$E,4,FALSE))</f>
        <v>-125.196601867675</v>
      </c>
      <c r="H1324" s="28" t="s">
        <v>10</v>
      </c>
      <c r="I1324" s="2">
        <v>0.5</v>
      </c>
      <c r="J1324" s="2">
        <f t="shared" ref="J1324:J1329" si="152">IF(ISERROR(J1323),IF(ISERROR(J1322),IF(ISERROR(J1321),"BLANK",J1321),J1322),J1323)</f>
        <v>30</v>
      </c>
      <c r="K1324" s="6">
        <v>0.51250000000000007</v>
      </c>
      <c r="L1324" s="27" t="s">
        <v>270</v>
      </c>
      <c r="M1324" s="2">
        <v>8</v>
      </c>
      <c r="N1324" s="2">
        <v>1</v>
      </c>
      <c r="O1324" s="2">
        <v>1</v>
      </c>
      <c r="P1324" s="27" t="s">
        <v>173</v>
      </c>
      <c r="Q1324" s="7" t="str">
        <f>IF($N1324=1,IF(ISERROR(VLOOKUP($P1324,'M1'!$A:$C,Q$2,FALSE)),"NOT PRESENT",VLOOKUP($P1324,'M1'!$A:$C,Q$2,FALSE)),IF($N1324=2,IF(ISERROR(VLOOKUP(DATA!$P295,'M2'!$A:$C,Q$2,FALSE)),"NOT PRESENT",VLOOKUP(DATA!$P295,'M2'!$A:$C,Q$2,FALSE)),IF($N1324=0,IF(ISERROR(VLOOKUP($P1324,'M1'!$A:$C,Q$2,FALSE)),IF(ISERROR(VLOOKUP(DATA!$P295,'M2'!$A:$C,Q$2,FALSE)),"NOT PRESENT",VLOOKUP(DATA!$P295,'M2'!$A:$C,Q$2,FALSE)),VLOOKUP($P1324,'M1'!$A:$C,Q$2,FALSE)),"SPECIFY METHOD")))</f>
        <v>NOT PRESENT</v>
      </c>
      <c r="R1324" s="4" t="str">
        <f>IF($N1324=1,IF(ISERROR(VLOOKUP($P1324,'M1'!$A:$C,R$2,FALSE)),"NOT PRESENT",VLOOKUP($P1324,'M1'!$A:$C,R$2,FALSE)),IF($N1324=2,IF(ISERROR(VLOOKUP(DATA!$P295,'M2'!$A:$C,R$2,FALSE)),"NOT PRESENT",VLOOKUP(DATA!$P295,'M2'!$A:$C,R$2,FALSE)),IF($N1324=0,IF(ISERROR(VLOOKUP($P1324,'M1'!$A:$C,R$2,FALSE)),IF(ISERROR(VLOOKUP(DATA!$P295,'M2'!$A:$C,R$2,FALSE)),"NOT PRESENT",VLOOKUP(DATA!$P295,'M2'!$A:$C,R$2,FALSE)),VLOOKUP($P1324,'M1'!$A:$C,R$2,FALSE)),"SPECIFY METHOD")))</f>
        <v>NOT PRESENT</v>
      </c>
      <c r="S1324" s="20">
        <f t="shared" ref="S1324:S1345" si="153">SUM(T1324:AV1324)</f>
        <v>2</v>
      </c>
      <c r="T1324" s="2">
        <v>0</v>
      </c>
      <c r="V1324" s="2">
        <v>2</v>
      </c>
    </row>
    <row r="1325" spans="1:25">
      <c r="A1325" s="7">
        <f>MAX($A$1:$A1324)+1</f>
        <v>1324</v>
      </c>
      <c r="B1325" s="2" t="str">
        <f t="shared" si="151"/>
        <v>Em Lim</v>
      </c>
      <c r="C1325" s="2" t="str">
        <f t="shared" ref="C1325:D1329" si="154">IF(ISERROR(C1324),IF(ISERROR(C1323),IF(ISERROR(C1322),"BLANK",C1322),C1323),C1324)</f>
        <v>Valesca de Groot</v>
      </c>
      <c r="D1325" s="2" t="str">
        <f t="shared" si="154"/>
        <v>BMSC5</v>
      </c>
      <c r="E1325" s="7" t="str">
        <f>IF(ISERROR(VLOOKUP($D1325,SITES!$A:$E,2,FALSE)),"",VLOOKUP($D1325,SITES!$A:$E,2,FALSE))</f>
        <v>Taylor Rock</v>
      </c>
      <c r="F1325" s="4">
        <f>IF(ISERROR(VLOOKUP($D1325,SITES!$A:$E,3,FALSE)),"",VLOOKUP($D1325,SITES!$A:$E,3,FALSE))</f>
        <v>48.8273315429687</v>
      </c>
      <c r="G1325" s="18">
        <f>IF(ISERROR(VLOOKUP($D1325,SITES!$A:$E,4,FALSE)),"",VLOOKUP($D1325,SITES!$A:$E,4,FALSE))</f>
        <v>-125.196601867675</v>
      </c>
      <c r="H1325" s="5" t="str">
        <f t="shared" ref="H1325:I1329" si="155">IF(ISERROR(H1324),IF(ISERROR(H1323),IF(ISERROR(H1322),"BLANK",H1322),H1323),H1324)</f>
        <v>15/05/2023</v>
      </c>
      <c r="I1325" s="2">
        <f t="shared" si="155"/>
        <v>0.5</v>
      </c>
      <c r="J1325" s="2">
        <f t="shared" si="152"/>
        <v>30</v>
      </c>
      <c r="K1325" s="6">
        <f>IF(ISERROR(K1324),IF(ISERROR(K1323),IF(ISERROR(K1322),"BLANK",K1322),K1323),K1324)</f>
        <v>0.51250000000000007</v>
      </c>
      <c r="L1325" s="2" t="str">
        <f>IF(ISERROR(L1324),IF(ISERROR(L1323),IF(ISERROR(L1322),"BLANK",L1322),L1323),L1324)</f>
        <v>VDG</v>
      </c>
      <c r="M1325" s="2">
        <f>IF(ISERROR(M1324),IF(ISERROR(M1323),IF(ISERROR(M1322),"BLANK",M1322),M1323),M1324)</f>
        <v>8</v>
      </c>
      <c r="N1325" s="2">
        <f>IF(ISERROR(N1324),IF(ISERROR(N1323),IF(ISERROR(N1322),"BLANK",N1322),N1323),N1324)</f>
        <v>1</v>
      </c>
      <c r="O1325" s="2">
        <f>IF(ISERROR(O1324),IF(ISERROR(O1323),IF(ISERROR(O1322),"BLANK",O1322),O1323),O1324)</f>
        <v>1</v>
      </c>
      <c r="P1325" s="27" t="s">
        <v>208</v>
      </c>
      <c r="Q1325" s="7" t="str">
        <f>IF($N1325=1,IF(ISERROR(VLOOKUP($P1325,'M1'!$A:$C,Q$2,FALSE)),"NOT PRESENT",VLOOKUP($P1325,'M1'!$A:$C,Q$2,FALSE)),IF($N1325=2,IF(ISERROR(VLOOKUP(DATA!$P296,'M2'!$A:$C,Q$2,FALSE)),"NOT PRESENT",VLOOKUP(DATA!$P296,'M2'!$A:$C,Q$2,FALSE)),IF($N1325=0,IF(ISERROR(VLOOKUP($P1325,'M1'!$A:$C,Q$2,FALSE)),IF(ISERROR(VLOOKUP(DATA!$P296,'M2'!$A:$C,Q$2,FALSE)),"NOT PRESENT",VLOOKUP(DATA!$P296,'M2'!$A:$C,Q$2,FALSE)),VLOOKUP($P1325,'M1'!$A:$C,Q$2,FALSE)),"SPECIFY METHOD")))</f>
        <v>NOT PRESENT</v>
      </c>
      <c r="R1325" s="4" t="str">
        <f>IF($N1325=1,IF(ISERROR(VLOOKUP($P1325,'M1'!$A:$C,R$2,FALSE)),"NOT PRESENT",VLOOKUP($P1325,'M1'!$A:$C,R$2,FALSE)),IF($N1325=2,IF(ISERROR(VLOOKUP(DATA!$P296,'M2'!$A:$C,R$2,FALSE)),"NOT PRESENT",VLOOKUP(DATA!$P296,'M2'!$A:$C,R$2,FALSE)),IF($N1325=0,IF(ISERROR(VLOOKUP($P1325,'M1'!$A:$C,R$2,FALSE)),IF(ISERROR(VLOOKUP(DATA!$P296,'M2'!$A:$C,R$2,FALSE)),"NOT PRESENT",VLOOKUP(DATA!$P296,'M2'!$A:$C,R$2,FALSE)),VLOOKUP($P1325,'M1'!$A:$C,R$2,FALSE)),"SPECIFY METHOD")))</f>
        <v>NOT PRESENT</v>
      </c>
      <c r="S1325" s="20">
        <f t="shared" si="153"/>
        <v>1</v>
      </c>
      <c r="T1325" s="2">
        <v>0</v>
      </c>
      <c r="Y1325" s="2">
        <v>1</v>
      </c>
    </row>
    <row r="1326" spans="1:25">
      <c r="A1326" s="7">
        <f>MAX($A$1:$A1325)+1</f>
        <v>1325</v>
      </c>
      <c r="B1326" s="2" t="str">
        <f t="shared" si="151"/>
        <v>Em Lim</v>
      </c>
      <c r="C1326" s="2" t="str">
        <f t="shared" si="154"/>
        <v>Valesca de Groot</v>
      </c>
      <c r="D1326" s="2" t="str">
        <f t="shared" si="154"/>
        <v>BMSC5</v>
      </c>
      <c r="E1326" s="7" t="str">
        <f>IF(ISERROR(VLOOKUP($D1326,SITES!$A:$E,2,FALSE)),"",VLOOKUP($D1326,SITES!$A:$E,2,FALSE))</f>
        <v>Taylor Rock</v>
      </c>
      <c r="F1326" s="4">
        <f>IF(ISERROR(VLOOKUP($D1326,SITES!$A:$E,3,FALSE)),"",VLOOKUP($D1326,SITES!$A:$E,3,FALSE))</f>
        <v>48.8273315429687</v>
      </c>
      <c r="G1326" s="18">
        <f>IF(ISERROR(VLOOKUP($D1326,SITES!$A:$E,4,FALSE)),"",VLOOKUP($D1326,SITES!$A:$E,4,FALSE))</f>
        <v>-125.196601867675</v>
      </c>
      <c r="H1326" s="5" t="str">
        <f t="shared" si="155"/>
        <v>15/05/2023</v>
      </c>
      <c r="I1326" s="2">
        <f t="shared" si="155"/>
        <v>0.5</v>
      </c>
      <c r="J1326" s="2">
        <f t="shared" si="152"/>
        <v>30</v>
      </c>
      <c r="K1326" s="6">
        <f t="shared" ref="K1326:M1329" si="156">IF(ISERROR(K1325),IF(ISERROR(K1324),IF(ISERROR(K1323),"BLANK",K1323),K1324),K1325)</f>
        <v>0.51250000000000007</v>
      </c>
      <c r="L1326" s="2" t="str">
        <f t="shared" si="156"/>
        <v>VDG</v>
      </c>
      <c r="M1326" s="2">
        <f t="shared" si="156"/>
        <v>8</v>
      </c>
      <c r="N1326" s="2">
        <v>2</v>
      </c>
      <c r="O1326" s="2">
        <f>IF(ISERROR(O1325),IF(ISERROR(O1324),IF(ISERROR(O1323),"BLANK",O1323),O1324),O1325)</f>
        <v>1</v>
      </c>
      <c r="P1326" s="27" t="s">
        <v>178</v>
      </c>
      <c r="Q1326" s="7" t="str">
        <f>IF($N1326=1,IF(ISERROR(VLOOKUP($P1326,'M1'!$A:$C,Q$2,FALSE)),"NOT PRESENT",VLOOKUP($P1326,'M1'!$A:$C,Q$2,FALSE)),IF($N1326=2,IF(ISERROR(VLOOKUP(DATA!$P297,'M2'!$A:$C,Q$2,FALSE)),"NOT PRESENT",VLOOKUP(DATA!$P297,'M2'!$A:$C,Q$2,FALSE)),IF($N1326=0,IF(ISERROR(VLOOKUP($P1326,'M1'!$A:$C,Q$2,FALSE)),IF(ISERROR(VLOOKUP(DATA!$P297,'M2'!$A:$C,Q$2,FALSE)),"NOT PRESENT",VLOOKUP(DATA!$P297,'M2'!$A:$C,Q$2,FALSE)),VLOOKUP($P1326,'M1'!$A:$C,Q$2,FALSE)),"SPECIFY METHOD")))</f>
        <v>NOT PRESENT</v>
      </c>
      <c r="R1326" s="4" t="str">
        <f>IF($N1326=1,IF(ISERROR(VLOOKUP($P1326,'M1'!$A:$C,R$2,FALSE)),"NOT PRESENT",VLOOKUP($P1326,'M1'!$A:$C,R$2,FALSE)),IF($N1326=2,IF(ISERROR(VLOOKUP(DATA!$P297,'M2'!$A:$C,R$2,FALSE)),"NOT PRESENT",VLOOKUP(DATA!$P297,'M2'!$A:$C,R$2,FALSE)),IF($N1326=0,IF(ISERROR(VLOOKUP($P1326,'M1'!$A:$C,R$2,FALSE)),IF(ISERROR(VLOOKUP(DATA!$P297,'M2'!$A:$C,R$2,FALSE)),"NOT PRESENT",VLOOKUP(DATA!$P297,'M2'!$A:$C,R$2,FALSE)),VLOOKUP($P1326,'M1'!$A:$C,R$2,FALSE)),"SPECIFY METHOD")))</f>
        <v>NOT PRESENT</v>
      </c>
      <c r="S1326" s="20">
        <f t="shared" si="153"/>
        <v>218</v>
      </c>
      <c r="T1326" s="2">
        <v>218</v>
      </c>
    </row>
    <row r="1327" spans="1:25">
      <c r="A1327" s="7">
        <f>MAX($A$1:$A1326)+1</f>
        <v>1326</v>
      </c>
      <c r="B1327" s="2" t="str">
        <f t="shared" si="151"/>
        <v>Em Lim</v>
      </c>
      <c r="C1327" s="2" t="str">
        <f t="shared" si="154"/>
        <v>Valesca de Groot</v>
      </c>
      <c r="D1327" s="2" t="str">
        <f t="shared" si="154"/>
        <v>BMSC5</v>
      </c>
      <c r="E1327" s="7" t="str">
        <f>IF(ISERROR(VLOOKUP($D1327,SITES!$A:$E,2,FALSE)),"",VLOOKUP($D1327,SITES!$A:$E,2,FALSE))</f>
        <v>Taylor Rock</v>
      </c>
      <c r="F1327" s="4">
        <f>IF(ISERROR(VLOOKUP($D1327,SITES!$A:$E,3,FALSE)),"",VLOOKUP($D1327,SITES!$A:$E,3,FALSE))</f>
        <v>48.8273315429687</v>
      </c>
      <c r="G1327" s="18">
        <f>IF(ISERROR(VLOOKUP($D1327,SITES!$A:$E,4,FALSE)),"",VLOOKUP($D1327,SITES!$A:$E,4,FALSE))</f>
        <v>-125.196601867675</v>
      </c>
      <c r="H1327" s="5" t="str">
        <f t="shared" si="155"/>
        <v>15/05/2023</v>
      </c>
      <c r="I1327" s="2">
        <f t="shared" si="155"/>
        <v>0.5</v>
      </c>
      <c r="J1327" s="2">
        <f t="shared" si="152"/>
        <v>30</v>
      </c>
      <c r="K1327" s="6">
        <f t="shared" si="156"/>
        <v>0.51250000000000007</v>
      </c>
      <c r="L1327" s="2" t="str">
        <f t="shared" si="156"/>
        <v>VDG</v>
      </c>
      <c r="M1327" s="2">
        <f t="shared" si="156"/>
        <v>8</v>
      </c>
      <c r="N1327" s="2">
        <f>IF(ISERROR(N1326),IF(ISERROR(N1325),IF(ISERROR(N1324),"BLANK",N1324),N1325),N1326)</f>
        <v>2</v>
      </c>
      <c r="O1327" s="2">
        <f>IF(ISERROR(O1326),IF(ISERROR(O1325),IF(ISERROR(O1324),"BLANK",O1324),O1325),O1326)</f>
        <v>1</v>
      </c>
      <c r="P1327" s="27" t="s">
        <v>206</v>
      </c>
      <c r="Q1327" s="7" t="str">
        <f>IF($N1327=1,IF(ISERROR(VLOOKUP($P1327,'M1'!$A:$C,Q$2,FALSE)),"NOT PRESENT",VLOOKUP($P1327,'M1'!$A:$C,Q$2,FALSE)),IF($N1327=2,IF(ISERROR(VLOOKUP(DATA!$P298,'M2'!$A:$C,Q$2,FALSE)),"NOT PRESENT",VLOOKUP(DATA!$P298,'M2'!$A:$C,Q$2,FALSE)),IF($N1327=0,IF(ISERROR(VLOOKUP($P1327,'M1'!$A:$C,Q$2,FALSE)),IF(ISERROR(VLOOKUP(DATA!$P298,'M2'!$A:$C,Q$2,FALSE)),"NOT PRESENT",VLOOKUP(DATA!$P298,'M2'!$A:$C,Q$2,FALSE)),VLOOKUP($P1327,'M1'!$A:$C,Q$2,FALSE)),"SPECIFY METHOD")))</f>
        <v>NOT PRESENT</v>
      </c>
      <c r="R1327" s="4" t="str">
        <f>IF($N1327=1,IF(ISERROR(VLOOKUP($P1327,'M1'!$A:$C,R$2,FALSE)),"NOT PRESENT",VLOOKUP($P1327,'M1'!$A:$C,R$2,FALSE)),IF($N1327=2,IF(ISERROR(VLOOKUP(DATA!$P298,'M2'!$A:$C,R$2,FALSE)),"NOT PRESENT",VLOOKUP(DATA!$P298,'M2'!$A:$C,R$2,FALSE)),IF($N1327=0,IF(ISERROR(VLOOKUP($P1327,'M1'!$A:$C,R$2,FALSE)),IF(ISERROR(VLOOKUP(DATA!$P298,'M2'!$A:$C,R$2,FALSE)),"NOT PRESENT",VLOOKUP(DATA!$P298,'M2'!$A:$C,R$2,FALSE)),VLOOKUP($P1327,'M1'!$A:$C,R$2,FALSE)),"SPECIFY METHOD")))</f>
        <v>NOT PRESENT</v>
      </c>
      <c r="S1327" s="20">
        <f t="shared" si="153"/>
        <v>21</v>
      </c>
      <c r="T1327" s="2">
        <v>0</v>
      </c>
      <c r="U1327" s="2">
        <v>17</v>
      </c>
      <c r="V1327" s="2">
        <v>3</v>
      </c>
      <c r="W1327" s="2">
        <v>1</v>
      </c>
    </row>
    <row r="1328" spans="1:25">
      <c r="A1328" s="7">
        <f>MAX($A$1:$A1327)+1</f>
        <v>1327</v>
      </c>
      <c r="B1328" s="2" t="str">
        <f t="shared" si="151"/>
        <v>Em Lim</v>
      </c>
      <c r="C1328" s="2" t="str">
        <f t="shared" si="154"/>
        <v>Valesca de Groot</v>
      </c>
      <c r="D1328" s="2" t="str">
        <f t="shared" si="154"/>
        <v>BMSC5</v>
      </c>
      <c r="E1328" s="7" t="str">
        <f>IF(ISERROR(VLOOKUP($D1328,SITES!$A:$E,2,FALSE)),"",VLOOKUP($D1328,SITES!$A:$E,2,FALSE))</f>
        <v>Taylor Rock</v>
      </c>
      <c r="F1328" s="4">
        <f>IF(ISERROR(VLOOKUP($D1328,SITES!$A:$E,3,FALSE)),"",VLOOKUP($D1328,SITES!$A:$E,3,FALSE))</f>
        <v>48.8273315429687</v>
      </c>
      <c r="G1328" s="18">
        <f>IF(ISERROR(VLOOKUP($D1328,SITES!$A:$E,4,FALSE)),"",VLOOKUP($D1328,SITES!$A:$E,4,FALSE))</f>
        <v>-125.196601867675</v>
      </c>
      <c r="H1328" s="5" t="str">
        <f t="shared" si="155"/>
        <v>15/05/2023</v>
      </c>
      <c r="I1328" s="2">
        <f t="shared" si="155"/>
        <v>0.5</v>
      </c>
      <c r="J1328" s="2">
        <f t="shared" si="152"/>
        <v>30</v>
      </c>
      <c r="K1328" s="6">
        <f t="shared" si="156"/>
        <v>0.51250000000000007</v>
      </c>
      <c r="L1328" s="2" t="str">
        <f t="shared" si="156"/>
        <v>VDG</v>
      </c>
      <c r="M1328" s="2">
        <f t="shared" si="156"/>
        <v>8</v>
      </c>
      <c r="N1328" s="2">
        <f>IF(ISERROR(N1327),IF(ISERROR(N1326),IF(ISERROR(N1325),"BLANK",N1325),N1326),N1327)</f>
        <v>2</v>
      </c>
      <c r="O1328" s="2">
        <f>IF(ISERROR(O1327),IF(ISERROR(O1326),IF(ISERROR(O1325),"BLANK",O1325),O1326),O1327)</f>
        <v>1</v>
      </c>
      <c r="P1328" s="27" t="s">
        <v>184</v>
      </c>
      <c r="Q1328" s="7" t="str">
        <f>IF($N1328=1,IF(ISERROR(VLOOKUP($P1328,'M1'!$A:$C,Q$2,FALSE)),"NOT PRESENT",VLOOKUP($P1328,'M1'!$A:$C,Q$2,FALSE)),IF($N1328=2,IF(ISERROR(VLOOKUP(DATA!$P299,'M2'!$A:$C,Q$2,FALSE)),"NOT PRESENT",VLOOKUP(DATA!$P299,'M2'!$A:$C,Q$2,FALSE)),IF($N1328=0,IF(ISERROR(VLOOKUP($P1328,'M1'!$A:$C,Q$2,FALSE)),IF(ISERROR(VLOOKUP(DATA!$P299,'M2'!$A:$C,Q$2,FALSE)),"NOT PRESENT",VLOOKUP(DATA!$P299,'M2'!$A:$C,Q$2,FALSE)),VLOOKUP($P1328,'M1'!$A:$C,Q$2,FALSE)),"SPECIFY METHOD")))</f>
        <v>NOT PRESENT</v>
      </c>
      <c r="R1328" s="4" t="str">
        <f>IF($N1328=1,IF(ISERROR(VLOOKUP($P1328,'M1'!$A:$C,R$2,FALSE)),"NOT PRESENT",VLOOKUP($P1328,'M1'!$A:$C,R$2,FALSE)),IF($N1328=2,IF(ISERROR(VLOOKUP(DATA!$P299,'M2'!$A:$C,R$2,FALSE)),"NOT PRESENT",VLOOKUP(DATA!$P299,'M2'!$A:$C,R$2,FALSE)),IF($N1328=0,IF(ISERROR(VLOOKUP($P1328,'M1'!$A:$C,R$2,FALSE)),IF(ISERROR(VLOOKUP(DATA!$P299,'M2'!$A:$C,R$2,FALSE)),"NOT PRESENT",VLOOKUP(DATA!$P299,'M2'!$A:$C,R$2,FALSE)),VLOOKUP($P1328,'M1'!$A:$C,R$2,FALSE)),"SPECIFY METHOD")))</f>
        <v>NOT PRESENT</v>
      </c>
      <c r="S1328" s="20">
        <f t="shared" si="153"/>
        <v>19</v>
      </c>
      <c r="T1328" s="2">
        <v>19</v>
      </c>
    </row>
    <row r="1329" spans="1:24">
      <c r="A1329" s="7">
        <f>MAX($A$1:$A1328)+1</f>
        <v>1328</v>
      </c>
      <c r="B1329" s="2" t="str">
        <f t="shared" si="151"/>
        <v>Em Lim</v>
      </c>
      <c r="C1329" s="2" t="str">
        <f t="shared" si="154"/>
        <v>Valesca de Groot</v>
      </c>
      <c r="D1329" s="2" t="str">
        <f t="shared" si="154"/>
        <v>BMSC5</v>
      </c>
      <c r="E1329" s="7" t="str">
        <f>IF(ISERROR(VLOOKUP($D1329,SITES!$A:$E,2,FALSE)),"",VLOOKUP($D1329,SITES!$A:$E,2,FALSE))</f>
        <v>Taylor Rock</v>
      </c>
      <c r="F1329" s="4">
        <f>IF(ISERROR(VLOOKUP($D1329,SITES!$A:$E,3,FALSE)),"",VLOOKUP($D1329,SITES!$A:$E,3,FALSE))</f>
        <v>48.8273315429687</v>
      </c>
      <c r="G1329" s="18">
        <f>IF(ISERROR(VLOOKUP($D1329,SITES!$A:$E,4,FALSE)),"",VLOOKUP($D1329,SITES!$A:$E,4,FALSE))</f>
        <v>-125.196601867675</v>
      </c>
      <c r="H1329" s="5" t="str">
        <f t="shared" si="155"/>
        <v>15/05/2023</v>
      </c>
      <c r="I1329" s="2">
        <f t="shared" si="155"/>
        <v>0.5</v>
      </c>
      <c r="J1329" s="2">
        <f t="shared" si="152"/>
        <v>30</v>
      </c>
      <c r="K1329" s="6">
        <f t="shared" si="156"/>
        <v>0.51250000000000007</v>
      </c>
      <c r="L1329" s="2" t="str">
        <f t="shared" si="156"/>
        <v>VDG</v>
      </c>
      <c r="M1329" s="2">
        <f t="shared" si="156"/>
        <v>8</v>
      </c>
      <c r="N1329" s="2">
        <f>IF(ISERROR(N1328),IF(ISERROR(N1327),IF(ISERROR(N1326),"BLANK",N1326),N1327),N1328)</f>
        <v>2</v>
      </c>
      <c r="O1329" s="2">
        <f>IF(ISERROR(O1328),IF(ISERROR(O1327),IF(ISERROR(O1326),"BLANK",O1326),O1327),O1328)</f>
        <v>1</v>
      </c>
      <c r="P1329" s="27" t="s">
        <v>182</v>
      </c>
      <c r="Q1329" s="7" t="str">
        <f>IF($N1329=1,IF(ISERROR(VLOOKUP($P1329,'M1'!$A:$C,Q$2,FALSE)),"NOT PRESENT",VLOOKUP($P1329,'M1'!$A:$C,Q$2,FALSE)),IF($N1329=2,IF(ISERROR(VLOOKUP(DATA!$P300,'M2'!$A:$C,Q$2,FALSE)),"NOT PRESENT",VLOOKUP(DATA!$P300,'M2'!$A:$C,Q$2,FALSE)),IF($N1329=0,IF(ISERROR(VLOOKUP($P1329,'M1'!$A:$C,Q$2,FALSE)),IF(ISERROR(VLOOKUP(DATA!$P300,'M2'!$A:$C,Q$2,FALSE)),"NOT PRESENT",VLOOKUP(DATA!$P300,'M2'!$A:$C,Q$2,FALSE)),VLOOKUP($P1329,'M1'!$A:$C,Q$2,FALSE)),"SPECIFY METHOD")))</f>
        <v>NOT PRESENT</v>
      </c>
      <c r="R1329" s="4" t="str">
        <f>IF($N1329=1,IF(ISERROR(VLOOKUP($P1329,'M1'!$A:$C,R$2,FALSE)),"NOT PRESENT",VLOOKUP($P1329,'M1'!$A:$C,R$2,FALSE)),IF($N1329=2,IF(ISERROR(VLOOKUP(DATA!$P300,'M2'!$A:$C,R$2,FALSE)),"NOT PRESENT",VLOOKUP(DATA!$P300,'M2'!$A:$C,R$2,FALSE)),IF($N1329=0,IF(ISERROR(VLOOKUP($P1329,'M1'!$A:$C,R$2,FALSE)),IF(ISERROR(VLOOKUP(DATA!$P300,'M2'!$A:$C,R$2,FALSE)),"NOT PRESENT",VLOOKUP(DATA!$P300,'M2'!$A:$C,R$2,FALSE)),VLOOKUP($P1329,'M1'!$A:$C,R$2,FALSE)),"SPECIFY METHOD")))</f>
        <v>NOT PRESENT</v>
      </c>
      <c r="S1329" s="20">
        <f t="shared" si="153"/>
        <v>103</v>
      </c>
      <c r="T1329" s="2">
        <v>103</v>
      </c>
    </row>
    <row r="1330" spans="1:24">
      <c r="A1330" s="7">
        <f>MAX($A$1:$A1329)+1</f>
        <v>1329</v>
      </c>
      <c r="B1330" s="2" t="str">
        <f>IF(ISERROR(#REF!),IF(ISERROR(B1329),IF(ISERROR(B1328),"BLANK",B1328),B1329),#REF!)</f>
        <v>Em Lim</v>
      </c>
      <c r="C1330" s="2" t="str">
        <f>IF(ISERROR(#REF!),IF(ISERROR(C1329),IF(ISERROR(C1328),"BLANK",C1328),C1329),#REF!)</f>
        <v>Valesca de Groot</v>
      </c>
      <c r="D1330" s="2" t="str">
        <f>IF(ISERROR(#REF!),IF(ISERROR(D1329),IF(ISERROR(D1328),"BLANK",D1328),D1329),#REF!)</f>
        <v>BMSC5</v>
      </c>
      <c r="E1330" s="7" t="str">
        <f>IF(ISERROR(VLOOKUP($D1330,SITES!$A:$E,2,FALSE)),"",VLOOKUP($D1330,SITES!$A:$E,2,FALSE))</f>
        <v>Taylor Rock</v>
      </c>
      <c r="F1330" s="4">
        <f>IF(ISERROR(VLOOKUP($D1330,SITES!$A:$E,3,FALSE)),"",VLOOKUP($D1330,SITES!$A:$E,3,FALSE))</f>
        <v>48.8273315429687</v>
      </c>
      <c r="G1330" s="18">
        <f>IF(ISERROR(VLOOKUP($D1330,SITES!$A:$E,4,FALSE)),"",VLOOKUP($D1330,SITES!$A:$E,4,FALSE))</f>
        <v>-125.196601867675</v>
      </c>
      <c r="H1330" s="5" t="str">
        <f>IF(ISERROR(#REF!),IF(ISERROR(H1329),IF(ISERROR(H1328),"BLANK",H1328),H1329),#REF!)</f>
        <v>15/05/2023</v>
      </c>
      <c r="I1330" s="2">
        <f>IF(ISERROR(#REF!),IF(ISERROR(I1329),IF(ISERROR(I1328),"BLANK",I1328),I1329),#REF!)</f>
        <v>0.5</v>
      </c>
      <c r="J1330" s="2">
        <f>IF(ISERROR(#REF!),IF(ISERROR(J1329),IF(ISERROR(J1328),"BLANK",J1328),J1329),#REF!)</f>
        <v>30</v>
      </c>
      <c r="K1330" s="6">
        <f>IF(ISERROR(#REF!),IF(ISERROR(K1329),IF(ISERROR(K1328),"BLANK",K1328),K1329),#REF!)</f>
        <v>0.51250000000000007</v>
      </c>
      <c r="L1330" s="2" t="str">
        <f>IF(ISERROR(#REF!),IF(ISERROR(L1329),IF(ISERROR(L1328),"BLANK",L1328),L1329),#REF!)</f>
        <v>VDG</v>
      </c>
      <c r="M1330" s="2">
        <f>IF(ISERROR(#REF!),IF(ISERROR(M1329),IF(ISERROR(M1328),"BLANK",M1328),M1329),#REF!)</f>
        <v>8</v>
      </c>
      <c r="N1330" s="2">
        <f>IF(ISERROR(#REF!),IF(ISERROR(N1329),IF(ISERROR(N1328),"BLANK",N1328),N1329),#REF!)</f>
        <v>2</v>
      </c>
      <c r="O1330" s="2">
        <f>IF(ISERROR(#REF!),IF(ISERROR(O1329),IF(ISERROR(O1328),"BLANK",O1328),O1329),#REF!)</f>
        <v>1</v>
      </c>
      <c r="P1330" s="27" t="s">
        <v>263</v>
      </c>
      <c r="Q1330" s="7" t="str">
        <f>IF($N1330=1,IF(ISERROR(VLOOKUP($P1330,'M1'!$A:$C,Q$2,FALSE)),"NOT PRESENT",VLOOKUP($P1330,'M1'!$A:$C,Q$2,FALSE)),IF($N1330=2,IF(ISERROR(VLOOKUP(DATA!$P301,'M2'!$A:$C,Q$2,FALSE)),"NOT PRESENT",VLOOKUP(DATA!$P301,'M2'!$A:$C,Q$2,FALSE)),IF($N1330=0,IF(ISERROR(VLOOKUP($P1330,'M1'!$A:$C,Q$2,FALSE)),IF(ISERROR(VLOOKUP(DATA!$P301,'M2'!$A:$C,Q$2,FALSE)),"NOT PRESENT",VLOOKUP(DATA!$P301,'M2'!$A:$C,Q$2,FALSE)),VLOOKUP($P1330,'M1'!$A:$C,Q$2,FALSE)),"SPECIFY METHOD")))</f>
        <v>NOT PRESENT</v>
      </c>
      <c r="R1330" s="4" t="str">
        <f>IF($N1330=1,IF(ISERROR(VLOOKUP($P1330,'M1'!$A:$C,R$2,FALSE)),"NOT PRESENT",VLOOKUP($P1330,'M1'!$A:$C,R$2,FALSE)),IF($N1330=2,IF(ISERROR(VLOOKUP(DATA!$P301,'M2'!$A:$C,R$2,FALSE)),"NOT PRESENT",VLOOKUP(DATA!$P301,'M2'!$A:$C,R$2,FALSE)),IF($N1330=0,IF(ISERROR(VLOOKUP($P1330,'M1'!$A:$C,R$2,FALSE)),IF(ISERROR(VLOOKUP(DATA!$P301,'M2'!$A:$C,R$2,FALSE)),"NOT PRESENT",VLOOKUP(DATA!$P301,'M2'!$A:$C,R$2,FALSE)),VLOOKUP($P1330,'M1'!$A:$C,R$2,FALSE)),"SPECIFY METHOD")))</f>
        <v>NOT PRESENT</v>
      </c>
      <c r="S1330" s="20">
        <f t="shared" si="153"/>
        <v>1</v>
      </c>
      <c r="T1330" s="2">
        <v>1</v>
      </c>
    </row>
    <row r="1331" spans="1:24">
      <c r="A1331" s="7">
        <f>MAX($A$1:$A1330)+1</f>
        <v>1330</v>
      </c>
      <c r="B1331" s="2" t="str">
        <f>IF(ISERROR(B1330),IF(ISERROR(#REF!),IF(ISERROR(B1329),"BLANK",B1329),#REF!),B1330)</f>
        <v>Em Lim</v>
      </c>
      <c r="C1331" s="2" t="str">
        <f>IF(ISERROR(C1330),IF(ISERROR(#REF!),IF(ISERROR(C1329),"BLANK",C1329),#REF!),C1330)</f>
        <v>Valesca de Groot</v>
      </c>
      <c r="D1331" s="2" t="str">
        <f>IF(ISERROR(D1330),IF(ISERROR(#REF!),IF(ISERROR(D1329),"BLANK",D1329),#REF!),D1330)</f>
        <v>BMSC5</v>
      </c>
      <c r="E1331" s="7" t="str">
        <f>IF(ISERROR(VLOOKUP($D1331,SITES!$A:$E,2,FALSE)),"",VLOOKUP($D1331,SITES!$A:$E,2,FALSE))</f>
        <v>Taylor Rock</v>
      </c>
      <c r="F1331" s="4">
        <f>IF(ISERROR(VLOOKUP($D1331,SITES!$A:$E,3,FALSE)),"",VLOOKUP($D1331,SITES!$A:$E,3,FALSE))</f>
        <v>48.8273315429687</v>
      </c>
      <c r="G1331" s="18">
        <f>IF(ISERROR(VLOOKUP($D1331,SITES!$A:$E,4,FALSE)),"",VLOOKUP($D1331,SITES!$A:$E,4,FALSE))</f>
        <v>-125.196601867675</v>
      </c>
      <c r="H1331" s="5" t="str">
        <f>IF(ISERROR(H1330),IF(ISERROR(#REF!),IF(ISERROR(H1329),"BLANK",H1329),#REF!),H1330)</f>
        <v>15/05/2023</v>
      </c>
      <c r="I1331" s="2">
        <f>IF(ISERROR(I1330),IF(ISERROR(#REF!),IF(ISERROR(I1329),"BLANK",I1329),#REF!),I1330)</f>
        <v>0.5</v>
      </c>
      <c r="J1331" s="2">
        <f>IF(ISERROR(J1330),IF(ISERROR(#REF!),IF(ISERROR(J1329),"BLANK",J1329),#REF!),J1330)</f>
        <v>30</v>
      </c>
      <c r="K1331" s="6">
        <f>IF(ISERROR(K1330),IF(ISERROR(#REF!),IF(ISERROR(K1329),"BLANK",K1329),#REF!),K1330)</f>
        <v>0.51250000000000007</v>
      </c>
      <c r="L1331" s="2" t="str">
        <f>IF(ISERROR(L1330),IF(ISERROR(#REF!),IF(ISERROR(L1329),"BLANK",L1329),#REF!),L1330)</f>
        <v>VDG</v>
      </c>
      <c r="M1331" s="2">
        <f>IF(ISERROR(M1330),IF(ISERROR(#REF!),IF(ISERROR(M1329),"BLANK",M1329),#REF!),M1330)</f>
        <v>8</v>
      </c>
      <c r="N1331" s="2">
        <f>IF(ISERROR(N1330),IF(ISERROR(#REF!),IF(ISERROR(N1329),"BLANK",N1329),#REF!),N1330)</f>
        <v>2</v>
      </c>
      <c r="O1331" s="2">
        <f>IF(ISERROR(O1330),IF(ISERROR(#REF!),IF(ISERROR(O1329),"BLANK",O1329),#REF!),O1330)</f>
        <v>1</v>
      </c>
      <c r="P1331" s="27" t="s">
        <v>189</v>
      </c>
      <c r="Q1331" s="7" t="str">
        <f>IF($N1331=1,IF(ISERROR(VLOOKUP($P1331,'M1'!$A:$C,Q$2,FALSE)),"NOT PRESENT",VLOOKUP($P1331,'M1'!$A:$C,Q$2,FALSE)),IF($N1331=2,IF(ISERROR(VLOOKUP(DATA!$P302,'M2'!$A:$C,Q$2,FALSE)),"NOT PRESENT",VLOOKUP(DATA!$P302,'M2'!$A:$C,Q$2,FALSE)),IF($N1331=0,IF(ISERROR(VLOOKUP($P1331,'M1'!$A:$C,Q$2,FALSE)),IF(ISERROR(VLOOKUP(DATA!$P302,'M2'!$A:$C,Q$2,FALSE)),"NOT PRESENT",VLOOKUP(DATA!$P302,'M2'!$A:$C,Q$2,FALSE)),VLOOKUP($P1331,'M1'!$A:$C,Q$2,FALSE)),"SPECIFY METHOD")))</f>
        <v>NOT PRESENT</v>
      </c>
      <c r="R1331" s="4" t="str">
        <f>IF($N1331=1,IF(ISERROR(VLOOKUP($P1331,'M1'!$A:$C,R$2,FALSE)),"NOT PRESENT",VLOOKUP($P1331,'M1'!$A:$C,R$2,FALSE)),IF($N1331=2,IF(ISERROR(VLOOKUP(DATA!$P302,'M2'!$A:$C,R$2,FALSE)),"NOT PRESENT",VLOOKUP(DATA!$P302,'M2'!$A:$C,R$2,FALSE)),IF($N1331=0,IF(ISERROR(VLOOKUP($P1331,'M1'!$A:$C,R$2,FALSE)),IF(ISERROR(VLOOKUP(DATA!$P302,'M2'!$A:$C,R$2,FALSE)),"NOT PRESENT",VLOOKUP(DATA!$P302,'M2'!$A:$C,R$2,FALSE)),VLOOKUP($P1331,'M1'!$A:$C,R$2,FALSE)),"SPECIFY METHOD")))</f>
        <v>NOT PRESENT</v>
      </c>
      <c r="S1331" s="20">
        <f t="shared" si="153"/>
        <v>3</v>
      </c>
      <c r="T1331" s="2">
        <v>3</v>
      </c>
    </row>
    <row r="1332" spans="1:24">
      <c r="A1332" s="7">
        <f>MAX($A$1:$A1331)+1</f>
        <v>1331</v>
      </c>
      <c r="B1332" s="2" t="str">
        <f>IF(ISERROR(B1331),IF(ISERROR(B1330),IF(ISERROR(#REF!),"BLANK",#REF!),B1330),B1331)</f>
        <v>Em Lim</v>
      </c>
      <c r="C1332" s="2" t="str">
        <f>IF(ISERROR(C1331),IF(ISERROR(C1330),IF(ISERROR(#REF!),"BLANK",#REF!),C1330),C1331)</f>
        <v>Valesca de Groot</v>
      </c>
      <c r="D1332" s="2" t="str">
        <f>IF(ISERROR(D1331),IF(ISERROR(D1330),IF(ISERROR(#REF!),"BLANK",#REF!),D1330),D1331)</f>
        <v>BMSC5</v>
      </c>
      <c r="E1332" s="7" t="str">
        <f>IF(ISERROR(VLOOKUP($D1332,SITES!$A:$E,2,FALSE)),"",VLOOKUP($D1332,SITES!$A:$E,2,FALSE))</f>
        <v>Taylor Rock</v>
      </c>
      <c r="F1332" s="4">
        <f>IF(ISERROR(VLOOKUP($D1332,SITES!$A:$E,3,FALSE)),"",VLOOKUP($D1332,SITES!$A:$E,3,FALSE))</f>
        <v>48.8273315429687</v>
      </c>
      <c r="G1332" s="18">
        <f>IF(ISERROR(VLOOKUP($D1332,SITES!$A:$E,4,FALSE)),"",VLOOKUP($D1332,SITES!$A:$E,4,FALSE))</f>
        <v>-125.196601867675</v>
      </c>
      <c r="H1332" s="5" t="str">
        <f>IF(ISERROR(H1331),IF(ISERROR(H1330),IF(ISERROR(#REF!),"BLANK",#REF!),H1330),H1331)</f>
        <v>15/05/2023</v>
      </c>
      <c r="I1332" s="2">
        <f>IF(ISERROR(I1331),IF(ISERROR(I1330),IF(ISERROR(#REF!),"BLANK",#REF!),I1330),I1331)</f>
        <v>0.5</v>
      </c>
      <c r="J1332" s="2">
        <f>IF(ISERROR(J1331),IF(ISERROR(J1330),IF(ISERROR(#REF!),"BLANK",#REF!),J1330),J1331)</f>
        <v>30</v>
      </c>
      <c r="K1332" s="6">
        <f>IF(ISERROR(K1331),IF(ISERROR(K1330),IF(ISERROR(#REF!),"BLANK",#REF!),K1330),K1331)</f>
        <v>0.51250000000000007</v>
      </c>
      <c r="L1332" s="2" t="str">
        <f>IF(ISERROR(L1331),IF(ISERROR(L1330),IF(ISERROR(#REF!),"BLANK",#REF!),L1330),L1331)</f>
        <v>VDG</v>
      </c>
      <c r="M1332" s="2">
        <f>IF(ISERROR(M1331),IF(ISERROR(M1330),IF(ISERROR(#REF!),"BLANK",#REF!),M1330),M1331)</f>
        <v>8</v>
      </c>
      <c r="N1332" s="2">
        <f>IF(ISERROR(N1331),IF(ISERROR(N1330),IF(ISERROR(#REF!),"BLANK",#REF!),N1330),N1331)</f>
        <v>2</v>
      </c>
      <c r="O1332" s="2">
        <f>IF(ISERROR(O1331),IF(ISERROR(O1330),IF(ISERROR(#REF!),"BLANK",#REF!),O1330),O1331)</f>
        <v>1</v>
      </c>
      <c r="P1332" s="27" t="s">
        <v>185</v>
      </c>
      <c r="Q1332" s="7" t="str">
        <f>IF($N1332=1,IF(ISERROR(VLOOKUP($P1332,'M1'!$A:$C,Q$2,FALSE)),"NOT PRESENT",VLOOKUP($P1332,'M1'!$A:$C,Q$2,FALSE)),IF($N1332=2,IF(ISERROR(VLOOKUP(DATA!$P303,'M2'!$A:$C,Q$2,FALSE)),"NOT PRESENT",VLOOKUP(DATA!$P303,'M2'!$A:$C,Q$2,FALSE)),IF($N1332=0,IF(ISERROR(VLOOKUP($P1332,'M1'!$A:$C,Q$2,FALSE)),IF(ISERROR(VLOOKUP(DATA!$P303,'M2'!$A:$C,Q$2,FALSE)),"NOT PRESENT",VLOOKUP(DATA!$P303,'M2'!$A:$C,Q$2,FALSE)),VLOOKUP($P1332,'M1'!$A:$C,Q$2,FALSE)),"SPECIFY METHOD")))</f>
        <v>NOT PRESENT</v>
      </c>
      <c r="R1332" s="4" t="str">
        <f>IF($N1332=1,IF(ISERROR(VLOOKUP($P1332,'M1'!$A:$C,R$2,FALSE)),"NOT PRESENT",VLOOKUP($P1332,'M1'!$A:$C,R$2,FALSE)),IF($N1332=2,IF(ISERROR(VLOOKUP(DATA!$P303,'M2'!$A:$C,R$2,FALSE)),"NOT PRESENT",VLOOKUP(DATA!$P303,'M2'!$A:$C,R$2,FALSE)),IF($N1332=0,IF(ISERROR(VLOOKUP($P1332,'M1'!$A:$C,R$2,FALSE)),IF(ISERROR(VLOOKUP(DATA!$P303,'M2'!$A:$C,R$2,FALSE)),"NOT PRESENT",VLOOKUP(DATA!$P303,'M2'!$A:$C,R$2,FALSE)),VLOOKUP($P1332,'M1'!$A:$C,R$2,FALSE)),"SPECIFY METHOD")))</f>
        <v>NOT PRESENT</v>
      </c>
      <c r="S1332" s="20">
        <f t="shared" si="153"/>
        <v>3</v>
      </c>
      <c r="T1332" s="2">
        <v>3</v>
      </c>
    </row>
    <row r="1333" spans="1:24">
      <c r="A1333" s="7">
        <f>MAX($A$1:$A1332)+1</f>
        <v>1332</v>
      </c>
      <c r="B1333" s="2" t="str">
        <f t="shared" ref="B1333:B1345" si="157">IF(ISERROR(B1332),IF(ISERROR(B1331),IF(ISERROR(B1330),"BLANK",B1330),B1331),B1332)</f>
        <v>Em Lim</v>
      </c>
      <c r="C1333" s="2" t="str">
        <f t="shared" ref="C1333:C1345" si="158">IF(ISERROR(C1332),IF(ISERROR(C1331),IF(ISERROR(C1330),"BLANK",C1330),C1331),C1332)</f>
        <v>Valesca de Groot</v>
      </c>
      <c r="D1333" s="2" t="str">
        <f t="shared" ref="D1333:D1345" si="159">IF(ISERROR(D1332),IF(ISERROR(D1331),IF(ISERROR(D1330),"BLANK",D1330),D1331),D1332)</f>
        <v>BMSC5</v>
      </c>
      <c r="E1333" s="7" t="str">
        <f>IF(ISERROR(VLOOKUP($D1333,SITES!$A:$E,2,FALSE)),"",VLOOKUP($D1333,SITES!$A:$E,2,FALSE))</f>
        <v>Taylor Rock</v>
      </c>
      <c r="F1333" s="4">
        <f>IF(ISERROR(VLOOKUP($D1333,SITES!$A:$E,3,FALSE)),"",VLOOKUP($D1333,SITES!$A:$E,3,FALSE))</f>
        <v>48.8273315429687</v>
      </c>
      <c r="G1333" s="18">
        <f>IF(ISERROR(VLOOKUP($D1333,SITES!$A:$E,4,FALSE)),"",VLOOKUP($D1333,SITES!$A:$E,4,FALSE))</f>
        <v>-125.196601867675</v>
      </c>
      <c r="H1333" s="5" t="str">
        <f t="shared" ref="H1333:H1345" si="160">IF(ISERROR(H1332),IF(ISERROR(H1331),IF(ISERROR(H1330),"BLANK",H1330),H1331),H1332)</f>
        <v>15/05/2023</v>
      </c>
      <c r="I1333" s="2">
        <f t="shared" ref="I1333:I1345" si="161">IF(ISERROR(I1332),IF(ISERROR(I1331),IF(ISERROR(I1330),"BLANK",I1330),I1331),I1332)</f>
        <v>0.5</v>
      </c>
      <c r="J1333" s="2">
        <f t="shared" ref="J1333:J1345" si="162">IF(ISERROR(J1332),IF(ISERROR(J1331),IF(ISERROR(J1330),"BLANK",J1330),J1331),J1332)</f>
        <v>30</v>
      </c>
      <c r="K1333" s="6">
        <f t="shared" ref="K1333:K1345" si="163">IF(ISERROR(K1332),IF(ISERROR(K1331),IF(ISERROR(K1330),"BLANK",K1330),K1331),K1332)</f>
        <v>0.51250000000000007</v>
      </c>
      <c r="L1333" s="2" t="str">
        <f t="shared" ref="L1333:L1345" si="164">IF(ISERROR(L1332),IF(ISERROR(L1331),IF(ISERROR(L1330),"BLANK",L1330),L1331),L1332)</f>
        <v>VDG</v>
      </c>
      <c r="M1333" s="2">
        <f t="shared" ref="M1333:M1345" si="165">IF(ISERROR(M1332),IF(ISERROR(M1331),IF(ISERROR(M1330),"BLANK",M1330),M1331),M1332)</f>
        <v>8</v>
      </c>
      <c r="N1333" s="2">
        <f t="shared" ref="N1333:N1345" si="166">IF(ISERROR(N1332),IF(ISERROR(N1331),IF(ISERROR(N1330),"BLANK",N1330),N1331),N1332)</f>
        <v>2</v>
      </c>
      <c r="O1333" s="2">
        <f t="shared" ref="O1333:O1345" si="167">IF(ISERROR(O1332),IF(ISERROR(O1331),IF(ISERROR(O1330),"BLANK",O1330),O1331),O1332)</f>
        <v>1</v>
      </c>
      <c r="P1333" s="27" t="s">
        <v>181</v>
      </c>
      <c r="Q1333" s="7" t="str">
        <f>IF($N1333=1,IF(ISERROR(VLOOKUP($P1333,'M1'!$A:$C,Q$2,FALSE)),"NOT PRESENT",VLOOKUP($P1333,'M1'!$A:$C,Q$2,FALSE)),IF($N1333=2,IF(ISERROR(VLOOKUP(DATA!$P304,'M2'!$A:$C,Q$2,FALSE)),"NOT PRESENT",VLOOKUP(DATA!$P304,'M2'!$A:$C,Q$2,FALSE)),IF($N1333=0,IF(ISERROR(VLOOKUP($P1333,'M1'!$A:$C,Q$2,FALSE)),IF(ISERROR(VLOOKUP(DATA!$P304,'M2'!$A:$C,Q$2,FALSE)),"NOT PRESENT",VLOOKUP(DATA!$P304,'M2'!$A:$C,Q$2,FALSE)),VLOOKUP($P1333,'M1'!$A:$C,Q$2,FALSE)),"SPECIFY METHOD")))</f>
        <v>NOT PRESENT</v>
      </c>
      <c r="R1333" s="4" t="str">
        <f>IF($N1333=1,IF(ISERROR(VLOOKUP($P1333,'M1'!$A:$C,R$2,FALSE)),"NOT PRESENT",VLOOKUP($P1333,'M1'!$A:$C,R$2,FALSE)),IF($N1333=2,IF(ISERROR(VLOOKUP(DATA!$P304,'M2'!$A:$C,R$2,FALSE)),"NOT PRESENT",VLOOKUP(DATA!$P304,'M2'!$A:$C,R$2,FALSE)),IF($N1333=0,IF(ISERROR(VLOOKUP($P1333,'M1'!$A:$C,R$2,FALSE)),IF(ISERROR(VLOOKUP(DATA!$P304,'M2'!$A:$C,R$2,FALSE)),"NOT PRESENT",VLOOKUP(DATA!$P304,'M2'!$A:$C,R$2,FALSE)),VLOOKUP($P1333,'M1'!$A:$C,R$2,FALSE)),"SPECIFY METHOD")))</f>
        <v>NOT PRESENT</v>
      </c>
      <c r="S1333" s="20">
        <f t="shared" si="153"/>
        <v>12</v>
      </c>
      <c r="T1333" s="2">
        <v>0</v>
      </c>
      <c r="U1333" s="2">
        <v>3</v>
      </c>
      <c r="V1333" s="2">
        <v>5</v>
      </c>
      <c r="W1333" s="2">
        <v>2</v>
      </c>
      <c r="X1333" s="2">
        <v>2</v>
      </c>
    </row>
    <row r="1334" spans="1:24">
      <c r="A1334" s="7">
        <f>MAX($A$1:$A1333)+1</f>
        <v>1333</v>
      </c>
      <c r="B1334" s="2" t="str">
        <f t="shared" si="157"/>
        <v>Em Lim</v>
      </c>
      <c r="C1334" s="2" t="str">
        <f t="shared" si="158"/>
        <v>Valesca de Groot</v>
      </c>
      <c r="D1334" s="2" t="str">
        <f t="shared" si="159"/>
        <v>BMSC5</v>
      </c>
      <c r="E1334" s="7" t="str">
        <f>IF(ISERROR(VLOOKUP($D1334,SITES!$A:$E,2,FALSE)),"",VLOOKUP($D1334,SITES!$A:$E,2,FALSE))</f>
        <v>Taylor Rock</v>
      </c>
      <c r="F1334" s="4">
        <f>IF(ISERROR(VLOOKUP($D1334,SITES!$A:$E,3,FALSE)),"",VLOOKUP($D1334,SITES!$A:$E,3,FALSE))</f>
        <v>48.8273315429687</v>
      </c>
      <c r="G1334" s="18">
        <f>IF(ISERROR(VLOOKUP($D1334,SITES!$A:$E,4,FALSE)),"",VLOOKUP($D1334,SITES!$A:$E,4,FALSE))</f>
        <v>-125.196601867675</v>
      </c>
      <c r="H1334" s="5" t="str">
        <f t="shared" si="160"/>
        <v>15/05/2023</v>
      </c>
      <c r="I1334" s="2">
        <f t="shared" si="161"/>
        <v>0.5</v>
      </c>
      <c r="J1334" s="2">
        <f t="shared" si="162"/>
        <v>30</v>
      </c>
      <c r="K1334" s="6">
        <f t="shared" si="163"/>
        <v>0.51250000000000007</v>
      </c>
      <c r="L1334" s="2" t="str">
        <f t="shared" si="164"/>
        <v>VDG</v>
      </c>
      <c r="M1334" s="2">
        <f t="shared" si="165"/>
        <v>8</v>
      </c>
      <c r="N1334" s="2">
        <f t="shared" si="166"/>
        <v>2</v>
      </c>
      <c r="O1334" s="2">
        <f t="shared" si="167"/>
        <v>1</v>
      </c>
      <c r="P1334" s="27" t="s">
        <v>196</v>
      </c>
      <c r="Q1334" s="7" t="str">
        <f>IF($N1334=1,IF(ISERROR(VLOOKUP($P1334,'M1'!$A:$C,Q$2,FALSE)),"NOT PRESENT",VLOOKUP($P1334,'M1'!$A:$C,Q$2,FALSE)),IF($N1334=2,IF(ISERROR(VLOOKUP(DATA!$P305,'M2'!$A:$C,Q$2,FALSE)),"NOT PRESENT",VLOOKUP(DATA!$P305,'M2'!$A:$C,Q$2,FALSE)),IF($N1334=0,IF(ISERROR(VLOOKUP($P1334,'M1'!$A:$C,Q$2,FALSE)),IF(ISERROR(VLOOKUP(DATA!$P305,'M2'!$A:$C,Q$2,FALSE)),"NOT PRESENT",VLOOKUP(DATA!$P305,'M2'!$A:$C,Q$2,FALSE)),VLOOKUP($P1334,'M1'!$A:$C,Q$2,FALSE)),"SPECIFY METHOD")))</f>
        <v>NOT PRESENT</v>
      </c>
      <c r="R1334" s="4" t="str">
        <f>IF($N1334=1,IF(ISERROR(VLOOKUP($P1334,'M1'!$A:$C,R$2,FALSE)),"NOT PRESENT",VLOOKUP($P1334,'M1'!$A:$C,R$2,FALSE)),IF($N1334=2,IF(ISERROR(VLOOKUP(DATA!$P305,'M2'!$A:$C,R$2,FALSE)),"NOT PRESENT",VLOOKUP(DATA!$P305,'M2'!$A:$C,R$2,FALSE)),IF($N1334=0,IF(ISERROR(VLOOKUP($P1334,'M1'!$A:$C,R$2,FALSE)),IF(ISERROR(VLOOKUP(DATA!$P305,'M2'!$A:$C,R$2,FALSE)),"NOT PRESENT",VLOOKUP(DATA!$P305,'M2'!$A:$C,R$2,FALSE)),VLOOKUP($P1334,'M1'!$A:$C,R$2,FALSE)),"SPECIFY METHOD")))</f>
        <v>NOT PRESENT</v>
      </c>
      <c r="S1334" s="20">
        <f t="shared" si="153"/>
        <v>6</v>
      </c>
      <c r="T1334" s="2">
        <v>6</v>
      </c>
    </row>
    <row r="1335" spans="1:24">
      <c r="A1335" s="7">
        <f>MAX($A$1:$A1334)+1</f>
        <v>1334</v>
      </c>
      <c r="B1335" s="2" t="str">
        <f t="shared" si="157"/>
        <v>Em Lim</v>
      </c>
      <c r="C1335" s="2" t="str">
        <f t="shared" si="158"/>
        <v>Valesca de Groot</v>
      </c>
      <c r="D1335" s="2" t="str">
        <f t="shared" si="159"/>
        <v>BMSC5</v>
      </c>
      <c r="E1335" s="7" t="str">
        <f>IF(ISERROR(VLOOKUP($D1335,SITES!$A:$E,2,FALSE)),"",VLOOKUP($D1335,SITES!$A:$E,2,FALSE))</f>
        <v>Taylor Rock</v>
      </c>
      <c r="F1335" s="4">
        <f>IF(ISERROR(VLOOKUP($D1335,SITES!$A:$E,3,FALSE)),"",VLOOKUP($D1335,SITES!$A:$E,3,FALSE))</f>
        <v>48.8273315429687</v>
      </c>
      <c r="G1335" s="18">
        <f>IF(ISERROR(VLOOKUP($D1335,SITES!$A:$E,4,FALSE)),"",VLOOKUP($D1335,SITES!$A:$E,4,FALSE))</f>
        <v>-125.196601867675</v>
      </c>
      <c r="H1335" s="5" t="str">
        <f t="shared" si="160"/>
        <v>15/05/2023</v>
      </c>
      <c r="I1335" s="2">
        <f t="shared" si="161"/>
        <v>0.5</v>
      </c>
      <c r="J1335" s="2">
        <f t="shared" si="162"/>
        <v>30</v>
      </c>
      <c r="K1335" s="6">
        <f t="shared" si="163"/>
        <v>0.51250000000000007</v>
      </c>
      <c r="L1335" s="2" t="str">
        <f t="shared" si="164"/>
        <v>VDG</v>
      </c>
      <c r="M1335" s="2">
        <f t="shared" si="165"/>
        <v>8</v>
      </c>
      <c r="N1335" s="2">
        <f t="shared" si="166"/>
        <v>2</v>
      </c>
      <c r="O1335" s="2">
        <f t="shared" si="167"/>
        <v>1</v>
      </c>
      <c r="P1335" s="27" t="s">
        <v>194</v>
      </c>
      <c r="Q1335" s="7" t="str">
        <f>IF($N1335=1,IF(ISERROR(VLOOKUP($P1335,'M1'!$A:$C,Q$2,FALSE)),"NOT PRESENT",VLOOKUP($P1335,'M1'!$A:$C,Q$2,FALSE)),IF($N1335=2,IF(ISERROR(VLOOKUP(DATA!$P306,'M2'!$A:$C,Q$2,FALSE)),"NOT PRESENT",VLOOKUP(DATA!$P306,'M2'!$A:$C,Q$2,FALSE)),IF($N1335=0,IF(ISERROR(VLOOKUP($P1335,'M1'!$A:$C,Q$2,FALSE)),IF(ISERROR(VLOOKUP(DATA!$P306,'M2'!$A:$C,Q$2,FALSE)),"NOT PRESENT",VLOOKUP(DATA!$P306,'M2'!$A:$C,Q$2,FALSE)),VLOOKUP($P1335,'M1'!$A:$C,Q$2,FALSE)),"SPECIFY METHOD")))</f>
        <v>NOT PRESENT</v>
      </c>
      <c r="R1335" s="4" t="str">
        <f>IF($N1335=1,IF(ISERROR(VLOOKUP($P1335,'M1'!$A:$C,R$2,FALSE)),"NOT PRESENT",VLOOKUP($P1335,'M1'!$A:$C,R$2,FALSE)),IF($N1335=2,IF(ISERROR(VLOOKUP(DATA!$P306,'M2'!$A:$C,R$2,FALSE)),"NOT PRESENT",VLOOKUP(DATA!$P306,'M2'!$A:$C,R$2,FALSE)),IF($N1335=0,IF(ISERROR(VLOOKUP($P1335,'M1'!$A:$C,R$2,FALSE)),IF(ISERROR(VLOOKUP(DATA!$P306,'M2'!$A:$C,R$2,FALSE)),"NOT PRESENT",VLOOKUP(DATA!$P306,'M2'!$A:$C,R$2,FALSE)),VLOOKUP($P1335,'M1'!$A:$C,R$2,FALSE)),"SPECIFY METHOD")))</f>
        <v>NOT PRESENT</v>
      </c>
      <c r="S1335" s="20">
        <f t="shared" si="153"/>
        <v>7</v>
      </c>
      <c r="T1335" s="2">
        <v>0</v>
      </c>
      <c r="U1335" s="2">
        <v>6</v>
      </c>
      <c r="V1335" s="2">
        <v>1</v>
      </c>
    </row>
    <row r="1336" spans="1:24">
      <c r="A1336" s="7">
        <f>MAX($A$1:$A1335)+1</f>
        <v>1335</v>
      </c>
      <c r="B1336" s="2" t="str">
        <f t="shared" si="157"/>
        <v>Em Lim</v>
      </c>
      <c r="C1336" s="2" t="str">
        <f t="shared" si="158"/>
        <v>Valesca de Groot</v>
      </c>
      <c r="D1336" s="2" t="str">
        <f t="shared" si="159"/>
        <v>BMSC5</v>
      </c>
      <c r="E1336" s="7" t="str">
        <f>IF(ISERROR(VLOOKUP($D1336,SITES!$A:$E,2,FALSE)),"",VLOOKUP($D1336,SITES!$A:$E,2,FALSE))</f>
        <v>Taylor Rock</v>
      </c>
      <c r="F1336" s="4">
        <f>IF(ISERROR(VLOOKUP($D1336,SITES!$A:$E,3,FALSE)),"",VLOOKUP($D1336,SITES!$A:$E,3,FALSE))</f>
        <v>48.8273315429687</v>
      </c>
      <c r="G1336" s="18">
        <f>IF(ISERROR(VLOOKUP($D1336,SITES!$A:$E,4,FALSE)),"",VLOOKUP($D1336,SITES!$A:$E,4,FALSE))</f>
        <v>-125.196601867675</v>
      </c>
      <c r="H1336" s="5" t="str">
        <f t="shared" si="160"/>
        <v>15/05/2023</v>
      </c>
      <c r="I1336" s="2">
        <f t="shared" si="161"/>
        <v>0.5</v>
      </c>
      <c r="J1336" s="2">
        <f t="shared" si="162"/>
        <v>30</v>
      </c>
      <c r="K1336" s="6">
        <f t="shared" si="163"/>
        <v>0.51250000000000007</v>
      </c>
      <c r="L1336" s="2" t="str">
        <f t="shared" si="164"/>
        <v>VDG</v>
      </c>
      <c r="M1336" s="2">
        <f t="shared" si="165"/>
        <v>8</v>
      </c>
      <c r="N1336" s="2">
        <f t="shared" si="166"/>
        <v>2</v>
      </c>
      <c r="O1336" s="2">
        <f t="shared" si="167"/>
        <v>1</v>
      </c>
      <c r="P1336" s="27" t="s">
        <v>202</v>
      </c>
      <c r="Q1336" s="7" t="str">
        <f>IF($N1336=1,IF(ISERROR(VLOOKUP($P1336,'M1'!$A:$C,Q$2,FALSE)),"NOT PRESENT",VLOOKUP($P1336,'M1'!$A:$C,Q$2,FALSE)),IF($N1336=2,IF(ISERROR(VLOOKUP(DATA!$P307,'M2'!$A:$C,Q$2,FALSE)),"NOT PRESENT",VLOOKUP(DATA!$P307,'M2'!$A:$C,Q$2,FALSE)),IF($N1336=0,IF(ISERROR(VLOOKUP($P1336,'M1'!$A:$C,Q$2,FALSE)),IF(ISERROR(VLOOKUP(DATA!$P307,'M2'!$A:$C,Q$2,FALSE)),"NOT PRESENT",VLOOKUP(DATA!$P307,'M2'!$A:$C,Q$2,FALSE)),VLOOKUP($P1336,'M1'!$A:$C,Q$2,FALSE)),"SPECIFY METHOD")))</f>
        <v>NOT PRESENT</v>
      </c>
      <c r="R1336" s="4" t="str">
        <f>IF($N1336=1,IF(ISERROR(VLOOKUP($P1336,'M1'!$A:$C,R$2,FALSE)),"NOT PRESENT",VLOOKUP($P1336,'M1'!$A:$C,R$2,FALSE)),IF($N1336=2,IF(ISERROR(VLOOKUP(DATA!$P307,'M2'!$A:$C,R$2,FALSE)),"NOT PRESENT",VLOOKUP(DATA!$P307,'M2'!$A:$C,R$2,FALSE)),IF($N1336=0,IF(ISERROR(VLOOKUP($P1336,'M1'!$A:$C,R$2,FALSE)),IF(ISERROR(VLOOKUP(DATA!$P307,'M2'!$A:$C,R$2,FALSE)),"NOT PRESENT",VLOOKUP(DATA!$P307,'M2'!$A:$C,R$2,FALSE)),VLOOKUP($P1336,'M1'!$A:$C,R$2,FALSE)),"SPECIFY METHOD")))</f>
        <v>NOT PRESENT</v>
      </c>
      <c r="S1336" s="20">
        <f t="shared" si="153"/>
        <v>12</v>
      </c>
      <c r="T1336" s="2">
        <v>12</v>
      </c>
    </row>
    <row r="1337" spans="1:24">
      <c r="A1337" s="7">
        <f>MAX($A$1:$A1336)+1</f>
        <v>1336</v>
      </c>
      <c r="B1337" s="2" t="str">
        <f t="shared" si="157"/>
        <v>Em Lim</v>
      </c>
      <c r="C1337" s="2" t="str">
        <f t="shared" si="158"/>
        <v>Valesca de Groot</v>
      </c>
      <c r="D1337" s="2" t="str">
        <f t="shared" si="159"/>
        <v>BMSC5</v>
      </c>
      <c r="E1337" s="7" t="str">
        <f>IF(ISERROR(VLOOKUP($D1337,SITES!$A:$E,2,FALSE)),"",VLOOKUP($D1337,SITES!$A:$E,2,FALSE))</f>
        <v>Taylor Rock</v>
      </c>
      <c r="F1337" s="4">
        <f>IF(ISERROR(VLOOKUP($D1337,SITES!$A:$E,3,FALSE)),"",VLOOKUP($D1337,SITES!$A:$E,3,FALSE))</f>
        <v>48.8273315429687</v>
      </c>
      <c r="G1337" s="18">
        <f>IF(ISERROR(VLOOKUP($D1337,SITES!$A:$E,4,FALSE)),"",VLOOKUP($D1337,SITES!$A:$E,4,FALSE))</f>
        <v>-125.196601867675</v>
      </c>
      <c r="H1337" s="5" t="str">
        <f t="shared" si="160"/>
        <v>15/05/2023</v>
      </c>
      <c r="I1337" s="2">
        <f t="shared" si="161"/>
        <v>0.5</v>
      </c>
      <c r="J1337" s="2">
        <f t="shared" si="162"/>
        <v>30</v>
      </c>
      <c r="K1337" s="6">
        <f t="shared" si="163"/>
        <v>0.51250000000000007</v>
      </c>
      <c r="L1337" s="2" t="str">
        <f t="shared" si="164"/>
        <v>VDG</v>
      </c>
      <c r="M1337" s="2">
        <f t="shared" si="165"/>
        <v>8</v>
      </c>
      <c r="N1337" s="2">
        <f t="shared" si="166"/>
        <v>2</v>
      </c>
      <c r="O1337" s="2">
        <f t="shared" si="167"/>
        <v>1</v>
      </c>
      <c r="P1337" s="27" t="s">
        <v>190</v>
      </c>
      <c r="Q1337" s="7" t="str">
        <f>IF($N1337=1,IF(ISERROR(VLOOKUP($P1337,'M1'!$A:$C,Q$2,FALSE)),"NOT PRESENT",VLOOKUP($P1337,'M1'!$A:$C,Q$2,FALSE)),IF($N1337=2,IF(ISERROR(VLOOKUP(DATA!$P308,'M2'!$A:$C,Q$2,FALSE)),"NOT PRESENT",VLOOKUP(DATA!$P308,'M2'!$A:$C,Q$2,FALSE)),IF($N1337=0,IF(ISERROR(VLOOKUP($P1337,'M1'!$A:$C,Q$2,FALSE)),IF(ISERROR(VLOOKUP(DATA!$P308,'M2'!$A:$C,Q$2,FALSE)),"NOT PRESENT",VLOOKUP(DATA!$P308,'M2'!$A:$C,Q$2,FALSE)),VLOOKUP($P1337,'M1'!$A:$C,Q$2,FALSE)),"SPECIFY METHOD")))</f>
        <v>NOT PRESENT</v>
      </c>
      <c r="R1337" s="4" t="str">
        <f>IF($N1337=1,IF(ISERROR(VLOOKUP($P1337,'M1'!$A:$C,R$2,FALSE)),"NOT PRESENT",VLOOKUP($P1337,'M1'!$A:$C,R$2,FALSE)),IF($N1337=2,IF(ISERROR(VLOOKUP(DATA!$P308,'M2'!$A:$C,R$2,FALSE)),"NOT PRESENT",VLOOKUP(DATA!$P308,'M2'!$A:$C,R$2,FALSE)),IF($N1337=0,IF(ISERROR(VLOOKUP($P1337,'M1'!$A:$C,R$2,FALSE)),IF(ISERROR(VLOOKUP(DATA!$P308,'M2'!$A:$C,R$2,FALSE)),"NOT PRESENT",VLOOKUP(DATA!$P308,'M2'!$A:$C,R$2,FALSE)),VLOOKUP($P1337,'M1'!$A:$C,R$2,FALSE)),"SPECIFY METHOD")))</f>
        <v>NOT PRESENT</v>
      </c>
      <c r="S1337" s="20">
        <f t="shared" si="153"/>
        <v>5</v>
      </c>
      <c r="T1337" s="2">
        <v>5</v>
      </c>
    </row>
    <row r="1338" spans="1:24">
      <c r="A1338" s="7">
        <f>MAX($A$1:$A1337)+1</f>
        <v>1337</v>
      </c>
      <c r="B1338" s="2" t="str">
        <f t="shared" si="157"/>
        <v>Em Lim</v>
      </c>
      <c r="C1338" s="2" t="str">
        <f t="shared" si="158"/>
        <v>Valesca de Groot</v>
      </c>
      <c r="D1338" s="2" t="str">
        <f t="shared" si="159"/>
        <v>BMSC5</v>
      </c>
      <c r="E1338" s="7" t="str">
        <f>IF(ISERROR(VLOOKUP($D1338,SITES!$A:$E,2,FALSE)),"",VLOOKUP($D1338,SITES!$A:$E,2,FALSE))</f>
        <v>Taylor Rock</v>
      </c>
      <c r="F1338" s="4">
        <f>IF(ISERROR(VLOOKUP($D1338,SITES!$A:$E,3,FALSE)),"",VLOOKUP($D1338,SITES!$A:$E,3,FALSE))</f>
        <v>48.8273315429687</v>
      </c>
      <c r="G1338" s="18">
        <f>IF(ISERROR(VLOOKUP($D1338,SITES!$A:$E,4,FALSE)),"",VLOOKUP($D1338,SITES!$A:$E,4,FALSE))</f>
        <v>-125.196601867675</v>
      </c>
      <c r="H1338" s="5" t="str">
        <f t="shared" si="160"/>
        <v>15/05/2023</v>
      </c>
      <c r="I1338" s="2">
        <f t="shared" si="161"/>
        <v>0.5</v>
      </c>
      <c r="J1338" s="2">
        <f t="shared" si="162"/>
        <v>30</v>
      </c>
      <c r="K1338" s="6">
        <f t="shared" si="163"/>
        <v>0.51250000000000007</v>
      </c>
      <c r="L1338" s="2" t="str">
        <f t="shared" si="164"/>
        <v>VDG</v>
      </c>
      <c r="M1338" s="2">
        <f t="shared" si="165"/>
        <v>8</v>
      </c>
      <c r="N1338" s="2">
        <f t="shared" si="166"/>
        <v>2</v>
      </c>
      <c r="O1338" s="2">
        <f t="shared" si="167"/>
        <v>1</v>
      </c>
      <c r="P1338" s="27" t="s">
        <v>173</v>
      </c>
      <c r="Q1338" s="7" t="str">
        <f>IF($N1338=1,IF(ISERROR(VLOOKUP($P1338,'M1'!$A:$C,Q$2,FALSE)),"NOT PRESENT",VLOOKUP($P1338,'M1'!$A:$C,Q$2,FALSE)),IF($N1338=2,IF(ISERROR(VLOOKUP(DATA!$P309,'M2'!$A:$C,Q$2,FALSE)),"NOT PRESENT",VLOOKUP(DATA!$P309,'M2'!$A:$C,Q$2,FALSE)),IF($N1338=0,IF(ISERROR(VLOOKUP($P1338,'M1'!$A:$C,Q$2,FALSE)),IF(ISERROR(VLOOKUP(DATA!$P309,'M2'!$A:$C,Q$2,FALSE)),"NOT PRESENT",VLOOKUP(DATA!$P309,'M2'!$A:$C,Q$2,FALSE)),VLOOKUP($P1338,'M1'!$A:$C,Q$2,FALSE)),"SPECIFY METHOD")))</f>
        <v>NOT PRESENT</v>
      </c>
      <c r="R1338" s="4" t="str">
        <f>IF($N1338=1,IF(ISERROR(VLOOKUP($P1338,'M1'!$A:$C,R$2,FALSE)),"NOT PRESENT",VLOOKUP($P1338,'M1'!$A:$C,R$2,FALSE)),IF($N1338=2,IF(ISERROR(VLOOKUP(DATA!$P309,'M2'!$A:$C,R$2,FALSE)),"NOT PRESENT",VLOOKUP(DATA!$P309,'M2'!$A:$C,R$2,FALSE)),IF($N1338=0,IF(ISERROR(VLOOKUP($P1338,'M1'!$A:$C,R$2,FALSE)),IF(ISERROR(VLOOKUP(DATA!$P309,'M2'!$A:$C,R$2,FALSE)),"NOT PRESENT",VLOOKUP(DATA!$P309,'M2'!$A:$C,R$2,FALSE)),VLOOKUP($P1338,'M1'!$A:$C,R$2,FALSE)),"SPECIFY METHOD")))</f>
        <v>NOT PRESENT</v>
      </c>
      <c r="S1338" s="20">
        <f t="shared" si="153"/>
        <v>9</v>
      </c>
      <c r="T1338" s="2">
        <v>0</v>
      </c>
      <c r="U1338" s="2">
        <v>4</v>
      </c>
      <c r="V1338" s="2">
        <v>4</v>
      </c>
      <c r="W1338" s="2">
        <v>1</v>
      </c>
    </row>
    <row r="1339" spans="1:24">
      <c r="A1339" s="7">
        <f>MAX($A$1:$A1338)+1</f>
        <v>1338</v>
      </c>
      <c r="B1339" s="2" t="str">
        <f t="shared" si="157"/>
        <v>Em Lim</v>
      </c>
      <c r="C1339" s="2" t="str">
        <f t="shared" si="158"/>
        <v>Valesca de Groot</v>
      </c>
      <c r="D1339" s="2" t="str">
        <f t="shared" si="159"/>
        <v>BMSC5</v>
      </c>
      <c r="E1339" s="7" t="str">
        <f>IF(ISERROR(VLOOKUP($D1339,SITES!$A:$E,2,FALSE)),"",VLOOKUP($D1339,SITES!$A:$E,2,FALSE))</f>
        <v>Taylor Rock</v>
      </c>
      <c r="F1339" s="4">
        <f>IF(ISERROR(VLOOKUP($D1339,SITES!$A:$E,3,FALSE)),"",VLOOKUP($D1339,SITES!$A:$E,3,FALSE))</f>
        <v>48.8273315429687</v>
      </c>
      <c r="G1339" s="18">
        <f>IF(ISERROR(VLOOKUP($D1339,SITES!$A:$E,4,FALSE)),"",VLOOKUP($D1339,SITES!$A:$E,4,FALSE))</f>
        <v>-125.196601867675</v>
      </c>
      <c r="H1339" s="5" t="str">
        <f t="shared" si="160"/>
        <v>15/05/2023</v>
      </c>
      <c r="I1339" s="2">
        <f t="shared" si="161"/>
        <v>0.5</v>
      </c>
      <c r="J1339" s="2">
        <f t="shared" si="162"/>
        <v>30</v>
      </c>
      <c r="K1339" s="6">
        <f t="shared" si="163"/>
        <v>0.51250000000000007</v>
      </c>
      <c r="L1339" s="2" t="str">
        <f t="shared" si="164"/>
        <v>VDG</v>
      </c>
      <c r="M1339" s="2">
        <f t="shared" si="165"/>
        <v>8</v>
      </c>
      <c r="N1339" s="2">
        <f t="shared" si="166"/>
        <v>2</v>
      </c>
      <c r="O1339" s="2">
        <f t="shared" si="167"/>
        <v>1</v>
      </c>
      <c r="P1339" s="27" t="s">
        <v>179</v>
      </c>
      <c r="Q1339" s="7" t="str">
        <f>IF($N1339=1,IF(ISERROR(VLOOKUP($P1339,'M1'!$A:$C,Q$2,FALSE)),"NOT PRESENT",VLOOKUP($P1339,'M1'!$A:$C,Q$2,FALSE)),IF($N1339=2,IF(ISERROR(VLOOKUP(DATA!$P310,'M2'!$A:$C,Q$2,FALSE)),"NOT PRESENT",VLOOKUP(DATA!$P310,'M2'!$A:$C,Q$2,FALSE)),IF($N1339=0,IF(ISERROR(VLOOKUP($P1339,'M1'!$A:$C,Q$2,FALSE)),IF(ISERROR(VLOOKUP(DATA!$P310,'M2'!$A:$C,Q$2,FALSE)),"NOT PRESENT",VLOOKUP(DATA!$P310,'M2'!$A:$C,Q$2,FALSE)),VLOOKUP($P1339,'M1'!$A:$C,Q$2,FALSE)),"SPECIFY METHOD")))</f>
        <v>NOT PRESENT</v>
      </c>
      <c r="R1339" s="4" t="str">
        <f>IF($N1339=1,IF(ISERROR(VLOOKUP($P1339,'M1'!$A:$C,R$2,FALSE)),"NOT PRESENT",VLOOKUP($P1339,'M1'!$A:$C,R$2,FALSE)),IF($N1339=2,IF(ISERROR(VLOOKUP(DATA!$P310,'M2'!$A:$C,R$2,FALSE)),"NOT PRESENT",VLOOKUP(DATA!$P310,'M2'!$A:$C,R$2,FALSE)),IF($N1339=0,IF(ISERROR(VLOOKUP($P1339,'M1'!$A:$C,R$2,FALSE)),IF(ISERROR(VLOOKUP(DATA!$P310,'M2'!$A:$C,R$2,FALSE)),"NOT PRESENT",VLOOKUP(DATA!$P310,'M2'!$A:$C,R$2,FALSE)),VLOOKUP($P1339,'M1'!$A:$C,R$2,FALSE)),"SPECIFY METHOD")))</f>
        <v>NOT PRESENT</v>
      </c>
      <c r="S1339" s="20">
        <f t="shared" si="153"/>
        <v>8</v>
      </c>
      <c r="T1339" s="2">
        <v>8</v>
      </c>
    </row>
    <row r="1340" spans="1:24">
      <c r="A1340" s="7">
        <f>MAX($A$1:$A1339)+1</f>
        <v>1339</v>
      </c>
      <c r="B1340" s="2" t="str">
        <f t="shared" si="157"/>
        <v>Em Lim</v>
      </c>
      <c r="C1340" s="2" t="str">
        <f t="shared" si="158"/>
        <v>Valesca de Groot</v>
      </c>
      <c r="D1340" s="2" t="str">
        <f t="shared" si="159"/>
        <v>BMSC5</v>
      </c>
      <c r="E1340" s="7" t="str">
        <f>IF(ISERROR(VLOOKUP($D1340,SITES!$A:$E,2,FALSE)),"",VLOOKUP($D1340,SITES!$A:$E,2,FALSE))</f>
        <v>Taylor Rock</v>
      </c>
      <c r="F1340" s="4">
        <f>IF(ISERROR(VLOOKUP($D1340,SITES!$A:$E,3,FALSE)),"",VLOOKUP($D1340,SITES!$A:$E,3,FALSE))</f>
        <v>48.8273315429687</v>
      </c>
      <c r="G1340" s="18">
        <f>IF(ISERROR(VLOOKUP($D1340,SITES!$A:$E,4,FALSE)),"",VLOOKUP($D1340,SITES!$A:$E,4,FALSE))</f>
        <v>-125.196601867675</v>
      </c>
      <c r="H1340" s="5" t="str">
        <f t="shared" si="160"/>
        <v>15/05/2023</v>
      </c>
      <c r="I1340" s="2">
        <f t="shared" si="161"/>
        <v>0.5</v>
      </c>
      <c r="J1340" s="2">
        <f t="shared" si="162"/>
        <v>30</v>
      </c>
      <c r="K1340" s="6">
        <f t="shared" si="163"/>
        <v>0.51250000000000007</v>
      </c>
      <c r="L1340" s="2" t="str">
        <f t="shared" si="164"/>
        <v>VDG</v>
      </c>
      <c r="M1340" s="2">
        <f t="shared" si="165"/>
        <v>8</v>
      </c>
      <c r="N1340" s="2">
        <f t="shared" si="166"/>
        <v>2</v>
      </c>
      <c r="O1340" s="2">
        <f t="shared" si="167"/>
        <v>1</v>
      </c>
      <c r="P1340" s="27" t="s">
        <v>219</v>
      </c>
      <c r="Q1340" s="7" t="str">
        <f>IF($N1340=1,IF(ISERROR(VLOOKUP($P1340,'M1'!$A:$C,Q$2,FALSE)),"NOT PRESENT",VLOOKUP($P1340,'M1'!$A:$C,Q$2,FALSE)),IF($N1340=2,IF(ISERROR(VLOOKUP(DATA!$P311,'M2'!$A:$C,Q$2,FALSE)),"NOT PRESENT",VLOOKUP(DATA!$P311,'M2'!$A:$C,Q$2,FALSE)),IF($N1340=0,IF(ISERROR(VLOOKUP($P1340,'M1'!$A:$C,Q$2,FALSE)),IF(ISERROR(VLOOKUP(DATA!$P311,'M2'!$A:$C,Q$2,FALSE)),"NOT PRESENT",VLOOKUP(DATA!$P311,'M2'!$A:$C,Q$2,FALSE)),VLOOKUP($P1340,'M1'!$A:$C,Q$2,FALSE)),"SPECIFY METHOD")))</f>
        <v>NOT PRESENT</v>
      </c>
      <c r="R1340" s="4" t="str">
        <f>IF($N1340=1,IF(ISERROR(VLOOKUP($P1340,'M1'!$A:$C,R$2,FALSE)),"NOT PRESENT",VLOOKUP($P1340,'M1'!$A:$C,R$2,FALSE)),IF($N1340=2,IF(ISERROR(VLOOKUP(DATA!$P311,'M2'!$A:$C,R$2,FALSE)),"NOT PRESENT",VLOOKUP(DATA!$P311,'M2'!$A:$C,R$2,FALSE)),IF($N1340=0,IF(ISERROR(VLOOKUP($P1340,'M1'!$A:$C,R$2,FALSE)),IF(ISERROR(VLOOKUP(DATA!$P311,'M2'!$A:$C,R$2,FALSE)),"NOT PRESENT",VLOOKUP(DATA!$P311,'M2'!$A:$C,R$2,FALSE)),VLOOKUP($P1340,'M1'!$A:$C,R$2,FALSE)),"SPECIFY METHOD")))</f>
        <v>NOT PRESENT</v>
      </c>
      <c r="S1340" s="20">
        <f t="shared" si="153"/>
        <v>3</v>
      </c>
      <c r="T1340" s="2">
        <v>3</v>
      </c>
    </row>
    <row r="1341" spans="1:24">
      <c r="A1341" s="7">
        <f>MAX($A$1:$A1340)+1</f>
        <v>1340</v>
      </c>
      <c r="B1341" s="2" t="str">
        <f t="shared" si="157"/>
        <v>Em Lim</v>
      </c>
      <c r="C1341" s="2" t="str">
        <f t="shared" si="158"/>
        <v>Valesca de Groot</v>
      </c>
      <c r="D1341" s="2" t="str">
        <f t="shared" si="159"/>
        <v>BMSC5</v>
      </c>
      <c r="E1341" s="7" t="str">
        <f>IF(ISERROR(VLOOKUP($D1341,SITES!$A:$E,2,FALSE)),"",VLOOKUP($D1341,SITES!$A:$E,2,FALSE))</f>
        <v>Taylor Rock</v>
      </c>
      <c r="F1341" s="4">
        <f>IF(ISERROR(VLOOKUP($D1341,SITES!$A:$E,3,FALSE)),"",VLOOKUP($D1341,SITES!$A:$E,3,FALSE))</f>
        <v>48.8273315429687</v>
      </c>
      <c r="G1341" s="18">
        <f>IF(ISERROR(VLOOKUP($D1341,SITES!$A:$E,4,FALSE)),"",VLOOKUP($D1341,SITES!$A:$E,4,FALSE))</f>
        <v>-125.196601867675</v>
      </c>
      <c r="H1341" s="5" t="str">
        <f t="shared" si="160"/>
        <v>15/05/2023</v>
      </c>
      <c r="I1341" s="2">
        <f t="shared" si="161"/>
        <v>0.5</v>
      </c>
      <c r="J1341" s="2">
        <f t="shared" si="162"/>
        <v>30</v>
      </c>
      <c r="K1341" s="6">
        <f t="shared" si="163"/>
        <v>0.51250000000000007</v>
      </c>
      <c r="L1341" s="2" t="str">
        <f t="shared" si="164"/>
        <v>VDG</v>
      </c>
      <c r="M1341" s="2">
        <f t="shared" si="165"/>
        <v>8</v>
      </c>
      <c r="N1341" s="2">
        <f t="shared" si="166"/>
        <v>2</v>
      </c>
      <c r="O1341" s="2">
        <f t="shared" si="167"/>
        <v>1</v>
      </c>
      <c r="P1341" s="27" t="s">
        <v>186</v>
      </c>
      <c r="Q1341" s="7" t="str">
        <f>IF($N1341=1,IF(ISERROR(VLOOKUP($P1341,'M1'!$A:$C,Q$2,FALSE)),"NOT PRESENT",VLOOKUP($P1341,'M1'!$A:$C,Q$2,FALSE)),IF($N1341=2,IF(ISERROR(VLOOKUP(DATA!$P312,'M2'!$A:$C,Q$2,FALSE)),"NOT PRESENT",VLOOKUP(DATA!$P312,'M2'!$A:$C,Q$2,FALSE)),IF($N1341=0,IF(ISERROR(VLOOKUP($P1341,'M1'!$A:$C,Q$2,FALSE)),IF(ISERROR(VLOOKUP(DATA!$P312,'M2'!$A:$C,Q$2,FALSE)),"NOT PRESENT",VLOOKUP(DATA!$P312,'M2'!$A:$C,Q$2,FALSE)),VLOOKUP($P1341,'M1'!$A:$C,Q$2,FALSE)),"SPECIFY METHOD")))</f>
        <v>NOT PRESENT</v>
      </c>
      <c r="R1341" s="4" t="str">
        <f>IF($N1341=1,IF(ISERROR(VLOOKUP($P1341,'M1'!$A:$C,R$2,FALSE)),"NOT PRESENT",VLOOKUP($P1341,'M1'!$A:$C,R$2,FALSE)),IF($N1341=2,IF(ISERROR(VLOOKUP(DATA!$P312,'M2'!$A:$C,R$2,FALSE)),"NOT PRESENT",VLOOKUP(DATA!$P312,'M2'!$A:$C,R$2,FALSE)),IF($N1341=0,IF(ISERROR(VLOOKUP($P1341,'M1'!$A:$C,R$2,FALSE)),IF(ISERROR(VLOOKUP(DATA!$P312,'M2'!$A:$C,R$2,FALSE)),"NOT PRESENT",VLOOKUP(DATA!$P312,'M2'!$A:$C,R$2,FALSE)),VLOOKUP($P1341,'M1'!$A:$C,R$2,FALSE)),"SPECIFY METHOD")))</f>
        <v>NOT PRESENT</v>
      </c>
      <c r="S1341" s="20">
        <f t="shared" si="153"/>
        <v>5</v>
      </c>
      <c r="T1341" s="2">
        <v>5</v>
      </c>
    </row>
    <row r="1342" spans="1:24">
      <c r="A1342" s="7">
        <f>MAX($A$1:$A1341)+1</f>
        <v>1341</v>
      </c>
      <c r="B1342" s="2" t="str">
        <f t="shared" si="157"/>
        <v>Em Lim</v>
      </c>
      <c r="C1342" s="2" t="str">
        <f t="shared" si="158"/>
        <v>Valesca de Groot</v>
      </c>
      <c r="D1342" s="2" t="str">
        <f t="shared" si="159"/>
        <v>BMSC5</v>
      </c>
      <c r="E1342" s="7" t="str">
        <f>IF(ISERROR(VLOOKUP($D1342,SITES!$A:$E,2,FALSE)),"",VLOOKUP($D1342,SITES!$A:$E,2,FALSE))</f>
        <v>Taylor Rock</v>
      </c>
      <c r="F1342" s="4">
        <f>IF(ISERROR(VLOOKUP($D1342,SITES!$A:$E,3,FALSE)),"",VLOOKUP($D1342,SITES!$A:$E,3,FALSE))</f>
        <v>48.8273315429687</v>
      </c>
      <c r="G1342" s="18">
        <f>IF(ISERROR(VLOOKUP($D1342,SITES!$A:$E,4,FALSE)),"",VLOOKUP($D1342,SITES!$A:$E,4,FALSE))</f>
        <v>-125.196601867675</v>
      </c>
      <c r="H1342" s="5" t="str">
        <f t="shared" si="160"/>
        <v>15/05/2023</v>
      </c>
      <c r="I1342" s="2">
        <f t="shared" si="161"/>
        <v>0.5</v>
      </c>
      <c r="J1342" s="2">
        <f t="shared" si="162"/>
        <v>30</v>
      </c>
      <c r="K1342" s="6">
        <f t="shared" si="163"/>
        <v>0.51250000000000007</v>
      </c>
      <c r="L1342" s="2" t="str">
        <f t="shared" si="164"/>
        <v>VDG</v>
      </c>
      <c r="M1342" s="2">
        <f t="shared" si="165"/>
        <v>8</v>
      </c>
      <c r="N1342" s="2">
        <f t="shared" si="166"/>
        <v>2</v>
      </c>
      <c r="O1342" s="2">
        <f t="shared" si="167"/>
        <v>1</v>
      </c>
      <c r="P1342" s="27" t="s">
        <v>180</v>
      </c>
      <c r="Q1342" s="7" t="str">
        <f>IF($N1342=1,IF(ISERROR(VLOOKUP($P1342,'M1'!$A:$C,Q$2,FALSE)),"NOT PRESENT",VLOOKUP($P1342,'M1'!$A:$C,Q$2,FALSE)),IF($N1342=2,IF(ISERROR(VLOOKUP(DATA!$P313,'M2'!$A:$C,Q$2,FALSE)),"NOT PRESENT",VLOOKUP(DATA!$P313,'M2'!$A:$C,Q$2,FALSE)),IF($N1342=0,IF(ISERROR(VLOOKUP($P1342,'M1'!$A:$C,Q$2,FALSE)),IF(ISERROR(VLOOKUP(DATA!$P313,'M2'!$A:$C,Q$2,FALSE)),"NOT PRESENT",VLOOKUP(DATA!$P313,'M2'!$A:$C,Q$2,FALSE)),VLOOKUP($P1342,'M1'!$A:$C,Q$2,FALSE)),"SPECIFY METHOD")))</f>
        <v>NOT PRESENT</v>
      </c>
      <c r="R1342" s="4" t="str">
        <f>IF($N1342=1,IF(ISERROR(VLOOKUP($P1342,'M1'!$A:$C,R$2,FALSE)),"NOT PRESENT",VLOOKUP($P1342,'M1'!$A:$C,R$2,FALSE)),IF($N1342=2,IF(ISERROR(VLOOKUP(DATA!$P313,'M2'!$A:$C,R$2,FALSE)),"NOT PRESENT",VLOOKUP(DATA!$P313,'M2'!$A:$C,R$2,FALSE)),IF($N1342=0,IF(ISERROR(VLOOKUP($P1342,'M1'!$A:$C,R$2,FALSE)),IF(ISERROR(VLOOKUP(DATA!$P313,'M2'!$A:$C,R$2,FALSE)),"NOT PRESENT",VLOOKUP(DATA!$P313,'M2'!$A:$C,R$2,FALSE)),VLOOKUP($P1342,'M1'!$A:$C,R$2,FALSE)),"SPECIFY METHOD")))</f>
        <v>NOT PRESENT</v>
      </c>
      <c r="S1342" s="20">
        <f t="shared" si="153"/>
        <v>10</v>
      </c>
      <c r="T1342" s="2">
        <v>10</v>
      </c>
    </row>
    <row r="1343" spans="1:24">
      <c r="A1343" s="7">
        <f>MAX($A$1:$A1342)+1</f>
        <v>1342</v>
      </c>
      <c r="B1343" s="2" t="str">
        <f t="shared" si="157"/>
        <v>Em Lim</v>
      </c>
      <c r="C1343" s="2" t="str">
        <f t="shared" si="158"/>
        <v>Valesca de Groot</v>
      </c>
      <c r="D1343" s="2" t="str">
        <f t="shared" si="159"/>
        <v>BMSC5</v>
      </c>
      <c r="E1343" s="7" t="str">
        <f>IF(ISERROR(VLOOKUP($D1343,SITES!$A:$E,2,FALSE)),"",VLOOKUP($D1343,SITES!$A:$E,2,FALSE))</f>
        <v>Taylor Rock</v>
      </c>
      <c r="F1343" s="4">
        <f>IF(ISERROR(VLOOKUP($D1343,SITES!$A:$E,3,FALSE)),"",VLOOKUP($D1343,SITES!$A:$E,3,FALSE))</f>
        <v>48.8273315429687</v>
      </c>
      <c r="G1343" s="18">
        <f>IF(ISERROR(VLOOKUP($D1343,SITES!$A:$E,4,FALSE)),"",VLOOKUP($D1343,SITES!$A:$E,4,FALSE))</f>
        <v>-125.196601867675</v>
      </c>
      <c r="H1343" s="5" t="str">
        <f t="shared" si="160"/>
        <v>15/05/2023</v>
      </c>
      <c r="I1343" s="2">
        <f t="shared" si="161"/>
        <v>0.5</v>
      </c>
      <c r="J1343" s="2">
        <f t="shared" si="162"/>
        <v>30</v>
      </c>
      <c r="K1343" s="6">
        <f t="shared" si="163"/>
        <v>0.51250000000000007</v>
      </c>
      <c r="L1343" s="2" t="str">
        <f t="shared" si="164"/>
        <v>VDG</v>
      </c>
      <c r="M1343" s="2">
        <f t="shared" si="165"/>
        <v>8</v>
      </c>
      <c r="N1343" s="2">
        <f t="shared" si="166"/>
        <v>2</v>
      </c>
      <c r="O1343" s="2">
        <f t="shared" si="167"/>
        <v>1</v>
      </c>
      <c r="P1343" s="27" t="s">
        <v>193</v>
      </c>
      <c r="Q1343" s="7" t="str">
        <f>IF($N1343=1,IF(ISERROR(VLOOKUP($P1343,'M1'!$A:$C,Q$2,FALSE)),"NOT PRESENT",VLOOKUP($P1343,'M1'!$A:$C,Q$2,FALSE)),IF($N1343=2,IF(ISERROR(VLOOKUP(DATA!$P314,'M2'!$A:$C,Q$2,FALSE)),"NOT PRESENT",VLOOKUP(DATA!$P314,'M2'!$A:$C,Q$2,FALSE)),IF($N1343=0,IF(ISERROR(VLOOKUP($P1343,'M1'!$A:$C,Q$2,FALSE)),IF(ISERROR(VLOOKUP(DATA!$P314,'M2'!$A:$C,Q$2,FALSE)),"NOT PRESENT",VLOOKUP(DATA!$P314,'M2'!$A:$C,Q$2,FALSE)),VLOOKUP($P1343,'M1'!$A:$C,Q$2,FALSE)),"SPECIFY METHOD")))</f>
        <v>NOT PRESENT</v>
      </c>
      <c r="R1343" s="4" t="str">
        <f>IF($N1343=1,IF(ISERROR(VLOOKUP($P1343,'M1'!$A:$C,R$2,FALSE)),"NOT PRESENT",VLOOKUP($P1343,'M1'!$A:$C,R$2,FALSE)),IF($N1343=2,IF(ISERROR(VLOOKUP(DATA!$P314,'M2'!$A:$C,R$2,FALSE)),"NOT PRESENT",VLOOKUP(DATA!$P314,'M2'!$A:$C,R$2,FALSE)),IF($N1343=0,IF(ISERROR(VLOOKUP($P1343,'M1'!$A:$C,R$2,FALSE)),IF(ISERROR(VLOOKUP(DATA!$P314,'M2'!$A:$C,R$2,FALSE)),"NOT PRESENT",VLOOKUP(DATA!$P314,'M2'!$A:$C,R$2,FALSE)),VLOOKUP($P1343,'M1'!$A:$C,R$2,FALSE)),"SPECIFY METHOD")))</f>
        <v>NOT PRESENT</v>
      </c>
      <c r="S1343" s="20">
        <f t="shared" si="153"/>
        <v>1</v>
      </c>
      <c r="T1343" s="2">
        <v>0</v>
      </c>
      <c r="W1343" s="2">
        <v>1</v>
      </c>
    </row>
    <row r="1344" spans="1:24">
      <c r="A1344" s="7">
        <f>MAX($A$1:$A1343)+1</f>
        <v>1343</v>
      </c>
      <c r="B1344" s="2" t="str">
        <f t="shared" si="157"/>
        <v>Em Lim</v>
      </c>
      <c r="C1344" s="2" t="str">
        <f t="shared" si="158"/>
        <v>Valesca de Groot</v>
      </c>
      <c r="D1344" s="2" t="str">
        <f t="shared" si="159"/>
        <v>BMSC5</v>
      </c>
      <c r="E1344" s="7" t="str">
        <f>IF(ISERROR(VLOOKUP($D1344,SITES!$A:$E,2,FALSE)),"",VLOOKUP($D1344,SITES!$A:$E,2,FALSE))</f>
        <v>Taylor Rock</v>
      </c>
      <c r="F1344" s="4">
        <f>IF(ISERROR(VLOOKUP($D1344,SITES!$A:$E,3,FALSE)),"",VLOOKUP($D1344,SITES!$A:$E,3,FALSE))</f>
        <v>48.8273315429687</v>
      </c>
      <c r="G1344" s="18">
        <f>IF(ISERROR(VLOOKUP($D1344,SITES!$A:$E,4,FALSE)),"",VLOOKUP($D1344,SITES!$A:$E,4,FALSE))</f>
        <v>-125.196601867675</v>
      </c>
      <c r="H1344" s="5" t="str">
        <f t="shared" si="160"/>
        <v>15/05/2023</v>
      </c>
      <c r="I1344" s="2">
        <f t="shared" si="161"/>
        <v>0.5</v>
      </c>
      <c r="J1344" s="2">
        <f t="shared" si="162"/>
        <v>30</v>
      </c>
      <c r="K1344" s="6">
        <f t="shared" si="163"/>
        <v>0.51250000000000007</v>
      </c>
      <c r="L1344" s="2" t="str">
        <f t="shared" si="164"/>
        <v>VDG</v>
      </c>
      <c r="M1344" s="2">
        <f t="shared" si="165"/>
        <v>8</v>
      </c>
      <c r="N1344" s="2">
        <f t="shared" si="166"/>
        <v>2</v>
      </c>
      <c r="O1344" s="2">
        <f t="shared" si="167"/>
        <v>1</v>
      </c>
      <c r="P1344" s="27" t="s">
        <v>183</v>
      </c>
      <c r="Q1344" s="7" t="str">
        <f>IF($N1344=1,IF(ISERROR(VLOOKUP($P1344,'M1'!$A:$C,Q$2,FALSE)),"NOT PRESENT",VLOOKUP($P1344,'M1'!$A:$C,Q$2,FALSE)),IF($N1344=2,IF(ISERROR(VLOOKUP(DATA!$P315,'M2'!$A:$C,Q$2,FALSE)),"NOT PRESENT",VLOOKUP(DATA!$P315,'M2'!$A:$C,Q$2,FALSE)),IF($N1344=0,IF(ISERROR(VLOOKUP($P1344,'M1'!$A:$C,Q$2,FALSE)),IF(ISERROR(VLOOKUP(DATA!$P315,'M2'!$A:$C,Q$2,FALSE)),"NOT PRESENT",VLOOKUP(DATA!$P315,'M2'!$A:$C,Q$2,FALSE)),VLOOKUP($P1344,'M1'!$A:$C,Q$2,FALSE)),"SPECIFY METHOD")))</f>
        <v>NOT PRESENT</v>
      </c>
      <c r="R1344" s="4" t="str">
        <f>IF($N1344=1,IF(ISERROR(VLOOKUP($P1344,'M1'!$A:$C,R$2,FALSE)),"NOT PRESENT",VLOOKUP($P1344,'M1'!$A:$C,R$2,FALSE)),IF($N1344=2,IF(ISERROR(VLOOKUP(DATA!$P315,'M2'!$A:$C,R$2,FALSE)),"NOT PRESENT",VLOOKUP(DATA!$P315,'M2'!$A:$C,R$2,FALSE)),IF($N1344=0,IF(ISERROR(VLOOKUP($P1344,'M1'!$A:$C,R$2,FALSE)),IF(ISERROR(VLOOKUP(DATA!$P315,'M2'!$A:$C,R$2,FALSE)),"NOT PRESENT",VLOOKUP(DATA!$P315,'M2'!$A:$C,R$2,FALSE)),VLOOKUP($P1344,'M1'!$A:$C,R$2,FALSE)),"SPECIFY METHOD")))</f>
        <v>NOT PRESENT</v>
      </c>
      <c r="S1344" s="20">
        <f t="shared" si="153"/>
        <v>3</v>
      </c>
      <c r="T1344" s="2">
        <v>3</v>
      </c>
    </row>
    <row r="1345" spans="1:28">
      <c r="A1345" s="7">
        <f>MAX($A$1:$A1344)+1</f>
        <v>1344</v>
      </c>
      <c r="B1345" s="2" t="str">
        <f t="shared" si="157"/>
        <v>Em Lim</v>
      </c>
      <c r="C1345" s="2" t="str">
        <f t="shared" si="158"/>
        <v>Valesca de Groot</v>
      </c>
      <c r="D1345" s="2" t="str">
        <f t="shared" si="159"/>
        <v>BMSC5</v>
      </c>
      <c r="E1345" s="7" t="str">
        <f>IF(ISERROR(VLOOKUP($D1345,SITES!$A:$E,2,FALSE)),"",VLOOKUP($D1345,SITES!$A:$E,2,FALSE))</f>
        <v>Taylor Rock</v>
      </c>
      <c r="F1345" s="4">
        <f>IF(ISERROR(VLOOKUP($D1345,SITES!$A:$E,3,FALSE)),"",VLOOKUP($D1345,SITES!$A:$E,3,FALSE))</f>
        <v>48.8273315429687</v>
      </c>
      <c r="G1345" s="18">
        <f>IF(ISERROR(VLOOKUP($D1345,SITES!$A:$E,4,FALSE)),"",VLOOKUP($D1345,SITES!$A:$E,4,FALSE))</f>
        <v>-125.196601867675</v>
      </c>
      <c r="H1345" s="5" t="str">
        <f t="shared" si="160"/>
        <v>15/05/2023</v>
      </c>
      <c r="I1345" s="2">
        <f t="shared" si="161"/>
        <v>0.5</v>
      </c>
      <c r="J1345" s="2">
        <f t="shared" si="162"/>
        <v>30</v>
      </c>
      <c r="K1345" s="6">
        <f t="shared" si="163"/>
        <v>0.51250000000000007</v>
      </c>
      <c r="L1345" s="2" t="str">
        <f t="shared" si="164"/>
        <v>VDG</v>
      </c>
      <c r="M1345" s="2">
        <f t="shared" si="165"/>
        <v>8</v>
      </c>
      <c r="N1345" s="2">
        <f t="shared" si="166"/>
        <v>2</v>
      </c>
      <c r="O1345" s="2">
        <f t="shared" si="167"/>
        <v>1</v>
      </c>
      <c r="P1345" s="27" t="s">
        <v>271</v>
      </c>
      <c r="Q1345" s="7" t="str">
        <f>IF($N1345=1,IF(ISERROR(VLOOKUP($P1345,'M1'!$A:$C,Q$2,FALSE)),"NOT PRESENT",VLOOKUP($P1345,'M1'!$A:$C,Q$2,FALSE)),IF($N1345=2,IF(ISERROR(VLOOKUP(DATA!$P316,'M2'!$A:$C,Q$2,FALSE)),"NOT PRESENT",VLOOKUP(DATA!$P316,'M2'!$A:$C,Q$2,FALSE)),IF($N1345=0,IF(ISERROR(VLOOKUP($P1345,'M1'!$A:$C,Q$2,FALSE)),IF(ISERROR(VLOOKUP(DATA!$P316,'M2'!$A:$C,Q$2,FALSE)),"NOT PRESENT",VLOOKUP(DATA!$P316,'M2'!$A:$C,Q$2,FALSE)),VLOOKUP($P1345,'M1'!$A:$C,Q$2,FALSE)),"SPECIFY METHOD")))</f>
        <v>NOT PRESENT</v>
      </c>
      <c r="R1345" s="4" t="str">
        <f>IF($N1345=1,IF(ISERROR(VLOOKUP($P1345,'M1'!$A:$C,R$2,FALSE)),"NOT PRESENT",VLOOKUP($P1345,'M1'!$A:$C,R$2,FALSE)),IF($N1345=2,IF(ISERROR(VLOOKUP(DATA!$P316,'M2'!$A:$C,R$2,FALSE)),"NOT PRESENT",VLOOKUP(DATA!$P316,'M2'!$A:$C,R$2,FALSE)),IF($N1345=0,IF(ISERROR(VLOOKUP($P1345,'M1'!$A:$C,R$2,FALSE)),IF(ISERROR(VLOOKUP(DATA!$P316,'M2'!$A:$C,R$2,FALSE)),"NOT PRESENT",VLOOKUP(DATA!$P316,'M2'!$A:$C,R$2,FALSE)),VLOOKUP($P1345,'M1'!$A:$C,R$2,FALSE)),"SPECIFY METHOD")))</f>
        <v>NOT PRESENT</v>
      </c>
      <c r="S1345" s="20">
        <f t="shared" si="153"/>
        <v>1</v>
      </c>
      <c r="T1345" s="2">
        <v>1</v>
      </c>
    </row>
    <row r="1346" spans="1:28">
      <c r="A1346" s="7">
        <f>MAX($A$1:$A1345)+1</f>
        <v>1345</v>
      </c>
      <c r="B1346" s="2" t="s">
        <v>278</v>
      </c>
      <c r="C1346" s="2" t="s">
        <v>171</v>
      </c>
      <c r="D1346" s="2" t="s">
        <v>30</v>
      </c>
      <c r="E1346" s="7" t="s">
        <v>330</v>
      </c>
      <c r="F1346" s="4">
        <v>48.8273315429687</v>
      </c>
      <c r="G1346" s="18">
        <v>-125.196601867675</v>
      </c>
      <c r="H1346" s="5" t="s">
        <v>10</v>
      </c>
      <c r="I1346" s="2">
        <v>1</v>
      </c>
      <c r="J1346" s="2">
        <v>150</v>
      </c>
      <c r="K1346" s="6">
        <v>0.51250000000000007</v>
      </c>
      <c r="L1346" s="2" t="s">
        <v>172</v>
      </c>
      <c r="M1346" s="2">
        <v>5.5</v>
      </c>
      <c r="N1346" s="2">
        <v>1</v>
      </c>
      <c r="O1346" s="2">
        <v>1</v>
      </c>
      <c r="P1346" s="2" t="s">
        <v>232</v>
      </c>
      <c r="Q1346" s="7" t="s">
        <v>43</v>
      </c>
      <c r="R1346" s="4" t="s">
        <v>324</v>
      </c>
      <c r="S1346" s="20">
        <v>3</v>
      </c>
      <c r="AA1346" s="2">
        <v>2</v>
      </c>
      <c r="AB1346" s="2">
        <v>1</v>
      </c>
    </row>
    <row r="1347" spans="1:28">
      <c r="A1347" s="7">
        <f>MAX($A$1:$A1346)+1</f>
        <v>1346</v>
      </c>
      <c r="B1347" s="2" t="s">
        <v>278</v>
      </c>
      <c r="C1347" s="2" t="s">
        <v>171</v>
      </c>
      <c r="D1347" s="2" t="s">
        <v>30</v>
      </c>
      <c r="E1347" s="7" t="s">
        <v>330</v>
      </c>
      <c r="F1347" s="4">
        <v>48.8273315429687</v>
      </c>
      <c r="G1347" s="18">
        <v>-125.196601867675</v>
      </c>
      <c r="H1347" s="5" t="s">
        <v>10</v>
      </c>
      <c r="I1347" s="2">
        <v>1</v>
      </c>
      <c r="J1347" s="2">
        <v>150</v>
      </c>
      <c r="K1347" s="6">
        <v>0.51250000000000007</v>
      </c>
      <c r="L1347" s="2" t="s">
        <v>172</v>
      </c>
      <c r="M1347" s="2">
        <v>5.5</v>
      </c>
      <c r="N1347" s="2">
        <v>2</v>
      </c>
      <c r="O1347" s="2">
        <v>1</v>
      </c>
      <c r="P1347" s="2" t="s">
        <v>241</v>
      </c>
      <c r="Q1347" s="7" t="s">
        <v>63</v>
      </c>
      <c r="R1347" s="4" t="s">
        <v>294</v>
      </c>
      <c r="S1347" s="20">
        <v>437</v>
      </c>
      <c r="T1347" s="2">
        <v>437</v>
      </c>
    </row>
    <row r="1348" spans="1:28">
      <c r="A1348" s="7">
        <f>MAX($A$1:$A1347)+1</f>
        <v>1347</v>
      </c>
      <c r="B1348" s="2" t="s">
        <v>278</v>
      </c>
      <c r="C1348" s="2" t="s">
        <v>171</v>
      </c>
      <c r="D1348" s="2" t="s">
        <v>30</v>
      </c>
      <c r="E1348" s="7" t="s">
        <v>330</v>
      </c>
      <c r="F1348" s="4">
        <v>48.8273315429687</v>
      </c>
      <c r="G1348" s="18">
        <v>-125.196601867675</v>
      </c>
      <c r="H1348" s="5" t="s">
        <v>10</v>
      </c>
      <c r="I1348" s="2">
        <v>1</v>
      </c>
      <c r="J1348" s="2">
        <v>150</v>
      </c>
      <c r="K1348" s="6">
        <v>0.51249999999999996</v>
      </c>
      <c r="L1348" s="2" t="s">
        <v>172</v>
      </c>
      <c r="M1348" s="2">
        <v>5.5</v>
      </c>
      <c r="N1348" s="2">
        <v>2</v>
      </c>
      <c r="O1348" s="2">
        <v>1</v>
      </c>
      <c r="P1348" s="2" t="s">
        <v>238</v>
      </c>
      <c r="Q1348" s="7" t="s">
        <v>69</v>
      </c>
      <c r="R1348" s="4" t="s">
        <v>313</v>
      </c>
      <c r="S1348" s="20">
        <v>25</v>
      </c>
      <c r="T1348" s="2">
        <v>25</v>
      </c>
    </row>
    <row r="1349" spans="1:28">
      <c r="A1349" s="7">
        <f>MAX($A$1:$A1348)+1</f>
        <v>1348</v>
      </c>
      <c r="B1349" s="2" t="s">
        <v>278</v>
      </c>
      <c r="C1349" s="2" t="s">
        <v>171</v>
      </c>
      <c r="D1349" s="2" t="s">
        <v>30</v>
      </c>
      <c r="E1349" s="7" t="s">
        <v>330</v>
      </c>
      <c r="F1349" s="4">
        <v>48.8273315429687</v>
      </c>
      <c r="G1349" s="18">
        <v>-125.196601867675</v>
      </c>
      <c r="H1349" s="5" t="s">
        <v>10</v>
      </c>
      <c r="I1349" s="2">
        <v>1</v>
      </c>
      <c r="J1349" s="2">
        <v>150</v>
      </c>
      <c r="K1349" s="6">
        <v>0.51249999999999996</v>
      </c>
      <c r="L1349" s="2" t="s">
        <v>172</v>
      </c>
      <c r="M1349" s="2">
        <v>5.5</v>
      </c>
      <c r="N1349" s="2">
        <v>2</v>
      </c>
      <c r="O1349" s="2">
        <v>1</v>
      </c>
      <c r="P1349" s="2" t="s">
        <v>243</v>
      </c>
      <c r="Q1349" s="7" t="s">
        <v>85</v>
      </c>
      <c r="R1349" s="4" t="s">
        <v>312</v>
      </c>
      <c r="S1349" s="20">
        <v>20</v>
      </c>
      <c r="T1349" s="2">
        <v>20</v>
      </c>
    </row>
    <row r="1350" spans="1:28">
      <c r="A1350" s="7">
        <f>MAX($A$1:$A1349)+1</f>
        <v>1349</v>
      </c>
      <c r="B1350" s="2" t="s">
        <v>278</v>
      </c>
      <c r="C1350" s="2" t="s">
        <v>171</v>
      </c>
      <c r="D1350" s="2" t="s">
        <v>30</v>
      </c>
      <c r="E1350" s="7" t="s">
        <v>330</v>
      </c>
      <c r="F1350" s="4">
        <v>48.8273315429687</v>
      </c>
      <c r="G1350" s="18">
        <v>-125.196601867675</v>
      </c>
      <c r="H1350" s="5" t="s">
        <v>10</v>
      </c>
      <c r="I1350" s="2">
        <v>1</v>
      </c>
      <c r="J1350" s="2">
        <v>150</v>
      </c>
      <c r="K1350" s="6">
        <v>0.51249999999999996</v>
      </c>
      <c r="L1350" s="2" t="s">
        <v>172</v>
      </c>
      <c r="M1350" s="2">
        <v>5.5</v>
      </c>
      <c r="N1350" s="2">
        <v>2</v>
      </c>
      <c r="O1350" s="2">
        <v>1</v>
      </c>
      <c r="P1350" s="2" t="s">
        <v>246</v>
      </c>
      <c r="Q1350" s="7" t="s">
        <v>66</v>
      </c>
      <c r="R1350" s="4" t="s">
        <v>318</v>
      </c>
      <c r="S1350" s="20">
        <v>13</v>
      </c>
      <c r="T1350" s="2">
        <v>13</v>
      </c>
      <c r="U1350" s="48"/>
      <c r="V1350" s="48"/>
      <c r="W1350" s="48"/>
    </row>
    <row r="1351" spans="1:28">
      <c r="A1351" s="7">
        <f>MAX($A$1:$A1350)+1</f>
        <v>1350</v>
      </c>
      <c r="B1351" s="2" t="s">
        <v>278</v>
      </c>
      <c r="C1351" s="2" t="s">
        <v>171</v>
      </c>
      <c r="D1351" s="2" t="s">
        <v>30</v>
      </c>
      <c r="E1351" s="7" t="s">
        <v>330</v>
      </c>
      <c r="F1351" s="4">
        <v>48.8273315429687</v>
      </c>
      <c r="G1351" s="18">
        <v>-125.196601867675</v>
      </c>
      <c r="H1351" s="5" t="s">
        <v>10</v>
      </c>
      <c r="I1351" s="2">
        <v>1</v>
      </c>
      <c r="J1351" s="2">
        <v>150</v>
      </c>
      <c r="K1351" s="6">
        <v>0.51249999999999996</v>
      </c>
      <c r="L1351" s="2" t="s">
        <v>172</v>
      </c>
      <c r="M1351" s="2">
        <v>5.5</v>
      </c>
      <c r="N1351" s="2">
        <v>2</v>
      </c>
      <c r="O1351" s="2">
        <v>1</v>
      </c>
      <c r="P1351" s="2" t="s">
        <v>331</v>
      </c>
      <c r="Q1351" s="7" t="s">
        <v>67</v>
      </c>
      <c r="R1351" s="4" t="s">
        <v>332</v>
      </c>
      <c r="S1351" s="20">
        <v>4</v>
      </c>
      <c r="T1351" s="2">
        <v>4</v>
      </c>
    </row>
    <row r="1352" spans="1:28">
      <c r="A1352" s="7">
        <f>MAX($A$1:$A1351)+1</f>
        <v>1351</v>
      </c>
      <c r="B1352" s="2" t="s">
        <v>278</v>
      </c>
      <c r="C1352" s="2" t="s">
        <v>171</v>
      </c>
      <c r="D1352" s="2" t="s">
        <v>30</v>
      </c>
      <c r="E1352" s="7" t="s">
        <v>330</v>
      </c>
      <c r="F1352" s="4">
        <v>48.8273315429687</v>
      </c>
      <c r="G1352" s="18">
        <v>-125.196601867675</v>
      </c>
      <c r="H1352" s="5" t="s">
        <v>10</v>
      </c>
      <c r="I1352" s="2">
        <v>1</v>
      </c>
      <c r="J1352" s="2">
        <v>150</v>
      </c>
      <c r="K1352" s="6">
        <v>0.51249999999999996</v>
      </c>
      <c r="L1352" s="2" t="s">
        <v>172</v>
      </c>
      <c r="M1352" s="2">
        <v>5.5</v>
      </c>
      <c r="N1352" s="2">
        <v>2</v>
      </c>
      <c r="O1352" s="2">
        <v>1</v>
      </c>
      <c r="P1352" s="2" t="s">
        <v>230</v>
      </c>
      <c r="Q1352" s="7" t="s">
        <v>42</v>
      </c>
      <c r="R1352" s="4" t="s">
        <v>321</v>
      </c>
      <c r="S1352" s="20">
        <v>6</v>
      </c>
      <c r="T1352" s="2">
        <v>0</v>
      </c>
      <c r="U1352" s="2">
        <v>1</v>
      </c>
      <c r="V1352" s="2">
        <v>5</v>
      </c>
    </row>
    <row r="1353" spans="1:28">
      <c r="A1353" s="7">
        <f>MAX($A$1:$A1352)+1</f>
        <v>1352</v>
      </c>
      <c r="B1353" s="2" t="s">
        <v>278</v>
      </c>
      <c r="C1353" s="2" t="s">
        <v>171</v>
      </c>
      <c r="D1353" s="2" t="s">
        <v>30</v>
      </c>
      <c r="E1353" s="7" t="s">
        <v>330</v>
      </c>
      <c r="F1353" s="4">
        <v>48.8273315429687</v>
      </c>
      <c r="G1353" s="18">
        <v>-125.196601867675</v>
      </c>
      <c r="H1353" s="5" t="s">
        <v>10</v>
      </c>
      <c r="I1353" s="2">
        <v>1</v>
      </c>
      <c r="J1353" s="2">
        <v>150</v>
      </c>
      <c r="K1353" s="6">
        <v>0.51249999999999996</v>
      </c>
      <c r="L1353" s="2" t="s">
        <v>172</v>
      </c>
      <c r="M1353" s="2">
        <v>5.5</v>
      </c>
      <c r="N1353" s="2">
        <v>2</v>
      </c>
      <c r="O1353" s="2">
        <v>1</v>
      </c>
      <c r="P1353" s="2" t="s">
        <v>239</v>
      </c>
      <c r="Q1353" s="7" t="s">
        <v>80</v>
      </c>
      <c r="R1353" s="4" t="s">
        <v>300</v>
      </c>
      <c r="S1353" s="20">
        <v>10</v>
      </c>
      <c r="T1353" s="2">
        <v>10</v>
      </c>
    </row>
    <row r="1354" spans="1:28">
      <c r="A1354" s="7">
        <f>MAX($A$1:$A1353)+1</f>
        <v>1353</v>
      </c>
      <c r="B1354" s="2" t="s">
        <v>278</v>
      </c>
      <c r="C1354" s="2" t="s">
        <v>171</v>
      </c>
      <c r="D1354" s="2" t="s">
        <v>30</v>
      </c>
      <c r="E1354" s="7" t="s">
        <v>330</v>
      </c>
      <c r="F1354" s="4">
        <v>48.8273315429687</v>
      </c>
      <c r="G1354" s="18">
        <v>-125.196601867675</v>
      </c>
      <c r="H1354" s="5" t="s">
        <v>10</v>
      </c>
      <c r="I1354" s="2">
        <v>1</v>
      </c>
      <c r="J1354" s="2">
        <v>150</v>
      </c>
      <c r="K1354" s="6">
        <v>0.51249999999999996</v>
      </c>
      <c r="L1354" s="2" t="s">
        <v>172</v>
      </c>
      <c r="M1354" s="2">
        <v>5.5</v>
      </c>
      <c r="N1354" s="2">
        <v>2</v>
      </c>
      <c r="O1354" s="2">
        <v>1</v>
      </c>
      <c r="P1354" s="2" t="s">
        <v>296</v>
      </c>
      <c r="Q1354" s="7" t="s">
        <v>75</v>
      </c>
      <c r="R1354" s="4" t="s">
        <v>297</v>
      </c>
      <c r="S1354" s="20">
        <v>5</v>
      </c>
      <c r="T1354" s="2">
        <v>5</v>
      </c>
    </row>
    <row r="1355" spans="1:28">
      <c r="A1355" s="7">
        <f>MAX($A$1:$A1354)+1</f>
        <v>1354</v>
      </c>
      <c r="B1355" s="2" t="s">
        <v>278</v>
      </c>
      <c r="C1355" s="2" t="s">
        <v>171</v>
      </c>
      <c r="D1355" s="2" t="s">
        <v>30</v>
      </c>
      <c r="E1355" s="7" t="s">
        <v>330</v>
      </c>
      <c r="F1355" s="4">
        <v>48.8273315429687</v>
      </c>
      <c r="G1355" s="18">
        <v>-125.196601867675</v>
      </c>
      <c r="H1355" s="5" t="s">
        <v>10</v>
      </c>
      <c r="I1355" s="2">
        <v>1</v>
      </c>
      <c r="J1355" s="2">
        <v>150</v>
      </c>
      <c r="K1355" s="6">
        <v>0.51249999999999996</v>
      </c>
      <c r="L1355" s="2" t="s">
        <v>172</v>
      </c>
      <c r="M1355" s="2">
        <v>5.5</v>
      </c>
      <c r="N1355" s="2">
        <v>2</v>
      </c>
      <c r="O1355" s="2">
        <v>1</v>
      </c>
      <c r="P1355" s="2" t="s">
        <v>308</v>
      </c>
      <c r="Q1355" s="7" t="s">
        <v>122</v>
      </c>
      <c r="R1355" s="4" t="s">
        <v>309</v>
      </c>
      <c r="S1355" s="20">
        <v>10</v>
      </c>
      <c r="T1355" s="2">
        <v>10</v>
      </c>
    </row>
    <row r="1356" spans="1:28">
      <c r="A1356" s="7">
        <f>MAX($A$1:$A1355)+1</f>
        <v>1355</v>
      </c>
      <c r="B1356" s="2" t="s">
        <v>278</v>
      </c>
      <c r="C1356" s="2" t="s">
        <v>171</v>
      </c>
      <c r="D1356" s="2" t="s">
        <v>30</v>
      </c>
      <c r="E1356" s="7" t="s">
        <v>330</v>
      </c>
      <c r="F1356" s="4">
        <v>48.8273315429687</v>
      </c>
      <c r="G1356" s="18">
        <v>-125.196601867675</v>
      </c>
      <c r="H1356" s="5" t="s">
        <v>10</v>
      </c>
      <c r="I1356" s="2">
        <v>1</v>
      </c>
      <c r="J1356" s="2">
        <v>150</v>
      </c>
      <c r="K1356" s="6">
        <v>0.51249999999999996</v>
      </c>
      <c r="L1356" s="2" t="s">
        <v>172</v>
      </c>
      <c r="M1356" s="2">
        <v>5.5</v>
      </c>
      <c r="N1356" s="2">
        <v>2</v>
      </c>
      <c r="O1356" s="2">
        <v>1</v>
      </c>
      <c r="P1356" s="2" t="s">
        <v>247</v>
      </c>
      <c r="Q1356" s="7" t="s">
        <v>64</v>
      </c>
      <c r="R1356" s="4" t="s">
        <v>293</v>
      </c>
      <c r="S1356" s="20">
        <v>8</v>
      </c>
      <c r="T1356" s="2">
        <v>8</v>
      </c>
    </row>
    <row r="1357" spans="1:28">
      <c r="A1357" s="7">
        <f>MAX($A$1:$A1356)+1</f>
        <v>1356</v>
      </c>
      <c r="B1357" s="2" t="s">
        <v>278</v>
      </c>
      <c r="C1357" s="2" t="s">
        <v>171</v>
      </c>
      <c r="D1357" s="2" t="s">
        <v>30</v>
      </c>
      <c r="E1357" s="7" t="s">
        <v>330</v>
      </c>
      <c r="F1357" s="4">
        <v>48.8273315429687</v>
      </c>
      <c r="G1357" s="18">
        <v>-125.196601867675</v>
      </c>
      <c r="H1357" s="5" t="s">
        <v>10</v>
      </c>
      <c r="I1357" s="2">
        <v>1</v>
      </c>
      <c r="J1357" s="2">
        <v>150</v>
      </c>
      <c r="K1357" s="6">
        <v>0.51249999999999996</v>
      </c>
      <c r="L1357" s="2" t="s">
        <v>172</v>
      </c>
      <c r="M1357" s="2">
        <v>5.5</v>
      </c>
      <c r="N1357" s="2">
        <v>2</v>
      </c>
      <c r="O1357" s="2">
        <v>1</v>
      </c>
      <c r="P1357" s="2" t="s">
        <v>305</v>
      </c>
      <c r="Q1357" s="7" t="s">
        <v>89</v>
      </c>
      <c r="R1357" s="4" t="s">
        <v>306</v>
      </c>
      <c r="S1357" s="20">
        <v>1</v>
      </c>
      <c r="T1357" s="2">
        <v>1</v>
      </c>
      <c r="AA1357" s="2">
        <v>1</v>
      </c>
    </row>
    <row r="1358" spans="1:28">
      <c r="A1358" s="7">
        <f>MAX($A$1:$A1357)+1</f>
        <v>1357</v>
      </c>
      <c r="B1358" s="2" t="s">
        <v>278</v>
      </c>
      <c r="C1358" s="2" t="s">
        <v>171</v>
      </c>
      <c r="D1358" s="2" t="s">
        <v>30</v>
      </c>
      <c r="E1358" s="7" t="s">
        <v>330</v>
      </c>
      <c r="F1358" s="4">
        <v>48.8273315429687</v>
      </c>
      <c r="G1358" s="18">
        <v>-125.196601867675</v>
      </c>
      <c r="H1358" s="5" t="s">
        <v>10</v>
      </c>
      <c r="I1358" s="2">
        <v>1</v>
      </c>
      <c r="J1358" s="2">
        <v>150</v>
      </c>
      <c r="K1358" s="6">
        <v>0.51249999999999996</v>
      </c>
      <c r="L1358" s="2" t="s">
        <v>172</v>
      </c>
      <c r="M1358" s="2">
        <v>5.5</v>
      </c>
      <c r="N1358" s="2">
        <v>2</v>
      </c>
      <c r="O1358" s="2">
        <v>1</v>
      </c>
      <c r="P1358" s="2" t="s">
        <v>250</v>
      </c>
      <c r="Q1358" s="7" t="s">
        <v>46</v>
      </c>
      <c r="R1358" s="4" t="s">
        <v>295</v>
      </c>
      <c r="S1358" s="20">
        <v>6</v>
      </c>
      <c r="T1358" s="2">
        <v>0</v>
      </c>
      <c r="U1358" s="2">
        <v>2</v>
      </c>
      <c r="V1358" s="2">
        <v>4</v>
      </c>
    </row>
    <row r="1359" spans="1:28">
      <c r="A1359" s="7">
        <f>MAX($A$1:$A1358)+1</f>
        <v>1358</v>
      </c>
      <c r="B1359" s="2" t="s">
        <v>278</v>
      </c>
      <c r="C1359" s="2" t="s">
        <v>171</v>
      </c>
      <c r="D1359" s="2" t="s">
        <v>30</v>
      </c>
      <c r="E1359" s="7" t="s">
        <v>330</v>
      </c>
      <c r="F1359" s="4">
        <v>48.8273315429687</v>
      </c>
      <c r="G1359" s="18">
        <v>-125.196601867675</v>
      </c>
      <c r="H1359" s="5" t="s">
        <v>10</v>
      </c>
      <c r="I1359" s="2">
        <v>1</v>
      </c>
      <c r="J1359" s="2">
        <v>150</v>
      </c>
      <c r="K1359" s="6">
        <v>0.51249999999999996</v>
      </c>
      <c r="L1359" s="2" t="s">
        <v>172</v>
      </c>
      <c r="M1359" s="2">
        <v>5.5</v>
      </c>
      <c r="N1359" s="2">
        <v>2</v>
      </c>
      <c r="O1359" s="2">
        <v>1</v>
      </c>
      <c r="P1359" s="2" t="s">
        <v>333</v>
      </c>
      <c r="Q1359" s="7" t="s">
        <v>102</v>
      </c>
      <c r="R1359" s="47" t="s">
        <v>334</v>
      </c>
      <c r="S1359" s="20">
        <v>2</v>
      </c>
      <c r="T1359" s="2">
        <v>2</v>
      </c>
    </row>
    <row r="1360" spans="1:28">
      <c r="A1360" s="7">
        <f>MAX($A$1:$A1359)+1</f>
        <v>1359</v>
      </c>
      <c r="B1360" s="2" t="s">
        <v>278</v>
      </c>
      <c r="C1360" s="2" t="s">
        <v>171</v>
      </c>
      <c r="D1360" s="2" t="s">
        <v>30</v>
      </c>
      <c r="E1360" s="7" t="s">
        <v>330</v>
      </c>
      <c r="F1360" s="4">
        <v>48.8273315429687</v>
      </c>
      <c r="G1360" s="18">
        <v>-125.196601867675</v>
      </c>
      <c r="H1360" s="5" t="s">
        <v>10</v>
      </c>
      <c r="I1360" s="2">
        <v>1</v>
      </c>
      <c r="J1360" s="2">
        <v>150</v>
      </c>
      <c r="K1360" s="6">
        <v>0.51249999999999996</v>
      </c>
      <c r="L1360" s="2" t="s">
        <v>172</v>
      </c>
      <c r="M1360" s="2">
        <v>5.5</v>
      </c>
      <c r="N1360" s="2">
        <v>2</v>
      </c>
      <c r="O1360" s="2">
        <v>1</v>
      </c>
      <c r="P1360" s="2" t="s">
        <v>335</v>
      </c>
      <c r="Q1360" s="7" t="s">
        <v>91</v>
      </c>
      <c r="R1360" s="4" t="s">
        <v>336</v>
      </c>
      <c r="S1360" s="20">
        <v>1</v>
      </c>
      <c r="T1360" s="2">
        <v>1</v>
      </c>
    </row>
    <row r="1361" spans="1:26">
      <c r="A1361" s="7">
        <f>MAX($A$1:$A1360)+1</f>
        <v>1360</v>
      </c>
      <c r="B1361" s="2" t="s">
        <v>278</v>
      </c>
      <c r="C1361" s="2" t="s">
        <v>171</v>
      </c>
      <c r="D1361" s="2" t="s">
        <v>30</v>
      </c>
      <c r="E1361" s="7" t="s">
        <v>330</v>
      </c>
      <c r="F1361" s="4">
        <v>48.8273315429687</v>
      </c>
      <c r="G1361" s="18">
        <v>-125.196601867675</v>
      </c>
      <c r="H1361" s="5" t="s">
        <v>10</v>
      </c>
      <c r="I1361" s="2">
        <v>1</v>
      </c>
      <c r="J1361" s="2">
        <v>150</v>
      </c>
      <c r="K1361" s="6">
        <v>0.51249999999999996</v>
      </c>
      <c r="L1361" s="2" t="s">
        <v>172</v>
      </c>
      <c r="M1361" s="2">
        <v>5.5</v>
      </c>
      <c r="N1361" s="2">
        <v>2</v>
      </c>
      <c r="O1361" s="2">
        <v>1</v>
      </c>
      <c r="P1361" s="2" t="s">
        <v>240</v>
      </c>
      <c r="Q1361" s="7" t="s">
        <v>74</v>
      </c>
      <c r="R1361" s="4" t="s">
        <v>337</v>
      </c>
      <c r="S1361" s="20">
        <v>1</v>
      </c>
      <c r="T1361" s="2">
        <v>1</v>
      </c>
    </row>
    <row r="1362" spans="1:26">
      <c r="A1362" s="7">
        <f>MAX($A$1:$A1361)+1</f>
        <v>1361</v>
      </c>
      <c r="B1362" s="2" t="s">
        <v>278</v>
      </c>
      <c r="C1362" s="2" t="s">
        <v>171</v>
      </c>
      <c r="D1362" s="2" t="s">
        <v>30</v>
      </c>
      <c r="E1362" s="7" t="s">
        <v>330</v>
      </c>
      <c r="F1362" s="4">
        <v>48.8273315429687</v>
      </c>
      <c r="G1362" s="18">
        <v>-125.196601867675</v>
      </c>
      <c r="H1362" s="5" t="s">
        <v>10</v>
      </c>
      <c r="I1362" s="2">
        <v>1</v>
      </c>
      <c r="J1362" s="2">
        <v>150</v>
      </c>
      <c r="K1362" s="6">
        <v>0.51249999999999996</v>
      </c>
      <c r="L1362" s="2" t="s">
        <v>172</v>
      </c>
      <c r="M1362" s="2">
        <v>5.5</v>
      </c>
      <c r="N1362" s="2">
        <v>2</v>
      </c>
      <c r="O1362" s="2">
        <v>1</v>
      </c>
      <c r="P1362" s="2" t="s">
        <v>338</v>
      </c>
      <c r="Q1362" s="7" t="s">
        <v>101</v>
      </c>
      <c r="R1362" s="4" t="s">
        <v>339</v>
      </c>
      <c r="S1362" s="20">
        <v>2</v>
      </c>
      <c r="T1362" s="2">
        <v>0</v>
      </c>
      <c r="U1362" s="2">
        <v>2</v>
      </c>
    </row>
    <row r="1363" spans="1:26">
      <c r="A1363" s="7">
        <f>MAX($A$1:$A1362)+1</f>
        <v>1362</v>
      </c>
      <c r="B1363" s="2" t="s">
        <v>278</v>
      </c>
      <c r="C1363" s="2" t="s">
        <v>171</v>
      </c>
      <c r="D1363" s="2" t="s">
        <v>30</v>
      </c>
      <c r="E1363" s="7" t="s">
        <v>330</v>
      </c>
      <c r="F1363" s="4">
        <v>48.8273315429687</v>
      </c>
      <c r="G1363" s="18">
        <v>-125.196601867675</v>
      </c>
      <c r="H1363" s="5" t="s">
        <v>10</v>
      </c>
      <c r="I1363" s="2">
        <v>1</v>
      </c>
      <c r="J1363" s="2">
        <v>150</v>
      </c>
      <c r="K1363" s="6">
        <v>0.51249999999999996</v>
      </c>
      <c r="L1363" s="2" t="s">
        <v>172</v>
      </c>
      <c r="M1363" s="2">
        <v>5.5</v>
      </c>
      <c r="N1363" s="2">
        <v>2</v>
      </c>
      <c r="O1363" s="2">
        <v>1</v>
      </c>
      <c r="P1363" s="2" t="s">
        <v>244</v>
      </c>
      <c r="Q1363" s="7" t="s">
        <v>65</v>
      </c>
      <c r="R1363" s="4" t="s">
        <v>307</v>
      </c>
      <c r="S1363" s="20">
        <v>1</v>
      </c>
      <c r="T1363" s="2">
        <v>1</v>
      </c>
    </row>
    <row r="1364" spans="1:26">
      <c r="A1364" s="7">
        <f>MAX($A$1:$A1363)+1</f>
        <v>1363</v>
      </c>
      <c r="B1364" s="2" t="s">
        <v>278</v>
      </c>
      <c r="C1364" s="2" t="s">
        <v>171</v>
      </c>
      <c r="D1364" s="2" t="s">
        <v>30</v>
      </c>
      <c r="E1364" s="7" t="s">
        <v>330</v>
      </c>
      <c r="F1364" s="4">
        <v>48.8273315429687</v>
      </c>
      <c r="G1364" s="18">
        <v>-125.196601867675</v>
      </c>
      <c r="H1364" s="5" t="s">
        <v>10</v>
      </c>
      <c r="I1364" s="2">
        <v>1</v>
      </c>
      <c r="J1364" s="2">
        <v>150</v>
      </c>
      <c r="K1364" s="6">
        <v>0.51249999999999996</v>
      </c>
      <c r="L1364" s="2" t="s">
        <v>172</v>
      </c>
      <c r="M1364" s="2">
        <v>5.5</v>
      </c>
      <c r="N1364" s="2">
        <v>2</v>
      </c>
      <c r="O1364" s="2">
        <v>1</v>
      </c>
      <c r="P1364" s="2" t="s">
        <v>340</v>
      </c>
      <c r="Q1364" s="7" t="s">
        <v>114</v>
      </c>
      <c r="R1364" s="4" t="s">
        <v>341</v>
      </c>
      <c r="S1364" s="20">
        <v>1</v>
      </c>
      <c r="T1364" s="2">
        <v>1</v>
      </c>
    </row>
    <row r="1365" spans="1:26">
      <c r="A1365" s="7">
        <f>MAX($A$1:$A1364)+1</f>
        <v>1364</v>
      </c>
      <c r="B1365" s="2" t="s">
        <v>278</v>
      </c>
      <c r="C1365" s="2" t="s">
        <v>171</v>
      </c>
      <c r="D1365" s="2" t="s">
        <v>30</v>
      </c>
      <c r="E1365" s="7" t="s">
        <v>330</v>
      </c>
      <c r="F1365" s="4">
        <v>48.8273315429687</v>
      </c>
      <c r="G1365" s="18">
        <v>-125.196601867675</v>
      </c>
      <c r="H1365" s="5" t="s">
        <v>10</v>
      </c>
      <c r="I1365" s="2">
        <v>1</v>
      </c>
      <c r="J1365" s="2">
        <v>150</v>
      </c>
      <c r="K1365" s="6">
        <v>0.51249999999999996</v>
      </c>
      <c r="L1365" s="2" t="s">
        <v>172</v>
      </c>
      <c r="M1365" s="2">
        <v>5.5</v>
      </c>
      <c r="N1365" s="2">
        <v>2</v>
      </c>
      <c r="O1365" s="2">
        <v>1</v>
      </c>
      <c r="P1365" s="2" t="s">
        <v>342</v>
      </c>
      <c r="Q1365" s="7" t="s">
        <v>126</v>
      </c>
      <c r="R1365" s="4" t="s">
        <v>329</v>
      </c>
      <c r="S1365" s="20">
        <v>1</v>
      </c>
    </row>
    <row r="1366" spans="1:26">
      <c r="A1366" s="7">
        <f>MAX($A$1:$A1365)+1</f>
        <v>1365</v>
      </c>
      <c r="B1366" s="2" t="s">
        <v>278</v>
      </c>
      <c r="C1366" s="2" t="s">
        <v>171</v>
      </c>
      <c r="D1366" s="2" t="s">
        <v>30</v>
      </c>
      <c r="E1366" s="7" t="s">
        <v>330</v>
      </c>
      <c r="F1366" s="4">
        <v>48.8273315429687</v>
      </c>
      <c r="G1366" s="18">
        <v>-125.196601867675</v>
      </c>
      <c r="H1366" s="5" t="s">
        <v>10</v>
      </c>
      <c r="I1366" s="2">
        <v>1</v>
      </c>
      <c r="J1366" s="2">
        <v>150</v>
      </c>
      <c r="K1366" s="6">
        <v>0.51249999999999996</v>
      </c>
      <c r="L1366" s="2" t="s">
        <v>172</v>
      </c>
      <c r="M1366" s="2">
        <v>5.5</v>
      </c>
      <c r="N1366" s="2">
        <v>0</v>
      </c>
      <c r="O1366" s="2">
        <v>0</v>
      </c>
      <c r="P1366" s="2" t="s">
        <v>259</v>
      </c>
      <c r="Q1366" s="7" t="s">
        <v>106</v>
      </c>
      <c r="R1366" s="4" t="s">
        <v>343</v>
      </c>
      <c r="S1366" s="20">
        <v>1</v>
      </c>
      <c r="T1366" s="2">
        <v>1</v>
      </c>
    </row>
    <row r="1367" spans="1:26">
      <c r="A1367" s="7">
        <f>MAX($A$1:$A1366)+1</f>
        <v>1366</v>
      </c>
      <c r="B1367" s="27" t="s">
        <v>269</v>
      </c>
      <c r="C1367" s="2" t="s">
        <v>409</v>
      </c>
      <c r="D1367" s="2" t="s">
        <v>30</v>
      </c>
      <c r="E1367" s="7" t="s">
        <v>330</v>
      </c>
      <c r="F1367" s="4">
        <v>48.8273315429687</v>
      </c>
      <c r="G1367" s="18">
        <v>-125.196601867675</v>
      </c>
      <c r="H1367" s="5" t="s">
        <v>10</v>
      </c>
      <c r="I1367" s="2">
        <v>0.5</v>
      </c>
      <c r="J1367" s="2">
        <v>270</v>
      </c>
      <c r="K1367" s="6">
        <v>0.51250000000000007</v>
      </c>
      <c r="L1367" s="2" t="s">
        <v>270</v>
      </c>
      <c r="M1367" s="2">
        <v>8</v>
      </c>
      <c r="N1367" s="2">
        <v>1</v>
      </c>
      <c r="O1367" s="2">
        <v>2</v>
      </c>
      <c r="P1367" s="2" t="s">
        <v>232</v>
      </c>
      <c r="Q1367" s="7" t="s">
        <v>43</v>
      </c>
      <c r="R1367" s="4" t="s">
        <v>324</v>
      </c>
      <c r="S1367" s="20">
        <v>2</v>
      </c>
      <c r="T1367" s="2">
        <v>0</v>
      </c>
      <c r="Y1367" s="2">
        <v>1</v>
      </c>
      <c r="Z1367" s="2">
        <v>1</v>
      </c>
    </row>
    <row r="1368" spans="1:26">
      <c r="A1368" s="7">
        <f>MAX($A$1:$A1367)+1</f>
        <v>1367</v>
      </c>
      <c r="B1368" s="27" t="s">
        <v>269</v>
      </c>
      <c r="C1368" s="2" t="s">
        <v>409</v>
      </c>
      <c r="D1368" s="2" t="s">
        <v>30</v>
      </c>
      <c r="E1368" s="7" t="s">
        <v>330</v>
      </c>
      <c r="F1368" s="4">
        <v>48.8273315429687</v>
      </c>
      <c r="G1368" s="18">
        <v>-125.196601867675</v>
      </c>
      <c r="H1368" s="5" t="s">
        <v>10</v>
      </c>
      <c r="I1368" s="2">
        <v>0.5</v>
      </c>
      <c r="J1368" s="2">
        <v>270</v>
      </c>
      <c r="K1368" s="6">
        <v>0.51250000000000007</v>
      </c>
      <c r="L1368" s="2" t="s">
        <v>270</v>
      </c>
      <c r="M1368" s="2">
        <v>8</v>
      </c>
      <c r="N1368" s="2">
        <v>1</v>
      </c>
      <c r="O1368" s="2">
        <v>2</v>
      </c>
      <c r="P1368" s="2" t="s">
        <v>250</v>
      </c>
      <c r="Q1368" s="7" t="s">
        <v>46</v>
      </c>
      <c r="R1368" s="4" t="s">
        <v>295</v>
      </c>
      <c r="S1368" s="20">
        <v>1</v>
      </c>
      <c r="T1368" s="2">
        <v>0</v>
      </c>
      <c r="Y1368" s="2">
        <v>1</v>
      </c>
    </row>
    <row r="1369" spans="1:26">
      <c r="A1369" s="7">
        <f>MAX($A$1:$A1368)+1</f>
        <v>1368</v>
      </c>
      <c r="B1369" s="27" t="s">
        <v>269</v>
      </c>
      <c r="C1369" s="2" t="s">
        <v>409</v>
      </c>
      <c r="D1369" s="2" t="s">
        <v>30</v>
      </c>
      <c r="E1369" s="7" t="s">
        <v>330</v>
      </c>
      <c r="F1369" s="4">
        <v>48.8273315429687</v>
      </c>
      <c r="G1369" s="18">
        <v>-125.196601867675</v>
      </c>
      <c r="H1369" s="5" t="s">
        <v>10</v>
      </c>
      <c r="I1369" s="2">
        <v>0.5</v>
      </c>
      <c r="J1369" s="2">
        <v>270</v>
      </c>
      <c r="K1369" s="6">
        <v>0.51250000000000007</v>
      </c>
      <c r="L1369" s="2" t="s">
        <v>270</v>
      </c>
      <c r="M1369" s="2">
        <v>8</v>
      </c>
      <c r="N1369" s="2">
        <v>2</v>
      </c>
      <c r="O1369" s="2">
        <v>2</v>
      </c>
      <c r="P1369" s="2" t="s">
        <v>241</v>
      </c>
      <c r="Q1369" s="7" t="s">
        <v>63</v>
      </c>
      <c r="R1369" s="4" t="s">
        <v>294</v>
      </c>
      <c r="S1369" s="20">
        <v>194</v>
      </c>
      <c r="T1369" s="2">
        <v>194</v>
      </c>
    </row>
    <row r="1370" spans="1:26">
      <c r="A1370" s="7">
        <f>MAX($A$1:$A1369)+1</f>
        <v>1369</v>
      </c>
      <c r="B1370" s="27" t="s">
        <v>269</v>
      </c>
      <c r="C1370" s="2" t="s">
        <v>409</v>
      </c>
      <c r="D1370" s="2" t="s">
        <v>30</v>
      </c>
      <c r="E1370" s="7" t="s">
        <v>330</v>
      </c>
      <c r="F1370" s="4">
        <v>48.8273315429687</v>
      </c>
      <c r="G1370" s="18">
        <v>-125.196601867675</v>
      </c>
      <c r="H1370" s="5" t="s">
        <v>10</v>
      </c>
      <c r="I1370" s="2">
        <v>0.5</v>
      </c>
      <c r="J1370" s="2">
        <v>270</v>
      </c>
      <c r="K1370" s="6">
        <v>0.51250000000000007</v>
      </c>
      <c r="L1370" s="2" t="s">
        <v>270</v>
      </c>
      <c r="M1370" s="2">
        <v>8</v>
      </c>
      <c r="N1370" s="2">
        <v>2</v>
      </c>
      <c r="O1370" s="2">
        <v>2</v>
      </c>
      <c r="P1370" s="2" t="s">
        <v>238</v>
      </c>
      <c r="Q1370" s="7" t="s">
        <v>69</v>
      </c>
      <c r="R1370" s="4" t="s">
        <v>313</v>
      </c>
      <c r="S1370" s="20">
        <v>13</v>
      </c>
      <c r="T1370" s="2">
        <v>13</v>
      </c>
    </row>
    <row r="1371" spans="1:26">
      <c r="A1371" s="7">
        <f>MAX($A$1:$A1370)+1</f>
        <v>1370</v>
      </c>
      <c r="B1371" s="27" t="s">
        <v>269</v>
      </c>
      <c r="C1371" s="2" t="s">
        <v>409</v>
      </c>
      <c r="D1371" s="2" t="s">
        <v>30</v>
      </c>
      <c r="E1371" s="7" t="s">
        <v>330</v>
      </c>
      <c r="F1371" s="4">
        <v>48.8273315429687</v>
      </c>
      <c r="G1371" s="18">
        <v>-125.196601867675</v>
      </c>
      <c r="H1371" s="5" t="s">
        <v>10</v>
      </c>
      <c r="I1371" s="2">
        <v>0.5</v>
      </c>
      <c r="J1371" s="2">
        <v>270</v>
      </c>
      <c r="K1371" s="6">
        <v>0.51250000000000007</v>
      </c>
      <c r="L1371" s="2" t="s">
        <v>270</v>
      </c>
      <c r="M1371" s="2">
        <v>8</v>
      </c>
      <c r="N1371" s="2">
        <v>2</v>
      </c>
      <c r="O1371" s="2">
        <v>2</v>
      </c>
      <c r="P1371" s="2" t="s">
        <v>305</v>
      </c>
      <c r="Q1371" s="7" t="s">
        <v>89</v>
      </c>
      <c r="R1371" s="4" t="s">
        <v>306</v>
      </c>
      <c r="S1371" s="20">
        <v>13</v>
      </c>
      <c r="T1371" s="2">
        <v>0</v>
      </c>
      <c r="U1371" s="2">
        <v>3</v>
      </c>
      <c r="V1371" s="2">
        <v>7</v>
      </c>
      <c r="W1371" s="2">
        <v>2</v>
      </c>
      <c r="Y1371" s="2">
        <v>1</v>
      </c>
    </row>
    <row r="1372" spans="1:26">
      <c r="A1372" s="7">
        <f>MAX($A$1:$A1371)+1</f>
        <v>1371</v>
      </c>
      <c r="B1372" s="27" t="s">
        <v>269</v>
      </c>
      <c r="C1372" s="2" t="s">
        <v>409</v>
      </c>
      <c r="D1372" s="2" t="s">
        <v>30</v>
      </c>
      <c r="E1372" s="7" t="s">
        <v>330</v>
      </c>
      <c r="F1372" s="4">
        <v>48.8273315429687</v>
      </c>
      <c r="G1372" s="18">
        <v>-125.196601867675</v>
      </c>
      <c r="H1372" s="5" t="s">
        <v>10</v>
      </c>
      <c r="I1372" s="2">
        <v>0.5</v>
      </c>
      <c r="J1372" s="2">
        <v>270</v>
      </c>
      <c r="K1372" s="6">
        <v>0.51250000000000007</v>
      </c>
      <c r="L1372" s="2" t="s">
        <v>270</v>
      </c>
      <c r="M1372" s="2">
        <v>8</v>
      </c>
      <c r="N1372" s="2">
        <v>2</v>
      </c>
      <c r="O1372" s="2">
        <v>2</v>
      </c>
      <c r="P1372" s="2" t="s">
        <v>296</v>
      </c>
      <c r="Q1372" s="7" t="s">
        <v>75</v>
      </c>
      <c r="R1372" s="4" t="s">
        <v>297</v>
      </c>
      <c r="S1372" s="20">
        <v>7</v>
      </c>
      <c r="T1372" s="2">
        <v>7</v>
      </c>
    </row>
    <row r="1373" spans="1:26">
      <c r="A1373" s="7">
        <f>MAX($A$1:$A1372)+1</f>
        <v>1372</v>
      </c>
      <c r="B1373" s="27" t="s">
        <v>269</v>
      </c>
      <c r="C1373" s="2" t="s">
        <v>409</v>
      </c>
      <c r="D1373" s="2" t="s">
        <v>30</v>
      </c>
      <c r="E1373" s="7" t="s">
        <v>330</v>
      </c>
      <c r="F1373" s="4">
        <v>48.8273315429687</v>
      </c>
      <c r="G1373" s="18">
        <v>-125.196601867675</v>
      </c>
      <c r="H1373" s="5" t="s">
        <v>10</v>
      </c>
      <c r="I1373" s="2">
        <v>0.5</v>
      </c>
      <c r="J1373" s="2">
        <v>270</v>
      </c>
      <c r="K1373" s="6">
        <v>0.51250000000000007</v>
      </c>
      <c r="L1373" s="2" t="s">
        <v>270</v>
      </c>
      <c r="M1373" s="2">
        <v>8</v>
      </c>
      <c r="N1373" s="2">
        <v>2</v>
      </c>
      <c r="O1373" s="2">
        <v>2</v>
      </c>
      <c r="P1373" s="2" t="s">
        <v>331</v>
      </c>
      <c r="Q1373" s="7" t="s">
        <v>67</v>
      </c>
      <c r="R1373" s="4" t="s">
        <v>332</v>
      </c>
      <c r="S1373" s="20">
        <v>65</v>
      </c>
      <c r="T1373" s="2">
        <v>65</v>
      </c>
    </row>
    <row r="1374" spans="1:26">
      <c r="A1374" s="7">
        <f>MAX($A$1:$A1373)+1</f>
        <v>1373</v>
      </c>
      <c r="B1374" s="27" t="s">
        <v>269</v>
      </c>
      <c r="C1374" s="2" t="s">
        <v>409</v>
      </c>
      <c r="D1374" s="2" t="s">
        <v>30</v>
      </c>
      <c r="E1374" s="7" t="s">
        <v>330</v>
      </c>
      <c r="F1374" s="4">
        <v>48.8273315429687</v>
      </c>
      <c r="G1374" s="18">
        <v>-125.196601867675</v>
      </c>
      <c r="H1374" s="5" t="s">
        <v>10</v>
      </c>
      <c r="I1374" s="2">
        <v>0.5</v>
      </c>
      <c r="J1374" s="2">
        <v>270</v>
      </c>
      <c r="K1374" s="6">
        <v>0.51250000000000007</v>
      </c>
      <c r="L1374" s="2" t="s">
        <v>270</v>
      </c>
      <c r="M1374" s="2">
        <v>8</v>
      </c>
      <c r="N1374" s="2">
        <v>2</v>
      </c>
      <c r="O1374" s="2">
        <v>2</v>
      </c>
      <c r="P1374" s="2" t="s">
        <v>239</v>
      </c>
      <c r="Q1374" s="7" t="s">
        <v>80</v>
      </c>
      <c r="R1374" s="4" t="s">
        <v>300</v>
      </c>
      <c r="S1374" s="20">
        <v>9</v>
      </c>
      <c r="T1374" s="2">
        <v>9</v>
      </c>
    </row>
    <row r="1375" spans="1:26">
      <c r="A1375" s="7">
        <f>MAX($A$1:$A1374)+1</f>
        <v>1374</v>
      </c>
      <c r="B1375" s="27" t="s">
        <v>269</v>
      </c>
      <c r="C1375" s="2" t="s">
        <v>409</v>
      </c>
      <c r="D1375" s="2" t="s">
        <v>30</v>
      </c>
      <c r="E1375" s="7" t="s">
        <v>330</v>
      </c>
      <c r="F1375" s="4">
        <v>48.8273315429687</v>
      </c>
      <c r="G1375" s="18">
        <v>-125.196601867675</v>
      </c>
      <c r="H1375" s="5" t="s">
        <v>10</v>
      </c>
      <c r="I1375" s="2">
        <v>0.5</v>
      </c>
      <c r="J1375" s="2">
        <v>270</v>
      </c>
      <c r="K1375" s="6">
        <v>0.51250000000000007</v>
      </c>
      <c r="L1375" s="2" t="s">
        <v>270</v>
      </c>
      <c r="M1375" s="2">
        <v>8</v>
      </c>
      <c r="N1375" s="2">
        <v>2</v>
      </c>
      <c r="O1375" s="2">
        <v>2</v>
      </c>
      <c r="P1375" s="2" t="s">
        <v>248</v>
      </c>
      <c r="Q1375" s="7" t="s">
        <v>78</v>
      </c>
      <c r="R1375" s="4" t="s">
        <v>349</v>
      </c>
      <c r="S1375" s="20">
        <v>1</v>
      </c>
      <c r="T1375" s="2">
        <v>0</v>
      </c>
      <c r="Y1375" s="2">
        <v>1</v>
      </c>
    </row>
    <row r="1376" spans="1:26">
      <c r="A1376" s="7">
        <f>MAX($A$1:$A1375)+1</f>
        <v>1375</v>
      </c>
      <c r="B1376" s="27" t="s">
        <v>269</v>
      </c>
      <c r="C1376" s="2" t="s">
        <v>409</v>
      </c>
      <c r="D1376" s="2" t="s">
        <v>30</v>
      </c>
      <c r="E1376" s="7" t="s">
        <v>330</v>
      </c>
      <c r="F1376" s="4">
        <v>48.8273315429687</v>
      </c>
      <c r="G1376" s="18">
        <v>-125.196601867675</v>
      </c>
      <c r="H1376" s="5" t="s">
        <v>10</v>
      </c>
      <c r="I1376" s="2">
        <v>0.5</v>
      </c>
      <c r="J1376" s="2">
        <v>270</v>
      </c>
      <c r="K1376" s="6">
        <v>0.51250000000000007</v>
      </c>
      <c r="L1376" s="2" t="s">
        <v>270</v>
      </c>
      <c r="M1376" s="2">
        <v>8</v>
      </c>
      <c r="N1376" s="2">
        <v>2</v>
      </c>
      <c r="O1376" s="2">
        <v>2</v>
      </c>
      <c r="P1376" s="2" t="s">
        <v>298</v>
      </c>
      <c r="Q1376" s="7" t="s">
        <v>99</v>
      </c>
      <c r="R1376" s="4" t="s">
        <v>299</v>
      </c>
      <c r="S1376" s="20">
        <v>2</v>
      </c>
      <c r="T1376" s="2">
        <v>2</v>
      </c>
    </row>
    <row r="1377" spans="1:29">
      <c r="A1377" s="7">
        <f>MAX($A$1:$A1376)+1</f>
        <v>1376</v>
      </c>
      <c r="B1377" s="27" t="s">
        <v>269</v>
      </c>
      <c r="C1377" s="2" t="s">
        <v>409</v>
      </c>
      <c r="D1377" s="2" t="s">
        <v>30</v>
      </c>
      <c r="E1377" s="7" t="s">
        <v>330</v>
      </c>
      <c r="F1377" s="4">
        <v>48.8273315429687</v>
      </c>
      <c r="G1377" s="18">
        <v>-125.196601867675</v>
      </c>
      <c r="H1377" s="5" t="s">
        <v>10</v>
      </c>
      <c r="I1377" s="2">
        <v>0.5</v>
      </c>
      <c r="J1377" s="2">
        <v>270</v>
      </c>
      <c r="K1377" s="6">
        <v>0.51250000000000007</v>
      </c>
      <c r="L1377" s="2" t="s">
        <v>270</v>
      </c>
      <c r="M1377" s="2">
        <v>8</v>
      </c>
      <c r="N1377" s="2">
        <v>2</v>
      </c>
      <c r="O1377" s="2">
        <v>2</v>
      </c>
      <c r="P1377" s="2" t="s">
        <v>427</v>
      </c>
      <c r="Q1377" s="7" t="s">
        <v>142</v>
      </c>
      <c r="R1377" s="4" t="s">
        <v>428</v>
      </c>
      <c r="S1377" s="20">
        <v>4</v>
      </c>
      <c r="T1377" s="2">
        <v>4</v>
      </c>
    </row>
    <row r="1378" spans="1:29">
      <c r="A1378" s="7">
        <f>MAX($A$1:$A1377)+1</f>
        <v>1377</v>
      </c>
      <c r="B1378" s="27" t="s">
        <v>269</v>
      </c>
      <c r="C1378" s="2" t="s">
        <v>409</v>
      </c>
      <c r="D1378" s="2" t="s">
        <v>30</v>
      </c>
      <c r="E1378" s="7" t="s">
        <v>330</v>
      </c>
      <c r="F1378" s="4">
        <v>48.8273315429687</v>
      </c>
      <c r="G1378" s="18">
        <v>-125.196601867675</v>
      </c>
      <c r="H1378" s="5" t="s">
        <v>10</v>
      </c>
      <c r="I1378" s="2">
        <v>0.5</v>
      </c>
      <c r="J1378" s="2">
        <v>270</v>
      </c>
      <c r="K1378" s="6">
        <v>0.51250000000000007</v>
      </c>
      <c r="L1378" s="2" t="s">
        <v>270</v>
      </c>
      <c r="M1378" s="2">
        <v>8</v>
      </c>
      <c r="N1378" s="2">
        <v>2</v>
      </c>
      <c r="O1378" s="2">
        <v>2</v>
      </c>
      <c r="P1378" s="2" t="s">
        <v>230</v>
      </c>
      <c r="Q1378" s="7" t="s">
        <v>42</v>
      </c>
      <c r="R1378" s="4" t="s">
        <v>321</v>
      </c>
      <c r="S1378" s="20">
        <v>10</v>
      </c>
      <c r="T1378" s="2">
        <v>0</v>
      </c>
      <c r="W1378" s="2">
        <v>4</v>
      </c>
      <c r="X1378" s="2">
        <v>4</v>
      </c>
      <c r="Y1378" s="2">
        <v>2</v>
      </c>
    </row>
    <row r="1379" spans="1:29">
      <c r="A1379" s="7">
        <f>MAX($A$1:$A1378)+1</f>
        <v>1378</v>
      </c>
      <c r="B1379" s="27" t="s">
        <v>269</v>
      </c>
      <c r="C1379" s="2" t="s">
        <v>409</v>
      </c>
      <c r="D1379" s="2" t="s">
        <v>30</v>
      </c>
      <c r="E1379" s="7" t="s">
        <v>330</v>
      </c>
      <c r="F1379" s="4">
        <v>48.8273315429687</v>
      </c>
      <c r="G1379" s="18">
        <v>-125.196601867675</v>
      </c>
      <c r="H1379" s="5" t="s">
        <v>10</v>
      </c>
      <c r="I1379" s="2">
        <v>0.5</v>
      </c>
      <c r="J1379" s="2">
        <v>270</v>
      </c>
      <c r="K1379" s="6">
        <v>0.51250000000000007</v>
      </c>
      <c r="L1379" s="2" t="s">
        <v>270</v>
      </c>
      <c r="M1379" s="2">
        <v>8</v>
      </c>
      <c r="N1379" s="2">
        <v>2</v>
      </c>
      <c r="O1379" s="2">
        <v>2</v>
      </c>
      <c r="P1379" s="2" t="s">
        <v>444</v>
      </c>
      <c r="Q1379" s="7" t="s">
        <v>149</v>
      </c>
      <c r="R1379" s="4" t="s">
        <v>445</v>
      </c>
      <c r="S1379" s="20">
        <v>2</v>
      </c>
      <c r="T1379" s="2">
        <v>2</v>
      </c>
    </row>
    <row r="1380" spans="1:29">
      <c r="A1380" s="7">
        <f>MAX($A$1:$A1379)+1</f>
        <v>1379</v>
      </c>
      <c r="B1380" s="27" t="s">
        <v>269</v>
      </c>
      <c r="C1380" s="2" t="s">
        <v>409</v>
      </c>
      <c r="D1380" s="2" t="s">
        <v>30</v>
      </c>
      <c r="E1380" s="7" t="s">
        <v>330</v>
      </c>
      <c r="F1380" s="4">
        <v>48.8273315429687</v>
      </c>
      <c r="G1380" s="18">
        <v>-125.196601867675</v>
      </c>
      <c r="H1380" s="5" t="s">
        <v>10</v>
      </c>
      <c r="I1380" s="2">
        <v>0.5</v>
      </c>
      <c r="J1380" s="2">
        <v>270</v>
      </c>
      <c r="K1380" s="6">
        <v>0.51250000000000007</v>
      </c>
      <c r="L1380" s="2" t="s">
        <v>270</v>
      </c>
      <c r="M1380" s="2">
        <v>8</v>
      </c>
      <c r="N1380" s="2">
        <v>2</v>
      </c>
      <c r="O1380" s="2">
        <v>2</v>
      </c>
      <c r="P1380" s="2" t="s">
        <v>246</v>
      </c>
      <c r="Q1380" s="7" t="s">
        <v>66</v>
      </c>
      <c r="R1380" s="4" t="s">
        <v>318</v>
      </c>
      <c r="S1380" s="20">
        <v>14</v>
      </c>
      <c r="T1380" s="2">
        <v>0</v>
      </c>
      <c r="U1380" s="2">
        <v>3</v>
      </c>
      <c r="V1380" s="2">
        <v>4</v>
      </c>
      <c r="W1380" s="2">
        <v>2</v>
      </c>
      <c r="X1380" s="2">
        <v>5</v>
      </c>
    </row>
    <row r="1381" spans="1:29">
      <c r="A1381" s="7">
        <f>MAX($A$1:$A1380)+1</f>
        <v>1380</v>
      </c>
      <c r="B1381" s="27" t="s">
        <v>269</v>
      </c>
      <c r="C1381" s="2" t="s">
        <v>409</v>
      </c>
      <c r="D1381" s="2" t="s">
        <v>30</v>
      </c>
      <c r="E1381" s="7" t="s">
        <v>330</v>
      </c>
      <c r="F1381" s="4">
        <v>48.8273315429687</v>
      </c>
      <c r="G1381" s="18">
        <v>-125.196601867675</v>
      </c>
      <c r="H1381" s="5" t="s">
        <v>10</v>
      </c>
      <c r="I1381" s="2">
        <v>0.5</v>
      </c>
      <c r="J1381" s="2">
        <v>270</v>
      </c>
      <c r="K1381" s="6">
        <v>0.51250000000000007</v>
      </c>
      <c r="L1381" s="2" t="s">
        <v>270</v>
      </c>
      <c r="M1381" s="2">
        <v>8</v>
      </c>
      <c r="N1381" s="2">
        <v>2</v>
      </c>
      <c r="O1381" s="2">
        <v>2</v>
      </c>
      <c r="P1381" s="2" t="s">
        <v>442</v>
      </c>
      <c r="Q1381" s="7" t="s">
        <v>148</v>
      </c>
      <c r="R1381" s="4" t="s">
        <v>317</v>
      </c>
      <c r="S1381" s="20">
        <v>1</v>
      </c>
      <c r="T1381" s="2">
        <v>1</v>
      </c>
    </row>
    <row r="1382" spans="1:29">
      <c r="A1382" s="7">
        <f>MAX($A$1:$A1381)+1</f>
        <v>1381</v>
      </c>
      <c r="B1382" s="27" t="s">
        <v>269</v>
      </c>
      <c r="C1382" s="2" t="s">
        <v>409</v>
      </c>
      <c r="D1382" s="2" t="s">
        <v>30</v>
      </c>
      <c r="E1382" s="7" t="s">
        <v>330</v>
      </c>
      <c r="F1382" s="4">
        <v>48.8273315429687</v>
      </c>
      <c r="G1382" s="18">
        <v>-125.196601867675</v>
      </c>
      <c r="H1382" s="5" t="s">
        <v>10</v>
      </c>
      <c r="I1382" s="2">
        <v>0.5</v>
      </c>
      <c r="J1382" s="2">
        <v>270</v>
      </c>
      <c r="K1382" s="6">
        <v>0.51250000000000007</v>
      </c>
      <c r="L1382" s="2" t="s">
        <v>270</v>
      </c>
      <c r="M1382" s="2">
        <v>8</v>
      </c>
      <c r="N1382" s="2">
        <v>2</v>
      </c>
      <c r="O1382" s="2">
        <v>2</v>
      </c>
      <c r="P1382" s="2" t="s">
        <v>250</v>
      </c>
      <c r="Q1382" s="7" t="s">
        <v>46</v>
      </c>
      <c r="R1382" s="4" t="s">
        <v>295</v>
      </c>
      <c r="S1382" s="20">
        <v>5</v>
      </c>
      <c r="T1382" s="2">
        <v>0</v>
      </c>
      <c r="U1382" s="2">
        <v>1</v>
      </c>
      <c r="V1382" s="2">
        <v>2</v>
      </c>
      <c r="W1382" s="2">
        <v>1</v>
      </c>
      <c r="X1382" s="2">
        <v>1</v>
      </c>
    </row>
    <row r="1383" spans="1:29">
      <c r="A1383" s="7">
        <f>MAX($A$1:$A1382)+1</f>
        <v>1382</v>
      </c>
      <c r="B1383" s="27" t="s">
        <v>269</v>
      </c>
      <c r="C1383" s="2" t="s">
        <v>409</v>
      </c>
      <c r="D1383" s="2" t="s">
        <v>30</v>
      </c>
      <c r="E1383" s="7" t="s">
        <v>330</v>
      </c>
      <c r="F1383" s="4">
        <v>48.8273315429687</v>
      </c>
      <c r="G1383" s="18">
        <v>-125.196601867675</v>
      </c>
      <c r="H1383" s="5" t="s">
        <v>10</v>
      </c>
      <c r="I1383" s="2">
        <v>0.5</v>
      </c>
      <c r="J1383" s="2">
        <v>270</v>
      </c>
      <c r="K1383" s="6">
        <v>0.51250000000000007</v>
      </c>
      <c r="L1383" s="2" t="s">
        <v>270</v>
      </c>
      <c r="M1383" s="2">
        <v>8</v>
      </c>
      <c r="N1383" s="2">
        <v>2</v>
      </c>
      <c r="O1383" s="2">
        <v>2</v>
      </c>
      <c r="P1383" s="2" t="s">
        <v>243</v>
      </c>
      <c r="Q1383" s="7" t="s">
        <v>85</v>
      </c>
      <c r="R1383" s="4" t="s">
        <v>312</v>
      </c>
      <c r="S1383" s="20">
        <v>6</v>
      </c>
      <c r="T1383" s="2">
        <v>6</v>
      </c>
    </row>
    <row r="1384" spans="1:29">
      <c r="A1384" s="7">
        <f>MAX($A$1:$A1383)+1</f>
        <v>1383</v>
      </c>
      <c r="B1384" s="27" t="s">
        <v>269</v>
      </c>
      <c r="C1384" s="2" t="s">
        <v>409</v>
      </c>
      <c r="D1384" s="2" t="s">
        <v>30</v>
      </c>
      <c r="E1384" s="7" t="s">
        <v>330</v>
      </c>
      <c r="F1384" s="4">
        <v>48.8273315429687</v>
      </c>
      <c r="G1384" s="18">
        <v>-125.196601867675</v>
      </c>
      <c r="H1384" s="5" t="s">
        <v>10</v>
      </c>
      <c r="I1384" s="2">
        <v>0.5</v>
      </c>
      <c r="J1384" s="2">
        <v>270</v>
      </c>
      <c r="K1384" s="6">
        <v>0.51250000000000007</v>
      </c>
      <c r="L1384" s="2" t="s">
        <v>270</v>
      </c>
      <c r="M1384" s="2">
        <v>8</v>
      </c>
      <c r="N1384" s="2">
        <v>2</v>
      </c>
      <c r="O1384" s="2">
        <v>2</v>
      </c>
      <c r="P1384" s="2" t="s">
        <v>419</v>
      </c>
      <c r="Q1384" s="7" t="s">
        <v>139</v>
      </c>
      <c r="R1384" s="4" t="s">
        <v>420</v>
      </c>
      <c r="S1384" s="20">
        <v>1</v>
      </c>
      <c r="T1384" s="2">
        <v>1</v>
      </c>
    </row>
    <row r="1385" spans="1:29">
      <c r="A1385" s="7">
        <f>MAX($A$1:$A1384)+1</f>
        <v>1384</v>
      </c>
      <c r="B1385" s="27" t="s">
        <v>269</v>
      </c>
      <c r="C1385" s="2" t="s">
        <v>409</v>
      </c>
      <c r="D1385" s="2" t="s">
        <v>30</v>
      </c>
      <c r="E1385" s="7" t="s">
        <v>330</v>
      </c>
      <c r="F1385" s="4">
        <v>48.8273315429687</v>
      </c>
      <c r="G1385" s="18">
        <v>-125.196601867675</v>
      </c>
      <c r="H1385" s="5" t="s">
        <v>10</v>
      </c>
      <c r="I1385" s="2">
        <v>0.5</v>
      </c>
      <c r="J1385" s="2">
        <v>270</v>
      </c>
      <c r="K1385" s="6">
        <v>0.51250000000000007</v>
      </c>
      <c r="L1385" s="2" t="s">
        <v>270</v>
      </c>
      <c r="M1385" s="2">
        <v>8</v>
      </c>
      <c r="N1385" s="2">
        <v>2</v>
      </c>
      <c r="O1385" s="2">
        <v>2</v>
      </c>
      <c r="P1385" s="2" t="s">
        <v>247</v>
      </c>
      <c r="Q1385" s="7" t="s">
        <v>64</v>
      </c>
      <c r="R1385" s="4" t="s">
        <v>293</v>
      </c>
      <c r="S1385" s="20">
        <v>6</v>
      </c>
      <c r="T1385" s="2">
        <v>6</v>
      </c>
    </row>
    <row r="1386" spans="1:29">
      <c r="A1386" s="7">
        <f>MAX($A$1:$A1385)+1</f>
        <v>1385</v>
      </c>
      <c r="B1386" s="27" t="s">
        <v>269</v>
      </c>
      <c r="C1386" s="2" t="s">
        <v>409</v>
      </c>
      <c r="D1386" s="2" t="s">
        <v>30</v>
      </c>
      <c r="E1386" s="7" t="s">
        <v>330</v>
      </c>
      <c r="F1386" s="4">
        <v>48.8273315429687</v>
      </c>
      <c r="G1386" s="18">
        <v>-125.196601867675</v>
      </c>
      <c r="H1386" s="5" t="s">
        <v>10</v>
      </c>
      <c r="I1386" s="2">
        <v>0.5</v>
      </c>
      <c r="J1386" s="2">
        <v>270</v>
      </c>
      <c r="K1386" s="6">
        <v>0.51250000000000007</v>
      </c>
      <c r="L1386" s="2" t="s">
        <v>270</v>
      </c>
      <c r="M1386" s="2">
        <v>8</v>
      </c>
      <c r="N1386" s="2">
        <v>2</v>
      </c>
      <c r="O1386" s="2">
        <v>2</v>
      </c>
      <c r="P1386" s="2" t="s">
        <v>244</v>
      </c>
      <c r="Q1386" s="7" t="s">
        <v>65</v>
      </c>
      <c r="R1386" s="4" t="s">
        <v>307</v>
      </c>
      <c r="S1386" s="20">
        <v>9</v>
      </c>
      <c r="T1386" s="2">
        <v>9</v>
      </c>
    </row>
    <row r="1387" spans="1:29">
      <c r="A1387" s="7">
        <f>MAX($A$1:$A1386)+1</f>
        <v>1386</v>
      </c>
      <c r="B1387" s="27" t="s">
        <v>269</v>
      </c>
      <c r="C1387" s="2" t="s">
        <v>409</v>
      </c>
      <c r="D1387" s="2" t="s">
        <v>30</v>
      </c>
      <c r="E1387" s="7" t="s">
        <v>330</v>
      </c>
      <c r="F1387" s="4">
        <v>48.8273315429687</v>
      </c>
      <c r="G1387" s="18">
        <v>-125.196601867675</v>
      </c>
      <c r="H1387" s="5" t="s">
        <v>10</v>
      </c>
      <c r="I1387" s="2">
        <v>0.5</v>
      </c>
      <c r="J1387" s="2">
        <v>270</v>
      </c>
      <c r="K1387" s="6">
        <v>0.51250000000000007</v>
      </c>
      <c r="L1387" s="2" t="s">
        <v>270</v>
      </c>
      <c r="M1387" s="2">
        <v>8</v>
      </c>
      <c r="N1387" s="2">
        <v>2</v>
      </c>
      <c r="O1387" s="2">
        <v>2</v>
      </c>
      <c r="P1387" s="2" t="s">
        <v>255</v>
      </c>
      <c r="Q1387" s="7" t="s">
        <v>79</v>
      </c>
      <c r="R1387" s="4" t="s">
        <v>443</v>
      </c>
      <c r="S1387" s="20">
        <v>2</v>
      </c>
      <c r="T1387" s="2">
        <v>2</v>
      </c>
    </row>
    <row r="1388" spans="1:29">
      <c r="A1388" s="7">
        <f>MAX($A$1:$A1387)+1</f>
        <v>1387</v>
      </c>
      <c r="B1388" s="2" t="s">
        <v>171</v>
      </c>
      <c r="C1388" s="2" t="s">
        <v>504</v>
      </c>
      <c r="D1388" s="2" t="s">
        <v>30</v>
      </c>
      <c r="E1388" s="7" t="s">
        <v>330</v>
      </c>
      <c r="F1388" s="4">
        <v>48.8273315429687</v>
      </c>
      <c r="G1388" s="18">
        <v>-125.196601867675</v>
      </c>
      <c r="H1388" s="5" t="s">
        <v>10</v>
      </c>
      <c r="I1388" s="2">
        <v>1</v>
      </c>
      <c r="J1388" s="2">
        <v>150</v>
      </c>
      <c r="K1388" s="6">
        <v>0.51250000000000007</v>
      </c>
      <c r="L1388" s="2" t="s">
        <v>172</v>
      </c>
      <c r="M1388" s="2">
        <v>5.5</v>
      </c>
      <c r="N1388" s="2">
        <v>1</v>
      </c>
      <c r="O1388" s="2">
        <v>2</v>
      </c>
      <c r="P1388" s="2" t="s">
        <v>232</v>
      </c>
      <c r="Q1388" s="7" t="s">
        <v>43</v>
      </c>
      <c r="R1388" s="4" t="s">
        <v>324</v>
      </c>
      <c r="S1388" s="20">
        <v>10</v>
      </c>
      <c r="T1388" s="2">
        <v>0</v>
      </c>
      <c r="Z1388" s="2">
        <v>4</v>
      </c>
      <c r="AA1388" s="2">
        <v>2</v>
      </c>
      <c r="AB1388" s="2">
        <v>3</v>
      </c>
      <c r="AC1388" s="2">
        <v>1</v>
      </c>
    </row>
    <row r="1389" spans="1:29">
      <c r="A1389" s="7">
        <f>MAX($A$1:$A1388)+1</f>
        <v>1388</v>
      </c>
      <c r="B1389" s="2" t="s">
        <v>171</v>
      </c>
      <c r="C1389" s="2" t="s">
        <v>504</v>
      </c>
      <c r="D1389" s="2" t="s">
        <v>30</v>
      </c>
      <c r="E1389" s="7" t="s">
        <v>330</v>
      </c>
      <c r="F1389" s="4">
        <v>48.8273315429687</v>
      </c>
      <c r="G1389" s="18">
        <v>-125.196601867675</v>
      </c>
      <c r="H1389" s="5" t="s">
        <v>10</v>
      </c>
      <c r="I1389" s="2">
        <v>1</v>
      </c>
      <c r="J1389" s="2">
        <v>150</v>
      </c>
      <c r="K1389" s="6">
        <v>0.51250000000000007</v>
      </c>
      <c r="L1389" s="2" t="s">
        <v>172</v>
      </c>
      <c r="M1389" s="2">
        <v>5.5</v>
      </c>
      <c r="N1389" s="2">
        <v>2</v>
      </c>
      <c r="O1389" s="2">
        <v>2</v>
      </c>
      <c r="P1389" s="2" t="s">
        <v>241</v>
      </c>
      <c r="Q1389" s="7" t="s">
        <v>63</v>
      </c>
      <c r="R1389" s="4" t="s">
        <v>294</v>
      </c>
      <c r="S1389" s="20">
        <v>416</v>
      </c>
      <c r="T1389" s="2">
        <v>416</v>
      </c>
    </row>
    <row r="1390" spans="1:29">
      <c r="A1390" s="7">
        <f>MAX($A$1:$A1389)+1</f>
        <v>1389</v>
      </c>
      <c r="B1390" s="2" t="s">
        <v>171</v>
      </c>
      <c r="C1390" s="2" t="s">
        <v>504</v>
      </c>
      <c r="D1390" s="2" t="s">
        <v>30</v>
      </c>
      <c r="E1390" s="7" t="s">
        <v>330</v>
      </c>
      <c r="F1390" s="4">
        <v>48.8273315429687</v>
      </c>
      <c r="G1390" s="18">
        <v>-125.196601867675</v>
      </c>
      <c r="H1390" s="5" t="s">
        <v>10</v>
      </c>
      <c r="I1390" s="2">
        <v>1</v>
      </c>
      <c r="J1390" s="2">
        <v>150</v>
      </c>
      <c r="K1390" s="6">
        <v>0.51250000000000007</v>
      </c>
      <c r="L1390" s="2" t="s">
        <v>172</v>
      </c>
      <c r="M1390" s="2">
        <v>5.5</v>
      </c>
      <c r="N1390" s="2">
        <v>2</v>
      </c>
      <c r="O1390" s="2">
        <v>2</v>
      </c>
      <c r="P1390" s="2" t="s">
        <v>246</v>
      </c>
      <c r="Q1390" s="7" t="s">
        <v>66</v>
      </c>
      <c r="R1390" s="4" t="s">
        <v>318</v>
      </c>
      <c r="S1390" s="20">
        <v>22</v>
      </c>
      <c r="T1390" s="2">
        <v>0</v>
      </c>
      <c r="U1390" s="2">
        <v>7</v>
      </c>
      <c r="V1390" s="2">
        <v>10</v>
      </c>
      <c r="W1390" s="2">
        <v>5</v>
      </c>
    </row>
    <row r="1391" spans="1:29">
      <c r="A1391" s="7">
        <f>MAX($A$1:$A1390)+1</f>
        <v>1390</v>
      </c>
      <c r="B1391" s="2" t="s">
        <v>171</v>
      </c>
      <c r="C1391" s="2" t="s">
        <v>504</v>
      </c>
      <c r="D1391" s="2" t="s">
        <v>30</v>
      </c>
      <c r="E1391" s="7" t="s">
        <v>330</v>
      </c>
      <c r="F1391" s="4">
        <v>48.8273315429687</v>
      </c>
      <c r="G1391" s="18">
        <v>-125.196601867675</v>
      </c>
      <c r="H1391" s="5" t="s">
        <v>10</v>
      </c>
      <c r="I1391" s="2">
        <v>1</v>
      </c>
      <c r="J1391" s="2">
        <v>150</v>
      </c>
      <c r="K1391" s="6">
        <v>0.51250000000000007</v>
      </c>
      <c r="L1391" s="2" t="s">
        <v>172</v>
      </c>
      <c r="M1391" s="2">
        <v>5.5</v>
      </c>
      <c r="N1391" s="2">
        <v>2</v>
      </c>
      <c r="O1391" s="2">
        <v>2</v>
      </c>
      <c r="P1391" s="2" t="s">
        <v>238</v>
      </c>
      <c r="Q1391" s="7" t="s">
        <v>69</v>
      </c>
      <c r="R1391" s="4" t="s">
        <v>313</v>
      </c>
      <c r="S1391" s="20">
        <v>23</v>
      </c>
      <c r="T1391" s="2">
        <v>23</v>
      </c>
    </row>
    <row r="1392" spans="1:29">
      <c r="A1392" s="7">
        <f>MAX($A$1:$A1391)+1</f>
        <v>1391</v>
      </c>
      <c r="B1392" s="2" t="s">
        <v>171</v>
      </c>
      <c r="C1392" s="2" t="s">
        <v>504</v>
      </c>
      <c r="D1392" s="2" t="s">
        <v>30</v>
      </c>
      <c r="E1392" s="7" t="s">
        <v>330</v>
      </c>
      <c r="F1392" s="4">
        <v>48.8273315429687</v>
      </c>
      <c r="G1392" s="18">
        <v>-125.196601867675</v>
      </c>
      <c r="H1392" s="5" t="s">
        <v>10</v>
      </c>
      <c r="I1392" s="2">
        <v>1</v>
      </c>
      <c r="J1392" s="2">
        <v>150</v>
      </c>
      <c r="K1392" s="6">
        <v>0.51250000000000007</v>
      </c>
      <c r="L1392" s="2" t="s">
        <v>172</v>
      </c>
      <c r="M1392" s="2">
        <v>5.5</v>
      </c>
      <c r="N1392" s="2">
        <v>2</v>
      </c>
      <c r="O1392" s="2">
        <v>2</v>
      </c>
      <c r="P1392" s="2" t="s">
        <v>230</v>
      </c>
      <c r="Q1392" s="7" t="s">
        <v>42</v>
      </c>
      <c r="R1392" s="4" t="s">
        <v>321</v>
      </c>
      <c r="S1392" s="20">
        <v>6</v>
      </c>
      <c r="T1392" s="2">
        <v>0</v>
      </c>
      <c r="U1392" s="2">
        <v>1</v>
      </c>
      <c r="V1392" s="2">
        <v>3</v>
      </c>
      <c r="W1392" s="2">
        <v>2</v>
      </c>
    </row>
    <row r="1393" spans="1:26">
      <c r="A1393" s="7">
        <f>MAX($A$1:$A1392)+1</f>
        <v>1392</v>
      </c>
      <c r="B1393" s="2" t="s">
        <v>171</v>
      </c>
      <c r="C1393" s="2" t="s">
        <v>504</v>
      </c>
      <c r="D1393" s="2" t="s">
        <v>30</v>
      </c>
      <c r="E1393" s="7" t="s">
        <v>330</v>
      </c>
      <c r="F1393" s="4">
        <v>48.8273315429687</v>
      </c>
      <c r="G1393" s="18">
        <v>-125.196601867675</v>
      </c>
      <c r="H1393" s="5" t="s">
        <v>10</v>
      </c>
      <c r="I1393" s="2">
        <v>1</v>
      </c>
      <c r="J1393" s="2">
        <v>150</v>
      </c>
      <c r="K1393" s="6">
        <v>0.51250000000000007</v>
      </c>
      <c r="L1393" s="2" t="s">
        <v>172</v>
      </c>
      <c r="M1393" s="2">
        <v>5.5</v>
      </c>
      <c r="N1393" s="2">
        <v>2</v>
      </c>
      <c r="O1393" s="2">
        <v>2</v>
      </c>
      <c r="P1393" s="2" t="s">
        <v>331</v>
      </c>
      <c r="Q1393" s="7" t="s">
        <v>67</v>
      </c>
      <c r="R1393" s="4" t="s">
        <v>332</v>
      </c>
      <c r="S1393" s="20">
        <v>10</v>
      </c>
      <c r="T1393" s="2">
        <v>10</v>
      </c>
    </row>
    <row r="1394" spans="1:26">
      <c r="A1394" s="7">
        <f>MAX($A$1:$A1393)+1</f>
        <v>1393</v>
      </c>
      <c r="B1394" s="2" t="s">
        <v>171</v>
      </c>
      <c r="C1394" s="2" t="s">
        <v>504</v>
      </c>
      <c r="D1394" s="2" t="s">
        <v>30</v>
      </c>
      <c r="E1394" s="7" t="s">
        <v>330</v>
      </c>
      <c r="F1394" s="4">
        <v>48.8273315429687</v>
      </c>
      <c r="G1394" s="18">
        <v>-125.196601867675</v>
      </c>
      <c r="H1394" s="5" t="s">
        <v>10</v>
      </c>
      <c r="I1394" s="2">
        <v>1</v>
      </c>
      <c r="J1394" s="2">
        <v>150</v>
      </c>
      <c r="K1394" s="6">
        <v>0.51250000000000007</v>
      </c>
      <c r="L1394" s="2" t="s">
        <v>172</v>
      </c>
      <c r="M1394" s="2">
        <v>5.5</v>
      </c>
      <c r="N1394" s="2">
        <v>2</v>
      </c>
      <c r="O1394" s="2">
        <v>2</v>
      </c>
      <c r="P1394" s="2" t="s">
        <v>296</v>
      </c>
      <c r="Q1394" s="7" t="s">
        <v>75</v>
      </c>
      <c r="R1394" s="4" t="s">
        <v>297</v>
      </c>
      <c r="S1394" s="20">
        <v>13</v>
      </c>
      <c r="T1394" s="2">
        <v>13</v>
      </c>
    </row>
    <row r="1395" spans="1:26">
      <c r="A1395" s="7">
        <f>MAX($A$1:$A1394)+1</f>
        <v>1394</v>
      </c>
      <c r="B1395" s="2" t="s">
        <v>171</v>
      </c>
      <c r="C1395" s="2" t="s">
        <v>504</v>
      </c>
      <c r="D1395" s="2" t="s">
        <v>30</v>
      </c>
      <c r="E1395" s="7" t="s">
        <v>330</v>
      </c>
      <c r="F1395" s="4">
        <v>48.8273315429687</v>
      </c>
      <c r="G1395" s="18">
        <v>-125.196601867675</v>
      </c>
      <c r="H1395" s="5" t="s">
        <v>10</v>
      </c>
      <c r="I1395" s="2">
        <v>1</v>
      </c>
      <c r="J1395" s="2">
        <v>150</v>
      </c>
      <c r="K1395" s="6">
        <v>0.51250000000000007</v>
      </c>
      <c r="L1395" s="2" t="s">
        <v>172</v>
      </c>
      <c r="M1395" s="2">
        <v>5.5</v>
      </c>
      <c r="N1395" s="2">
        <v>2</v>
      </c>
      <c r="O1395" s="2">
        <v>2</v>
      </c>
      <c r="P1395" s="2" t="s">
        <v>239</v>
      </c>
      <c r="Q1395" s="7" t="s">
        <v>80</v>
      </c>
      <c r="R1395" s="4" t="s">
        <v>300</v>
      </c>
      <c r="S1395" s="20">
        <v>5</v>
      </c>
      <c r="T1395" s="2">
        <v>5</v>
      </c>
    </row>
    <row r="1396" spans="1:26">
      <c r="A1396" s="7">
        <f>MAX($A$1:$A1395)+1</f>
        <v>1395</v>
      </c>
      <c r="B1396" s="2" t="s">
        <v>171</v>
      </c>
      <c r="C1396" s="2" t="s">
        <v>504</v>
      </c>
      <c r="D1396" s="2" t="s">
        <v>30</v>
      </c>
      <c r="E1396" s="7" t="s">
        <v>330</v>
      </c>
      <c r="F1396" s="4">
        <v>48.8273315429687</v>
      </c>
      <c r="G1396" s="18">
        <v>-125.196601867675</v>
      </c>
      <c r="H1396" s="5" t="s">
        <v>10</v>
      </c>
      <c r="I1396" s="2">
        <v>1</v>
      </c>
      <c r="J1396" s="2">
        <v>150</v>
      </c>
      <c r="K1396" s="6">
        <v>0.51250000000000007</v>
      </c>
      <c r="L1396" s="2" t="s">
        <v>172</v>
      </c>
      <c r="M1396" s="2">
        <v>5.5</v>
      </c>
      <c r="N1396" s="2">
        <v>2</v>
      </c>
      <c r="O1396" s="2">
        <v>2</v>
      </c>
      <c r="P1396" s="2" t="s">
        <v>243</v>
      </c>
      <c r="Q1396" s="7" t="s">
        <v>85</v>
      </c>
      <c r="R1396" s="4" t="s">
        <v>312</v>
      </c>
      <c r="S1396" s="20">
        <v>15</v>
      </c>
      <c r="T1396" s="2">
        <v>15</v>
      </c>
    </row>
    <row r="1397" spans="1:26">
      <c r="A1397" s="7">
        <f>MAX($A$1:$A1396)+1</f>
        <v>1396</v>
      </c>
      <c r="B1397" s="2" t="s">
        <v>171</v>
      </c>
      <c r="C1397" s="2" t="s">
        <v>504</v>
      </c>
      <c r="D1397" s="2" t="s">
        <v>30</v>
      </c>
      <c r="E1397" s="7" t="s">
        <v>330</v>
      </c>
      <c r="F1397" s="4">
        <v>48.8273315429687</v>
      </c>
      <c r="G1397" s="18">
        <v>-125.196601867675</v>
      </c>
      <c r="H1397" s="5" t="s">
        <v>10</v>
      </c>
      <c r="I1397" s="2">
        <v>1</v>
      </c>
      <c r="J1397" s="2">
        <v>150</v>
      </c>
      <c r="K1397" s="6">
        <v>0.51250000000000007</v>
      </c>
      <c r="L1397" s="2" t="s">
        <v>172</v>
      </c>
      <c r="M1397" s="2">
        <v>5.5</v>
      </c>
      <c r="N1397" s="2">
        <v>2</v>
      </c>
      <c r="O1397" s="2">
        <v>2</v>
      </c>
      <c r="P1397" s="2" t="s">
        <v>248</v>
      </c>
      <c r="Q1397" s="7" t="s">
        <v>78</v>
      </c>
      <c r="R1397" s="4" t="s">
        <v>349</v>
      </c>
      <c r="S1397" s="20">
        <v>4</v>
      </c>
      <c r="T1397" s="2">
        <v>0</v>
      </c>
      <c r="V1397" s="2">
        <v>2</v>
      </c>
      <c r="W1397" s="2">
        <v>2</v>
      </c>
    </row>
    <row r="1398" spans="1:26">
      <c r="A1398" s="7">
        <f>MAX($A$1:$A1397)+1</f>
        <v>1397</v>
      </c>
      <c r="B1398" s="2" t="s">
        <v>171</v>
      </c>
      <c r="C1398" s="2" t="s">
        <v>504</v>
      </c>
      <c r="D1398" s="2" t="s">
        <v>30</v>
      </c>
      <c r="E1398" s="7" t="s">
        <v>330</v>
      </c>
      <c r="F1398" s="4">
        <v>48.8273315429687</v>
      </c>
      <c r="G1398" s="18">
        <v>-125.196601867675</v>
      </c>
      <c r="H1398" s="5" t="s">
        <v>10</v>
      </c>
      <c r="I1398" s="2">
        <v>1</v>
      </c>
      <c r="J1398" s="2">
        <v>150</v>
      </c>
      <c r="K1398" s="6">
        <v>0.51250000000000007</v>
      </c>
      <c r="L1398" s="2" t="s">
        <v>172</v>
      </c>
      <c r="M1398" s="2">
        <v>5.5</v>
      </c>
      <c r="N1398" s="2">
        <v>2</v>
      </c>
      <c r="O1398" s="2">
        <v>2</v>
      </c>
      <c r="P1398" s="2" t="s">
        <v>240</v>
      </c>
      <c r="Q1398" s="7" t="s">
        <v>74</v>
      </c>
      <c r="R1398" s="4" t="s">
        <v>459</v>
      </c>
      <c r="S1398" s="20">
        <v>1</v>
      </c>
      <c r="T1398" s="2">
        <v>1</v>
      </c>
    </row>
    <row r="1399" spans="1:26">
      <c r="A1399" s="7">
        <f>MAX($A$1:$A1398)+1</f>
        <v>1398</v>
      </c>
      <c r="B1399" s="2" t="s">
        <v>171</v>
      </c>
      <c r="C1399" s="2" t="s">
        <v>504</v>
      </c>
      <c r="D1399" s="2" t="s">
        <v>30</v>
      </c>
      <c r="E1399" s="7" t="s">
        <v>330</v>
      </c>
      <c r="F1399" s="4">
        <v>48.8273315429687</v>
      </c>
      <c r="G1399" s="18">
        <v>-125.196601867675</v>
      </c>
      <c r="H1399" s="5" t="s">
        <v>10</v>
      </c>
      <c r="I1399" s="2">
        <v>1</v>
      </c>
      <c r="J1399" s="2">
        <v>150</v>
      </c>
      <c r="K1399" s="6">
        <v>0.51250000000000007</v>
      </c>
      <c r="L1399" s="2" t="s">
        <v>172</v>
      </c>
      <c r="M1399" s="2">
        <v>5.5</v>
      </c>
      <c r="N1399" s="2">
        <v>2</v>
      </c>
      <c r="O1399" s="2">
        <v>2</v>
      </c>
      <c r="P1399" s="2" t="s">
        <v>483</v>
      </c>
      <c r="Q1399" s="7" t="s">
        <v>149</v>
      </c>
      <c r="R1399" s="4" t="s">
        <v>484</v>
      </c>
      <c r="S1399" s="20">
        <v>1</v>
      </c>
      <c r="T1399" s="2">
        <v>1</v>
      </c>
    </row>
    <row r="1400" spans="1:26">
      <c r="A1400" s="7">
        <f>MAX($A$1:$A1399)+1</f>
        <v>1399</v>
      </c>
      <c r="B1400" s="2" t="s">
        <v>171</v>
      </c>
      <c r="C1400" s="2" t="s">
        <v>504</v>
      </c>
      <c r="D1400" s="2" t="s">
        <v>30</v>
      </c>
      <c r="E1400" s="7" t="s">
        <v>330</v>
      </c>
      <c r="F1400" s="4">
        <v>48.8273315429687</v>
      </c>
      <c r="G1400" s="18">
        <v>-125.196601867675</v>
      </c>
      <c r="H1400" s="5" t="s">
        <v>10</v>
      </c>
      <c r="I1400" s="2">
        <v>1</v>
      </c>
      <c r="J1400" s="2">
        <v>150</v>
      </c>
      <c r="K1400" s="6">
        <v>0.51250000000000007</v>
      </c>
      <c r="L1400" s="2" t="s">
        <v>172</v>
      </c>
      <c r="M1400" s="2">
        <v>5.5</v>
      </c>
      <c r="N1400" s="2">
        <v>2</v>
      </c>
      <c r="O1400" s="2">
        <v>2</v>
      </c>
      <c r="P1400" s="2" t="s">
        <v>247</v>
      </c>
      <c r="Q1400" s="7" t="s">
        <v>64</v>
      </c>
      <c r="R1400" s="4" t="s">
        <v>293</v>
      </c>
      <c r="S1400" s="20">
        <v>2</v>
      </c>
      <c r="T1400" s="2">
        <v>2</v>
      </c>
    </row>
    <row r="1401" spans="1:26">
      <c r="A1401" s="7">
        <f>MAX($A$1:$A1400)+1</f>
        <v>1400</v>
      </c>
      <c r="B1401" s="2" t="s">
        <v>171</v>
      </c>
      <c r="C1401" s="2" t="s">
        <v>504</v>
      </c>
      <c r="D1401" s="2" t="s">
        <v>30</v>
      </c>
      <c r="E1401" s="7" t="s">
        <v>330</v>
      </c>
      <c r="F1401" s="4">
        <v>48.8273315429687</v>
      </c>
      <c r="G1401" s="18">
        <v>-125.196601867675</v>
      </c>
      <c r="H1401" s="5" t="s">
        <v>10</v>
      </c>
      <c r="I1401" s="2">
        <v>1</v>
      </c>
      <c r="J1401" s="2">
        <v>150</v>
      </c>
      <c r="K1401" s="6">
        <v>0.51250000000000007</v>
      </c>
      <c r="L1401" s="2" t="s">
        <v>172</v>
      </c>
      <c r="M1401" s="2">
        <v>5.5</v>
      </c>
      <c r="N1401" s="2">
        <v>0</v>
      </c>
      <c r="O1401" s="2">
        <v>2</v>
      </c>
      <c r="P1401" s="2" t="s">
        <v>231</v>
      </c>
      <c r="Q1401" s="7" t="s">
        <v>48</v>
      </c>
      <c r="R1401" s="4" t="s">
        <v>365</v>
      </c>
      <c r="S1401" s="20">
        <v>1</v>
      </c>
      <c r="T1401" s="2">
        <v>0</v>
      </c>
      <c r="Z1401" s="2">
        <v>1</v>
      </c>
    </row>
    <row r="1402" spans="1:26">
      <c r="A1402" s="7">
        <f>MAX($A$1:$A1401)+1</f>
        <v>1401</v>
      </c>
      <c r="B1402" s="2" t="s">
        <v>171</v>
      </c>
      <c r="C1402" s="2" t="s">
        <v>504</v>
      </c>
      <c r="D1402" s="2" t="s">
        <v>30</v>
      </c>
      <c r="E1402" s="7" t="s">
        <v>330</v>
      </c>
      <c r="F1402" s="4">
        <v>48.8273315429687</v>
      </c>
      <c r="G1402" s="18">
        <v>-125.196601867675</v>
      </c>
      <c r="H1402" s="5" t="s">
        <v>10</v>
      </c>
      <c r="I1402" s="2">
        <v>1</v>
      </c>
      <c r="J1402" s="2">
        <v>150</v>
      </c>
      <c r="K1402" s="6">
        <v>0.51250000000000007</v>
      </c>
      <c r="L1402" s="2" t="s">
        <v>172</v>
      </c>
      <c r="M1402" s="2">
        <v>5.5</v>
      </c>
      <c r="N1402" s="2">
        <v>2</v>
      </c>
      <c r="O1402" s="2">
        <v>2</v>
      </c>
      <c r="P1402" s="2" t="s">
        <v>298</v>
      </c>
      <c r="Q1402" s="7" t="s">
        <v>99</v>
      </c>
      <c r="R1402" s="4" t="s">
        <v>299</v>
      </c>
      <c r="S1402" s="20">
        <v>1</v>
      </c>
      <c r="T1402" s="2">
        <v>1</v>
      </c>
    </row>
    <row r="1403" spans="1:26">
      <c r="A1403" s="7">
        <f>MAX($A$1:$A1402)+1</f>
        <v>1402</v>
      </c>
      <c r="B1403" s="2" t="s">
        <v>171</v>
      </c>
      <c r="C1403" s="2" t="s">
        <v>504</v>
      </c>
      <c r="D1403" s="2" t="s">
        <v>30</v>
      </c>
      <c r="E1403" s="7" t="s">
        <v>330</v>
      </c>
      <c r="F1403" s="4">
        <v>48.8273315429687</v>
      </c>
      <c r="G1403" s="18">
        <v>-125.196601867675</v>
      </c>
      <c r="H1403" s="5" t="s">
        <v>10</v>
      </c>
      <c r="I1403" s="2">
        <v>1</v>
      </c>
      <c r="J1403" s="2">
        <v>150</v>
      </c>
      <c r="K1403" s="6">
        <v>0.51250000000000007</v>
      </c>
      <c r="L1403" s="2" t="s">
        <v>172</v>
      </c>
      <c r="M1403" s="2">
        <v>5.5</v>
      </c>
      <c r="N1403" s="2">
        <v>2</v>
      </c>
      <c r="O1403" s="2">
        <v>2</v>
      </c>
      <c r="P1403" s="2" t="s">
        <v>250</v>
      </c>
      <c r="Q1403" s="7" t="s">
        <v>46</v>
      </c>
      <c r="R1403" s="4" t="s">
        <v>295</v>
      </c>
      <c r="S1403" s="20">
        <v>7</v>
      </c>
      <c r="T1403" s="2">
        <v>0</v>
      </c>
      <c r="U1403" s="2">
        <v>1</v>
      </c>
      <c r="V1403" s="2">
        <v>5</v>
      </c>
      <c r="W1403" s="2">
        <v>1</v>
      </c>
    </row>
    <row r="1404" spans="1:26">
      <c r="A1404" s="7">
        <f>MAX($A$1:$A1403)+1</f>
        <v>1403</v>
      </c>
      <c r="B1404" s="2" t="s">
        <v>171</v>
      </c>
      <c r="C1404" s="2" t="s">
        <v>504</v>
      </c>
      <c r="D1404" s="2" t="s">
        <v>30</v>
      </c>
      <c r="E1404" s="7" t="s">
        <v>330</v>
      </c>
      <c r="F1404" s="4">
        <v>48.8273315429687</v>
      </c>
      <c r="G1404" s="18">
        <v>-125.196601867675</v>
      </c>
      <c r="H1404" s="5" t="s">
        <v>10</v>
      </c>
      <c r="I1404" s="2">
        <v>1</v>
      </c>
      <c r="J1404" s="2">
        <v>150</v>
      </c>
      <c r="K1404" s="6">
        <v>0.51250000000000007</v>
      </c>
      <c r="L1404" s="2" t="s">
        <v>172</v>
      </c>
      <c r="M1404" s="2">
        <v>5.5</v>
      </c>
      <c r="N1404" s="2">
        <v>2</v>
      </c>
      <c r="O1404" s="2">
        <v>2</v>
      </c>
      <c r="P1404" s="2" t="s">
        <v>333</v>
      </c>
      <c r="Q1404" s="7" t="s">
        <v>102</v>
      </c>
      <c r="R1404" s="4" t="s">
        <v>334</v>
      </c>
      <c r="S1404" s="20">
        <v>1</v>
      </c>
      <c r="T1404" s="2">
        <v>1</v>
      </c>
    </row>
    <row r="1405" spans="1:26">
      <c r="A1405" s="7">
        <f>MAX($A$1:$A1404)+1</f>
        <v>1404</v>
      </c>
      <c r="B1405" s="2" t="s">
        <v>171</v>
      </c>
      <c r="C1405" s="2" t="s">
        <v>504</v>
      </c>
      <c r="D1405" s="2" t="s">
        <v>30</v>
      </c>
      <c r="E1405" s="7" t="s">
        <v>330</v>
      </c>
      <c r="F1405" s="4">
        <v>48.8273315429687</v>
      </c>
      <c r="G1405" s="18">
        <v>-125.196601867675</v>
      </c>
      <c r="H1405" s="5" t="s">
        <v>10</v>
      </c>
      <c r="I1405" s="2">
        <v>1</v>
      </c>
      <c r="J1405" s="2">
        <v>150</v>
      </c>
      <c r="K1405" s="6">
        <v>0.51250000000000007</v>
      </c>
      <c r="L1405" s="2" t="s">
        <v>172</v>
      </c>
      <c r="M1405" s="2">
        <v>5.5</v>
      </c>
      <c r="N1405" s="2">
        <v>2</v>
      </c>
      <c r="O1405" s="2">
        <v>2</v>
      </c>
      <c r="P1405" s="2" t="s">
        <v>314</v>
      </c>
      <c r="Q1405" s="7" t="s">
        <v>71</v>
      </c>
      <c r="R1405" s="4" t="s">
        <v>315</v>
      </c>
      <c r="S1405" s="20">
        <v>3</v>
      </c>
      <c r="T1405" s="2">
        <v>3</v>
      </c>
    </row>
    <row r="1406" spans="1:26">
      <c r="A1406" s="7">
        <f>MAX($A$1:$A1405)+1</f>
        <v>1405</v>
      </c>
      <c r="B1406" s="2" t="s">
        <v>171</v>
      </c>
      <c r="C1406" s="2" t="s">
        <v>504</v>
      </c>
      <c r="D1406" s="2" t="s">
        <v>30</v>
      </c>
      <c r="E1406" s="7" t="s">
        <v>330</v>
      </c>
      <c r="F1406" s="4">
        <v>48.8273315429687</v>
      </c>
      <c r="G1406" s="18">
        <v>-125.196601867675</v>
      </c>
      <c r="H1406" s="5" t="s">
        <v>10</v>
      </c>
      <c r="I1406" s="2">
        <v>1</v>
      </c>
      <c r="J1406" s="2">
        <v>150</v>
      </c>
      <c r="K1406" s="6">
        <v>0.51250000000000007</v>
      </c>
      <c r="L1406" s="2" t="s">
        <v>172</v>
      </c>
      <c r="M1406" s="2">
        <v>5.5</v>
      </c>
      <c r="N1406" s="2">
        <v>2</v>
      </c>
      <c r="O1406" s="2">
        <v>2</v>
      </c>
      <c r="P1406" s="2" t="s">
        <v>316</v>
      </c>
      <c r="Q1406" s="7" t="s">
        <v>123</v>
      </c>
      <c r="R1406" s="4" t="s">
        <v>317</v>
      </c>
      <c r="S1406" s="20">
        <v>2</v>
      </c>
      <c r="T1406" s="2">
        <v>2</v>
      </c>
    </row>
    <row r="1407" spans="1:26">
      <c r="A1407" s="7">
        <f>MAX($A$1:$A1406)+1</f>
        <v>1406</v>
      </c>
      <c r="B1407" s="2" t="s">
        <v>171</v>
      </c>
      <c r="C1407" s="2" t="s">
        <v>504</v>
      </c>
      <c r="D1407" s="2" t="s">
        <v>30</v>
      </c>
      <c r="E1407" s="7" t="s">
        <v>330</v>
      </c>
      <c r="F1407" s="4">
        <v>48.8273315429687</v>
      </c>
      <c r="G1407" s="18">
        <v>-125.196601867675</v>
      </c>
      <c r="H1407" s="5" t="s">
        <v>10</v>
      </c>
      <c r="I1407" s="2">
        <v>1</v>
      </c>
      <c r="J1407" s="2">
        <v>150</v>
      </c>
      <c r="K1407" s="6">
        <v>0.51250000000000007</v>
      </c>
      <c r="L1407" s="2" t="s">
        <v>172</v>
      </c>
      <c r="M1407" s="2">
        <v>5.5</v>
      </c>
      <c r="N1407" s="2">
        <v>2</v>
      </c>
      <c r="O1407" s="2">
        <v>2</v>
      </c>
      <c r="P1407" s="2" t="s">
        <v>251</v>
      </c>
      <c r="Q1407" s="7" t="s">
        <v>73</v>
      </c>
      <c r="R1407" s="4" t="s">
        <v>325</v>
      </c>
      <c r="S1407" s="20">
        <v>1</v>
      </c>
      <c r="T1407" s="2">
        <v>1</v>
      </c>
    </row>
    <row r="1408" spans="1:26">
      <c r="A1408" s="7">
        <f>MAX($A$1:$A1407)+1</f>
        <v>1407</v>
      </c>
      <c r="B1408" s="2" t="s">
        <v>171</v>
      </c>
      <c r="C1408" s="2" t="s">
        <v>504</v>
      </c>
      <c r="D1408" s="2" t="s">
        <v>30</v>
      </c>
      <c r="E1408" s="7" t="s">
        <v>330</v>
      </c>
      <c r="F1408" s="4">
        <v>48.8273315429687</v>
      </c>
      <c r="G1408" s="18">
        <v>-125.196601867675</v>
      </c>
      <c r="H1408" s="5" t="s">
        <v>10</v>
      </c>
      <c r="I1408" s="2">
        <v>1</v>
      </c>
      <c r="J1408" s="2">
        <v>150</v>
      </c>
      <c r="K1408" s="6">
        <v>0.51250000000000007</v>
      </c>
      <c r="L1408" s="2" t="s">
        <v>172</v>
      </c>
      <c r="M1408" s="2">
        <v>5.5</v>
      </c>
      <c r="N1408" s="2">
        <v>2</v>
      </c>
      <c r="O1408" s="2">
        <v>2</v>
      </c>
      <c r="P1408" s="2" t="s">
        <v>305</v>
      </c>
      <c r="Q1408" s="7" t="s">
        <v>89</v>
      </c>
      <c r="R1408" s="4" t="s">
        <v>306</v>
      </c>
      <c r="S1408" s="20">
        <v>1</v>
      </c>
      <c r="T1408" s="2">
        <v>0</v>
      </c>
      <c r="Y1408" s="2">
        <v>1</v>
      </c>
    </row>
    <row r="1409" spans="1:36">
      <c r="A1409" s="7">
        <f>MAX($A$1:$A1408)+1</f>
        <v>1408</v>
      </c>
      <c r="B1409" s="2" t="s">
        <v>171</v>
      </c>
      <c r="C1409" s="2" t="s">
        <v>504</v>
      </c>
      <c r="D1409" s="2" t="s">
        <v>30</v>
      </c>
      <c r="E1409" s="7" t="s">
        <v>330</v>
      </c>
      <c r="F1409" s="4">
        <v>48.8273315429687</v>
      </c>
      <c r="G1409" s="18">
        <v>-125.196601867675</v>
      </c>
      <c r="H1409" s="5" t="s">
        <v>10</v>
      </c>
      <c r="I1409" s="2">
        <v>1</v>
      </c>
      <c r="J1409" s="2">
        <v>150</v>
      </c>
      <c r="K1409" s="6">
        <v>0.51250000000000007</v>
      </c>
      <c r="L1409" s="2" t="s">
        <v>172</v>
      </c>
      <c r="M1409" s="2">
        <v>5.5</v>
      </c>
      <c r="N1409" s="2">
        <v>2</v>
      </c>
      <c r="O1409" s="2">
        <v>2</v>
      </c>
      <c r="P1409" s="2" t="s">
        <v>342</v>
      </c>
      <c r="Q1409" s="7" t="s">
        <v>126</v>
      </c>
      <c r="R1409" s="4" t="s">
        <v>329</v>
      </c>
      <c r="S1409" s="20">
        <v>0</v>
      </c>
      <c r="T1409" s="2">
        <v>0</v>
      </c>
    </row>
    <row r="1410" spans="1:36">
      <c r="A1410" s="7">
        <f>MAX($A$1:$A1409)+1</f>
        <v>1409</v>
      </c>
      <c r="B1410" s="2" t="s">
        <v>171</v>
      </c>
      <c r="C1410" s="2" t="s">
        <v>504</v>
      </c>
      <c r="D1410" s="2" t="s">
        <v>30</v>
      </c>
      <c r="E1410" s="7" t="s">
        <v>330</v>
      </c>
      <c r="F1410" s="4">
        <v>48.8273315429687</v>
      </c>
      <c r="G1410" s="18">
        <v>-125.196601867675</v>
      </c>
      <c r="H1410" s="5" t="s">
        <v>10</v>
      </c>
      <c r="I1410" s="2">
        <v>1</v>
      </c>
      <c r="J1410" s="2">
        <v>150</v>
      </c>
      <c r="K1410" s="6">
        <v>0.51250000000000007</v>
      </c>
      <c r="L1410" s="2" t="s">
        <v>172</v>
      </c>
      <c r="M1410" s="2">
        <v>5.5</v>
      </c>
      <c r="N1410" s="2">
        <v>0</v>
      </c>
      <c r="O1410" s="2">
        <v>0</v>
      </c>
      <c r="P1410" s="2" t="s">
        <v>335</v>
      </c>
      <c r="Q1410" s="7" t="s">
        <v>91</v>
      </c>
      <c r="R1410" s="4" t="s">
        <v>336</v>
      </c>
      <c r="S1410" s="20">
        <v>1</v>
      </c>
      <c r="T1410" s="2">
        <v>1</v>
      </c>
    </row>
    <row r="1411" spans="1:36">
      <c r="A1411" s="7">
        <f>MAX($A$1:$A1410)+1</f>
        <v>1410</v>
      </c>
      <c r="B1411" s="2" t="str">
        <f t="shared" ref="B1411:B1438" si="168">IF(ISERROR(B1410),IF(ISERROR(B1409),IF(ISERROR(B1408),"BLANK",B1408),B1409),B1410)</f>
        <v>Em Lim</v>
      </c>
      <c r="C1411" s="27" t="s">
        <v>269</v>
      </c>
      <c r="D1411" s="27" t="s">
        <v>32</v>
      </c>
      <c r="E1411" s="7" t="str">
        <f>IF(ISERROR(VLOOKUP($D1411,SITES!$A:$E,2,FALSE)),"",VLOOKUP($D1411,SITES!$A:$E,2,FALSE))</f>
        <v>Baeria Rocks South Island</v>
      </c>
      <c r="F1411" s="4">
        <f>IF(ISERROR(VLOOKUP($D1411,SITES!$A:$E,3,FALSE)),"",VLOOKUP($D1411,SITES!$A:$E,3,FALSE))</f>
        <v>48.950233459472599</v>
      </c>
      <c r="G1411" s="18">
        <f>IF(ISERROR(VLOOKUP($D1411,SITES!$A:$E,4,FALSE)),"",VLOOKUP($D1411,SITES!$A:$E,4,FALSE))</f>
        <v>-125.155548095703</v>
      </c>
      <c r="H1411" s="28" t="s">
        <v>11</v>
      </c>
      <c r="I1411" s="2">
        <v>5</v>
      </c>
      <c r="J1411" s="2">
        <v>240</v>
      </c>
      <c r="K1411" s="6">
        <v>0.43055555555555558</v>
      </c>
      <c r="L1411" s="27" t="s">
        <v>270</v>
      </c>
      <c r="M1411" s="2">
        <v>5.5</v>
      </c>
      <c r="N1411" s="2">
        <v>1</v>
      </c>
      <c r="O1411" s="2">
        <v>1</v>
      </c>
      <c r="P1411" s="27" t="s">
        <v>174</v>
      </c>
      <c r="Q1411" s="7" t="str">
        <f>IF($N1411=1,IF(ISERROR(VLOOKUP($P1411,'M1'!$A:$C,Q$2,FALSE)),"NOT PRESENT",VLOOKUP($P1411,'M1'!$A:$C,Q$2,FALSE)),IF($N1411=2,IF(ISERROR(VLOOKUP(DATA!$P317,'M2'!$A:$C,Q$2,FALSE)),"NOT PRESENT",VLOOKUP(DATA!$P317,'M2'!$A:$C,Q$2,FALSE)),IF($N1411=0,IF(ISERROR(VLOOKUP($P1411,'M1'!$A:$C,Q$2,FALSE)),IF(ISERROR(VLOOKUP(DATA!$P317,'M2'!$A:$C,Q$2,FALSE)),"NOT PRESENT",VLOOKUP(DATA!$P317,'M2'!$A:$C,Q$2,FALSE)),VLOOKUP($P1411,'M1'!$A:$C,Q$2,FALSE)),"SPECIFY METHOD")))</f>
        <v>NOT PRESENT</v>
      </c>
      <c r="R1411" s="4" t="str">
        <f>IF($N1411=1,IF(ISERROR(VLOOKUP($P1411,'M1'!$A:$C,R$2,FALSE)),"NOT PRESENT",VLOOKUP($P1411,'M1'!$A:$C,R$2,FALSE)),IF($N1411=2,IF(ISERROR(VLOOKUP(DATA!$P317,'M2'!$A:$C,R$2,FALSE)),"NOT PRESENT",VLOOKUP(DATA!$P317,'M2'!$A:$C,R$2,FALSE)),IF($N1411=0,IF(ISERROR(VLOOKUP($P1411,'M1'!$A:$C,R$2,FALSE)),IF(ISERROR(VLOOKUP(DATA!$P317,'M2'!$A:$C,R$2,FALSE)),"NOT PRESENT",VLOOKUP(DATA!$P317,'M2'!$A:$C,R$2,FALSE)),VLOOKUP($P1411,'M1'!$A:$C,R$2,FALSE)),"SPECIFY METHOD")))</f>
        <v>NOT PRESENT</v>
      </c>
      <c r="S1411" s="20">
        <f t="shared" ref="S1411:S1438" si="169">SUM(T1411:AV1411)</f>
        <v>4</v>
      </c>
      <c r="T1411" s="2">
        <v>0</v>
      </c>
      <c r="AA1411" s="2">
        <v>1</v>
      </c>
      <c r="AC1411" s="2">
        <v>1</v>
      </c>
      <c r="AD1411" s="2">
        <v>1</v>
      </c>
      <c r="AE1411" s="2">
        <v>1</v>
      </c>
    </row>
    <row r="1412" spans="1:36">
      <c r="A1412" s="7">
        <f>MAX($A$1:$A1411)+1</f>
        <v>1411</v>
      </c>
      <c r="B1412" s="2" t="str">
        <f t="shared" si="168"/>
        <v>Em Lim</v>
      </c>
      <c r="C1412" s="2" t="str">
        <f t="shared" ref="C1412:C1438" si="170">IF(ISERROR(C1411),IF(ISERROR(C1410),IF(ISERROR(C1409),"BLANK",C1409),C1410),C1411)</f>
        <v>Valesca de Groot</v>
      </c>
      <c r="D1412" s="2" t="str">
        <f t="shared" ref="D1412:D1438" si="171">IF(ISERROR(D1411),IF(ISERROR(D1410),IF(ISERROR(D1409),"BLANK",D1409),D1410),D1411)</f>
        <v>BMSC6</v>
      </c>
      <c r="E1412" s="7" t="str">
        <f>IF(ISERROR(VLOOKUP($D1412,SITES!$A:$E,2,FALSE)),"",VLOOKUP($D1412,SITES!$A:$E,2,FALSE))</f>
        <v>Baeria Rocks South Island</v>
      </c>
      <c r="F1412" s="4">
        <f>IF(ISERROR(VLOOKUP($D1412,SITES!$A:$E,3,FALSE)),"",VLOOKUP($D1412,SITES!$A:$E,3,FALSE))</f>
        <v>48.950233459472599</v>
      </c>
      <c r="G1412" s="18">
        <f>IF(ISERROR(VLOOKUP($D1412,SITES!$A:$E,4,FALSE)),"",VLOOKUP($D1412,SITES!$A:$E,4,FALSE))</f>
        <v>-125.155548095703</v>
      </c>
      <c r="H1412" s="5" t="str">
        <f t="shared" ref="H1412:O1413" si="172">IF(ISERROR(H1411),IF(ISERROR(H1410),IF(ISERROR(H1409),"BLANK",H1409),H1410),H1411)</f>
        <v>17/05/2023</v>
      </c>
      <c r="I1412" s="2">
        <f t="shared" si="172"/>
        <v>5</v>
      </c>
      <c r="J1412" s="2">
        <f t="shared" si="172"/>
        <v>240</v>
      </c>
      <c r="K1412" s="6">
        <f t="shared" si="172"/>
        <v>0.43055555555555558</v>
      </c>
      <c r="L1412" s="2" t="str">
        <f t="shared" si="172"/>
        <v>VDG</v>
      </c>
      <c r="M1412" s="2">
        <f t="shared" si="172"/>
        <v>5.5</v>
      </c>
      <c r="N1412" s="2">
        <f t="shared" si="172"/>
        <v>1</v>
      </c>
      <c r="O1412" s="2">
        <f t="shared" si="172"/>
        <v>1</v>
      </c>
      <c r="P1412" s="27" t="s">
        <v>175</v>
      </c>
      <c r="Q1412" s="7" t="str">
        <f>IF($N1412=1,IF(ISERROR(VLOOKUP($P1412,'M1'!$A:$C,Q$2,FALSE)),"NOT PRESENT",VLOOKUP($P1412,'M1'!$A:$C,Q$2,FALSE)),IF($N1412=2,IF(ISERROR(VLOOKUP(DATA!$P318,'M2'!$A:$C,Q$2,FALSE)),"NOT PRESENT",VLOOKUP(DATA!$P318,'M2'!$A:$C,Q$2,FALSE)),IF($N1412=0,IF(ISERROR(VLOOKUP($P1412,'M1'!$A:$C,Q$2,FALSE)),IF(ISERROR(VLOOKUP(DATA!$P318,'M2'!$A:$C,Q$2,FALSE)),"NOT PRESENT",VLOOKUP(DATA!$P318,'M2'!$A:$C,Q$2,FALSE)),VLOOKUP($P1412,'M1'!$A:$C,Q$2,FALSE)),"SPECIFY METHOD")))</f>
        <v>NOT PRESENT</v>
      </c>
      <c r="R1412" s="4" t="str">
        <f>IF($N1412=1,IF(ISERROR(VLOOKUP($P1412,'M1'!$A:$C,R$2,FALSE)),"NOT PRESENT",VLOOKUP($P1412,'M1'!$A:$C,R$2,FALSE)),IF($N1412=2,IF(ISERROR(VLOOKUP(DATA!$P318,'M2'!$A:$C,R$2,FALSE)),"NOT PRESENT",VLOOKUP(DATA!$P318,'M2'!$A:$C,R$2,FALSE)),IF($N1412=0,IF(ISERROR(VLOOKUP($P1412,'M1'!$A:$C,R$2,FALSE)),IF(ISERROR(VLOOKUP(DATA!$P318,'M2'!$A:$C,R$2,FALSE)),"NOT PRESENT",VLOOKUP(DATA!$P318,'M2'!$A:$C,R$2,FALSE)),VLOOKUP($P1412,'M1'!$A:$C,R$2,FALSE)),"SPECIFY METHOD")))</f>
        <v>NOT PRESENT</v>
      </c>
      <c r="S1412" s="20">
        <f t="shared" si="169"/>
        <v>1</v>
      </c>
      <c r="T1412" s="2">
        <v>0</v>
      </c>
      <c r="X1412" s="2">
        <v>1</v>
      </c>
    </row>
    <row r="1413" spans="1:36">
      <c r="A1413" s="7">
        <f>MAX($A$1:$A1412)+1</f>
        <v>1412</v>
      </c>
      <c r="B1413" s="2" t="str">
        <f t="shared" si="168"/>
        <v>Em Lim</v>
      </c>
      <c r="C1413" s="2" t="str">
        <f t="shared" si="170"/>
        <v>Valesca de Groot</v>
      </c>
      <c r="D1413" s="2" t="str">
        <f t="shared" si="171"/>
        <v>BMSC6</v>
      </c>
      <c r="E1413" s="7" t="str">
        <f>IF(ISERROR(VLOOKUP($D1413,SITES!$A:$E,2,FALSE)),"",VLOOKUP($D1413,SITES!$A:$E,2,FALSE))</f>
        <v>Baeria Rocks South Island</v>
      </c>
      <c r="F1413" s="4">
        <f>IF(ISERROR(VLOOKUP($D1413,SITES!$A:$E,3,FALSE)),"",VLOOKUP($D1413,SITES!$A:$E,3,FALSE))</f>
        <v>48.950233459472599</v>
      </c>
      <c r="G1413" s="18">
        <f>IF(ISERROR(VLOOKUP($D1413,SITES!$A:$E,4,FALSE)),"",VLOOKUP($D1413,SITES!$A:$E,4,FALSE))</f>
        <v>-125.155548095703</v>
      </c>
      <c r="H1413" s="5" t="str">
        <f t="shared" si="172"/>
        <v>17/05/2023</v>
      </c>
      <c r="I1413" s="2">
        <f t="shared" si="172"/>
        <v>5</v>
      </c>
      <c r="J1413" s="2">
        <f t="shared" si="172"/>
        <v>240</v>
      </c>
      <c r="K1413" s="6">
        <f t="shared" si="172"/>
        <v>0.43055555555555558</v>
      </c>
      <c r="L1413" s="2" t="str">
        <f t="shared" si="172"/>
        <v>VDG</v>
      </c>
      <c r="M1413" s="2">
        <f t="shared" si="172"/>
        <v>5.5</v>
      </c>
      <c r="N1413" s="2">
        <f t="shared" si="172"/>
        <v>1</v>
      </c>
      <c r="O1413" s="2">
        <f t="shared" si="172"/>
        <v>1</v>
      </c>
      <c r="P1413" s="27" t="s">
        <v>224</v>
      </c>
      <c r="Q1413" s="7" t="str">
        <f>IF($N1413=1,IF(ISERROR(VLOOKUP($P1413,'M1'!$A:$C,Q$2,FALSE)),"NOT PRESENT",VLOOKUP($P1413,'M1'!$A:$C,Q$2,FALSE)),IF($N1413=2,IF(ISERROR(VLOOKUP(DATA!$P319,'M2'!$A:$C,Q$2,FALSE)),"NOT PRESENT",VLOOKUP(DATA!$P319,'M2'!$A:$C,Q$2,FALSE)),IF($N1413=0,IF(ISERROR(VLOOKUP($P1413,'M1'!$A:$C,Q$2,FALSE)),IF(ISERROR(VLOOKUP(DATA!$P319,'M2'!$A:$C,Q$2,FALSE)),"NOT PRESENT",VLOOKUP(DATA!$P319,'M2'!$A:$C,Q$2,FALSE)),VLOOKUP($P1413,'M1'!$A:$C,Q$2,FALSE)),"SPECIFY METHOD")))</f>
        <v>NOT PRESENT</v>
      </c>
      <c r="R1413" s="4" t="str">
        <f>IF($N1413=1,IF(ISERROR(VLOOKUP($P1413,'M1'!$A:$C,R$2,FALSE)),"NOT PRESENT",VLOOKUP($P1413,'M1'!$A:$C,R$2,FALSE)),IF($N1413=2,IF(ISERROR(VLOOKUP(DATA!$P319,'M2'!$A:$C,R$2,FALSE)),"NOT PRESENT",VLOOKUP(DATA!$P319,'M2'!$A:$C,R$2,FALSE)),IF($N1413=0,IF(ISERROR(VLOOKUP($P1413,'M1'!$A:$C,R$2,FALSE)),IF(ISERROR(VLOOKUP(DATA!$P319,'M2'!$A:$C,R$2,FALSE)),"NOT PRESENT",VLOOKUP(DATA!$P319,'M2'!$A:$C,R$2,FALSE)),VLOOKUP($P1413,'M1'!$A:$C,R$2,FALSE)),"SPECIFY METHOD")))</f>
        <v>NOT PRESENT</v>
      </c>
      <c r="S1413" s="20">
        <f t="shared" si="169"/>
        <v>1</v>
      </c>
      <c r="T1413" s="2">
        <v>0</v>
      </c>
      <c r="AJ1413" s="2">
        <v>1</v>
      </c>
    </row>
    <row r="1414" spans="1:36">
      <c r="A1414" s="7">
        <f>MAX($A$1:$A1413)+1</f>
        <v>1413</v>
      </c>
      <c r="B1414" s="2" t="str">
        <f t="shared" si="168"/>
        <v>Em Lim</v>
      </c>
      <c r="C1414" s="2" t="str">
        <f t="shared" si="170"/>
        <v>Valesca de Groot</v>
      </c>
      <c r="D1414" s="2" t="str">
        <f t="shared" si="171"/>
        <v>BMSC6</v>
      </c>
      <c r="E1414" s="7" t="str">
        <f>IF(ISERROR(VLOOKUP($D1414,SITES!$A:$E,2,FALSE)),"",VLOOKUP($D1414,SITES!$A:$E,2,FALSE))</f>
        <v>Baeria Rocks South Island</v>
      </c>
      <c r="F1414" s="4">
        <f>IF(ISERROR(VLOOKUP($D1414,SITES!$A:$E,3,FALSE)),"",VLOOKUP($D1414,SITES!$A:$E,3,FALSE))</f>
        <v>48.950233459472599</v>
      </c>
      <c r="G1414" s="18">
        <f>IF(ISERROR(VLOOKUP($D1414,SITES!$A:$E,4,FALSE)),"",VLOOKUP($D1414,SITES!$A:$E,4,FALSE))</f>
        <v>-125.155548095703</v>
      </c>
      <c r="H1414" s="5" t="str">
        <f t="shared" ref="H1414:H1438" si="173">IF(ISERROR(H1413),IF(ISERROR(H1412),IF(ISERROR(H1411),"BLANK",H1411),H1412),H1413)</f>
        <v>17/05/2023</v>
      </c>
      <c r="I1414" s="2">
        <f t="shared" ref="I1414:I1438" si="174">IF(ISERROR(I1413),IF(ISERROR(I1412),IF(ISERROR(I1411),"BLANK",I1411),I1412),I1413)</f>
        <v>5</v>
      </c>
      <c r="J1414" s="2">
        <f t="shared" ref="J1414:J1438" si="175">IF(ISERROR(J1413),IF(ISERROR(J1412),IF(ISERROR(J1411),"BLANK",J1411),J1412),J1413)</f>
        <v>240</v>
      </c>
      <c r="K1414" s="6">
        <f t="shared" ref="K1414:K1438" si="176">IF(ISERROR(K1413),IF(ISERROR(K1412),IF(ISERROR(K1411),"BLANK",K1411),K1412),K1413)</f>
        <v>0.43055555555555558</v>
      </c>
      <c r="L1414" s="2" t="str">
        <f t="shared" ref="L1414:L1438" si="177">IF(ISERROR(L1413),IF(ISERROR(L1412),IF(ISERROR(L1411),"BLANK",L1411),L1412),L1413)</f>
        <v>VDG</v>
      </c>
      <c r="M1414" s="2">
        <f t="shared" ref="M1414:M1438" si="178">IF(ISERROR(M1413),IF(ISERROR(M1412),IF(ISERROR(M1411),"BLANK",M1411),M1412),M1413)</f>
        <v>5.5</v>
      </c>
      <c r="N1414" s="2">
        <v>0</v>
      </c>
      <c r="O1414" s="2">
        <f t="shared" ref="O1414:O1438" si="179">IF(ISERROR(O1413),IF(ISERROR(O1412),IF(ISERROR(O1411),"BLANK",O1411),O1412),O1413)</f>
        <v>1</v>
      </c>
      <c r="P1414" s="27" t="s">
        <v>272</v>
      </c>
      <c r="Q1414" s="7" t="str">
        <f>IF($N1414=1,IF(ISERROR(VLOOKUP($P1414,'M1'!$A:$C,Q$2,FALSE)),"NOT PRESENT",VLOOKUP($P1414,'M1'!$A:$C,Q$2,FALSE)),IF($N1414=2,IF(ISERROR(VLOOKUP(DATA!$P320,'M2'!$A:$C,Q$2,FALSE)),"NOT PRESENT",VLOOKUP(DATA!$P320,'M2'!$A:$C,Q$2,FALSE)),IF($N1414=0,IF(ISERROR(VLOOKUP($P1414,'M1'!$A:$C,Q$2,FALSE)),IF(ISERROR(VLOOKUP(DATA!$P320,'M2'!$A:$C,Q$2,FALSE)),"NOT PRESENT",VLOOKUP(DATA!$P320,'M2'!$A:$C,Q$2,FALSE)),VLOOKUP($P1414,'M1'!$A:$C,Q$2,FALSE)),"SPECIFY METHOD")))</f>
        <v>NOT PRESENT</v>
      </c>
      <c r="R1414" s="4" t="str">
        <f>IF($N1414=1,IF(ISERROR(VLOOKUP($P1414,'M1'!$A:$C,R$2,FALSE)),"NOT PRESENT",VLOOKUP($P1414,'M1'!$A:$C,R$2,FALSE)),IF($N1414=2,IF(ISERROR(VLOOKUP(DATA!$P320,'M2'!$A:$C,R$2,FALSE)),"NOT PRESENT",VLOOKUP(DATA!$P320,'M2'!$A:$C,R$2,FALSE)),IF($N1414=0,IF(ISERROR(VLOOKUP($P1414,'M1'!$A:$C,R$2,FALSE)),IF(ISERROR(VLOOKUP(DATA!$P320,'M2'!$A:$C,R$2,FALSE)),"NOT PRESENT",VLOOKUP(DATA!$P320,'M2'!$A:$C,R$2,FALSE)),VLOOKUP($P1414,'M1'!$A:$C,R$2,FALSE)),"SPECIFY METHOD")))</f>
        <v>NOT PRESENT</v>
      </c>
      <c r="S1414" s="20">
        <f t="shared" si="169"/>
        <v>2</v>
      </c>
      <c r="T1414" s="2">
        <v>0</v>
      </c>
      <c r="Z1414" s="2">
        <v>2</v>
      </c>
    </row>
    <row r="1415" spans="1:36">
      <c r="A1415" s="7">
        <f>MAX($A$1:$A1414)+1</f>
        <v>1414</v>
      </c>
      <c r="B1415" s="2" t="str">
        <f t="shared" si="168"/>
        <v>Em Lim</v>
      </c>
      <c r="C1415" s="2" t="str">
        <f t="shared" si="170"/>
        <v>Valesca de Groot</v>
      </c>
      <c r="D1415" s="2" t="str">
        <f t="shared" si="171"/>
        <v>BMSC6</v>
      </c>
      <c r="E1415" s="7" t="str">
        <f>IF(ISERROR(VLOOKUP($D1415,SITES!$A:$E,2,FALSE)),"",VLOOKUP($D1415,SITES!$A:$E,2,FALSE))</f>
        <v>Baeria Rocks South Island</v>
      </c>
      <c r="F1415" s="4">
        <f>IF(ISERROR(VLOOKUP($D1415,SITES!$A:$E,3,FALSE)),"",VLOOKUP($D1415,SITES!$A:$E,3,FALSE))</f>
        <v>48.950233459472599</v>
      </c>
      <c r="G1415" s="18">
        <f>IF(ISERROR(VLOOKUP($D1415,SITES!$A:$E,4,FALSE)),"",VLOOKUP($D1415,SITES!$A:$E,4,FALSE))</f>
        <v>-125.155548095703</v>
      </c>
      <c r="H1415" s="5" t="str">
        <f t="shared" si="173"/>
        <v>17/05/2023</v>
      </c>
      <c r="I1415" s="2">
        <f t="shared" si="174"/>
        <v>5</v>
      </c>
      <c r="J1415" s="2">
        <f t="shared" si="175"/>
        <v>240</v>
      </c>
      <c r="K1415" s="6">
        <f t="shared" si="176"/>
        <v>0.43055555555555558</v>
      </c>
      <c r="L1415" s="2" t="str">
        <f t="shared" si="177"/>
        <v>VDG</v>
      </c>
      <c r="M1415" s="2">
        <f t="shared" si="178"/>
        <v>5.5</v>
      </c>
      <c r="N1415" s="2">
        <v>2</v>
      </c>
      <c r="O1415" s="2">
        <f t="shared" si="179"/>
        <v>1</v>
      </c>
      <c r="P1415" s="27" t="s">
        <v>178</v>
      </c>
      <c r="Q1415" s="7" t="str">
        <f>IF($N1415=1,IF(ISERROR(VLOOKUP($P1415,'M1'!$A:$C,Q$2,FALSE)),"NOT PRESENT",VLOOKUP($P1415,'M1'!$A:$C,Q$2,FALSE)),IF($N1415=2,IF(ISERROR(VLOOKUP(DATA!$P321,'M2'!$A:$C,Q$2,FALSE)),"NOT PRESENT",VLOOKUP(DATA!$P321,'M2'!$A:$C,Q$2,FALSE)),IF($N1415=0,IF(ISERROR(VLOOKUP($P1415,'M1'!$A:$C,Q$2,FALSE)),IF(ISERROR(VLOOKUP(DATA!$P321,'M2'!$A:$C,Q$2,FALSE)),"NOT PRESENT",VLOOKUP(DATA!$P321,'M2'!$A:$C,Q$2,FALSE)),VLOOKUP($P1415,'M1'!$A:$C,Q$2,FALSE)),"SPECIFY METHOD")))</f>
        <v>NOT PRESENT</v>
      </c>
      <c r="R1415" s="4" t="str">
        <f>IF($N1415=1,IF(ISERROR(VLOOKUP($P1415,'M1'!$A:$C,R$2,FALSE)),"NOT PRESENT",VLOOKUP($P1415,'M1'!$A:$C,R$2,FALSE)),IF($N1415=2,IF(ISERROR(VLOOKUP(DATA!$P321,'M2'!$A:$C,R$2,FALSE)),"NOT PRESENT",VLOOKUP(DATA!$P321,'M2'!$A:$C,R$2,FALSE)),IF($N1415=0,IF(ISERROR(VLOOKUP($P1415,'M1'!$A:$C,R$2,FALSE)),IF(ISERROR(VLOOKUP(DATA!$P321,'M2'!$A:$C,R$2,FALSE)),"NOT PRESENT",VLOOKUP(DATA!$P321,'M2'!$A:$C,R$2,FALSE)),VLOOKUP($P1415,'M1'!$A:$C,R$2,FALSE)),"SPECIFY METHOD")))</f>
        <v>NOT PRESENT</v>
      </c>
      <c r="S1415" s="20">
        <f t="shared" si="169"/>
        <v>650</v>
      </c>
      <c r="T1415" s="2">
        <v>650</v>
      </c>
    </row>
    <row r="1416" spans="1:36">
      <c r="A1416" s="7">
        <f>MAX($A$1:$A1415)+1</f>
        <v>1415</v>
      </c>
      <c r="B1416" s="2" t="str">
        <f t="shared" si="168"/>
        <v>Em Lim</v>
      </c>
      <c r="C1416" s="2" t="str">
        <f t="shared" si="170"/>
        <v>Valesca de Groot</v>
      </c>
      <c r="D1416" s="2" t="str">
        <f t="shared" si="171"/>
        <v>BMSC6</v>
      </c>
      <c r="E1416" s="7" t="str">
        <f>IF(ISERROR(VLOOKUP($D1416,SITES!$A:$E,2,FALSE)),"",VLOOKUP($D1416,SITES!$A:$E,2,FALSE))</f>
        <v>Baeria Rocks South Island</v>
      </c>
      <c r="F1416" s="4">
        <f>IF(ISERROR(VLOOKUP($D1416,SITES!$A:$E,3,FALSE)),"",VLOOKUP($D1416,SITES!$A:$E,3,FALSE))</f>
        <v>48.950233459472599</v>
      </c>
      <c r="G1416" s="18">
        <f>IF(ISERROR(VLOOKUP($D1416,SITES!$A:$E,4,FALSE)),"",VLOOKUP($D1416,SITES!$A:$E,4,FALSE))</f>
        <v>-125.155548095703</v>
      </c>
      <c r="H1416" s="5" t="str">
        <f t="shared" si="173"/>
        <v>17/05/2023</v>
      </c>
      <c r="I1416" s="2">
        <f t="shared" si="174"/>
        <v>5</v>
      </c>
      <c r="J1416" s="2">
        <f t="shared" si="175"/>
        <v>240</v>
      </c>
      <c r="K1416" s="6">
        <f t="shared" si="176"/>
        <v>0.43055555555555558</v>
      </c>
      <c r="L1416" s="2" t="str">
        <f t="shared" si="177"/>
        <v>VDG</v>
      </c>
      <c r="M1416" s="2">
        <f t="shared" si="178"/>
        <v>5.5</v>
      </c>
      <c r="N1416" s="2">
        <f t="shared" ref="N1416:N1438" si="180">IF(ISERROR(N1415),IF(ISERROR(N1414),IF(ISERROR(N1413),"BLANK",N1413),N1414),N1415)</f>
        <v>2</v>
      </c>
      <c r="O1416" s="2">
        <f t="shared" si="179"/>
        <v>1</v>
      </c>
      <c r="P1416" s="27" t="s">
        <v>190</v>
      </c>
      <c r="Q1416" s="7" t="str">
        <f>IF($N1416=1,IF(ISERROR(VLOOKUP($P1416,'M1'!$A:$C,Q$2,FALSE)),"NOT PRESENT",VLOOKUP($P1416,'M1'!$A:$C,Q$2,FALSE)),IF($N1416=2,IF(ISERROR(VLOOKUP(DATA!$P322,'M2'!$A:$C,Q$2,FALSE)),"NOT PRESENT",VLOOKUP(DATA!$P322,'M2'!$A:$C,Q$2,FALSE)),IF($N1416=0,IF(ISERROR(VLOOKUP($P1416,'M1'!$A:$C,Q$2,FALSE)),IF(ISERROR(VLOOKUP(DATA!$P322,'M2'!$A:$C,Q$2,FALSE)),"NOT PRESENT",VLOOKUP(DATA!$P322,'M2'!$A:$C,Q$2,FALSE)),VLOOKUP($P1416,'M1'!$A:$C,Q$2,FALSE)),"SPECIFY METHOD")))</f>
        <v>NOT PRESENT</v>
      </c>
      <c r="R1416" s="4" t="str">
        <f>IF($N1416=1,IF(ISERROR(VLOOKUP($P1416,'M1'!$A:$C,R$2,FALSE)),"NOT PRESENT",VLOOKUP($P1416,'M1'!$A:$C,R$2,FALSE)),IF($N1416=2,IF(ISERROR(VLOOKUP(DATA!$P322,'M2'!$A:$C,R$2,FALSE)),"NOT PRESENT",VLOOKUP(DATA!$P322,'M2'!$A:$C,R$2,FALSE)),IF($N1416=0,IF(ISERROR(VLOOKUP($P1416,'M1'!$A:$C,R$2,FALSE)),IF(ISERROR(VLOOKUP(DATA!$P322,'M2'!$A:$C,R$2,FALSE)),"NOT PRESENT",VLOOKUP(DATA!$P322,'M2'!$A:$C,R$2,FALSE)),VLOOKUP($P1416,'M1'!$A:$C,R$2,FALSE)),"SPECIFY METHOD")))</f>
        <v>NOT PRESENT</v>
      </c>
      <c r="S1416" s="20">
        <f t="shared" si="169"/>
        <v>5</v>
      </c>
      <c r="T1416" s="2">
        <v>5</v>
      </c>
    </row>
    <row r="1417" spans="1:36">
      <c r="A1417" s="7">
        <f>MAX($A$1:$A1416)+1</f>
        <v>1416</v>
      </c>
      <c r="B1417" s="2" t="str">
        <f t="shared" si="168"/>
        <v>Em Lim</v>
      </c>
      <c r="C1417" s="2" t="str">
        <f t="shared" si="170"/>
        <v>Valesca de Groot</v>
      </c>
      <c r="D1417" s="2" t="str">
        <f t="shared" si="171"/>
        <v>BMSC6</v>
      </c>
      <c r="E1417" s="7" t="str">
        <f>IF(ISERROR(VLOOKUP($D1417,SITES!$A:$E,2,FALSE)),"",VLOOKUP($D1417,SITES!$A:$E,2,FALSE))</f>
        <v>Baeria Rocks South Island</v>
      </c>
      <c r="F1417" s="4">
        <f>IF(ISERROR(VLOOKUP($D1417,SITES!$A:$E,3,FALSE)),"",VLOOKUP($D1417,SITES!$A:$E,3,FALSE))</f>
        <v>48.950233459472599</v>
      </c>
      <c r="G1417" s="18">
        <f>IF(ISERROR(VLOOKUP($D1417,SITES!$A:$E,4,FALSE)),"",VLOOKUP($D1417,SITES!$A:$E,4,FALSE))</f>
        <v>-125.155548095703</v>
      </c>
      <c r="H1417" s="5" t="str">
        <f t="shared" si="173"/>
        <v>17/05/2023</v>
      </c>
      <c r="I1417" s="2">
        <f t="shared" si="174"/>
        <v>5</v>
      </c>
      <c r="J1417" s="2">
        <f t="shared" si="175"/>
        <v>240</v>
      </c>
      <c r="K1417" s="6">
        <f t="shared" si="176"/>
        <v>0.43055555555555558</v>
      </c>
      <c r="L1417" s="2" t="str">
        <f t="shared" si="177"/>
        <v>VDG</v>
      </c>
      <c r="M1417" s="2">
        <f t="shared" si="178"/>
        <v>5.5</v>
      </c>
      <c r="N1417" s="2">
        <f t="shared" si="180"/>
        <v>2</v>
      </c>
      <c r="O1417" s="2">
        <f t="shared" si="179"/>
        <v>1</v>
      </c>
      <c r="P1417" s="27" t="s">
        <v>196</v>
      </c>
      <c r="Q1417" s="7" t="str">
        <f>IF($N1417=1,IF(ISERROR(VLOOKUP($P1417,'M1'!$A:$C,Q$2,FALSE)),"NOT PRESENT",VLOOKUP($P1417,'M1'!$A:$C,Q$2,FALSE)),IF($N1417=2,IF(ISERROR(VLOOKUP(DATA!$P323,'M2'!$A:$C,Q$2,FALSE)),"NOT PRESENT",VLOOKUP(DATA!$P323,'M2'!$A:$C,Q$2,FALSE)),IF($N1417=0,IF(ISERROR(VLOOKUP($P1417,'M1'!$A:$C,Q$2,FALSE)),IF(ISERROR(VLOOKUP(DATA!$P323,'M2'!$A:$C,Q$2,FALSE)),"NOT PRESENT",VLOOKUP(DATA!$P323,'M2'!$A:$C,Q$2,FALSE)),VLOOKUP($P1417,'M1'!$A:$C,Q$2,FALSE)),"SPECIFY METHOD")))</f>
        <v>NOT PRESENT</v>
      </c>
      <c r="R1417" s="4" t="str">
        <f>IF($N1417=1,IF(ISERROR(VLOOKUP($P1417,'M1'!$A:$C,R$2,FALSE)),"NOT PRESENT",VLOOKUP($P1417,'M1'!$A:$C,R$2,FALSE)),IF($N1417=2,IF(ISERROR(VLOOKUP(DATA!$P323,'M2'!$A:$C,R$2,FALSE)),"NOT PRESENT",VLOOKUP(DATA!$P323,'M2'!$A:$C,R$2,FALSE)),IF($N1417=0,IF(ISERROR(VLOOKUP($P1417,'M1'!$A:$C,R$2,FALSE)),IF(ISERROR(VLOOKUP(DATA!$P323,'M2'!$A:$C,R$2,FALSE)),"NOT PRESENT",VLOOKUP(DATA!$P323,'M2'!$A:$C,R$2,FALSE)),VLOOKUP($P1417,'M1'!$A:$C,R$2,FALSE)),"SPECIFY METHOD")))</f>
        <v>NOT PRESENT</v>
      </c>
      <c r="S1417" s="20">
        <f t="shared" si="169"/>
        <v>43</v>
      </c>
      <c r="T1417" s="2">
        <v>43</v>
      </c>
    </row>
    <row r="1418" spans="1:36">
      <c r="A1418" s="7">
        <f>MAX($A$1:$A1417)+1</f>
        <v>1417</v>
      </c>
      <c r="B1418" s="2" t="str">
        <f t="shared" si="168"/>
        <v>Em Lim</v>
      </c>
      <c r="C1418" s="2" t="str">
        <f t="shared" si="170"/>
        <v>Valesca de Groot</v>
      </c>
      <c r="D1418" s="2" t="str">
        <f t="shared" si="171"/>
        <v>BMSC6</v>
      </c>
      <c r="E1418" s="7" t="str">
        <f>IF(ISERROR(VLOOKUP($D1418,SITES!$A:$E,2,FALSE)),"",VLOOKUP($D1418,SITES!$A:$E,2,FALSE))</f>
        <v>Baeria Rocks South Island</v>
      </c>
      <c r="F1418" s="4">
        <f>IF(ISERROR(VLOOKUP($D1418,SITES!$A:$E,3,FALSE)),"",VLOOKUP($D1418,SITES!$A:$E,3,FALSE))</f>
        <v>48.950233459472599</v>
      </c>
      <c r="G1418" s="18">
        <f>IF(ISERROR(VLOOKUP($D1418,SITES!$A:$E,4,FALSE)),"",VLOOKUP($D1418,SITES!$A:$E,4,FALSE))</f>
        <v>-125.155548095703</v>
      </c>
      <c r="H1418" s="5" t="str">
        <f t="shared" si="173"/>
        <v>17/05/2023</v>
      </c>
      <c r="I1418" s="2">
        <f t="shared" si="174"/>
        <v>5</v>
      </c>
      <c r="J1418" s="2">
        <f t="shared" si="175"/>
        <v>240</v>
      </c>
      <c r="K1418" s="6">
        <f t="shared" si="176"/>
        <v>0.43055555555555558</v>
      </c>
      <c r="L1418" s="2" t="str">
        <f t="shared" si="177"/>
        <v>VDG</v>
      </c>
      <c r="M1418" s="2">
        <f t="shared" si="178"/>
        <v>5.5</v>
      </c>
      <c r="N1418" s="2">
        <f t="shared" si="180"/>
        <v>2</v>
      </c>
      <c r="O1418" s="2">
        <f t="shared" si="179"/>
        <v>1</v>
      </c>
      <c r="P1418" s="27" t="s">
        <v>182</v>
      </c>
      <c r="Q1418" s="7" t="str">
        <f>IF($N1418=1,IF(ISERROR(VLOOKUP($P1418,'M1'!$A:$C,Q$2,FALSE)),"NOT PRESENT",VLOOKUP($P1418,'M1'!$A:$C,Q$2,FALSE)),IF($N1418=2,IF(ISERROR(VLOOKUP(DATA!$P324,'M2'!$A:$C,Q$2,FALSE)),"NOT PRESENT",VLOOKUP(DATA!$P324,'M2'!$A:$C,Q$2,FALSE)),IF($N1418=0,IF(ISERROR(VLOOKUP($P1418,'M1'!$A:$C,Q$2,FALSE)),IF(ISERROR(VLOOKUP(DATA!$P324,'M2'!$A:$C,Q$2,FALSE)),"NOT PRESENT",VLOOKUP(DATA!$P324,'M2'!$A:$C,Q$2,FALSE)),VLOOKUP($P1418,'M1'!$A:$C,Q$2,FALSE)),"SPECIFY METHOD")))</f>
        <v>NOT PRESENT</v>
      </c>
      <c r="R1418" s="4" t="str">
        <f>IF($N1418=1,IF(ISERROR(VLOOKUP($P1418,'M1'!$A:$C,R$2,FALSE)),"NOT PRESENT",VLOOKUP($P1418,'M1'!$A:$C,R$2,FALSE)),IF($N1418=2,IF(ISERROR(VLOOKUP(DATA!$P324,'M2'!$A:$C,R$2,FALSE)),"NOT PRESENT",VLOOKUP(DATA!$P324,'M2'!$A:$C,R$2,FALSE)),IF($N1418=0,IF(ISERROR(VLOOKUP($P1418,'M1'!$A:$C,R$2,FALSE)),IF(ISERROR(VLOOKUP(DATA!$P324,'M2'!$A:$C,R$2,FALSE)),"NOT PRESENT",VLOOKUP(DATA!$P324,'M2'!$A:$C,R$2,FALSE)),VLOOKUP($P1418,'M1'!$A:$C,R$2,FALSE)),"SPECIFY METHOD")))</f>
        <v>NOT PRESENT</v>
      </c>
      <c r="S1418" s="20">
        <f t="shared" si="169"/>
        <v>45</v>
      </c>
      <c r="T1418" s="2">
        <v>45</v>
      </c>
    </row>
    <row r="1419" spans="1:36">
      <c r="A1419" s="7">
        <f>MAX($A$1:$A1418)+1</f>
        <v>1418</v>
      </c>
      <c r="B1419" s="2" t="str">
        <f t="shared" si="168"/>
        <v>Em Lim</v>
      </c>
      <c r="C1419" s="2" t="str">
        <f t="shared" si="170"/>
        <v>Valesca de Groot</v>
      </c>
      <c r="D1419" s="2" t="str">
        <f t="shared" si="171"/>
        <v>BMSC6</v>
      </c>
      <c r="E1419" s="7" t="str">
        <f>IF(ISERROR(VLOOKUP($D1419,SITES!$A:$E,2,FALSE)),"",VLOOKUP($D1419,SITES!$A:$E,2,FALSE))</f>
        <v>Baeria Rocks South Island</v>
      </c>
      <c r="F1419" s="4">
        <f>IF(ISERROR(VLOOKUP($D1419,SITES!$A:$E,3,FALSE)),"",VLOOKUP($D1419,SITES!$A:$E,3,FALSE))</f>
        <v>48.950233459472599</v>
      </c>
      <c r="G1419" s="18">
        <f>IF(ISERROR(VLOOKUP($D1419,SITES!$A:$E,4,FALSE)),"",VLOOKUP($D1419,SITES!$A:$E,4,FALSE))</f>
        <v>-125.155548095703</v>
      </c>
      <c r="H1419" s="5" t="str">
        <f t="shared" si="173"/>
        <v>17/05/2023</v>
      </c>
      <c r="I1419" s="2">
        <f t="shared" si="174"/>
        <v>5</v>
      </c>
      <c r="J1419" s="2">
        <f t="shared" si="175"/>
        <v>240</v>
      </c>
      <c r="K1419" s="6">
        <f t="shared" si="176"/>
        <v>0.43055555555555558</v>
      </c>
      <c r="L1419" s="2" t="str">
        <f t="shared" si="177"/>
        <v>VDG</v>
      </c>
      <c r="M1419" s="2">
        <f t="shared" si="178"/>
        <v>5.5</v>
      </c>
      <c r="N1419" s="2">
        <f t="shared" si="180"/>
        <v>2</v>
      </c>
      <c r="O1419" s="2">
        <f t="shared" si="179"/>
        <v>1</v>
      </c>
      <c r="P1419" s="27" t="s">
        <v>180</v>
      </c>
      <c r="Q1419" s="7" t="str">
        <f>IF($N1419=1,IF(ISERROR(VLOOKUP($P1419,'M1'!$A:$C,Q$2,FALSE)),"NOT PRESENT",VLOOKUP($P1419,'M1'!$A:$C,Q$2,FALSE)),IF($N1419=2,IF(ISERROR(VLOOKUP(DATA!$P325,'M2'!$A:$C,Q$2,FALSE)),"NOT PRESENT",VLOOKUP(DATA!$P325,'M2'!$A:$C,Q$2,FALSE)),IF($N1419=0,IF(ISERROR(VLOOKUP($P1419,'M1'!$A:$C,Q$2,FALSE)),IF(ISERROR(VLOOKUP(DATA!$P325,'M2'!$A:$C,Q$2,FALSE)),"NOT PRESENT",VLOOKUP(DATA!$P325,'M2'!$A:$C,Q$2,FALSE)),VLOOKUP($P1419,'M1'!$A:$C,Q$2,FALSE)),"SPECIFY METHOD")))</f>
        <v>NOT PRESENT</v>
      </c>
      <c r="R1419" s="4" t="str">
        <f>IF($N1419=1,IF(ISERROR(VLOOKUP($P1419,'M1'!$A:$C,R$2,FALSE)),"NOT PRESENT",VLOOKUP($P1419,'M1'!$A:$C,R$2,FALSE)),IF($N1419=2,IF(ISERROR(VLOOKUP(DATA!$P325,'M2'!$A:$C,R$2,FALSE)),"NOT PRESENT",VLOOKUP(DATA!$P325,'M2'!$A:$C,R$2,FALSE)),IF($N1419=0,IF(ISERROR(VLOOKUP($P1419,'M1'!$A:$C,R$2,FALSE)),IF(ISERROR(VLOOKUP(DATA!$P325,'M2'!$A:$C,R$2,FALSE)),"NOT PRESENT",VLOOKUP(DATA!$P325,'M2'!$A:$C,R$2,FALSE)),VLOOKUP($P1419,'M1'!$A:$C,R$2,FALSE)),"SPECIFY METHOD")))</f>
        <v>NOT PRESENT</v>
      </c>
      <c r="S1419" s="20">
        <f t="shared" si="169"/>
        <v>29</v>
      </c>
      <c r="T1419" s="2">
        <v>29</v>
      </c>
    </row>
    <row r="1420" spans="1:36">
      <c r="A1420" s="7">
        <f>MAX($A$1:$A1419)+1</f>
        <v>1419</v>
      </c>
      <c r="B1420" s="2" t="str">
        <f t="shared" si="168"/>
        <v>Em Lim</v>
      </c>
      <c r="C1420" s="2" t="str">
        <f t="shared" si="170"/>
        <v>Valesca de Groot</v>
      </c>
      <c r="D1420" s="2" t="str">
        <f t="shared" si="171"/>
        <v>BMSC6</v>
      </c>
      <c r="E1420" s="7" t="str">
        <f>IF(ISERROR(VLOOKUP($D1420,SITES!$A:$E,2,FALSE)),"",VLOOKUP($D1420,SITES!$A:$E,2,FALSE))</f>
        <v>Baeria Rocks South Island</v>
      </c>
      <c r="F1420" s="4">
        <f>IF(ISERROR(VLOOKUP($D1420,SITES!$A:$E,3,FALSE)),"",VLOOKUP($D1420,SITES!$A:$E,3,FALSE))</f>
        <v>48.950233459472599</v>
      </c>
      <c r="G1420" s="18">
        <f>IF(ISERROR(VLOOKUP($D1420,SITES!$A:$E,4,FALSE)),"",VLOOKUP($D1420,SITES!$A:$E,4,FALSE))</f>
        <v>-125.155548095703</v>
      </c>
      <c r="H1420" s="5" t="str">
        <f t="shared" si="173"/>
        <v>17/05/2023</v>
      </c>
      <c r="I1420" s="2">
        <f t="shared" si="174"/>
        <v>5</v>
      </c>
      <c r="J1420" s="2">
        <f t="shared" si="175"/>
        <v>240</v>
      </c>
      <c r="K1420" s="6">
        <f t="shared" si="176"/>
        <v>0.43055555555555558</v>
      </c>
      <c r="L1420" s="2" t="str">
        <f t="shared" si="177"/>
        <v>VDG</v>
      </c>
      <c r="M1420" s="2">
        <f t="shared" si="178"/>
        <v>5.5</v>
      </c>
      <c r="N1420" s="2">
        <f t="shared" si="180"/>
        <v>2</v>
      </c>
      <c r="O1420" s="2">
        <f t="shared" si="179"/>
        <v>1</v>
      </c>
      <c r="P1420" s="27" t="s">
        <v>219</v>
      </c>
      <c r="Q1420" s="7" t="str">
        <f>IF($N1420=1,IF(ISERROR(VLOOKUP($P1420,'M1'!$A:$C,Q$2,FALSE)),"NOT PRESENT",VLOOKUP($P1420,'M1'!$A:$C,Q$2,FALSE)),IF($N1420=2,IF(ISERROR(VLOOKUP(DATA!$P326,'M2'!$A:$C,Q$2,FALSE)),"NOT PRESENT",VLOOKUP(DATA!$P326,'M2'!$A:$C,Q$2,FALSE)),IF($N1420=0,IF(ISERROR(VLOOKUP($P1420,'M1'!$A:$C,Q$2,FALSE)),IF(ISERROR(VLOOKUP(DATA!$P326,'M2'!$A:$C,Q$2,FALSE)),"NOT PRESENT",VLOOKUP(DATA!$P326,'M2'!$A:$C,Q$2,FALSE)),VLOOKUP($P1420,'M1'!$A:$C,Q$2,FALSE)),"SPECIFY METHOD")))</f>
        <v>NOT PRESENT</v>
      </c>
      <c r="R1420" s="4" t="str">
        <f>IF($N1420=1,IF(ISERROR(VLOOKUP($P1420,'M1'!$A:$C,R$2,FALSE)),"NOT PRESENT",VLOOKUP($P1420,'M1'!$A:$C,R$2,FALSE)),IF($N1420=2,IF(ISERROR(VLOOKUP(DATA!$P326,'M2'!$A:$C,R$2,FALSE)),"NOT PRESENT",VLOOKUP(DATA!$P326,'M2'!$A:$C,R$2,FALSE)),IF($N1420=0,IF(ISERROR(VLOOKUP($P1420,'M1'!$A:$C,R$2,FALSE)),IF(ISERROR(VLOOKUP(DATA!$P326,'M2'!$A:$C,R$2,FALSE)),"NOT PRESENT",VLOOKUP(DATA!$P326,'M2'!$A:$C,R$2,FALSE)),VLOOKUP($P1420,'M1'!$A:$C,R$2,FALSE)),"SPECIFY METHOD")))</f>
        <v>NOT PRESENT</v>
      </c>
      <c r="S1420" s="20">
        <f t="shared" si="169"/>
        <v>8</v>
      </c>
      <c r="T1420" s="2">
        <v>8</v>
      </c>
    </row>
    <row r="1421" spans="1:36">
      <c r="A1421" s="7">
        <f>MAX($A$1:$A1420)+1</f>
        <v>1420</v>
      </c>
      <c r="B1421" s="2" t="str">
        <f t="shared" si="168"/>
        <v>Em Lim</v>
      </c>
      <c r="C1421" s="2" t="str">
        <f t="shared" si="170"/>
        <v>Valesca de Groot</v>
      </c>
      <c r="D1421" s="2" t="str">
        <f t="shared" si="171"/>
        <v>BMSC6</v>
      </c>
      <c r="E1421" s="7" t="str">
        <f>IF(ISERROR(VLOOKUP($D1421,SITES!$A:$E,2,FALSE)),"",VLOOKUP($D1421,SITES!$A:$E,2,FALSE))</f>
        <v>Baeria Rocks South Island</v>
      </c>
      <c r="F1421" s="4">
        <f>IF(ISERROR(VLOOKUP($D1421,SITES!$A:$E,3,FALSE)),"",VLOOKUP($D1421,SITES!$A:$E,3,FALSE))</f>
        <v>48.950233459472599</v>
      </c>
      <c r="G1421" s="18">
        <f>IF(ISERROR(VLOOKUP($D1421,SITES!$A:$E,4,FALSE)),"",VLOOKUP($D1421,SITES!$A:$E,4,FALSE))</f>
        <v>-125.155548095703</v>
      </c>
      <c r="H1421" s="5" t="str">
        <f t="shared" si="173"/>
        <v>17/05/2023</v>
      </c>
      <c r="I1421" s="2">
        <f t="shared" si="174"/>
        <v>5</v>
      </c>
      <c r="J1421" s="2">
        <f t="shared" si="175"/>
        <v>240</v>
      </c>
      <c r="K1421" s="6">
        <f t="shared" si="176"/>
        <v>0.43055555555555558</v>
      </c>
      <c r="L1421" s="2" t="str">
        <f t="shared" si="177"/>
        <v>VDG</v>
      </c>
      <c r="M1421" s="2">
        <f t="shared" si="178"/>
        <v>5.5</v>
      </c>
      <c r="N1421" s="2">
        <f t="shared" si="180"/>
        <v>2</v>
      </c>
      <c r="O1421" s="2">
        <f t="shared" si="179"/>
        <v>1</v>
      </c>
      <c r="P1421" s="27" t="s">
        <v>186</v>
      </c>
      <c r="Q1421" s="7" t="str">
        <f>IF($N1421=1,IF(ISERROR(VLOOKUP($P1421,'M1'!$A:$C,Q$2,FALSE)),"NOT PRESENT",VLOOKUP($P1421,'M1'!$A:$C,Q$2,FALSE)),IF($N1421=2,IF(ISERROR(VLOOKUP(DATA!$P327,'M2'!$A:$C,Q$2,FALSE)),"NOT PRESENT",VLOOKUP(DATA!$P327,'M2'!$A:$C,Q$2,FALSE)),IF($N1421=0,IF(ISERROR(VLOOKUP($P1421,'M1'!$A:$C,Q$2,FALSE)),IF(ISERROR(VLOOKUP(DATA!$P327,'M2'!$A:$C,Q$2,FALSE)),"NOT PRESENT",VLOOKUP(DATA!$P327,'M2'!$A:$C,Q$2,FALSE)),VLOOKUP($P1421,'M1'!$A:$C,Q$2,FALSE)),"SPECIFY METHOD")))</f>
        <v>NOT PRESENT</v>
      </c>
      <c r="R1421" s="4" t="str">
        <f>IF($N1421=1,IF(ISERROR(VLOOKUP($P1421,'M1'!$A:$C,R$2,FALSE)),"NOT PRESENT",VLOOKUP($P1421,'M1'!$A:$C,R$2,FALSE)),IF($N1421=2,IF(ISERROR(VLOOKUP(DATA!$P327,'M2'!$A:$C,R$2,FALSE)),"NOT PRESENT",VLOOKUP(DATA!$P327,'M2'!$A:$C,R$2,FALSE)),IF($N1421=0,IF(ISERROR(VLOOKUP($P1421,'M1'!$A:$C,R$2,FALSE)),IF(ISERROR(VLOOKUP(DATA!$P327,'M2'!$A:$C,R$2,FALSE)),"NOT PRESENT",VLOOKUP(DATA!$P327,'M2'!$A:$C,R$2,FALSE)),VLOOKUP($P1421,'M1'!$A:$C,R$2,FALSE)),"SPECIFY METHOD")))</f>
        <v>NOT PRESENT</v>
      </c>
      <c r="S1421" s="20">
        <f t="shared" si="169"/>
        <v>9</v>
      </c>
      <c r="T1421" s="2">
        <v>9</v>
      </c>
    </row>
    <row r="1422" spans="1:36">
      <c r="A1422" s="7">
        <f>MAX($A$1:$A1421)+1</f>
        <v>1421</v>
      </c>
      <c r="B1422" s="2" t="str">
        <f t="shared" si="168"/>
        <v>Em Lim</v>
      </c>
      <c r="C1422" s="2" t="str">
        <f t="shared" si="170"/>
        <v>Valesca de Groot</v>
      </c>
      <c r="D1422" s="2" t="str">
        <f t="shared" si="171"/>
        <v>BMSC6</v>
      </c>
      <c r="E1422" s="7" t="str">
        <f>IF(ISERROR(VLOOKUP($D1422,SITES!$A:$E,2,FALSE)),"",VLOOKUP($D1422,SITES!$A:$E,2,FALSE))</f>
        <v>Baeria Rocks South Island</v>
      </c>
      <c r="F1422" s="4">
        <f>IF(ISERROR(VLOOKUP($D1422,SITES!$A:$E,3,FALSE)),"",VLOOKUP($D1422,SITES!$A:$E,3,FALSE))</f>
        <v>48.950233459472599</v>
      </c>
      <c r="G1422" s="18">
        <f>IF(ISERROR(VLOOKUP($D1422,SITES!$A:$E,4,FALSE)),"",VLOOKUP($D1422,SITES!$A:$E,4,FALSE))</f>
        <v>-125.155548095703</v>
      </c>
      <c r="H1422" s="5" t="str">
        <f t="shared" si="173"/>
        <v>17/05/2023</v>
      </c>
      <c r="I1422" s="2">
        <f t="shared" si="174"/>
        <v>5</v>
      </c>
      <c r="J1422" s="2">
        <f t="shared" si="175"/>
        <v>240</v>
      </c>
      <c r="K1422" s="6">
        <f t="shared" si="176"/>
        <v>0.43055555555555558</v>
      </c>
      <c r="L1422" s="2" t="str">
        <f t="shared" si="177"/>
        <v>VDG</v>
      </c>
      <c r="M1422" s="2">
        <f t="shared" si="178"/>
        <v>5.5</v>
      </c>
      <c r="N1422" s="2">
        <f t="shared" si="180"/>
        <v>2</v>
      </c>
      <c r="O1422" s="2">
        <f t="shared" si="179"/>
        <v>1</v>
      </c>
      <c r="P1422" s="27" t="s">
        <v>183</v>
      </c>
      <c r="Q1422" s="7" t="str">
        <f>IF($N1422=1,IF(ISERROR(VLOOKUP($P1422,'M1'!$A:$C,Q$2,FALSE)),"NOT PRESENT",VLOOKUP($P1422,'M1'!$A:$C,Q$2,FALSE)),IF($N1422=2,IF(ISERROR(VLOOKUP(DATA!$P328,'M2'!$A:$C,Q$2,FALSE)),"NOT PRESENT",VLOOKUP(DATA!$P328,'M2'!$A:$C,Q$2,FALSE)),IF($N1422=0,IF(ISERROR(VLOOKUP($P1422,'M1'!$A:$C,Q$2,FALSE)),IF(ISERROR(VLOOKUP(DATA!$P328,'M2'!$A:$C,Q$2,FALSE)),"NOT PRESENT",VLOOKUP(DATA!$P328,'M2'!$A:$C,Q$2,FALSE)),VLOOKUP($P1422,'M1'!$A:$C,Q$2,FALSE)),"SPECIFY METHOD")))</f>
        <v>NOT PRESENT</v>
      </c>
      <c r="R1422" s="4" t="str">
        <f>IF($N1422=1,IF(ISERROR(VLOOKUP($P1422,'M1'!$A:$C,R$2,FALSE)),"NOT PRESENT",VLOOKUP($P1422,'M1'!$A:$C,R$2,FALSE)),IF($N1422=2,IF(ISERROR(VLOOKUP(DATA!$P328,'M2'!$A:$C,R$2,FALSE)),"NOT PRESENT",VLOOKUP(DATA!$P328,'M2'!$A:$C,R$2,FALSE)),IF($N1422=0,IF(ISERROR(VLOOKUP($P1422,'M1'!$A:$C,R$2,FALSE)),IF(ISERROR(VLOOKUP(DATA!$P328,'M2'!$A:$C,R$2,FALSE)),"NOT PRESENT",VLOOKUP(DATA!$P328,'M2'!$A:$C,R$2,FALSE)),VLOOKUP($P1422,'M1'!$A:$C,R$2,FALSE)),"SPECIFY METHOD")))</f>
        <v>NOT PRESENT</v>
      </c>
      <c r="S1422" s="20">
        <f t="shared" si="169"/>
        <v>6</v>
      </c>
      <c r="T1422" s="2">
        <v>6</v>
      </c>
    </row>
    <row r="1423" spans="1:36">
      <c r="A1423" s="7">
        <f>MAX($A$1:$A1422)+1</f>
        <v>1422</v>
      </c>
      <c r="B1423" s="2" t="str">
        <f t="shared" si="168"/>
        <v>Em Lim</v>
      </c>
      <c r="C1423" s="2" t="str">
        <f t="shared" si="170"/>
        <v>Valesca de Groot</v>
      </c>
      <c r="D1423" s="2" t="str">
        <f t="shared" si="171"/>
        <v>BMSC6</v>
      </c>
      <c r="E1423" s="7" t="str">
        <f>IF(ISERROR(VLOOKUP($D1423,SITES!$A:$E,2,FALSE)),"",VLOOKUP($D1423,SITES!$A:$E,2,FALSE))</f>
        <v>Baeria Rocks South Island</v>
      </c>
      <c r="F1423" s="4">
        <f>IF(ISERROR(VLOOKUP($D1423,SITES!$A:$E,3,FALSE)),"",VLOOKUP($D1423,SITES!$A:$E,3,FALSE))</f>
        <v>48.950233459472599</v>
      </c>
      <c r="G1423" s="18">
        <f>IF(ISERROR(VLOOKUP($D1423,SITES!$A:$E,4,FALSE)),"",VLOOKUP($D1423,SITES!$A:$E,4,FALSE))</f>
        <v>-125.155548095703</v>
      </c>
      <c r="H1423" s="5" t="str">
        <f t="shared" si="173"/>
        <v>17/05/2023</v>
      </c>
      <c r="I1423" s="2">
        <f t="shared" si="174"/>
        <v>5</v>
      </c>
      <c r="J1423" s="2">
        <f t="shared" si="175"/>
        <v>240</v>
      </c>
      <c r="K1423" s="6">
        <f t="shared" si="176"/>
        <v>0.43055555555555558</v>
      </c>
      <c r="L1423" s="2" t="str">
        <f t="shared" si="177"/>
        <v>VDG</v>
      </c>
      <c r="M1423" s="2">
        <f t="shared" si="178"/>
        <v>5.5</v>
      </c>
      <c r="N1423" s="2">
        <f t="shared" si="180"/>
        <v>2</v>
      </c>
      <c r="O1423" s="2">
        <f t="shared" si="179"/>
        <v>1</v>
      </c>
      <c r="P1423" s="27" t="s">
        <v>185</v>
      </c>
      <c r="Q1423" s="7" t="str">
        <f>IF($N1423=1,IF(ISERROR(VLOOKUP($P1423,'M1'!$A:$C,Q$2,FALSE)),"NOT PRESENT",VLOOKUP($P1423,'M1'!$A:$C,Q$2,FALSE)),IF($N1423=2,IF(ISERROR(VLOOKUP(DATA!$P329,'M2'!$A:$C,Q$2,FALSE)),"NOT PRESENT",VLOOKUP(DATA!$P329,'M2'!$A:$C,Q$2,FALSE)),IF($N1423=0,IF(ISERROR(VLOOKUP($P1423,'M1'!$A:$C,Q$2,FALSE)),IF(ISERROR(VLOOKUP(DATA!$P329,'M2'!$A:$C,Q$2,FALSE)),"NOT PRESENT",VLOOKUP(DATA!$P329,'M2'!$A:$C,Q$2,FALSE)),VLOOKUP($P1423,'M1'!$A:$C,Q$2,FALSE)),"SPECIFY METHOD")))</f>
        <v>NOT PRESENT</v>
      </c>
      <c r="R1423" s="4" t="str">
        <f>IF($N1423=1,IF(ISERROR(VLOOKUP($P1423,'M1'!$A:$C,R$2,FALSE)),"NOT PRESENT",VLOOKUP($P1423,'M1'!$A:$C,R$2,FALSE)),IF($N1423=2,IF(ISERROR(VLOOKUP(DATA!$P329,'M2'!$A:$C,R$2,FALSE)),"NOT PRESENT",VLOOKUP(DATA!$P329,'M2'!$A:$C,R$2,FALSE)),IF($N1423=0,IF(ISERROR(VLOOKUP($P1423,'M1'!$A:$C,R$2,FALSE)),IF(ISERROR(VLOOKUP(DATA!$P329,'M2'!$A:$C,R$2,FALSE)),"NOT PRESENT",VLOOKUP(DATA!$P329,'M2'!$A:$C,R$2,FALSE)),VLOOKUP($P1423,'M1'!$A:$C,R$2,FALSE)),"SPECIFY METHOD")))</f>
        <v>NOT PRESENT</v>
      </c>
      <c r="S1423" s="20">
        <f t="shared" si="169"/>
        <v>1</v>
      </c>
      <c r="T1423" s="2">
        <v>1</v>
      </c>
    </row>
    <row r="1424" spans="1:36">
      <c r="A1424" s="7">
        <f>MAX($A$1:$A1423)+1</f>
        <v>1423</v>
      </c>
      <c r="B1424" s="2" t="str">
        <f t="shared" si="168"/>
        <v>Em Lim</v>
      </c>
      <c r="C1424" s="2" t="str">
        <f t="shared" si="170"/>
        <v>Valesca de Groot</v>
      </c>
      <c r="D1424" s="2" t="str">
        <f t="shared" si="171"/>
        <v>BMSC6</v>
      </c>
      <c r="E1424" s="7" t="str">
        <f>IF(ISERROR(VLOOKUP($D1424,SITES!$A:$E,2,FALSE)),"",VLOOKUP($D1424,SITES!$A:$E,2,FALSE))</f>
        <v>Baeria Rocks South Island</v>
      </c>
      <c r="F1424" s="4">
        <f>IF(ISERROR(VLOOKUP($D1424,SITES!$A:$E,3,FALSE)),"",VLOOKUP($D1424,SITES!$A:$E,3,FALSE))</f>
        <v>48.950233459472599</v>
      </c>
      <c r="G1424" s="18">
        <f>IF(ISERROR(VLOOKUP($D1424,SITES!$A:$E,4,FALSE)),"",VLOOKUP($D1424,SITES!$A:$E,4,FALSE))</f>
        <v>-125.155548095703</v>
      </c>
      <c r="H1424" s="5" t="str">
        <f t="shared" si="173"/>
        <v>17/05/2023</v>
      </c>
      <c r="I1424" s="2">
        <f t="shared" si="174"/>
        <v>5</v>
      </c>
      <c r="J1424" s="2">
        <f t="shared" si="175"/>
        <v>240</v>
      </c>
      <c r="K1424" s="6">
        <f t="shared" si="176"/>
        <v>0.43055555555555558</v>
      </c>
      <c r="L1424" s="2" t="str">
        <f t="shared" si="177"/>
        <v>VDG</v>
      </c>
      <c r="M1424" s="2">
        <f t="shared" si="178"/>
        <v>5.5</v>
      </c>
      <c r="N1424" s="2">
        <f t="shared" si="180"/>
        <v>2</v>
      </c>
      <c r="O1424" s="2">
        <f t="shared" si="179"/>
        <v>1</v>
      </c>
      <c r="P1424" s="27" t="s">
        <v>203</v>
      </c>
      <c r="Q1424" s="7" t="str">
        <f>IF($N1424=1,IF(ISERROR(VLOOKUP($P1424,'M1'!$A:$C,Q$2,FALSE)),"NOT PRESENT",VLOOKUP($P1424,'M1'!$A:$C,Q$2,FALSE)),IF($N1424=2,IF(ISERROR(VLOOKUP(DATA!$P330,'M2'!$A:$C,Q$2,FALSE)),"NOT PRESENT",VLOOKUP(DATA!$P330,'M2'!$A:$C,Q$2,FALSE)),IF($N1424=0,IF(ISERROR(VLOOKUP($P1424,'M1'!$A:$C,Q$2,FALSE)),IF(ISERROR(VLOOKUP(DATA!$P330,'M2'!$A:$C,Q$2,FALSE)),"NOT PRESENT",VLOOKUP(DATA!$P330,'M2'!$A:$C,Q$2,FALSE)),VLOOKUP($P1424,'M1'!$A:$C,Q$2,FALSE)),"SPECIFY METHOD")))</f>
        <v>NOT PRESENT</v>
      </c>
      <c r="R1424" s="4" t="str">
        <f>IF($N1424=1,IF(ISERROR(VLOOKUP($P1424,'M1'!$A:$C,R$2,FALSE)),"NOT PRESENT",VLOOKUP($P1424,'M1'!$A:$C,R$2,FALSE)),IF($N1424=2,IF(ISERROR(VLOOKUP(DATA!$P330,'M2'!$A:$C,R$2,FALSE)),"NOT PRESENT",VLOOKUP(DATA!$P330,'M2'!$A:$C,R$2,FALSE)),IF($N1424=0,IF(ISERROR(VLOOKUP($P1424,'M1'!$A:$C,R$2,FALSE)),IF(ISERROR(VLOOKUP(DATA!$P330,'M2'!$A:$C,R$2,FALSE)),"NOT PRESENT",VLOOKUP(DATA!$P330,'M2'!$A:$C,R$2,FALSE)),VLOOKUP($P1424,'M1'!$A:$C,R$2,FALSE)),"SPECIFY METHOD")))</f>
        <v>NOT PRESENT</v>
      </c>
      <c r="S1424" s="20">
        <f t="shared" si="169"/>
        <v>24</v>
      </c>
      <c r="T1424" s="2">
        <v>24</v>
      </c>
    </row>
    <row r="1425" spans="1:32">
      <c r="A1425" s="7">
        <f>MAX($A$1:$A1424)+1</f>
        <v>1424</v>
      </c>
      <c r="B1425" s="2" t="str">
        <f t="shared" si="168"/>
        <v>Em Lim</v>
      </c>
      <c r="C1425" s="2" t="str">
        <f t="shared" si="170"/>
        <v>Valesca de Groot</v>
      </c>
      <c r="D1425" s="2" t="str">
        <f t="shared" si="171"/>
        <v>BMSC6</v>
      </c>
      <c r="E1425" s="7" t="str">
        <f>IF(ISERROR(VLOOKUP($D1425,SITES!$A:$E,2,FALSE)),"",VLOOKUP($D1425,SITES!$A:$E,2,FALSE))</f>
        <v>Baeria Rocks South Island</v>
      </c>
      <c r="F1425" s="4">
        <f>IF(ISERROR(VLOOKUP($D1425,SITES!$A:$E,3,FALSE)),"",VLOOKUP($D1425,SITES!$A:$E,3,FALSE))</f>
        <v>48.950233459472599</v>
      </c>
      <c r="G1425" s="18">
        <f>IF(ISERROR(VLOOKUP($D1425,SITES!$A:$E,4,FALSE)),"",VLOOKUP($D1425,SITES!$A:$E,4,FALSE))</f>
        <v>-125.155548095703</v>
      </c>
      <c r="H1425" s="5" t="str">
        <f t="shared" si="173"/>
        <v>17/05/2023</v>
      </c>
      <c r="I1425" s="2">
        <f t="shared" si="174"/>
        <v>5</v>
      </c>
      <c r="J1425" s="2">
        <f t="shared" si="175"/>
        <v>240</v>
      </c>
      <c r="K1425" s="6">
        <f t="shared" si="176"/>
        <v>0.43055555555555558</v>
      </c>
      <c r="L1425" s="2" t="str">
        <f t="shared" si="177"/>
        <v>VDG</v>
      </c>
      <c r="M1425" s="2">
        <f t="shared" si="178"/>
        <v>5.5</v>
      </c>
      <c r="N1425" s="2">
        <f t="shared" si="180"/>
        <v>2</v>
      </c>
      <c r="O1425" s="2">
        <f t="shared" si="179"/>
        <v>1</v>
      </c>
      <c r="P1425" s="27" t="s">
        <v>194</v>
      </c>
      <c r="Q1425" s="7" t="str">
        <f>IF($N1425=1,IF(ISERROR(VLOOKUP($P1425,'M1'!$A:$C,Q$2,FALSE)),"NOT PRESENT",VLOOKUP($P1425,'M1'!$A:$C,Q$2,FALSE)),IF($N1425=2,IF(ISERROR(VLOOKUP(DATA!$P331,'M2'!$A:$C,Q$2,FALSE)),"NOT PRESENT",VLOOKUP(DATA!$P331,'M2'!$A:$C,Q$2,FALSE)),IF($N1425=0,IF(ISERROR(VLOOKUP($P1425,'M1'!$A:$C,Q$2,FALSE)),IF(ISERROR(VLOOKUP(DATA!$P331,'M2'!$A:$C,Q$2,FALSE)),"NOT PRESENT",VLOOKUP(DATA!$P331,'M2'!$A:$C,Q$2,FALSE)),VLOOKUP($P1425,'M1'!$A:$C,Q$2,FALSE)),"SPECIFY METHOD")))</f>
        <v>NOT PRESENT</v>
      </c>
      <c r="R1425" s="4" t="str">
        <f>IF($N1425=1,IF(ISERROR(VLOOKUP($P1425,'M1'!$A:$C,R$2,FALSE)),"NOT PRESENT",VLOOKUP($P1425,'M1'!$A:$C,R$2,FALSE)),IF($N1425=2,IF(ISERROR(VLOOKUP(DATA!$P331,'M2'!$A:$C,R$2,FALSE)),"NOT PRESENT",VLOOKUP(DATA!$P331,'M2'!$A:$C,R$2,FALSE)),IF($N1425=0,IF(ISERROR(VLOOKUP($P1425,'M1'!$A:$C,R$2,FALSE)),IF(ISERROR(VLOOKUP(DATA!$P331,'M2'!$A:$C,R$2,FALSE)),"NOT PRESENT",VLOOKUP(DATA!$P331,'M2'!$A:$C,R$2,FALSE)),VLOOKUP($P1425,'M1'!$A:$C,R$2,FALSE)),"SPECIFY METHOD")))</f>
        <v>NOT PRESENT</v>
      </c>
      <c r="S1425" s="20">
        <f t="shared" si="169"/>
        <v>3</v>
      </c>
      <c r="T1425" s="2">
        <v>0</v>
      </c>
      <c r="U1425" s="2">
        <v>2</v>
      </c>
      <c r="V1425" s="2">
        <v>1</v>
      </c>
    </row>
    <row r="1426" spans="1:32">
      <c r="A1426" s="7">
        <f>MAX($A$1:$A1425)+1</f>
        <v>1425</v>
      </c>
      <c r="B1426" s="2" t="str">
        <f t="shared" si="168"/>
        <v>Em Lim</v>
      </c>
      <c r="C1426" s="2" t="str">
        <f t="shared" si="170"/>
        <v>Valesca de Groot</v>
      </c>
      <c r="D1426" s="2" t="str">
        <f t="shared" si="171"/>
        <v>BMSC6</v>
      </c>
      <c r="E1426" s="7" t="str">
        <f>IF(ISERROR(VLOOKUP($D1426,SITES!$A:$E,2,FALSE)),"",VLOOKUP($D1426,SITES!$A:$E,2,FALSE))</f>
        <v>Baeria Rocks South Island</v>
      </c>
      <c r="F1426" s="4">
        <f>IF(ISERROR(VLOOKUP($D1426,SITES!$A:$E,3,FALSE)),"",VLOOKUP($D1426,SITES!$A:$E,3,FALSE))</f>
        <v>48.950233459472599</v>
      </c>
      <c r="G1426" s="18">
        <f>IF(ISERROR(VLOOKUP($D1426,SITES!$A:$E,4,FALSE)),"",VLOOKUP($D1426,SITES!$A:$E,4,FALSE))</f>
        <v>-125.155548095703</v>
      </c>
      <c r="H1426" s="5" t="str">
        <f t="shared" si="173"/>
        <v>17/05/2023</v>
      </c>
      <c r="I1426" s="2">
        <f t="shared" si="174"/>
        <v>5</v>
      </c>
      <c r="J1426" s="2">
        <f t="shared" si="175"/>
        <v>240</v>
      </c>
      <c r="K1426" s="6">
        <f t="shared" si="176"/>
        <v>0.43055555555555558</v>
      </c>
      <c r="L1426" s="2" t="str">
        <f t="shared" si="177"/>
        <v>VDG</v>
      </c>
      <c r="M1426" s="2">
        <f t="shared" si="178"/>
        <v>5.5</v>
      </c>
      <c r="N1426" s="2">
        <f t="shared" si="180"/>
        <v>2</v>
      </c>
      <c r="O1426" s="2">
        <f t="shared" si="179"/>
        <v>1</v>
      </c>
      <c r="P1426" s="27" t="s">
        <v>181</v>
      </c>
      <c r="Q1426" s="7" t="str">
        <f>IF($N1426=1,IF(ISERROR(VLOOKUP($P1426,'M1'!$A:$C,Q$2,FALSE)),"NOT PRESENT",VLOOKUP($P1426,'M1'!$A:$C,Q$2,FALSE)),IF($N1426=2,IF(ISERROR(VLOOKUP(DATA!$P332,'M2'!$A:$C,Q$2,FALSE)),"NOT PRESENT",VLOOKUP(DATA!$P332,'M2'!$A:$C,Q$2,FALSE)),IF($N1426=0,IF(ISERROR(VLOOKUP($P1426,'M1'!$A:$C,Q$2,FALSE)),IF(ISERROR(VLOOKUP(DATA!$P332,'M2'!$A:$C,Q$2,FALSE)),"NOT PRESENT",VLOOKUP(DATA!$P332,'M2'!$A:$C,Q$2,FALSE)),VLOOKUP($P1426,'M1'!$A:$C,Q$2,FALSE)),"SPECIFY METHOD")))</f>
        <v>NOT PRESENT</v>
      </c>
      <c r="R1426" s="4" t="str">
        <f>IF($N1426=1,IF(ISERROR(VLOOKUP($P1426,'M1'!$A:$C,R$2,FALSE)),"NOT PRESENT",VLOOKUP($P1426,'M1'!$A:$C,R$2,FALSE)),IF($N1426=2,IF(ISERROR(VLOOKUP(DATA!$P332,'M2'!$A:$C,R$2,FALSE)),"NOT PRESENT",VLOOKUP(DATA!$P332,'M2'!$A:$C,R$2,FALSE)),IF($N1426=0,IF(ISERROR(VLOOKUP($P1426,'M1'!$A:$C,R$2,FALSE)),IF(ISERROR(VLOOKUP(DATA!$P332,'M2'!$A:$C,R$2,FALSE)),"NOT PRESENT",VLOOKUP(DATA!$P332,'M2'!$A:$C,R$2,FALSE)),VLOOKUP($P1426,'M1'!$A:$C,R$2,FALSE)),"SPECIFY METHOD")))</f>
        <v>NOT PRESENT</v>
      </c>
      <c r="S1426" s="20">
        <f t="shared" si="169"/>
        <v>5</v>
      </c>
      <c r="T1426" s="2">
        <v>0</v>
      </c>
      <c r="U1426" s="2">
        <v>4</v>
      </c>
      <c r="V1426" s="2">
        <v>1</v>
      </c>
    </row>
    <row r="1427" spans="1:32">
      <c r="A1427" s="7">
        <f>MAX($A$1:$A1426)+1</f>
        <v>1426</v>
      </c>
      <c r="B1427" s="2" t="str">
        <f t="shared" si="168"/>
        <v>Em Lim</v>
      </c>
      <c r="C1427" s="2" t="str">
        <f t="shared" si="170"/>
        <v>Valesca de Groot</v>
      </c>
      <c r="D1427" s="2" t="str">
        <f t="shared" si="171"/>
        <v>BMSC6</v>
      </c>
      <c r="E1427" s="7" t="str">
        <f>IF(ISERROR(VLOOKUP($D1427,SITES!$A:$E,2,FALSE)),"",VLOOKUP($D1427,SITES!$A:$E,2,FALSE))</f>
        <v>Baeria Rocks South Island</v>
      </c>
      <c r="F1427" s="4">
        <f>IF(ISERROR(VLOOKUP($D1427,SITES!$A:$E,3,FALSE)),"",VLOOKUP($D1427,SITES!$A:$E,3,FALSE))</f>
        <v>48.950233459472599</v>
      </c>
      <c r="G1427" s="18">
        <f>IF(ISERROR(VLOOKUP($D1427,SITES!$A:$E,4,FALSE)),"",VLOOKUP($D1427,SITES!$A:$E,4,FALSE))</f>
        <v>-125.155548095703</v>
      </c>
      <c r="H1427" s="5" t="str">
        <f t="shared" si="173"/>
        <v>17/05/2023</v>
      </c>
      <c r="I1427" s="2">
        <f t="shared" si="174"/>
        <v>5</v>
      </c>
      <c r="J1427" s="2">
        <f t="shared" si="175"/>
        <v>240</v>
      </c>
      <c r="K1427" s="6">
        <f t="shared" si="176"/>
        <v>0.43055555555555558</v>
      </c>
      <c r="L1427" s="2" t="str">
        <f t="shared" si="177"/>
        <v>VDG</v>
      </c>
      <c r="M1427" s="2">
        <f t="shared" si="178"/>
        <v>5.5</v>
      </c>
      <c r="N1427" s="2">
        <f t="shared" si="180"/>
        <v>2</v>
      </c>
      <c r="O1427" s="2">
        <f t="shared" si="179"/>
        <v>1</v>
      </c>
      <c r="P1427" s="27" t="s">
        <v>210</v>
      </c>
      <c r="Q1427" s="7" t="str">
        <f>IF($N1427=1,IF(ISERROR(VLOOKUP($P1427,'M1'!$A:$C,Q$2,FALSE)),"NOT PRESENT",VLOOKUP($P1427,'M1'!$A:$C,Q$2,FALSE)),IF($N1427=2,IF(ISERROR(VLOOKUP(DATA!$P333,'M2'!$A:$C,Q$2,FALSE)),"NOT PRESENT",VLOOKUP(DATA!$P333,'M2'!$A:$C,Q$2,FALSE)),IF($N1427=0,IF(ISERROR(VLOOKUP($P1427,'M1'!$A:$C,Q$2,FALSE)),IF(ISERROR(VLOOKUP(DATA!$P333,'M2'!$A:$C,Q$2,FALSE)),"NOT PRESENT",VLOOKUP(DATA!$P333,'M2'!$A:$C,Q$2,FALSE)),VLOOKUP($P1427,'M1'!$A:$C,Q$2,FALSE)),"SPECIFY METHOD")))</f>
        <v>NOT PRESENT</v>
      </c>
      <c r="R1427" s="4" t="str">
        <f>IF($N1427=1,IF(ISERROR(VLOOKUP($P1427,'M1'!$A:$C,R$2,FALSE)),"NOT PRESENT",VLOOKUP($P1427,'M1'!$A:$C,R$2,FALSE)),IF($N1427=2,IF(ISERROR(VLOOKUP(DATA!$P333,'M2'!$A:$C,R$2,FALSE)),"NOT PRESENT",VLOOKUP(DATA!$P333,'M2'!$A:$C,R$2,FALSE)),IF($N1427=0,IF(ISERROR(VLOOKUP($P1427,'M1'!$A:$C,R$2,FALSE)),IF(ISERROR(VLOOKUP(DATA!$P333,'M2'!$A:$C,R$2,FALSE)),"NOT PRESENT",VLOOKUP(DATA!$P333,'M2'!$A:$C,R$2,FALSE)),VLOOKUP($P1427,'M1'!$A:$C,R$2,FALSE)),"SPECIFY METHOD")))</f>
        <v>NOT PRESENT</v>
      </c>
      <c r="S1427" s="20">
        <f t="shared" si="169"/>
        <v>1</v>
      </c>
      <c r="T1427" s="2">
        <v>1</v>
      </c>
    </row>
    <row r="1428" spans="1:32">
      <c r="A1428" s="7">
        <f>MAX($A$1:$A1427)+1</f>
        <v>1427</v>
      </c>
      <c r="B1428" s="2" t="str">
        <f t="shared" si="168"/>
        <v>Em Lim</v>
      </c>
      <c r="C1428" s="2" t="str">
        <f t="shared" si="170"/>
        <v>Valesca de Groot</v>
      </c>
      <c r="D1428" s="2" t="str">
        <f t="shared" si="171"/>
        <v>BMSC6</v>
      </c>
      <c r="E1428" s="7" t="str">
        <f>IF(ISERROR(VLOOKUP($D1428,SITES!$A:$E,2,FALSE)),"",VLOOKUP($D1428,SITES!$A:$E,2,FALSE))</f>
        <v>Baeria Rocks South Island</v>
      </c>
      <c r="F1428" s="4">
        <f>IF(ISERROR(VLOOKUP($D1428,SITES!$A:$E,3,FALSE)),"",VLOOKUP($D1428,SITES!$A:$E,3,FALSE))</f>
        <v>48.950233459472599</v>
      </c>
      <c r="G1428" s="18">
        <f>IF(ISERROR(VLOOKUP($D1428,SITES!$A:$E,4,FALSE)),"",VLOOKUP($D1428,SITES!$A:$E,4,FALSE))</f>
        <v>-125.155548095703</v>
      </c>
      <c r="H1428" s="5" t="str">
        <f t="shared" si="173"/>
        <v>17/05/2023</v>
      </c>
      <c r="I1428" s="2">
        <f t="shared" si="174"/>
        <v>5</v>
      </c>
      <c r="J1428" s="2">
        <f t="shared" si="175"/>
        <v>240</v>
      </c>
      <c r="K1428" s="6">
        <f t="shared" si="176"/>
        <v>0.43055555555555558</v>
      </c>
      <c r="L1428" s="2" t="str">
        <f t="shared" si="177"/>
        <v>VDG</v>
      </c>
      <c r="M1428" s="2">
        <f t="shared" si="178"/>
        <v>5.5</v>
      </c>
      <c r="N1428" s="2">
        <f t="shared" si="180"/>
        <v>2</v>
      </c>
      <c r="O1428" s="2">
        <f t="shared" si="179"/>
        <v>1</v>
      </c>
      <c r="P1428" s="27" t="s">
        <v>179</v>
      </c>
      <c r="Q1428" s="7" t="str">
        <f>IF($N1428=1,IF(ISERROR(VLOOKUP($P1428,'M1'!$A:$C,Q$2,FALSE)),"NOT PRESENT",VLOOKUP($P1428,'M1'!$A:$C,Q$2,FALSE)),IF($N1428=2,IF(ISERROR(VLOOKUP(DATA!$P334,'M2'!$A:$C,Q$2,FALSE)),"NOT PRESENT",VLOOKUP(DATA!$P334,'M2'!$A:$C,Q$2,FALSE)),IF($N1428=0,IF(ISERROR(VLOOKUP($P1428,'M1'!$A:$C,Q$2,FALSE)),IF(ISERROR(VLOOKUP(DATA!$P334,'M2'!$A:$C,Q$2,FALSE)),"NOT PRESENT",VLOOKUP(DATA!$P334,'M2'!$A:$C,Q$2,FALSE)),VLOOKUP($P1428,'M1'!$A:$C,Q$2,FALSE)),"SPECIFY METHOD")))</f>
        <v>NOT PRESENT</v>
      </c>
      <c r="R1428" s="4" t="str">
        <f>IF($N1428=1,IF(ISERROR(VLOOKUP($P1428,'M1'!$A:$C,R$2,FALSE)),"NOT PRESENT",VLOOKUP($P1428,'M1'!$A:$C,R$2,FALSE)),IF($N1428=2,IF(ISERROR(VLOOKUP(DATA!$P334,'M2'!$A:$C,R$2,FALSE)),"NOT PRESENT",VLOOKUP(DATA!$P334,'M2'!$A:$C,R$2,FALSE)),IF($N1428=0,IF(ISERROR(VLOOKUP($P1428,'M1'!$A:$C,R$2,FALSE)),IF(ISERROR(VLOOKUP(DATA!$P334,'M2'!$A:$C,R$2,FALSE)),"NOT PRESENT",VLOOKUP(DATA!$P334,'M2'!$A:$C,R$2,FALSE)),VLOOKUP($P1428,'M1'!$A:$C,R$2,FALSE)),"SPECIFY METHOD")))</f>
        <v>NOT PRESENT</v>
      </c>
      <c r="S1428" s="20">
        <f t="shared" si="169"/>
        <v>15</v>
      </c>
      <c r="T1428" s="2">
        <v>15</v>
      </c>
    </row>
    <row r="1429" spans="1:32">
      <c r="A1429" s="7">
        <f>MAX($A$1:$A1428)+1</f>
        <v>1428</v>
      </c>
      <c r="B1429" s="2" t="str">
        <f t="shared" si="168"/>
        <v>Em Lim</v>
      </c>
      <c r="C1429" s="2" t="str">
        <f t="shared" si="170"/>
        <v>Valesca de Groot</v>
      </c>
      <c r="D1429" s="2" t="str">
        <f t="shared" si="171"/>
        <v>BMSC6</v>
      </c>
      <c r="E1429" s="7" t="str">
        <f>IF(ISERROR(VLOOKUP($D1429,SITES!$A:$E,2,FALSE)),"",VLOOKUP($D1429,SITES!$A:$E,2,FALSE))</f>
        <v>Baeria Rocks South Island</v>
      </c>
      <c r="F1429" s="4">
        <f>IF(ISERROR(VLOOKUP($D1429,SITES!$A:$E,3,FALSE)),"",VLOOKUP($D1429,SITES!$A:$E,3,FALSE))</f>
        <v>48.950233459472599</v>
      </c>
      <c r="G1429" s="18">
        <f>IF(ISERROR(VLOOKUP($D1429,SITES!$A:$E,4,FALSE)),"",VLOOKUP($D1429,SITES!$A:$E,4,FALSE))</f>
        <v>-125.155548095703</v>
      </c>
      <c r="H1429" s="5" t="str">
        <f t="shared" si="173"/>
        <v>17/05/2023</v>
      </c>
      <c r="I1429" s="2">
        <f t="shared" si="174"/>
        <v>5</v>
      </c>
      <c r="J1429" s="2">
        <f t="shared" si="175"/>
        <v>240</v>
      </c>
      <c r="K1429" s="6">
        <f t="shared" si="176"/>
        <v>0.43055555555555558</v>
      </c>
      <c r="L1429" s="2" t="str">
        <f t="shared" si="177"/>
        <v>VDG</v>
      </c>
      <c r="M1429" s="2">
        <f t="shared" si="178"/>
        <v>5.5</v>
      </c>
      <c r="N1429" s="2">
        <f t="shared" si="180"/>
        <v>2</v>
      </c>
      <c r="O1429" s="2">
        <f t="shared" si="179"/>
        <v>1</v>
      </c>
      <c r="P1429" s="27" t="s">
        <v>199</v>
      </c>
      <c r="Q1429" s="7" t="str">
        <f>IF($N1429=1,IF(ISERROR(VLOOKUP($P1429,'M1'!$A:$C,Q$2,FALSE)),"NOT PRESENT",VLOOKUP($P1429,'M1'!$A:$C,Q$2,FALSE)),IF($N1429=2,IF(ISERROR(VLOOKUP(DATA!$P335,'M2'!$A:$C,Q$2,FALSE)),"NOT PRESENT",VLOOKUP(DATA!$P335,'M2'!$A:$C,Q$2,FALSE)),IF($N1429=0,IF(ISERROR(VLOOKUP($P1429,'M1'!$A:$C,Q$2,FALSE)),IF(ISERROR(VLOOKUP(DATA!$P335,'M2'!$A:$C,Q$2,FALSE)),"NOT PRESENT",VLOOKUP(DATA!$P335,'M2'!$A:$C,Q$2,FALSE)),VLOOKUP($P1429,'M1'!$A:$C,Q$2,FALSE)),"SPECIFY METHOD")))</f>
        <v>NOT PRESENT</v>
      </c>
      <c r="R1429" s="4" t="str">
        <f>IF($N1429=1,IF(ISERROR(VLOOKUP($P1429,'M1'!$A:$C,R$2,FALSE)),"NOT PRESENT",VLOOKUP($P1429,'M1'!$A:$C,R$2,FALSE)),IF($N1429=2,IF(ISERROR(VLOOKUP(DATA!$P335,'M2'!$A:$C,R$2,FALSE)),"NOT PRESENT",VLOOKUP(DATA!$P335,'M2'!$A:$C,R$2,FALSE)),IF($N1429=0,IF(ISERROR(VLOOKUP($P1429,'M1'!$A:$C,R$2,FALSE)),IF(ISERROR(VLOOKUP(DATA!$P335,'M2'!$A:$C,R$2,FALSE)),"NOT PRESENT",VLOOKUP(DATA!$P335,'M2'!$A:$C,R$2,FALSE)),VLOOKUP($P1429,'M1'!$A:$C,R$2,FALSE)),"SPECIFY METHOD")))</f>
        <v>NOT PRESENT</v>
      </c>
      <c r="S1429" s="20">
        <f t="shared" si="169"/>
        <v>4</v>
      </c>
      <c r="T1429" s="2">
        <v>4</v>
      </c>
    </row>
    <row r="1430" spans="1:32">
      <c r="A1430" s="7">
        <f>MAX($A$1:$A1429)+1</f>
        <v>1429</v>
      </c>
      <c r="B1430" s="2" t="str">
        <f t="shared" si="168"/>
        <v>Em Lim</v>
      </c>
      <c r="C1430" s="2" t="str">
        <f t="shared" si="170"/>
        <v>Valesca de Groot</v>
      </c>
      <c r="D1430" s="2" t="str">
        <f t="shared" si="171"/>
        <v>BMSC6</v>
      </c>
      <c r="E1430" s="7" t="str">
        <f>IF(ISERROR(VLOOKUP($D1430,SITES!$A:$E,2,FALSE)),"",VLOOKUP($D1430,SITES!$A:$E,2,FALSE))</f>
        <v>Baeria Rocks South Island</v>
      </c>
      <c r="F1430" s="4">
        <f>IF(ISERROR(VLOOKUP($D1430,SITES!$A:$E,3,FALSE)),"",VLOOKUP($D1430,SITES!$A:$E,3,FALSE))</f>
        <v>48.950233459472599</v>
      </c>
      <c r="G1430" s="18">
        <f>IF(ISERROR(VLOOKUP($D1430,SITES!$A:$E,4,FALSE)),"",VLOOKUP($D1430,SITES!$A:$E,4,FALSE))</f>
        <v>-125.155548095703</v>
      </c>
      <c r="H1430" s="5" t="str">
        <f t="shared" si="173"/>
        <v>17/05/2023</v>
      </c>
      <c r="I1430" s="2">
        <f t="shared" si="174"/>
        <v>5</v>
      </c>
      <c r="J1430" s="2">
        <f t="shared" si="175"/>
        <v>240</v>
      </c>
      <c r="K1430" s="6">
        <f t="shared" si="176"/>
        <v>0.43055555555555558</v>
      </c>
      <c r="L1430" s="2" t="str">
        <f t="shared" si="177"/>
        <v>VDG</v>
      </c>
      <c r="M1430" s="2">
        <f t="shared" si="178"/>
        <v>5.5</v>
      </c>
      <c r="N1430" s="2">
        <f t="shared" si="180"/>
        <v>2</v>
      </c>
      <c r="O1430" s="2">
        <f t="shared" si="179"/>
        <v>1</v>
      </c>
      <c r="P1430" s="27" t="s">
        <v>193</v>
      </c>
      <c r="Q1430" s="7" t="str">
        <f>IF($N1430=1,IF(ISERROR(VLOOKUP($P1430,'M1'!$A:$C,Q$2,FALSE)),"NOT PRESENT",VLOOKUP($P1430,'M1'!$A:$C,Q$2,FALSE)),IF($N1430=2,IF(ISERROR(VLOOKUP(DATA!$P336,'M2'!$A:$C,Q$2,FALSE)),"NOT PRESENT",VLOOKUP(DATA!$P336,'M2'!$A:$C,Q$2,FALSE)),IF($N1430=0,IF(ISERROR(VLOOKUP($P1430,'M1'!$A:$C,Q$2,FALSE)),IF(ISERROR(VLOOKUP(DATA!$P336,'M2'!$A:$C,Q$2,FALSE)),"NOT PRESENT",VLOOKUP(DATA!$P336,'M2'!$A:$C,Q$2,FALSE)),VLOOKUP($P1430,'M1'!$A:$C,Q$2,FALSE)),"SPECIFY METHOD")))</f>
        <v>NOT PRESENT</v>
      </c>
      <c r="R1430" s="4" t="str">
        <f>IF($N1430=1,IF(ISERROR(VLOOKUP($P1430,'M1'!$A:$C,R$2,FALSE)),"NOT PRESENT",VLOOKUP($P1430,'M1'!$A:$C,R$2,FALSE)),IF($N1430=2,IF(ISERROR(VLOOKUP(DATA!$P336,'M2'!$A:$C,R$2,FALSE)),"NOT PRESENT",VLOOKUP(DATA!$P336,'M2'!$A:$C,R$2,FALSE)),IF($N1430=0,IF(ISERROR(VLOOKUP($P1430,'M1'!$A:$C,R$2,FALSE)),IF(ISERROR(VLOOKUP(DATA!$P336,'M2'!$A:$C,R$2,FALSE)),"NOT PRESENT",VLOOKUP(DATA!$P336,'M2'!$A:$C,R$2,FALSE)),VLOOKUP($P1430,'M1'!$A:$C,R$2,FALSE)),"SPECIFY METHOD")))</f>
        <v>NOT PRESENT</v>
      </c>
      <c r="S1430" s="20">
        <f t="shared" si="169"/>
        <v>2</v>
      </c>
      <c r="T1430" s="2">
        <v>0</v>
      </c>
      <c r="W1430" s="2">
        <v>1</v>
      </c>
      <c r="X1430" s="2">
        <v>1</v>
      </c>
    </row>
    <row r="1431" spans="1:32">
      <c r="A1431" s="7">
        <f>MAX($A$1:$A1430)+1</f>
        <v>1430</v>
      </c>
      <c r="B1431" s="2" t="str">
        <f t="shared" si="168"/>
        <v>Em Lim</v>
      </c>
      <c r="C1431" s="2" t="str">
        <f t="shared" si="170"/>
        <v>Valesca de Groot</v>
      </c>
      <c r="D1431" s="2" t="str">
        <f t="shared" si="171"/>
        <v>BMSC6</v>
      </c>
      <c r="E1431" s="7" t="str">
        <f>IF(ISERROR(VLOOKUP($D1431,SITES!$A:$E,2,FALSE)),"",VLOOKUP($D1431,SITES!$A:$E,2,FALSE))</f>
        <v>Baeria Rocks South Island</v>
      </c>
      <c r="F1431" s="4">
        <f>IF(ISERROR(VLOOKUP($D1431,SITES!$A:$E,3,FALSE)),"",VLOOKUP($D1431,SITES!$A:$E,3,FALSE))</f>
        <v>48.950233459472599</v>
      </c>
      <c r="G1431" s="18">
        <f>IF(ISERROR(VLOOKUP($D1431,SITES!$A:$E,4,FALSE)),"",VLOOKUP($D1431,SITES!$A:$E,4,FALSE))</f>
        <v>-125.155548095703</v>
      </c>
      <c r="H1431" s="5" t="str">
        <f t="shared" si="173"/>
        <v>17/05/2023</v>
      </c>
      <c r="I1431" s="2">
        <f t="shared" si="174"/>
        <v>5</v>
      </c>
      <c r="J1431" s="2">
        <f t="shared" si="175"/>
        <v>240</v>
      </c>
      <c r="K1431" s="6">
        <f t="shared" si="176"/>
        <v>0.43055555555555558</v>
      </c>
      <c r="L1431" s="2" t="str">
        <f t="shared" si="177"/>
        <v>VDG</v>
      </c>
      <c r="M1431" s="2">
        <f t="shared" si="178"/>
        <v>5.5</v>
      </c>
      <c r="N1431" s="2">
        <f t="shared" si="180"/>
        <v>2</v>
      </c>
      <c r="O1431" s="2">
        <f t="shared" si="179"/>
        <v>1</v>
      </c>
      <c r="P1431" s="27" t="s">
        <v>223</v>
      </c>
      <c r="Q1431" s="7" t="str">
        <f>IF($N1431=1,IF(ISERROR(VLOOKUP($P1431,'M1'!$A:$C,Q$2,FALSE)),"NOT PRESENT",VLOOKUP($P1431,'M1'!$A:$C,Q$2,FALSE)),IF($N1431=2,IF(ISERROR(VLOOKUP(DATA!$P337,'M2'!$A:$C,Q$2,FALSE)),"NOT PRESENT",VLOOKUP(DATA!$P337,'M2'!$A:$C,Q$2,FALSE)),IF($N1431=0,IF(ISERROR(VLOOKUP($P1431,'M1'!$A:$C,Q$2,FALSE)),IF(ISERROR(VLOOKUP(DATA!$P337,'M2'!$A:$C,Q$2,FALSE)),"NOT PRESENT",VLOOKUP(DATA!$P337,'M2'!$A:$C,Q$2,FALSE)),VLOOKUP($P1431,'M1'!$A:$C,Q$2,FALSE)),"SPECIFY METHOD")))</f>
        <v>NOT PRESENT</v>
      </c>
      <c r="R1431" s="4" t="str">
        <f>IF($N1431=1,IF(ISERROR(VLOOKUP($P1431,'M1'!$A:$C,R$2,FALSE)),"NOT PRESENT",VLOOKUP($P1431,'M1'!$A:$C,R$2,FALSE)),IF($N1431=2,IF(ISERROR(VLOOKUP(DATA!$P337,'M2'!$A:$C,R$2,FALSE)),"NOT PRESENT",VLOOKUP(DATA!$P337,'M2'!$A:$C,R$2,FALSE)),IF($N1431=0,IF(ISERROR(VLOOKUP($P1431,'M1'!$A:$C,R$2,FALSE)),IF(ISERROR(VLOOKUP(DATA!$P337,'M2'!$A:$C,R$2,FALSE)),"NOT PRESENT",VLOOKUP(DATA!$P337,'M2'!$A:$C,R$2,FALSE)),VLOOKUP($P1431,'M1'!$A:$C,R$2,FALSE)),"SPECIFY METHOD")))</f>
        <v>NOT PRESENT</v>
      </c>
      <c r="S1431" s="20">
        <f t="shared" si="169"/>
        <v>3</v>
      </c>
      <c r="T1431" s="2">
        <v>0</v>
      </c>
      <c r="U1431" s="2">
        <v>1</v>
      </c>
      <c r="V1431" s="2">
        <v>2</v>
      </c>
    </row>
    <row r="1432" spans="1:32">
      <c r="A1432" s="7">
        <f>MAX($A$1:$A1431)+1</f>
        <v>1431</v>
      </c>
      <c r="B1432" s="2" t="str">
        <f t="shared" si="168"/>
        <v>Em Lim</v>
      </c>
      <c r="C1432" s="2" t="str">
        <f t="shared" si="170"/>
        <v>Valesca de Groot</v>
      </c>
      <c r="D1432" s="2" t="str">
        <f t="shared" si="171"/>
        <v>BMSC6</v>
      </c>
      <c r="E1432" s="7" t="str">
        <f>IF(ISERROR(VLOOKUP($D1432,SITES!$A:$E,2,FALSE)),"",VLOOKUP($D1432,SITES!$A:$E,2,FALSE))</f>
        <v>Baeria Rocks South Island</v>
      </c>
      <c r="F1432" s="4">
        <f>IF(ISERROR(VLOOKUP($D1432,SITES!$A:$E,3,FALSE)),"",VLOOKUP($D1432,SITES!$A:$E,3,FALSE))</f>
        <v>48.950233459472599</v>
      </c>
      <c r="G1432" s="18">
        <f>IF(ISERROR(VLOOKUP($D1432,SITES!$A:$E,4,FALSE)),"",VLOOKUP($D1432,SITES!$A:$E,4,FALSE))</f>
        <v>-125.155548095703</v>
      </c>
      <c r="H1432" s="5" t="str">
        <f t="shared" si="173"/>
        <v>17/05/2023</v>
      </c>
      <c r="I1432" s="2">
        <f t="shared" si="174"/>
        <v>5</v>
      </c>
      <c r="J1432" s="2">
        <f t="shared" si="175"/>
        <v>240</v>
      </c>
      <c r="K1432" s="6">
        <f t="shared" si="176"/>
        <v>0.43055555555555558</v>
      </c>
      <c r="L1432" s="2" t="str">
        <f t="shared" si="177"/>
        <v>VDG</v>
      </c>
      <c r="M1432" s="2">
        <f t="shared" si="178"/>
        <v>5.5</v>
      </c>
      <c r="N1432" s="2">
        <f t="shared" si="180"/>
        <v>2</v>
      </c>
      <c r="O1432" s="2">
        <f t="shared" si="179"/>
        <v>1</v>
      </c>
      <c r="P1432" s="27" t="s">
        <v>224</v>
      </c>
      <c r="Q1432" s="7" t="str">
        <f>IF($N1432=1,IF(ISERROR(VLOOKUP($P1432,'M1'!$A:$C,Q$2,FALSE)),"NOT PRESENT",VLOOKUP($P1432,'M1'!$A:$C,Q$2,FALSE)),IF($N1432=2,IF(ISERROR(VLOOKUP(DATA!$P338,'M2'!$A:$C,Q$2,FALSE)),"NOT PRESENT",VLOOKUP(DATA!$P338,'M2'!$A:$C,Q$2,FALSE)),IF($N1432=0,IF(ISERROR(VLOOKUP($P1432,'M1'!$A:$C,Q$2,FALSE)),IF(ISERROR(VLOOKUP(DATA!$P338,'M2'!$A:$C,Q$2,FALSE)),"NOT PRESENT",VLOOKUP(DATA!$P338,'M2'!$A:$C,Q$2,FALSE)),VLOOKUP($P1432,'M1'!$A:$C,Q$2,FALSE)),"SPECIFY METHOD")))</f>
        <v>NOT PRESENT</v>
      </c>
      <c r="R1432" s="4" t="str">
        <f>IF($N1432=1,IF(ISERROR(VLOOKUP($P1432,'M1'!$A:$C,R$2,FALSE)),"NOT PRESENT",VLOOKUP($P1432,'M1'!$A:$C,R$2,FALSE)),IF($N1432=2,IF(ISERROR(VLOOKUP(DATA!$P338,'M2'!$A:$C,R$2,FALSE)),"NOT PRESENT",VLOOKUP(DATA!$P338,'M2'!$A:$C,R$2,FALSE)),IF($N1432=0,IF(ISERROR(VLOOKUP($P1432,'M1'!$A:$C,R$2,FALSE)),IF(ISERROR(VLOOKUP(DATA!$P338,'M2'!$A:$C,R$2,FALSE)),"NOT PRESENT",VLOOKUP(DATA!$P338,'M2'!$A:$C,R$2,FALSE)),VLOOKUP($P1432,'M1'!$A:$C,R$2,FALSE)),"SPECIFY METHOD")))</f>
        <v>NOT PRESENT</v>
      </c>
      <c r="S1432" s="20">
        <f t="shared" si="169"/>
        <v>1</v>
      </c>
      <c r="T1432" s="2">
        <v>0</v>
      </c>
      <c r="AF1432" s="2">
        <v>1</v>
      </c>
    </row>
    <row r="1433" spans="1:32">
      <c r="A1433" s="7">
        <f>MAX($A$1:$A1432)+1</f>
        <v>1432</v>
      </c>
      <c r="B1433" s="2" t="str">
        <f t="shared" si="168"/>
        <v>Em Lim</v>
      </c>
      <c r="C1433" s="2" t="str">
        <f t="shared" si="170"/>
        <v>Valesca de Groot</v>
      </c>
      <c r="D1433" s="2" t="str">
        <f t="shared" si="171"/>
        <v>BMSC6</v>
      </c>
      <c r="E1433" s="7" t="str">
        <f>IF(ISERROR(VLOOKUP($D1433,SITES!$A:$E,2,FALSE)),"",VLOOKUP($D1433,SITES!$A:$E,2,FALSE))</f>
        <v>Baeria Rocks South Island</v>
      </c>
      <c r="F1433" s="4">
        <f>IF(ISERROR(VLOOKUP($D1433,SITES!$A:$E,3,FALSE)),"",VLOOKUP($D1433,SITES!$A:$E,3,FALSE))</f>
        <v>48.950233459472599</v>
      </c>
      <c r="G1433" s="18">
        <f>IF(ISERROR(VLOOKUP($D1433,SITES!$A:$E,4,FALSE)),"",VLOOKUP($D1433,SITES!$A:$E,4,FALSE))</f>
        <v>-125.155548095703</v>
      </c>
      <c r="H1433" s="5" t="str">
        <f t="shared" si="173"/>
        <v>17/05/2023</v>
      </c>
      <c r="I1433" s="2">
        <f t="shared" si="174"/>
        <v>5</v>
      </c>
      <c r="J1433" s="2">
        <f t="shared" si="175"/>
        <v>240</v>
      </c>
      <c r="K1433" s="6">
        <f t="shared" si="176"/>
        <v>0.43055555555555558</v>
      </c>
      <c r="L1433" s="2" t="str">
        <f t="shared" si="177"/>
        <v>VDG</v>
      </c>
      <c r="M1433" s="2">
        <f t="shared" si="178"/>
        <v>5.5</v>
      </c>
      <c r="N1433" s="2">
        <f t="shared" si="180"/>
        <v>2</v>
      </c>
      <c r="O1433" s="2">
        <f t="shared" si="179"/>
        <v>1</v>
      </c>
      <c r="P1433" s="27" t="s">
        <v>273</v>
      </c>
      <c r="Q1433" s="7" t="s">
        <v>274</v>
      </c>
      <c r="R1433" s="4" t="s">
        <v>275</v>
      </c>
      <c r="S1433" s="20">
        <f t="shared" si="169"/>
        <v>1</v>
      </c>
      <c r="T1433" s="2">
        <v>0</v>
      </c>
      <c r="U1433" s="2">
        <v>1</v>
      </c>
    </row>
    <row r="1434" spans="1:32">
      <c r="A1434" s="7">
        <f>MAX($A$1:$A1433)+1</f>
        <v>1433</v>
      </c>
      <c r="B1434" s="2" t="str">
        <f t="shared" si="168"/>
        <v>Em Lim</v>
      </c>
      <c r="C1434" s="2" t="str">
        <f t="shared" si="170"/>
        <v>Valesca de Groot</v>
      </c>
      <c r="D1434" s="2" t="str">
        <f t="shared" si="171"/>
        <v>BMSC6</v>
      </c>
      <c r="E1434" s="7" t="str">
        <f>IF(ISERROR(VLOOKUP($D1434,SITES!$A:$E,2,FALSE)),"",VLOOKUP($D1434,SITES!$A:$E,2,FALSE))</f>
        <v>Baeria Rocks South Island</v>
      </c>
      <c r="F1434" s="4">
        <f>IF(ISERROR(VLOOKUP($D1434,SITES!$A:$E,3,FALSE)),"",VLOOKUP($D1434,SITES!$A:$E,3,FALSE))</f>
        <v>48.950233459472599</v>
      </c>
      <c r="G1434" s="18">
        <f>IF(ISERROR(VLOOKUP($D1434,SITES!$A:$E,4,FALSE)),"",VLOOKUP($D1434,SITES!$A:$E,4,FALSE))</f>
        <v>-125.155548095703</v>
      </c>
      <c r="H1434" s="5" t="str">
        <f t="shared" si="173"/>
        <v>17/05/2023</v>
      </c>
      <c r="I1434" s="2">
        <f t="shared" si="174"/>
        <v>5</v>
      </c>
      <c r="J1434" s="2">
        <f t="shared" si="175"/>
        <v>240</v>
      </c>
      <c r="K1434" s="6">
        <f t="shared" si="176"/>
        <v>0.43055555555555558</v>
      </c>
      <c r="L1434" s="2" t="str">
        <f t="shared" si="177"/>
        <v>VDG</v>
      </c>
      <c r="M1434" s="2">
        <f t="shared" si="178"/>
        <v>5.5</v>
      </c>
      <c r="N1434" s="2">
        <f t="shared" si="180"/>
        <v>2</v>
      </c>
      <c r="O1434" s="2">
        <f t="shared" si="179"/>
        <v>1</v>
      </c>
      <c r="P1434" s="27" t="s">
        <v>173</v>
      </c>
      <c r="Q1434" s="7" t="str">
        <f>IF($N1434=1,IF(ISERROR(VLOOKUP($P1434,'M1'!$A:$C,Q$2,FALSE)),"NOT PRESENT",VLOOKUP($P1434,'M1'!$A:$C,Q$2,FALSE)),IF($N1434=2,IF(ISERROR(VLOOKUP(DATA!$P340,'M2'!$A:$C,Q$2,FALSE)),"NOT PRESENT",VLOOKUP(DATA!$P340,'M2'!$A:$C,Q$2,FALSE)),IF($N1434=0,IF(ISERROR(VLOOKUP($P1434,'M1'!$A:$C,Q$2,FALSE)),IF(ISERROR(VLOOKUP(DATA!$P340,'M2'!$A:$C,Q$2,FALSE)),"NOT PRESENT",VLOOKUP(DATA!$P340,'M2'!$A:$C,Q$2,FALSE)),VLOOKUP($P1434,'M1'!$A:$C,Q$2,FALSE)),"SPECIFY METHOD")))</f>
        <v>NOT PRESENT</v>
      </c>
      <c r="R1434" s="4" t="str">
        <f>IF($N1434=1,IF(ISERROR(VLOOKUP($P1434,'M1'!$A:$C,R$2,FALSE)),"NOT PRESENT",VLOOKUP($P1434,'M1'!$A:$C,R$2,FALSE)),IF($N1434=2,IF(ISERROR(VLOOKUP(DATA!$P340,'M2'!$A:$C,R$2,FALSE)),"NOT PRESENT",VLOOKUP(DATA!$P340,'M2'!$A:$C,R$2,FALSE)),IF($N1434=0,IF(ISERROR(VLOOKUP($P1434,'M1'!$A:$C,R$2,FALSE)),IF(ISERROR(VLOOKUP(DATA!$P340,'M2'!$A:$C,R$2,FALSE)),"NOT PRESENT",VLOOKUP(DATA!$P340,'M2'!$A:$C,R$2,FALSE)),VLOOKUP($P1434,'M1'!$A:$C,R$2,FALSE)),"SPECIFY METHOD")))</f>
        <v>NOT PRESENT</v>
      </c>
      <c r="S1434" s="20">
        <f t="shared" si="169"/>
        <v>1</v>
      </c>
      <c r="T1434" s="2">
        <v>0</v>
      </c>
      <c r="V1434" s="2">
        <v>1</v>
      </c>
    </row>
    <row r="1435" spans="1:32">
      <c r="A1435" s="7">
        <f>MAX($A$1:$A1434)+1</f>
        <v>1434</v>
      </c>
      <c r="B1435" s="2" t="str">
        <f t="shared" si="168"/>
        <v>Em Lim</v>
      </c>
      <c r="C1435" s="2" t="str">
        <f t="shared" si="170"/>
        <v>Valesca de Groot</v>
      </c>
      <c r="D1435" s="2" t="str">
        <f t="shared" si="171"/>
        <v>BMSC6</v>
      </c>
      <c r="E1435" s="7" t="str">
        <f>IF(ISERROR(VLOOKUP($D1435,SITES!$A:$E,2,FALSE)),"",VLOOKUP($D1435,SITES!$A:$E,2,FALSE))</f>
        <v>Baeria Rocks South Island</v>
      </c>
      <c r="F1435" s="4">
        <f>IF(ISERROR(VLOOKUP($D1435,SITES!$A:$E,3,FALSE)),"",VLOOKUP($D1435,SITES!$A:$E,3,FALSE))</f>
        <v>48.950233459472599</v>
      </c>
      <c r="G1435" s="18">
        <f>IF(ISERROR(VLOOKUP($D1435,SITES!$A:$E,4,FALSE)),"",VLOOKUP($D1435,SITES!$A:$E,4,FALSE))</f>
        <v>-125.155548095703</v>
      </c>
      <c r="H1435" s="5" t="str">
        <f t="shared" si="173"/>
        <v>17/05/2023</v>
      </c>
      <c r="I1435" s="2">
        <f t="shared" si="174"/>
        <v>5</v>
      </c>
      <c r="J1435" s="2">
        <f t="shared" si="175"/>
        <v>240</v>
      </c>
      <c r="K1435" s="6">
        <f t="shared" si="176"/>
        <v>0.43055555555555558</v>
      </c>
      <c r="L1435" s="2" t="str">
        <f t="shared" si="177"/>
        <v>VDG</v>
      </c>
      <c r="M1435" s="2">
        <f t="shared" si="178"/>
        <v>5.5</v>
      </c>
      <c r="N1435" s="2">
        <f t="shared" si="180"/>
        <v>2</v>
      </c>
      <c r="O1435" s="2">
        <f t="shared" si="179"/>
        <v>1</v>
      </c>
      <c r="P1435" s="27" t="s">
        <v>206</v>
      </c>
      <c r="Q1435" s="7" t="str">
        <f>IF($N1435=1,IF(ISERROR(VLOOKUP($P1435,'M1'!$A:$C,Q$2,FALSE)),"NOT PRESENT",VLOOKUP($P1435,'M1'!$A:$C,Q$2,FALSE)),IF($N1435=2,IF(ISERROR(VLOOKUP(DATA!$P341,'M2'!$A:$C,Q$2,FALSE)),"NOT PRESENT",VLOOKUP(DATA!$P341,'M2'!$A:$C,Q$2,FALSE)),IF($N1435=0,IF(ISERROR(VLOOKUP($P1435,'M1'!$A:$C,Q$2,FALSE)),IF(ISERROR(VLOOKUP(DATA!$P341,'M2'!$A:$C,Q$2,FALSE)),"NOT PRESENT",VLOOKUP(DATA!$P341,'M2'!$A:$C,Q$2,FALSE)),VLOOKUP($P1435,'M1'!$A:$C,Q$2,FALSE)),"SPECIFY METHOD")))</f>
        <v>NOT PRESENT</v>
      </c>
      <c r="R1435" s="4" t="str">
        <f>IF($N1435=1,IF(ISERROR(VLOOKUP($P1435,'M1'!$A:$C,R$2,FALSE)),"NOT PRESENT",VLOOKUP($P1435,'M1'!$A:$C,R$2,FALSE)),IF($N1435=2,IF(ISERROR(VLOOKUP(DATA!$P341,'M2'!$A:$C,R$2,FALSE)),"NOT PRESENT",VLOOKUP(DATA!$P341,'M2'!$A:$C,R$2,FALSE)),IF($N1435=0,IF(ISERROR(VLOOKUP($P1435,'M1'!$A:$C,R$2,FALSE)),IF(ISERROR(VLOOKUP(DATA!$P341,'M2'!$A:$C,R$2,FALSE)),"NOT PRESENT",VLOOKUP(DATA!$P341,'M2'!$A:$C,R$2,FALSE)),VLOOKUP($P1435,'M1'!$A:$C,R$2,FALSE)),"SPECIFY METHOD")))</f>
        <v>NOT PRESENT</v>
      </c>
      <c r="S1435" s="20">
        <f t="shared" si="169"/>
        <v>1</v>
      </c>
      <c r="T1435" s="2">
        <v>0</v>
      </c>
      <c r="U1435" s="2">
        <v>1</v>
      </c>
    </row>
    <row r="1436" spans="1:32">
      <c r="A1436" s="7">
        <f>MAX($A$1:$A1435)+1</f>
        <v>1435</v>
      </c>
      <c r="B1436" s="2" t="str">
        <f t="shared" si="168"/>
        <v>Em Lim</v>
      </c>
      <c r="C1436" s="2" t="str">
        <f t="shared" si="170"/>
        <v>Valesca de Groot</v>
      </c>
      <c r="D1436" s="2" t="str">
        <f t="shared" si="171"/>
        <v>BMSC6</v>
      </c>
      <c r="E1436" s="7" t="str">
        <f>IF(ISERROR(VLOOKUP($D1436,SITES!$A:$E,2,FALSE)),"",VLOOKUP($D1436,SITES!$A:$E,2,FALSE))</f>
        <v>Baeria Rocks South Island</v>
      </c>
      <c r="F1436" s="4">
        <f>IF(ISERROR(VLOOKUP($D1436,SITES!$A:$E,3,FALSE)),"",VLOOKUP($D1436,SITES!$A:$E,3,FALSE))</f>
        <v>48.950233459472599</v>
      </c>
      <c r="G1436" s="18">
        <f>IF(ISERROR(VLOOKUP($D1436,SITES!$A:$E,4,FALSE)),"",VLOOKUP($D1436,SITES!$A:$E,4,FALSE))</f>
        <v>-125.155548095703</v>
      </c>
      <c r="H1436" s="5" t="str">
        <f t="shared" si="173"/>
        <v>17/05/2023</v>
      </c>
      <c r="I1436" s="2">
        <f t="shared" si="174"/>
        <v>5</v>
      </c>
      <c r="J1436" s="2">
        <f t="shared" si="175"/>
        <v>240</v>
      </c>
      <c r="K1436" s="6">
        <f t="shared" si="176"/>
        <v>0.43055555555555558</v>
      </c>
      <c r="L1436" s="2" t="str">
        <f t="shared" si="177"/>
        <v>VDG</v>
      </c>
      <c r="M1436" s="2">
        <f t="shared" si="178"/>
        <v>5.5</v>
      </c>
      <c r="N1436" s="2">
        <f t="shared" si="180"/>
        <v>2</v>
      </c>
      <c r="O1436" s="2">
        <f t="shared" si="179"/>
        <v>1</v>
      </c>
      <c r="P1436" s="27" t="s">
        <v>202</v>
      </c>
      <c r="Q1436" s="7" t="str">
        <f>IF($N1436=1,IF(ISERROR(VLOOKUP($P1436,'M1'!$A:$C,Q$2,FALSE)),"NOT PRESENT",VLOOKUP($P1436,'M1'!$A:$C,Q$2,FALSE)),IF($N1436=2,IF(ISERROR(VLOOKUP(DATA!$P342,'M2'!$A:$C,Q$2,FALSE)),"NOT PRESENT",VLOOKUP(DATA!$P342,'M2'!$A:$C,Q$2,FALSE)),IF($N1436=0,IF(ISERROR(VLOOKUP($P1436,'M1'!$A:$C,Q$2,FALSE)),IF(ISERROR(VLOOKUP(DATA!$P342,'M2'!$A:$C,Q$2,FALSE)),"NOT PRESENT",VLOOKUP(DATA!$P342,'M2'!$A:$C,Q$2,FALSE)),VLOOKUP($P1436,'M1'!$A:$C,Q$2,FALSE)),"SPECIFY METHOD")))</f>
        <v>NOT PRESENT</v>
      </c>
      <c r="R1436" s="4" t="str">
        <f>IF($N1436=1,IF(ISERROR(VLOOKUP($P1436,'M1'!$A:$C,R$2,FALSE)),"NOT PRESENT",VLOOKUP($P1436,'M1'!$A:$C,R$2,FALSE)),IF($N1436=2,IF(ISERROR(VLOOKUP(DATA!$P342,'M2'!$A:$C,R$2,FALSE)),"NOT PRESENT",VLOOKUP(DATA!$P342,'M2'!$A:$C,R$2,FALSE)),IF($N1436=0,IF(ISERROR(VLOOKUP($P1436,'M1'!$A:$C,R$2,FALSE)),IF(ISERROR(VLOOKUP(DATA!$P342,'M2'!$A:$C,R$2,FALSE)),"NOT PRESENT",VLOOKUP(DATA!$P342,'M2'!$A:$C,R$2,FALSE)),VLOOKUP($P1436,'M1'!$A:$C,R$2,FALSE)),"SPECIFY METHOD")))</f>
        <v>NOT PRESENT</v>
      </c>
      <c r="S1436" s="20">
        <f t="shared" si="169"/>
        <v>1</v>
      </c>
      <c r="T1436" s="2">
        <v>1</v>
      </c>
    </row>
    <row r="1437" spans="1:32">
      <c r="A1437" s="7">
        <f>MAX($A$1:$A1436)+1</f>
        <v>1436</v>
      </c>
      <c r="B1437" s="2" t="str">
        <f t="shared" si="168"/>
        <v>Em Lim</v>
      </c>
      <c r="C1437" s="2" t="str">
        <f t="shared" si="170"/>
        <v>Valesca de Groot</v>
      </c>
      <c r="D1437" s="2" t="str">
        <f t="shared" si="171"/>
        <v>BMSC6</v>
      </c>
      <c r="E1437" s="7" t="str">
        <f>IF(ISERROR(VLOOKUP($D1437,SITES!$A:$E,2,FALSE)),"",VLOOKUP($D1437,SITES!$A:$E,2,FALSE))</f>
        <v>Baeria Rocks South Island</v>
      </c>
      <c r="F1437" s="4">
        <f>IF(ISERROR(VLOOKUP($D1437,SITES!$A:$E,3,FALSE)),"",VLOOKUP($D1437,SITES!$A:$E,3,FALSE))</f>
        <v>48.950233459472599</v>
      </c>
      <c r="G1437" s="18">
        <f>IF(ISERROR(VLOOKUP($D1437,SITES!$A:$E,4,FALSE)),"",VLOOKUP($D1437,SITES!$A:$E,4,FALSE))</f>
        <v>-125.155548095703</v>
      </c>
      <c r="H1437" s="5" t="str">
        <f t="shared" si="173"/>
        <v>17/05/2023</v>
      </c>
      <c r="I1437" s="2">
        <f t="shared" si="174"/>
        <v>5</v>
      </c>
      <c r="J1437" s="2">
        <f t="shared" si="175"/>
        <v>240</v>
      </c>
      <c r="K1437" s="6">
        <f t="shared" si="176"/>
        <v>0.43055555555555558</v>
      </c>
      <c r="L1437" s="2" t="str">
        <f t="shared" si="177"/>
        <v>VDG</v>
      </c>
      <c r="M1437" s="2">
        <f t="shared" si="178"/>
        <v>5.5</v>
      </c>
      <c r="N1437" s="2">
        <f t="shared" si="180"/>
        <v>2</v>
      </c>
      <c r="O1437" s="2">
        <f t="shared" si="179"/>
        <v>1</v>
      </c>
      <c r="P1437" s="27" t="s">
        <v>225</v>
      </c>
      <c r="Q1437" s="7" t="str">
        <f>IF($N1437=1,IF(ISERROR(VLOOKUP($P1437,'M1'!$A:$C,Q$2,FALSE)),"NOT PRESENT",VLOOKUP($P1437,'M1'!$A:$C,Q$2,FALSE)),IF($N1437=2,IF(ISERROR(VLOOKUP(DATA!$P343,'M2'!$A:$C,Q$2,FALSE)),"NOT PRESENT",VLOOKUP(DATA!$P343,'M2'!$A:$C,Q$2,FALSE)),IF($N1437=0,IF(ISERROR(VLOOKUP($P1437,'M1'!$A:$C,Q$2,FALSE)),IF(ISERROR(VLOOKUP(DATA!$P343,'M2'!$A:$C,Q$2,FALSE)),"NOT PRESENT",VLOOKUP(DATA!$P343,'M2'!$A:$C,Q$2,FALSE)),VLOOKUP($P1437,'M1'!$A:$C,Q$2,FALSE)),"SPECIFY METHOD")))</f>
        <v>NOT PRESENT</v>
      </c>
      <c r="R1437" s="4" t="str">
        <f>IF($N1437=1,IF(ISERROR(VLOOKUP($P1437,'M1'!$A:$C,R$2,FALSE)),"NOT PRESENT",VLOOKUP($P1437,'M1'!$A:$C,R$2,FALSE)),IF($N1437=2,IF(ISERROR(VLOOKUP(DATA!$P343,'M2'!$A:$C,R$2,FALSE)),"NOT PRESENT",VLOOKUP(DATA!$P343,'M2'!$A:$C,R$2,FALSE)),IF($N1437=0,IF(ISERROR(VLOOKUP($P1437,'M1'!$A:$C,R$2,FALSE)),IF(ISERROR(VLOOKUP(DATA!$P343,'M2'!$A:$C,R$2,FALSE)),"NOT PRESENT",VLOOKUP(DATA!$P343,'M2'!$A:$C,R$2,FALSE)),VLOOKUP($P1437,'M1'!$A:$C,R$2,FALSE)),"SPECIFY METHOD")))</f>
        <v>NOT PRESENT</v>
      </c>
      <c r="S1437" s="20">
        <f t="shared" si="169"/>
        <v>2</v>
      </c>
      <c r="T1437" s="2">
        <v>2</v>
      </c>
    </row>
    <row r="1438" spans="1:32">
      <c r="A1438" s="7">
        <f>MAX($A$1:$A1437)+1</f>
        <v>1437</v>
      </c>
      <c r="B1438" s="2" t="str">
        <f t="shared" si="168"/>
        <v>Em Lim</v>
      </c>
      <c r="C1438" s="2" t="str">
        <f t="shared" si="170"/>
        <v>Valesca de Groot</v>
      </c>
      <c r="D1438" s="2" t="str">
        <f t="shared" si="171"/>
        <v>BMSC6</v>
      </c>
      <c r="E1438" s="7" t="str">
        <f>IF(ISERROR(VLOOKUP($D1438,SITES!$A:$E,2,FALSE)),"",VLOOKUP($D1438,SITES!$A:$E,2,FALSE))</f>
        <v>Baeria Rocks South Island</v>
      </c>
      <c r="F1438" s="4">
        <f>IF(ISERROR(VLOOKUP($D1438,SITES!$A:$E,3,FALSE)),"",VLOOKUP($D1438,SITES!$A:$E,3,FALSE))</f>
        <v>48.950233459472599</v>
      </c>
      <c r="G1438" s="18">
        <f>IF(ISERROR(VLOOKUP($D1438,SITES!$A:$E,4,FALSE)),"",VLOOKUP($D1438,SITES!$A:$E,4,FALSE))</f>
        <v>-125.155548095703</v>
      </c>
      <c r="H1438" s="5" t="str">
        <f t="shared" si="173"/>
        <v>17/05/2023</v>
      </c>
      <c r="I1438" s="2">
        <f t="shared" si="174"/>
        <v>5</v>
      </c>
      <c r="J1438" s="2">
        <f t="shared" si="175"/>
        <v>240</v>
      </c>
      <c r="K1438" s="6">
        <f t="shared" si="176"/>
        <v>0.43055555555555558</v>
      </c>
      <c r="L1438" s="2" t="str">
        <f t="shared" si="177"/>
        <v>VDG</v>
      </c>
      <c r="M1438" s="2">
        <f t="shared" si="178"/>
        <v>5.5</v>
      </c>
      <c r="N1438" s="2">
        <f t="shared" si="180"/>
        <v>2</v>
      </c>
      <c r="O1438" s="2">
        <f t="shared" si="179"/>
        <v>1</v>
      </c>
      <c r="P1438" s="27" t="s">
        <v>187</v>
      </c>
      <c r="Q1438" s="7" t="str">
        <f>IF($N1438=1,IF(ISERROR(VLOOKUP($P1438,'M1'!$A:$C,Q$2,FALSE)),"NOT PRESENT",VLOOKUP($P1438,'M1'!$A:$C,Q$2,FALSE)),IF($N1438=2,IF(ISERROR(VLOOKUP(DATA!$P344,'M2'!$A:$C,Q$2,FALSE)),"NOT PRESENT",VLOOKUP(DATA!$P344,'M2'!$A:$C,Q$2,FALSE)),IF($N1438=0,IF(ISERROR(VLOOKUP($P1438,'M1'!$A:$C,Q$2,FALSE)),IF(ISERROR(VLOOKUP(DATA!$P344,'M2'!$A:$C,Q$2,FALSE)),"NOT PRESENT",VLOOKUP(DATA!$P344,'M2'!$A:$C,Q$2,FALSE)),VLOOKUP($P1438,'M1'!$A:$C,Q$2,FALSE)),"SPECIFY METHOD")))</f>
        <v>NOT PRESENT</v>
      </c>
      <c r="R1438" s="4" t="str">
        <f>IF($N1438=1,IF(ISERROR(VLOOKUP($P1438,'M1'!$A:$C,R$2,FALSE)),"NOT PRESENT",VLOOKUP($P1438,'M1'!$A:$C,R$2,FALSE)),IF($N1438=2,IF(ISERROR(VLOOKUP(DATA!$P344,'M2'!$A:$C,R$2,FALSE)),"NOT PRESENT",VLOOKUP(DATA!$P344,'M2'!$A:$C,R$2,FALSE)),IF($N1438=0,IF(ISERROR(VLOOKUP($P1438,'M1'!$A:$C,R$2,FALSE)),IF(ISERROR(VLOOKUP(DATA!$P344,'M2'!$A:$C,R$2,FALSE)),"NOT PRESENT",VLOOKUP(DATA!$P344,'M2'!$A:$C,R$2,FALSE)),VLOOKUP($P1438,'M1'!$A:$C,R$2,FALSE)),"SPECIFY METHOD")))</f>
        <v>NOT PRESENT</v>
      </c>
      <c r="S1438" s="20">
        <f t="shared" si="169"/>
        <v>1</v>
      </c>
      <c r="T1438" s="2">
        <v>1</v>
      </c>
    </row>
    <row r="1439" spans="1:32">
      <c r="A1439" s="7">
        <f>MAX($A$1:$A1438)+1</f>
        <v>1438</v>
      </c>
      <c r="B1439" s="2" t="s">
        <v>278</v>
      </c>
      <c r="C1439" s="2" t="s">
        <v>171</v>
      </c>
      <c r="D1439" s="2" t="s">
        <v>32</v>
      </c>
      <c r="E1439" s="7" t="s">
        <v>363</v>
      </c>
      <c r="F1439" s="4">
        <v>48.950233459472599</v>
      </c>
      <c r="G1439" s="18">
        <v>-125.155548095703</v>
      </c>
      <c r="H1439" s="5" t="s">
        <v>11</v>
      </c>
      <c r="I1439" s="2">
        <v>5</v>
      </c>
      <c r="J1439" s="2">
        <v>240</v>
      </c>
      <c r="K1439" s="6">
        <v>0.43402777777777773</v>
      </c>
      <c r="L1439" s="2" t="s">
        <v>172</v>
      </c>
      <c r="M1439" s="2">
        <v>10</v>
      </c>
      <c r="N1439" s="2">
        <v>1</v>
      </c>
      <c r="O1439" s="2">
        <v>1</v>
      </c>
      <c r="P1439" s="2" t="s">
        <v>232</v>
      </c>
      <c r="Q1439" s="7" t="s">
        <v>43</v>
      </c>
      <c r="R1439" s="4" t="s">
        <v>324</v>
      </c>
      <c r="S1439" s="20">
        <v>9</v>
      </c>
      <c r="T1439" s="2">
        <v>0</v>
      </c>
      <c r="AA1439" s="2">
        <v>1</v>
      </c>
      <c r="AB1439" s="2">
        <v>3</v>
      </c>
      <c r="AC1439" s="2">
        <v>3</v>
      </c>
      <c r="AD1439" s="2">
        <v>2</v>
      </c>
    </row>
    <row r="1440" spans="1:32">
      <c r="A1440" s="7">
        <f>MAX($A$1:$A1439)+1</f>
        <v>1439</v>
      </c>
      <c r="B1440" s="2" t="s">
        <v>278</v>
      </c>
      <c r="C1440" s="2" t="s">
        <v>171</v>
      </c>
      <c r="D1440" s="2" t="s">
        <v>32</v>
      </c>
      <c r="E1440" s="7" t="s">
        <v>363</v>
      </c>
      <c r="F1440" s="4">
        <v>48.950233459472599</v>
      </c>
      <c r="G1440" s="18">
        <v>-125.155548095703</v>
      </c>
      <c r="H1440" s="5" t="s">
        <v>11</v>
      </c>
      <c r="I1440" s="2">
        <v>5</v>
      </c>
      <c r="J1440" s="2">
        <v>240</v>
      </c>
      <c r="K1440" s="6">
        <v>0.43402777777777773</v>
      </c>
      <c r="L1440" s="2" t="s">
        <v>172</v>
      </c>
      <c r="M1440" s="2">
        <v>10</v>
      </c>
      <c r="N1440" s="2">
        <v>1</v>
      </c>
      <c r="O1440" s="2">
        <v>1</v>
      </c>
      <c r="P1440" s="2" t="s">
        <v>235</v>
      </c>
      <c r="Q1440" s="7" t="s">
        <v>54</v>
      </c>
      <c r="R1440" s="4" t="s">
        <v>364</v>
      </c>
      <c r="S1440" s="20">
        <v>3</v>
      </c>
      <c r="T1440" s="2">
        <v>0</v>
      </c>
      <c r="AC1440" s="2">
        <v>1</v>
      </c>
      <c r="AD1440" s="2">
        <v>2</v>
      </c>
    </row>
    <row r="1441" spans="1:26">
      <c r="A1441" s="7">
        <f>MAX($A$1:$A1440)+1</f>
        <v>1440</v>
      </c>
      <c r="B1441" s="2" t="s">
        <v>278</v>
      </c>
      <c r="C1441" s="2" t="s">
        <v>171</v>
      </c>
      <c r="D1441" s="2" t="s">
        <v>32</v>
      </c>
      <c r="E1441" s="7" t="s">
        <v>363</v>
      </c>
      <c r="F1441" s="4">
        <v>48.950233459472599</v>
      </c>
      <c r="G1441" s="18">
        <v>-125.155548095703</v>
      </c>
      <c r="H1441" s="5" t="s">
        <v>11</v>
      </c>
      <c r="I1441" s="2">
        <v>5</v>
      </c>
      <c r="J1441" s="2">
        <v>240</v>
      </c>
      <c r="K1441" s="6">
        <v>0.43402777777777773</v>
      </c>
      <c r="L1441" s="2" t="s">
        <v>172</v>
      </c>
      <c r="M1441" s="2">
        <v>10</v>
      </c>
      <c r="N1441" s="2">
        <v>2</v>
      </c>
      <c r="O1441" s="2">
        <v>1</v>
      </c>
      <c r="P1441" s="2" t="s">
        <v>241</v>
      </c>
      <c r="Q1441" s="7" t="s">
        <v>63</v>
      </c>
      <c r="R1441" s="4" t="s">
        <v>294</v>
      </c>
      <c r="S1441" s="20">
        <v>185</v>
      </c>
      <c r="T1441" s="2">
        <v>185</v>
      </c>
    </row>
    <row r="1442" spans="1:26">
      <c r="A1442" s="7">
        <f>MAX($A$1:$A1441)+1</f>
        <v>1441</v>
      </c>
      <c r="B1442" s="2" t="s">
        <v>278</v>
      </c>
      <c r="C1442" s="2" t="s">
        <v>171</v>
      </c>
      <c r="D1442" s="2" t="s">
        <v>32</v>
      </c>
      <c r="E1442" s="7" t="s">
        <v>363</v>
      </c>
      <c r="F1442" s="4">
        <v>48.950233459472599</v>
      </c>
      <c r="G1442" s="18">
        <v>-125.155548095703</v>
      </c>
      <c r="H1442" s="5" t="s">
        <v>11</v>
      </c>
      <c r="I1442" s="2">
        <v>5</v>
      </c>
      <c r="J1442" s="2">
        <v>240</v>
      </c>
      <c r="K1442" s="6">
        <v>0.43402777777777773</v>
      </c>
      <c r="L1442" s="2" t="s">
        <v>172</v>
      </c>
      <c r="M1442" s="2">
        <v>10</v>
      </c>
      <c r="N1442" s="2">
        <v>2</v>
      </c>
      <c r="O1442" s="2">
        <v>1</v>
      </c>
      <c r="P1442" s="2" t="s">
        <v>238</v>
      </c>
      <c r="Q1442" s="7" t="s">
        <v>69</v>
      </c>
      <c r="R1442" s="4" t="s">
        <v>313</v>
      </c>
      <c r="S1442" s="20">
        <v>9</v>
      </c>
      <c r="T1442" s="2">
        <v>9</v>
      </c>
    </row>
    <row r="1443" spans="1:26">
      <c r="A1443" s="7">
        <f>MAX($A$1:$A1442)+1</f>
        <v>1442</v>
      </c>
      <c r="B1443" s="2" t="s">
        <v>278</v>
      </c>
      <c r="C1443" s="2" t="s">
        <v>171</v>
      </c>
      <c r="D1443" s="2" t="s">
        <v>32</v>
      </c>
      <c r="E1443" s="7" t="s">
        <v>363</v>
      </c>
      <c r="F1443" s="4">
        <v>48.950233459472599</v>
      </c>
      <c r="G1443" s="18">
        <v>-125.155548095703</v>
      </c>
      <c r="H1443" s="5" t="s">
        <v>11</v>
      </c>
      <c r="I1443" s="2">
        <v>5</v>
      </c>
      <c r="J1443" s="2">
        <v>240</v>
      </c>
      <c r="K1443" s="6">
        <v>0.43402777777777773</v>
      </c>
      <c r="L1443" s="2" t="s">
        <v>172</v>
      </c>
      <c r="M1443" s="2">
        <v>10</v>
      </c>
      <c r="N1443" s="2">
        <v>2</v>
      </c>
      <c r="O1443" s="2">
        <v>1</v>
      </c>
      <c r="P1443" s="2" t="s">
        <v>239</v>
      </c>
      <c r="Q1443" s="7" t="s">
        <v>80</v>
      </c>
      <c r="R1443" s="4" t="s">
        <v>300</v>
      </c>
      <c r="S1443" s="20">
        <v>16</v>
      </c>
      <c r="T1443" s="2">
        <v>16</v>
      </c>
    </row>
    <row r="1444" spans="1:26">
      <c r="A1444" s="7">
        <f>MAX($A$1:$A1443)+1</f>
        <v>1443</v>
      </c>
      <c r="B1444" s="2" t="s">
        <v>278</v>
      </c>
      <c r="C1444" s="2" t="s">
        <v>171</v>
      </c>
      <c r="D1444" s="2" t="s">
        <v>32</v>
      </c>
      <c r="E1444" s="7" t="s">
        <v>363</v>
      </c>
      <c r="F1444" s="4">
        <v>48.950233459472599</v>
      </c>
      <c r="G1444" s="18">
        <v>-125.155548095703</v>
      </c>
      <c r="H1444" s="5" t="s">
        <v>11</v>
      </c>
      <c r="I1444" s="2">
        <v>5</v>
      </c>
      <c r="J1444" s="2">
        <v>240</v>
      </c>
      <c r="K1444" s="6">
        <v>0.43402777777777773</v>
      </c>
      <c r="L1444" s="2" t="s">
        <v>172</v>
      </c>
      <c r="M1444" s="2">
        <v>10</v>
      </c>
      <c r="N1444" s="2">
        <v>2</v>
      </c>
      <c r="O1444" s="2">
        <v>1</v>
      </c>
      <c r="P1444" s="2" t="s">
        <v>244</v>
      </c>
      <c r="Q1444" s="7" t="s">
        <v>65</v>
      </c>
      <c r="R1444" s="4" t="s">
        <v>307</v>
      </c>
      <c r="S1444" s="20">
        <v>83</v>
      </c>
      <c r="T1444" s="2">
        <v>83</v>
      </c>
    </row>
    <row r="1445" spans="1:26">
      <c r="A1445" s="7">
        <f>MAX($A$1:$A1444)+1</f>
        <v>1444</v>
      </c>
      <c r="B1445" s="2" t="s">
        <v>278</v>
      </c>
      <c r="C1445" s="2" t="s">
        <v>171</v>
      </c>
      <c r="D1445" s="2" t="s">
        <v>32</v>
      </c>
      <c r="E1445" s="7" t="s">
        <v>363</v>
      </c>
      <c r="F1445" s="4">
        <v>48.950233459472599</v>
      </c>
      <c r="G1445" s="18">
        <v>-125.155548095703</v>
      </c>
      <c r="H1445" s="5" t="s">
        <v>11</v>
      </c>
      <c r="I1445" s="2">
        <v>5</v>
      </c>
      <c r="J1445" s="2">
        <v>240</v>
      </c>
      <c r="K1445" s="6">
        <v>0.43402777777777773</v>
      </c>
      <c r="L1445" s="2" t="s">
        <v>172</v>
      </c>
      <c r="M1445" s="2">
        <v>10</v>
      </c>
      <c r="N1445" s="2">
        <v>2</v>
      </c>
      <c r="O1445" s="2">
        <v>1</v>
      </c>
      <c r="P1445" s="2" t="s">
        <v>308</v>
      </c>
      <c r="Q1445" s="7" t="s">
        <v>122</v>
      </c>
      <c r="R1445" s="4" t="s">
        <v>309</v>
      </c>
      <c r="S1445" s="20">
        <v>2</v>
      </c>
      <c r="T1445" s="2">
        <v>2</v>
      </c>
    </row>
    <row r="1446" spans="1:26">
      <c r="A1446" s="7">
        <f>MAX($A$1:$A1445)+1</f>
        <v>1445</v>
      </c>
      <c r="B1446" s="2" t="s">
        <v>278</v>
      </c>
      <c r="C1446" s="2" t="s">
        <v>171</v>
      </c>
      <c r="D1446" s="2" t="s">
        <v>32</v>
      </c>
      <c r="E1446" s="7" t="s">
        <v>363</v>
      </c>
      <c r="F1446" s="4">
        <v>48.950233459472599</v>
      </c>
      <c r="G1446" s="18">
        <v>-125.155548095703</v>
      </c>
      <c r="H1446" s="5" t="s">
        <v>11</v>
      </c>
      <c r="I1446" s="2">
        <v>5</v>
      </c>
      <c r="J1446" s="2">
        <v>240</v>
      </c>
      <c r="K1446" s="6">
        <v>0.43402777777777773</v>
      </c>
      <c r="L1446" s="2" t="s">
        <v>172</v>
      </c>
      <c r="M1446" s="2">
        <v>10</v>
      </c>
      <c r="N1446" s="2">
        <v>2</v>
      </c>
      <c r="O1446" s="2">
        <v>1</v>
      </c>
      <c r="P1446" s="2" t="s">
        <v>350</v>
      </c>
      <c r="Q1446" s="7" t="s">
        <v>83</v>
      </c>
      <c r="R1446" s="4" t="s">
        <v>351</v>
      </c>
      <c r="S1446" s="20">
        <v>3</v>
      </c>
      <c r="T1446" s="2">
        <v>3</v>
      </c>
    </row>
    <row r="1447" spans="1:26">
      <c r="A1447" s="7">
        <f>MAX($A$1:$A1446)+1</f>
        <v>1446</v>
      </c>
      <c r="B1447" s="2" t="s">
        <v>278</v>
      </c>
      <c r="C1447" s="2" t="s">
        <v>171</v>
      </c>
      <c r="D1447" s="2" t="s">
        <v>32</v>
      </c>
      <c r="E1447" s="7" t="s">
        <v>363</v>
      </c>
      <c r="F1447" s="4">
        <v>48.950233459472599</v>
      </c>
      <c r="G1447" s="18">
        <v>-125.155548095703</v>
      </c>
      <c r="H1447" s="5" t="s">
        <v>11</v>
      </c>
      <c r="I1447" s="2">
        <v>5</v>
      </c>
      <c r="J1447" s="2">
        <v>240</v>
      </c>
      <c r="K1447" s="6">
        <v>0.43402777777777773</v>
      </c>
      <c r="L1447" s="2" t="s">
        <v>172</v>
      </c>
      <c r="M1447" s="2">
        <v>10</v>
      </c>
      <c r="N1447" s="2">
        <v>2</v>
      </c>
      <c r="O1447" s="2">
        <v>1</v>
      </c>
      <c r="P1447" s="2" t="s">
        <v>230</v>
      </c>
      <c r="Q1447" s="7" t="s">
        <v>42</v>
      </c>
      <c r="R1447" s="4" t="s">
        <v>321</v>
      </c>
      <c r="S1447" s="20">
        <v>5</v>
      </c>
      <c r="T1447" s="2">
        <v>0</v>
      </c>
      <c r="W1447" s="2">
        <v>3</v>
      </c>
      <c r="X1447" s="2">
        <v>2</v>
      </c>
    </row>
    <row r="1448" spans="1:26">
      <c r="A1448" s="7">
        <f>MAX($A$1:$A1447)+1</f>
        <v>1447</v>
      </c>
      <c r="B1448" s="2" t="s">
        <v>278</v>
      </c>
      <c r="C1448" s="2" t="s">
        <v>171</v>
      </c>
      <c r="D1448" s="2" t="s">
        <v>32</v>
      </c>
      <c r="E1448" s="7" t="s">
        <v>363</v>
      </c>
      <c r="F1448" s="4">
        <v>48.950233459472599</v>
      </c>
      <c r="G1448" s="18">
        <v>-125.155548095703</v>
      </c>
      <c r="H1448" s="5" t="s">
        <v>11</v>
      </c>
      <c r="I1448" s="2">
        <v>5</v>
      </c>
      <c r="J1448" s="2">
        <v>240</v>
      </c>
      <c r="K1448" s="6">
        <v>0.43402777777777773</v>
      </c>
      <c r="L1448" s="2" t="s">
        <v>172</v>
      </c>
      <c r="M1448" s="2">
        <v>10</v>
      </c>
      <c r="N1448" s="2">
        <v>2</v>
      </c>
      <c r="O1448" s="2">
        <v>1</v>
      </c>
      <c r="P1448" s="2" t="s">
        <v>338</v>
      </c>
      <c r="Q1448" s="7" t="s">
        <v>101</v>
      </c>
      <c r="R1448" s="4" t="s">
        <v>339</v>
      </c>
      <c r="S1448" s="20">
        <v>8</v>
      </c>
      <c r="T1448" s="2">
        <v>0</v>
      </c>
      <c r="U1448" s="2">
        <v>3</v>
      </c>
      <c r="V1448" s="2">
        <v>5</v>
      </c>
    </row>
    <row r="1449" spans="1:26">
      <c r="A1449" s="7">
        <f>MAX($A$1:$A1448)+1</f>
        <v>1448</v>
      </c>
      <c r="B1449" s="2" t="s">
        <v>278</v>
      </c>
      <c r="C1449" s="2" t="s">
        <v>171</v>
      </c>
      <c r="D1449" s="2" t="s">
        <v>32</v>
      </c>
      <c r="E1449" s="7" t="s">
        <v>363</v>
      </c>
      <c r="F1449" s="4">
        <v>48.950233459472599</v>
      </c>
      <c r="G1449" s="18">
        <v>-125.155548095703</v>
      </c>
      <c r="H1449" s="5" t="s">
        <v>11</v>
      </c>
      <c r="I1449" s="2">
        <v>5</v>
      </c>
      <c r="J1449" s="2">
        <v>240</v>
      </c>
      <c r="K1449" s="6">
        <v>0.43402777777777773</v>
      </c>
      <c r="L1449" s="2" t="s">
        <v>172</v>
      </c>
      <c r="M1449" s="2">
        <v>10</v>
      </c>
      <c r="N1449" s="2">
        <v>2</v>
      </c>
      <c r="O1449" s="2">
        <v>1</v>
      </c>
      <c r="P1449" s="2" t="s">
        <v>296</v>
      </c>
      <c r="Q1449" s="7" t="s">
        <v>75</v>
      </c>
      <c r="R1449" s="4" t="s">
        <v>297</v>
      </c>
      <c r="S1449" s="20">
        <v>29</v>
      </c>
      <c r="T1449" s="2">
        <v>29</v>
      </c>
    </row>
    <row r="1450" spans="1:26">
      <c r="A1450" s="7">
        <f>MAX($A$1:$A1449)+1</f>
        <v>1449</v>
      </c>
      <c r="B1450" s="2" t="s">
        <v>278</v>
      </c>
      <c r="C1450" s="2" t="s">
        <v>171</v>
      </c>
      <c r="D1450" s="2" t="s">
        <v>32</v>
      </c>
      <c r="E1450" s="7" t="s">
        <v>363</v>
      </c>
      <c r="F1450" s="4">
        <v>48.950233459472599</v>
      </c>
      <c r="G1450" s="18">
        <v>-125.155548095703</v>
      </c>
      <c r="H1450" s="5" t="s">
        <v>11</v>
      </c>
      <c r="I1450" s="2">
        <v>5</v>
      </c>
      <c r="J1450" s="2">
        <v>240</v>
      </c>
      <c r="K1450" s="6">
        <v>0.43402777777777773</v>
      </c>
      <c r="L1450" s="2" t="s">
        <v>172</v>
      </c>
      <c r="M1450" s="2">
        <v>10</v>
      </c>
      <c r="N1450" s="2">
        <v>2</v>
      </c>
      <c r="O1450" s="2">
        <v>1</v>
      </c>
      <c r="P1450" s="2" t="s">
        <v>333</v>
      </c>
      <c r="Q1450" s="7" t="s">
        <v>102</v>
      </c>
      <c r="R1450" s="47" t="s">
        <v>334</v>
      </c>
      <c r="S1450" s="20">
        <v>6</v>
      </c>
      <c r="T1450" s="2">
        <v>6</v>
      </c>
    </row>
    <row r="1451" spans="1:26">
      <c r="A1451" s="7">
        <f>MAX($A$1:$A1450)+1</f>
        <v>1450</v>
      </c>
      <c r="B1451" s="2" t="s">
        <v>278</v>
      </c>
      <c r="C1451" s="2" t="s">
        <v>171</v>
      </c>
      <c r="D1451" s="2" t="s">
        <v>32</v>
      </c>
      <c r="E1451" s="7" t="s">
        <v>363</v>
      </c>
      <c r="F1451" s="4">
        <v>48.950233459472599</v>
      </c>
      <c r="G1451" s="18">
        <v>-125.155548095703</v>
      </c>
      <c r="H1451" s="5" t="s">
        <v>11</v>
      </c>
      <c r="I1451" s="2">
        <v>5</v>
      </c>
      <c r="J1451" s="2">
        <v>240</v>
      </c>
      <c r="K1451" s="6">
        <v>0.43402777777777773</v>
      </c>
      <c r="L1451" s="2" t="s">
        <v>172</v>
      </c>
      <c r="M1451" s="2">
        <v>10</v>
      </c>
      <c r="N1451" s="2">
        <v>2</v>
      </c>
      <c r="O1451" s="2">
        <v>1</v>
      </c>
      <c r="P1451" s="2" t="s">
        <v>301</v>
      </c>
      <c r="Q1451" s="7" t="s">
        <v>97</v>
      </c>
      <c r="R1451" s="4" t="s">
        <v>302</v>
      </c>
      <c r="S1451" s="20">
        <v>8</v>
      </c>
      <c r="T1451" s="2">
        <v>8</v>
      </c>
    </row>
    <row r="1452" spans="1:26">
      <c r="A1452" s="7">
        <f>MAX($A$1:$A1451)+1</f>
        <v>1451</v>
      </c>
      <c r="B1452" s="2" t="s">
        <v>278</v>
      </c>
      <c r="C1452" s="2" t="s">
        <v>171</v>
      </c>
      <c r="D1452" s="2" t="s">
        <v>32</v>
      </c>
      <c r="E1452" s="7" t="s">
        <v>363</v>
      </c>
      <c r="F1452" s="4">
        <v>48.950233459472599</v>
      </c>
      <c r="G1452" s="18">
        <v>-125.155548095703</v>
      </c>
      <c r="H1452" s="5" t="s">
        <v>11</v>
      </c>
      <c r="I1452" s="2">
        <v>5</v>
      </c>
      <c r="J1452" s="2">
        <v>240</v>
      </c>
      <c r="K1452" s="6">
        <v>0.43402777777777773</v>
      </c>
      <c r="L1452" s="2" t="s">
        <v>172</v>
      </c>
      <c r="M1452" s="2">
        <v>10</v>
      </c>
      <c r="N1452" s="2">
        <v>2</v>
      </c>
      <c r="O1452" s="2">
        <v>1</v>
      </c>
      <c r="P1452" s="2" t="s">
        <v>314</v>
      </c>
      <c r="Q1452" s="7" t="s">
        <v>71</v>
      </c>
      <c r="R1452" s="4" t="s">
        <v>315</v>
      </c>
      <c r="S1452" s="20">
        <v>2</v>
      </c>
      <c r="T1452" s="2">
        <v>2</v>
      </c>
    </row>
    <row r="1453" spans="1:26">
      <c r="A1453" s="7">
        <f>MAX($A$1:$A1452)+1</f>
        <v>1452</v>
      </c>
      <c r="B1453" s="2" t="s">
        <v>278</v>
      </c>
      <c r="C1453" s="2" t="s">
        <v>171</v>
      </c>
      <c r="D1453" s="2" t="s">
        <v>32</v>
      </c>
      <c r="E1453" s="7" t="s">
        <v>363</v>
      </c>
      <c r="F1453" s="4">
        <v>48.950233459472599</v>
      </c>
      <c r="G1453" s="18">
        <v>-125.155548095703</v>
      </c>
      <c r="H1453" s="5" t="s">
        <v>11</v>
      </c>
      <c r="I1453" s="2">
        <v>5</v>
      </c>
      <c r="J1453" s="2">
        <v>240</v>
      </c>
      <c r="K1453" s="6">
        <v>0.43402777777777773</v>
      </c>
      <c r="L1453" s="2" t="s">
        <v>172</v>
      </c>
      <c r="M1453" s="2">
        <v>10</v>
      </c>
      <c r="N1453" s="2">
        <v>2</v>
      </c>
      <c r="O1453" s="2">
        <v>1</v>
      </c>
      <c r="P1453" s="2" t="s">
        <v>248</v>
      </c>
      <c r="Q1453" s="7" t="s">
        <v>78</v>
      </c>
      <c r="R1453" s="4" t="s">
        <v>349</v>
      </c>
      <c r="S1453" s="20">
        <v>4</v>
      </c>
      <c r="T1453" s="2">
        <v>4</v>
      </c>
    </row>
    <row r="1454" spans="1:26">
      <c r="A1454" s="7">
        <f>MAX($A$1:$A1453)+1</f>
        <v>1453</v>
      </c>
      <c r="B1454" s="2" t="s">
        <v>278</v>
      </c>
      <c r="C1454" s="2" t="s">
        <v>171</v>
      </c>
      <c r="D1454" s="2" t="s">
        <v>32</v>
      </c>
      <c r="E1454" s="7" t="s">
        <v>363</v>
      </c>
      <c r="F1454" s="4">
        <v>48.950233459472599</v>
      </c>
      <c r="G1454" s="18">
        <v>-125.155548095703</v>
      </c>
      <c r="H1454" s="5" t="s">
        <v>11</v>
      </c>
      <c r="I1454" s="2">
        <v>5</v>
      </c>
      <c r="J1454" s="2">
        <v>240</v>
      </c>
      <c r="K1454" s="6">
        <v>0.43402777777777773</v>
      </c>
      <c r="L1454" s="2" t="s">
        <v>172</v>
      </c>
      <c r="M1454" s="2">
        <v>10</v>
      </c>
      <c r="N1454" s="2">
        <v>2</v>
      </c>
      <c r="O1454" s="2">
        <v>1</v>
      </c>
      <c r="P1454" s="2" t="s">
        <v>247</v>
      </c>
      <c r="Q1454" s="7" t="s">
        <v>64</v>
      </c>
      <c r="R1454" s="4" t="s">
        <v>293</v>
      </c>
      <c r="S1454" s="20">
        <v>4</v>
      </c>
      <c r="T1454" s="2">
        <v>4</v>
      </c>
    </row>
    <row r="1455" spans="1:26">
      <c r="A1455" s="7">
        <f>MAX($A$1:$A1454)+1</f>
        <v>1454</v>
      </c>
      <c r="B1455" s="2" t="s">
        <v>278</v>
      </c>
      <c r="C1455" s="2" t="s">
        <v>171</v>
      </c>
      <c r="D1455" s="2" t="s">
        <v>32</v>
      </c>
      <c r="E1455" s="7" t="s">
        <v>363</v>
      </c>
      <c r="F1455" s="4">
        <v>48.950233459472599</v>
      </c>
      <c r="G1455" s="18">
        <v>-125.155548095703</v>
      </c>
      <c r="H1455" s="5" t="s">
        <v>11</v>
      </c>
      <c r="I1455" s="2">
        <v>5</v>
      </c>
      <c r="J1455" s="2">
        <v>240</v>
      </c>
      <c r="K1455" s="6">
        <v>0.43402777777777773</v>
      </c>
      <c r="L1455" s="2" t="s">
        <v>172</v>
      </c>
      <c r="M1455" s="2">
        <v>10</v>
      </c>
      <c r="N1455" s="2">
        <v>2</v>
      </c>
      <c r="O1455" s="2">
        <v>1</v>
      </c>
      <c r="P1455" s="2" t="s">
        <v>243</v>
      </c>
      <c r="Q1455" s="7" t="s">
        <v>85</v>
      </c>
      <c r="R1455" s="4" t="s">
        <v>312</v>
      </c>
      <c r="S1455" s="20">
        <v>3</v>
      </c>
      <c r="T1455" s="2">
        <v>3</v>
      </c>
    </row>
    <row r="1456" spans="1:26">
      <c r="A1456" s="7">
        <f>MAX($A$1:$A1455)+1</f>
        <v>1455</v>
      </c>
      <c r="B1456" s="2" t="s">
        <v>278</v>
      </c>
      <c r="C1456" s="2" t="s">
        <v>171</v>
      </c>
      <c r="D1456" s="2" t="s">
        <v>32</v>
      </c>
      <c r="E1456" s="7" t="s">
        <v>363</v>
      </c>
      <c r="F1456" s="4">
        <v>48.950233459472599</v>
      </c>
      <c r="G1456" s="18">
        <v>-125.155548095703</v>
      </c>
      <c r="H1456" s="5" t="s">
        <v>11</v>
      </c>
      <c r="I1456" s="2">
        <v>5</v>
      </c>
      <c r="J1456" s="2">
        <v>240</v>
      </c>
      <c r="K1456" s="6">
        <v>0.43402777777777773</v>
      </c>
      <c r="L1456" s="2" t="s">
        <v>172</v>
      </c>
      <c r="M1456" s="2">
        <v>10</v>
      </c>
      <c r="N1456" s="2">
        <v>0</v>
      </c>
      <c r="O1456" s="2">
        <v>1</v>
      </c>
      <c r="P1456" s="2" t="s">
        <v>231</v>
      </c>
      <c r="Q1456" s="7" t="s">
        <v>48</v>
      </c>
      <c r="R1456" s="4" t="s">
        <v>365</v>
      </c>
      <c r="S1456" s="20">
        <v>1</v>
      </c>
      <c r="T1456" s="2">
        <v>0</v>
      </c>
      <c r="Z1456" s="2">
        <v>1</v>
      </c>
    </row>
    <row r="1457" spans="1:40">
      <c r="A1457" s="7">
        <f>MAX($A$1:$A1456)+1</f>
        <v>1456</v>
      </c>
      <c r="B1457" s="2" t="s">
        <v>278</v>
      </c>
      <c r="C1457" s="2" t="s">
        <v>171</v>
      </c>
      <c r="D1457" s="2" t="s">
        <v>32</v>
      </c>
      <c r="E1457" s="7" t="s">
        <v>363</v>
      </c>
      <c r="F1457" s="4">
        <v>48.950233459472599</v>
      </c>
      <c r="G1457" s="18">
        <v>-125.155548095703</v>
      </c>
      <c r="H1457" s="5" t="s">
        <v>11</v>
      </c>
      <c r="I1457" s="2">
        <v>5</v>
      </c>
      <c r="J1457" s="2">
        <v>240</v>
      </c>
      <c r="K1457" s="6">
        <v>0.43402777777777773</v>
      </c>
      <c r="L1457" s="2" t="s">
        <v>172</v>
      </c>
      <c r="M1457" s="2">
        <v>10</v>
      </c>
      <c r="N1457" s="2">
        <v>2</v>
      </c>
      <c r="O1457" s="2">
        <v>1</v>
      </c>
      <c r="P1457" s="2" t="s">
        <v>366</v>
      </c>
      <c r="Q1457" s="7" t="s">
        <v>103</v>
      </c>
      <c r="R1457" s="4" t="s">
        <v>367</v>
      </c>
      <c r="S1457" s="20">
        <v>1</v>
      </c>
      <c r="T1457" s="2">
        <v>1</v>
      </c>
    </row>
    <row r="1458" spans="1:40">
      <c r="A1458" s="7">
        <f>MAX($A$1:$A1457)+1</f>
        <v>1457</v>
      </c>
      <c r="B1458" s="2" t="s">
        <v>278</v>
      </c>
      <c r="C1458" s="2" t="s">
        <v>171</v>
      </c>
      <c r="D1458" s="2" t="s">
        <v>32</v>
      </c>
      <c r="E1458" s="7" t="s">
        <v>363</v>
      </c>
      <c r="F1458" s="4">
        <v>48.950233459472599</v>
      </c>
      <c r="G1458" s="18">
        <v>-125.155548095703</v>
      </c>
      <c r="H1458" s="5" t="s">
        <v>11</v>
      </c>
      <c r="I1458" s="2">
        <v>5</v>
      </c>
      <c r="J1458" s="2">
        <v>240</v>
      </c>
      <c r="K1458" s="6">
        <v>0.43402777777777773</v>
      </c>
      <c r="L1458" s="2" t="s">
        <v>172</v>
      </c>
      <c r="M1458" s="2">
        <v>10</v>
      </c>
      <c r="N1458" s="2">
        <v>2</v>
      </c>
      <c r="O1458" s="2">
        <v>1</v>
      </c>
      <c r="P1458" s="2" t="s">
        <v>246</v>
      </c>
      <c r="Q1458" s="7" t="s">
        <v>66</v>
      </c>
      <c r="R1458" s="4" t="s">
        <v>318</v>
      </c>
      <c r="S1458" s="20">
        <v>6</v>
      </c>
      <c r="T1458" s="2">
        <v>6</v>
      </c>
      <c r="U1458" s="48"/>
      <c r="V1458" s="48"/>
      <c r="W1458" s="48"/>
    </row>
    <row r="1459" spans="1:40">
      <c r="A1459" s="7">
        <f>MAX($A$1:$A1458)+1</f>
        <v>1458</v>
      </c>
      <c r="B1459" s="2" t="s">
        <v>278</v>
      </c>
      <c r="C1459" s="2" t="s">
        <v>171</v>
      </c>
      <c r="D1459" s="2" t="s">
        <v>32</v>
      </c>
      <c r="E1459" s="7" t="s">
        <v>363</v>
      </c>
      <c r="F1459" s="4">
        <v>48.950233459472599</v>
      </c>
      <c r="G1459" s="18">
        <v>-125.155548095703</v>
      </c>
      <c r="H1459" s="5" t="s">
        <v>11</v>
      </c>
      <c r="I1459" s="2">
        <v>5</v>
      </c>
      <c r="J1459" s="2">
        <v>240</v>
      </c>
      <c r="K1459" s="6">
        <v>0.43402777777777773</v>
      </c>
      <c r="L1459" s="2" t="s">
        <v>172</v>
      </c>
      <c r="M1459" s="2">
        <v>10</v>
      </c>
      <c r="N1459" s="2">
        <v>2</v>
      </c>
      <c r="O1459" s="2">
        <v>1</v>
      </c>
      <c r="P1459" s="2" t="s">
        <v>250</v>
      </c>
      <c r="Q1459" s="7" t="s">
        <v>46</v>
      </c>
      <c r="R1459" s="4" t="s">
        <v>295</v>
      </c>
      <c r="S1459" s="20">
        <v>3</v>
      </c>
      <c r="T1459" s="2">
        <v>0</v>
      </c>
      <c r="V1459" s="2">
        <v>2</v>
      </c>
      <c r="W1459" s="2">
        <v>1</v>
      </c>
    </row>
    <row r="1460" spans="1:40">
      <c r="A1460" s="7">
        <f>MAX($A$1:$A1459)+1</f>
        <v>1459</v>
      </c>
      <c r="B1460" s="2" t="s">
        <v>278</v>
      </c>
      <c r="C1460" s="2" t="s">
        <v>171</v>
      </c>
      <c r="D1460" s="2" t="s">
        <v>32</v>
      </c>
      <c r="E1460" s="7" t="s">
        <v>363</v>
      </c>
      <c r="F1460" s="4">
        <v>48.950233459472599</v>
      </c>
      <c r="G1460" s="18">
        <v>-125.155548095703</v>
      </c>
      <c r="H1460" s="5" t="s">
        <v>11</v>
      </c>
      <c r="I1460" s="2">
        <v>5</v>
      </c>
      <c r="J1460" s="2">
        <v>240</v>
      </c>
      <c r="K1460" s="6">
        <v>0.43402777777777773</v>
      </c>
      <c r="L1460" s="2" t="s">
        <v>172</v>
      </c>
      <c r="M1460" s="2">
        <v>10</v>
      </c>
      <c r="N1460" s="2">
        <v>0</v>
      </c>
      <c r="O1460" s="2">
        <v>1</v>
      </c>
      <c r="P1460" s="2" t="s">
        <v>237</v>
      </c>
      <c r="Q1460" s="7" t="s">
        <v>51</v>
      </c>
      <c r="R1460" s="4" t="s">
        <v>368</v>
      </c>
      <c r="S1460" s="20">
        <v>1</v>
      </c>
      <c r="T1460" s="2">
        <v>0</v>
      </c>
      <c r="AF1460" s="2">
        <v>1</v>
      </c>
    </row>
    <row r="1461" spans="1:40">
      <c r="A1461" s="7">
        <f>MAX($A$1:$A1460)+1</f>
        <v>1460</v>
      </c>
      <c r="B1461" s="2" t="s">
        <v>278</v>
      </c>
      <c r="C1461" s="2" t="s">
        <v>171</v>
      </c>
      <c r="D1461" s="2" t="s">
        <v>32</v>
      </c>
      <c r="E1461" s="7" t="s">
        <v>363</v>
      </c>
      <c r="F1461" s="4">
        <v>48.950233459472599</v>
      </c>
      <c r="G1461" s="18">
        <v>-125.155548095703</v>
      </c>
      <c r="H1461" s="5" t="s">
        <v>11</v>
      </c>
      <c r="I1461" s="2">
        <v>5</v>
      </c>
      <c r="J1461" s="2">
        <v>240</v>
      </c>
      <c r="K1461" s="6">
        <v>0.43402777777777773</v>
      </c>
      <c r="L1461" s="2" t="s">
        <v>172</v>
      </c>
      <c r="M1461" s="2">
        <v>10</v>
      </c>
      <c r="N1461" s="2">
        <v>2</v>
      </c>
      <c r="O1461" s="2">
        <v>1</v>
      </c>
      <c r="P1461" s="2" t="s">
        <v>316</v>
      </c>
      <c r="Q1461" s="7" t="s">
        <v>123</v>
      </c>
      <c r="R1461" s="4" t="s">
        <v>317</v>
      </c>
      <c r="S1461" s="20">
        <v>1</v>
      </c>
      <c r="T1461" s="2">
        <v>1</v>
      </c>
    </row>
    <row r="1462" spans="1:40">
      <c r="A1462" s="7">
        <f>MAX($A$1:$A1461)+1</f>
        <v>1461</v>
      </c>
      <c r="B1462" s="2" t="s">
        <v>278</v>
      </c>
      <c r="C1462" s="2" t="s">
        <v>171</v>
      </c>
      <c r="D1462" s="2" t="s">
        <v>32</v>
      </c>
      <c r="E1462" s="7" t="s">
        <v>363</v>
      </c>
      <c r="F1462" s="4">
        <v>48.950233459472599</v>
      </c>
      <c r="G1462" s="18">
        <v>-125.155548095703</v>
      </c>
      <c r="H1462" s="5" t="s">
        <v>11</v>
      </c>
      <c r="I1462" s="2">
        <v>5</v>
      </c>
      <c r="J1462" s="2">
        <v>240</v>
      </c>
      <c r="K1462" s="6">
        <v>0.43402777777777773</v>
      </c>
      <c r="L1462" s="2" t="s">
        <v>172</v>
      </c>
      <c r="M1462" s="2">
        <v>10</v>
      </c>
      <c r="N1462" s="2">
        <v>0</v>
      </c>
      <c r="O1462" s="2">
        <v>1</v>
      </c>
      <c r="P1462" s="2" t="s">
        <v>236</v>
      </c>
      <c r="Q1462" s="7" t="s">
        <v>44</v>
      </c>
      <c r="R1462" s="4" t="s">
        <v>369</v>
      </c>
      <c r="S1462" s="20">
        <v>1</v>
      </c>
      <c r="T1462" s="2">
        <v>0</v>
      </c>
      <c r="Y1462" s="2">
        <v>1</v>
      </c>
    </row>
    <row r="1463" spans="1:40">
      <c r="A1463" s="7">
        <f>MAX($A$1:$A1462)+1</f>
        <v>1462</v>
      </c>
      <c r="B1463" s="2" t="s">
        <v>278</v>
      </c>
      <c r="C1463" s="2" t="s">
        <v>171</v>
      </c>
      <c r="D1463" s="2" t="s">
        <v>32</v>
      </c>
      <c r="E1463" s="7" t="s">
        <v>363</v>
      </c>
      <c r="F1463" s="4">
        <v>48.950233459472599</v>
      </c>
      <c r="G1463" s="18">
        <v>-125.155548095703</v>
      </c>
      <c r="H1463" s="5" t="s">
        <v>11</v>
      </c>
      <c r="I1463" s="2">
        <v>5</v>
      </c>
      <c r="J1463" s="2">
        <v>240</v>
      </c>
      <c r="K1463" s="6">
        <v>0.43402777777777773</v>
      </c>
      <c r="L1463" s="2" t="s">
        <v>172</v>
      </c>
      <c r="M1463" s="2">
        <v>10</v>
      </c>
      <c r="N1463" s="2">
        <v>0</v>
      </c>
      <c r="O1463" s="2">
        <v>1</v>
      </c>
      <c r="P1463" s="2" t="s">
        <v>328</v>
      </c>
      <c r="Q1463" s="7" t="s">
        <v>126</v>
      </c>
      <c r="R1463" s="4" t="s">
        <v>329</v>
      </c>
      <c r="S1463" s="20">
        <v>0</v>
      </c>
      <c r="T1463" s="2">
        <v>0</v>
      </c>
    </row>
    <row r="1464" spans="1:40">
      <c r="A1464" s="7">
        <f>MAX($A$1:$A1463)+1</f>
        <v>1463</v>
      </c>
      <c r="B1464" s="27" t="s">
        <v>269</v>
      </c>
      <c r="C1464" s="2" t="s">
        <v>409</v>
      </c>
      <c r="D1464" s="2" t="s">
        <v>32</v>
      </c>
      <c r="E1464" s="7" t="s">
        <v>363</v>
      </c>
      <c r="F1464" s="4">
        <v>48.950233459472599</v>
      </c>
      <c r="G1464" s="18">
        <v>-125.155548095703</v>
      </c>
      <c r="H1464" s="5" t="s">
        <v>11</v>
      </c>
      <c r="I1464" s="2">
        <v>5</v>
      </c>
      <c r="J1464" s="2">
        <v>240</v>
      </c>
      <c r="K1464" s="6">
        <v>0.43055555555555558</v>
      </c>
      <c r="L1464" s="2" t="s">
        <v>270</v>
      </c>
      <c r="M1464" s="2">
        <v>5.5</v>
      </c>
      <c r="N1464" s="2">
        <v>1</v>
      </c>
      <c r="O1464" s="2">
        <v>2</v>
      </c>
      <c r="P1464" s="2" t="s">
        <v>232</v>
      </c>
      <c r="Q1464" s="7" t="s">
        <v>43</v>
      </c>
      <c r="R1464" s="4" t="s">
        <v>324</v>
      </c>
      <c r="S1464" s="20">
        <v>1</v>
      </c>
      <c r="T1464" s="2">
        <v>0</v>
      </c>
      <c r="AC1464" s="2">
        <v>1</v>
      </c>
    </row>
    <row r="1465" spans="1:40">
      <c r="A1465" s="7">
        <f>MAX($A$1:$A1464)+1</f>
        <v>1464</v>
      </c>
      <c r="B1465" s="27" t="s">
        <v>269</v>
      </c>
      <c r="C1465" s="2" t="s">
        <v>409</v>
      </c>
      <c r="D1465" s="2" t="s">
        <v>32</v>
      </c>
      <c r="E1465" s="7" t="s">
        <v>363</v>
      </c>
      <c r="F1465" s="4">
        <v>48.950233459472599</v>
      </c>
      <c r="G1465" s="18">
        <v>-125.155548095703</v>
      </c>
      <c r="H1465" s="5" t="s">
        <v>11</v>
      </c>
      <c r="I1465" s="2">
        <v>5</v>
      </c>
      <c r="J1465" s="2">
        <v>240</v>
      </c>
      <c r="K1465" s="6">
        <v>0.43055555555555558</v>
      </c>
      <c r="L1465" s="2" t="s">
        <v>270</v>
      </c>
      <c r="M1465" s="2">
        <v>5.5</v>
      </c>
      <c r="N1465" s="2">
        <v>1</v>
      </c>
      <c r="O1465" s="2">
        <v>2</v>
      </c>
      <c r="P1465" s="2" t="s">
        <v>450</v>
      </c>
      <c r="Q1465" s="7" t="s">
        <v>62</v>
      </c>
      <c r="R1465" s="4" t="s">
        <v>451</v>
      </c>
      <c r="S1465" s="20">
        <v>1</v>
      </c>
      <c r="T1465" s="2">
        <v>0</v>
      </c>
      <c r="AN1465" s="2">
        <v>1</v>
      </c>
    </row>
    <row r="1466" spans="1:40">
      <c r="A1466" s="7">
        <f>MAX($A$1:$A1465)+1</f>
        <v>1465</v>
      </c>
      <c r="B1466" s="27" t="s">
        <v>269</v>
      </c>
      <c r="C1466" s="2" t="s">
        <v>409</v>
      </c>
      <c r="D1466" s="2" t="s">
        <v>32</v>
      </c>
      <c r="E1466" s="7" t="s">
        <v>363</v>
      </c>
      <c r="F1466" s="4">
        <v>48.950233459472599</v>
      </c>
      <c r="G1466" s="18">
        <v>-125.155548095703</v>
      </c>
      <c r="H1466" s="5" t="s">
        <v>11</v>
      </c>
      <c r="I1466" s="2">
        <v>5</v>
      </c>
      <c r="J1466" s="2">
        <v>240</v>
      </c>
      <c r="K1466" s="6">
        <v>0.43055555555555558</v>
      </c>
      <c r="L1466" s="2" t="s">
        <v>270</v>
      </c>
      <c r="M1466" s="2">
        <v>5.5</v>
      </c>
      <c r="N1466" s="2">
        <v>2</v>
      </c>
      <c r="O1466" s="2">
        <v>2</v>
      </c>
      <c r="P1466" s="2" t="s">
        <v>241</v>
      </c>
      <c r="Q1466" s="7" t="s">
        <v>63</v>
      </c>
      <c r="R1466" s="4" t="s">
        <v>294</v>
      </c>
      <c r="S1466" s="20">
        <v>527</v>
      </c>
      <c r="T1466" s="2">
        <v>527</v>
      </c>
    </row>
    <row r="1467" spans="1:40">
      <c r="A1467" s="7">
        <f>MAX($A$1:$A1466)+1</f>
        <v>1466</v>
      </c>
      <c r="B1467" s="27" t="s">
        <v>269</v>
      </c>
      <c r="C1467" s="2" t="s">
        <v>409</v>
      </c>
      <c r="D1467" s="2" t="s">
        <v>32</v>
      </c>
      <c r="E1467" s="7" t="s">
        <v>363</v>
      </c>
      <c r="F1467" s="4">
        <v>48.950233459472599</v>
      </c>
      <c r="G1467" s="18">
        <v>-125.155548095703</v>
      </c>
      <c r="H1467" s="5" t="s">
        <v>11</v>
      </c>
      <c r="I1467" s="2">
        <v>5</v>
      </c>
      <c r="J1467" s="2">
        <v>240</v>
      </c>
      <c r="K1467" s="6">
        <v>0.43055555555555558</v>
      </c>
      <c r="L1467" s="2" t="s">
        <v>270</v>
      </c>
      <c r="M1467" s="2">
        <v>5.5</v>
      </c>
      <c r="N1467" s="2">
        <v>2</v>
      </c>
      <c r="O1467" s="2">
        <v>2</v>
      </c>
      <c r="P1467" s="2" t="s">
        <v>247</v>
      </c>
      <c r="Q1467" s="7" t="s">
        <v>64</v>
      </c>
      <c r="R1467" s="4" t="s">
        <v>293</v>
      </c>
      <c r="S1467" s="20">
        <v>7</v>
      </c>
      <c r="T1467" s="2">
        <v>7</v>
      </c>
    </row>
    <row r="1468" spans="1:40">
      <c r="A1468" s="7">
        <f>MAX($A$1:$A1467)+1</f>
        <v>1467</v>
      </c>
      <c r="B1468" s="27" t="s">
        <v>269</v>
      </c>
      <c r="C1468" s="2" t="s">
        <v>409</v>
      </c>
      <c r="D1468" s="2" t="s">
        <v>32</v>
      </c>
      <c r="E1468" s="7" t="s">
        <v>363</v>
      </c>
      <c r="F1468" s="4">
        <v>48.950233459472599</v>
      </c>
      <c r="G1468" s="18">
        <v>-125.155548095703</v>
      </c>
      <c r="H1468" s="5" t="s">
        <v>11</v>
      </c>
      <c r="I1468" s="2">
        <v>5</v>
      </c>
      <c r="J1468" s="2">
        <v>240</v>
      </c>
      <c r="K1468" s="6">
        <v>0.43055555555555558</v>
      </c>
      <c r="L1468" s="2" t="s">
        <v>270</v>
      </c>
      <c r="M1468" s="2">
        <v>5.5</v>
      </c>
      <c r="N1468" s="2">
        <v>2</v>
      </c>
      <c r="O1468" s="2">
        <v>2</v>
      </c>
      <c r="P1468" s="2" t="s">
        <v>333</v>
      </c>
      <c r="Q1468" s="7" t="s">
        <v>102</v>
      </c>
      <c r="R1468" s="4" t="s">
        <v>334</v>
      </c>
      <c r="S1468" s="20">
        <v>14</v>
      </c>
      <c r="T1468" s="2">
        <v>14</v>
      </c>
    </row>
    <row r="1469" spans="1:40">
      <c r="A1469" s="7">
        <f>MAX($A$1:$A1468)+1</f>
        <v>1468</v>
      </c>
      <c r="B1469" s="27" t="s">
        <v>269</v>
      </c>
      <c r="C1469" s="2" t="s">
        <v>409</v>
      </c>
      <c r="D1469" s="2" t="s">
        <v>32</v>
      </c>
      <c r="E1469" s="7" t="s">
        <v>363</v>
      </c>
      <c r="F1469" s="4">
        <v>48.950233459472599</v>
      </c>
      <c r="G1469" s="18">
        <v>-125.155548095703</v>
      </c>
      <c r="H1469" s="5" t="s">
        <v>11</v>
      </c>
      <c r="I1469" s="2">
        <v>5</v>
      </c>
      <c r="J1469" s="2">
        <v>240</v>
      </c>
      <c r="K1469" s="6">
        <v>0.43055555555555558</v>
      </c>
      <c r="L1469" s="2" t="s">
        <v>270</v>
      </c>
      <c r="M1469" s="2">
        <v>5.5</v>
      </c>
      <c r="N1469" s="2">
        <v>2</v>
      </c>
      <c r="O1469" s="2">
        <v>2</v>
      </c>
      <c r="P1469" s="2" t="s">
        <v>338</v>
      </c>
      <c r="Q1469" s="7" t="s">
        <v>101</v>
      </c>
      <c r="R1469" s="4" t="s">
        <v>339</v>
      </c>
      <c r="S1469" s="20">
        <v>3</v>
      </c>
      <c r="T1469" s="2">
        <v>0</v>
      </c>
      <c r="U1469" s="2">
        <v>2</v>
      </c>
      <c r="W1469" s="2">
        <v>1</v>
      </c>
    </row>
    <row r="1470" spans="1:40">
      <c r="A1470" s="7">
        <f>MAX($A$1:$A1469)+1</f>
        <v>1469</v>
      </c>
      <c r="B1470" s="27" t="s">
        <v>269</v>
      </c>
      <c r="C1470" s="2" t="s">
        <v>409</v>
      </c>
      <c r="D1470" s="2" t="s">
        <v>32</v>
      </c>
      <c r="E1470" s="7" t="s">
        <v>363</v>
      </c>
      <c r="F1470" s="4">
        <v>48.950233459472599</v>
      </c>
      <c r="G1470" s="18">
        <v>-125.155548095703</v>
      </c>
      <c r="H1470" s="5" t="s">
        <v>11</v>
      </c>
      <c r="I1470" s="2">
        <v>5</v>
      </c>
      <c r="J1470" s="2">
        <v>240</v>
      </c>
      <c r="K1470" s="6">
        <v>0.43055555555555558</v>
      </c>
      <c r="L1470" s="2" t="s">
        <v>270</v>
      </c>
      <c r="M1470" s="2">
        <v>5.5</v>
      </c>
      <c r="N1470" s="2">
        <v>2</v>
      </c>
      <c r="O1470" s="2">
        <v>2</v>
      </c>
      <c r="P1470" s="2" t="s">
        <v>239</v>
      </c>
      <c r="Q1470" s="7" t="s">
        <v>80</v>
      </c>
      <c r="R1470" s="4" t="s">
        <v>300</v>
      </c>
      <c r="S1470" s="20">
        <v>22</v>
      </c>
      <c r="T1470" s="2">
        <v>22</v>
      </c>
    </row>
    <row r="1471" spans="1:40">
      <c r="A1471" s="7">
        <f>MAX($A$1:$A1470)+1</f>
        <v>1470</v>
      </c>
      <c r="B1471" s="27" t="s">
        <v>269</v>
      </c>
      <c r="C1471" s="2" t="s">
        <v>409</v>
      </c>
      <c r="D1471" s="2" t="s">
        <v>32</v>
      </c>
      <c r="E1471" s="7" t="s">
        <v>363</v>
      </c>
      <c r="F1471" s="4">
        <v>48.950233459472599</v>
      </c>
      <c r="G1471" s="18">
        <v>-125.155548095703</v>
      </c>
      <c r="H1471" s="5" t="s">
        <v>11</v>
      </c>
      <c r="I1471" s="2">
        <v>5</v>
      </c>
      <c r="J1471" s="2">
        <v>240</v>
      </c>
      <c r="K1471" s="6">
        <v>0.43055555555555558</v>
      </c>
      <c r="L1471" s="2" t="s">
        <v>270</v>
      </c>
      <c r="M1471" s="2">
        <v>5.5</v>
      </c>
      <c r="N1471" s="2">
        <v>2</v>
      </c>
      <c r="O1471" s="2">
        <v>2</v>
      </c>
      <c r="P1471" s="2" t="s">
        <v>238</v>
      </c>
      <c r="Q1471" s="7" t="s">
        <v>69</v>
      </c>
      <c r="R1471" s="4" t="s">
        <v>313</v>
      </c>
      <c r="S1471" s="20">
        <v>4</v>
      </c>
      <c r="T1471" s="2">
        <v>4</v>
      </c>
    </row>
    <row r="1472" spans="1:40">
      <c r="A1472" s="7">
        <f>MAX($A$1:$A1471)+1</f>
        <v>1471</v>
      </c>
      <c r="B1472" s="27" t="s">
        <v>269</v>
      </c>
      <c r="C1472" s="2" t="s">
        <v>409</v>
      </c>
      <c r="D1472" s="2" t="s">
        <v>32</v>
      </c>
      <c r="E1472" s="7" t="s">
        <v>363</v>
      </c>
      <c r="F1472" s="4">
        <v>48.950233459472599</v>
      </c>
      <c r="G1472" s="18">
        <v>-125.155548095703</v>
      </c>
      <c r="H1472" s="5" t="s">
        <v>11</v>
      </c>
      <c r="I1472" s="2">
        <v>5</v>
      </c>
      <c r="J1472" s="2">
        <v>240</v>
      </c>
      <c r="K1472" s="6">
        <v>0.43055555555555558</v>
      </c>
      <c r="L1472" s="2" t="s">
        <v>270</v>
      </c>
      <c r="M1472" s="2">
        <v>5.5</v>
      </c>
      <c r="N1472" s="2">
        <v>2</v>
      </c>
      <c r="O1472" s="2">
        <v>2</v>
      </c>
      <c r="P1472" s="2" t="s">
        <v>246</v>
      </c>
      <c r="Q1472" s="7" t="s">
        <v>66</v>
      </c>
      <c r="R1472" s="4" t="s">
        <v>318</v>
      </c>
      <c r="S1472" s="20">
        <v>7</v>
      </c>
      <c r="T1472" s="2">
        <v>0</v>
      </c>
      <c r="U1472" s="2">
        <v>4</v>
      </c>
      <c r="V1472" s="2">
        <v>2</v>
      </c>
      <c r="X1472" s="2">
        <v>1</v>
      </c>
    </row>
    <row r="1473" spans="1:33">
      <c r="A1473" s="7">
        <f>MAX($A$1:$A1472)+1</f>
        <v>1472</v>
      </c>
      <c r="B1473" s="27" t="s">
        <v>269</v>
      </c>
      <c r="C1473" s="2" t="s">
        <v>409</v>
      </c>
      <c r="D1473" s="2" t="s">
        <v>32</v>
      </c>
      <c r="E1473" s="7" t="s">
        <v>363</v>
      </c>
      <c r="F1473" s="4">
        <v>48.950233459472599</v>
      </c>
      <c r="G1473" s="18">
        <v>-125.155548095703</v>
      </c>
      <c r="H1473" s="5" t="s">
        <v>11</v>
      </c>
      <c r="I1473" s="2">
        <v>5</v>
      </c>
      <c r="J1473" s="2">
        <v>240</v>
      </c>
      <c r="K1473" s="6">
        <v>0.43055555555555558</v>
      </c>
      <c r="L1473" s="2" t="s">
        <v>270</v>
      </c>
      <c r="M1473" s="2">
        <v>5.5</v>
      </c>
      <c r="N1473" s="2">
        <v>2</v>
      </c>
      <c r="O1473" s="2">
        <v>2</v>
      </c>
      <c r="P1473" s="2" t="s">
        <v>244</v>
      </c>
      <c r="Q1473" s="7" t="s">
        <v>65</v>
      </c>
      <c r="R1473" s="4" t="s">
        <v>307</v>
      </c>
      <c r="S1473" s="20">
        <v>30</v>
      </c>
      <c r="T1473" s="2">
        <v>30</v>
      </c>
    </row>
    <row r="1474" spans="1:33">
      <c r="A1474" s="7">
        <f>MAX($A$1:$A1473)+1</f>
        <v>1473</v>
      </c>
      <c r="B1474" s="27" t="s">
        <v>269</v>
      </c>
      <c r="C1474" s="2" t="s">
        <v>409</v>
      </c>
      <c r="D1474" s="2" t="s">
        <v>32</v>
      </c>
      <c r="E1474" s="7" t="s">
        <v>363</v>
      </c>
      <c r="F1474" s="4">
        <v>48.950233459472599</v>
      </c>
      <c r="G1474" s="18">
        <v>-125.155548095703</v>
      </c>
      <c r="H1474" s="5" t="s">
        <v>11</v>
      </c>
      <c r="I1474" s="2">
        <v>5</v>
      </c>
      <c r="J1474" s="2">
        <v>240</v>
      </c>
      <c r="K1474" s="6">
        <v>0.43055555555555558</v>
      </c>
      <c r="L1474" s="2" t="s">
        <v>270</v>
      </c>
      <c r="M1474" s="2">
        <v>5.5</v>
      </c>
      <c r="N1474" s="2">
        <v>2</v>
      </c>
      <c r="O1474" s="2">
        <v>2</v>
      </c>
      <c r="P1474" s="2" t="s">
        <v>296</v>
      </c>
      <c r="Q1474" s="7" t="s">
        <v>75</v>
      </c>
      <c r="R1474" s="4" t="s">
        <v>297</v>
      </c>
      <c r="S1474" s="20">
        <v>9</v>
      </c>
      <c r="T1474" s="2">
        <v>9</v>
      </c>
    </row>
    <row r="1475" spans="1:33">
      <c r="A1475" s="7">
        <f>MAX($A$1:$A1474)+1</f>
        <v>1474</v>
      </c>
      <c r="B1475" s="27" t="s">
        <v>269</v>
      </c>
      <c r="C1475" s="2" t="s">
        <v>409</v>
      </c>
      <c r="D1475" s="2" t="s">
        <v>32</v>
      </c>
      <c r="E1475" s="7" t="s">
        <v>363</v>
      </c>
      <c r="F1475" s="4">
        <v>48.950233459472599</v>
      </c>
      <c r="G1475" s="18">
        <v>-125.155548095703</v>
      </c>
      <c r="H1475" s="5" t="s">
        <v>11</v>
      </c>
      <c r="I1475" s="2">
        <v>5</v>
      </c>
      <c r="J1475" s="2">
        <v>240</v>
      </c>
      <c r="K1475" s="6">
        <v>0.43055555555555558</v>
      </c>
      <c r="L1475" s="2" t="s">
        <v>270</v>
      </c>
      <c r="M1475" s="2">
        <v>5.5</v>
      </c>
      <c r="N1475" s="2">
        <v>2</v>
      </c>
      <c r="O1475" s="2">
        <v>2</v>
      </c>
      <c r="P1475" s="2" t="s">
        <v>331</v>
      </c>
      <c r="Q1475" s="7" t="s">
        <v>67</v>
      </c>
      <c r="R1475" s="4" t="s">
        <v>332</v>
      </c>
      <c r="S1475" s="20">
        <v>35</v>
      </c>
      <c r="T1475" s="2">
        <v>35</v>
      </c>
    </row>
    <row r="1476" spans="1:33">
      <c r="A1476" s="7">
        <f>MAX($A$1:$A1475)+1</f>
        <v>1475</v>
      </c>
      <c r="B1476" s="27" t="s">
        <v>269</v>
      </c>
      <c r="C1476" s="2" t="s">
        <v>409</v>
      </c>
      <c r="D1476" s="2" t="s">
        <v>32</v>
      </c>
      <c r="E1476" s="7" t="s">
        <v>363</v>
      </c>
      <c r="F1476" s="4">
        <v>48.950233459472599</v>
      </c>
      <c r="G1476" s="18">
        <v>-125.155548095703</v>
      </c>
      <c r="H1476" s="5" t="s">
        <v>11</v>
      </c>
      <c r="I1476" s="2">
        <v>5</v>
      </c>
      <c r="J1476" s="2">
        <v>240</v>
      </c>
      <c r="K1476" s="6">
        <v>0.43055555555555558</v>
      </c>
      <c r="L1476" s="2" t="s">
        <v>270</v>
      </c>
      <c r="M1476" s="2">
        <v>5.5</v>
      </c>
      <c r="N1476" s="2">
        <v>2</v>
      </c>
      <c r="O1476" s="2">
        <v>2</v>
      </c>
      <c r="P1476" s="2" t="s">
        <v>230</v>
      </c>
      <c r="Q1476" s="7" t="s">
        <v>42</v>
      </c>
      <c r="R1476" s="4" t="s">
        <v>321</v>
      </c>
      <c r="S1476" s="20">
        <v>6</v>
      </c>
      <c r="T1476" s="2">
        <v>0</v>
      </c>
      <c r="U1476" s="2">
        <v>4</v>
      </c>
      <c r="V1476" s="2">
        <v>2</v>
      </c>
    </row>
    <row r="1477" spans="1:33">
      <c r="A1477" s="7">
        <f>MAX($A$1:$A1476)+1</f>
        <v>1476</v>
      </c>
      <c r="B1477" s="27" t="s">
        <v>269</v>
      </c>
      <c r="C1477" s="2" t="s">
        <v>409</v>
      </c>
      <c r="D1477" s="2" t="s">
        <v>32</v>
      </c>
      <c r="E1477" s="7" t="s">
        <v>363</v>
      </c>
      <c r="F1477" s="4">
        <v>48.950233459472599</v>
      </c>
      <c r="G1477" s="18">
        <v>-125.155548095703</v>
      </c>
      <c r="H1477" s="5" t="s">
        <v>11</v>
      </c>
      <c r="I1477" s="2">
        <v>5</v>
      </c>
      <c r="J1477" s="2">
        <v>240</v>
      </c>
      <c r="K1477" s="6">
        <v>0.43055555555555558</v>
      </c>
      <c r="L1477" s="2" t="s">
        <v>270</v>
      </c>
      <c r="M1477" s="2">
        <v>5.5</v>
      </c>
      <c r="N1477" s="2">
        <v>2</v>
      </c>
      <c r="O1477" s="2">
        <v>2</v>
      </c>
      <c r="P1477" s="2" t="s">
        <v>419</v>
      </c>
      <c r="Q1477" s="7" t="s">
        <v>139</v>
      </c>
      <c r="R1477" s="4" t="s">
        <v>420</v>
      </c>
      <c r="S1477" s="20">
        <v>6</v>
      </c>
      <c r="T1477" s="2">
        <v>6</v>
      </c>
    </row>
    <row r="1478" spans="1:33">
      <c r="A1478" s="7">
        <f>MAX($A$1:$A1477)+1</f>
        <v>1477</v>
      </c>
      <c r="B1478" s="27" t="s">
        <v>269</v>
      </c>
      <c r="C1478" s="2" t="s">
        <v>409</v>
      </c>
      <c r="D1478" s="2" t="s">
        <v>32</v>
      </c>
      <c r="E1478" s="7" t="s">
        <v>363</v>
      </c>
      <c r="F1478" s="4">
        <v>48.950233459472599</v>
      </c>
      <c r="G1478" s="18">
        <v>-125.155548095703</v>
      </c>
      <c r="H1478" s="5" t="s">
        <v>11</v>
      </c>
      <c r="I1478" s="2">
        <v>5</v>
      </c>
      <c r="J1478" s="2">
        <v>240</v>
      </c>
      <c r="K1478" s="6">
        <v>0.43055555555555558</v>
      </c>
      <c r="L1478" s="2" t="s">
        <v>270</v>
      </c>
      <c r="M1478" s="2">
        <v>5.5</v>
      </c>
      <c r="N1478" s="2">
        <v>2</v>
      </c>
      <c r="O1478" s="2">
        <v>2</v>
      </c>
      <c r="P1478" s="2" t="s">
        <v>235</v>
      </c>
      <c r="Q1478" s="7" t="s">
        <v>150</v>
      </c>
      <c r="R1478" s="4" t="s">
        <v>453</v>
      </c>
      <c r="S1478" s="20">
        <v>1</v>
      </c>
      <c r="T1478" s="2">
        <v>0</v>
      </c>
      <c r="AE1478" s="2">
        <v>1</v>
      </c>
    </row>
    <row r="1479" spans="1:33">
      <c r="A1479" s="7">
        <f>MAX($A$1:$A1478)+1</f>
        <v>1478</v>
      </c>
      <c r="B1479" s="27" t="s">
        <v>269</v>
      </c>
      <c r="C1479" s="2" t="s">
        <v>409</v>
      </c>
      <c r="D1479" s="2" t="s">
        <v>32</v>
      </c>
      <c r="E1479" s="7" t="s">
        <v>363</v>
      </c>
      <c r="F1479" s="4">
        <v>48.950233459472599</v>
      </c>
      <c r="G1479" s="18">
        <v>-125.155548095703</v>
      </c>
      <c r="H1479" s="5" t="s">
        <v>11</v>
      </c>
      <c r="I1479" s="2">
        <v>5</v>
      </c>
      <c r="J1479" s="2">
        <v>240</v>
      </c>
      <c r="K1479" s="6">
        <v>0.43055555555555558</v>
      </c>
      <c r="L1479" s="2" t="s">
        <v>270</v>
      </c>
      <c r="M1479" s="2">
        <v>5.5</v>
      </c>
      <c r="N1479" s="2">
        <v>2</v>
      </c>
      <c r="O1479" s="2">
        <v>2</v>
      </c>
      <c r="P1479" s="2" t="s">
        <v>248</v>
      </c>
      <c r="Q1479" s="7" t="s">
        <v>78</v>
      </c>
      <c r="R1479" s="4" t="s">
        <v>349</v>
      </c>
      <c r="S1479" s="20">
        <v>2</v>
      </c>
      <c r="T1479" s="2">
        <v>0</v>
      </c>
      <c r="X1479" s="2">
        <v>1</v>
      </c>
      <c r="Z1479" s="2">
        <v>1</v>
      </c>
    </row>
    <row r="1480" spans="1:33">
      <c r="A1480" s="7">
        <f>MAX($A$1:$A1479)+1</f>
        <v>1479</v>
      </c>
      <c r="B1480" s="27" t="s">
        <v>269</v>
      </c>
      <c r="C1480" s="2" t="s">
        <v>409</v>
      </c>
      <c r="D1480" s="2" t="s">
        <v>32</v>
      </c>
      <c r="E1480" s="7" t="s">
        <v>363</v>
      </c>
      <c r="F1480" s="4">
        <v>48.950233459472599</v>
      </c>
      <c r="G1480" s="18">
        <v>-125.155548095703</v>
      </c>
      <c r="H1480" s="5" t="s">
        <v>11</v>
      </c>
      <c r="I1480" s="2">
        <v>5</v>
      </c>
      <c r="J1480" s="2">
        <v>240</v>
      </c>
      <c r="K1480" s="6">
        <v>0.43055555555555558</v>
      </c>
      <c r="L1480" s="2" t="s">
        <v>270</v>
      </c>
      <c r="M1480" s="2">
        <v>5.5</v>
      </c>
      <c r="N1480" s="2">
        <v>2</v>
      </c>
      <c r="O1480" s="2">
        <v>2</v>
      </c>
      <c r="P1480" s="2" t="s">
        <v>314</v>
      </c>
      <c r="Q1480" s="7" t="s">
        <v>71</v>
      </c>
      <c r="R1480" s="4" t="s">
        <v>315</v>
      </c>
      <c r="S1480" s="20">
        <v>8</v>
      </c>
      <c r="T1480" s="2">
        <v>8</v>
      </c>
    </row>
    <row r="1481" spans="1:33">
      <c r="A1481" s="7">
        <f>MAX($A$1:$A1480)+1</f>
        <v>1480</v>
      </c>
      <c r="B1481" s="27" t="s">
        <v>269</v>
      </c>
      <c r="C1481" s="2" t="s">
        <v>409</v>
      </c>
      <c r="D1481" s="2" t="s">
        <v>32</v>
      </c>
      <c r="E1481" s="7" t="s">
        <v>363</v>
      </c>
      <c r="F1481" s="4">
        <v>48.950233459472599</v>
      </c>
      <c r="G1481" s="18">
        <v>-125.155548095703</v>
      </c>
      <c r="H1481" s="5" t="s">
        <v>11</v>
      </c>
      <c r="I1481" s="2">
        <v>5</v>
      </c>
      <c r="J1481" s="2">
        <v>240</v>
      </c>
      <c r="K1481" s="6">
        <v>0.43055555555555558</v>
      </c>
      <c r="L1481" s="2" t="s">
        <v>270</v>
      </c>
      <c r="M1481" s="2">
        <v>5.5</v>
      </c>
      <c r="N1481" s="2">
        <v>2</v>
      </c>
      <c r="O1481" s="2">
        <v>2</v>
      </c>
      <c r="P1481" s="2" t="s">
        <v>250</v>
      </c>
      <c r="Q1481" s="7" t="s">
        <v>46</v>
      </c>
      <c r="R1481" s="4" t="s">
        <v>295</v>
      </c>
      <c r="S1481" s="20">
        <v>3</v>
      </c>
      <c r="T1481" s="2">
        <v>0</v>
      </c>
      <c r="V1481" s="2">
        <v>2</v>
      </c>
      <c r="W1481" s="2">
        <v>1</v>
      </c>
    </row>
    <row r="1482" spans="1:33">
      <c r="A1482" s="7">
        <f>MAX($A$1:$A1481)+1</f>
        <v>1481</v>
      </c>
      <c r="B1482" s="2" t="s">
        <v>171</v>
      </c>
      <c r="C1482" s="2" t="s">
        <v>504</v>
      </c>
      <c r="D1482" s="2" t="s">
        <v>32</v>
      </c>
      <c r="E1482" s="7" t="s">
        <v>363</v>
      </c>
      <c r="F1482" s="4">
        <v>48.950233459472599</v>
      </c>
      <c r="G1482" s="18">
        <v>-125.155548095703</v>
      </c>
      <c r="H1482" s="5" t="s">
        <v>11</v>
      </c>
      <c r="I1482" s="2">
        <v>5</v>
      </c>
      <c r="J1482" s="2">
        <v>240</v>
      </c>
      <c r="K1482" s="6">
        <v>0.43402777777777773</v>
      </c>
      <c r="L1482" s="2" t="s">
        <v>172</v>
      </c>
      <c r="M1482" s="2">
        <v>10</v>
      </c>
      <c r="N1482" s="2">
        <v>1</v>
      </c>
      <c r="O1482" s="2">
        <v>2</v>
      </c>
      <c r="P1482" s="2" t="s">
        <v>237</v>
      </c>
      <c r="Q1482" s="7" t="s">
        <v>51</v>
      </c>
      <c r="R1482" s="4" t="s">
        <v>368</v>
      </c>
      <c r="S1482" s="20">
        <v>1</v>
      </c>
      <c r="T1482" s="2">
        <v>0</v>
      </c>
      <c r="AG1482" s="2">
        <v>1</v>
      </c>
    </row>
    <row r="1483" spans="1:33">
      <c r="A1483" s="7">
        <f>MAX($A$1:$A1482)+1</f>
        <v>1482</v>
      </c>
      <c r="B1483" s="2" t="s">
        <v>171</v>
      </c>
      <c r="C1483" s="2" t="s">
        <v>504</v>
      </c>
      <c r="D1483" s="2" t="s">
        <v>32</v>
      </c>
      <c r="E1483" s="7" t="s">
        <v>363</v>
      </c>
      <c r="F1483" s="4">
        <v>48.950233459472599</v>
      </c>
      <c r="G1483" s="18">
        <v>-125.155548095703</v>
      </c>
      <c r="H1483" s="5" t="s">
        <v>11</v>
      </c>
      <c r="I1483" s="2">
        <v>5</v>
      </c>
      <c r="J1483" s="2">
        <v>240</v>
      </c>
      <c r="K1483" s="6">
        <v>0.43402777777777773</v>
      </c>
      <c r="L1483" s="2" t="s">
        <v>172</v>
      </c>
      <c r="M1483" s="2">
        <v>10</v>
      </c>
      <c r="N1483" s="2">
        <v>1</v>
      </c>
      <c r="O1483" s="2">
        <v>2</v>
      </c>
      <c r="P1483" s="2" t="s">
        <v>232</v>
      </c>
      <c r="Q1483" s="7" t="s">
        <v>43</v>
      </c>
      <c r="R1483" s="4" t="s">
        <v>324</v>
      </c>
      <c r="S1483" s="20">
        <v>12</v>
      </c>
      <c r="T1483" s="2">
        <v>0</v>
      </c>
      <c r="AA1483" s="2">
        <v>3</v>
      </c>
      <c r="AB1483" s="2">
        <v>3</v>
      </c>
      <c r="AC1483" s="2">
        <v>5</v>
      </c>
      <c r="AD1483" s="2">
        <v>1</v>
      </c>
    </row>
    <row r="1484" spans="1:33">
      <c r="A1484" s="7">
        <f>MAX($A$1:$A1483)+1</f>
        <v>1483</v>
      </c>
      <c r="B1484" s="2" t="s">
        <v>171</v>
      </c>
      <c r="C1484" s="2" t="s">
        <v>504</v>
      </c>
      <c r="D1484" s="2" t="s">
        <v>32</v>
      </c>
      <c r="E1484" s="7" t="s">
        <v>363</v>
      </c>
      <c r="F1484" s="4">
        <v>48.950233459472599</v>
      </c>
      <c r="G1484" s="18">
        <v>-125.155548095703</v>
      </c>
      <c r="H1484" s="5" t="s">
        <v>11</v>
      </c>
      <c r="I1484" s="2">
        <v>5</v>
      </c>
      <c r="J1484" s="2">
        <v>240</v>
      </c>
      <c r="K1484" s="6">
        <v>0.43402777777777773</v>
      </c>
      <c r="L1484" s="2" t="s">
        <v>172</v>
      </c>
      <c r="M1484" s="2">
        <v>10</v>
      </c>
      <c r="N1484" s="2">
        <v>1</v>
      </c>
      <c r="O1484" s="2">
        <v>2</v>
      </c>
      <c r="P1484" s="2" t="s">
        <v>515</v>
      </c>
      <c r="Q1484" s="7" t="s">
        <v>150</v>
      </c>
      <c r="R1484" s="4" t="s">
        <v>453</v>
      </c>
      <c r="S1484" s="20">
        <v>1</v>
      </c>
      <c r="T1484" s="2">
        <v>0</v>
      </c>
      <c r="AE1484" s="2">
        <v>1</v>
      </c>
    </row>
    <row r="1485" spans="1:33">
      <c r="A1485" s="7">
        <f>MAX($A$1:$A1484)+1</f>
        <v>1484</v>
      </c>
      <c r="B1485" s="2" t="s">
        <v>171</v>
      </c>
      <c r="C1485" s="2" t="s">
        <v>504</v>
      </c>
      <c r="D1485" s="2" t="s">
        <v>32</v>
      </c>
      <c r="E1485" s="7" t="s">
        <v>363</v>
      </c>
      <c r="F1485" s="4">
        <v>48.950233459472599</v>
      </c>
      <c r="G1485" s="18">
        <v>-125.155548095703</v>
      </c>
      <c r="H1485" s="5" t="s">
        <v>11</v>
      </c>
      <c r="I1485" s="2">
        <v>5</v>
      </c>
      <c r="J1485" s="2">
        <v>240</v>
      </c>
      <c r="K1485" s="6">
        <v>0.43402777777777773</v>
      </c>
      <c r="L1485" s="2" t="s">
        <v>172</v>
      </c>
      <c r="M1485" s="2">
        <v>10</v>
      </c>
      <c r="N1485" s="2">
        <v>1</v>
      </c>
      <c r="O1485" s="2">
        <v>2</v>
      </c>
      <c r="P1485" s="2" t="s">
        <v>234</v>
      </c>
      <c r="Q1485" s="7" t="s">
        <v>45</v>
      </c>
      <c r="R1485" s="4" t="s">
        <v>353</v>
      </c>
      <c r="S1485" s="20">
        <v>2</v>
      </c>
      <c r="T1485" s="2">
        <v>0</v>
      </c>
      <c r="AA1485" s="2">
        <v>1</v>
      </c>
      <c r="AB1485" s="2">
        <v>1</v>
      </c>
    </row>
    <row r="1486" spans="1:33">
      <c r="A1486" s="7">
        <f>MAX($A$1:$A1485)+1</f>
        <v>1485</v>
      </c>
      <c r="B1486" s="2" t="s">
        <v>171</v>
      </c>
      <c r="C1486" s="2" t="s">
        <v>504</v>
      </c>
      <c r="D1486" s="2" t="s">
        <v>32</v>
      </c>
      <c r="E1486" s="7" t="s">
        <v>363</v>
      </c>
      <c r="F1486" s="4">
        <v>48.950233459472599</v>
      </c>
      <c r="G1486" s="18">
        <v>-125.155548095703</v>
      </c>
      <c r="H1486" s="5" t="s">
        <v>11</v>
      </c>
      <c r="I1486" s="2">
        <v>5</v>
      </c>
      <c r="J1486" s="2">
        <v>240</v>
      </c>
      <c r="K1486" s="6">
        <v>0.43402777777777773</v>
      </c>
      <c r="L1486" s="2" t="s">
        <v>172</v>
      </c>
      <c r="M1486" s="2">
        <v>10</v>
      </c>
      <c r="N1486" s="2">
        <v>1</v>
      </c>
      <c r="O1486" s="2">
        <v>2</v>
      </c>
      <c r="P1486" s="2" t="s">
        <v>236</v>
      </c>
      <c r="Q1486" s="7" t="s">
        <v>44</v>
      </c>
      <c r="R1486" s="4" t="s">
        <v>369</v>
      </c>
      <c r="S1486" s="20">
        <v>1</v>
      </c>
      <c r="T1486" s="2">
        <v>0</v>
      </c>
      <c r="Z1486" s="2">
        <v>1</v>
      </c>
    </row>
    <row r="1487" spans="1:33">
      <c r="A1487" s="7">
        <f>MAX($A$1:$A1486)+1</f>
        <v>1486</v>
      </c>
      <c r="B1487" s="2" t="s">
        <v>171</v>
      </c>
      <c r="C1487" s="2" t="s">
        <v>504</v>
      </c>
      <c r="D1487" s="2" t="s">
        <v>32</v>
      </c>
      <c r="E1487" s="7" t="s">
        <v>363</v>
      </c>
      <c r="F1487" s="4">
        <v>48.950233459472599</v>
      </c>
      <c r="G1487" s="18">
        <v>-125.155548095703</v>
      </c>
      <c r="H1487" s="5" t="s">
        <v>11</v>
      </c>
      <c r="I1487" s="2">
        <v>5</v>
      </c>
      <c r="J1487" s="2">
        <v>240</v>
      </c>
      <c r="K1487" s="6">
        <v>0.43402777777777773</v>
      </c>
      <c r="L1487" s="2" t="s">
        <v>172</v>
      </c>
      <c r="M1487" s="2">
        <v>10</v>
      </c>
      <c r="N1487" s="2">
        <v>1</v>
      </c>
      <c r="O1487" s="2">
        <v>2</v>
      </c>
      <c r="P1487" s="2" t="s">
        <v>231</v>
      </c>
      <c r="Q1487" s="7" t="s">
        <v>48</v>
      </c>
      <c r="R1487" s="4" t="s">
        <v>365</v>
      </c>
      <c r="S1487" s="20">
        <v>1</v>
      </c>
      <c r="T1487" s="2">
        <v>0</v>
      </c>
      <c r="AB1487" s="2">
        <v>1</v>
      </c>
    </row>
    <row r="1488" spans="1:33">
      <c r="A1488" s="7">
        <f>MAX($A$1:$A1487)+1</f>
        <v>1487</v>
      </c>
      <c r="B1488" s="2" t="s">
        <v>171</v>
      </c>
      <c r="C1488" s="2" t="s">
        <v>504</v>
      </c>
      <c r="D1488" s="2" t="s">
        <v>32</v>
      </c>
      <c r="E1488" s="7" t="s">
        <v>363</v>
      </c>
      <c r="F1488" s="4">
        <v>48.950233459472599</v>
      </c>
      <c r="G1488" s="18">
        <v>-125.155548095703</v>
      </c>
      <c r="H1488" s="5" t="s">
        <v>11</v>
      </c>
      <c r="I1488" s="2">
        <v>5</v>
      </c>
      <c r="J1488" s="2">
        <v>240</v>
      </c>
      <c r="K1488" s="6">
        <v>0.43402777777777773</v>
      </c>
      <c r="L1488" s="2" t="s">
        <v>172</v>
      </c>
      <c r="M1488" s="2">
        <v>10</v>
      </c>
      <c r="N1488" s="2">
        <v>2</v>
      </c>
      <c r="O1488" s="2">
        <v>2</v>
      </c>
      <c r="P1488" s="2" t="s">
        <v>241</v>
      </c>
      <c r="Q1488" s="7" t="s">
        <v>63</v>
      </c>
      <c r="R1488" s="4" t="s">
        <v>294</v>
      </c>
      <c r="S1488" s="20">
        <v>241</v>
      </c>
      <c r="T1488" s="2">
        <v>241</v>
      </c>
    </row>
    <row r="1489" spans="1:32">
      <c r="A1489" s="7">
        <f>MAX($A$1:$A1488)+1</f>
        <v>1488</v>
      </c>
      <c r="B1489" s="2" t="s">
        <v>171</v>
      </c>
      <c r="C1489" s="2" t="s">
        <v>504</v>
      </c>
      <c r="D1489" s="2" t="s">
        <v>32</v>
      </c>
      <c r="E1489" s="7" t="s">
        <v>363</v>
      </c>
      <c r="F1489" s="4">
        <v>48.950233459472599</v>
      </c>
      <c r="G1489" s="18">
        <v>-125.155548095703</v>
      </c>
      <c r="H1489" s="5" t="s">
        <v>11</v>
      </c>
      <c r="I1489" s="2">
        <v>5</v>
      </c>
      <c r="J1489" s="2">
        <v>240</v>
      </c>
      <c r="K1489" s="6">
        <v>0.43402777777777773</v>
      </c>
      <c r="L1489" s="2" t="s">
        <v>172</v>
      </c>
      <c r="M1489" s="2">
        <v>10</v>
      </c>
      <c r="N1489" s="2">
        <v>2</v>
      </c>
      <c r="O1489" s="2">
        <v>2</v>
      </c>
      <c r="P1489" s="2" t="s">
        <v>247</v>
      </c>
      <c r="Q1489" s="7" t="s">
        <v>64</v>
      </c>
      <c r="R1489" s="4" t="s">
        <v>293</v>
      </c>
      <c r="S1489" s="20">
        <v>8</v>
      </c>
      <c r="T1489" s="2">
        <v>8</v>
      </c>
    </row>
    <row r="1490" spans="1:32">
      <c r="A1490" s="7">
        <f>MAX($A$1:$A1489)+1</f>
        <v>1489</v>
      </c>
      <c r="B1490" s="2" t="s">
        <v>171</v>
      </c>
      <c r="C1490" s="2" t="s">
        <v>504</v>
      </c>
      <c r="D1490" s="2" t="s">
        <v>32</v>
      </c>
      <c r="E1490" s="7" t="s">
        <v>363</v>
      </c>
      <c r="F1490" s="4">
        <v>48.950233459472599</v>
      </c>
      <c r="G1490" s="18">
        <v>-125.155548095703</v>
      </c>
      <c r="H1490" s="5" t="s">
        <v>11</v>
      </c>
      <c r="I1490" s="2">
        <v>5</v>
      </c>
      <c r="J1490" s="2">
        <v>240</v>
      </c>
      <c r="K1490" s="6">
        <v>0.43402777777777773</v>
      </c>
      <c r="L1490" s="2" t="s">
        <v>172</v>
      </c>
      <c r="M1490" s="2">
        <v>10</v>
      </c>
      <c r="N1490" s="2">
        <v>2</v>
      </c>
      <c r="O1490" s="2">
        <v>2</v>
      </c>
      <c r="P1490" s="2" t="s">
        <v>239</v>
      </c>
      <c r="Q1490" s="7" t="s">
        <v>80</v>
      </c>
      <c r="R1490" s="4" t="s">
        <v>300</v>
      </c>
      <c r="S1490" s="20">
        <v>20</v>
      </c>
      <c r="T1490" s="2">
        <v>20</v>
      </c>
    </row>
    <row r="1491" spans="1:32">
      <c r="A1491" s="7">
        <f>MAX($A$1:$A1490)+1</f>
        <v>1490</v>
      </c>
      <c r="B1491" s="2" t="s">
        <v>171</v>
      </c>
      <c r="C1491" s="2" t="s">
        <v>504</v>
      </c>
      <c r="D1491" s="2" t="s">
        <v>32</v>
      </c>
      <c r="E1491" s="7" t="s">
        <v>363</v>
      </c>
      <c r="F1491" s="4">
        <v>48.950233459472599</v>
      </c>
      <c r="G1491" s="18">
        <v>-125.155548095703</v>
      </c>
      <c r="H1491" s="5" t="s">
        <v>11</v>
      </c>
      <c r="I1491" s="2">
        <v>5</v>
      </c>
      <c r="J1491" s="2">
        <v>240</v>
      </c>
      <c r="K1491" s="6">
        <v>0.43402777777777773</v>
      </c>
      <c r="L1491" s="2" t="s">
        <v>172</v>
      </c>
      <c r="M1491" s="2">
        <v>10</v>
      </c>
      <c r="N1491" s="2">
        <v>2</v>
      </c>
      <c r="O1491" s="2">
        <v>2</v>
      </c>
      <c r="P1491" s="2" t="s">
        <v>238</v>
      </c>
      <c r="Q1491" s="7" t="s">
        <v>69</v>
      </c>
      <c r="R1491" s="4" t="s">
        <v>313</v>
      </c>
      <c r="S1491" s="20">
        <v>15</v>
      </c>
      <c r="T1491" s="2">
        <v>15</v>
      </c>
    </row>
    <row r="1492" spans="1:32">
      <c r="A1492" s="7">
        <f>MAX($A$1:$A1491)+1</f>
        <v>1491</v>
      </c>
      <c r="B1492" s="2" t="s">
        <v>171</v>
      </c>
      <c r="C1492" s="2" t="s">
        <v>504</v>
      </c>
      <c r="D1492" s="2" t="s">
        <v>32</v>
      </c>
      <c r="E1492" s="7" t="s">
        <v>363</v>
      </c>
      <c r="F1492" s="4">
        <v>48.950233459472599</v>
      </c>
      <c r="G1492" s="18">
        <v>-125.155548095703</v>
      </c>
      <c r="H1492" s="5" t="s">
        <v>11</v>
      </c>
      <c r="I1492" s="2">
        <v>5</v>
      </c>
      <c r="J1492" s="2">
        <v>240</v>
      </c>
      <c r="K1492" s="6">
        <v>0.43402777777777773</v>
      </c>
      <c r="L1492" s="2" t="s">
        <v>172</v>
      </c>
      <c r="M1492" s="2">
        <v>10</v>
      </c>
      <c r="N1492" s="2">
        <v>2</v>
      </c>
      <c r="O1492" s="2">
        <v>2</v>
      </c>
      <c r="P1492" s="2" t="s">
        <v>244</v>
      </c>
      <c r="Q1492" s="7" t="s">
        <v>65</v>
      </c>
      <c r="R1492" s="4" t="s">
        <v>307</v>
      </c>
      <c r="S1492" s="20">
        <v>95</v>
      </c>
      <c r="T1492" s="2">
        <v>95</v>
      </c>
    </row>
    <row r="1493" spans="1:32">
      <c r="A1493" s="7">
        <f>MAX($A$1:$A1492)+1</f>
        <v>1492</v>
      </c>
      <c r="B1493" s="2" t="s">
        <v>171</v>
      </c>
      <c r="C1493" s="2" t="s">
        <v>504</v>
      </c>
      <c r="D1493" s="2" t="s">
        <v>32</v>
      </c>
      <c r="E1493" s="7" t="s">
        <v>363</v>
      </c>
      <c r="F1493" s="4">
        <v>48.950233459472599</v>
      </c>
      <c r="G1493" s="18">
        <v>-125.155548095703</v>
      </c>
      <c r="H1493" s="5" t="s">
        <v>11</v>
      </c>
      <c r="I1493" s="2">
        <v>5</v>
      </c>
      <c r="J1493" s="2">
        <v>240</v>
      </c>
      <c r="K1493" s="6">
        <v>0.43402777777777773</v>
      </c>
      <c r="L1493" s="2" t="s">
        <v>172</v>
      </c>
      <c r="M1493" s="2">
        <v>10</v>
      </c>
      <c r="N1493" s="2">
        <v>2</v>
      </c>
      <c r="O1493" s="2">
        <v>2</v>
      </c>
      <c r="P1493" s="2" t="s">
        <v>248</v>
      </c>
      <c r="Q1493" s="7" t="s">
        <v>78</v>
      </c>
      <c r="R1493" s="4" t="s">
        <v>349</v>
      </c>
      <c r="S1493" s="20">
        <v>9</v>
      </c>
      <c r="T1493" s="2">
        <v>0</v>
      </c>
      <c r="V1493" s="2">
        <v>1</v>
      </c>
      <c r="W1493" s="2">
        <v>1</v>
      </c>
      <c r="X1493" s="2">
        <v>4</v>
      </c>
      <c r="Y1493" s="2">
        <v>3</v>
      </c>
    </row>
    <row r="1494" spans="1:32">
      <c r="A1494" s="7">
        <f>MAX($A$1:$A1493)+1</f>
        <v>1493</v>
      </c>
      <c r="B1494" s="2" t="s">
        <v>171</v>
      </c>
      <c r="C1494" s="2" t="s">
        <v>504</v>
      </c>
      <c r="D1494" s="2" t="s">
        <v>32</v>
      </c>
      <c r="E1494" s="7" t="s">
        <v>363</v>
      </c>
      <c r="F1494" s="4">
        <v>48.950233459472599</v>
      </c>
      <c r="G1494" s="18">
        <v>-125.155548095703</v>
      </c>
      <c r="H1494" s="5" t="s">
        <v>11</v>
      </c>
      <c r="I1494" s="2">
        <v>5</v>
      </c>
      <c r="J1494" s="2">
        <v>240</v>
      </c>
      <c r="K1494" s="6">
        <v>0.43402777777777773</v>
      </c>
      <c r="L1494" s="2" t="s">
        <v>172</v>
      </c>
      <c r="M1494" s="2">
        <v>10</v>
      </c>
      <c r="N1494" s="2">
        <v>2</v>
      </c>
      <c r="O1494" s="2">
        <v>2</v>
      </c>
      <c r="P1494" s="2" t="s">
        <v>296</v>
      </c>
      <c r="Q1494" s="7" t="s">
        <v>75</v>
      </c>
      <c r="R1494" s="4" t="s">
        <v>297</v>
      </c>
      <c r="S1494" s="20">
        <v>46</v>
      </c>
      <c r="T1494" s="2">
        <v>46</v>
      </c>
    </row>
    <row r="1495" spans="1:32">
      <c r="A1495" s="7">
        <f>MAX($A$1:$A1494)+1</f>
        <v>1494</v>
      </c>
      <c r="B1495" s="2" t="s">
        <v>171</v>
      </c>
      <c r="C1495" s="2" t="s">
        <v>504</v>
      </c>
      <c r="D1495" s="2" t="s">
        <v>32</v>
      </c>
      <c r="E1495" s="7" t="s">
        <v>363</v>
      </c>
      <c r="F1495" s="4">
        <v>48.950233459472599</v>
      </c>
      <c r="G1495" s="18">
        <v>-125.155548095703</v>
      </c>
      <c r="H1495" s="5" t="s">
        <v>11</v>
      </c>
      <c r="I1495" s="2">
        <v>5</v>
      </c>
      <c r="J1495" s="2">
        <v>240</v>
      </c>
      <c r="K1495" s="6">
        <v>0.43402777777777773</v>
      </c>
      <c r="L1495" s="2" t="s">
        <v>172</v>
      </c>
      <c r="M1495" s="2">
        <v>10</v>
      </c>
      <c r="N1495" s="2">
        <v>2</v>
      </c>
      <c r="O1495" s="2">
        <v>2</v>
      </c>
      <c r="P1495" s="2" t="s">
        <v>250</v>
      </c>
      <c r="Q1495" s="7" t="s">
        <v>46</v>
      </c>
      <c r="R1495" s="4" t="s">
        <v>295</v>
      </c>
      <c r="S1495" s="20">
        <v>8</v>
      </c>
      <c r="T1495" s="2">
        <v>0</v>
      </c>
      <c r="U1495" s="2">
        <v>2</v>
      </c>
      <c r="V1495" s="2">
        <v>5</v>
      </c>
      <c r="W1495" s="2">
        <v>1</v>
      </c>
    </row>
    <row r="1496" spans="1:32">
      <c r="A1496" s="7">
        <f>MAX($A$1:$A1495)+1</f>
        <v>1495</v>
      </c>
      <c r="B1496" s="2" t="s">
        <v>171</v>
      </c>
      <c r="C1496" s="2" t="s">
        <v>504</v>
      </c>
      <c r="D1496" s="2" t="s">
        <v>32</v>
      </c>
      <c r="E1496" s="7" t="s">
        <v>363</v>
      </c>
      <c r="F1496" s="4">
        <v>48.950233459472599</v>
      </c>
      <c r="G1496" s="18">
        <v>-125.155548095703</v>
      </c>
      <c r="H1496" s="5" t="s">
        <v>11</v>
      </c>
      <c r="I1496" s="2">
        <v>5</v>
      </c>
      <c r="J1496" s="2">
        <v>240</v>
      </c>
      <c r="K1496" s="6">
        <v>0.43402777777777773</v>
      </c>
      <c r="L1496" s="2" t="s">
        <v>172</v>
      </c>
      <c r="M1496" s="2">
        <v>10</v>
      </c>
      <c r="N1496" s="2">
        <v>2</v>
      </c>
      <c r="O1496" s="2">
        <v>2</v>
      </c>
      <c r="P1496" s="2" t="s">
        <v>338</v>
      </c>
      <c r="Q1496" s="7" t="s">
        <v>101</v>
      </c>
      <c r="R1496" s="4" t="s">
        <v>339</v>
      </c>
      <c r="S1496" s="20">
        <v>10</v>
      </c>
      <c r="T1496" s="2">
        <v>0</v>
      </c>
      <c r="U1496" s="2">
        <v>3</v>
      </c>
      <c r="V1496" s="2">
        <v>6</v>
      </c>
      <c r="W1496" s="2">
        <v>1</v>
      </c>
    </row>
    <row r="1497" spans="1:32">
      <c r="A1497" s="7">
        <f>MAX($A$1:$A1496)+1</f>
        <v>1496</v>
      </c>
      <c r="B1497" s="2" t="s">
        <v>171</v>
      </c>
      <c r="C1497" s="2" t="s">
        <v>504</v>
      </c>
      <c r="D1497" s="2" t="s">
        <v>32</v>
      </c>
      <c r="E1497" s="7" t="s">
        <v>363</v>
      </c>
      <c r="F1497" s="4">
        <v>48.950233459472599</v>
      </c>
      <c r="G1497" s="18">
        <v>-125.155548095703</v>
      </c>
      <c r="H1497" s="5" t="s">
        <v>11</v>
      </c>
      <c r="I1497" s="2">
        <v>5</v>
      </c>
      <c r="J1497" s="2">
        <v>240</v>
      </c>
      <c r="K1497" s="6">
        <v>0.43402777777777773</v>
      </c>
      <c r="L1497" s="2" t="s">
        <v>172</v>
      </c>
      <c r="M1497" s="2">
        <v>10</v>
      </c>
      <c r="N1497" s="2">
        <v>2</v>
      </c>
      <c r="O1497" s="2">
        <v>2</v>
      </c>
      <c r="P1497" s="2" t="s">
        <v>243</v>
      </c>
      <c r="Q1497" s="7" t="s">
        <v>85</v>
      </c>
      <c r="R1497" s="4" t="s">
        <v>312</v>
      </c>
      <c r="S1497" s="20">
        <v>7</v>
      </c>
      <c r="T1497" s="2">
        <v>7</v>
      </c>
    </row>
    <row r="1498" spans="1:32">
      <c r="A1498" s="7">
        <f>MAX($A$1:$A1497)+1</f>
        <v>1497</v>
      </c>
      <c r="B1498" s="2" t="s">
        <v>171</v>
      </c>
      <c r="C1498" s="2" t="s">
        <v>504</v>
      </c>
      <c r="D1498" s="2" t="s">
        <v>32</v>
      </c>
      <c r="E1498" s="7" t="s">
        <v>363</v>
      </c>
      <c r="F1498" s="4">
        <v>48.950233459472599</v>
      </c>
      <c r="G1498" s="18">
        <v>-125.155548095703</v>
      </c>
      <c r="H1498" s="5" t="s">
        <v>11</v>
      </c>
      <c r="I1498" s="2">
        <v>5</v>
      </c>
      <c r="J1498" s="2">
        <v>240</v>
      </c>
      <c r="K1498" s="6">
        <v>0.43402777777777773</v>
      </c>
      <c r="L1498" s="2" t="s">
        <v>172</v>
      </c>
      <c r="M1498" s="2">
        <v>10</v>
      </c>
      <c r="N1498" s="2">
        <v>2</v>
      </c>
      <c r="O1498" s="2">
        <v>2</v>
      </c>
      <c r="P1498" s="2" t="s">
        <v>230</v>
      </c>
      <c r="Q1498" s="7" t="s">
        <v>42</v>
      </c>
      <c r="R1498" s="4" t="s">
        <v>321</v>
      </c>
      <c r="S1498" s="20">
        <v>5</v>
      </c>
      <c r="T1498" s="2">
        <v>0</v>
      </c>
      <c r="U1498" s="2">
        <v>1</v>
      </c>
      <c r="V1498" s="2">
        <v>3</v>
      </c>
      <c r="W1498" s="2">
        <v>1</v>
      </c>
    </row>
    <row r="1499" spans="1:32">
      <c r="A1499" s="7">
        <f>MAX($A$1:$A1498)+1</f>
        <v>1498</v>
      </c>
      <c r="B1499" s="2" t="s">
        <v>171</v>
      </c>
      <c r="C1499" s="2" t="s">
        <v>504</v>
      </c>
      <c r="D1499" s="2" t="s">
        <v>32</v>
      </c>
      <c r="E1499" s="7" t="s">
        <v>363</v>
      </c>
      <c r="F1499" s="4">
        <v>48.950233459472599</v>
      </c>
      <c r="G1499" s="18">
        <v>-125.155548095703</v>
      </c>
      <c r="H1499" s="5" t="s">
        <v>11</v>
      </c>
      <c r="I1499" s="2">
        <v>5</v>
      </c>
      <c r="J1499" s="2">
        <v>240</v>
      </c>
      <c r="K1499" s="6">
        <v>0.43402777777777773</v>
      </c>
      <c r="L1499" s="2" t="s">
        <v>172</v>
      </c>
      <c r="M1499" s="2">
        <v>10</v>
      </c>
      <c r="N1499" s="2">
        <v>2</v>
      </c>
      <c r="O1499" s="2">
        <v>2</v>
      </c>
      <c r="P1499" s="2" t="s">
        <v>350</v>
      </c>
      <c r="Q1499" s="7" t="s">
        <v>83</v>
      </c>
      <c r="R1499" s="4" t="s">
        <v>351</v>
      </c>
      <c r="S1499" s="20">
        <v>3</v>
      </c>
      <c r="T1499" s="2">
        <v>3</v>
      </c>
    </row>
    <row r="1500" spans="1:32">
      <c r="A1500" s="7">
        <f>MAX($A$1:$A1499)+1</f>
        <v>1499</v>
      </c>
      <c r="B1500" s="2" t="s">
        <v>171</v>
      </c>
      <c r="C1500" s="2" t="s">
        <v>504</v>
      </c>
      <c r="D1500" s="2" t="s">
        <v>32</v>
      </c>
      <c r="E1500" s="7" t="s">
        <v>363</v>
      </c>
      <c r="F1500" s="4">
        <v>48.950233459472599</v>
      </c>
      <c r="G1500" s="18">
        <v>-125.155548095703</v>
      </c>
      <c r="H1500" s="5" t="s">
        <v>11</v>
      </c>
      <c r="I1500" s="2">
        <v>5</v>
      </c>
      <c r="J1500" s="2">
        <v>240</v>
      </c>
      <c r="K1500" s="6">
        <v>0.43402777777777773</v>
      </c>
      <c r="L1500" s="2" t="s">
        <v>172</v>
      </c>
      <c r="M1500" s="2">
        <v>10</v>
      </c>
      <c r="N1500" s="2">
        <v>2</v>
      </c>
      <c r="O1500" s="2">
        <v>2</v>
      </c>
      <c r="P1500" s="2" t="s">
        <v>316</v>
      </c>
      <c r="Q1500" s="7" t="s">
        <v>123</v>
      </c>
      <c r="R1500" s="4" t="s">
        <v>317</v>
      </c>
      <c r="S1500" s="20">
        <v>3</v>
      </c>
      <c r="T1500" s="2">
        <v>3</v>
      </c>
    </row>
    <row r="1501" spans="1:32">
      <c r="A1501" s="7">
        <f>MAX($A$1:$A1500)+1</f>
        <v>1500</v>
      </c>
      <c r="B1501" s="2" t="s">
        <v>171</v>
      </c>
      <c r="C1501" s="2" t="s">
        <v>504</v>
      </c>
      <c r="D1501" s="2" t="s">
        <v>32</v>
      </c>
      <c r="E1501" s="7" t="s">
        <v>363</v>
      </c>
      <c r="F1501" s="4">
        <v>48.950233459472599</v>
      </c>
      <c r="G1501" s="18">
        <v>-125.155548095703</v>
      </c>
      <c r="H1501" s="5" t="s">
        <v>11</v>
      </c>
      <c r="I1501" s="2">
        <v>5</v>
      </c>
      <c r="J1501" s="2">
        <v>240</v>
      </c>
      <c r="K1501" s="6">
        <v>0.43402777777777773</v>
      </c>
      <c r="L1501" s="2" t="s">
        <v>172</v>
      </c>
      <c r="M1501" s="2">
        <v>10</v>
      </c>
      <c r="N1501" s="2">
        <v>2</v>
      </c>
      <c r="O1501" s="2">
        <v>2</v>
      </c>
      <c r="P1501" s="2" t="s">
        <v>246</v>
      </c>
      <c r="Q1501" s="7" t="s">
        <v>66</v>
      </c>
      <c r="R1501" s="4" t="s">
        <v>318</v>
      </c>
      <c r="S1501" s="20">
        <v>12</v>
      </c>
      <c r="T1501" s="2">
        <v>0</v>
      </c>
      <c r="U1501" s="2">
        <v>8</v>
      </c>
      <c r="V1501" s="2">
        <v>4</v>
      </c>
    </row>
    <row r="1502" spans="1:32">
      <c r="A1502" s="7">
        <f>MAX($A$1:$A1501)+1</f>
        <v>1501</v>
      </c>
      <c r="B1502" s="2" t="s">
        <v>171</v>
      </c>
      <c r="C1502" s="2" t="s">
        <v>504</v>
      </c>
      <c r="D1502" s="2" t="s">
        <v>32</v>
      </c>
      <c r="E1502" s="7" t="s">
        <v>363</v>
      </c>
      <c r="F1502" s="4">
        <v>48.950233459472599</v>
      </c>
      <c r="G1502" s="18">
        <v>-125.155548095703</v>
      </c>
      <c r="H1502" s="5" t="s">
        <v>11</v>
      </c>
      <c r="I1502" s="2">
        <v>5</v>
      </c>
      <c r="J1502" s="2">
        <v>240</v>
      </c>
      <c r="K1502" s="6">
        <v>0.43402777777777773</v>
      </c>
      <c r="L1502" s="2" t="s">
        <v>172</v>
      </c>
      <c r="M1502" s="2">
        <v>10</v>
      </c>
      <c r="N1502" s="2">
        <v>2</v>
      </c>
      <c r="O1502" s="2">
        <v>2</v>
      </c>
      <c r="P1502" s="2" t="s">
        <v>331</v>
      </c>
      <c r="Q1502" s="7" t="s">
        <v>67</v>
      </c>
      <c r="R1502" s="4" t="s">
        <v>332</v>
      </c>
      <c r="S1502" s="20">
        <v>3</v>
      </c>
      <c r="T1502" s="2">
        <v>3</v>
      </c>
    </row>
    <row r="1503" spans="1:32">
      <c r="A1503" s="7">
        <f>MAX($A$1:$A1502)+1</f>
        <v>1502</v>
      </c>
      <c r="B1503" s="2" t="s">
        <v>171</v>
      </c>
      <c r="C1503" s="2" t="s">
        <v>504</v>
      </c>
      <c r="D1503" s="2" t="s">
        <v>32</v>
      </c>
      <c r="E1503" s="7" t="s">
        <v>363</v>
      </c>
      <c r="F1503" s="4">
        <v>48.950233459472599</v>
      </c>
      <c r="G1503" s="18">
        <v>-125.155548095703</v>
      </c>
      <c r="H1503" s="5" t="s">
        <v>11</v>
      </c>
      <c r="I1503" s="2">
        <v>5</v>
      </c>
      <c r="J1503" s="2">
        <v>240</v>
      </c>
      <c r="K1503" s="6">
        <v>0.43402777777777773</v>
      </c>
      <c r="L1503" s="2" t="s">
        <v>172</v>
      </c>
      <c r="M1503" s="2">
        <v>10</v>
      </c>
      <c r="N1503" s="2">
        <v>2</v>
      </c>
      <c r="O1503" s="2">
        <v>2</v>
      </c>
      <c r="P1503" s="2" t="s">
        <v>511</v>
      </c>
      <c r="Q1503" s="7" t="s">
        <v>512</v>
      </c>
      <c r="R1503" s="4" t="s">
        <v>445</v>
      </c>
      <c r="S1503" s="20">
        <v>2</v>
      </c>
      <c r="T1503" s="2">
        <v>2</v>
      </c>
    </row>
    <row r="1504" spans="1:32">
      <c r="A1504" s="7">
        <f>MAX($A$1:$A1503)+1</f>
        <v>1503</v>
      </c>
      <c r="B1504" s="2" t="s">
        <v>171</v>
      </c>
      <c r="C1504" s="2" t="s">
        <v>504</v>
      </c>
      <c r="D1504" s="2" t="s">
        <v>32</v>
      </c>
      <c r="E1504" s="7" t="s">
        <v>363</v>
      </c>
      <c r="F1504" s="4">
        <v>48.950233459472599</v>
      </c>
      <c r="G1504" s="18">
        <v>-125.155548095703</v>
      </c>
      <c r="H1504" s="5" t="s">
        <v>11</v>
      </c>
      <c r="I1504" s="2">
        <v>5</v>
      </c>
      <c r="J1504" s="2">
        <v>240</v>
      </c>
      <c r="K1504" s="6">
        <v>0.43402777777777773</v>
      </c>
      <c r="L1504" s="2" t="s">
        <v>172</v>
      </c>
      <c r="M1504" s="2">
        <v>10</v>
      </c>
      <c r="N1504" s="2">
        <v>2</v>
      </c>
      <c r="O1504" s="2">
        <v>2</v>
      </c>
      <c r="P1504" s="2" t="s">
        <v>434</v>
      </c>
      <c r="Q1504" s="7" t="s">
        <v>60</v>
      </c>
      <c r="R1504" s="4" t="s">
        <v>435</v>
      </c>
      <c r="S1504" s="20">
        <v>1</v>
      </c>
      <c r="T1504" s="2">
        <v>0</v>
      </c>
      <c r="AF1504" s="2">
        <v>1</v>
      </c>
    </row>
    <row r="1505" spans="1:33">
      <c r="A1505" s="7">
        <f>MAX($A$1:$A1504)+1</f>
        <v>1504</v>
      </c>
      <c r="B1505" s="2" t="s">
        <v>171</v>
      </c>
      <c r="C1505" s="2" t="s">
        <v>504</v>
      </c>
      <c r="D1505" s="2" t="s">
        <v>32</v>
      </c>
      <c r="E1505" s="7" t="s">
        <v>363</v>
      </c>
      <c r="F1505" s="4">
        <v>48.950233459472599</v>
      </c>
      <c r="G1505" s="18">
        <v>-125.155548095703</v>
      </c>
      <c r="H1505" s="5" t="s">
        <v>11</v>
      </c>
      <c r="I1505" s="2">
        <v>5</v>
      </c>
      <c r="J1505" s="2">
        <v>240</v>
      </c>
      <c r="K1505" s="6">
        <v>0.43402777777777773</v>
      </c>
      <c r="L1505" s="2" t="s">
        <v>172</v>
      </c>
      <c r="M1505" s="2">
        <v>10</v>
      </c>
      <c r="N1505" s="2">
        <v>2</v>
      </c>
      <c r="O1505" s="2">
        <v>2</v>
      </c>
      <c r="P1505" s="2" t="s">
        <v>301</v>
      </c>
      <c r="Q1505" s="7" t="s">
        <v>97</v>
      </c>
      <c r="R1505" s="4" t="s">
        <v>302</v>
      </c>
      <c r="S1505" s="20">
        <v>5</v>
      </c>
      <c r="T1505" s="2">
        <v>5</v>
      </c>
    </row>
    <row r="1506" spans="1:33">
      <c r="A1506" s="7">
        <f>MAX($A$1:$A1505)+1</f>
        <v>1505</v>
      </c>
      <c r="B1506" s="2" t="s">
        <v>171</v>
      </c>
      <c r="C1506" s="2" t="s">
        <v>504</v>
      </c>
      <c r="D1506" s="2" t="s">
        <v>32</v>
      </c>
      <c r="E1506" s="7" t="s">
        <v>363</v>
      </c>
      <c r="F1506" s="4">
        <v>48.950233459472599</v>
      </c>
      <c r="G1506" s="18">
        <v>-125.155548095703</v>
      </c>
      <c r="H1506" s="5" t="s">
        <v>11</v>
      </c>
      <c r="I1506" s="2">
        <v>5</v>
      </c>
      <c r="J1506" s="2">
        <v>240</v>
      </c>
      <c r="K1506" s="6">
        <v>0.43402777777777773</v>
      </c>
      <c r="L1506" s="2" t="s">
        <v>172</v>
      </c>
      <c r="M1506" s="2">
        <v>10</v>
      </c>
      <c r="N1506" s="2">
        <v>2</v>
      </c>
      <c r="O1506" s="2">
        <v>2</v>
      </c>
      <c r="P1506" s="2" t="s">
        <v>333</v>
      </c>
      <c r="Q1506" s="7" t="s">
        <v>102</v>
      </c>
      <c r="R1506" s="4" t="s">
        <v>334</v>
      </c>
      <c r="S1506" s="20">
        <v>2</v>
      </c>
      <c r="T1506" s="2">
        <v>2</v>
      </c>
    </row>
    <row r="1507" spans="1:33">
      <c r="A1507" s="7">
        <f>MAX($A$1:$A1506)+1</f>
        <v>1506</v>
      </c>
      <c r="B1507" s="2" t="s">
        <v>171</v>
      </c>
      <c r="C1507" s="2" t="s">
        <v>504</v>
      </c>
      <c r="D1507" s="2" t="s">
        <v>32</v>
      </c>
      <c r="E1507" s="7" t="s">
        <v>363</v>
      </c>
      <c r="F1507" s="4">
        <v>48.950233459472599</v>
      </c>
      <c r="G1507" s="18">
        <v>-125.155548095703</v>
      </c>
      <c r="H1507" s="5" t="s">
        <v>11</v>
      </c>
      <c r="I1507" s="2">
        <v>5</v>
      </c>
      <c r="J1507" s="2">
        <v>240</v>
      </c>
      <c r="K1507" s="6">
        <v>0.43402777777777773</v>
      </c>
      <c r="L1507" s="2" t="s">
        <v>172</v>
      </c>
      <c r="M1507" s="2">
        <v>10</v>
      </c>
      <c r="N1507" s="2">
        <v>2</v>
      </c>
      <c r="O1507" s="2">
        <v>2</v>
      </c>
      <c r="P1507" s="2" t="s">
        <v>298</v>
      </c>
      <c r="Q1507" s="7" t="s">
        <v>99</v>
      </c>
      <c r="R1507" s="4" t="s">
        <v>299</v>
      </c>
      <c r="S1507" s="20">
        <v>1</v>
      </c>
      <c r="T1507" s="2">
        <v>1</v>
      </c>
    </row>
    <row r="1508" spans="1:33">
      <c r="A1508" s="7">
        <f>MAX($A$1:$A1507)+1</f>
        <v>1507</v>
      </c>
      <c r="B1508" s="2" t="s">
        <v>171</v>
      </c>
      <c r="C1508" s="2" t="s">
        <v>504</v>
      </c>
      <c r="D1508" s="2" t="s">
        <v>32</v>
      </c>
      <c r="E1508" s="7" t="s">
        <v>363</v>
      </c>
      <c r="F1508" s="4">
        <v>48.950233459472599</v>
      </c>
      <c r="G1508" s="18">
        <v>-125.155548095703</v>
      </c>
      <c r="H1508" s="5" t="s">
        <v>11</v>
      </c>
      <c r="I1508" s="2">
        <v>5</v>
      </c>
      <c r="J1508" s="2">
        <v>240</v>
      </c>
      <c r="K1508" s="6">
        <v>0.43402777777777773</v>
      </c>
      <c r="L1508" s="2" t="s">
        <v>172</v>
      </c>
      <c r="M1508" s="2">
        <v>10</v>
      </c>
      <c r="N1508" s="2">
        <v>2</v>
      </c>
      <c r="O1508" s="2">
        <v>2</v>
      </c>
      <c r="P1508" s="2" t="s">
        <v>314</v>
      </c>
      <c r="Q1508" s="7" t="s">
        <v>71</v>
      </c>
      <c r="R1508" s="4" t="s">
        <v>315</v>
      </c>
      <c r="S1508" s="20">
        <v>1</v>
      </c>
      <c r="T1508" s="2">
        <v>1</v>
      </c>
    </row>
    <row r="1509" spans="1:33">
      <c r="A1509" s="7">
        <f>MAX($A$1:$A1508)+1</f>
        <v>1508</v>
      </c>
      <c r="B1509" s="2" t="s">
        <v>171</v>
      </c>
      <c r="C1509" s="2" t="s">
        <v>504</v>
      </c>
      <c r="D1509" s="2" t="s">
        <v>32</v>
      </c>
      <c r="E1509" s="7" t="s">
        <v>363</v>
      </c>
      <c r="F1509" s="4">
        <v>48.950233459472599</v>
      </c>
      <c r="G1509" s="18">
        <v>-125.155548095703</v>
      </c>
      <c r="H1509" s="5" t="s">
        <v>11</v>
      </c>
      <c r="I1509" s="2">
        <v>5</v>
      </c>
      <c r="J1509" s="2">
        <v>240</v>
      </c>
      <c r="K1509" s="6">
        <v>0.43402777777777773</v>
      </c>
      <c r="L1509" s="2" t="s">
        <v>172</v>
      </c>
      <c r="M1509" s="2">
        <v>10</v>
      </c>
      <c r="N1509" s="2">
        <v>2</v>
      </c>
      <c r="O1509" s="2">
        <v>2</v>
      </c>
      <c r="P1509" s="2" t="s">
        <v>342</v>
      </c>
      <c r="Q1509" s="7" t="s">
        <v>126</v>
      </c>
      <c r="R1509" s="4" t="s">
        <v>329</v>
      </c>
      <c r="S1509" s="20">
        <v>0</v>
      </c>
      <c r="T1509" s="2">
        <v>0</v>
      </c>
    </row>
    <row r="1510" spans="1:33">
      <c r="A1510" s="7">
        <f>MAX($A$1:$A1509)+1</f>
        <v>1509</v>
      </c>
      <c r="B1510" s="2" t="s">
        <v>171</v>
      </c>
      <c r="C1510" s="2" t="s">
        <v>504</v>
      </c>
      <c r="D1510" s="2" t="s">
        <v>32</v>
      </c>
      <c r="E1510" s="7" t="s">
        <v>363</v>
      </c>
      <c r="F1510" s="4">
        <v>48.950233459472599</v>
      </c>
      <c r="G1510" s="18">
        <v>-125.155548095703</v>
      </c>
      <c r="H1510" s="5" t="s">
        <v>11</v>
      </c>
      <c r="I1510" s="2">
        <v>5</v>
      </c>
      <c r="J1510" s="2">
        <v>240</v>
      </c>
      <c r="K1510" s="6">
        <v>0.43402777777777773</v>
      </c>
      <c r="L1510" s="2" t="s">
        <v>172</v>
      </c>
      <c r="M1510" s="2">
        <v>10</v>
      </c>
      <c r="N1510" s="2">
        <v>0</v>
      </c>
      <c r="O1510" s="2">
        <v>0</v>
      </c>
      <c r="P1510" s="2" t="s">
        <v>235</v>
      </c>
      <c r="Q1510" s="7" t="s">
        <v>54</v>
      </c>
      <c r="R1510" s="4" t="s">
        <v>364</v>
      </c>
      <c r="S1510" s="20">
        <v>1</v>
      </c>
      <c r="T1510" s="2">
        <v>0</v>
      </c>
      <c r="AC1510" s="2">
        <v>1</v>
      </c>
    </row>
    <row r="1511" spans="1:33">
      <c r="A1511" s="7">
        <f>MAX($A$1:$A1510)+1</f>
        <v>1510</v>
      </c>
      <c r="B1511" s="2" t="s">
        <v>171</v>
      </c>
      <c r="C1511" s="2" t="s">
        <v>504</v>
      </c>
      <c r="D1511" s="2" t="s">
        <v>32</v>
      </c>
      <c r="E1511" s="7" t="s">
        <v>363</v>
      </c>
      <c r="F1511" s="4">
        <v>48.950233459472599</v>
      </c>
      <c r="G1511" s="18">
        <v>-125.155548095703</v>
      </c>
      <c r="H1511" s="5" t="s">
        <v>11</v>
      </c>
      <c r="I1511" s="2">
        <v>5</v>
      </c>
      <c r="J1511" s="2">
        <v>240</v>
      </c>
      <c r="K1511" s="6">
        <v>0.43402777777777773</v>
      </c>
      <c r="L1511" s="2" t="s">
        <v>172</v>
      </c>
      <c r="M1511" s="2">
        <v>10</v>
      </c>
      <c r="N1511" s="2">
        <v>0</v>
      </c>
      <c r="O1511" s="2">
        <v>0</v>
      </c>
      <c r="P1511" s="2" t="s">
        <v>237</v>
      </c>
      <c r="Q1511" s="7" t="s">
        <v>51</v>
      </c>
      <c r="R1511" s="4" t="s">
        <v>368</v>
      </c>
      <c r="S1511" s="20">
        <v>1</v>
      </c>
      <c r="T1511" s="2">
        <v>0</v>
      </c>
      <c r="AG1511" s="2">
        <v>1</v>
      </c>
    </row>
    <row r="1512" spans="1:33">
      <c r="A1512" s="7">
        <f>MAX($A$1:$A1511)+1</f>
        <v>1511</v>
      </c>
      <c r="B1512" s="2" t="s">
        <v>171</v>
      </c>
      <c r="C1512" s="2" t="s">
        <v>504</v>
      </c>
      <c r="D1512" s="2" t="s">
        <v>32</v>
      </c>
      <c r="E1512" s="7" t="s">
        <v>363</v>
      </c>
      <c r="F1512" s="4">
        <v>48.950233459472599</v>
      </c>
      <c r="G1512" s="18">
        <v>-125.155548095703</v>
      </c>
      <c r="H1512" s="5" t="s">
        <v>11</v>
      </c>
      <c r="I1512" s="2">
        <v>5</v>
      </c>
      <c r="J1512" s="2">
        <v>240</v>
      </c>
      <c r="K1512" s="6">
        <v>0.43402777777777773</v>
      </c>
      <c r="L1512" s="2" t="s">
        <v>172</v>
      </c>
      <c r="M1512" s="2">
        <v>10</v>
      </c>
      <c r="N1512" s="2">
        <v>0</v>
      </c>
      <c r="O1512" s="2">
        <v>0</v>
      </c>
      <c r="P1512" s="2" t="s">
        <v>380</v>
      </c>
      <c r="Q1512" s="7" t="s">
        <v>52</v>
      </c>
      <c r="R1512" s="4" t="s">
        <v>381</v>
      </c>
      <c r="S1512" s="20">
        <v>1</v>
      </c>
      <c r="T1512" s="2">
        <v>0</v>
      </c>
      <c r="AB1512" s="2">
        <v>1</v>
      </c>
    </row>
    <row r="1513" spans="1:33">
      <c r="A1513" s="7">
        <f>MAX($A$1:$A1512)+1</f>
        <v>1512</v>
      </c>
      <c r="B1513" s="2" t="str">
        <f t="shared" ref="B1513:B1529" si="181">IF(ISERROR(B1512),IF(ISERROR(B1511),IF(ISERROR(B1510),"BLANK",B1510),B1511),B1512)</f>
        <v>Em Lim</v>
      </c>
      <c r="C1513" s="2" t="str">
        <f t="shared" ref="C1513:C1529" si="182">IF(ISERROR(C1512),IF(ISERROR(C1511),IF(ISERROR(C1510),"BLANK",C1510),C1511),C1512)</f>
        <v>Isabelle Côté</v>
      </c>
      <c r="D1513" s="27" t="s">
        <v>33</v>
      </c>
      <c r="E1513" s="7" t="str">
        <f>IF(ISERROR(VLOOKUP($D1513,SITES!$A:$E,2,FALSE)),"",VLOOKUP($D1513,SITES!$A:$E,2,FALSE))</f>
        <v>Baeria Rocks North Island Northside</v>
      </c>
      <c r="F1513" s="4">
        <f>IF(ISERROR(VLOOKUP($D1513,SITES!$A:$E,3,FALSE)),"",VLOOKUP($D1513,SITES!$A:$E,3,FALSE))</f>
        <v>48.955081939697202</v>
      </c>
      <c r="G1513" s="18">
        <f>IF(ISERROR(VLOOKUP($D1513,SITES!$A:$E,4,FALSE)),"",VLOOKUP($D1513,SITES!$A:$E,4,FALSE))</f>
        <v>-125.15337371826099</v>
      </c>
      <c r="H1513" s="5" t="str">
        <f t="shared" ref="H1513:H1529" si="183">IF(ISERROR(H1512),IF(ISERROR(H1511),IF(ISERROR(H1510),"BLANK",H1510),H1511),H1512)</f>
        <v>17/05/2023</v>
      </c>
      <c r="I1513" s="2">
        <f t="shared" ref="I1513:I1529" si="184">IF(ISERROR(I1512),IF(ISERROR(I1511),IF(ISERROR(I1510),"BLANK",I1510),I1511),I1512)</f>
        <v>5</v>
      </c>
      <c r="J1513" s="53">
        <v>300</v>
      </c>
      <c r="K1513" s="6">
        <v>0.54166666666666663</v>
      </c>
      <c r="L1513" s="2" t="str">
        <f t="shared" ref="L1513:L1529" si="185">IF(ISERROR(L1512),IF(ISERROR(L1511),IF(ISERROR(L1510),"BLANK",L1510),L1511),L1512)</f>
        <v>EGL</v>
      </c>
      <c r="M1513" s="2">
        <v>7.5</v>
      </c>
      <c r="N1513" s="2">
        <v>1</v>
      </c>
      <c r="O1513" s="2">
        <v>1</v>
      </c>
      <c r="P1513" s="27" t="s">
        <v>177</v>
      </c>
      <c r="Q1513" s="7" t="str">
        <f>IF($N1513=1,IF(ISERROR(VLOOKUP($P1513,'M1'!$A:$C,Q$2,FALSE)),"NOT PRESENT",VLOOKUP($P1513,'M1'!$A:$C,Q$2,FALSE)),IF($N1513=2,IF(ISERROR(VLOOKUP(DATA!$P345,'M2'!$A:$C,Q$2,FALSE)),"NOT PRESENT",VLOOKUP(DATA!$P345,'M2'!$A:$C,Q$2,FALSE)),IF($N1513=0,IF(ISERROR(VLOOKUP($P1513,'M1'!$A:$C,Q$2,FALSE)),IF(ISERROR(VLOOKUP(DATA!$P345,'M2'!$A:$C,Q$2,FALSE)),"NOT PRESENT",VLOOKUP(DATA!$P345,'M2'!$A:$C,Q$2,FALSE)),VLOOKUP($P1513,'M1'!$A:$C,Q$2,FALSE)),"SPECIFY METHOD")))</f>
        <v>NOT PRESENT</v>
      </c>
      <c r="R1513" s="4" t="str">
        <f>IF($N1513=1,IF(ISERROR(VLOOKUP($P1513,'M1'!$A:$C,R$2,FALSE)),"NOT PRESENT",VLOOKUP($P1513,'M1'!$A:$C,R$2,FALSE)),IF($N1513=2,IF(ISERROR(VLOOKUP(DATA!$P345,'M2'!$A:$C,R$2,FALSE)),"NOT PRESENT",VLOOKUP(DATA!$P345,'M2'!$A:$C,R$2,FALSE)),IF($N1513=0,IF(ISERROR(VLOOKUP($P1513,'M1'!$A:$C,R$2,FALSE)),IF(ISERROR(VLOOKUP(DATA!$P345,'M2'!$A:$C,R$2,FALSE)),"NOT PRESENT",VLOOKUP(DATA!$P345,'M2'!$A:$C,R$2,FALSE)),VLOOKUP($P1513,'M1'!$A:$C,R$2,FALSE)),"SPECIFY METHOD")))</f>
        <v>NOT PRESENT</v>
      </c>
      <c r="S1513" s="20">
        <f t="shared" ref="S1513:S1529" si="186">SUM(T1513:AV1513)</f>
        <v>2</v>
      </c>
      <c r="T1513" s="2">
        <v>2</v>
      </c>
    </row>
    <row r="1514" spans="1:33">
      <c r="A1514" s="7">
        <f>MAX($A$1:$A1513)+1</f>
        <v>1513</v>
      </c>
      <c r="B1514" s="2" t="str">
        <f t="shared" si="181"/>
        <v>Em Lim</v>
      </c>
      <c r="C1514" s="2" t="str">
        <f t="shared" si="182"/>
        <v>Isabelle Côté</v>
      </c>
      <c r="D1514" s="2" t="str">
        <f t="shared" ref="D1514:D1529" si="187">IF(ISERROR(D1513),IF(ISERROR(D1512),IF(ISERROR(D1511),"BLANK",D1511),D1512),D1513)</f>
        <v>BMSC8</v>
      </c>
      <c r="E1514" s="7" t="str">
        <f>IF(ISERROR(VLOOKUP($D1514,SITES!$A:$E,2,FALSE)),"",VLOOKUP($D1514,SITES!$A:$E,2,FALSE))</f>
        <v>Baeria Rocks North Island Northside</v>
      </c>
      <c r="F1514" s="4">
        <f>IF(ISERROR(VLOOKUP($D1514,SITES!$A:$E,3,FALSE)),"",VLOOKUP($D1514,SITES!$A:$E,3,FALSE))</f>
        <v>48.955081939697202</v>
      </c>
      <c r="G1514" s="18">
        <f>IF(ISERROR(VLOOKUP($D1514,SITES!$A:$E,4,FALSE)),"",VLOOKUP($D1514,SITES!$A:$E,4,FALSE))</f>
        <v>-125.15337371826099</v>
      </c>
      <c r="H1514" s="5" t="str">
        <f t="shared" si="183"/>
        <v>17/05/2023</v>
      </c>
      <c r="I1514" s="2">
        <f t="shared" si="184"/>
        <v>5</v>
      </c>
      <c r="J1514" s="53">
        <f t="shared" ref="J1514:J1529" si="188">IF(ISERROR(J1513),IF(ISERROR(J1512),IF(ISERROR(J1511),"BLANK",J1511),J1512),J1513)</f>
        <v>300</v>
      </c>
      <c r="K1514" s="6">
        <f t="shared" ref="K1514:K1529" si="189">IF(ISERROR(K1513),IF(ISERROR(K1512),IF(ISERROR(K1511),"BLANK",K1511),K1512),K1513)</f>
        <v>0.54166666666666663</v>
      </c>
      <c r="L1514" s="2" t="str">
        <f t="shared" si="185"/>
        <v>EGL</v>
      </c>
      <c r="M1514" s="2">
        <f>IF(ISERROR(M1513),IF(ISERROR(M1512),IF(ISERROR(M1511),"BLANK",M1511),M1512),M1513)</f>
        <v>7.5</v>
      </c>
      <c r="N1514" s="2">
        <f>IF(ISERROR(N1513),IF(ISERROR(N1512),IF(ISERROR(N1511),"BLANK",N1511),N1512),N1513)</f>
        <v>1</v>
      </c>
      <c r="O1514" s="2">
        <f>IF(ISERROR(O1513),IF(ISERROR(O1512),IF(ISERROR(O1511),"BLANK",O1511),O1512),O1513)</f>
        <v>1</v>
      </c>
      <c r="P1514" s="27" t="s">
        <v>174</v>
      </c>
      <c r="Q1514" s="7" t="str">
        <f>IF($N1514=1,IF(ISERROR(VLOOKUP($P1514,'M1'!$A:$C,Q$2,FALSE)),"NOT PRESENT",VLOOKUP($P1514,'M1'!$A:$C,Q$2,FALSE)),IF($N1514=2,IF(ISERROR(VLOOKUP(DATA!$P346,'M2'!$A:$C,Q$2,FALSE)),"NOT PRESENT",VLOOKUP(DATA!$P346,'M2'!$A:$C,Q$2,FALSE)),IF($N1514=0,IF(ISERROR(VLOOKUP($P1514,'M1'!$A:$C,Q$2,FALSE)),IF(ISERROR(VLOOKUP(DATA!$P346,'M2'!$A:$C,Q$2,FALSE)),"NOT PRESENT",VLOOKUP(DATA!$P346,'M2'!$A:$C,Q$2,FALSE)),VLOOKUP($P1514,'M1'!$A:$C,Q$2,FALSE)),"SPECIFY METHOD")))</f>
        <v>NOT PRESENT</v>
      </c>
      <c r="R1514" s="4" t="str">
        <f>IF($N1514=1,IF(ISERROR(VLOOKUP($P1514,'M1'!$A:$C,R$2,FALSE)),"NOT PRESENT",VLOOKUP($P1514,'M1'!$A:$C,R$2,FALSE)),IF($N1514=2,IF(ISERROR(VLOOKUP(DATA!$P346,'M2'!$A:$C,R$2,FALSE)),"NOT PRESENT",VLOOKUP(DATA!$P346,'M2'!$A:$C,R$2,FALSE)),IF($N1514=0,IF(ISERROR(VLOOKUP($P1514,'M1'!$A:$C,R$2,FALSE)),IF(ISERROR(VLOOKUP(DATA!$P346,'M2'!$A:$C,R$2,FALSE)),"NOT PRESENT",VLOOKUP(DATA!$P346,'M2'!$A:$C,R$2,FALSE)),VLOOKUP($P1514,'M1'!$A:$C,R$2,FALSE)),"SPECIFY METHOD")))</f>
        <v>NOT PRESENT</v>
      </c>
      <c r="S1514" s="20">
        <f t="shared" si="186"/>
        <v>1</v>
      </c>
      <c r="T1514" s="2">
        <v>0</v>
      </c>
      <c r="AD1514" s="2">
        <v>1</v>
      </c>
    </row>
    <row r="1515" spans="1:33">
      <c r="A1515" s="7">
        <f>MAX($A$1:$A1514)+1</f>
        <v>1514</v>
      </c>
      <c r="B1515" s="2" t="str">
        <f t="shared" si="181"/>
        <v>Em Lim</v>
      </c>
      <c r="C1515" s="2" t="str">
        <f t="shared" si="182"/>
        <v>Isabelle Côté</v>
      </c>
      <c r="D1515" s="2" t="str">
        <f t="shared" si="187"/>
        <v>BMSC8</v>
      </c>
      <c r="E1515" s="7" t="str">
        <f>IF(ISERROR(VLOOKUP($D1515,SITES!$A:$E,2,FALSE)),"",VLOOKUP($D1515,SITES!$A:$E,2,FALSE))</f>
        <v>Baeria Rocks North Island Northside</v>
      </c>
      <c r="F1515" s="4">
        <f>IF(ISERROR(VLOOKUP($D1515,SITES!$A:$E,3,FALSE)),"",VLOOKUP($D1515,SITES!$A:$E,3,FALSE))</f>
        <v>48.955081939697202</v>
      </c>
      <c r="G1515" s="18">
        <f>IF(ISERROR(VLOOKUP($D1515,SITES!$A:$E,4,FALSE)),"",VLOOKUP($D1515,SITES!$A:$E,4,FALSE))</f>
        <v>-125.15337371826099</v>
      </c>
      <c r="H1515" s="5" t="str">
        <f t="shared" si="183"/>
        <v>17/05/2023</v>
      </c>
      <c r="I1515" s="2">
        <f t="shared" si="184"/>
        <v>5</v>
      </c>
      <c r="J1515" s="53">
        <f t="shared" si="188"/>
        <v>300</v>
      </c>
      <c r="K1515" s="6">
        <f t="shared" si="189"/>
        <v>0.54166666666666663</v>
      </c>
      <c r="L1515" s="2" t="str">
        <f t="shared" si="185"/>
        <v>EGL</v>
      </c>
      <c r="M1515" s="2">
        <f t="shared" ref="M1515:M1529" si="190">IF(ISERROR(M1514),IF(ISERROR(M1513),IF(ISERROR(M1512),"BLANK",M1512),M1513),M1514)</f>
        <v>7.5</v>
      </c>
      <c r="N1515" s="2">
        <v>2</v>
      </c>
      <c r="O1515" s="2">
        <f t="shared" ref="O1515:O1529" si="191">IF(ISERROR(O1514),IF(ISERROR(O1513),IF(ISERROR(O1512),"BLANK",O1512),O1513),O1514)</f>
        <v>1</v>
      </c>
      <c r="P1515" s="27" t="s">
        <v>178</v>
      </c>
      <c r="Q1515" s="7" t="str">
        <f>IF($N1515=1,IF(ISERROR(VLOOKUP($P1515,'M1'!$A:$C,Q$2,FALSE)),"NOT PRESENT",VLOOKUP($P1515,'M1'!$A:$C,Q$2,FALSE)),IF($N1515=2,IF(ISERROR(VLOOKUP(DATA!$P347,'M2'!$A:$C,Q$2,FALSE)),"NOT PRESENT",VLOOKUP(DATA!$P347,'M2'!$A:$C,Q$2,FALSE)),IF($N1515=0,IF(ISERROR(VLOOKUP($P1515,'M1'!$A:$C,Q$2,FALSE)),IF(ISERROR(VLOOKUP(DATA!$P347,'M2'!$A:$C,Q$2,FALSE)),"NOT PRESENT",VLOOKUP(DATA!$P347,'M2'!$A:$C,Q$2,FALSE)),VLOOKUP($P1515,'M1'!$A:$C,Q$2,FALSE)),"SPECIFY METHOD")))</f>
        <v>NOT PRESENT</v>
      </c>
      <c r="R1515" s="4" t="str">
        <f>IF($N1515=1,IF(ISERROR(VLOOKUP($P1515,'M1'!$A:$C,R$2,FALSE)),"NOT PRESENT",VLOOKUP($P1515,'M1'!$A:$C,R$2,FALSE)),IF($N1515=2,IF(ISERROR(VLOOKUP(DATA!$P347,'M2'!$A:$C,R$2,FALSE)),"NOT PRESENT",VLOOKUP(DATA!$P347,'M2'!$A:$C,R$2,FALSE)),IF($N1515=0,IF(ISERROR(VLOOKUP($P1515,'M1'!$A:$C,R$2,FALSE)),IF(ISERROR(VLOOKUP(DATA!$P347,'M2'!$A:$C,R$2,FALSE)),"NOT PRESENT",VLOOKUP(DATA!$P347,'M2'!$A:$C,R$2,FALSE)),VLOOKUP($P1515,'M1'!$A:$C,R$2,FALSE)),"SPECIFY METHOD")))</f>
        <v>NOT PRESENT</v>
      </c>
      <c r="S1515" s="20">
        <f t="shared" si="186"/>
        <v>262</v>
      </c>
      <c r="T1515" s="2">
        <v>262</v>
      </c>
    </row>
    <row r="1516" spans="1:33">
      <c r="A1516" s="7">
        <f>MAX($A$1:$A1515)+1</f>
        <v>1515</v>
      </c>
      <c r="B1516" s="2" t="str">
        <f t="shared" si="181"/>
        <v>Em Lim</v>
      </c>
      <c r="C1516" s="2" t="str">
        <f t="shared" si="182"/>
        <v>Isabelle Côté</v>
      </c>
      <c r="D1516" s="2" t="str">
        <f t="shared" si="187"/>
        <v>BMSC8</v>
      </c>
      <c r="E1516" s="7" t="str">
        <f>IF(ISERROR(VLOOKUP($D1516,SITES!$A:$E,2,FALSE)),"",VLOOKUP($D1516,SITES!$A:$E,2,FALSE))</f>
        <v>Baeria Rocks North Island Northside</v>
      </c>
      <c r="F1516" s="4">
        <f>IF(ISERROR(VLOOKUP($D1516,SITES!$A:$E,3,FALSE)),"",VLOOKUP($D1516,SITES!$A:$E,3,FALSE))</f>
        <v>48.955081939697202</v>
      </c>
      <c r="G1516" s="18">
        <f>IF(ISERROR(VLOOKUP($D1516,SITES!$A:$E,4,FALSE)),"",VLOOKUP($D1516,SITES!$A:$E,4,FALSE))</f>
        <v>-125.15337371826099</v>
      </c>
      <c r="H1516" s="5" t="str">
        <f t="shared" si="183"/>
        <v>17/05/2023</v>
      </c>
      <c r="I1516" s="2">
        <f t="shared" si="184"/>
        <v>5</v>
      </c>
      <c r="J1516" s="53">
        <f t="shared" si="188"/>
        <v>300</v>
      </c>
      <c r="K1516" s="6">
        <f t="shared" si="189"/>
        <v>0.54166666666666663</v>
      </c>
      <c r="L1516" s="2" t="str">
        <f t="shared" si="185"/>
        <v>EGL</v>
      </c>
      <c r="M1516" s="2">
        <f t="shared" si="190"/>
        <v>7.5</v>
      </c>
      <c r="N1516" s="2">
        <f t="shared" ref="N1516:N1529" si="192">IF(ISERROR(N1515),IF(ISERROR(N1514),IF(ISERROR(N1513),"BLANK",N1513),N1514),N1515)</f>
        <v>2</v>
      </c>
      <c r="O1516" s="2">
        <f t="shared" si="191"/>
        <v>1</v>
      </c>
      <c r="P1516" s="27" t="s">
        <v>182</v>
      </c>
      <c r="Q1516" s="7" t="str">
        <f>IF($N1516=1,IF(ISERROR(VLOOKUP($P1516,'M1'!$A:$C,Q$2,FALSE)),"NOT PRESENT",VLOOKUP($P1516,'M1'!$A:$C,Q$2,FALSE)),IF($N1516=2,IF(ISERROR(VLOOKUP(DATA!$P348,'M2'!$A:$C,Q$2,FALSE)),"NOT PRESENT",VLOOKUP(DATA!$P348,'M2'!$A:$C,Q$2,FALSE)),IF($N1516=0,IF(ISERROR(VLOOKUP($P1516,'M1'!$A:$C,Q$2,FALSE)),IF(ISERROR(VLOOKUP(DATA!$P348,'M2'!$A:$C,Q$2,FALSE)),"NOT PRESENT",VLOOKUP(DATA!$P348,'M2'!$A:$C,Q$2,FALSE)),VLOOKUP($P1516,'M1'!$A:$C,Q$2,FALSE)),"SPECIFY METHOD")))</f>
        <v>NOT PRESENT</v>
      </c>
      <c r="R1516" s="4" t="str">
        <f>IF($N1516=1,IF(ISERROR(VLOOKUP($P1516,'M1'!$A:$C,R$2,FALSE)),"NOT PRESENT",VLOOKUP($P1516,'M1'!$A:$C,R$2,FALSE)),IF($N1516=2,IF(ISERROR(VLOOKUP(DATA!$P348,'M2'!$A:$C,R$2,FALSE)),"NOT PRESENT",VLOOKUP(DATA!$P348,'M2'!$A:$C,R$2,FALSE)),IF($N1516=0,IF(ISERROR(VLOOKUP($P1516,'M1'!$A:$C,R$2,FALSE)),IF(ISERROR(VLOOKUP(DATA!$P348,'M2'!$A:$C,R$2,FALSE)),"NOT PRESENT",VLOOKUP(DATA!$P348,'M2'!$A:$C,R$2,FALSE)),VLOOKUP($P1516,'M1'!$A:$C,R$2,FALSE)),"SPECIFY METHOD")))</f>
        <v>NOT PRESENT</v>
      </c>
      <c r="S1516" s="20">
        <f t="shared" si="186"/>
        <v>116</v>
      </c>
      <c r="T1516" s="2">
        <v>116</v>
      </c>
    </row>
    <row r="1517" spans="1:33">
      <c r="A1517" s="7">
        <f>MAX($A$1:$A1516)+1</f>
        <v>1516</v>
      </c>
      <c r="B1517" s="2" t="str">
        <f t="shared" si="181"/>
        <v>Em Lim</v>
      </c>
      <c r="C1517" s="2" t="str">
        <f t="shared" si="182"/>
        <v>Isabelle Côté</v>
      </c>
      <c r="D1517" s="2" t="str">
        <f t="shared" si="187"/>
        <v>BMSC8</v>
      </c>
      <c r="E1517" s="7" t="str">
        <f>IF(ISERROR(VLOOKUP($D1517,SITES!$A:$E,2,FALSE)),"",VLOOKUP($D1517,SITES!$A:$E,2,FALSE))</f>
        <v>Baeria Rocks North Island Northside</v>
      </c>
      <c r="F1517" s="4">
        <f>IF(ISERROR(VLOOKUP($D1517,SITES!$A:$E,3,FALSE)),"",VLOOKUP($D1517,SITES!$A:$E,3,FALSE))</f>
        <v>48.955081939697202</v>
      </c>
      <c r="G1517" s="18">
        <f>IF(ISERROR(VLOOKUP($D1517,SITES!$A:$E,4,FALSE)),"",VLOOKUP($D1517,SITES!$A:$E,4,FALSE))</f>
        <v>-125.15337371826099</v>
      </c>
      <c r="H1517" s="5" t="str">
        <f t="shared" si="183"/>
        <v>17/05/2023</v>
      </c>
      <c r="I1517" s="2">
        <f t="shared" si="184"/>
        <v>5</v>
      </c>
      <c r="J1517" s="53">
        <f t="shared" si="188"/>
        <v>300</v>
      </c>
      <c r="K1517" s="6">
        <f t="shared" si="189"/>
        <v>0.54166666666666663</v>
      </c>
      <c r="L1517" s="2" t="str">
        <f t="shared" si="185"/>
        <v>EGL</v>
      </c>
      <c r="M1517" s="2">
        <f t="shared" si="190"/>
        <v>7.5</v>
      </c>
      <c r="N1517" s="2">
        <f t="shared" si="192"/>
        <v>2</v>
      </c>
      <c r="O1517" s="2">
        <f t="shared" si="191"/>
        <v>1</v>
      </c>
      <c r="P1517" s="27" t="s">
        <v>196</v>
      </c>
      <c r="Q1517" s="7" t="str">
        <f>IF($N1517=1,IF(ISERROR(VLOOKUP($P1517,'M1'!$A:$C,Q$2,FALSE)),"NOT PRESENT",VLOOKUP($P1517,'M1'!$A:$C,Q$2,FALSE)),IF($N1517=2,IF(ISERROR(VLOOKUP(DATA!$P349,'M2'!$A:$C,Q$2,FALSE)),"NOT PRESENT",VLOOKUP(DATA!$P349,'M2'!$A:$C,Q$2,FALSE)),IF($N1517=0,IF(ISERROR(VLOOKUP($P1517,'M1'!$A:$C,Q$2,FALSE)),IF(ISERROR(VLOOKUP(DATA!$P349,'M2'!$A:$C,Q$2,FALSE)),"NOT PRESENT",VLOOKUP(DATA!$P349,'M2'!$A:$C,Q$2,FALSE)),VLOOKUP($P1517,'M1'!$A:$C,Q$2,FALSE)),"SPECIFY METHOD")))</f>
        <v>NOT PRESENT</v>
      </c>
      <c r="R1517" s="4" t="str">
        <f>IF($N1517=1,IF(ISERROR(VLOOKUP($P1517,'M1'!$A:$C,R$2,FALSE)),"NOT PRESENT",VLOOKUP($P1517,'M1'!$A:$C,R$2,FALSE)),IF($N1517=2,IF(ISERROR(VLOOKUP(DATA!$P349,'M2'!$A:$C,R$2,FALSE)),"NOT PRESENT",VLOOKUP(DATA!$P349,'M2'!$A:$C,R$2,FALSE)),IF($N1517=0,IF(ISERROR(VLOOKUP($P1517,'M1'!$A:$C,R$2,FALSE)),IF(ISERROR(VLOOKUP(DATA!$P349,'M2'!$A:$C,R$2,FALSE)),"NOT PRESENT",VLOOKUP(DATA!$P349,'M2'!$A:$C,R$2,FALSE)),VLOOKUP($P1517,'M1'!$A:$C,R$2,FALSE)),"SPECIFY METHOD")))</f>
        <v>NOT PRESENT</v>
      </c>
      <c r="S1517" s="20">
        <f t="shared" si="186"/>
        <v>35</v>
      </c>
      <c r="T1517" s="2">
        <v>35</v>
      </c>
    </row>
    <row r="1518" spans="1:33">
      <c r="A1518" s="7">
        <f>MAX($A$1:$A1517)+1</f>
        <v>1517</v>
      </c>
      <c r="B1518" s="2" t="str">
        <f t="shared" si="181"/>
        <v>Em Lim</v>
      </c>
      <c r="C1518" s="2" t="str">
        <f t="shared" si="182"/>
        <v>Isabelle Côté</v>
      </c>
      <c r="D1518" s="2" t="str">
        <f t="shared" si="187"/>
        <v>BMSC8</v>
      </c>
      <c r="E1518" s="7" t="str">
        <f>IF(ISERROR(VLOOKUP($D1518,SITES!$A:$E,2,FALSE)),"",VLOOKUP($D1518,SITES!$A:$E,2,FALSE))</f>
        <v>Baeria Rocks North Island Northside</v>
      </c>
      <c r="F1518" s="4">
        <f>IF(ISERROR(VLOOKUP($D1518,SITES!$A:$E,3,FALSE)),"",VLOOKUP($D1518,SITES!$A:$E,3,FALSE))</f>
        <v>48.955081939697202</v>
      </c>
      <c r="G1518" s="18">
        <f>IF(ISERROR(VLOOKUP($D1518,SITES!$A:$E,4,FALSE)),"",VLOOKUP($D1518,SITES!$A:$E,4,FALSE))</f>
        <v>-125.15337371826099</v>
      </c>
      <c r="H1518" s="5" t="str">
        <f t="shared" si="183"/>
        <v>17/05/2023</v>
      </c>
      <c r="I1518" s="2">
        <f t="shared" si="184"/>
        <v>5</v>
      </c>
      <c r="J1518" s="53">
        <f t="shared" si="188"/>
        <v>300</v>
      </c>
      <c r="K1518" s="6">
        <f t="shared" si="189"/>
        <v>0.54166666666666663</v>
      </c>
      <c r="L1518" s="2" t="str">
        <f t="shared" si="185"/>
        <v>EGL</v>
      </c>
      <c r="M1518" s="2">
        <f t="shared" si="190"/>
        <v>7.5</v>
      </c>
      <c r="N1518" s="2">
        <f t="shared" si="192"/>
        <v>2</v>
      </c>
      <c r="O1518" s="2">
        <f t="shared" si="191"/>
        <v>1</v>
      </c>
      <c r="P1518" s="27" t="s">
        <v>180</v>
      </c>
      <c r="Q1518" s="7" t="str">
        <f>IF($N1518=1,IF(ISERROR(VLOOKUP($P1518,'M1'!$A:$C,Q$2,FALSE)),"NOT PRESENT",VLOOKUP($P1518,'M1'!$A:$C,Q$2,FALSE)),IF($N1518=2,IF(ISERROR(VLOOKUP(DATA!$P350,'M2'!$A:$C,Q$2,FALSE)),"NOT PRESENT",VLOOKUP(DATA!$P350,'M2'!$A:$C,Q$2,FALSE)),IF($N1518=0,IF(ISERROR(VLOOKUP($P1518,'M1'!$A:$C,Q$2,FALSE)),IF(ISERROR(VLOOKUP(DATA!$P350,'M2'!$A:$C,Q$2,FALSE)),"NOT PRESENT",VLOOKUP(DATA!$P350,'M2'!$A:$C,Q$2,FALSE)),VLOOKUP($P1518,'M1'!$A:$C,Q$2,FALSE)),"SPECIFY METHOD")))</f>
        <v>NOT PRESENT</v>
      </c>
      <c r="R1518" s="4" t="str">
        <f>IF($N1518=1,IF(ISERROR(VLOOKUP($P1518,'M1'!$A:$C,R$2,FALSE)),"NOT PRESENT",VLOOKUP($P1518,'M1'!$A:$C,R$2,FALSE)),IF($N1518=2,IF(ISERROR(VLOOKUP(DATA!$P350,'M2'!$A:$C,R$2,FALSE)),"NOT PRESENT",VLOOKUP(DATA!$P350,'M2'!$A:$C,R$2,FALSE)),IF($N1518=0,IF(ISERROR(VLOOKUP($P1518,'M1'!$A:$C,R$2,FALSE)),IF(ISERROR(VLOOKUP(DATA!$P350,'M2'!$A:$C,R$2,FALSE)),"NOT PRESENT",VLOOKUP(DATA!$P350,'M2'!$A:$C,R$2,FALSE)),VLOOKUP($P1518,'M1'!$A:$C,R$2,FALSE)),"SPECIFY METHOD")))</f>
        <v>NOT PRESENT</v>
      </c>
      <c r="S1518" s="20">
        <f t="shared" si="186"/>
        <v>106</v>
      </c>
      <c r="T1518" s="2">
        <v>106</v>
      </c>
    </row>
    <row r="1519" spans="1:33">
      <c r="A1519" s="7">
        <f>MAX($A$1:$A1518)+1</f>
        <v>1518</v>
      </c>
      <c r="B1519" s="2" t="str">
        <f t="shared" si="181"/>
        <v>Em Lim</v>
      </c>
      <c r="C1519" s="2" t="str">
        <f t="shared" si="182"/>
        <v>Isabelle Côté</v>
      </c>
      <c r="D1519" s="2" t="str">
        <f t="shared" si="187"/>
        <v>BMSC8</v>
      </c>
      <c r="E1519" s="7" t="str">
        <f>IF(ISERROR(VLOOKUP($D1519,SITES!$A:$E,2,FALSE)),"",VLOOKUP($D1519,SITES!$A:$E,2,FALSE))</f>
        <v>Baeria Rocks North Island Northside</v>
      </c>
      <c r="F1519" s="4">
        <f>IF(ISERROR(VLOOKUP($D1519,SITES!$A:$E,3,FALSE)),"",VLOOKUP($D1519,SITES!$A:$E,3,FALSE))</f>
        <v>48.955081939697202</v>
      </c>
      <c r="G1519" s="18">
        <f>IF(ISERROR(VLOOKUP($D1519,SITES!$A:$E,4,FALSE)),"",VLOOKUP($D1519,SITES!$A:$E,4,FALSE))</f>
        <v>-125.15337371826099</v>
      </c>
      <c r="H1519" s="5" t="str">
        <f t="shared" si="183"/>
        <v>17/05/2023</v>
      </c>
      <c r="I1519" s="2">
        <f t="shared" si="184"/>
        <v>5</v>
      </c>
      <c r="J1519" s="53">
        <f t="shared" si="188"/>
        <v>300</v>
      </c>
      <c r="K1519" s="6">
        <f t="shared" si="189"/>
        <v>0.54166666666666663</v>
      </c>
      <c r="L1519" s="2" t="str">
        <f t="shared" si="185"/>
        <v>EGL</v>
      </c>
      <c r="M1519" s="2">
        <f t="shared" si="190"/>
        <v>7.5</v>
      </c>
      <c r="N1519" s="2">
        <f t="shared" si="192"/>
        <v>2</v>
      </c>
      <c r="O1519" s="2">
        <f t="shared" si="191"/>
        <v>1</v>
      </c>
      <c r="P1519" s="27" t="s">
        <v>190</v>
      </c>
      <c r="Q1519" s="7" t="str">
        <f>IF($N1519=1,IF(ISERROR(VLOOKUP($P1519,'M1'!$A:$C,Q$2,FALSE)),"NOT PRESENT",VLOOKUP($P1519,'M1'!$A:$C,Q$2,FALSE)),IF($N1519=2,IF(ISERROR(VLOOKUP(DATA!$P351,'M2'!$A:$C,Q$2,FALSE)),"NOT PRESENT",VLOOKUP(DATA!$P351,'M2'!$A:$C,Q$2,FALSE)),IF($N1519=0,IF(ISERROR(VLOOKUP($P1519,'M1'!$A:$C,Q$2,FALSE)),IF(ISERROR(VLOOKUP(DATA!$P351,'M2'!$A:$C,Q$2,FALSE)),"NOT PRESENT",VLOOKUP(DATA!$P351,'M2'!$A:$C,Q$2,FALSE)),VLOOKUP($P1519,'M1'!$A:$C,Q$2,FALSE)),"SPECIFY METHOD")))</f>
        <v>NOT PRESENT</v>
      </c>
      <c r="R1519" s="4" t="str">
        <f>IF($N1519=1,IF(ISERROR(VLOOKUP($P1519,'M1'!$A:$C,R$2,FALSE)),"NOT PRESENT",VLOOKUP($P1519,'M1'!$A:$C,R$2,FALSE)),IF($N1519=2,IF(ISERROR(VLOOKUP(DATA!$P351,'M2'!$A:$C,R$2,FALSE)),"NOT PRESENT",VLOOKUP(DATA!$P351,'M2'!$A:$C,R$2,FALSE)),IF($N1519=0,IF(ISERROR(VLOOKUP($P1519,'M1'!$A:$C,R$2,FALSE)),IF(ISERROR(VLOOKUP(DATA!$P351,'M2'!$A:$C,R$2,FALSE)),"NOT PRESENT",VLOOKUP(DATA!$P351,'M2'!$A:$C,R$2,FALSE)),VLOOKUP($P1519,'M1'!$A:$C,R$2,FALSE)),"SPECIFY METHOD")))</f>
        <v>NOT PRESENT</v>
      </c>
      <c r="S1519" s="20">
        <f t="shared" si="186"/>
        <v>13</v>
      </c>
      <c r="T1519" s="2">
        <v>13</v>
      </c>
    </row>
    <row r="1520" spans="1:33">
      <c r="A1520" s="7">
        <f>MAX($A$1:$A1519)+1</f>
        <v>1519</v>
      </c>
      <c r="B1520" s="2" t="str">
        <f t="shared" si="181"/>
        <v>Em Lim</v>
      </c>
      <c r="C1520" s="2" t="str">
        <f t="shared" si="182"/>
        <v>Isabelle Côté</v>
      </c>
      <c r="D1520" s="2" t="str">
        <f t="shared" si="187"/>
        <v>BMSC8</v>
      </c>
      <c r="E1520" s="7" t="str">
        <f>IF(ISERROR(VLOOKUP($D1520,SITES!$A:$E,2,FALSE)),"",VLOOKUP($D1520,SITES!$A:$E,2,FALSE))</f>
        <v>Baeria Rocks North Island Northside</v>
      </c>
      <c r="F1520" s="4">
        <f>IF(ISERROR(VLOOKUP($D1520,SITES!$A:$E,3,FALSE)),"",VLOOKUP($D1520,SITES!$A:$E,3,FALSE))</f>
        <v>48.955081939697202</v>
      </c>
      <c r="G1520" s="18">
        <f>IF(ISERROR(VLOOKUP($D1520,SITES!$A:$E,4,FALSE)),"",VLOOKUP($D1520,SITES!$A:$E,4,FALSE))</f>
        <v>-125.15337371826099</v>
      </c>
      <c r="H1520" s="5" t="str">
        <f t="shared" si="183"/>
        <v>17/05/2023</v>
      </c>
      <c r="I1520" s="2">
        <f t="shared" si="184"/>
        <v>5</v>
      </c>
      <c r="J1520" s="53">
        <f t="shared" si="188"/>
        <v>300</v>
      </c>
      <c r="K1520" s="6">
        <f t="shared" si="189"/>
        <v>0.54166666666666663</v>
      </c>
      <c r="L1520" s="2" t="str">
        <f t="shared" si="185"/>
        <v>EGL</v>
      </c>
      <c r="M1520" s="2">
        <f t="shared" si="190"/>
        <v>7.5</v>
      </c>
      <c r="N1520" s="2">
        <f t="shared" si="192"/>
        <v>2</v>
      </c>
      <c r="O1520" s="2">
        <f t="shared" si="191"/>
        <v>1</v>
      </c>
      <c r="P1520" s="27" t="s">
        <v>219</v>
      </c>
      <c r="Q1520" s="7" t="str">
        <f>IF($N1520=1,IF(ISERROR(VLOOKUP($P1520,'M1'!$A:$C,Q$2,FALSE)),"NOT PRESENT",VLOOKUP($P1520,'M1'!$A:$C,Q$2,FALSE)),IF($N1520=2,IF(ISERROR(VLOOKUP(DATA!$P352,'M2'!$A:$C,Q$2,FALSE)),"NOT PRESENT",VLOOKUP(DATA!$P352,'M2'!$A:$C,Q$2,FALSE)),IF($N1520=0,IF(ISERROR(VLOOKUP($P1520,'M1'!$A:$C,Q$2,FALSE)),IF(ISERROR(VLOOKUP(DATA!$P352,'M2'!$A:$C,Q$2,FALSE)),"NOT PRESENT",VLOOKUP(DATA!$P352,'M2'!$A:$C,Q$2,FALSE)),VLOOKUP($P1520,'M1'!$A:$C,Q$2,FALSE)),"SPECIFY METHOD")))</f>
        <v>NOT PRESENT</v>
      </c>
      <c r="R1520" s="4" t="str">
        <f>IF($N1520=1,IF(ISERROR(VLOOKUP($P1520,'M1'!$A:$C,R$2,FALSE)),"NOT PRESENT",VLOOKUP($P1520,'M1'!$A:$C,R$2,FALSE)),IF($N1520=2,IF(ISERROR(VLOOKUP(DATA!$P352,'M2'!$A:$C,R$2,FALSE)),"NOT PRESENT",VLOOKUP(DATA!$P352,'M2'!$A:$C,R$2,FALSE)),IF($N1520=0,IF(ISERROR(VLOOKUP($P1520,'M1'!$A:$C,R$2,FALSE)),IF(ISERROR(VLOOKUP(DATA!$P352,'M2'!$A:$C,R$2,FALSE)),"NOT PRESENT",VLOOKUP(DATA!$P352,'M2'!$A:$C,R$2,FALSE)),VLOOKUP($P1520,'M1'!$A:$C,R$2,FALSE)),"SPECIFY METHOD")))</f>
        <v>NOT PRESENT</v>
      </c>
      <c r="S1520" s="20">
        <f t="shared" si="186"/>
        <v>4</v>
      </c>
      <c r="T1520" s="2">
        <v>4</v>
      </c>
    </row>
    <row r="1521" spans="1:32">
      <c r="A1521" s="7">
        <f>MAX($A$1:$A1520)+1</f>
        <v>1520</v>
      </c>
      <c r="B1521" s="2" t="str">
        <f t="shared" si="181"/>
        <v>Em Lim</v>
      </c>
      <c r="C1521" s="2" t="str">
        <f t="shared" si="182"/>
        <v>Isabelle Côté</v>
      </c>
      <c r="D1521" s="2" t="str">
        <f t="shared" si="187"/>
        <v>BMSC8</v>
      </c>
      <c r="E1521" s="7" t="str">
        <f>IF(ISERROR(VLOOKUP($D1521,SITES!$A:$E,2,FALSE)),"",VLOOKUP($D1521,SITES!$A:$E,2,FALSE))</f>
        <v>Baeria Rocks North Island Northside</v>
      </c>
      <c r="F1521" s="4">
        <f>IF(ISERROR(VLOOKUP($D1521,SITES!$A:$E,3,FALSE)),"",VLOOKUP($D1521,SITES!$A:$E,3,FALSE))</f>
        <v>48.955081939697202</v>
      </c>
      <c r="G1521" s="18">
        <f>IF(ISERROR(VLOOKUP($D1521,SITES!$A:$E,4,FALSE)),"",VLOOKUP($D1521,SITES!$A:$E,4,FALSE))</f>
        <v>-125.15337371826099</v>
      </c>
      <c r="H1521" s="5" t="str">
        <f t="shared" si="183"/>
        <v>17/05/2023</v>
      </c>
      <c r="I1521" s="2">
        <f t="shared" si="184"/>
        <v>5</v>
      </c>
      <c r="J1521" s="53">
        <f t="shared" si="188"/>
        <v>300</v>
      </c>
      <c r="K1521" s="6">
        <f t="shared" si="189"/>
        <v>0.54166666666666663</v>
      </c>
      <c r="L1521" s="2" t="str">
        <f t="shared" si="185"/>
        <v>EGL</v>
      </c>
      <c r="M1521" s="2">
        <f t="shared" si="190"/>
        <v>7.5</v>
      </c>
      <c r="N1521" s="2">
        <f t="shared" si="192"/>
        <v>2</v>
      </c>
      <c r="O1521" s="2">
        <f t="shared" si="191"/>
        <v>1</v>
      </c>
      <c r="P1521" s="27" t="s">
        <v>181</v>
      </c>
      <c r="Q1521" s="7" t="str">
        <f>IF($N1521=1,IF(ISERROR(VLOOKUP($P1521,'M1'!$A:$C,Q$2,FALSE)),"NOT PRESENT",VLOOKUP($P1521,'M1'!$A:$C,Q$2,FALSE)),IF($N1521=2,IF(ISERROR(VLOOKUP(DATA!$P353,'M2'!$A:$C,Q$2,FALSE)),"NOT PRESENT",VLOOKUP(DATA!$P353,'M2'!$A:$C,Q$2,FALSE)),IF($N1521=0,IF(ISERROR(VLOOKUP($P1521,'M1'!$A:$C,Q$2,FALSE)),IF(ISERROR(VLOOKUP(DATA!$P353,'M2'!$A:$C,Q$2,FALSE)),"NOT PRESENT",VLOOKUP(DATA!$P353,'M2'!$A:$C,Q$2,FALSE)),VLOOKUP($P1521,'M1'!$A:$C,Q$2,FALSE)),"SPECIFY METHOD")))</f>
        <v>NOT PRESENT</v>
      </c>
      <c r="R1521" s="4" t="str">
        <f>IF($N1521=1,IF(ISERROR(VLOOKUP($P1521,'M1'!$A:$C,R$2,FALSE)),"NOT PRESENT",VLOOKUP($P1521,'M1'!$A:$C,R$2,FALSE)),IF($N1521=2,IF(ISERROR(VLOOKUP(DATA!$P353,'M2'!$A:$C,R$2,FALSE)),"NOT PRESENT",VLOOKUP(DATA!$P353,'M2'!$A:$C,R$2,FALSE)),IF($N1521=0,IF(ISERROR(VLOOKUP($P1521,'M1'!$A:$C,R$2,FALSE)),IF(ISERROR(VLOOKUP(DATA!$P353,'M2'!$A:$C,R$2,FALSE)),"NOT PRESENT",VLOOKUP(DATA!$P353,'M2'!$A:$C,R$2,FALSE)),VLOOKUP($P1521,'M1'!$A:$C,R$2,FALSE)),"SPECIFY METHOD")))</f>
        <v>NOT PRESENT</v>
      </c>
      <c r="S1521" s="20">
        <f t="shared" si="186"/>
        <v>8</v>
      </c>
      <c r="T1521" s="2">
        <v>0</v>
      </c>
      <c r="U1521" s="2">
        <v>7</v>
      </c>
      <c r="V1521" s="2">
        <v>1</v>
      </c>
    </row>
    <row r="1522" spans="1:32">
      <c r="A1522" s="7">
        <f>MAX($A$1:$A1521)+1</f>
        <v>1521</v>
      </c>
      <c r="B1522" s="2" t="str">
        <f t="shared" si="181"/>
        <v>Em Lim</v>
      </c>
      <c r="C1522" s="2" t="str">
        <f t="shared" si="182"/>
        <v>Isabelle Côté</v>
      </c>
      <c r="D1522" s="2" t="str">
        <f t="shared" si="187"/>
        <v>BMSC8</v>
      </c>
      <c r="E1522" s="7" t="str">
        <f>IF(ISERROR(VLOOKUP($D1522,SITES!$A:$E,2,FALSE)),"",VLOOKUP($D1522,SITES!$A:$E,2,FALSE))</f>
        <v>Baeria Rocks North Island Northside</v>
      </c>
      <c r="F1522" s="4">
        <f>IF(ISERROR(VLOOKUP($D1522,SITES!$A:$E,3,FALSE)),"",VLOOKUP($D1522,SITES!$A:$E,3,FALSE))</f>
        <v>48.955081939697202</v>
      </c>
      <c r="G1522" s="18">
        <f>IF(ISERROR(VLOOKUP($D1522,SITES!$A:$E,4,FALSE)),"",VLOOKUP($D1522,SITES!$A:$E,4,FALSE))</f>
        <v>-125.15337371826099</v>
      </c>
      <c r="H1522" s="5" t="str">
        <f t="shared" si="183"/>
        <v>17/05/2023</v>
      </c>
      <c r="I1522" s="2">
        <f t="shared" si="184"/>
        <v>5</v>
      </c>
      <c r="J1522" s="53">
        <f t="shared" si="188"/>
        <v>300</v>
      </c>
      <c r="K1522" s="6">
        <f t="shared" si="189"/>
        <v>0.54166666666666663</v>
      </c>
      <c r="L1522" s="2" t="str">
        <f t="shared" si="185"/>
        <v>EGL</v>
      </c>
      <c r="M1522" s="2">
        <f t="shared" si="190"/>
        <v>7.5</v>
      </c>
      <c r="N1522" s="2">
        <f t="shared" si="192"/>
        <v>2</v>
      </c>
      <c r="O1522" s="2">
        <f t="shared" si="191"/>
        <v>1</v>
      </c>
      <c r="P1522" s="27" t="s">
        <v>194</v>
      </c>
      <c r="Q1522" s="7" t="str">
        <f>IF($N1522=1,IF(ISERROR(VLOOKUP($P1522,'M1'!$A:$C,Q$2,FALSE)),"NOT PRESENT",VLOOKUP($P1522,'M1'!$A:$C,Q$2,FALSE)),IF($N1522=2,IF(ISERROR(VLOOKUP(DATA!$P354,'M2'!$A:$C,Q$2,FALSE)),"NOT PRESENT",VLOOKUP(DATA!$P354,'M2'!$A:$C,Q$2,FALSE)),IF($N1522=0,IF(ISERROR(VLOOKUP($P1522,'M1'!$A:$C,Q$2,FALSE)),IF(ISERROR(VLOOKUP(DATA!$P354,'M2'!$A:$C,Q$2,FALSE)),"NOT PRESENT",VLOOKUP(DATA!$P354,'M2'!$A:$C,Q$2,FALSE)),VLOOKUP($P1522,'M1'!$A:$C,Q$2,FALSE)),"SPECIFY METHOD")))</f>
        <v>NOT PRESENT</v>
      </c>
      <c r="R1522" s="4" t="str">
        <f>IF($N1522=1,IF(ISERROR(VLOOKUP($P1522,'M1'!$A:$C,R$2,FALSE)),"NOT PRESENT",VLOOKUP($P1522,'M1'!$A:$C,R$2,FALSE)),IF($N1522=2,IF(ISERROR(VLOOKUP(DATA!$P354,'M2'!$A:$C,R$2,FALSE)),"NOT PRESENT",VLOOKUP(DATA!$P354,'M2'!$A:$C,R$2,FALSE)),IF($N1522=0,IF(ISERROR(VLOOKUP($P1522,'M1'!$A:$C,R$2,FALSE)),IF(ISERROR(VLOOKUP(DATA!$P354,'M2'!$A:$C,R$2,FALSE)),"NOT PRESENT",VLOOKUP(DATA!$P354,'M2'!$A:$C,R$2,FALSE)),VLOOKUP($P1522,'M1'!$A:$C,R$2,FALSE)),"SPECIFY METHOD")))</f>
        <v>NOT PRESENT</v>
      </c>
      <c r="S1522" s="20">
        <f t="shared" si="186"/>
        <v>3</v>
      </c>
      <c r="T1522" s="2">
        <v>0</v>
      </c>
      <c r="U1522" s="2">
        <v>1</v>
      </c>
      <c r="V1522" s="2">
        <v>2</v>
      </c>
    </row>
    <row r="1523" spans="1:32">
      <c r="A1523" s="7">
        <f>MAX($A$1:$A1522)+1</f>
        <v>1522</v>
      </c>
      <c r="B1523" s="2" t="str">
        <f t="shared" si="181"/>
        <v>Em Lim</v>
      </c>
      <c r="C1523" s="2" t="str">
        <f t="shared" si="182"/>
        <v>Isabelle Côté</v>
      </c>
      <c r="D1523" s="2" t="str">
        <f t="shared" si="187"/>
        <v>BMSC8</v>
      </c>
      <c r="E1523" s="7" t="str">
        <f>IF(ISERROR(VLOOKUP($D1523,SITES!$A:$E,2,FALSE)),"",VLOOKUP($D1523,SITES!$A:$E,2,FALSE))</f>
        <v>Baeria Rocks North Island Northside</v>
      </c>
      <c r="F1523" s="4">
        <f>IF(ISERROR(VLOOKUP($D1523,SITES!$A:$E,3,FALSE)),"",VLOOKUP($D1523,SITES!$A:$E,3,FALSE))</f>
        <v>48.955081939697202</v>
      </c>
      <c r="G1523" s="18">
        <f>IF(ISERROR(VLOOKUP($D1523,SITES!$A:$E,4,FALSE)),"",VLOOKUP($D1523,SITES!$A:$E,4,FALSE))</f>
        <v>-125.15337371826099</v>
      </c>
      <c r="H1523" s="5" t="str">
        <f t="shared" si="183"/>
        <v>17/05/2023</v>
      </c>
      <c r="I1523" s="2">
        <f t="shared" si="184"/>
        <v>5</v>
      </c>
      <c r="J1523" s="53">
        <f t="shared" si="188"/>
        <v>300</v>
      </c>
      <c r="K1523" s="6">
        <f t="shared" si="189"/>
        <v>0.54166666666666663</v>
      </c>
      <c r="L1523" s="2" t="str">
        <f t="shared" si="185"/>
        <v>EGL</v>
      </c>
      <c r="M1523" s="2">
        <f t="shared" si="190"/>
        <v>7.5</v>
      </c>
      <c r="N1523" s="2">
        <f t="shared" si="192"/>
        <v>2</v>
      </c>
      <c r="O1523" s="2">
        <f t="shared" si="191"/>
        <v>1</v>
      </c>
      <c r="P1523" s="27" t="s">
        <v>202</v>
      </c>
      <c r="Q1523" s="7" t="str">
        <f>IF($N1523=1,IF(ISERROR(VLOOKUP($P1523,'M1'!$A:$C,Q$2,FALSE)),"NOT PRESENT",VLOOKUP($P1523,'M1'!$A:$C,Q$2,FALSE)),IF($N1523=2,IF(ISERROR(VLOOKUP(DATA!$P355,'M2'!$A:$C,Q$2,FALSE)),"NOT PRESENT",VLOOKUP(DATA!$P355,'M2'!$A:$C,Q$2,FALSE)),IF($N1523=0,IF(ISERROR(VLOOKUP($P1523,'M1'!$A:$C,Q$2,FALSE)),IF(ISERROR(VLOOKUP(DATA!$P355,'M2'!$A:$C,Q$2,FALSE)),"NOT PRESENT",VLOOKUP(DATA!$P355,'M2'!$A:$C,Q$2,FALSE)),VLOOKUP($P1523,'M1'!$A:$C,Q$2,FALSE)),"SPECIFY METHOD")))</f>
        <v>NOT PRESENT</v>
      </c>
      <c r="R1523" s="4" t="str">
        <f>IF($N1523=1,IF(ISERROR(VLOOKUP($P1523,'M1'!$A:$C,R$2,FALSE)),"NOT PRESENT",VLOOKUP($P1523,'M1'!$A:$C,R$2,FALSE)),IF($N1523=2,IF(ISERROR(VLOOKUP(DATA!$P355,'M2'!$A:$C,R$2,FALSE)),"NOT PRESENT",VLOOKUP(DATA!$P355,'M2'!$A:$C,R$2,FALSE)),IF($N1523=0,IF(ISERROR(VLOOKUP($P1523,'M1'!$A:$C,R$2,FALSE)),IF(ISERROR(VLOOKUP(DATA!$P355,'M2'!$A:$C,R$2,FALSE)),"NOT PRESENT",VLOOKUP(DATA!$P355,'M2'!$A:$C,R$2,FALSE)),VLOOKUP($P1523,'M1'!$A:$C,R$2,FALSE)),"SPECIFY METHOD")))</f>
        <v>NOT PRESENT</v>
      </c>
      <c r="S1523" s="20">
        <f t="shared" si="186"/>
        <v>3</v>
      </c>
      <c r="T1523" s="2">
        <v>3</v>
      </c>
    </row>
    <row r="1524" spans="1:32">
      <c r="A1524" s="7">
        <f>MAX($A$1:$A1523)+1</f>
        <v>1523</v>
      </c>
      <c r="B1524" s="2" t="str">
        <f t="shared" si="181"/>
        <v>Em Lim</v>
      </c>
      <c r="C1524" s="2" t="str">
        <f t="shared" si="182"/>
        <v>Isabelle Côté</v>
      </c>
      <c r="D1524" s="2" t="str">
        <f t="shared" si="187"/>
        <v>BMSC8</v>
      </c>
      <c r="E1524" s="7" t="str">
        <f>IF(ISERROR(VLOOKUP($D1524,SITES!$A:$E,2,FALSE)),"",VLOOKUP($D1524,SITES!$A:$E,2,FALSE))</f>
        <v>Baeria Rocks North Island Northside</v>
      </c>
      <c r="F1524" s="4">
        <f>IF(ISERROR(VLOOKUP($D1524,SITES!$A:$E,3,FALSE)),"",VLOOKUP($D1524,SITES!$A:$E,3,FALSE))</f>
        <v>48.955081939697202</v>
      </c>
      <c r="G1524" s="18">
        <f>IF(ISERROR(VLOOKUP($D1524,SITES!$A:$E,4,FALSE)),"",VLOOKUP($D1524,SITES!$A:$E,4,FALSE))</f>
        <v>-125.15337371826099</v>
      </c>
      <c r="H1524" s="5" t="str">
        <f t="shared" si="183"/>
        <v>17/05/2023</v>
      </c>
      <c r="I1524" s="2">
        <f t="shared" si="184"/>
        <v>5</v>
      </c>
      <c r="J1524" s="53">
        <f t="shared" si="188"/>
        <v>300</v>
      </c>
      <c r="K1524" s="6">
        <f t="shared" si="189"/>
        <v>0.54166666666666663</v>
      </c>
      <c r="L1524" s="2" t="str">
        <f t="shared" si="185"/>
        <v>EGL</v>
      </c>
      <c r="M1524" s="2">
        <f t="shared" si="190"/>
        <v>7.5</v>
      </c>
      <c r="N1524" s="2">
        <f t="shared" si="192"/>
        <v>2</v>
      </c>
      <c r="O1524" s="2">
        <f t="shared" si="191"/>
        <v>1</v>
      </c>
      <c r="P1524" s="27" t="s">
        <v>173</v>
      </c>
      <c r="Q1524" s="7" t="str">
        <f>IF($N1524=1,IF(ISERROR(VLOOKUP($P1524,'M1'!$A:$C,Q$2,FALSE)),"NOT PRESENT",VLOOKUP($P1524,'M1'!$A:$C,Q$2,FALSE)),IF($N1524=2,IF(ISERROR(VLOOKUP(DATA!$P356,'M2'!$A:$C,Q$2,FALSE)),"NOT PRESENT",VLOOKUP(DATA!$P356,'M2'!$A:$C,Q$2,FALSE)),IF($N1524=0,IF(ISERROR(VLOOKUP($P1524,'M1'!$A:$C,Q$2,FALSE)),IF(ISERROR(VLOOKUP(DATA!$P356,'M2'!$A:$C,Q$2,FALSE)),"NOT PRESENT",VLOOKUP(DATA!$P356,'M2'!$A:$C,Q$2,FALSE)),VLOOKUP($P1524,'M1'!$A:$C,Q$2,FALSE)),"SPECIFY METHOD")))</f>
        <v>NOT PRESENT</v>
      </c>
      <c r="R1524" s="4" t="str">
        <f>IF($N1524=1,IF(ISERROR(VLOOKUP($P1524,'M1'!$A:$C,R$2,FALSE)),"NOT PRESENT",VLOOKUP($P1524,'M1'!$A:$C,R$2,FALSE)),IF($N1524=2,IF(ISERROR(VLOOKUP(DATA!$P356,'M2'!$A:$C,R$2,FALSE)),"NOT PRESENT",VLOOKUP(DATA!$P356,'M2'!$A:$C,R$2,FALSE)),IF($N1524=0,IF(ISERROR(VLOOKUP($P1524,'M1'!$A:$C,R$2,FALSE)),IF(ISERROR(VLOOKUP(DATA!$P356,'M2'!$A:$C,R$2,FALSE)),"NOT PRESENT",VLOOKUP(DATA!$P356,'M2'!$A:$C,R$2,FALSE)),VLOOKUP($P1524,'M1'!$A:$C,R$2,FALSE)),"SPECIFY METHOD")))</f>
        <v>NOT PRESENT</v>
      </c>
      <c r="S1524" s="20">
        <f t="shared" si="186"/>
        <v>3</v>
      </c>
      <c r="T1524" s="2">
        <v>0</v>
      </c>
      <c r="V1524" s="2">
        <v>2</v>
      </c>
      <c r="W1524" s="2">
        <v>1</v>
      </c>
    </row>
    <row r="1525" spans="1:32">
      <c r="A1525" s="7">
        <f>MAX($A$1:$A1524)+1</f>
        <v>1524</v>
      </c>
      <c r="B1525" s="2" t="str">
        <f t="shared" si="181"/>
        <v>Em Lim</v>
      </c>
      <c r="C1525" s="2" t="str">
        <f t="shared" si="182"/>
        <v>Isabelle Côté</v>
      </c>
      <c r="D1525" s="2" t="str">
        <f t="shared" si="187"/>
        <v>BMSC8</v>
      </c>
      <c r="E1525" s="7" t="str">
        <f>IF(ISERROR(VLOOKUP($D1525,SITES!$A:$E,2,FALSE)),"",VLOOKUP($D1525,SITES!$A:$E,2,FALSE))</f>
        <v>Baeria Rocks North Island Northside</v>
      </c>
      <c r="F1525" s="4">
        <f>IF(ISERROR(VLOOKUP($D1525,SITES!$A:$E,3,FALSE)),"",VLOOKUP($D1525,SITES!$A:$E,3,FALSE))</f>
        <v>48.955081939697202</v>
      </c>
      <c r="G1525" s="18">
        <f>IF(ISERROR(VLOOKUP($D1525,SITES!$A:$E,4,FALSE)),"",VLOOKUP($D1525,SITES!$A:$E,4,FALSE))</f>
        <v>-125.15337371826099</v>
      </c>
      <c r="H1525" s="5" t="str">
        <f t="shared" si="183"/>
        <v>17/05/2023</v>
      </c>
      <c r="I1525" s="2">
        <f t="shared" si="184"/>
        <v>5</v>
      </c>
      <c r="J1525" s="53">
        <f t="shared" si="188"/>
        <v>300</v>
      </c>
      <c r="K1525" s="6">
        <f t="shared" si="189"/>
        <v>0.54166666666666663</v>
      </c>
      <c r="L1525" s="2" t="str">
        <f t="shared" si="185"/>
        <v>EGL</v>
      </c>
      <c r="M1525" s="2">
        <f t="shared" si="190"/>
        <v>7.5</v>
      </c>
      <c r="N1525" s="2">
        <f t="shared" si="192"/>
        <v>2</v>
      </c>
      <c r="O1525" s="2">
        <f t="shared" si="191"/>
        <v>1</v>
      </c>
      <c r="P1525" s="27" t="s">
        <v>184</v>
      </c>
      <c r="Q1525" s="7" t="str">
        <f>IF($N1525=1,IF(ISERROR(VLOOKUP($P1525,'M1'!$A:$C,Q$2,FALSE)),"NOT PRESENT",VLOOKUP($P1525,'M1'!$A:$C,Q$2,FALSE)),IF($N1525=2,IF(ISERROR(VLOOKUP(DATA!$P357,'M2'!$A:$C,Q$2,FALSE)),"NOT PRESENT",VLOOKUP(DATA!$P357,'M2'!$A:$C,Q$2,FALSE)),IF($N1525=0,IF(ISERROR(VLOOKUP($P1525,'M1'!$A:$C,Q$2,FALSE)),IF(ISERROR(VLOOKUP(DATA!$P357,'M2'!$A:$C,Q$2,FALSE)),"NOT PRESENT",VLOOKUP(DATA!$P357,'M2'!$A:$C,Q$2,FALSE)),VLOOKUP($P1525,'M1'!$A:$C,Q$2,FALSE)),"SPECIFY METHOD")))</f>
        <v>NOT PRESENT</v>
      </c>
      <c r="R1525" s="4" t="str">
        <f>IF($N1525=1,IF(ISERROR(VLOOKUP($P1525,'M1'!$A:$C,R$2,FALSE)),"NOT PRESENT",VLOOKUP($P1525,'M1'!$A:$C,R$2,FALSE)),IF($N1525=2,IF(ISERROR(VLOOKUP(DATA!$P357,'M2'!$A:$C,R$2,FALSE)),"NOT PRESENT",VLOOKUP(DATA!$P357,'M2'!$A:$C,R$2,FALSE)),IF($N1525=0,IF(ISERROR(VLOOKUP($P1525,'M1'!$A:$C,R$2,FALSE)),IF(ISERROR(VLOOKUP(DATA!$P357,'M2'!$A:$C,R$2,FALSE)),"NOT PRESENT",VLOOKUP(DATA!$P357,'M2'!$A:$C,R$2,FALSE)),VLOOKUP($P1525,'M1'!$A:$C,R$2,FALSE)),"SPECIFY METHOD")))</f>
        <v>NOT PRESENT</v>
      </c>
      <c r="S1525" s="20">
        <f t="shared" si="186"/>
        <v>5</v>
      </c>
      <c r="T1525" s="2">
        <v>5</v>
      </c>
    </row>
    <row r="1526" spans="1:32">
      <c r="A1526" s="7">
        <f>MAX($A$1:$A1525)+1</f>
        <v>1525</v>
      </c>
      <c r="B1526" s="2" t="str">
        <f t="shared" si="181"/>
        <v>Em Lim</v>
      </c>
      <c r="C1526" s="2" t="str">
        <f t="shared" si="182"/>
        <v>Isabelle Côté</v>
      </c>
      <c r="D1526" s="2" t="str">
        <f t="shared" si="187"/>
        <v>BMSC8</v>
      </c>
      <c r="E1526" s="7" t="str">
        <f>IF(ISERROR(VLOOKUP($D1526,SITES!$A:$E,2,FALSE)),"",VLOOKUP($D1526,SITES!$A:$E,2,FALSE))</f>
        <v>Baeria Rocks North Island Northside</v>
      </c>
      <c r="F1526" s="4">
        <f>IF(ISERROR(VLOOKUP($D1526,SITES!$A:$E,3,FALSE)),"",VLOOKUP($D1526,SITES!$A:$E,3,FALSE))</f>
        <v>48.955081939697202</v>
      </c>
      <c r="G1526" s="18">
        <f>IF(ISERROR(VLOOKUP($D1526,SITES!$A:$E,4,FALSE)),"",VLOOKUP($D1526,SITES!$A:$E,4,FALSE))</f>
        <v>-125.15337371826099</v>
      </c>
      <c r="H1526" s="5" t="str">
        <f t="shared" si="183"/>
        <v>17/05/2023</v>
      </c>
      <c r="I1526" s="2">
        <f t="shared" si="184"/>
        <v>5</v>
      </c>
      <c r="J1526" s="53">
        <f t="shared" si="188"/>
        <v>300</v>
      </c>
      <c r="K1526" s="6">
        <f t="shared" si="189"/>
        <v>0.54166666666666663</v>
      </c>
      <c r="L1526" s="2" t="str">
        <f t="shared" si="185"/>
        <v>EGL</v>
      </c>
      <c r="M1526" s="2">
        <f t="shared" si="190"/>
        <v>7.5</v>
      </c>
      <c r="N1526" s="2">
        <f t="shared" si="192"/>
        <v>2</v>
      </c>
      <c r="O1526" s="2">
        <f t="shared" si="191"/>
        <v>1</v>
      </c>
      <c r="P1526" s="27" t="s">
        <v>197</v>
      </c>
      <c r="Q1526" s="7" t="str">
        <f>IF($N1526=1,IF(ISERROR(VLOOKUP($P1526,'M1'!$A:$C,Q$2,FALSE)),"NOT PRESENT",VLOOKUP($P1526,'M1'!$A:$C,Q$2,FALSE)),IF($N1526=2,IF(ISERROR(VLOOKUP(DATA!$P358,'M2'!$A:$C,Q$2,FALSE)),"NOT PRESENT",VLOOKUP(DATA!$P358,'M2'!$A:$C,Q$2,FALSE)),IF($N1526=0,IF(ISERROR(VLOOKUP($P1526,'M1'!$A:$C,Q$2,FALSE)),IF(ISERROR(VLOOKUP(DATA!$P358,'M2'!$A:$C,Q$2,FALSE)),"NOT PRESENT",VLOOKUP(DATA!$P358,'M2'!$A:$C,Q$2,FALSE)),VLOOKUP($P1526,'M1'!$A:$C,Q$2,FALSE)),"SPECIFY METHOD")))</f>
        <v>NOT PRESENT</v>
      </c>
      <c r="R1526" s="4" t="str">
        <f>IF($N1526=1,IF(ISERROR(VLOOKUP($P1526,'M1'!$A:$C,R$2,FALSE)),"NOT PRESENT",VLOOKUP($P1526,'M1'!$A:$C,R$2,FALSE)),IF($N1526=2,IF(ISERROR(VLOOKUP(DATA!$P358,'M2'!$A:$C,R$2,FALSE)),"NOT PRESENT",VLOOKUP(DATA!$P358,'M2'!$A:$C,R$2,FALSE)),IF($N1526=0,IF(ISERROR(VLOOKUP($P1526,'M1'!$A:$C,R$2,FALSE)),IF(ISERROR(VLOOKUP(DATA!$P358,'M2'!$A:$C,R$2,FALSE)),"NOT PRESENT",VLOOKUP(DATA!$P358,'M2'!$A:$C,R$2,FALSE)),VLOOKUP($P1526,'M1'!$A:$C,R$2,FALSE)),"SPECIFY METHOD")))</f>
        <v>NOT PRESENT</v>
      </c>
      <c r="S1526" s="20">
        <f t="shared" si="186"/>
        <v>1</v>
      </c>
      <c r="T1526" s="2">
        <v>1</v>
      </c>
    </row>
    <row r="1527" spans="1:32">
      <c r="A1527" s="7">
        <f>MAX($A$1:$A1526)+1</f>
        <v>1526</v>
      </c>
      <c r="B1527" s="2" t="str">
        <f t="shared" si="181"/>
        <v>Em Lim</v>
      </c>
      <c r="C1527" s="2" t="str">
        <f t="shared" si="182"/>
        <v>Isabelle Côté</v>
      </c>
      <c r="D1527" s="2" t="str">
        <f t="shared" si="187"/>
        <v>BMSC8</v>
      </c>
      <c r="E1527" s="7" t="str">
        <f>IF(ISERROR(VLOOKUP($D1527,SITES!$A:$E,2,FALSE)),"",VLOOKUP($D1527,SITES!$A:$E,2,FALSE))</f>
        <v>Baeria Rocks North Island Northside</v>
      </c>
      <c r="F1527" s="4">
        <f>IF(ISERROR(VLOOKUP($D1527,SITES!$A:$E,3,FALSE)),"",VLOOKUP($D1527,SITES!$A:$E,3,FALSE))</f>
        <v>48.955081939697202</v>
      </c>
      <c r="G1527" s="18">
        <f>IF(ISERROR(VLOOKUP($D1527,SITES!$A:$E,4,FALSE)),"",VLOOKUP($D1527,SITES!$A:$E,4,FALSE))</f>
        <v>-125.15337371826099</v>
      </c>
      <c r="H1527" s="5" t="str">
        <f t="shared" si="183"/>
        <v>17/05/2023</v>
      </c>
      <c r="I1527" s="2">
        <f t="shared" si="184"/>
        <v>5</v>
      </c>
      <c r="J1527" s="53">
        <f t="shared" si="188"/>
        <v>300</v>
      </c>
      <c r="K1527" s="6">
        <f t="shared" si="189"/>
        <v>0.54166666666666663</v>
      </c>
      <c r="L1527" s="2" t="str">
        <f t="shared" si="185"/>
        <v>EGL</v>
      </c>
      <c r="M1527" s="2">
        <f t="shared" si="190"/>
        <v>7.5</v>
      </c>
      <c r="N1527" s="2">
        <f t="shared" si="192"/>
        <v>2</v>
      </c>
      <c r="O1527" s="2">
        <f t="shared" si="191"/>
        <v>1</v>
      </c>
      <c r="P1527" s="27" t="s">
        <v>210</v>
      </c>
      <c r="Q1527" s="7" t="str">
        <f>IF($N1527=1,IF(ISERROR(VLOOKUP($P1527,'M1'!$A:$C,Q$2,FALSE)),"NOT PRESENT",VLOOKUP($P1527,'M1'!$A:$C,Q$2,FALSE)),IF($N1527=2,IF(ISERROR(VLOOKUP(DATA!$P359,'M2'!$A:$C,Q$2,FALSE)),"NOT PRESENT",VLOOKUP(DATA!$P359,'M2'!$A:$C,Q$2,FALSE)),IF($N1527=0,IF(ISERROR(VLOOKUP($P1527,'M1'!$A:$C,Q$2,FALSE)),IF(ISERROR(VLOOKUP(DATA!$P359,'M2'!$A:$C,Q$2,FALSE)),"NOT PRESENT",VLOOKUP(DATA!$P359,'M2'!$A:$C,Q$2,FALSE)),VLOOKUP($P1527,'M1'!$A:$C,Q$2,FALSE)),"SPECIFY METHOD")))</f>
        <v>NOT PRESENT</v>
      </c>
      <c r="R1527" s="4" t="str">
        <f>IF($N1527=1,IF(ISERROR(VLOOKUP($P1527,'M1'!$A:$C,R$2,FALSE)),"NOT PRESENT",VLOOKUP($P1527,'M1'!$A:$C,R$2,FALSE)),IF($N1527=2,IF(ISERROR(VLOOKUP(DATA!$P359,'M2'!$A:$C,R$2,FALSE)),"NOT PRESENT",VLOOKUP(DATA!$P359,'M2'!$A:$C,R$2,FALSE)),IF($N1527=0,IF(ISERROR(VLOOKUP($P1527,'M1'!$A:$C,R$2,FALSE)),IF(ISERROR(VLOOKUP(DATA!$P359,'M2'!$A:$C,R$2,FALSE)),"NOT PRESENT",VLOOKUP(DATA!$P359,'M2'!$A:$C,R$2,FALSE)),VLOOKUP($P1527,'M1'!$A:$C,R$2,FALSE)),"SPECIFY METHOD")))</f>
        <v>NOT PRESENT</v>
      </c>
      <c r="S1527" s="20">
        <f t="shared" si="186"/>
        <v>1</v>
      </c>
      <c r="T1527" s="2">
        <v>1</v>
      </c>
    </row>
    <row r="1528" spans="1:32">
      <c r="A1528" s="7">
        <f>MAX($A$1:$A1527)+1</f>
        <v>1527</v>
      </c>
      <c r="B1528" s="2" t="str">
        <f t="shared" si="181"/>
        <v>Em Lim</v>
      </c>
      <c r="C1528" s="2" t="str">
        <f t="shared" si="182"/>
        <v>Isabelle Côté</v>
      </c>
      <c r="D1528" s="2" t="str">
        <f t="shared" si="187"/>
        <v>BMSC8</v>
      </c>
      <c r="E1528" s="7" t="str">
        <f>IF(ISERROR(VLOOKUP($D1528,SITES!$A:$E,2,FALSE)),"",VLOOKUP($D1528,SITES!$A:$E,2,FALSE))</f>
        <v>Baeria Rocks North Island Northside</v>
      </c>
      <c r="F1528" s="4">
        <f>IF(ISERROR(VLOOKUP($D1528,SITES!$A:$E,3,FALSE)),"",VLOOKUP($D1528,SITES!$A:$E,3,FALSE))</f>
        <v>48.955081939697202</v>
      </c>
      <c r="G1528" s="18">
        <f>IF(ISERROR(VLOOKUP($D1528,SITES!$A:$E,4,FALSE)),"",VLOOKUP($D1528,SITES!$A:$E,4,FALSE))</f>
        <v>-125.15337371826099</v>
      </c>
      <c r="H1528" s="5" t="str">
        <f t="shared" si="183"/>
        <v>17/05/2023</v>
      </c>
      <c r="I1528" s="2">
        <f t="shared" si="184"/>
        <v>5</v>
      </c>
      <c r="J1528" s="53">
        <f t="shared" si="188"/>
        <v>300</v>
      </c>
      <c r="K1528" s="6">
        <f t="shared" si="189"/>
        <v>0.54166666666666663</v>
      </c>
      <c r="L1528" s="2" t="str">
        <f t="shared" si="185"/>
        <v>EGL</v>
      </c>
      <c r="M1528" s="2">
        <f t="shared" si="190"/>
        <v>7.5</v>
      </c>
      <c r="N1528" s="2">
        <f t="shared" si="192"/>
        <v>2</v>
      </c>
      <c r="O1528" s="2">
        <f t="shared" si="191"/>
        <v>1</v>
      </c>
      <c r="P1528" s="27" t="s">
        <v>186</v>
      </c>
      <c r="Q1528" s="7" t="str">
        <f>IF($N1528=1,IF(ISERROR(VLOOKUP($P1528,'M1'!$A:$C,Q$2,FALSE)),"NOT PRESENT",VLOOKUP($P1528,'M1'!$A:$C,Q$2,FALSE)),IF($N1528=2,IF(ISERROR(VLOOKUP(DATA!$P360,'M2'!$A:$C,Q$2,FALSE)),"NOT PRESENT",VLOOKUP(DATA!$P360,'M2'!$A:$C,Q$2,FALSE)),IF($N1528=0,IF(ISERROR(VLOOKUP($P1528,'M1'!$A:$C,Q$2,FALSE)),IF(ISERROR(VLOOKUP(DATA!$P360,'M2'!$A:$C,Q$2,FALSE)),"NOT PRESENT",VLOOKUP(DATA!$P360,'M2'!$A:$C,Q$2,FALSE)),VLOOKUP($P1528,'M1'!$A:$C,Q$2,FALSE)),"SPECIFY METHOD")))</f>
        <v>NOT PRESENT</v>
      </c>
      <c r="R1528" s="4" t="str">
        <f>IF($N1528=1,IF(ISERROR(VLOOKUP($P1528,'M1'!$A:$C,R$2,FALSE)),"NOT PRESENT",VLOOKUP($P1528,'M1'!$A:$C,R$2,FALSE)),IF($N1528=2,IF(ISERROR(VLOOKUP(DATA!$P360,'M2'!$A:$C,R$2,FALSE)),"NOT PRESENT",VLOOKUP(DATA!$P360,'M2'!$A:$C,R$2,FALSE)),IF($N1528=0,IF(ISERROR(VLOOKUP($P1528,'M1'!$A:$C,R$2,FALSE)),IF(ISERROR(VLOOKUP(DATA!$P360,'M2'!$A:$C,R$2,FALSE)),"NOT PRESENT",VLOOKUP(DATA!$P360,'M2'!$A:$C,R$2,FALSE)),VLOOKUP($P1528,'M1'!$A:$C,R$2,FALSE)),"SPECIFY METHOD")))</f>
        <v>NOT PRESENT</v>
      </c>
      <c r="S1528" s="20">
        <f t="shared" si="186"/>
        <v>1</v>
      </c>
      <c r="T1528" s="2">
        <v>0</v>
      </c>
      <c r="AF1528" s="2">
        <v>1</v>
      </c>
    </row>
    <row r="1529" spans="1:32">
      <c r="A1529" s="7">
        <f>MAX($A$1:$A1528)+1</f>
        <v>1528</v>
      </c>
      <c r="B1529" s="2" t="str">
        <f t="shared" si="181"/>
        <v>Em Lim</v>
      </c>
      <c r="C1529" s="2" t="str">
        <f t="shared" si="182"/>
        <v>Isabelle Côté</v>
      </c>
      <c r="D1529" s="2" t="str">
        <f t="shared" si="187"/>
        <v>BMSC8</v>
      </c>
      <c r="E1529" s="7" t="str">
        <f>IF(ISERROR(VLOOKUP($D1529,SITES!$A:$E,2,FALSE)),"",VLOOKUP($D1529,SITES!$A:$E,2,FALSE))</f>
        <v>Baeria Rocks North Island Northside</v>
      </c>
      <c r="F1529" s="4">
        <f>IF(ISERROR(VLOOKUP($D1529,SITES!$A:$E,3,FALSE)),"",VLOOKUP($D1529,SITES!$A:$E,3,FALSE))</f>
        <v>48.955081939697202</v>
      </c>
      <c r="G1529" s="18">
        <f>IF(ISERROR(VLOOKUP($D1529,SITES!$A:$E,4,FALSE)),"",VLOOKUP($D1529,SITES!$A:$E,4,FALSE))</f>
        <v>-125.15337371826099</v>
      </c>
      <c r="H1529" s="5" t="str">
        <f t="shared" si="183"/>
        <v>17/05/2023</v>
      </c>
      <c r="I1529" s="2">
        <f t="shared" si="184"/>
        <v>5</v>
      </c>
      <c r="J1529" s="53">
        <f t="shared" si="188"/>
        <v>300</v>
      </c>
      <c r="K1529" s="6">
        <f t="shared" si="189"/>
        <v>0.54166666666666663</v>
      </c>
      <c r="L1529" s="2" t="str">
        <f t="shared" si="185"/>
        <v>EGL</v>
      </c>
      <c r="M1529" s="2">
        <f t="shared" si="190"/>
        <v>7.5</v>
      </c>
      <c r="N1529" s="2">
        <f t="shared" si="192"/>
        <v>2</v>
      </c>
      <c r="O1529" s="2">
        <f t="shared" si="191"/>
        <v>1</v>
      </c>
      <c r="P1529" s="27" t="s">
        <v>220</v>
      </c>
      <c r="Q1529" s="7" t="str">
        <f>IF($N1529=1,IF(ISERROR(VLOOKUP($P1529,'M1'!$A:$C,Q$2,FALSE)),"NOT PRESENT",VLOOKUP($P1529,'M1'!$A:$C,Q$2,FALSE)),IF($N1529=2,IF(ISERROR(VLOOKUP(DATA!$P361,'M2'!$A:$C,Q$2,FALSE)),"NOT PRESENT",VLOOKUP(DATA!$P361,'M2'!$A:$C,Q$2,FALSE)),IF($N1529=0,IF(ISERROR(VLOOKUP($P1529,'M1'!$A:$C,Q$2,FALSE)),IF(ISERROR(VLOOKUP(DATA!$P361,'M2'!$A:$C,Q$2,FALSE)),"NOT PRESENT",VLOOKUP(DATA!$P361,'M2'!$A:$C,Q$2,FALSE)),VLOOKUP($P1529,'M1'!$A:$C,Q$2,FALSE)),"SPECIFY METHOD")))</f>
        <v>NOT PRESENT</v>
      </c>
      <c r="R1529" s="4" t="str">
        <f>IF($N1529=1,IF(ISERROR(VLOOKUP($P1529,'M1'!$A:$C,R$2,FALSE)),"NOT PRESENT",VLOOKUP($P1529,'M1'!$A:$C,R$2,FALSE)),IF($N1529=2,IF(ISERROR(VLOOKUP(DATA!$P361,'M2'!$A:$C,R$2,FALSE)),"NOT PRESENT",VLOOKUP(DATA!$P361,'M2'!$A:$C,R$2,FALSE)),IF($N1529=0,IF(ISERROR(VLOOKUP($P1529,'M1'!$A:$C,R$2,FALSE)),IF(ISERROR(VLOOKUP(DATA!$P361,'M2'!$A:$C,R$2,FALSE)),"NOT PRESENT",VLOOKUP(DATA!$P361,'M2'!$A:$C,R$2,FALSE)),VLOOKUP($P1529,'M1'!$A:$C,R$2,FALSE)),"SPECIFY METHOD")))</f>
        <v>NOT PRESENT</v>
      </c>
      <c r="S1529" s="20">
        <f t="shared" si="186"/>
        <v>1</v>
      </c>
      <c r="T1529" s="2">
        <v>1</v>
      </c>
    </row>
    <row r="1530" spans="1:32">
      <c r="A1530" s="7">
        <f>MAX($A$1:$A1529)+1</f>
        <v>1529</v>
      </c>
      <c r="B1530" s="2" t="s">
        <v>278</v>
      </c>
      <c r="C1530" s="2" t="s">
        <v>171</v>
      </c>
      <c r="D1530" s="2" t="s">
        <v>33</v>
      </c>
      <c r="E1530" s="7" t="s">
        <v>370</v>
      </c>
      <c r="F1530" s="4">
        <v>48.955081939697202</v>
      </c>
      <c r="G1530" s="18">
        <v>-125.15337371826099</v>
      </c>
      <c r="H1530" s="5" t="s">
        <v>11</v>
      </c>
      <c r="I1530" s="2">
        <v>5</v>
      </c>
      <c r="J1530" s="2">
        <v>150</v>
      </c>
      <c r="K1530" s="6">
        <v>0.54305555555555551</v>
      </c>
      <c r="L1530" s="2" t="s">
        <v>172</v>
      </c>
      <c r="M1530" s="2">
        <v>9</v>
      </c>
      <c r="N1530" s="2">
        <v>1</v>
      </c>
      <c r="O1530" s="2">
        <v>1</v>
      </c>
      <c r="P1530" s="2" t="s">
        <v>232</v>
      </c>
      <c r="Q1530" s="7" t="s">
        <v>43</v>
      </c>
      <c r="R1530" s="4" t="s">
        <v>324</v>
      </c>
      <c r="S1530" s="20">
        <v>3</v>
      </c>
      <c r="T1530" s="2">
        <v>0</v>
      </c>
      <c r="AC1530" s="2">
        <v>2</v>
      </c>
      <c r="AD1530" s="2">
        <v>1</v>
      </c>
    </row>
    <row r="1531" spans="1:32">
      <c r="A1531" s="7">
        <f>MAX($A$1:$A1530)+1</f>
        <v>1530</v>
      </c>
      <c r="B1531" s="2" t="s">
        <v>278</v>
      </c>
      <c r="C1531" s="2" t="s">
        <v>171</v>
      </c>
      <c r="D1531" s="2" t="s">
        <v>33</v>
      </c>
      <c r="E1531" s="7" t="s">
        <v>370</v>
      </c>
      <c r="F1531" s="4">
        <v>48.955081939697202</v>
      </c>
      <c r="G1531" s="18">
        <v>-125.15337371826099</v>
      </c>
      <c r="H1531" s="5" t="s">
        <v>11</v>
      </c>
      <c r="I1531" s="2">
        <v>5</v>
      </c>
      <c r="J1531" s="2">
        <v>150</v>
      </c>
      <c r="K1531" s="6">
        <v>0.54305555555555551</v>
      </c>
      <c r="L1531" s="2" t="s">
        <v>172</v>
      </c>
      <c r="M1531" s="2">
        <v>9</v>
      </c>
      <c r="N1531" s="2">
        <v>1</v>
      </c>
      <c r="O1531" s="2">
        <v>1</v>
      </c>
      <c r="P1531" s="2" t="s">
        <v>237</v>
      </c>
      <c r="Q1531" s="7" t="s">
        <v>51</v>
      </c>
      <c r="R1531" s="4" t="s">
        <v>368</v>
      </c>
      <c r="S1531" s="20">
        <v>2</v>
      </c>
      <c r="T1531" s="2">
        <v>0</v>
      </c>
      <c r="AD1531" s="2">
        <v>1</v>
      </c>
      <c r="AE1531" s="2">
        <v>1</v>
      </c>
    </row>
    <row r="1532" spans="1:32">
      <c r="A1532" s="7">
        <f>MAX($A$1:$A1531)+1</f>
        <v>1531</v>
      </c>
      <c r="B1532" s="2" t="s">
        <v>278</v>
      </c>
      <c r="C1532" s="2" t="s">
        <v>171</v>
      </c>
      <c r="D1532" s="2" t="s">
        <v>33</v>
      </c>
      <c r="E1532" s="7" t="s">
        <v>370</v>
      </c>
      <c r="F1532" s="4">
        <v>48.955081939697202</v>
      </c>
      <c r="G1532" s="18">
        <v>-125.15337371826099</v>
      </c>
      <c r="H1532" s="5" t="s">
        <v>11</v>
      </c>
      <c r="I1532" s="2">
        <v>5</v>
      </c>
      <c r="J1532" s="2">
        <v>150</v>
      </c>
      <c r="K1532" s="6">
        <v>0.54305555555555551</v>
      </c>
      <c r="L1532" s="2" t="s">
        <v>172</v>
      </c>
      <c r="M1532" s="2">
        <v>9</v>
      </c>
      <c r="N1532" s="2">
        <v>2</v>
      </c>
      <c r="O1532" s="2">
        <v>1</v>
      </c>
      <c r="P1532" s="2" t="s">
        <v>241</v>
      </c>
      <c r="Q1532" s="7" t="s">
        <v>63</v>
      </c>
      <c r="R1532" s="4" t="s">
        <v>294</v>
      </c>
      <c r="S1532" s="20">
        <v>257</v>
      </c>
      <c r="T1532" s="2">
        <v>257</v>
      </c>
    </row>
    <row r="1533" spans="1:32">
      <c r="A1533" s="7">
        <f>MAX($A$1:$A1532)+1</f>
        <v>1532</v>
      </c>
      <c r="B1533" s="2" t="s">
        <v>278</v>
      </c>
      <c r="C1533" s="2" t="s">
        <v>171</v>
      </c>
      <c r="D1533" s="2" t="s">
        <v>33</v>
      </c>
      <c r="E1533" s="7" t="s">
        <v>370</v>
      </c>
      <c r="F1533" s="4">
        <v>48.955081939697202</v>
      </c>
      <c r="G1533" s="18">
        <v>-125.15337371826099</v>
      </c>
      <c r="H1533" s="5" t="s">
        <v>11</v>
      </c>
      <c r="I1533" s="2">
        <v>5</v>
      </c>
      <c r="J1533" s="2">
        <v>150</v>
      </c>
      <c r="K1533" s="6">
        <v>0.54305555555555551</v>
      </c>
      <c r="L1533" s="2" t="s">
        <v>172</v>
      </c>
      <c r="M1533" s="2">
        <v>9</v>
      </c>
      <c r="N1533" s="2">
        <v>2</v>
      </c>
      <c r="O1533" s="2">
        <v>1</v>
      </c>
      <c r="P1533" s="2" t="s">
        <v>371</v>
      </c>
      <c r="Q1533" s="7" t="s">
        <v>130</v>
      </c>
      <c r="R1533" s="4" t="s">
        <v>372</v>
      </c>
      <c r="S1533" s="20">
        <v>185</v>
      </c>
      <c r="T1533" s="2">
        <v>185</v>
      </c>
    </row>
    <row r="1534" spans="1:32">
      <c r="A1534" s="7">
        <f>MAX($A$1:$A1533)+1</f>
        <v>1533</v>
      </c>
      <c r="B1534" s="2" t="s">
        <v>278</v>
      </c>
      <c r="C1534" s="2" t="s">
        <v>171</v>
      </c>
      <c r="D1534" s="2" t="s">
        <v>33</v>
      </c>
      <c r="E1534" s="7" t="s">
        <v>370</v>
      </c>
      <c r="F1534" s="4">
        <v>48.955081939697202</v>
      </c>
      <c r="G1534" s="18">
        <v>-125.15337371826099</v>
      </c>
      <c r="H1534" s="5" t="s">
        <v>11</v>
      </c>
      <c r="I1534" s="2">
        <v>5</v>
      </c>
      <c r="J1534" s="2">
        <v>150</v>
      </c>
      <c r="K1534" s="6">
        <v>0.54305555555555551</v>
      </c>
      <c r="L1534" s="2" t="s">
        <v>172</v>
      </c>
      <c r="M1534" s="2">
        <v>9</v>
      </c>
      <c r="N1534" s="2">
        <v>2</v>
      </c>
      <c r="O1534" s="2">
        <v>1</v>
      </c>
      <c r="P1534" s="2" t="s">
        <v>244</v>
      </c>
      <c r="Q1534" s="7" t="s">
        <v>65</v>
      </c>
      <c r="R1534" s="4" t="s">
        <v>307</v>
      </c>
      <c r="S1534" s="20">
        <v>55</v>
      </c>
      <c r="T1534" s="2">
        <v>55</v>
      </c>
    </row>
    <row r="1535" spans="1:32">
      <c r="A1535" s="7">
        <f>MAX($A$1:$A1534)+1</f>
        <v>1534</v>
      </c>
      <c r="B1535" s="2" t="s">
        <v>278</v>
      </c>
      <c r="C1535" s="2" t="s">
        <v>171</v>
      </c>
      <c r="D1535" s="2" t="s">
        <v>33</v>
      </c>
      <c r="E1535" s="7" t="s">
        <v>370</v>
      </c>
      <c r="F1535" s="4">
        <v>48.955081939697202</v>
      </c>
      <c r="G1535" s="18">
        <v>-125.15337371826099</v>
      </c>
      <c r="H1535" s="5" t="s">
        <v>11</v>
      </c>
      <c r="I1535" s="2">
        <v>5</v>
      </c>
      <c r="J1535" s="2">
        <v>150</v>
      </c>
      <c r="K1535" s="6">
        <v>0.54305555555555551</v>
      </c>
      <c r="L1535" s="2" t="s">
        <v>172</v>
      </c>
      <c r="M1535" s="2">
        <v>9</v>
      </c>
      <c r="N1535" s="2">
        <v>2</v>
      </c>
      <c r="O1535" s="2">
        <v>1</v>
      </c>
      <c r="P1535" s="2" t="s">
        <v>246</v>
      </c>
      <c r="Q1535" s="7" t="s">
        <v>66</v>
      </c>
      <c r="R1535" s="4" t="s">
        <v>318</v>
      </c>
      <c r="S1535" s="20">
        <v>12</v>
      </c>
      <c r="T1535" s="2">
        <v>12</v>
      </c>
      <c r="U1535" s="48"/>
      <c r="V1535" s="48"/>
      <c r="W1535" s="48"/>
    </row>
    <row r="1536" spans="1:32">
      <c r="A1536" s="7">
        <f>MAX($A$1:$A1535)+1</f>
        <v>1535</v>
      </c>
      <c r="B1536" s="2" t="s">
        <v>278</v>
      </c>
      <c r="C1536" s="2" t="s">
        <v>171</v>
      </c>
      <c r="D1536" s="2" t="s">
        <v>33</v>
      </c>
      <c r="E1536" s="7" t="s">
        <v>370</v>
      </c>
      <c r="F1536" s="4">
        <v>48.955081939697202</v>
      </c>
      <c r="G1536" s="18">
        <v>-125.15337371826099</v>
      </c>
      <c r="H1536" s="5" t="s">
        <v>11</v>
      </c>
      <c r="I1536" s="2">
        <v>5</v>
      </c>
      <c r="J1536" s="2">
        <v>150</v>
      </c>
      <c r="K1536" s="6">
        <v>0.54305555555555551</v>
      </c>
      <c r="L1536" s="2" t="s">
        <v>172</v>
      </c>
      <c r="M1536" s="2">
        <v>9</v>
      </c>
      <c r="N1536" s="2">
        <v>2</v>
      </c>
      <c r="O1536" s="2">
        <v>1</v>
      </c>
      <c r="P1536" s="2" t="s">
        <v>239</v>
      </c>
      <c r="Q1536" s="7" t="s">
        <v>80</v>
      </c>
      <c r="R1536" s="4" t="s">
        <v>300</v>
      </c>
      <c r="S1536" s="20">
        <v>29</v>
      </c>
      <c r="T1536" s="2">
        <v>29</v>
      </c>
    </row>
    <row r="1537" spans="1:30">
      <c r="A1537" s="7">
        <f>MAX($A$1:$A1536)+1</f>
        <v>1536</v>
      </c>
      <c r="B1537" s="2" t="s">
        <v>278</v>
      </c>
      <c r="C1537" s="2" t="s">
        <v>171</v>
      </c>
      <c r="D1537" s="2" t="s">
        <v>33</v>
      </c>
      <c r="E1537" s="7" t="s">
        <v>370</v>
      </c>
      <c r="F1537" s="4">
        <v>48.955081939697202</v>
      </c>
      <c r="G1537" s="18">
        <v>-125.15337371826099</v>
      </c>
      <c r="H1537" s="5" t="s">
        <v>11</v>
      </c>
      <c r="I1537" s="2">
        <v>5</v>
      </c>
      <c r="J1537" s="2">
        <v>150</v>
      </c>
      <c r="K1537" s="6">
        <v>0.54305555555555551</v>
      </c>
      <c r="L1537" s="2" t="s">
        <v>172</v>
      </c>
      <c r="M1537" s="2">
        <v>9</v>
      </c>
      <c r="N1537" s="2">
        <v>2</v>
      </c>
      <c r="O1537" s="2">
        <v>1</v>
      </c>
      <c r="P1537" s="2" t="s">
        <v>243</v>
      </c>
      <c r="Q1537" s="7" t="s">
        <v>85</v>
      </c>
      <c r="R1537" s="4" t="s">
        <v>312</v>
      </c>
      <c r="S1537" s="20">
        <v>5</v>
      </c>
      <c r="T1537" s="2">
        <v>5</v>
      </c>
    </row>
    <row r="1538" spans="1:30">
      <c r="A1538" s="7">
        <f>MAX($A$1:$A1537)+1</f>
        <v>1537</v>
      </c>
      <c r="B1538" s="2" t="s">
        <v>278</v>
      </c>
      <c r="C1538" s="2" t="s">
        <v>171</v>
      </c>
      <c r="D1538" s="2" t="s">
        <v>33</v>
      </c>
      <c r="E1538" s="7" t="s">
        <v>370</v>
      </c>
      <c r="F1538" s="4">
        <v>48.955081939697202</v>
      </c>
      <c r="G1538" s="18">
        <v>-125.15337371826099</v>
      </c>
      <c r="H1538" s="5" t="s">
        <v>11</v>
      </c>
      <c r="I1538" s="2">
        <v>5</v>
      </c>
      <c r="J1538" s="2">
        <v>150</v>
      </c>
      <c r="K1538" s="6">
        <v>0.54305555555555551</v>
      </c>
      <c r="L1538" s="2" t="s">
        <v>172</v>
      </c>
      <c r="M1538" s="2">
        <v>9</v>
      </c>
      <c r="N1538" s="2">
        <v>2</v>
      </c>
      <c r="O1538" s="2">
        <v>1</v>
      </c>
      <c r="P1538" s="2" t="s">
        <v>301</v>
      </c>
      <c r="Q1538" s="7" t="s">
        <v>97</v>
      </c>
      <c r="R1538" s="4" t="s">
        <v>302</v>
      </c>
      <c r="S1538" s="20">
        <v>19</v>
      </c>
      <c r="T1538" s="2">
        <v>19</v>
      </c>
    </row>
    <row r="1539" spans="1:30">
      <c r="A1539" s="7">
        <f>MAX($A$1:$A1538)+1</f>
        <v>1538</v>
      </c>
      <c r="B1539" s="2" t="s">
        <v>278</v>
      </c>
      <c r="C1539" s="2" t="s">
        <v>171</v>
      </c>
      <c r="D1539" s="2" t="s">
        <v>33</v>
      </c>
      <c r="E1539" s="7" t="s">
        <v>370</v>
      </c>
      <c r="F1539" s="4">
        <v>48.955081939697202</v>
      </c>
      <c r="G1539" s="18">
        <v>-125.15337371826099</v>
      </c>
      <c r="H1539" s="5" t="s">
        <v>11</v>
      </c>
      <c r="I1539" s="2">
        <v>5</v>
      </c>
      <c r="J1539" s="2">
        <v>150</v>
      </c>
      <c r="K1539" s="6">
        <v>0.54305555555555551</v>
      </c>
      <c r="L1539" s="2" t="s">
        <v>172</v>
      </c>
      <c r="M1539" s="2">
        <v>9</v>
      </c>
      <c r="N1539" s="2">
        <v>2</v>
      </c>
      <c r="O1539" s="2">
        <v>1</v>
      </c>
      <c r="P1539" s="2" t="s">
        <v>250</v>
      </c>
      <c r="Q1539" s="7" t="s">
        <v>46</v>
      </c>
      <c r="R1539" s="4" t="s">
        <v>295</v>
      </c>
      <c r="S1539" s="20">
        <v>8</v>
      </c>
      <c r="T1539" s="2">
        <v>0</v>
      </c>
      <c r="V1539" s="2">
        <v>4</v>
      </c>
      <c r="W1539" s="2">
        <v>4</v>
      </c>
    </row>
    <row r="1540" spans="1:30">
      <c r="A1540" s="7">
        <f>MAX($A$1:$A1539)+1</f>
        <v>1539</v>
      </c>
      <c r="B1540" s="2" t="s">
        <v>278</v>
      </c>
      <c r="C1540" s="2" t="s">
        <v>171</v>
      </c>
      <c r="D1540" s="2" t="s">
        <v>33</v>
      </c>
      <c r="E1540" s="7" t="s">
        <v>370</v>
      </c>
      <c r="F1540" s="4">
        <v>48.955081939697202</v>
      </c>
      <c r="G1540" s="18">
        <v>-125.15337371826099</v>
      </c>
      <c r="H1540" s="5" t="s">
        <v>11</v>
      </c>
      <c r="I1540" s="2">
        <v>5</v>
      </c>
      <c r="J1540" s="2">
        <v>150</v>
      </c>
      <c r="K1540" s="6">
        <v>0.54305555555555551</v>
      </c>
      <c r="L1540" s="2" t="s">
        <v>172</v>
      </c>
      <c r="M1540" s="2">
        <v>9</v>
      </c>
      <c r="N1540" s="2">
        <v>2</v>
      </c>
      <c r="O1540" s="2">
        <v>1</v>
      </c>
      <c r="P1540" s="2" t="s">
        <v>296</v>
      </c>
      <c r="Q1540" s="7" t="s">
        <v>75</v>
      </c>
      <c r="R1540" s="4" t="s">
        <v>297</v>
      </c>
      <c r="S1540" s="20">
        <v>12</v>
      </c>
      <c r="T1540" s="2">
        <v>12</v>
      </c>
    </row>
    <row r="1541" spans="1:30">
      <c r="A1541" s="7">
        <f>MAX($A$1:$A1540)+1</f>
        <v>1540</v>
      </c>
      <c r="B1541" s="2" t="s">
        <v>278</v>
      </c>
      <c r="C1541" s="2" t="s">
        <v>171</v>
      </c>
      <c r="D1541" s="2" t="s">
        <v>33</v>
      </c>
      <c r="E1541" s="7" t="s">
        <v>370</v>
      </c>
      <c r="F1541" s="4">
        <v>48.955081939697202</v>
      </c>
      <c r="G1541" s="18">
        <v>-125.15337371826099</v>
      </c>
      <c r="H1541" s="5" t="s">
        <v>11</v>
      </c>
      <c r="I1541" s="2">
        <v>5</v>
      </c>
      <c r="J1541" s="2">
        <v>150</v>
      </c>
      <c r="K1541" s="6">
        <v>0.54305555555555551</v>
      </c>
      <c r="L1541" s="2" t="s">
        <v>172</v>
      </c>
      <c r="M1541" s="2">
        <v>9</v>
      </c>
      <c r="N1541" s="2">
        <v>2</v>
      </c>
      <c r="O1541" s="2">
        <v>1</v>
      </c>
      <c r="P1541" s="2" t="s">
        <v>251</v>
      </c>
      <c r="Q1541" s="7" t="s">
        <v>73</v>
      </c>
      <c r="R1541" s="4" t="s">
        <v>325</v>
      </c>
      <c r="S1541" s="20">
        <v>1</v>
      </c>
      <c r="T1541" s="2">
        <v>1</v>
      </c>
    </row>
    <row r="1542" spans="1:30">
      <c r="A1542" s="7">
        <f>MAX($A$1:$A1541)+1</f>
        <v>1541</v>
      </c>
      <c r="B1542" s="2" t="s">
        <v>278</v>
      </c>
      <c r="C1542" s="2" t="s">
        <v>171</v>
      </c>
      <c r="D1542" s="2" t="s">
        <v>33</v>
      </c>
      <c r="E1542" s="7" t="s">
        <v>370</v>
      </c>
      <c r="F1542" s="4">
        <v>48.955081939697202</v>
      </c>
      <c r="G1542" s="18">
        <v>-125.15337371826099</v>
      </c>
      <c r="H1542" s="5" t="s">
        <v>11</v>
      </c>
      <c r="I1542" s="2">
        <v>5</v>
      </c>
      <c r="J1542" s="2">
        <v>150</v>
      </c>
      <c r="K1542" s="6">
        <v>0.54305555555555551</v>
      </c>
      <c r="L1542" s="2" t="s">
        <v>172</v>
      </c>
      <c r="M1542" s="2">
        <v>9</v>
      </c>
      <c r="N1542" s="2">
        <v>2</v>
      </c>
      <c r="O1542" s="2">
        <v>1</v>
      </c>
      <c r="P1542" s="2" t="s">
        <v>373</v>
      </c>
      <c r="Q1542" s="7" t="s">
        <v>131</v>
      </c>
      <c r="R1542" s="4" t="s">
        <v>374</v>
      </c>
      <c r="S1542" s="20">
        <v>2</v>
      </c>
      <c r="T1542" s="2">
        <v>2</v>
      </c>
    </row>
    <row r="1543" spans="1:30">
      <c r="A1543" s="7">
        <f>MAX($A$1:$A1542)+1</f>
        <v>1542</v>
      </c>
      <c r="B1543" s="2" t="s">
        <v>278</v>
      </c>
      <c r="C1543" s="2" t="s">
        <v>171</v>
      </c>
      <c r="D1543" s="2" t="s">
        <v>33</v>
      </c>
      <c r="E1543" s="7" t="s">
        <v>370</v>
      </c>
      <c r="F1543" s="4">
        <v>48.955081939697202</v>
      </c>
      <c r="G1543" s="18">
        <v>-125.15337371826099</v>
      </c>
      <c r="H1543" s="5" t="s">
        <v>11</v>
      </c>
      <c r="I1543" s="2">
        <v>5</v>
      </c>
      <c r="J1543" s="2">
        <v>150</v>
      </c>
      <c r="K1543" s="6">
        <v>0.54305555555555551</v>
      </c>
      <c r="L1543" s="2" t="s">
        <v>172</v>
      </c>
      <c r="M1543" s="2">
        <v>9</v>
      </c>
      <c r="N1543" s="2">
        <v>2</v>
      </c>
      <c r="O1543" s="2">
        <v>1</v>
      </c>
      <c r="P1543" s="2" t="s">
        <v>338</v>
      </c>
      <c r="Q1543" s="7" t="s">
        <v>101</v>
      </c>
      <c r="R1543" s="4" t="s">
        <v>339</v>
      </c>
      <c r="S1543" s="20">
        <v>2</v>
      </c>
      <c r="T1543" s="2">
        <v>0</v>
      </c>
      <c r="U1543" s="2">
        <v>2</v>
      </c>
    </row>
    <row r="1544" spans="1:30">
      <c r="A1544" s="7">
        <f>MAX($A$1:$A1543)+1</f>
        <v>1543</v>
      </c>
      <c r="B1544" s="2" t="s">
        <v>278</v>
      </c>
      <c r="C1544" s="2" t="s">
        <v>171</v>
      </c>
      <c r="D1544" s="2" t="s">
        <v>33</v>
      </c>
      <c r="E1544" s="7" t="s">
        <v>370</v>
      </c>
      <c r="F1544" s="4">
        <v>48.955081939697202</v>
      </c>
      <c r="G1544" s="18">
        <v>-125.15337371826099</v>
      </c>
      <c r="H1544" s="5" t="s">
        <v>11</v>
      </c>
      <c r="I1544" s="2">
        <v>5</v>
      </c>
      <c r="J1544" s="2">
        <v>150</v>
      </c>
      <c r="K1544" s="6">
        <v>0.54305555555555551</v>
      </c>
      <c r="L1544" s="2" t="s">
        <v>172</v>
      </c>
      <c r="M1544" s="2">
        <v>9</v>
      </c>
      <c r="N1544" s="2">
        <v>2</v>
      </c>
      <c r="O1544" s="2">
        <v>1</v>
      </c>
      <c r="P1544" s="2" t="s">
        <v>366</v>
      </c>
      <c r="Q1544" s="7" t="s">
        <v>103</v>
      </c>
      <c r="R1544" s="4" t="s">
        <v>367</v>
      </c>
      <c r="S1544" s="20">
        <v>1</v>
      </c>
      <c r="T1544" s="2">
        <v>1</v>
      </c>
    </row>
    <row r="1545" spans="1:30">
      <c r="A1545" s="7">
        <f>MAX($A$1:$A1544)+1</f>
        <v>1544</v>
      </c>
      <c r="B1545" s="2" t="s">
        <v>278</v>
      </c>
      <c r="C1545" s="2" t="s">
        <v>171</v>
      </c>
      <c r="D1545" s="2" t="s">
        <v>33</v>
      </c>
      <c r="E1545" s="7" t="s">
        <v>370</v>
      </c>
      <c r="F1545" s="4">
        <v>48.955081939697202</v>
      </c>
      <c r="G1545" s="18">
        <v>-125.15337371826099</v>
      </c>
      <c r="H1545" s="5" t="s">
        <v>11</v>
      </c>
      <c r="I1545" s="2">
        <v>5</v>
      </c>
      <c r="J1545" s="2">
        <v>150</v>
      </c>
      <c r="K1545" s="6">
        <v>0.54305555555555551</v>
      </c>
      <c r="L1545" s="2" t="s">
        <v>172</v>
      </c>
      <c r="M1545" s="2">
        <v>9</v>
      </c>
      <c r="N1545" s="2">
        <v>2</v>
      </c>
      <c r="O1545" s="2">
        <v>1</v>
      </c>
      <c r="P1545" s="2" t="s">
        <v>238</v>
      </c>
      <c r="Q1545" s="7" t="s">
        <v>69</v>
      </c>
      <c r="R1545" s="4" t="s">
        <v>313</v>
      </c>
      <c r="S1545" s="20">
        <v>6</v>
      </c>
      <c r="T1545" s="2">
        <v>6</v>
      </c>
    </row>
    <row r="1546" spans="1:30">
      <c r="A1546" s="7">
        <f>MAX($A$1:$A1545)+1</f>
        <v>1545</v>
      </c>
      <c r="B1546" s="2" t="s">
        <v>278</v>
      </c>
      <c r="C1546" s="2" t="s">
        <v>171</v>
      </c>
      <c r="D1546" s="2" t="s">
        <v>33</v>
      </c>
      <c r="E1546" s="7" t="s">
        <v>370</v>
      </c>
      <c r="F1546" s="4">
        <v>48.955081939697202</v>
      </c>
      <c r="G1546" s="18">
        <v>-125.15337371826099</v>
      </c>
      <c r="H1546" s="5" t="s">
        <v>11</v>
      </c>
      <c r="I1546" s="2">
        <v>5</v>
      </c>
      <c r="J1546" s="2">
        <v>150</v>
      </c>
      <c r="K1546" s="6">
        <v>0.54305555555555551</v>
      </c>
      <c r="L1546" s="2" t="s">
        <v>172</v>
      </c>
      <c r="M1546" s="2">
        <v>9</v>
      </c>
      <c r="N1546" s="2">
        <v>2</v>
      </c>
      <c r="O1546" s="2">
        <v>1</v>
      </c>
      <c r="P1546" s="2" t="s">
        <v>333</v>
      </c>
      <c r="Q1546" s="7" t="s">
        <v>102</v>
      </c>
      <c r="R1546" s="47" t="s">
        <v>334</v>
      </c>
      <c r="S1546" s="20">
        <v>5</v>
      </c>
      <c r="T1546" s="2">
        <v>5</v>
      </c>
    </row>
    <row r="1547" spans="1:30">
      <c r="A1547" s="7">
        <f>MAX($A$1:$A1546)+1</f>
        <v>1546</v>
      </c>
      <c r="B1547" s="2" t="s">
        <v>278</v>
      </c>
      <c r="C1547" s="2" t="s">
        <v>171</v>
      </c>
      <c r="D1547" s="2" t="s">
        <v>33</v>
      </c>
      <c r="E1547" s="7" t="s">
        <v>370</v>
      </c>
      <c r="F1547" s="4">
        <v>48.955081939697202</v>
      </c>
      <c r="G1547" s="18">
        <v>-125.15337371826099</v>
      </c>
      <c r="H1547" s="5" t="s">
        <v>11</v>
      </c>
      <c r="I1547" s="2">
        <v>5</v>
      </c>
      <c r="J1547" s="2">
        <v>150</v>
      </c>
      <c r="K1547" s="6">
        <v>0.54305555555555551</v>
      </c>
      <c r="L1547" s="2" t="s">
        <v>172</v>
      </c>
      <c r="M1547" s="2">
        <v>9</v>
      </c>
      <c r="N1547" s="2">
        <v>2</v>
      </c>
      <c r="O1547" s="2">
        <v>1</v>
      </c>
      <c r="P1547" s="2" t="s">
        <v>308</v>
      </c>
      <c r="Q1547" s="7" t="s">
        <v>122</v>
      </c>
      <c r="R1547" s="4" t="s">
        <v>309</v>
      </c>
      <c r="S1547" s="20">
        <v>2</v>
      </c>
      <c r="T1547" s="2">
        <v>2</v>
      </c>
    </row>
    <row r="1548" spans="1:30">
      <c r="A1548" s="7">
        <f>MAX($A$1:$A1547)+1</f>
        <v>1547</v>
      </c>
      <c r="B1548" s="2" t="s">
        <v>278</v>
      </c>
      <c r="C1548" s="2" t="s">
        <v>171</v>
      </c>
      <c r="D1548" s="2" t="s">
        <v>33</v>
      </c>
      <c r="E1548" s="7" t="s">
        <v>370</v>
      </c>
      <c r="F1548" s="4">
        <v>48.955081939697202</v>
      </c>
      <c r="G1548" s="18">
        <v>-125.15337371826099</v>
      </c>
      <c r="H1548" s="5" t="s">
        <v>11</v>
      </c>
      <c r="I1548" s="2">
        <v>5</v>
      </c>
      <c r="J1548" s="2">
        <v>150</v>
      </c>
      <c r="K1548" s="6">
        <v>0.54305555555555551</v>
      </c>
      <c r="L1548" s="2" t="s">
        <v>172</v>
      </c>
      <c r="M1548" s="2">
        <v>9</v>
      </c>
      <c r="N1548" s="2">
        <v>2</v>
      </c>
      <c r="O1548" s="2">
        <v>1</v>
      </c>
      <c r="P1548" s="2" t="s">
        <v>247</v>
      </c>
      <c r="Q1548" s="7" t="s">
        <v>64</v>
      </c>
      <c r="R1548" s="4" t="s">
        <v>293</v>
      </c>
      <c r="S1548" s="20">
        <v>4</v>
      </c>
      <c r="T1548" s="2">
        <v>4</v>
      </c>
    </row>
    <row r="1549" spans="1:30">
      <c r="A1549" s="7">
        <f>MAX($A$1:$A1548)+1</f>
        <v>1548</v>
      </c>
      <c r="B1549" s="2" t="s">
        <v>278</v>
      </c>
      <c r="C1549" s="2" t="s">
        <v>171</v>
      </c>
      <c r="D1549" s="2" t="s">
        <v>33</v>
      </c>
      <c r="E1549" s="7" t="s">
        <v>370</v>
      </c>
      <c r="F1549" s="4">
        <v>48.955081939697202</v>
      </c>
      <c r="G1549" s="18">
        <v>-125.15337371826099</v>
      </c>
      <c r="H1549" s="5" t="s">
        <v>11</v>
      </c>
      <c r="I1549" s="2">
        <v>5</v>
      </c>
      <c r="J1549" s="2">
        <v>150</v>
      </c>
      <c r="K1549" s="6">
        <v>0.54305555555555551</v>
      </c>
      <c r="L1549" s="2" t="s">
        <v>172</v>
      </c>
      <c r="M1549" s="2">
        <v>9</v>
      </c>
      <c r="N1549" s="2">
        <v>2</v>
      </c>
      <c r="O1549" s="2">
        <v>1</v>
      </c>
      <c r="P1549" s="2" t="s">
        <v>230</v>
      </c>
      <c r="Q1549" s="7" t="s">
        <v>42</v>
      </c>
      <c r="R1549" s="4" t="s">
        <v>321</v>
      </c>
      <c r="S1549" s="20">
        <v>2</v>
      </c>
      <c r="T1549" s="2">
        <v>0</v>
      </c>
      <c r="W1549" s="2">
        <v>2</v>
      </c>
    </row>
    <row r="1550" spans="1:30">
      <c r="A1550" s="7">
        <f>MAX($A$1:$A1549)+1</f>
        <v>1549</v>
      </c>
      <c r="B1550" s="2" t="s">
        <v>278</v>
      </c>
      <c r="C1550" s="2" t="s">
        <v>171</v>
      </c>
      <c r="D1550" s="2" t="s">
        <v>33</v>
      </c>
      <c r="E1550" s="7" t="s">
        <v>370</v>
      </c>
      <c r="F1550" s="4">
        <v>48.955081939697202</v>
      </c>
      <c r="G1550" s="18">
        <v>-125.15337371826099</v>
      </c>
      <c r="H1550" s="5" t="s">
        <v>11</v>
      </c>
      <c r="I1550" s="2">
        <v>5</v>
      </c>
      <c r="J1550" s="2">
        <v>150</v>
      </c>
      <c r="K1550" s="6">
        <v>0.54305555555555551</v>
      </c>
      <c r="L1550" s="2" t="s">
        <v>172</v>
      </c>
      <c r="M1550" s="2">
        <v>9</v>
      </c>
      <c r="N1550" s="2">
        <v>2</v>
      </c>
      <c r="O1550" s="2">
        <v>1</v>
      </c>
      <c r="P1550" s="2" t="s">
        <v>350</v>
      </c>
      <c r="Q1550" s="7" t="s">
        <v>83</v>
      </c>
      <c r="R1550" s="4" t="s">
        <v>351</v>
      </c>
      <c r="S1550" s="20">
        <v>1</v>
      </c>
      <c r="T1550" s="2">
        <v>1</v>
      </c>
    </row>
    <row r="1551" spans="1:30">
      <c r="A1551" s="7">
        <f>MAX($A$1:$A1550)+1</f>
        <v>1550</v>
      </c>
      <c r="B1551" s="2" t="s">
        <v>278</v>
      </c>
      <c r="C1551" s="2" t="s">
        <v>171</v>
      </c>
      <c r="D1551" s="2" t="s">
        <v>33</v>
      </c>
      <c r="E1551" s="7" t="s">
        <v>370</v>
      </c>
      <c r="F1551" s="4">
        <v>48.955081939697202</v>
      </c>
      <c r="G1551" s="18">
        <v>-125.15337371826099</v>
      </c>
      <c r="H1551" s="5" t="s">
        <v>11</v>
      </c>
      <c r="I1551" s="2">
        <v>5</v>
      </c>
      <c r="J1551" s="2">
        <v>150</v>
      </c>
      <c r="K1551" s="6">
        <v>0.54305555555555551</v>
      </c>
      <c r="L1551" s="2" t="s">
        <v>172</v>
      </c>
      <c r="M1551" s="2">
        <v>9</v>
      </c>
      <c r="N1551" s="2">
        <v>0</v>
      </c>
      <c r="O1551" s="2">
        <v>1</v>
      </c>
      <c r="P1551" s="2" t="s">
        <v>237</v>
      </c>
      <c r="Q1551" s="7" t="s">
        <v>51</v>
      </c>
      <c r="R1551" s="4" t="s">
        <v>368</v>
      </c>
      <c r="S1551" s="20">
        <v>1</v>
      </c>
      <c r="T1551" s="2">
        <v>0</v>
      </c>
      <c r="AD1551" s="2">
        <v>1</v>
      </c>
    </row>
    <row r="1552" spans="1:30">
      <c r="A1552" s="7">
        <f>MAX($A$1:$A1551)+1</f>
        <v>1551</v>
      </c>
      <c r="B1552" s="2" t="s">
        <v>278</v>
      </c>
      <c r="C1552" s="2" t="s">
        <v>171</v>
      </c>
      <c r="D1552" s="2" t="s">
        <v>33</v>
      </c>
      <c r="E1552" s="7" t="s">
        <v>370</v>
      </c>
      <c r="F1552" s="4">
        <v>48.955081939697202</v>
      </c>
      <c r="G1552" s="18">
        <v>-125.15337371826099</v>
      </c>
      <c r="H1552" s="5" t="s">
        <v>11</v>
      </c>
      <c r="I1552" s="2">
        <v>5</v>
      </c>
      <c r="J1552" s="2">
        <v>150</v>
      </c>
      <c r="K1552" s="6">
        <v>0.54305555555555551</v>
      </c>
      <c r="L1552" s="2" t="s">
        <v>172</v>
      </c>
      <c r="M1552" s="2">
        <v>9</v>
      </c>
      <c r="N1552" s="2">
        <v>2</v>
      </c>
      <c r="O1552" s="2">
        <v>1</v>
      </c>
      <c r="P1552" s="2" t="s">
        <v>375</v>
      </c>
      <c r="Q1552" s="7" t="s">
        <v>132</v>
      </c>
      <c r="R1552" s="4">
        <v>0</v>
      </c>
      <c r="S1552" s="20">
        <v>1</v>
      </c>
      <c r="T1552" s="2">
        <v>1</v>
      </c>
    </row>
    <row r="1553" spans="1:29">
      <c r="A1553" s="7">
        <f>MAX($A$1:$A1552)+1</f>
        <v>1552</v>
      </c>
      <c r="B1553" s="2" t="s">
        <v>278</v>
      </c>
      <c r="C1553" s="2" t="s">
        <v>171</v>
      </c>
      <c r="D1553" s="2" t="s">
        <v>33</v>
      </c>
      <c r="E1553" s="7" t="s">
        <v>370</v>
      </c>
      <c r="F1553" s="4">
        <v>48.955081939697202</v>
      </c>
      <c r="G1553" s="18">
        <v>-125.15337371826099</v>
      </c>
      <c r="H1553" s="5" t="s">
        <v>11</v>
      </c>
      <c r="I1553" s="2">
        <v>5</v>
      </c>
      <c r="J1553" s="2">
        <v>150</v>
      </c>
      <c r="K1553" s="6">
        <v>0.54305555555555551</v>
      </c>
      <c r="L1553" s="2" t="s">
        <v>172</v>
      </c>
      <c r="M1553" s="2">
        <v>9</v>
      </c>
      <c r="N1553" s="2">
        <v>2</v>
      </c>
      <c r="O1553" s="2">
        <v>1</v>
      </c>
      <c r="P1553" s="2" t="s">
        <v>376</v>
      </c>
      <c r="Q1553" s="7" t="s">
        <v>133</v>
      </c>
      <c r="R1553" s="4" t="s">
        <v>377</v>
      </c>
      <c r="S1553" s="20">
        <v>1</v>
      </c>
      <c r="T1553" s="2">
        <v>1</v>
      </c>
    </row>
    <row r="1554" spans="1:29">
      <c r="A1554" s="7">
        <f>MAX($A$1:$A1553)+1</f>
        <v>1553</v>
      </c>
      <c r="B1554" s="2" t="s">
        <v>278</v>
      </c>
      <c r="C1554" s="2" t="s">
        <v>171</v>
      </c>
      <c r="D1554" s="2" t="s">
        <v>33</v>
      </c>
      <c r="E1554" s="7" t="s">
        <v>370</v>
      </c>
      <c r="F1554" s="4">
        <v>48.955081939697202</v>
      </c>
      <c r="G1554" s="18">
        <v>-125.15337371826099</v>
      </c>
      <c r="H1554" s="5" t="s">
        <v>11</v>
      </c>
      <c r="I1554" s="2">
        <v>5</v>
      </c>
      <c r="J1554" s="2">
        <v>150</v>
      </c>
      <c r="K1554" s="6">
        <v>0.54305555555555551</v>
      </c>
      <c r="L1554" s="2" t="s">
        <v>172</v>
      </c>
      <c r="M1554" s="2">
        <v>9</v>
      </c>
      <c r="N1554" s="2">
        <v>0</v>
      </c>
      <c r="O1554" s="2">
        <v>1</v>
      </c>
      <c r="P1554" s="2" t="s">
        <v>232</v>
      </c>
      <c r="Q1554" s="7" t="s">
        <v>43</v>
      </c>
      <c r="R1554" s="4" t="s">
        <v>324</v>
      </c>
      <c r="S1554" s="20">
        <v>1</v>
      </c>
      <c r="T1554" s="2">
        <v>0</v>
      </c>
      <c r="Y1554" s="2">
        <v>1</v>
      </c>
    </row>
    <row r="1555" spans="1:29">
      <c r="A1555" s="7">
        <f>MAX($A$1:$A1554)+1</f>
        <v>1554</v>
      </c>
      <c r="B1555" s="2" t="s">
        <v>278</v>
      </c>
      <c r="C1555" s="2" t="s">
        <v>171</v>
      </c>
      <c r="D1555" s="2" t="s">
        <v>33</v>
      </c>
      <c r="E1555" s="7" t="s">
        <v>370</v>
      </c>
      <c r="F1555" s="4">
        <v>48.955081939697202</v>
      </c>
      <c r="G1555" s="18">
        <v>-125.15337371826099</v>
      </c>
      <c r="H1555" s="5" t="s">
        <v>11</v>
      </c>
      <c r="I1555" s="2">
        <v>5</v>
      </c>
      <c r="J1555" s="2">
        <v>150</v>
      </c>
      <c r="K1555" s="6">
        <v>0.54305555555555551</v>
      </c>
      <c r="L1555" s="2" t="s">
        <v>172</v>
      </c>
      <c r="M1555" s="2">
        <v>9</v>
      </c>
      <c r="N1555" s="2">
        <v>0</v>
      </c>
      <c r="O1555" s="2">
        <v>1</v>
      </c>
      <c r="P1555" s="2" t="s">
        <v>328</v>
      </c>
      <c r="Q1555" s="7" t="s">
        <v>126</v>
      </c>
      <c r="R1555" s="4" t="s">
        <v>329</v>
      </c>
      <c r="S1555" s="20">
        <v>0</v>
      </c>
      <c r="T1555" s="2">
        <v>0</v>
      </c>
    </row>
    <row r="1556" spans="1:29">
      <c r="A1556" s="7">
        <f>MAX($A$1:$A1555)+1</f>
        <v>1555</v>
      </c>
      <c r="B1556" s="27" t="s">
        <v>269</v>
      </c>
      <c r="C1556" s="2" t="s">
        <v>409</v>
      </c>
      <c r="D1556" s="2" t="s">
        <v>33</v>
      </c>
      <c r="E1556" s="7" t="s">
        <v>370</v>
      </c>
      <c r="F1556" s="4">
        <v>48.955081939697202</v>
      </c>
      <c r="G1556" s="18">
        <v>-125.15337371826099</v>
      </c>
      <c r="H1556" s="5" t="s">
        <v>11</v>
      </c>
      <c r="I1556" s="2">
        <v>5</v>
      </c>
      <c r="J1556" s="53">
        <v>150</v>
      </c>
      <c r="K1556" s="6">
        <v>0.54166666666666663</v>
      </c>
      <c r="L1556" s="2" t="s">
        <v>270</v>
      </c>
      <c r="M1556" s="2">
        <v>7.5</v>
      </c>
      <c r="N1556" s="2">
        <v>1</v>
      </c>
      <c r="O1556" s="2">
        <v>2</v>
      </c>
      <c r="P1556" s="2" t="s">
        <v>230</v>
      </c>
      <c r="Q1556" s="7" t="s">
        <v>42</v>
      </c>
      <c r="R1556" s="4" t="s">
        <v>321</v>
      </c>
      <c r="S1556" s="20">
        <v>2</v>
      </c>
      <c r="T1556" s="2">
        <v>0</v>
      </c>
      <c r="W1556" s="2">
        <v>1</v>
      </c>
      <c r="Y1556" s="2">
        <v>1</v>
      </c>
    </row>
    <row r="1557" spans="1:29">
      <c r="A1557" s="7">
        <f>MAX($A$1:$A1556)+1</f>
        <v>1556</v>
      </c>
      <c r="B1557" s="27" t="s">
        <v>269</v>
      </c>
      <c r="C1557" s="2" t="s">
        <v>409</v>
      </c>
      <c r="D1557" s="2" t="s">
        <v>33</v>
      </c>
      <c r="E1557" s="7" t="s">
        <v>370</v>
      </c>
      <c r="F1557" s="4">
        <v>48.955081939697202</v>
      </c>
      <c r="G1557" s="18">
        <v>-125.15337371826099</v>
      </c>
      <c r="H1557" s="5" t="s">
        <v>11</v>
      </c>
      <c r="I1557" s="2">
        <v>5</v>
      </c>
      <c r="J1557" s="53">
        <v>150</v>
      </c>
      <c r="K1557" s="6">
        <v>0.54166666666666663</v>
      </c>
      <c r="L1557" s="2" t="s">
        <v>270</v>
      </c>
      <c r="M1557" s="2">
        <v>7.5</v>
      </c>
      <c r="N1557" s="2">
        <v>1</v>
      </c>
      <c r="O1557" s="2">
        <v>2</v>
      </c>
      <c r="P1557" s="2" t="s">
        <v>234</v>
      </c>
      <c r="Q1557" s="7" t="s">
        <v>45</v>
      </c>
      <c r="R1557" s="4" t="s">
        <v>353</v>
      </c>
      <c r="S1557" s="20">
        <v>1</v>
      </c>
      <c r="T1557" s="2">
        <v>0</v>
      </c>
      <c r="AA1557" s="2">
        <v>1</v>
      </c>
    </row>
    <row r="1558" spans="1:29">
      <c r="A1558" s="7">
        <f>MAX($A$1:$A1557)+1</f>
        <v>1557</v>
      </c>
      <c r="B1558" s="27" t="s">
        <v>269</v>
      </c>
      <c r="C1558" s="2" t="s">
        <v>409</v>
      </c>
      <c r="D1558" s="2" t="s">
        <v>33</v>
      </c>
      <c r="E1558" s="7" t="s">
        <v>370</v>
      </c>
      <c r="F1558" s="4">
        <v>48.955081939697202</v>
      </c>
      <c r="G1558" s="18">
        <v>-125.15337371826099</v>
      </c>
      <c r="H1558" s="5" t="s">
        <v>11</v>
      </c>
      <c r="I1558" s="2">
        <v>5</v>
      </c>
      <c r="J1558" s="53">
        <v>150</v>
      </c>
      <c r="K1558" s="6">
        <v>0.54166666666666663</v>
      </c>
      <c r="L1558" s="2" t="s">
        <v>270</v>
      </c>
      <c r="M1558" s="2">
        <v>7.5</v>
      </c>
      <c r="N1558" s="2">
        <v>1</v>
      </c>
      <c r="O1558" s="2">
        <v>2</v>
      </c>
      <c r="P1558" s="2" t="s">
        <v>232</v>
      </c>
      <c r="Q1558" s="7" t="s">
        <v>43</v>
      </c>
      <c r="R1558" s="4" t="s">
        <v>324</v>
      </c>
      <c r="S1558" s="20">
        <v>3</v>
      </c>
      <c r="T1558" s="2">
        <v>0</v>
      </c>
      <c r="AA1558" s="2">
        <v>1</v>
      </c>
      <c r="AB1558" s="2">
        <v>1</v>
      </c>
      <c r="AC1558" s="2">
        <v>1</v>
      </c>
    </row>
    <row r="1559" spans="1:29">
      <c r="A1559" s="7">
        <f>MAX($A$1:$A1558)+1</f>
        <v>1558</v>
      </c>
      <c r="B1559" s="27" t="s">
        <v>269</v>
      </c>
      <c r="C1559" s="2" t="s">
        <v>409</v>
      </c>
      <c r="D1559" s="2" t="s">
        <v>33</v>
      </c>
      <c r="E1559" s="7" t="s">
        <v>370</v>
      </c>
      <c r="F1559" s="4">
        <v>48.955081939697202</v>
      </c>
      <c r="G1559" s="18">
        <v>-125.15337371826099</v>
      </c>
      <c r="H1559" s="5" t="s">
        <v>11</v>
      </c>
      <c r="I1559" s="2">
        <v>5</v>
      </c>
      <c r="J1559" s="53">
        <v>150</v>
      </c>
      <c r="K1559" s="6">
        <v>0.54166666666666663</v>
      </c>
      <c r="L1559" s="2" t="s">
        <v>270</v>
      </c>
      <c r="M1559" s="2">
        <v>7.5</v>
      </c>
      <c r="N1559" s="2">
        <v>2</v>
      </c>
      <c r="O1559" s="2">
        <v>2</v>
      </c>
      <c r="P1559" s="2" t="s">
        <v>241</v>
      </c>
      <c r="Q1559" s="7" t="s">
        <v>63</v>
      </c>
      <c r="R1559" s="4" t="s">
        <v>294</v>
      </c>
      <c r="S1559" s="20">
        <v>189</v>
      </c>
      <c r="T1559" s="2">
        <v>189</v>
      </c>
    </row>
    <row r="1560" spans="1:29">
      <c r="A1560" s="7">
        <f>MAX($A$1:$A1559)+1</f>
        <v>1559</v>
      </c>
      <c r="B1560" s="27" t="s">
        <v>269</v>
      </c>
      <c r="C1560" s="2" t="s">
        <v>409</v>
      </c>
      <c r="D1560" s="2" t="s">
        <v>33</v>
      </c>
      <c r="E1560" s="7" t="s">
        <v>370</v>
      </c>
      <c r="F1560" s="4">
        <v>48.955081939697202</v>
      </c>
      <c r="G1560" s="18">
        <v>-125.15337371826099</v>
      </c>
      <c r="H1560" s="5" t="s">
        <v>11</v>
      </c>
      <c r="I1560" s="2">
        <v>5</v>
      </c>
      <c r="J1560" s="53">
        <v>150</v>
      </c>
      <c r="K1560" s="6">
        <v>0.54166666666666663</v>
      </c>
      <c r="L1560" s="2" t="s">
        <v>270</v>
      </c>
      <c r="M1560" s="2">
        <v>7.5</v>
      </c>
      <c r="N1560" s="2">
        <v>2</v>
      </c>
      <c r="O1560" s="2">
        <v>2</v>
      </c>
      <c r="P1560" s="2" t="s">
        <v>244</v>
      </c>
      <c r="Q1560" s="7" t="s">
        <v>65</v>
      </c>
      <c r="R1560" s="4" t="s">
        <v>307</v>
      </c>
      <c r="S1560" s="20">
        <v>101</v>
      </c>
      <c r="T1560" s="2">
        <v>101</v>
      </c>
    </row>
    <row r="1561" spans="1:29">
      <c r="A1561" s="7">
        <f>MAX($A$1:$A1560)+1</f>
        <v>1560</v>
      </c>
      <c r="B1561" s="27" t="s">
        <v>269</v>
      </c>
      <c r="C1561" s="2" t="s">
        <v>409</v>
      </c>
      <c r="D1561" s="2" t="s">
        <v>33</v>
      </c>
      <c r="E1561" s="7" t="s">
        <v>370</v>
      </c>
      <c r="F1561" s="4">
        <v>48.955081939697202</v>
      </c>
      <c r="G1561" s="18">
        <v>-125.15337371826099</v>
      </c>
      <c r="H1561" s="5" t="s">
        <v>11</v>
      </c>
      <c r="I1561" s="2">
        <v>5</v>
      </c>
      <c r="J1561" s="53">
        <v>150</v>
      </c>
      <c r="K1561" s="6">
        <v>0.54166666666666663</v>
      </c>
      <c r="L1561" s="2" t="s">
        <v>270</v>
      </c>
      <c r="M1561" s="2">
        <v>7.5</v>
      </c>
      <c r="N1561" s="2">
        <v>2</v>
      </c>
      <c r="O1561" s="2">
        <v>2</v>
      </c>
      <c r="P1561" s="2" t="s">
        <v>331</v>
      </c>
      <c r="Q1561" s="7" t="s">
        <v>67</v>
      </c>
      <c r="R1561" s="4" t="s">
        <v>332</v>
      </c>
      <c r="S1561" s="20">
        <v>39</v>
      </c>
      <c r="T1561" s="2">
        <v>39</v>
      </c>
    </row>
    <row r="1562" spans="1:29">
      <c r="A1562" s="7">
        <f>MAX($A$1:$A1561)+1</f>
        <v>1561</v>
      </c>
      <c r="B1562" s="27" t="s">
        <v>269</v>
      </c>
      <c r="C1562" s="2" t="s">
        <v>409</v>
      </c>
      <c r="D1562" s="2" t="s">
        <v>33</v>
      </c>
      <c r="E1562" s="7" t="s">
        <v>370</v>
      </c>
      <c r="F1562" s="4">
        <v>48.955081939697202</v>
      </c>
      <c r="G1562" s="18">
        <v>-125.15337371826099</v>
      </c>
      <c r="H1562" s="5" t="s">
        <v>11</v>
      </c>
      <c r="I1562" s="2">
        <v>5</v>
      </c>
      <c r="J1562" s="53">
        <v>150</v>
      </c>
      <c r="K1562" s="6">
        <v>0.54166666666666663</v>
      </c>
      <c r="L1562" s="2" t="s">
        <v>270</v>
      </c>
      <c r="M1562" s="2">
        <v>7.5</v>
      </c>
      <c r="N1562" s="2">
        <v>2</v>
      </c>
      <c r="O1562" s="2">
        <v>2</v>
      </c>
      <c r="P1562" s="2" t="s">
        <v>419</v>
      </c>
      <c r="Q1562" s="7" t="s">
        <v>139</v>
      </c>
      <c r="R1562" s="4" t="s">
        <v>420</v>
      </c>
      <c r="S1562" s="20">
        <v>13</v>
      </c>
      <c r="T1562" s="2">
        <v>13</v>
      </c>
    </row>
    <row r="1563" spans="1:29">
      <c r="A1563" s="7">
        <f>MAX($A$1:$A1562)+1</f>
        <v>1562</v>
      </c>
      <c r="B1563" s="27" t="s">
        <v>269</v>
      </c>
      <c r="C1563" s="2" t="s">
        <v>409</v>
      </c>
      <c r="D1563" s="2" t="s">
        <v>33</v>
      </c>
      <c r="E1563" s="7" t="s">
        <v>370</v>
      </c>
      <c r="F1563" s="4">
        <v>48.955081939697202</v>
      </c>
      <c r="G1563" s="18">
        <v>-125.15337371826099</v>
      </c>
      <c r="H1563" s="5" t="s">
        <v>11</v>
      </c>
      <c r="I1563" s="2">
        <v>5</v>
      </c>
      <c r="J1563" s="53">
        <v>150</v>
      </c>
      <c r="K1563" s="6">
        <v>0.54166666666666663</v>
      </c>
      <c r="L1563" s="2" t="s">
        <v>270</v>
      </c>
      <c r="M1563" s="2">
        <v>7.5</v>
      </c>
      <c r="N1563" s="2">
        <v>2</v>
      </c>
      <c r="O1563" s="2">
        <v>2</v>
      </c>
      <c r="P1563" s="2" t="s">
        <v>247</v>
      </c>
      <c r="Q1563" s="7" t="s">
        <v>64</v>
      </c>
      <c r="R1563" s="4" t="s">
        <v>293</v>
      </c>
      <c r="S1563" s="20">
        <v>2</v>
      </c>
      <c r="T1563" s="2">
        <v>2</v>
      </c>
    </row>
    <row r="1564" spans="1:29">
      <c r="A1564" s="7">
        <f>MAX($A$1:$A1563)+1</f>
        <v>1563</v>
      </c>
      <c r="B1564" s="27" t="s">
        <v>269</v>
      </c>
      <c r="C1564" s="2" t="s">
        <v>409</v>
      </c>
      <c r="D1564" s="2" t="s">
        <v>33</v>
      </c>
      <c r="E1564" s="7" t="s">
        <v>370</v>
      </c>
      <c r="F1564" s="4">
        <v>48.955081939697202</v>
      </c>
      <c r="G1564" s="18">
        <v>-125.15337371826099</v>
      </c>
      <c r="H1564" s="5" t="s">
        <v>11</v>
      </c>
      <c r="I1564" s="2">
        <v>5</v>
      </c>
      <c r="J1564" s="53">
        <v>150</v>
      </c>
      <c r="K1564" s="6">
        <v>0.54166666666666663</v>
      </c>
      <c r="L1564" s="2" t="s">
        <v>270</v>
      </c>
      <c r="M1564" s="2">
        <v>7.5</v>
      </c>
      <c r="N1564" s="2">
        <v>2</v>
      </c>
      <c r="O1564" s="2">
        <v>2</v>
      </c>
      <c r="P1564" s="2" t="s">
        <v>296</v>
      </c>
      <c r="Q1564" s="7" t="s">
        <v>75</v>
      </c>
      <c r="R1564" s="4" t="s">
        <v>297</v>
      </c>
      <c r="S1564" s="20">
        <v>13</v>
      </c>
      <c r="T1564" s="2">
        <v>13</v>
      </c>
    </row>
    <row r="1565" spans="1:29">
      <c r="A1565" s="7">
        <f>MAX($A$1:$A1564)+1</f>
        <v>1564</v>
      </c>
      <c r="B1565" s="27" t="s">
        <v>269</v>
      </c>
      <c r="C1565" s="2" t="s">
        <v>409</v>
      </c>
      <c r="D1565" s="2" t="s">
        <v>33</v>
      </c>
      <c r="E1565" s="7" t="s">
        <v>370</v>
      </c>
      <c r="F1565" s="4">
        <v>48.955081939697202</v>
      </c>
      <c r="G1565" s="18">
        <v>-125.15337371826099</v>
      </c>
      <c r="H1565" s="5" t="s">
        <v>11</v>
      </c>
      <c r="I1565" s="2">
        <v>5</v>
      </c>
      <c r="J1565" s="53">
        <v>150</v>
      </c>
      <c r="K1565" s="6">
        <v>0.54166666666666663</v>
      </c>
      <c r="L1565" s="2" t="s">
        <v>270</v>
      </c>
      <c r="M1565" s="2">
        <v>7.5</v>
      </c>
      <c r="N1565" s="2">
        <v>2</v>
      </c>
      <c r="O1565" s="2">
        <v>2</v>
      </c>
      <c r="P1565" s="2" t="s">
        <v>243</v>
      </c>
      <c r="Q1565" s="7" t="s">
        <v>85</v>
      </c>
      <c r="R1565" s="4" t="s">
        <v>312</v>
      </c>
      <c r="S1565" s="20">
        <v>6</v>
      </c>
      <c r="T1565" s="2">
        <v>6</v>
      </c>
    </row>
    <row r="1566" spans="1:29">
      <c r="A1566" s="7">
        <f>MAX($A$1:$A1565)+1</f>
        <v>1565</v>
      </c>
      <c r="B1566" s="27" t="s">
        <v>269</v>
      </c>
      <c r="C1566" s="2" t="s">
        <v>409</v>
      </c>
      <c r="D1566" s="2" t="s">
        <v>33</v>
      </c>
      <c r="E1566" s="7" t="s">
        <v>370</v>
      </c>
      <c r="F1566" s="4">
        <v>48.955081939697202</v>
      </c>
      <c r="G1566" s="18">
        <v>-125.15337371826099</v>
      </c>
      <c r="H1566" s="5" t="s">
        <v>11</v>
      </c>
      <c r="I1566" s="2">
        <v>5</v>
      </c>
      <c r="J1566" s="53">
        <v>150</v>
      </c>
      <c r="K1566" s="6">
        <v>0.54166666666666663</v>
      </c>
      <c r="L1566" s="2" t="s">
        <v>270</v>
      </c>
      <c r="M1566" s="2">
        <v>7.5</v>
      </c>
      <c r="N1566" s="2">
        <v>2</v>
      </c>
      <c r="O1566" s="2">
        <v>2</v>
      </c>
      <c r="P1566" s="2" t="s">
        <v>298</v>
      </c>
      <c r="Q1566" s="7" t="s">
        <v>99</v>
      </c>
      <c r="R1566" s="4" t="s">
        <v>299</v>
      </c>
      <c r="S1566" s="20">
        <v>1</v>
      </c>
      <c r="T1566" s="2">
        <v>1</v>
      </c>
    </row>
    <row r="1567" spans="1:29">
      <c r="A1567" s="7">
        <f>MAX($A$1:$A1566)+1</f>
        <v>1566</v>
      </c>
      <c r="B1567" s="27" t="s">
        <v>269</v>
      </c>
      <c r="C1567" s="2" t="s">
        <v>409</v>
      </c>
      <c r="D1567" s="2" t="s">
        <v>33</v>
      </c>
      <c r="E1567" s="7" t="s">
        <v>370</v>
      </c>
      <c r="F1567" s="4">
        <v>48.955081939697202</v>
      </c>
      <c r="G1567" s="18">
        <v>-125.15337371826099</v>
      </c>
      <c r="H1567" s="5" t="s">
        <v>11</v>
      </c>
      <c r="I1567" s="2">
        <v>5</v>
      </c>
      <c r="J1567" s="53">
        <v>150</v>
      </c>
      <c r="K1567" s="6">
        <v>0.54166666666666663</v>
      </c>
      <c r="L1567" s="2" t="s">
        <v>270</v>
      </c>
      <c r="M1567" s="2">
        <v>7.5</v>
      </c>
      <c r="N1567" s="2">
        <v>2</v>
      </c>
      <c r="O1567" s="2">
        <v>2</v>
      </c>
      <c r="P1567" s="2" t="s">
        <v>239</v>
      </c>
      <c r="Q1567" s="7" t="s">
        <v>80</v>
      </c>
      <c r="R1567" s="4" t="s">
        <v>300</v>
      </c>
      <c r="S1567" s="20">
        <v>14</v>
      </c>
      <c r="T1567" s="2">
        <v>14</v>
      </c>
    </row>
    <row r="1568" spans="1:29">
      <c r="A1568" s="7">
        <f>MAX($A$1:$A1567)+1</f>
        <v>1567</v>
      </c>
      <c r="B1568" s="27" t="s">
        <v>269</v>
      </c>
      <c r="C1568" s="2" t="s">
        <v>409</v>
      </c>
      <c r="D1568" s="2" t="s">
        <v>33</v>
      </c>
      <c r="E1568" s="7" t="s">
        <v>370</v>
      </c>
      <c r="F1568" s="4">
        <v>48.955081939697202</v>
      </c>
      <c r="G1568" s="18">
        <v>-125.15337371826099</v>
      </c>
      <c r="H1568" s="5" t="s">
        <v>11</v>
      </c>
      <c r="I1568" s="2">
        <v>5</v>
      </c>
      <c r="J1568" s="53">
        <v>150</v>
      </c>
      <c r="K1568" s="6">
        <v>0.54166666666666663</v>
      </c>
      <c r="L1568" s="2" t="s">
        <v>270</v>
      </c>
      <c r="M1568" s="2">
        <v>7.5</v>
      </c>
      <c r="N1568" s="2">
        <v>2</v>
      </c>
      <c r="O1568" s="2">
        <v>2</v>
      </c>
      <c r="P1568" s="2" t="s">
        <v>360</v>
      </c>
      <c r="Q1568" s="7" t="s">
        <v>129</v>
      </c>
      <c r="R1568" s="4" t="s">
        <v>361</v>
      </c>
      <c r="S1568" s="20">
        <v>1</v>
      </c>
      <c r="T1568" s="2">
        <v>1</v>
      </c>
    </row>
    <row r="1569" spans="1:30">
      <c r="A1569" s="7">
        <f>MAX($A$1:$A1568)+1</f>
        <v>1568</v>
      </c>
      <c r="B1569" s="27" t="s">
        <v>269</v>
      </c>
      <c r="C1569" s="2" t="s">
        <v>409</v>
      </c>
      <c r="D1569" s="2" t="s">
        <v>33</v>
      </c>
      <c r="E1569" s="7" t="s">
        <v>370</v>
      </c>
      <c r="F1569" s="4">
        <v>48.955081939697202</v>
      </c>
      <c r="G1569" s="18">
        <v>-125.15337371826099</v>
      </c>
      <c r="H1569" s="5" t="s">
        <v>11</v>
      </c>
      <c r="I1569" s="2">
        <v>5</v>
      </c>
      <c r="J1569" s="53">
        <v>150</v>
      </c>
      <c r="K1569" s="6">
        <v>0.54166666666666663</v>
      </c>
      <c r="L1569" s="2" t="s">
        <v>270</v>
      </c>
      <c r="M1569" s="2">
        <v>7.5</v>
      </c>
      <c r="N1569" s="2">
        <v>2</v>
      </c>
      <c r="O1569" s="2">
        <v>2</v>
      </c>
      <c r="P1569" s="2" t="s">
        <v>250</v>
      </c>
      <c r="Q1569" s="7" t="s">
        <v>46</v>
      </c>
      <c r="R1569" s="4" t="s">
        <v>295</v>
      </c>
      <c r="S1569" s="20">
        <v>6</v>
      </c>
      <c r="T1569" s="2">
        <v>0</v>
      </c>
      <c r="V1569" s="2">
        <v>1</v>
      </c>
      <c r="W1569" s="2">
        <v>5</v>
      </c>
    </row>
    <row r="1570" spans="1:30">
      <c r="A1570" s="7">
        <f>MAX($A$1:$A1569)+1</f>
        <v>1569</v>
      </c>
      <c r="B1570" s="27" t="s">
        <v>269</v>
      </c>
      <c r="C1570" s="2" t="s">
        <v>409</v>
      </c>
      <c r="D1570" s="2" t="s">
        <v>33</v>
      </c>
      <c r="E1570" s="7" t="s">
        <v>370</v>
      </c>
      <c r="F1570" s="4">
        <v>48.955081939697202</v>
      </c>
      <c r="G1570" s="18">
        <v>-125.15337371826099</v>
      </c>
      <c r="H1570" s="5" t="s">
        <v>11</v>
      </c>
      <c r="I1570" s="2">
        <v>5</v>
      </c>
      <c r="J1570" s="53">
        <v>150</v>
      </c>
      <c r="K1570" s="6">
        <v>0.54166666666666663</v>
      </c>
      <c r="L1570" s="2" t="s">
        <v>270</v>
      </c>
      <c r="M1570" s="2">
        <v>7.5</v>
      </c>
      <c r="N1570" s="2">
        <v>2</v>
      </c>
      <c r="O1570" s="2">
        <v>2</v>
      </c>
      <c r="P1570" s="2" t="s">
        <v>246</v>
      </c>
      <c r="Q1570" s="7" t="s">
        <v>66</v>
      </c>
      <c r="R1570" s="4" t="s">
        <v>318</v>
      </c>
      <c r="S1570" s="20">
        <v>5</v>
      </c>
      <c r="T1570" s="2">
        <v>0</v>
      </c>
      <c r="U1570" s="2">
        <v>3</v>
      </c>
      <c r="V1570" s="2">
        <v>2</v>
      </c>
    </row>
    <row r="1571" spans="1:30">
      <c r="A1571" s="7">
        <f>MAX($A$1:$A1570)+1</f>
        <v>1570</v>
      </c>
      <c r="B1571" s="27" t="s">
        <v>269</v>
      </c>
      <c r="C1571" s="2" t="s">
        <v>409</v>
      </c>
      <c r="D1571" s="2" t="s">
        <v>33</v>
      </c>
      <c r="E1571" s="7" t="s">
        <v>370</v>
      </c>
      <c r="F1571" s="4">
        <v>48.955081939697202</v>
      </c>
      <c r="G1571" s="18">
        <v>-125.15337371826099</v>
      </c>
      <c r="H1571" s="5" t="s">
        <v>11</v>
      </c>
      <c r="I1571" s="2">
        <v>5</v>
      </c>
      <c r="J1571" s="53">
        <v>150</v>
      </c>
      <c r="K1571" s="6">
        <v>0.54166666666666663</v>
      </c>
      <c r="L1571" s="2" t="s">
        <v>270</v>
      </c>
      <c r="M1571" s="2">
        <v>7.5</v>
      </c>
      <c r="N1571" s="2">
        <v>2</v>
      </c>
      <c r="O1571" s="2">
        <v>2</v>
      </c>
      <c r="P1571" s="2" t="s">
        <v>373</v>
      </c>
      <c r="Q1571" s="7" t="s">
        <v>131</v>
      </c>
      <c r="R1571" s="4" t="s">
        <v>374</v>
      </c>
      <c r="S1571" s="20">
        <v>1</v>
      </c>
      <c r="T1571" s="2">
        <v>1</v>
      </c>
    </row>
    <row r="1572" spans="1:30">
      <c r="A1572" s="7">
        <f>MAX($A$1:$A1571)+1</f>
        <v>1571</v>
      </c>
      <c r="B1572" s="27" t="s">
        <v>269</v>
      </c>
      <c r="C1572" s="2" t="s">
        <v>409</v>
      </c>
      <c r="D1572" s="2" t="s">
        <v>33</v>
      </c>
      <c r="E1572" s="7" t="s">
        <v>370</v>
      </c>
      <c r="F1572" s="4">
        <v>48.955081939697202</v>
      </c>
      <c r="G1572" s="18">
        <v>-125.15337371826099</v>
      </c>
      <c r="H1572" s="5" t="s">
        <v>11</v>
      </c>
      <c r="I1572" s="2">
        <v>5</v>
      </c>
      <c r="J1572" s="53">
        <v>150</v>
      </c>
      <c r="K1572" s="6">
        <v>0.54166666666666663</v>
      </c>
      <c r="L1572" s="2" t="s">
        <v>270</v>
      </c>
      <c r="M1572" s="2">
        <v>7.5</v>
      </c>
      <c r="N1572" s="2">
        <v>2</v>
      </c>
      <c r="O1572" s="2">
        <v>2</v>
      </c>
      <c r="P1572" s="2" t="s">
        <v>338</v>
      </c>
      <c r="Q1572" s="7" t="s">
        <v>101</v>
      </c>
      <c r="R1572" s="4" t="s">
        <v>339</v>
      </c>
      <c r="S1572" s="20">
        <v>1</v>
      </c>
      <c r="T1572" s="2">
        <v>0</v>
      </c>
      <c r="V1572" s="2">
        <v>1</v>
      </c>
    </row>
    <row r="1573" spans="1:30">
      <c r="A1573" s="7">
        <f>MAX($A$1:$A1572)+1</f>
        <v>1572</v>
      </c>
      <c r="B1573" s="27" t="s">
        <v>269</v>
      </c>
      <c r="C1573" s="2" t="s">
        <v>409</v>
      </c>
      <c r="D1573" s="2" t="s">
        <v>33</v>
      </c>
      <c r="E1573" s="7" t="s">
        <v>370</v>
      </c>
      <c r="F1573" s="4">
        <v>48.955081939697202</v>
      </c>
      <c r="G1573" s="18">
        <v>-125.15337371826099</v>
      </c>
      <c r="H1573" s="5" t="s">
        <v>11</v>
      </c>
      <c r="I1573" s="2">
        <v>5</v>
      </c>
      <c r="J1573" s="53">
        <v>150</v>
      </c>
      <c r="K1573" s="6">
        <v>0.54166666666666663</v>
      </c>
      <c r="L1573" s="2" t="s">
        <v>270</v>
      </c>
      <c r="M1573" s="2">
        <v>7.5</v>
      </c>
      <c r="N1573" s="2">
        <v>2</v>
      </c>
      <c r="O1573" s="2">
        <v>2</v>
      </c>
      <c r="P1573" s="2" t="s">
        <v>230</v>
      </c>
      <c r="Q1573" s="7" t="s">
        <v>42</v>
      </c>
      <c r="R1573" s="4" t="s">
        <v>321</v>
      </c>
      <c r="S1573" s="20">
        <v>3</v>
      </c>
      <c r="T1573" s="2">
        <v>0</v>
      </c>
      <c r="V1573" s="2">
        <v>1</v>
      </c>
      <c r="W1573" s="2">
        <v>1</v>
      </c>
      <c r="X1573" s="2">
        <v>1</v>
      </c>
    </row>
    <row r="1574" spans="1:30">
      <c r="A1574" s="7">
        <f>MAX($A$1:$A1573)+1</f>
        <v>1573</v>
      </c>
      <c r="B1574" s="27" t="s">
        <v>269</v>
      </c>
      <c r="C1574" s="2" t="s">
        <v>409</v>
      </c>
      <c r="D1574" s="2" t="s">
        <v>33</v>
      </c>
      <c r="E1574" s="7" t="s">
        <v>370</v>
      </c>
      <c r="F1574" s="4">
        <v>48.955081939697202</v>
      </c>
      <c r="G1574" s="18">
        <v>-125.15337371826099</v>
      </c>
      <c r="H1574" s="5" t="s">
        <v>11</v>
      </c>
      <c r="I1574" s="2">
        <v>5</v>
      </c>
      <c r="J1574" s="53">
        <v>150</v>
      </c>
      <c r="K1574" s="6">
        <v>0.54166666666666663</v>
      </c>
      <c r="L1574" s="2" t="s">
        <v>270</v>
      </c>
      <c r="M1574" s="2">
        <v>7.5</v>
      </c>
      <c r="N1574" s="2">
        <v>2</v>
      </c>
      <c r="O1574" s="2">
        <v>2</v>
      </c>
      <c r="P1574" s="2" t="s">
        <v>238</v>
      </c>
      <c r="Q1574" s="7" t="s">
        <v>69</v>
      </c>
      <c r="R1574" s="4" t="s">
        <v>313</v>
      </c>
      <c r="S1574" s="20">
        <v>6</v>
      </c>
      <c r="T1574" s="2">
        <v>6</v>
      </c>
    </row>
    <row r="1575" spans="1:30">
      <c r="A1575" s="7">
        <f>MAX($A$1:$A1574)+1</f>
        <v>1574</v>
      </c>
      <c r="B1575" s="27" t="s">
        <v>269</v>
      </c>
      <c r="C1575" s="2" t="s">
        <v>409</v>
      </c>
      <c r="D1575" s="2" t="s">
        <v>33</v>
      </c>
      <c r="E1575" s="7" t="s">
        <v>370</v>
      </c>
      <c r="F1575" s="4">
        <v>48.955081939697202</v>
      </c>
      <c r="G1575" s="18">
        <v>-125.15337371826099</v>
      </c>
      <c r="H1575" s="5" t="s">
        <v>11</v>
      </c>
      <c r="I1575" s="2">
        <v>5</v>
      </c>
      <c r="J1575" s="53">
        <v>150</v>
      </c>
      <c r="K1575" s="6">
        <v>0.54166666666666663</v>
      </c>
      <c r="L1575" s="2" t="s">
        <v>270</v>
      </c>
      <c r="M1575" s="2">
        <v>7.5</v>
      </c>
      <c r="N1575" s="2">
        <v>2</v>
      </c>
      <c r="O1575" s="2">
        <v>2</v>
      </c>
      <c r="P1575" s="2" t="s">
        <v>383</v>
      </c>
      <c r="Q1575" s="7" t="s">
        <v>72</v>
      </c>
      <c r="R1575" s="4" t="s">
        <v>384</v>
      </c>
      <c r="S1575" s="20">
        <v>1</v>
      </c>
      <c r="T1575" s="2">
        <v>1</v>
      </c>
    </row>
    <row r="1576" spans="1:30">
      <c r="A1576" s="7">
        <f>MAX($A$1:$A1575)+1</f>
        <v>1575</v>
      </c>
      <c r="B1576" s="2" t="s">
        <v>171</v>
      </c>
      <c r="C1576" s="2" t="s">
        <v>504</v>
      </c>
      <c r="D1576" s="2" t="s">
        <v>33</v>
      </c>
      <c r="E1576" s="7" t="s">
        <v>370</v>
      </c>
      <c r="F1576" s="4">
        <v>48.955081939697202</v>
      </c>
      <c r="G1576" s="18">
        <v>-125.15337371826099</v>
      </c>
      <c r="H1576" s="5" t="s">
        <v>11</v>
      </c>
      <c r="I1576" s="2">
        <v>5</v>
      </c>
      <c r="J1576" s="2">
        <v>150</v>
      </c>
      <c r="K1576" s="6">
        <v>0.54305555555555551</v>
      </c>
      <c r="L1576" s="2" t="s">
        <v>172</v>
      </c>
      <c r="M1576" s="2">
        <v>9</v>
      </c>
      <c r="N1576" s="2">
        <v>1</v>
      </c>
      <c r="O1576" s="2">
        <v>2</v>
      </c>
      <c r="P1576" s="2" t="s">
        <v>232</v>
      </c>
      <c r="Q1576" s="7" t="s">
        <v>43</v>
      </c>
      <c r="R1576" s="4" t="s">
        <v>324</v>
      </c>
      <c r="S1576" s="20">
        <v>7</v>
      </c>
      <c r="T1576" s="2">
        <v>0</v>
      </c>
      <c r="Y1576" s="2">
        <v>1</v>
      </c>
      <c r="AB1576" s="2">
        <v>2</v>
      </c>
      <c r="AC1576" s="2">
        <v>3</v>
      </c>
      <c r="AD1576" s="2">
        <v>1</v>
      </c>
    </row>
    <row r="1577" spans="1:30">
      <c r="A1577" s="7">
        <f>MAX($A$1:$A1576)+1</f>
        <v>1576</v>
      </c>
      <c r="B1577" s="2" t="s">
        <v>171</v>
      </c>
      <c r="C1577" s="2" t="s">
        <v>504</v>
      </c>
      <c r="D1577" s="2" t="s">
        <v>33</v>
      </c>
      <c r="E1577" s="7" t="s">
        <v>370</v>
      </c>
      <c r="F1577" s="4">
        <v>48.955081939697202</v>
      </c>
      <c r="G1577" s="18">
        <v>-125.15337371826099</v>
      </c>
      <c r="H1577" s="5" t="s">
        <v>11</v>
      </c>
      <c r="I1577" s="2">
        <v>5</v>
      </c>
      <c r="J1577" s="2">
        <v>150</v>
      </c>
      <c r="K1577" s="6">
        <v>0.54305555555555551</v>
      </c>
      <c r="L1577" s="2" t="s">
        <v>172</v>
      </c>
      <c r="M1577" s="2">
        <v>9</v>
      </c>
      <c r="N1577" s="2">
        <v>1</v>
      </c>
      <c r="O1577" s="2">
        <v>2</v>
      </c>
      <c r="P1577" s="2" t="s">
        <v>508</v>
      </c>
      <c r="Q1577" s="7" t="s">
        <v>509</v>
      </c>
      <c r="R1577" s="4" t="s">
        <v>510</v>
      </c>
      <c r="S1577" s="20">
        <v>1</v>
      </c>
      <c r="T1577" s="2">
        <v>0</v>
      </c>
      <c r="W1577" s="2">
        <v>1</v>
      </c>
    </row>
    <row r="1578" spans="1:30">
      <c r="A1578" s="7">
        <f>MAX($A$1:$A1577)+1</f>
        <v>1577</v>
      </c>
      <c r="B1578" s="2" t="s">
        <v>171</v>
      </c>
      <c r="C1578" s="2" t="s">
        <v>504</v>
      </c>
      <c r="D1578" s="2" t="s">
        <v>33</v>
      </c>
      <c r="E1578" s="7" t="s">
        <v>370</v>
      </c>
      <c r="F1578" s="4">
        <v>48.955081939697202</v>
      </c>
      <c r="G1578" s="18">
        <v>-125.15337371826099</v>
      </c>
      <c r="H1578" s="5" t="s">
        <v>11</v>
      </c>
      <c r="I1578" s="2">
        <v>5</v>
      </c>
      <c r="J1578" s="2">
        <v>150</v>
      </c>
      <c r="K1578" s="6">
        <v>0.54305555555555551</v>
      </c>
      <c r="L1578" s="2" t="s">
        <v>172</v>
      </c>
      <c r="M1578" s="2">
        <v>9</v>
      </c>
      <c r="N1578" s="2">
        <v>2</v>
      </c>
      <c r="O1578" s="2">
        <v>2</v>
      </c>
      <c r="P1578" s="2" t="s">
        <v>241</v>
      </c>
      <c r="Q1578" s="7" t="s">
        <v>63</v>
      </c>
      <c r="R1578" s="4" t="s">
        <v>294</v>
      </c>
      <c r="S1578" s="20">
        <v>344</v>
      </c>
      <c r="T1578" s="2">
        <v>344</v>
      </c>
    </row>
    <row r="1579" spans="1:30">
      <c r="A1579" s="7">
        <f>MAX($A$1:$A1578)+1</f>
        <v>1578</v>
      </c>
      <c r="B1579" s="2" t="s">
        <v>171</v>
      </c>
      <c r="C1579" s="2" t="s">
        <v>504</v>
      </c>
      <c r="D1579" s="2" t="s">
        <v>33</v>
      </c>
      <c r="E1579" s="7" t="s">
        <v>370</v>
      </c>
      <c r="F1579" s="4">
        <v>48.955081939697202</v>
      </c>
      <c r="G1579" s="18">
        <v>-125.15337371826099</v>
      </c>
      <c r="H1579" s="5" t="s">
        <v>11</v>
      </c>
      <c r="I1579" s="2">
        <v>5</v>
      </c>
      <c r="J1579" s="2">
        <v>150</v>
      </c>
      <c r="K1579" s="6">
        <v>0.54305555555555551</v>
      </c>
      <c r="L1579" s="2" t="s">
        <v>172</v>
      </c>
      <c r="M1579" s="2">
        <v>9</v>
      </c>
      <c r="N1579" s="2">
        <v>2</v>
      </c>
      <c r="O1579" s="2">
        <v>2</v>
      </c>
      <c r="P1579" s="2" t="s">
        <v>331</v>
      </c>
      <c r="Q1579" s="7" t="s">
        <v>67</v>
      </c>
      <c r="R1579" s="4" t="s">
        <v>332</v>
      </c>
      <c r="S1579" s="20">
        <v>100</v>
      </c>
      <c r="T1579" s="2">
        <v>100</v>
      </c>
    </row>
    <row r="1580" spans="1:30">
      <c r="A1580" s="7">
        <f>MAX($A$1:$A1579)+1</f>
        <v>1579</v>
      </c>
      <c r="B1580" s="2" t="s">
        <v>171</v>
      </c>
      <c r="C1580" s="2" t="s">
        <v>504</v>
      </c>
      <c r="D1580" s="2" t="s">
        <v>33</v>
      </c>
      <c r="E1580" s="7" t="s">
        <v>370</v>
      </c>
      <c r="F1580" s="4">
        <v>48.955081939697202</v>
      </c>
      <c r="G1580" s="18">
        <v>-125.15337371826099</v>
      </c>
      <c r="H1580" s="5" t="s">
        <v>11</v>
      </c>
      <c r="I1580" s="2">
        <v>5</v>
      </c>
      <c r="J1580" s="2">
        <v>150</v>
      </c>
      <c r="K1580" s="6">
        <v>0.54305555555555551</v>
      </c>
      <c r="L1580" s="2" t="s">
        <v>172</v>
      </c>
      <c r="M1580" s="2">
        <v>9</v>
      </c>
      <c r="N1580" s="2">
        <v>2</v>
      </c>
      <c r="O1580" s="2">
        <v>2</v>
      </c>
      <c r="P1580" s="2" t="s">
        <v>239</v>
      </c>
      <c r="Q1580" s="7" t="s">
        <v>80</v>
      </c>
      <c r="R1580" s="4" t="s">
        <v>300</v>
      </c>
      <c r="S1580" s="20">
        <v>20</v>
      </c>
      <c r="T1580" s="2">
        <v>20</v>
      </c>
    </row>
    <row r="1581" spans="1:30">
      <c r="A1581" s="7">
        <f>MAX($A$1:$A1580)+1</f>
        <v>1580</v>
      </c>
      <c r="B1581" s="2" t="s">
        <v>171</v>
      </c>
      <c r="C1581" s="2" t="s">
        <v>504</v>
      </c>
      <c r="D1581" s="2" t="s">
        <v>33</v>
      </c>
      <c r="E1581" s="7" t="s">
        <v>370</v>
      </c>
      <c r="F1581" s="4">
        <v>48.955081939697202</v>
      </c>
      <c r="G1581" s="18">
        <v>-125.15337371826099</v>
      </c>
      <c r="H1581" s="5" t="s">
        <v>11</v>
      </c>
      <c r="I1581" s="2">
        <v>5</v>
      </c>
      <c r="J1581" s="2">
        <v>150</v>
      </c>
      <c r="K1581" s="6">
        <v>0.54305555555555551</v>
      </c>
      <c r="L1581" s="2" t="s">
        <v>172</v>
      </c>
      <c r="M1581" s="2">
        <v>9</v>
      </c>
      <c r="N1581" s="2">
        <v>2</v>
      </c>
      <c r="O1581" s="2">
        <v>2</v>
      </c>
      <c r="P1581" s="2" t="s">
        <v>244</v>
      </c>
      <c r="Q1581" s="7" t="s">
        <v>65</v>
      </c>
      <c r="R1581" s="4" t="s">
        <v>307</v>
      </c>
      <c r="S1581" s="20">
        <v>67</v>
      </c>
      <c r="T1581" s="2">
        <v>67</v>
      </c>
    </row>
    <row r="1582" spans="1:30">
      <c r="A1582" s="7">
        <f>MAX($A$1:$A1581)+1</f>
        <v>1581</v>
      </c>
      <c r="B1582" s="2" t="s">
        <v>171</v>
      </c>
      <c r="C1582" s="2" t="s">
        <v>504</v>
      </c>
      <c r="D1582" s="2" t="s">
        <v>33</v>
      </c>
      <c r="E1582" s="7" t="s">
        <v>370</v>
      </c>
      <c r="F1582" s="4">
        <v>48.955081939697202</v>
      </c>
      <c r="G1582" s="18">
        <v>-125.15337371826099</v>
      </c>
      <c r="H1582" s="5" t="s">
        <v>11</v>
      </c>
      <c r="I1582" s="2">
        <v>5</v>
      </c>
      <c r="J1582" s="2">
        <v>150</v>
      </c>
      <c r="K1582" s="6">
        <v>0.54305555555555551</v>
      </c>
      <c r="L1582" s="2" t="s">
        <v>172</v>
      </c>
      <c r="M1582" s="2">
        <v>9</v>
      </c>
      <c r="N1582" s="2">
        <v>2</v>
      </c>
      <c r="O1582" s="2">
        <v>2</v>
      </c>
      <c r="P1582" s="2" t="s">
        <v>333</v>
      </c>
      <c r="Q1582" s="7" t="s">
        <v>102</v>
      </c>
      <c r="R1582" s="4" t="s">
        <v>334</v>
      </c>
      <c r="S1582" s="20">
        <v>2</v>
      </c>
      <c r="T1582" s="2">
        <v>2</v>
      </c>
    </row>
    <row r="1583" spans="1:30">
      <c r="A1583" s="7">
        <f>MAX($A$1:$A1582)+1</f>
        <v>1582</v>
      </c>
      <c r="B1583" s="2" t="s">
        <v>171</v>
      </c>
      <c r="C1583" s="2" t="s">
        <v>504</v>
      </c>
      <c r="D1583" s="2" t="s">
        <v>33</v>
      </c>
      <c r="E1583" s="7" t="s">
        <v>370</v>
      </c>
      <c r="F1583" s="4">
        <v>48.955081939697202</v>
      </c>
      <c r="G1583" s="18">
        <v>-125.15337371826099</v>
      </c>
      <c r="H1583" s="5" t="s">
        <v>11</v>
      </c>
      <c r="I1583" s="2">
        <v>5</v>
      </c>
      <c r="J1583" s="2">
        <v>150</v>
      </c>
      <c r="K1583" s="6">
        <v>0.54305555555555551</v>
      </c>
      <c r="L1583" s="2" t="s">
        <v>172</v>
      </c>
      <c r="M1583" s="2">
        <v>9</v>
      </c>
      <c r="N1583" s="2">
        <v>2</v>
      </c>
      <c r="O1583" s="2">
        <v>2</v>
      </c>
      <c r="P1583" s="2" t="s">
        <v>301</v>
      </c>
      <c r="Q1583" s="7" t="s">
        <v>97</v>
      </c>
      <c r="R1583" s="4" t="s">
        <v>302</v>
      </c>
      <c r="S1583" s="20">
        <v>27</v>
      </c>
      <c r="T1583" s="2">
        <v>27</v>
      </c>
    </row>
    <row r="1584" spans="1:30">
      <c r="A1584" s="7">
        <f>MAX($A$1:$A1583)+1</f>
        <v>1583</v>
      </c>
      <c r="B1584" s="2" t="s">
        <v>171</v>
      </c>
      <c r="C1584" s="2" t="s">
        <v>504</v>
      </c>
      <c r="D1584" s="2" t="s">
        <v>33</v>
      </c>
      <c r="E1584" s="7" t="s">
        <v>370</v>
      </c>
      <c r="F1584" s="4">
        <v>48.955081939697202</v>
      </c>
      <c r="G1584" s="18">
        <v>-125.15337371826099</v>
      </c>
      <c r="H1584" s="5" t="s">
        <v>11</v>
      </c>
      <c r="I1584" s="2">
        <v>5</v>
      </c>
      <c r="J1584" s="2">
        <v>150</v>
      </c>
      <c r="K1584" s="6">
        <v>0.54305555555555551</v>
      </c>
      <c r="L1584" s="2" t="s">
        <v>172</v>
      </c>
      <c r="M1584" s="2">
        <v>9</v>
      </c>
      <c r="N1584" s="2">
        <v>2</v>
      </c>
      <c r="O1584" s="2">
        <v>2</v>
      </c>
      <c r="P1584" s="2" t="s">
        <v>250</v>
      </c>
      <c r="Q1584" s="7" t="s">
        <v>46</v>
      </c>
      <c r="R1584" s="4" t="s">
        <v>295</v>
      </c>
      <c r="S1584" s="20">
        <v>15</v>
      </c>
      <c r="T1584" s="2">
        <v>0</v>
      </c>
      <c r="U1584" s="2">
        <v>2</v>
      </c>
      <c r="V1584" s="2">
        <v>11</v>
      </c>
      <c r="W1584" s="2">
        <v>2</v>
      </c>
    </row>
    <row r="1585" spans="1:23">
      <c r="A1585" s="7">
        <f>MAX($A$1:$A1584)+1</f>
        <v>1584</v>
      </c>
      <c r="B1585" s="2" t="s">
        <v>171</v>
      </c>
      <c r="C1585" s="2" t="s">
        <v>504</v>
      </c>
      <c r="D1585" s="2" t="s">
        <v>33</v>
      </c>
      <c r="E1585" s="7" t="s">
        <v>370</v>
      </c>
      <c r="F1585" s="4">
        <v>48.955081939697202</v>
      </c>
      <c r="G1585" s="18">
        <v>-125.15337371826099</v>
      </c>
      <c r="H1585" s="5" t="s">
        <v>11</v>
      </c>
      <c r="I1585" s="2">
        <v>5</v>
      </c>
      <c r="J1585" s="2">
        <v>150</v>
      </c>
      <c r="K1585" s="6">
        <v>0.54305555555555551</v>
      </c>
      <c r="L1585" s="2" t="s">
        <v>172</v>
      </c>
      <c r="M1585" s="2">
        <v>9</v>
      </c>
      <c r="N1585" s="2">
        <v>2</v>
      </c>
      <c r="O1585" s="2">
        <v>2</v>
      </c>
      <c r="P1585" s="2" t="s">
        <v>243</v>
      </c>
      <c r="Q1585" s="7" t="s">
        <v>85</v>
      </c>
      <c r="R1585" s="4" t="s">
        <v>312</v>
      </c>
      <c r="S1585" s="20">
        <v>8</v>
      </c>
      <c r="T1585" s="2">
        <v>8</v>
      </c>
    </row>
    <row r="1586" spans="1:23">
      <c r="A1586" s="7">
        <f>MAX($A$1:$A1585)+1</f>
        <v>1585</v>
      </c>
      <c r="B1586" s="2" t="s">
        <v>171</v>
      </c>
      <c r="C1586" s="2" t="s">
        <v>504</v>
      </c>
      <c r="D1586" s="2" t="s">
        <v>33</v>
      </c>
      <c r="E1586" s="7" t="s">
        <v>370</v>
      </c>
      <c r="F1586" s="4">
        <v>48.955081939697202</v>
      </c>
      <c r="G1586" s="18">
        <v>-125.15337371826099</v>
      </c>
      <c r="H1586" s="5" t="s">
        <v>11</v>
      </c>
      <c r="I1586" s="2">
        <v>5</v>
      </c>
      <c r="J1586" s="2">
        <v>150</v>
      </c>
      <c r="K1586" s="6">
        <v>0.54305555555555551</v>
      </c>
      <c r="L1586" s="2" t="s">
        <v>172</v>
      </c>
      <c r="M1586" s="2">
        <v>9</v>
      </c>
      <c r="N1586" s="2">
        <v>2</v>
      </c>
      <c r="O1586" s="2">
        <v>2</v>
      </c>
      <c r="P1586" s="2" t="s">
        <v>230</v>
      </c>
      <c r="Q1586" s="7" t="s">
        <v>42</v>
      </c>
      <c r="R1586" s="4" t="s">
        <v>321</v>
      </c>
      <c r="S1586" s="20">
        <v>8</v>
      </c>
      <c r="T1586" s="2">
        <v>0</v>
      </c>
      <c r="U1586" s="2">
        <v>1</v>
      </c>
      <c r="V1586" s="2">
        <v>3</v>
      </c>
      <c r="W1586" s="2">
        <v>4</v>
      </c>
    </row>
    <row r="1587" spans="1:23">
      <c r="A1587" s="7">
        <f>MAX($A$1:$A1586)+1</f>
        <v>1586</v>
      </c>
      <c r="B1587" s="2" t="s">
        <v>171</v>
      </c>
      <c r="C1587" s="2" t="s">
        <v>504</v>
      </c>
      <c r="D1587" s="2" t="s">
        <v>33</v>
      </c>
      <c r="E1587" s="7" t="s">
        <v>370</v>
      </c>
      <c r="F1587" s="4">
        <v>48.955081939697202</v>
      </c>
      <c r="G1587" s="18">
        <v>-125.15337371826099</v>
      </c>
      <c r="H1587" s="5" t="s">
        <v>11</v>
      </c>
      <c r="I1587" s="2">
        <v>5</v>
      </c>
      <c r="J1587" s="2">
        <v>150</v>
      </c>
      <c r="K1587" s="6">
        <v>0.54305555555555551</v>
      </c>
      <c r="L1587" s="2" t="s">
        <v>172</v>
      </c>
      <c r="M1587" s="2">
        <v>9</v>
      </c>
      <c r="N1587" s="2">
        <v>2</v>
      </c>
      <c r="O1587" s="2">
        <v>2</v>
      </c>
      <c r="P1587" s="2" t="s">
        <v>296</v>
      </c>
      <c r="Q1587" s="7" t="s">
        <v>75</v>
      </c>
      <c r="R1587" s="4" t="s">
        <v>297</v>
      </c>
      <c r="S1587" s="20">
        <v>22</v>
      </c>
      <c r="T1587" s="2">
        <v>22</v>
      </c>
    </row>
    <row r="1588" spans="1:23">
      <c r="A1588" s="7">
        <f>MAX($A$1:$A1587)+1</f>
        <v>1587</v>
      </c>
      <c r="B1588" s="2" t="s">
        <v>171</v>
      </c>
      <c r="C1588" s="2" t="s">
        <v>504</v>
      </c>
      <c r="D1588" s="2" t="s">
        <v>33</v>
      </c>
      <c r="E1588" s="7" t="s">
        <v>370</v>
      </c>
      <c r="F1588" s="4">
        <v>48.955081939697202</v>
      </c>
      <c r="G1588" s="18">
        <v>-125.15337371826099</v>
      </c>
      <c r="H1588" s="5" t="s">
        <v>11</v>
      </c>
      <c r="I1588" s="2">
        <v>5</v>
      </c>
      <c r="J1588" s="2">
        <v>150</v>
      </c>
      <c r="K1588" s="6">
        <v>0.54305555555555551</v>
      </c>
      <c r="L1588" s="2" t="s">
        <v>172</v>
      </c>
      <c r="M1588" s="2">
        <v>9</v>
      </c>
      <c r="N1588" s="2">
        <v>2</v>
      </c>
      <c r="O1588" s="2">
        <v>2</v>
      </c>
      <c r="P1588" s="2" t="s">
        <v>360</v>
      </c>
      <c r="Q1588" s="7" t="s">
        <v>129</v>
      </c>
      <c r="R1588" s="4" t="s">
        <v>361</v>
      </c>
      <c r="S1588" s="20">
        <v>1</v>
      </c>
      <c r="T1588" s="2">
        <v>1</v>
      </c>
    </row>
    <row r="1589" spans="1:23">
      <c r="A1589" s="7">
        <f>MAX($A$1:$A1588)+1</f>
        <v>1588</v>
      </c>
      <c r="B1589" s="2" t="s">
        <v>171</v>
      </c>
      <c r="C1589" s="2" t="s">
        <v>504</v>
      </c>
      <c r="D1589" s="2" t="s">
        <v>33</v>
      </c>
      <c r="E1589" s="7" t="s">
        <v>370</v>
      </c>
      <c r="F1589" s="4">
        <v>48.955081939697202</v>
      </c>
      <c r="G1589" s="18">
        <v>-125.15337371826099</v>
      </c>
      <c r="H1589" s="5" t="s">
        <v>11</v>
      </c>
      <c r="I1589" s="2">
        <v>5</v>
      </c>
      <c r="J1589" s="2">
        <v>150</v>
      </c>
      <c r="K1589" s="6">
        <v>0.54305555555555551</v>
      </c>
      <c r="L1589" s="2" t="s">
        <v>172</v>
      </c>
      <c r="M1589" s="2">
        <v>9</v>
      </c>
      <c r="N1589" s="2">
        <v>2</v>
      </c>
      <c r="O1589" s="2">
        <v>2</v>
      </c>
      <c r="P1589" s="2" t="s">
        <v>246</v>
      </c>
      <c r="Q1589" s="7" t="s">
        <v>66</v>
      </c>
      <c r="R1589" s="4" t="s">
        <v>318</v>
      </c>
      <c r="S1589" s="20">
        <v>11</v>
      </c>
      <c r="T1589" s="2">
        <v>0</v>
      </c>
      <c r="U1589" s="2">
        <v>7</v>
      </c>
      <c r="V1589" s="2">
        <v>3</v>
      </c>
      <c r="W1589" s="2">
        <v>1</v>
      </c>
    </row>
    <row r="1590" spans="1:23">
      <c r="A1590" s="7">
        <f>MAX($A$1:$A1589)+1</f>
        <v>1589</v>
      </c>
      <c r="B1590" s="2" t="s">
        <v>171</v>
      </c>
      <c r="C1590" s="2" t="s">
        <v>504</v>
      </c>
      <c r="D1590" s="2" t="s">
        <v>33</v>
      </c>
      <c r="E1590" s="7" t="s">
        <v>370</v>
      </c>
      <c r="F1590" s="4">
        <v>48.955081939697202</v>
      </c>
      <c r="G1590" s="18">
        <v>-125.15337371826099</v>
      </c>
      <c r="H1590" s="5" t="s">
        <v>11</v>
      </c>
      <c r="I1590" s="2">
        <v>5</v>
      </c>
      <c r="J1590" s="2">
        <v>150</v>
      </c>
      <c r="K1590" s="6">
        <v>0.54305555555555551</v>
      </c>
      <c r="L1590" s="2" t="s">
        <v>172</v>
      </c>
      <c r="M1590" s="2">
        <v>9</v>
      </c>
      <c r="N1590" s="2">
        <v>2</v>
      </c>
      <c r="O1590" s="2">
        <v>2</v>
      </c>
      <c r="P1590" s="2" t="s">
        <v>419</v>
      </c>
      <c r="Q1590" s="7" t="s">
        <v>139</v>
      </c>
      <c r="R1590" s="4" t="s">
        <v>420</v>
      </c>
      <c r="S1590" s="20">
        <v>1</v>
      </c>
      <c r="T1590" s="2">
        <v>1</v>
      </c>
    </row>
    <row r="1591" spans="1:23">
      <c r="A1591" s="7">
        <f>MAX($A$1:$A1590)+1</f>
        <v>1590</v>
      </c>
      <c r="B1591" s="2" t="s">
        <v>171</v>
      </c>
      <c r="C1591" s="2" t="s">
        <v>504</v>
      </c>
      <c r="D1591" s="2" t="s">
        <v>33</v>
      </c>
      <c r="E1591" s="7" t="s">
        <v>370</v>
      </c>
      <c r="F1591" s="4">
        <v>48.955081939697202</v>
      </c>
      <c r="G1591" s="18">
        <v>-125.15337371826099</v>
      </c>
      <c r="H1591" s="5" t="s">
        <v>11</v>
      </c>
      <c r="I1591" s="2">
        <v>5</v>
      </c>
      <c r="J1591" s="2">
        <v>150</v>
      </c>
      <c r="K1591" s="6">
        <v>0.54305555555555551</v>
      </c>
      <c r="L1591" s="2" t="s">
        <v>172</v>
      </c>
      <c r="M1591" s="2">
        <v>9</v>
      </c>
      <c r="N1591" s="2">
        <v>2</v>
      </c>
      <c r="O1591" s="2">
        <v>2</v>
      </c>
      <c r="P1591" s="2" t="s">
        <v>338</v>
      </c>
      <c r="Q1591" s="7" t="s">
        <v>101</v>
      </c>
      <c r="R1591" s="4" t="s">
        <v>339</v>
      </c>
      <c r="S1591" s="20">
        <v>2</v>
      </c>
      <c r="T1591" s="2">
        <v>0</v>
      </c>
      <c r="V1591" s="2">
        <v>2</v>
      </c>
    </row>
    <row r="1592" spans="1:23">
      <c r="A1592" s="7">
        <f>MAX($A$1:$A1591)+1</f>
        <v>1591</v>
      </c>
      <c r="B1592" s="2" t="s">
        <v>171</v>
      </c>
      <c r="C1592" s="2" t="s">
        <v>504</v>
      </c>
      <c r="D1592" s="2" t="s">
        <v>33</v>
      </c>
      <c r="E1592" s="7" t="s">
        <v>370</v>
      </c>
      <c r="F1592" s="4">
        <v>48.955081939697202</v>
      </c>
      <c r="G1592" s="18">
        <v>-125.15337371826099</v>
      </c>
      <c r="H1592" s="5" t="s">
        <v>11</v>
      </c>
      <c r="I1592" s="2">
        <v>5</v>
      </c>
      <c r="J1592" s="2">
        <v>150</v>
      </c>
      <c r="K1592" s="6">
        <v>0.54305555555555551</v>
      </c>
      <c r="L1592" s="2" t="s">
        <v>172</v>
      </c>
      <c r="M1592" s="2">
        <v>9</v>
      </c>
      <c r="N1592" s="2">
        <v>2</v>
      </c>
      <c r="O1592" s="2">
        <v>2</v>
      </c>
      <c r="P1592" s="2" t="s">
        <v>395</v>
      </c>
      <c r="Q1592" s="7" t="s">
        <v>81</v>
      </c>
      <c r="R1592" s="4" t="s">
        <v>396</v>
      </c>
      <c r="S1592" s="20">
        <v>1</v>
      </c>
      <c r="T1592" s="2">
        <v>1</v>
      </c>
    </row>
    <row r="1593" spans="1:23">
      <c r="A1593" s="7">
        <f>MAX($A$1:$A1592)+1</f>
        <v>1592</v>
      </c>
      <c r="B1593" s="2" t="s">
        <v>171</v>
      </c>
      <c r="C1593" s="2" t="s">
        <v>504</v>
      </c>
      <c r="D1593" s="2" t="s">
        <v>33</v>
      </c>
      <c r="E1593" s="7" t="s">
        <v>370</v>
      </c>
      <c r="F1593" s="4">
        <v>48.955081939697202</v>
      </c>
      <c r="G1593" s="18">
        <v>-125.15337371826099</v>
      </c>
      <c r="H1593" s="5" t="s">
        <v>11</v>
      </c>
      <c r="I1593" s="2">
        <v>5</v>
      </c>
      <c r="J1593" s="2">
        <v>150</v>
      </c>
      <c r="K1593" s="6">
        <v>0.54305555555555551</v>
      </c>
      <c r="L1593" s="2" t="s">
        <v>172</v>
      </c>
      <c r="M1593" s="2">
        <v>9</v>
      </c>
      <c r="N1593" s="2">
        <v>2</v>
      </c>
      <c r="O1593" s="2">
        <v>2</v>
      </c>
      <c r="P1593" s="2" t="s">
        <v>238</v>
      </c>
      <c r="Q1593" s="7" t="s">
        <v>69</v>
      </c>
      <c r="R1593" s="4" t="s">
        <v>313</v>
      </c>
      <c r="S1593" s="20">
        <v>1</v>
      </c>
      <c r="T1593" s="2">
        <v>1</v>
      </c>
    </row>
    <row r="1594" spans="1:23">
      <c r="A1594" s="7">
        <f>MAX($A$1:$A1593)+1</f>
        <v>1593</v>
      </c>
      <c r="B1594" s="2" t="s">
        <v>171</v>
      </c>
      <c r="C1594" s="2" t="s">
        <v>504</v>
      </c>
      <c r="D1594" s="2" t="s">
        <v>33</v>
      </c>
      <c r="E1594" s="7" t="s">
        <v>370</v>
      </c>
      <c r="F1594" s="4">
        <v>48.955081939697202</v>
      </c>
      <c r="G1594" s="18">
        <v>-125.15337371826099</v>
      </c>
      <c r="H1594" s="5" t="s">
        <v>11</v>
      </c>
      <c r="I1594" s="2">
        <v>5</v>
      </c>
      <c r="J1594" s="2">
        <v>150</v>
      </c>
      <c r="K1594" s="6">
        <v>0.54305555555555551</v>
      </c>
      <c r="L1594" s="2" t="s">
        <v>172</v>
      </c>
      <c r="M1594" s="2">
        <v>9</v>
      </c>
      <c r="N1594" s="2">
        <v>2</v>
      </c>
      <c r="O1594" s="2">
        <v>2</v>
      </c>
      <c r="P1594" s="2" t="s">
        <v>316</v>
      </c>
      <c r="Q1594" s="7" t="s">
        <v>123</v>
      </c>
      <c r="R1594" s="4" t="s">
        <v>317</v>
      </c>
      <c r="S1594" s="20">
        <v>1</v>
      </c>
      <c r="T1594" s="2">
        <v>1</v>
      </c>
    </row>
    <row r="1595" spans="1:23">
      <c r="A1595" s="7">
        <f>MAX($A$1:$A1594)+1</f>
        <v>1594</v>
      </c>
      <c r="B1595" s="2" t="s">
        <v>171</v>
      </c>
      <c r="C1595" s="2" t="s">
        <v>504</v>
      </c>
      <c r="D1595" s="2" t="s">
        <v>33</v>
      </c>
      <c r="E1595" s="7" t="s">
        <v>370</v>
      </c>
      <c r="F1595" s="4">
        <v>48.955081939697202</v>
      </c>
      <c r="G1595" s="18">
        <v>-125.15337371826099</v>
      </c>
      <c r="H1595" s="5" t="s">
        <v>11</v>
      </c>
      <c r="I1595" s="2">
        <v>5</v>
      </c>
      <c r="J1595" s="2">
        <v>150</v>
      </c>
      <c r="K1595" s="6">
        <v>0.54305555555555551</v>
      </c>
      <c r="L1595" s="2" t="s">
        <v>172</v>
      </c>
      <c r="M1595" s="2">
        <v>9</v>
      </c>
      <c r="N1595" s="2">
        <v>2</v>
      </c>
      <c r="O1595" s="2">
        <v>2</v>
      </c>
      <c r="P1595" s="2" t="s">
        <v>247</v>
      </c>
      <c r="Q1595" s="7" t="s">
        <v>64</v>
      </c>
      <c r="R1595" s="4" t="s">
        <v>293</v>
      </c>
      <c r="S1595" s="20">
        <v>1</v>
      </c>
      <c r="T1595" s="2">
        <v>1</v>
      </c>
    </row>
    <row r="1596" spans="1:23">
      <c r="A1596" s="7">
        <f>MAX($A$1:$A1595)+1</f>
        <v>1595</v>
      </c>
      <c r="B1596" s="2" t="s">
        <v>171</v>
      </c>
      <c r="C1596" s="2" t="s">
        <v>504</v>
      </c>
      <c r="D1596" s="2" t="s">
        <v>33</v>
      </c>
      <c r="E1596" s="7" t="s">
        <v>370</v>
      </c>
      <c r="F1596" s="4">
        <v>48.955081939697202</v>
      </c>
      <c r="G1596" s="18">
        <v>-125.15337371826099</v>
      </c>
      <c r="H1596" s="5" t="s">
        <v>11</v>
      </c>
      <c r="I1596" s="2">
        <v>5</v>
      </c>
      <c r="J1596" s="2">
        <v>150</v>
      </c>
      <c r="K1596" s="6">
        <v>0.54305555555555551</v>
      </c>
      <c r="L1596" s="2" t="s">
        <v>172</v>
      </c>
      <c r="M1596" s="2">
        <v>9</v>
      </c>
      <c r="N1596" s="2">
        <v>2</v>
      </c>
      <c r="O1596" s="2">
        <v>2</v>
      </c>
      <c r="P1596" s="2" t="s">
        <v>350</v>
      </c>
      <c r="Q1596" s="7" t="s">
        <v>83</v>
      </c>
      <c r="R1596" s="4" t="s">
        <v>351</v>
      </c>
      <c r="S1596" s="20">
        <v>1</v>
      </c>
      <c r="T1596" s="2">
        <v>1</v>
      </c>
    </row>
    <row r="1597" spans="1:23">
      <c r="A1597" s="7">
        <f>MAX($A$1:$A1596)+1</f>
        <v>1596</v>
      </c>
      <c r="B1597" s="2" t="s">
        <v>171</v>
      </c>
      <c r="C1597" s="2" t="s">
        <v>504</v>
      </c>
      <c r="D1597" s="2" t="s">
        <v>33</v>
      </c>
      <c r="E1597" s="7" t="s">
        <v>370</v>
      </c>
      <c r="F1597" s="4">
        <v>48.955081939697202</v>
      </c>
      <c r="G1597" s="18">
        <v>-125.15337371826099</v>
      </c>
      <c r="H1597" s="5" t="s">
        <v>11</v>
      </c>
      <c r="I1597" s="2">
        <v>5</v>
      </c>
      <c r="J1597" s="2">
        <v>150</v>
      </c>
      <c r="K1597" s="6">
        <v>0.54305555555555551</v>
      </c>
      <c r="L1597" s="2" t="s">
        <v>172</v>
      </c>
      <c r="M1597" s="2">
        <v>9</v>
      </c>
      <c r="N1597" s="2">
        <v>2</v>
      </c>
      <c r="O1597" s="2">
        <v>2</v>
      </c>
      <c r="P1597" s="2" t="s">
        <v>240</v>
      </c>
      <c r="Q1597" s="7" t="s">
        <v>74</v>
      </c>
      <c r="R1597" s="4" t="s">
        <v>459</v>
      </c>
      <c r="S1597" s="20">
        <v>1</v>
      </c>
      <c r="T1597" s="2">
        <v>1</v>
      </c>
    </row>
    <row r="1598" spans="1:23">
      <c r="A1598" s="7">
        <f>MAX($A$1:$A1597)+1</f>
        <v>1597</v>
      </c>
      <c r="B1598" s="2" t="s">
        <v>171</v>
      </c>
      <c r="C1598" s="2" t="s">
        <v>504</v>
      </c>
      <c r="D1598" s="2" t="s">
        <v>33</v>
      </c>
      <c r="E1598" s="7" t="s">
        <v>370</v>
      </c>
      <c r="F1598" s="4">
        <v>48.955081939697202</v>
      </c>
      <c r="G1598" s="18">
        <v>-125.15337371826099</v>
      </c>
      <c r="H1598" s="5" t="s">
        <v>11</v>
      </c>
      <c r="I1598" s="2">
        <v>5</v>
      </c>
      <c r="J1598" s="2">
        <v>150</v>
      </c>
      <c r="K1598" s="6">
        <v>0.54305555555555551</v>
      </c>
      <c r="L1598" s="2" t="s">
        <v>172</v>
      </c>
      <c r="M1598" s="2">
        <v>9</v>
      </c>
      <c r="N1598" s="2">
        <v>0</v>
      </c>
      <c r="O1598" s="2">
        <v>0</v>
      </c>
      <c r="P1598" s="2" t="s">
        <v>237</v>
      </c>
      <c r="Q1598" s="7" t="s">
        <v>51</v>
      </c>
      <c r="R1598" s="4" t="s">
        <v>368</v>
      </c>
      <c r="S1598" s="20">
        <v>1</v>
      </c>
      <c r="T1598" s="2">
        <v>1</v>
      </c>
    </row>
    <row r="1599" spans="1:23">
      <c r="A1599" s="7">
        <f>MAX($A$1:$A1598)+1</f>
        <v>1598</v>
      </c>
      <c r="B1599" s="2" t="s">
        <v>171</v>
      </c>
      <c r="C1599" s="2" t="s">
        <v>504</v>
      </c>
      <c r="D1599" s="2" t="s">
        <v>33</v>
      </c>
      <c r="E1599" s="7" t="s">
        <v>370</v>
      </c>
      <c r="F1599" s="4">
        <v>48.955081939697202</v>
      </c>
      <c r="G1599" s="18">
        <v>-125.15337371826099</v>
      </c>
      <c r="H1599" s="5" t="s">
        <v>11</v>
      </c>
      <c r="I1599" s="2">
        <v>5</v>
      </c>
      <c r="J1599" s="2">
        <v>150</v>
      </c>
      <c r="K1599" s="6">
        <v>0.54305555555555551</v>
      </c>
      <c r="L1599" s="2" t="s">
        <v>172</v>
      </c>
      <c r="M1599" s="2">
        <v>9</v>
      </c>
      <c r="N1599" s="2">
        <v>0</v>
      </c>
      <c r="O1599" s="2">
        <v>0</v>
      </c>
      <c r="P1599" s="2" t="s">
        <v>425</v>
      </c>
      <c r="Q1599" s="7" t="s">
        <v>141</v>
      </c>
      <c r="R1599" s="4" t="s">
        <v>426</v>
      </c>
      <c r="S1599" s="20">
        <v>1</v>
      </c>
      <c r="T1599" s="2">
        <v>1</v>
      </c>
    </row>
    <row r="1600" spans="1:23">
      <c r="A1600" s="7">
        <f>MAX($A$1:$A1599)+1</f>
        <v>1599</v>
      </c>
      <c r="B1600" s="2" t="s">
        <v>171</v>
      </c>
      <c r="C1600" s="2" t="s">
        <v>504</v>
      </c>
      <c r="D1600" s="2" t="s">
        <v>33</v>
      </c>
      <c r="E1600" s="7" t="s">
        <v>370</v>
      </c>
      <c r="F1600" s="4">
        <v>48.955081939697202</v>
      </c>
      <c r="G1600" s="18">
        <v>-125.15337371826099</v>
      </c>
      <c r="H1600" s="5" t="s">
        <v>11</v>
      </c>
      <c r="I1600" s="2">
        <v>5</v>
      </c>
      <c r="J1600" s="2">
        <v>150</v>
      </c>
      <c r="K1600" s="6">
        <v>0.54305555555555551</v>
      </c>
      <c r="L1600" s="2" t="s">
        <v>172</v>
      </c>
      <c r="M1600" s="2">
        <v>9</v>
      </c>
      <c r="N1600" s="2">
        <v>2</v>
      </c>
      <c r="O1600" s="2">
        <v>2</v>
      </c>
      <c r="P1600" s="2" t="s">
        <v>342</v>
      </c>
      <c r="Q1600" s="7" t="s">
        <v>126</v>
      </c>
      <c r="R1600" s="4" t="s">
        <v>329</v>
      </c>
      <c r="S1600" s="20">
        <v>0</v>
      </c>
      <c r="T1600" s="2">
        <v>0</v>
      </c>
    </row>
    <row r="1601" spans="1:32">
      <c r="A1601" s="7">
        <f>MAX($A$1:$A1600)+1</f>
        <v>1600</v>
      </c>
      <c r="B1601" s="2" t="str">
        <f t="shared" ref="B1601:B1643" si="193">IF(ISERROR(B1600),IF(ISERROR(B1599),IF(ISERROR(B1598),"BLANK",B1598),B1599),B1600)</f>
        <v>Em Lim</v>
      </c>
      <c r="C1601" s="2" t="str">
        <f t="shared" ref="C1601:C1643" si="194">IF(ISERROR(C1600),IF(ISERROR(C1599),IF(ISERROR(C1598),"BLANK",C1598),C1599),C1600)</f>
        <v>Isabelle Côté</v>
      </c>
      <c r="D1601" s="27" t="s">
        <v>26</v>
      </c>
      <c r="E1601" s="7" t="str">
        <f>IF(ISERROR(VLOOKUP($D1601,SITES!$A:$E,2,FALSE)),"",VLOOKUP($D1601,SITES!$A:$E,2,FALSE))</f>
        <v>Eagle Bay</v>
      </c>
      <c r="F1601" s="4">
        <f>IF(ISERROR(VLOOKUP($D1601,SITES!$A:$E,3,FALSE)),"",VLOOKUP($D1601,SITES!$A:$E,3,FALSE))</f>
        <v>48.834789276122997</v>
      </c>
      <c r="G1601" s="18">
        <f>IF(ISERROR(VLOOKUP($D1601,SITES!$A:$E,4,FALSE)),"",VLOOKUP($D1601,SITES!$A:$E,4,FALSE))</f>
        <v>-125.14702606201099</v>
      </c>
      <c r="H1601" s="28" t="s">
        <v>8</v>
      </c>
      <c r="I1601" s="2">
        <v>2</v>
      </c>
      <c r="J1601" s="2">
        <v>220</v>
      </c>
      <c r="K1601" s="52">
        <v>0.41666666666666669</v>
      </c>
      <c r="L1601" s="27" t="s">
        <v>172</v>
      </c>
      <c r="M1601" s="2">
        <v>6</v>
      </c>
      <c r="N1601" s="2">
        <v>1</v>
      </c>
      <c r="O1601" s="2">
        <f t="shared" ref="O1601:O1643" si="195">IF(ISERROR(O1600),IF(ISERROR(O1599),IF(ISERROR(O1598),"BLANK",O1598),O1599),O1600)</f>
        <v>2</v>
      </c>
      <c r="P1601" s="27" t="s">
        <v>230</v>
      </c>
      <c r="Q1601" s="7" t="str">
        <f>IF($N1601=1,IF(ISERROR(VLOOKUP($P1601,'M1'!$A:$C,Q$2,FALSE)),"NOT PRESENT",VLOOKUP($P1601,'M1'!$A:$C,Q$2,FALSE)),IF($N1601=2,IF(ISERROR(VLOOKUP(DATA!$P168,'M2'!$A:$C,Q$2,FALSE)),"NOT PRESENT",VLOOKUP(DATA!$P168,'M2'!$A:$C,Q$2,FALSE)),IF($N1601=0,IF(ISERROR(VLOOKUP($P1601,'M1'!$A:$C,Q$2,FALSE)),IF(ISERROR(VLOOKUP(DATA!$P168,'M2'!$A:$C,Q$2,FALSE)),"NOT PRESENT",VLOOKUP(DATA!$P168,'M2'!$A:$C,Q$2,FALSE)),VLOOKUP($P1601,'M1'!$A:$C,Q$2,FALSE)),"SPECIFY METHOD")))</f>
        <v>NOT PRESENT</v>
      </c>
      <c r="R1601" s="4" t="str">
        <f>IF($N1601=1,IF(ISERROR(VLOOKUP($P1601,'M1'!$A:$C,R$2,FALSE)),"NOT PRESENT",VLOOKUP($P1601,'M1'!$A:$C,R$2,FALSE)),IF($N1601=2,IF(ISERROR(VLOOKUP(DATA!$P168,'M2'!$A:$C,R$2,FALSE)),"NOT PRESENT",VLOOKUP(DATA!$P168,'M2'!$A:$C,R$2,FALSE)),IF($N1601=0,IF(ISERROR(VLOOKUP($P1601,'M1'!$A:$C,R$2,FALSE)),IF(ISERROR(VLOOKUP(DATA!$P168,'M2'!$A:$C,R$2,FALSE)),"NOT PRESENT",VLOOKUP(DATA!$P168,'M2'!$A:$C,R$2,FALSE)),VLOOKUP($P1601,'M1'!$A:$C,R$2,FALSE)),"SPECIFY METHOD")))</f>
        <v>NOT PRESENT</v>
      </c>
      <c r="S1601" s="20">
        <f t="shared" ref="S1601:S1643" si="196">SUM(T1601:AV1601)</f>
        <v>11</v>
      </c>
      <c r="T1601" s="2">
        <v>0</v>
      </c>
      <c r="V1601" s="2">
        <v>3</v>
      </c>
      <c r="W1601" s="2">
        <v>5</v>
      </c>
      <c r="X1601" s="2">
        <v>3</v>
      </c>
    </row>
    <row r="1602" spans="1:32">
      <c r="A1602" s="7">
        <f>MAX($A$1:$A1601)+1</f>
        <v>1601</v>
      </c>
      <c r="B1602" s="2" t="str">
        <f t="shared" si="193"/>
        <v>Em Lim</v>
      </c>
      <c r="C1602" s="2" t="str">
        <f t="shared" si="194"/>
        <v>Isabelle Côté</v>
      </c>
      <c r="D1602" s="2" t="str">
        <f t="shared" ref="D1602:D1643" si="197">IF(ISERROR(D1601),IF(ISERROR(D1600),IF(ISERROR(D1599),"BLANK",D1599),D1600),D1601)</f>
        <v>BMSC9</v>
      </c>
      <c r="E1602" s="7" t="str">
        <f>IF(ISERROR(VLOOKUP($D1602,SITES!$A:$E,2,FALSE)),"",VLOOKUP($D1602,SITES!$A:$E,2,FALSE))</f>
        <v>Eagle Bay</v>
      </c>
      <c r="F1602" s="4">
        <f>IF(ISERROR(VLOOKUP($D1602,SITES!$A:$E,3,FALSE)),"",VLOOKUP($D1602,SITES!$A:$E,3,FALSE))</f>
        <v>48.834789276122997</v>
      </c>
      <c r="G1602" s="18">
        <f>IF(ISERROR(VLOOKUP($D1602,SITES!$A:$E,4,FALSE)),"",VLOOKUP($D1602,SITES!$A:$E,4,FALSE))</f>
        <v>-125.14702606201099</v>
      </c>
      <c r="H1602" s="5" t="str">
        <f t="shared" ref="H1602:N1608" si="198">IF(ISERROR(H1601),IF(ISERROR(H1600),IF(ISERROR(H1599),"BLANK",H1599),H1600),H1601)</f>
        <v>11/05/2023</v>
      </c>
      <c r="I1602" s="2">
        <f t="shared" si="198"/>
        <v>2</v>
      </c>
      <c r="J1602" s="2">
        <f t="shared" si="198"/>
        <v>220</v>
      </c>
      <c r="K1602" s="52">
        <f t="shared" si="198"/>
        <v>0.41666666666666669</v>
      </c>
      <c r="L1602" s="2" t="str">
        <f t="shared" si="198"/>
        <v>EGL</v>
      </c>
      <c r="M1602" s="2">
        <f t="shared" si="198"/>
        <v>6</v>
      </c>
      <c r="N1602" s="2">
        <f t="shared" si="198"/>
        <v>1</v>
      </c>
      <c r="O1602" s="2">
        <f t="shared" si="195"/>
        <v>2</v>
      </c>
      <c r="P1602" s="27" t="s">
        <v>231</v>
      </c>
      <c r="Q1602" s="7" t="str">
        <f>IF($N1602=1,IF(ISERROR(VLOOKUP($P1602,'M1'!$A:$C,Q$2,FALSE)),"NOT PRESENT",VLOOKUP($P1602,'M1'!$A:$C,Q$2,FALSE)),IF($N1602=2,IF(ISERROR(VLOOKUP(DATA!$P169,'M2'!$A:$C,Q$2,FALSE)),"NOT PRESENT",VLOOKUP(DATA!$P169,'M2'!$A:$C,Q$2,FALSE)),IF($N1602=0,IF(ISERROR(VLOOKUP($P1602,'M1'!$A:$C,Q$2,FALSE)),IF(ISERROR(VLOOKUP(DATA!$P169,'M2'!$A:$C,Q$2,FALSE)),"NOT PRESENT",VLOOKUP(DATA!$P169,'M2'!$A:$C,Q$2,FALSE)),VLOOKUP($P1602,'M1'!$A:$C,Q$2,FALSE)),"SPECIFY METHOD")))</f>
        <v>NOT PRESENT</v>
      </c>
      <c r="R1602" s="4" t="str">
        <f>IF($N1602=1,IF(ISERROR(VLOOKUP($P1602,'M1'!$A:$C,R$2,FALSE)),"NOT PRESENT",VLOOKUP($P1602,'M1'!$A:$C,R$2,FALSE)),IF($N1602=2,IF(ISERROR(VLOOKUP(DATA!$P169,'M2'!$A:$C,R$2,FALSE)),"NOT PRESENT",VLOOKUP(DATA!$P169,'M2'!$A:$C,R$2,FALSE)),IF($N1602=0,IF(ISERROR(VLOOKUP($P1602,'M1'!$A:$C,R$2,FALSE)),IF(ISERROR(VLOOKUP(DATA!$P169,'M2'!$A:$C,R$2,FALSE)),"NOT PRESENT",VLOOKUP(DATA!$P169,'M2'!$A:$C,R$2,FALSE)),VLOOKUP($P1602,'M1'!$A:$C,R$2,FALSE)),"SPECIFY METHOD")))</f>
        <v>NOT PRESENT</v>
      </c>
      <c r="S1602" s="20">
        <f t="shared" si="196"/>
        <v>12</v>
      </c>
      <c r="T1602" s="2">
        <v>0</v>
      </c>
      <c r="Z1602" s="2">
        <v>4</v>
      </c>
      <c r="AA1602" s="2">
        <v>5</v>
      </c>
      <c r="AB1602" s="2">
        <v>3</v>
      </c>
    </row>
    <row r="1603" spans="1:32">
      <c r="A1603" s="7">
        <f>MAX($A$1:$A1602)+1</f>
        <v>1602</v>
      </c>
      <c r="B1603" s="2" t="str">
        <f t="shared" si="193"/>
        <v>Em Lim</v>
      </c>
      <c r="C1603" s="2" t="str">
        <f t="shared" si="194"/>
        <v>Isabelle Côté</v>
      </c>
      <c r="D1603" s="2" t="str">
        <f t="shared" si="197"/>
        <v>BMSC9</v>
      </c>
      <c r="E1603" s="7" t="str">
        <f>IF(ISERROR(VLOOKUP($D1603,SITES!$A:$E,2,FALSE)),"",VLOOKUP($D1603,SITES!$A:$E,2,FALSE))</f>
        <v>Eagle Bay</v>
      </c>
      <c r="F1603" s="4">
        <f>IF(ISERROR(VLOOKUP($D1603,SITES!$A:$E,3,FALSE)),"",VLOOKUP($D1603,SITES!$A:$E,3,FALSE))</f>
        <v>48.834789276122997</v>
      </c>
      <c r="G1603" s="18">
        <f>IF(ISERROR(VLOOKUP($D1603,SITES!$A:$E,4,FALSE)),"",VLOOKUP($D1603,SITES!$A:$E,4,FALSE))</f>
        <v>-125.14702606201099</v>
      </c>
      <c r="H1603" s="5" t="str">
        <f t="shared" si="198"/>
        <v>11/05/2023</v>
      </c>
      <c r="I1603" s="2">
        <f t="shared" si="198"/>
        <v>2</v>
      </c>
      <c r="J1603" s="2">
        <f t="shared" si="198"/>
        <v>220</v>
      </c>
      <c r="K1603" s="52">
        <f t="shared" si="198"/>
        <v>0.41666666666666669</v>
      </c>
      <c r="L1603" s="2" t="str">
        <f t="shared" si="198"/>
        <v>EGL</v>
      </c>
      <c r="M1603" s="2">
        <f t="shared" si="198"/>
        <v>6</v>
      </c>
      <c r="N1603" s="2">
        <f t="shared" si="198"/>
        <v>1</v>
      </c>
      <c r="O1603" s="2">
        <f t="shared" si="195"/>
        <v>2</v>
      </c>
      <c r="P1603" s="27" t="s">
        <v>232</v>
      </c>
      <c r="Q1603" s="7" t="str">
        <f>IF($N1603=1,IF(ISERROR(VLOOKUP($P1603,'M1'!$A:$C,Q$2,FALSE)),"NOT PRESENT",VLOOKUP($P1603,'M1'!$A:$C,Q$2,FALSE)),IF($N1603=2,IF(ISERROR(VLOOKUP(DATA!$P170,'M2'!$A:$C,Q$2,FALSE)),"NOT PRESENT",VLOOKUP(DATA!$P170,'M2'!$A:$C,Q$2,FALSE)),IF($N1603=0,IF(ISERROR(VLOOKUP($P1603,'M1'!$A:$C,Q$2,FALSE)),IF(ISERROR(VLOOKUP(DATA!$P170,'M2'!$A:$C,Q$2,FALSE)),"NOT PRESENT",VLOOKUP(DATA!$P170,'M2'!$A:$C,Q$2,FALSE)),VLOOKUP($P1603,'M1'!$A:$C,Q$2,FALSE)),"SPECIFY METHOD")))</f>
        <v>NOT PRESENT</v>
      </c>
      <c r="R1603" s="4" t="str">
        <f>IF($N1603=1,IF(ISERROR(VLOOKUP($P1603,'M1'!$A:$C,R$2,FALSE)),"NOT PRESENT",VLOOKUP($P1603,'M1'!$A:$C,R$2,FALSE)),IF($N1603=2,IF(ISERROR(VLOOKUP(DATA!$P170,'M2'!$A:$C,R$2,FALSE)),"NOT PRESENT",VLOOKUP(DATA!$P170,'M2'!$A:$C,R$2,FALSE)),IF($N1603=0,IF(ISERROR(VLOOKUP($P1603,'M1'!$A:$C,R$2,FALSE)),IF(ISERROR(VLOOKUP(DATA!$P170,'M2'!$A:$C,R$2,FALSE)),"NOT PRESENT",VLOOKUP(DATA!$P170,'M2'!$A:$C,R$2,FALSE)),VLOOKUP($P1603,'M1'!$A:$C,R$2,FALSE)),"SPECIFY METHOD")))</f>
        <v>NOT PRESENT</v>
      </c>
      <c r="S1603" s="20">
        <f t="shared" si="196"/>
        <v>7</v>
      </c>
      <c r="T1603" s="2">
        <v>0</v>
      </c>
      <c r="AA1603" s="2">
        <v>1</v>
      </c>
      <c r="AB1603" s="2">
        <v>1</v>
      </c>
      <c r="AC1603" s="2">
        <v>3</v>
      </c>
      <c r="AD1603" s="2">
        <v>2</v>
      </c>
    </row>
    <row r="1604" spans="1:32">
      <c r="A1604" s="7">
        <f>MAX($A$1:$A1603)+1</f>
        <v>1603</v>
      </c>
      <c r="B1604" s="2" t="str">
        <f t="shared" si="193"/>
        <v>Em Lim</v>
      </c>
      <c r="C1604" s="2" t="str">
        <f t="shared" si="194"/>
        <v>Isabelle Côté</v>
      </c>
      <c r="D1604" s="2" t="str">
        <f t="shared" si="197"/>
        <v>BMSC9</v>
      </c>
      <c r="E1604" s="7" t="str">
        <f>IF(ISERROR(VLOOKUP($D1604,SITES!$A:$E,2,FALSE)),"",VLOOKUP($D1604,SITES!$A:$E,2,FALSE))</f>
        <v>Eagle Bay</v>
      </c>
      <c r="F1604" s="4">
        <f>IF(ISERROR(VLOOKUP($D1604,SITES!$A:$E,3,FALSE)),"",VLOOKUP($D1604,SITES!$A:$E,3,FALSE))</f>
        <v>48.834789276122997</v>
      </c>
      <c r="G1604" s="18">
        <f>IF(ISERROR(VLOOKUP($D1604,SITES!$A:$E,4,FALSE)),"",VLOOKUP($D1604,SITES!$A:$E,4,FALSE))</f>
        <v>-125.14702606201099</v>
      </c>
      <c r="H1604" s="5" t="str">
        <f t="shared" si="198"/>
        <v>11/05/2023</v>
      </c>
      <c r="I1604" s="2">
        <f t="shared" si="198"/>
        <v>2</v>
      </c>
      <c r="J1604" s="2">
        <f t="shared" si="198"/>
        <v>220</v>
      </c>
      <c r="K1604" s="52">
        <f t="shared" si="198"/>
        <v>0.41666666666666669</v>
      </c>
      <c r="L1604" s="2" t="str">
        <f t="shared" si="198"/>
        <v>EGL</v>
      </c>
      <c r="M1604" s="2">
        <f t="shared" si="198"/>
        <v>6</v>
      </c>
      <c r="N1604" s="2">
        <f t="shared" si="198"/>
        <v>1</v>
      </c>
      <c r="O1604" s="2">
        <f t="shared" si="195"/>
        <v>2</v>
      </c>
      <c r="P1604" s="27" t="s">
        <v>233</v>
      </c>
      <c r="Q1604" s="7" t="str">
        <f>IF($N1604=1,IF(ISERROR(VLOOKUP($P1604,'M1'!$A:$C,Q$2,FALSE)),"NOT PRESENT",VLOOKUP($P1604,'M1'!$A:$C,Q$2,FALSE)),IF($N1604=2,IF(ISERROR(VLOOKUP(DATA!$P171,'M2'!$A:$C,Q$2,FALSE)),"NOT PRESENT",VLOOKUP(DATA!$P171,'M2'!$A:$C,Q$2,FALSE)),IF($N1604=0,IF(ISERROR(VLOOKUP($P1604,'M1'!$A:$C,Q$2,FALSE)),IF(ISERROR(VLOOKUP(DATA!$P171,'M2'!$A:$C,Q$2,FALSE)),"NOT PRESENT",VLOOKUP(DATA!$P171,'M2'!$A:$C,Q$2,FALSE)),VLOOKUP($P1604,'M1'!$A:$C,Q$2,FALSE)),"SPECIFY METHOD")))</f>
        <v>NOT PRESENT</v>
      </c>
      <c r="R1604" s="4" t="str">
        <f>IF($N1604=1,IF(ISERROR(VLOOKUP($P1604,'M1'!$A:$C,R$2,FALSE)),"NOT PRESENT",VLOOKUP($P1604,'M1'!$A:$C,R$2,FALSE)),IF($N1604=2,IF(ISERROR(VLOOKUP(DATA!$P171,'M2'!$A:$C,R$2,FALSE)),"NOT PRESENT",VLOOKUP(DATA!$P171,'M2'!$A:$C,R$2,FALSE)),IF($N1604=0,IF(ISERROR(VLOOKUP($P1604,'M1'!$A:$C,R$2,FALSE)),IF(ISERROR(VLOOKUP(DATA!$P171,'M2'!$A:$C,R$2,FALSE)),"NOT PRESENT",VLOOKUP(DATA!$P171,'M2'!$A:$C,R$2,FALSE)),VLOOKUP($P1604,'M1'!$A:$C,R$2,FALSE)),"SPECIFY METHOD")))</f>
        <v>NOT PRESENT</v>
      </c>
      <c r="S1604" s="20">
        <f t="shared" si="196"/>
        <v>1</v>
      </c>
      <c r="T1604" s="2">
        <v>0</v>
      </c>
      <c r="Y1604" s="2">
        <v>1</v>
      </c>
    </row>
    <row r="1605" spans="1:32">
      <c r="A1605" s="7">
        <f>MAX($A$1:$A1604)+1</f>
        <v>1604</v>
      </c>
      <c r="B1605" s="2" t="str">
        <f t="shared" si="193"/>
        <v>Em Lim</v>
      </c>
      <c r="C1605" s="2" t="str">
        <f t="shared" si="194"/>
        <v>Isabelle Côté</v>
      </c>
      <c r="D1605" s="2" t="str">
        <f t="shared" si="197"/>
        <v>BMSC9</v>
      </c>
      <c r="E1605" s="7" t="str">
        <f>IF(ISERROR(VLOOKUP($D1605,SITES!$A:$E,2,FALSE)),"",VLOOKUP($D1605,SITES!$A:$E,2,FALSE))</f>
        <v>Eagle Bay</v>
      </c>
      <c r="F1605" s="4">
        <f>IF(ISERROR(VLOOKUP($D1605,SITES!$A:$E,3,FALSE)),"",VLOOKUP($D1605,SITES!$A:$E,3,FALSE))</f>
        <v>48.834789276122997</v>
      </c>
      <c r="G1605" s="18">
        <f>IF(ISERROR(VLOOKUP($D1605,SITES!$A:$E,4,FALSE)),"",VLOOKUP($D1605,SITES!$A:$E,4,FALSE))</f>
        <v>-125.14702606201099</v>
      </c>
      <c r="H1605" s="5" t="str">
        <f t="shared" si="198"/>
        <v>11/05/2023</v>
      </c>
      <c r="I1605" s="2">
        <f t="shared" si="198"/>
        <v>2</v>
      </c>
      <c r="J1605" s="2">
        <f t="shared" si="198"/>
        <v>220</v>
      </c>
      <c r="K1605" s="52">
        <f t="shared" si="198"/>
        <v>0.41666666666666669</v>
      </c>
      <c r="L1605" s="2" t="str">
        <f t="shared" si="198"/>
        <v>EGL</v>
      </c>
      <c r="M1605" s="2">
        <f t="shared" si="198"/>
        <v>6</v>
      </c>
      <c r="N1605" s="2">
        <f t="shared" si="198"/>
        <v>1</v>
      </c>
      <c r="O1605" s="2">
        <f t="shared" si="195"/>
        <v>2</v>
      </c>
      <c r="P1605" s="27" t="s">
        <v>234</v>
      </c>
      <c r="Q1605" s="7" t="str">
        <f>IF($N1605=1,IF(ISERROR(VLOOKUP($P1605,'M1'!$A:$C,Q$2,FALSE)),"NOT PRESENT",VLOOKUP($P1605,'M1'!$A:$C,Q$2,FALSE)),IF($N1605=2,IF(ISERROR(VLOOKUP(DATA!$P172,'M2'!$A:$C,Q$2,FALSE)),"NOT PRESENT",VLOOKUP(DATA!$P172,'M2'!$A:$C,Q$2,FALSE)),IF($N1605=0,IF(ISERROR(VLOOKUP($P1605,'M1'!$A:$C,Q$2,FALSE)),IF(ISERROR(VLOOKUP(DATA!$P172,'M2'!$A:$C,Q$2,FALSE)),"NOT PRESENT",VLOOKUP(DATA!$P172,'M2'!$A:$C,Q$2,FALSE)),VLOOKUP($P1605,'M1'!$A:$C,Q$2,FALSE)),"SPECIFY METHOD")))</f>
        <v>NOT PRESENT</v>
      </c>
      <c r="R1605" s="4" t="str">
        <f>IF($N1605=1,IF(ISERROR(VLOOKUP($P1605,'M1'!$A:$C,R$2,FALSE)),"NOT PRESENT",VLOOKUP($P1605,'M1'!$A:$C,R$2,FALSE)),IF($N1605=2,IF(ISERROR(VLOOKUP(DATA!$P172,'M2'!$A:$C,R$2,FALSE)),"NOT PRESENT",VLOOKUP(DATA!$P172,'M2'!$A:$C,R$2,FALSE)),IF($N1605=0,IF(ISERROR(VLOOKUP($P1605,'M1'!$A:$C,R$2,FALSE)),IF(ISERROR(VLOOKUP(DATA!$P172,'M2'!$A:$C,R$2,FALSE)),"NOT PRESENT",VLOOKUP(DATA!$P172,'M2'!$A:$C,R$2,FALSE)),VLOOKUP($P1605,'M1'!$A:$C,R$2,FALSE)),"SPECIFY METHOD")))</f>
        <v>NOT PRESENT</v>
      </c>
      <c r="S1605" s="20">
        <f t="shared" si="196"/>
        <v>8</v>
      </c>
      <c r="T1605" s="2">
        <v>0</v>
      </c>
      <c r="Z1605" s="2">
        <v>2</v>
      </c>
      <c r="AA1605" s="2">
        <v>4</v>
      </c>
      <c r="AB1605" s="2">
        <v>2</v>
      </c>
    </row>
    <row r="1606" spans="1:32">
      <c r="A1606" s="7">
        <f>MAX($A$1:$A1605)+1</f>
        <v>1605</v>
      </c>
      <c r="B1606" s="2" t="str">
        <f t="shared" si="193"/>
        <v>Em Lim</v>
      </c>
      <c r="C1606" s="2" t="str">
        <f t="shared" si="194"/>
        <v>Isabelle Côté</v>
      </c>
      <c r="D1606" s="2" t="str">
        <f t="shared" si="197"/>
        <v>BMSC9</v>
      </c>
      <c r="E1606" s="7" t="str">
        <f>IF(ISERROR(VLOOKUP($D1606,SITES!$A:$E,2,FALSE)),"",VLOOKUP($D1606,SITES!$A:$E,2,FALSE))</f>
        <v>Eagle Bay</v>
      </c>
      <c r="F1606" s="4">
        <f>IF(ISERROR(VLOOKUP($D1606,SITES!$A:$E,3,FALSE)),"",VLOOKUP($D1606,SITES!$A:$E,3,FALSE))</f>
        <v>48.834789276122997</v>
      </c>
      <c r="G1606" s="18">
        <f>IF(ISERROR(VLOOKUP($D1606,SITES!$A:$E,4,FALSE)),"",VLOOKUP($D1606,SITES!$A:$E,4,FALSE))</f>
        <v>-125.14702606201099</v>
      </c>
      <c r="H1606" s="5" t="str">
        <f t="shared" si="198"/>
        <v>11/05/2023</v>
      </c>
      <c r="I1606" s="2">
        <f t="shared" si="198"/>
        <v>2</v>
      </c>
      <c r="J1606" s="2">
        <f t="shared" si="198"/>
        <v>220</v>
      </c>
      <c r="K1606" s="52">
        <f t="shared" si="198"/>
        <v>0.41666666666666669</v>
      </c>
      <c r="L1606" s="2" t="str">
        <f t="shared" si="198"/>
        <v>EGL</v>
      </c>
      <c r="M1606" s="2">
        <f t="shared" si="198"/>
        <v>6</v>
      </c>
      <c r="N1606" s="2">
        <f t="shared" si="198"/>
        <v>1</v>
      </c>
      <c r="O1606" s="2">
        <f t="shared" si="195"/>
        <v>2</v>
      </c>
      <c r="P1606" s="27" t="s">
        <v>235</v>
      </c>
      <c r="Q1606" s="7" t="str">
        <f>IF($N1606=1,IF(ISERROR(VLOOKUP($P1606,'M1'!$A:$C,Q$2,FALSE)),"NOT PRESENT",VLOOKUP($P1606,'M1'!$A:$C,Q$2,FALSE)),IF($N1606=2,IF(ISERROR(VLOOKUP(DATA!$P173,'M2'!$A:$C,Q$2,FALSE)),"NOT PRESENT",VLOOKUP(DATA!$P173,'M2'!$A:$C,Q$2,FALSE)),IF($N1606=0,IF(ISERROR(VLOOKUP($P1606,'M1'!$A:$C,Q$2,FALSE)),IF(ISERROR(VLOOKUP(DATA!$P173,'M2'!$A:$C,Q$2,FALSE)),"NOT PRESENT",VLOOKUP(DATA!$P173,'M2'!$A:$C,Q$2,FALSE)),VLOOKUP($P1606,'M1'!$A:$C,Q$2,FALSE)),"SPECIFY METHOD")))</f>
        <v>NOT PRESENT</v>
      </c>
      <c r="R1606" s="4" t="str">
        <f>IF($N1606=1,IF(ISERROR(VLOOKUP($P1606,'M1'!$A:$C,R$2,FALSE)),"NOT PRESENT",VLOOKUP($P1606,'M1'!$A:$C,R$2,FALSE)),IF($N1606=2,IF(ISERROR(VLOOKUP(DATA!$P173,'M2'!$A:$C,R$2,FALSE)),"NOT PRESENT",VLOOKUP(DATA!$P173,'M2'!$A:$C,R$2,FALSE)),IF($N1606=0,IF(ISERROR(VLOOKUP($P1606,'M1'!$A:$C,R$2,FALSE)),IF(ISERROR(VLOOKUP(DATA!$P173,'M2'!$A:$C,R$2,FALSE)),"NOT PRESENT",VLOOKUP(DATA!$P173,'M2'!$A:$C,R$2,FALSE)),VLOOKUP($P1606,'M1'!$A:$C,R$2,FALSE)),"SPECIFY METHOD")))</f>
        <v>NOT PRESENT</v>
      </c>
      <c r="S1606" s="20">
        <f t="shared" si="196"/>
        <v>1</v>
      </c>
      <c r="T1606" s="2">
        <v>0</v>
      </c>
      <c r="AA1606" s="2">
        <v>1</v>
      </c>
    </row>
    <row r="1607" spans="1:32">
      <c r="A1607" s="7">
        <f>MAX($A$1:$A1606)+1</f>
        <v>1606</v>
      </c>
      <c r="B1607" s="2" t="str">
        <f t="shared" si="193"/>
        <v>Em Lim</v>
      </c>
      <c r="C1607" s="2" t="str">
        <f t="shared" si="194"/>
        <v>Isabelle Côté</v>
      </c>
      <c r="D1607" s="2" t="str">
        <f t="shared" si="197"/>
        <v>BMSC9</v>
      </c>
      <c r="E1607" s="7" t="str">
        <f>IF(ISERROR(VLOOKUP($D1607,SITES!$A:$E,2,FALSE)),"",VLOOKUP($D1607,SITES!$A:$E,2,FALSE))</f>
        <v>Eagle Bay</v>
      </c>
      <c r="F1607" s="4">
        <f>IF(ISERROR(VLOOKUP($D1607,SITES!$A:$E,3,FALSE)),"",VLOOKUP($D1607,SITES!$A:$E,3,FALSE))</f>
        <v>48.834789276122997</v>
      </c>
      <c r="G1607" s="18">
        <f>IF(ISERROR(VLOOKUP($D1607,SITES!$A:$E,4,FALSE)),"",VLOOKUP($D1607,SITES!$A:$E,4,FALSE))</f>
        <v>-125.14702606201099</v>
      </c>
      <c r="H1607" s="5" t="str">
        <f t="shared" si="198"/>
        <v>11/05/2023</v>
      </c>
      <c r="I1607" s="2">
        <f t="shared" si="198"/>
        <v>2</v>
      </c>
      <c r="J1607" s="2">
        <f t="shared" si="198"/>
        <v>220</v>
      </c>
      <c r="K1607" s="52">
        <f t="shared" si="198"/>
        <v>0.41666666666666669</v>
      </c>
      <c r="L1607" s="2" t="str">
        <f t="shared" si="198"/>
        <v>EGL</v>
      </c>
      <c r="M1607" s="2">
        <f t="shared" si="198"/>
        <v>6</v>
      </c>
      <c r="N1607" s="2">
        <f t="shared" si="198"/>
        <v>1</v>
      </c>
      <c r="O1607" s="2">
        <f t="shared" si="195"/>
        <v>2</v>
      </c>
      <c r="P1607" s="27" t="s">
        <v>236</v>
      </c>
      <c r="Q1607" s="7" t="str">
        <f>IF($N1607=1,IF(ISERROR(VLOOKUP($P1607,'M1'!$A:$C,Q$2,FALSE)),"NOT PRESENT",VLOOKUP($P1607,'M1'!$A:$C,Q$2,FALSE)),IF($N1607=2,IF(ISERROR(VLOOKUP(DATA!$P174,'M2'!$A:$C,Q$2,FALSE)),"NOT PRESENT",VLOOKUP(DATA!$P174,'M2'!$A:$C,Q$2,FALSE)),IF($N1607=0,IF(ISERROR(VLOOKUP($P1607,'M1'!$A:$C,Q$2,FALSE)),IF(ISERROR(VLOOKUP(DATA!$P174,'M2'!$A:$C,Q$2,FALSE)),"NOT PRESENT",VLOOKUP(DATA!$P174,'M2'!$A:$C,Q$2,FALSE)),VLOOKUP($P1607,'M1'!$A:$C,Q$2,FALSE)),"SPECIFY METHOD")))</f>
        <v>NOT PRESENT</v>
      </c>
      <c r="R1607" s="4" t="str">
        <f>IF($N1607=1,IF(ISERROR(VLOOKUP($P1607,'M1'!$A:$C,R$2,FALSE)),"NOT PRESENT",VLOOKUP($P1607,'M1'!$A:$C,R$2,FALSE)),IF($N1607=2,IF(ISERROR(VLOOKUP(DATA!$P174,'M2'!$A:$C,R$2,FALSE)),"NOT PRESENT",VLOOKUP(DATA!$P174,'M2'!$A:$C,R$2,FALSE)),IF($N1607=0,IF(ISERROR(VLOOKUP($P1607,'M1'!$A:$C,R$2,FALSE)),IF(ISERROR(VLOOKUP(DATA!$P174,'M2'!$A:$C,R$2,FALSE)),"NOT PRESENT",VLOOKUP(DATA!$P174,'M2'!$A:$C,R$2,FALSE)),VLOOKUP($P1607,'M1'!$A:$C,R$2,FALSE)),"SPECIFY METHOD")))</f>
        <v>NOT PRESENT</v>
      </c>
      <c r="S1607" s="20">
        <f t="shared" si="196"/>
        <v>2</v>
      </c>
      <c r="T1607" s="2">
        <v>0</v>
      </c>
      <c r="Y1607" s="2">
        <v>2</v>
      </c>
    </row>
    <row r="1608" spans="1:32">
      <c r="A1608" s="7">
        <f>MAX($A$1:$A1607)+1</f>
        <v>1607</v>
      </c>
      <c r="B1608" s="2" t="str">
        <f t="shared" si="193"/>
        <v>Em Lim</v>
      </c>
      <c r="C1608" s="2" t="str">
        <f t="shared" si="194"/>
        <v>Isabelle Côté</v>
      </c>
      <c r="D1608" s="2" t="str">
        <f t="shared" si="197"/>
        <v>BMSC9</v>
      </c>
      <c r="E1608" s="7" t="str">
        <f>IF(ISERROR(VLOOKUP($D1608,SITES!$A:$E,2,FALSE)),"",VLOOKUP($D1608,SITES!$A:$E,2,FALSE))</f>
        <v>Eagle Bay</v>
      </c>
      <c r="F1608" s="4">
        <f>IF(ISERROR(VLOOKUP($D1608,SITES!$A:$E,3,FALSE)),"",VLOOKUP($D1608,SITES!$A:$E,3,FALSE))</f>
        <v>48.834789276122997</v>
      </c>
      <c r="G1608" s="18">
        <f>IF(ISERROR(VLOOKUP($D1608,SITES!$A:$E,4,FALSE)),"",VLOOKUP($D1608,SITES!$A:$E,4,FALSE))</f>
        <v>-125.14702606201099</v>
      </c>
      <c r="H1608" s="5" t="str">
        <f t="shared" si="198"/>
        <v>11/05/2023</v>
      </c>
      <c r="I1608" s="2">
        <f t="shared" si="198"/>
        <v>2</v>
      </c>
      <c r="J1608" s="2">
        <f t="shared" si="198"/>
        <v>220</v>
      </c>
      <c r="K1608" s="52">
        <f t="shared" si="198"/>
        <v>0.41666666666666669</v>
      </c>
      <c r="L1608" s="2" t="str">
        <f t="shared" si="198"/>
        <v>EGL</v>
      </c>
      <c r="M1608" s="2">
        <f t="shared" si="198"/>
        <v>6</v>
      </c>
      <c r="N1608" s="2">
        <f t="shared" si="198"/>
        <v>1</v>
      </c>
      <c r="O1608" s="2">
        <f t="shared" si="195"/>
        <v>2</v>
      </c>
      <c r="P1608" s="27" t="s">
        <v>237</v>
      </c>
      <c r="Q1608" s="7" t="str">
        <f>IF($N1608=1,IF(ISERROR(VLOOKUP($P1608,'M1'!$A:$C,Q$2,FALSE)),"NOT PRESENT",VLOOKUP($P1608,'M1'!$A:$C,Q$2,FALSE)),IF($N1608=2,IF(ISERROR(VLOOKUP(DATA!$P175,'M2'!$A:$C,Q$2,FALSE)),"NOT PRESENT",VLOOKUP(DATA!$P175,'M2'!$A:$C,Q$2,FALSE)),IF($N1608=0,IF(ISERROR(VLOOKUP($P1608,'M1'!$A:$C,Q$2,FALSE)),IF(ISERROR(VLOOKUP(DATA!$P175,'M2'!$A:$C,Q$2,FALSE)),"NOT PRESENT",VLOOKUP(DATA!$P175,'M2'!$A:$C,Q$2,FALSE)),VLOOKUP($P1608,'M1'!$A:$C,Q$2,FALSE)),"SPECIFY METHOD")))</f>
        <v>NOT PRESENT</v>
      </c>
      <c r="R1608" s="4" t="str">
        <f>IF($N1608=1,IF(ISERROR(VLOOKUP($P1608,'M1'!$A:$C,R$2,FALSE)),"NOT PRESENT",VLOOKUP($P1608,'M1'!$A:$C,R$2,FALSE)),IF($N1608=2,IF(ISERROR(VLOOKUP(DATA!$P175,'M2'!$A:$C,R$2,FALSE)),"NOT PRESENT",VLOOKUP(DATA!$P175,'M2'!$A:$C,R$2,FALSE)),IF($N1608=0,IF(ISERROR(VLOOKUP($P1608,'M1'!$A:$C,R$2,FALSE)),IF(ISERROR(VLOOKUP(DATA!$P175,'M2'!$A:$C,R$2,FALSE)),"NOT PRESENT",VLOOKUP(DATA!$P175,'M2'!$A:$C,R$2,FALSE)),VLOOKUP($P1608,'M1'!$A:$C,R$2,FALSE)),"SPECIFY METHOD")))</f>
        <v>NOT PRESENT</v>
      </c>
      <c r="S1608" s="20">
        <f t="shared" si="196"/>
        <v>1</v>
      </c>
      <c r="T1608" s="2">
        <v>0</v>
      </c>
      <c r="AF1608" s="2">
        <v>1</v>
      </c>
    </row>
    <row r="1609" spans="1:32">
      <c r="A1609" s="7">
        <f>MAX($A$1:$A1608)+1</f>
        <v>1608</v>
      </c>
      <c r="B1609" s="2" t="str">
        <f t="shared" si="193"/>
        <v>Em Lim</v>
      </c>
      <c r="C1609" s="2" t="str">
        <f t="shared" si="194"/>
        <v>Isabelle Côté</v>
      </c>
      <c r="D1609" s="2" t="str">
        <f t="shared" si="197"/>
        <v>BMSC9</v>
      </c>
      <c r="E1609" s="7" t="str">
        <f>IF(ISERROR(VLOOKUP($D1609,SITES!$A:$E,2,FALSE)),"",VLOOKUP($D1609,SITES!$A:$E,2,FALSE))</f>
        <v>Eagle Bay</v>
      </c>
      <c r="F1609" s="4">
        <f>IF(ISERROR(VLOOKUP($D1609,SITES!$A:$E,3,FALSE)),"",VLOOKUP($D1609,SITES!$A:$E,3,FALSE))</f>
        <v>48.834789276122997</v>
      </c>
      <c r="G1609" s="18">
        <f>IF(ISERROR(VLOOKUP($D1609,SITES!$A:$E,4,FALSE)),"",VLOOKUP($D1609,SITES!$A:$E,4,FALSE))</f>
        <v>-125.14702606201099</v>
      </c>
      <c r="H1609" s="5" t="str">
        <f t="shared" ref="H1609:H1643" si="199">IF(ISERROR(H1608),IF(ISERROR(H1607),IF(ISERROR(H1606),"BLANK",H1606),H1607),H1608)</f>
        <v>11/05/2023</v>
      </c>
      <c r="I1609" s="2">
        <f t="shared" ref="I1609:I1643" si="200">IF(ISERROR(I1608),IF(ISERROR(I1607),IF(ISERROR(I1606),"BLANK",I1606),I1607),I1608)</f>
        <v>2</v>
      </c>
      <c r="J1609" s="2">
        <f t="shared" ref="J1609:J1643" si="201">IF(ISERROR(J1608),IF(ISERROR(J1607),IF(ISERROR(J1606),"BLANK",J1606),J1607),J1608)</f>
        <v>220</v>
      </c>
      <c r="K1609" s="52">
        <f t="shared" ref="K1609:K1643" si="202">IF(ISERROR(K1608),IF(ISERROR(K1607),IF(ISERROR(K1606),"BLANK",K1606),K1607),K1608)</f>
        <v>0.41666666666666669</v>
      </c>
      <c r="L1609" s="2" t="str">
        <f t="shared" ref="L1609:L1643" si="203">IF(ISERROR(L1608),IF(ISERROR(L1607),IF(ISERROR(L1606),"BLANK",L1606),L1607),L1608)</f>
        <v>EGL</v>
      </c>
      <c r="M1609" s="2">
        <f t="shared" ref="M1609:M1643" si="204">IF(ISERROR(M1608),IF(ISERROR(M1607),IF(ISERROR(M1606),"BLANK",M1606),M1607),M1608)</f>
        <v>6</v>
      </c>
      <c r="N1609" s="2">
        <v>2</v>
      </c>
      <c r="O1609" s="2">
        <f t="shared" si="195"/>
        <v>2</v>
      </c>
      <c r="P1609" s="27" t="s">
        <v>238</v>
      </c>
      <c r="Q1609" s="7" t="str">
        <f>IF($N1609=1,IF(ISERROR(VLOOKUP($P1609,'M1'!$A:$C,Q$2,FALSE)),"NOT PRESENT",VLOOKUP($P1609,'M1'!$A:$C,Q$2,FALSE)),IF($N1609=2,IF(ISERROR(VLOOKUP(DATA!$P176,'M2'!$A:$C,Q$2,FALSE)),"NOT PRESENT",VLOOKUP(DATA!$P176,'M2'!$A:$C,Q$2,FALSE)),IF($N1609=0,IF(ISERROR(VLOOKUP($P1609,'M1'!$A:$C,Q$2,FALSE)),IF(ISERROR(VLOOKUP(DATA!$P176,'M2'!$A:$C,Q$2,FALSE)),"NOT PRESENT",VLOOKUP(DATA!$P176,'M2'!$A:$C,Q$2,FALSE)),VLOOKUP($P1609,'M1'!$A:$C,Q$2,FALSE)),"SPECIFY METHOD")))</f>
        <v>NOT PRESENT</v>
      </c>
      <c r="R1609" s="4" t="str">
        <f>IF($N1609=1,IF(ISERROR(VLOOKUP($P1609,'M1'!$A:$C,R$2,FALSE)),"NOT PRESENT",VLOOKUP($P1609,'M1'!$A:$C,R$2,FALSE)),IF($N1609=2,IF(ISERROR(VLOOKUP(DATA!$P176,'M2'!$A:$C,R$2,FALSE)),"NOT PRESENT",VLOOKUP(DATA!$P176,'M2'!$A:$C,R$2,FALSE)),IF($N1609=0,IF(ISERROR(VLOOKUP($P1609,'M1'!$A:$C,R$2,FALSE)),IF(ISERROR(VLOOKUP(DATA!$P176,'M2'!$A:$C,R$2,FALSE)),"NOT PRESENT",VLOOKUP(DATA!$P176,'M2'!$A:$C,R$2,FALSE)),VLOOKUP($P1609,'M1'!$A:$C,R$2,FALSE)),"SPECIFY METHOD")))</f>
        <v>NOT PRESENT</v>
      </c>
      <c r="S1609" s="20">
        <f t="shared" si="196"/>
        <v>15</v>
      </c>
      <c r="T1609" s="2">
        <v>15</v>
      </c>
    </row>
    <row r="1610" spans="1:32">
      <c r="A1610" s="7">
        <f>MAX($A$1:$A1609)+1</f>
        <v>1609</v>
      </c>
      <c r="B1610" s="2" t="str">
        <f t="shared" si="193"/>
        <v>Em Lim</v>
      </c>
      <c r="C1610" s="2" t="str">
        <f t="shared" si="194"/>
        <v>Isabelle Côté</v>
      </c>
      <c r="D1610" s="2" t="str">
        <f t="shared" si="197"/>
        <v>BMSC9</v>
      </c>
      <c r="E1610" s="7" t="str">
        <f>IF(ISERROR(VLOOKUP($D1610,SITES!$A:$E,2,FALSE)),"",VLOOKUP($D1610,SITES!$A:$E,2,FALSE))</f>
        <v>Eagle Bay</v>
      </c>
      <c r="F1610" s="4">
        <f>IF(ISERROR(VLOOKUP($D1610,SITES!$A:$E,3,FALSE)),"",VLOOKUP($D1610,SITES!$A:$E,3,FALSE))</f>
        <v>48.834789276122997</v>
      </c>
      <c r="G1610" s="18">
        <f>IF(ISERROR(VLOOKUP($D1610,SITES!$A:$E,4,FALSE)),"",VLOOKUP($D1610,SITES!$A:$E,4,FALSE))</f>
        <v>-125.14702606201099</v>
      </c>
      <c r="H1610" s="5" t="str">
        <f t="shared" si="199"/>
        <v>11/05/2023</v>
      </c>
      <c r="I1610" s="2">
        <f t="shared" si="200"/>
        <v>2</v>
      </c>
      <c r="J1610" s="2">
        <f t="shared" si="201"/>
        <v>220</v>
      </c>
      <c r="K1610" s="52">
        <f t="shared" si="202"/>
        <v>0.41666666666666669</v>
      </c>
      <c r="L1610" s="2" t="str">
        <f t="shared" si="203"/>
        <v>EGL</v>
      </c>
      <c r="M1610" s="2">
        <f t="shared" si="204"/>
        <v>6</v>
      </c>
      <c r="N1610" s="2">
        <f t="shared" ref="N1610:N1629" si="205">IF(ISERROR(N1609),IF(ISERROR(N1608),IF(ISERROR(N1607),"BLANK",N1607),N1608),N1609)</f>
        <v>2</v>
      </c>
      <c r="O1610" s="2">
        <f t="shared" si="195"/>
        <v>2</v>
      </c>
      <c r="P1610" s="27" t="s">
        <v>239</v>
      </c>
      <c r="Q1610" s="7" t="str">
        <f>IF($N1610=1,IF(ISERROR(VLOOKUP($P1610,'M1'!$A:$C,Q$2,FALSE)),"NOT PRESENT",VLOOKUP($P1610,'M1'!$A:$C,Q$2,FALSE)),IF($N1610=2,IF(ISERROR(VLOOKUP(DATA!$P177,'M2'!$A:$C,Q$2,FALSE)),"NOT PRESENT",VLOOKUP(DATA!$P177,'M2'!$A:$C,Q$2,FALSE)),IF($N1610=0,IF(ISERROR(VLOOKUP($P1610,'M1'!$A:$C,Q$2,FALSE)),IF(ISERROR(VLOOKUP(DATA!$P177,'M2'!$A:$C,Q$2,FALSE)),"NOT PRESENT",VLOOKUP(DATA!$P177,'M2'!$A:$C,Q$2,FALSE)),VLOOKUP($P1610,'M1'!$A:$C,Q$2,FALSE)),"SPECIFY METHOD")))</f>
        <v>NOT PRESENT</v>
      </c>
      <c r="R1610" s="4" t="str">
        <f>IF($N1610=1,IF(ISERROR(VLOOKUP($P1610,'M1'!$A:$C,R$2,FALSE)),"NOT PRESENT",VLOOKUP($P1610,'M1'!$A:$C,R$2,FALSE)),IF($N1610=2,IF(ISERROR(VLOOKUP(DATA!$P177,'M2'!$A:$C,R$2,FALSE)),"NOT PRESENT",VLOOKUP(DATA!$P177,'M2'!$A:$C,R$2,FALSE)),IF($N1610=0,IF(ISERROR(VLOOKUP($P1610,'M1'!$A:$C,R$2,FALSE)),IF(ISERROR(VLOOKUP(DATA!$P177,'M2'!$A:$C,R$2,FALSE)),"NOT PRESENT",VLOOKUP(DATA!$P177,'M2'!$A:$C,R$2,FALSE)),VLOOKUP($P1610,'M1'!$A:$C,R$2,FALSE)),"SPECIFY METHOD")))</f>
        <v>NOT PRESENT</v>
      </c>
      <c r="S1610" s="20">
        <f t="shared" si="196"/>
        <v>45</v>
      </c>
      <c r="T1610" s="2">
        <v>45</v>
      </c>
    </row>
    <row r="1611" spans="1:32">
      <c r="A1611" s="7">
        <f>MAX($A$1:$A1610)+1</f>
        <v>1610</v>
      </c>
      <c r="B1611" s="2" t="str">
        <f t="shared" si="193"/>
        <v>Em Lim</v>
      </c>
      <c r="C1611" s="2" t="str">
        <f t="shared" si="194"/>
        <v>Isabelle Côté</v>
      </c>
      <c r="D1611" s="2" t="str">
        <f t="shared" si="197"/>
        <v>BMSC9</v>
      </c>
      <c r="E1611" s="7" t="str">
        <f>IF(ISERROR(VLOOKUP($D1611,SITES!$A:$E,2,FALSE)),"",VLOOKUP($D1611,SITES!$A:$E,2,FALSE))</f>
        <v>Eagle Bay</v>
      </c>
      <c r="F1611" s="4">
        <f>IF(ISERROR(VLOOKUP($D1611,SITES!$A:$E,3,FALSE)),"",VLOOKUP($D1611,SITES!$A:$E,3,FALSE))</f>
        <v>48.834789276122997</v>
      </c>
      <c r="G1611" s="18">
        <f>IF(ISERROR(VLOOKUP($D1611,SITES!$A:$E,4,FALSE)),"",VLOOKUP($D1611,SITES!$A:$E,4,FALSE))</f>
        <v>-125.14702606201099</v>
      </c>
      <c r="H1611" s="5" t="str">
        <f t="shared" si="199"/>
        <v>11/05/2023</v>
      </c>
      <c r="I1611" s="2">
        <f t="shared" si="200"/>
        <v>2</v>
      </c>
      <c r="J1611" s="2">
        <f t="shared" si="201"/>
        <v>220</v>
      </c>
      <c r="K1611" s="52">
        <f t="shared" si="202"/>
        <v>0.41666666666666669</v>
      </c>
      <c r="L1611" s="2" t="str">
        <f t="shared" si="203"/>
        <v>EGL</v>
      </c>
      <c r="M1611" s="2">
        <f t="shared" si="204"/>
        <v>6</v>
      </c>
      <c r="N1611" s="2">
        <f t="shared" si="205"/>
        <v>2</v>
      </c>
      <c r="O1611" s="2">
        <f t="shared" si="195"/>
        <v>2</v>
      </c>
      <c r="P1611" s="27" t="s">
        <v>240</v>
      </c>
      <c r="Q1611" s="7" t="str">
        <f>IF($N1611=1,IF(ISERROR(VLOOKUP($P1611,'M1'!$A:$C,Q$2,FALSE)),"NOT PRESENT",VLOOKUP($P1611,'M1'!$A:$C,Q$2,FALSE)),IF($N1611=2,IF(ISERROR(VLOOKUP(DATA!$P178,'M2'!$A:$C,Q$2,FALSE)),"NOT PRESENT",VLOOKUP(DATA!$P178,'M2'!$A:$C,Q$2,FALSE)),IF($N1611=0,IF(ISERROR(VLOOKUP($P1611,'M1'!$A:$C,Q$2,FALSE)),IF(ISERROR(VLOOKUP(DATA!$P178,'M2'!$A:$C,Q$2,FALSE)),"NOT PRESENT",VLOOKUP(DATA!$P178,'M2'!$A:$C,Q$2,FALSE)),VLOOKUP($P1611,'M1'!$A:$C,Q$2,FALSE)),"SPECIFY METHOD")))</f>
        <v>NOT PRESENT</v>
      </c>
      <c r="R1611" s="4" t="str">
        <f>IF($N1611=1,IF(ISERROR(VLOOKUP($P1611,'M1'!$A:$C,R$2,FALSE)),"NOT PRESENT",VLOOKUP($P1611,'M1'!$A:$C,R$2,FALSE)),IF($N1611=2,IF(ISERROR(VLOOKUP(DATA!$P178,'M2'!$A:$C,R$2,FALSE)),"NOT PRESENT",VLOOKUP(DATA!$P178,'M2'!$A:$C,R$2,FALSE)),IF($N1611=0,IF(ISERROR(VLOOKUP($P1611,'M1'!$A:$C,R$2,FALSE)),IF(ISERROR(VLOOKUP(DATA!$P178,'M2'!$A:$C,R$2,FALSE)),"NOT PRESENT",VLOOKUP(DATA!$P178,'M2'!$A:$C,R$2,FALSE)),VLOOKUP($P1611,'M1'!$A:$C,R$2,FALSE)),"SPECIFY METHOD")))</f>
        <v>NOT PRESENT</v>
      </c>
      <c r="S1611" s="20">
        <f t="shared" si="196"/>
        <v>19</v>
      </c>
      <c r="T1611" s="2">
        <v>19</v>
      </c>
    </row>
    <row r="1612" spans="1:32">
      <c r="A1612" s="7">
        <f>MAX($A$1:$A1611)+1</f>
        <v>1611</v>
      </c>
      <c r="B1612" s="2" t="str">
        <f t="shared" si="193"/>
        <v>Em Lim</v>
      </c>
      <c r="C1612" s="2" t="str">
        <f t="shared" si="194"/>
        <v>Isabelle Côté</v>
      </c>
      <c r="D1612" s="2" t="str">
        <f t="shared" si="197"/>
        <v>BMSC9</v>
      </c>
      <c r="E1612" s="7" t="str">
        <f>IF(ISERROR(VLOOKUP($D1612,SITES!$A:$E,2,FALSE)),"",VLOOKUP($D1612,SITES!$A:$E,2,FALSE))</f>
        <v>Eagle Bay</v>
      </c>
      <c r="F1612" s="4">
        <f>IF(ISERROR(VLOOKUP($D1612,SITES!$A:$E,3,FALSE)),"",VLOOKUP($D1612,SITES!$A:$E,3,FALSE))</f>
        <v>48.834789276122997</v>
      </c>
      <c r="G1612" s="18">
        <f>IF(ISERROR(VLOOKUP($D1612,SITES!$A:$E,4,FALSE)),"",VLOOKUP($D1612,SITES!$A:$E,4,FALSE))</f>
        <v>-125.14702606201099</v>
      </c>
      <c r="H1612" s="5" t="str">
        <f t="shared" si="199"/>
        <v>11/05/2023</v>
      </c>
      <c r="I1612" s="2">
        <f t="shared" si="200"/>
        <v>2</v>
      </c>
      <c r="J1612" s="2">
        <f t="shared" si="201"/>
        <v>220</v>
      </c>
      <c r="K1612" s="52">
        <f t="shared" si="202"/>
        <v>0.41666666666666669</v>
      </c>
      <c r="L1612" s="2" t="str">
        <f t="shared" si="203"/>
        <v>EGL</v>
      </c>
      <c r="M1612" s="2">
        <f t="shared" si="204"/>
        <v>6</v>
      </c>
      <c r="N1612" s="2">
        <f t="shared" si="205"/>
        <v>2</v>
      </c>
      <c r="O1612" s="2">
        <f t="shared" si="195"/>
        <v>2</v>
      </c>
      <c r="P1612" s="27" t="s">
        <v>230</v>
      </c>
      <c r="Q1612" s="7" t="str">
        <f>IF($N1612=1,IF(ISERROR(VLOOKUP($P1612,'M1'!$A:$C,Q$2,FALSE)),"NOT PRESENT",VLOOKUP($P1612,'M1'!$A:$C,Q$2,FALSE)),IF($N1612=2,IF(ISERROR(VLOOKUP(DATA!$P179,'M2'!$A:$C,Q$2,FALSE)),"NOT PRESENT",VLOOKUP(DATA!$P179,'M2'!$A:$C,Q$2,FALSE)),IF($N1612=0,IF(ISERROR(VLOOKUP($P1612,'M1'!$A:$C,Q$2,FALSE)),IF(ISERROR(VLOOKUP(DATA!$P179,'M2'!$A:$C,Q$2,FALSE)),"NOT PRESENT",VLOOKUP(DATA!$P179,'M2'!$A:$C,Q$2,FALSE)),VLOOKUP($P1612,'M1'!$A:$C,Q$2,FALSE)),"SPECIFY METHOD")))</f>
        <v>NOT PRESENT</v>
      </c>
      <c r="R1612" s="4" t="str">
        <f>IF($N1612=1,IF(ISERROR(VLOOKUP($P1612,'M1'!$A:$C,R$2,FALSE)),"NOT PRESENT",VLOOKUP($P1612,'M1'!$A:$C,R$2,FALSE)),IF($N1612=2,IF(ISERROR(VLOOKUP(DATA!$P179,'M2'!$A:$C,R$2,FALSE)),"NOT PRESENT",VLOOKUP(DATA!$P179,'M2'!$A:$C,R$2,FALSE)),IF($N1612=0,IF(ISERROR(VLOOKUP($P1612,'M1'!$A:$C,R$2,FALSE)),IF(ISERROR(VLOOKUP(DATA!$P179,'M2'!$A:$C,R$2,FALSE)),"NOT PRESENT",VLOOKUP(DATA!$P179,'M2'!$A:$C,R$2,FALSE)),VLOOKUP($P1612,'M1'!$A:$C,R$2,FALSE)),"SPECIFY METHOD")))</f>
        <v>NOT PRESENT</v>
      </c>
      <c r="S1612" s="20">
        <f t="shared" si="196"/>
        <v>42</v>
      </c>
      <c r="T1612" s="2">
        <v>42</v>
      </c>
    </row>
    <row r="1613" spans="1:32">
      <c r="A1613" s="7">
        <f>MAX($A$1:$A1612)+1</f>
        <v>1612</v>
      </c>
      <c r="B1613" s="2" t="str">
        <f t="shared" si="193"/>
        <v>Em Lim</v>
      </c>
      <c r="C1613" s="2" t="str">
        <f t="shared" si="194"/>
        <v>Isabelle Côté</v>
      </c>
      <c r="D1613" s="2" t="str">
        <f t="shared" si="197"/>
        <v>BMSC9</v>
      </c>
      <c r="E1613" s="7" t="str">
        <f>IF(ISERROR(VLOOKUP($D1613,SITES!$A:$E,2,FALSE)),"",VLOOKUP($D1613,SITES!$A:$E,2,FALSE))</f>
        <v>Eagle Bay</v>
      </c>
      <c r="F1613" s="4">
        <f>IF(ISERROR(VLOOKUP($D1613,SITES!$A:$E,3,FALSE)),"",VLOOKUP($D1613,SITES!$A:$E,3,FALSE))</f>
        <v>48.834789276122997</v>
      </c>
      <c r="G1613" s="18">
        <f>IF(ISERROR(VLOOKUP($D1613,SITES!$A:$E,4,FALSE)),"",VLOOKUP($D1613,SITES!$A:$E,4,FALSE))</f>
        <v>-125.14702606201099</v>
      </c>
      <c r="H1613" s="5" t="str">
        <f t="shared" si="199"/>
        <v>11/05/2023</v>
      </c>
      <c r="I1613" s="2">
        <f t="shared" si="200"/>
        <v>2</v>
      </c>
      <c r="J1613" s="2">
        <f t="shared" si="201"/>
        <v>220</v>
      </c>
      <c r="K1613" s="52">
        <f t="shared" si="202"/>
        <v>0.41666666666666669</v>
      </c>
      <c r="L1613" s="2" t="str">
        <f t="shared" si="203"/>
        <v>EGL</v>
      </c>
      <c r="M1613" s="2">
        <f t="shared" si="204"/>
        <v>6</v>
      </c>
      <c r="N1613" s="2">
        <f t="shared" si="205"/>
        <v>2</v>
      </c>
      <c r="O1613" s="2">
        <f t="shared" si="195"/>
        <v>2</v>
      </c>
      <c r="P1613" s="27" t="s">
        <v>241</v>
      </c>
      <c r="Q1613" s="7" t="str">
        <f>IF($N1613=1,IF(ISERROR(VLOOKUP($P1613,'M1'!$A:$C,Q$2,FALSE)),"NOT PRESENT",VLOOKUP($P1613,'M1'!$A:$C,Q$2,FALSE)),IF($N1613=2,IF(ISERROR(VLOOKUP(DATA!$P180,'M2'!$A:$C,Q$2,FALSE)),"NOT PRESENT",VLOOKUP(DATA!$P180,'M2'!$A:$C,Q$2,FALSE)),IF($N1613=0,IF(ISERROR(VLOOKUP($P1613,'M1'!$A:$C,Q$2,FALSE)),IF(ISERROR(VLOOKUP(DATA!$P180,'M2'!$A:$C,Q$2,FALSE)),"NOT PRESENT",VLOOKUP(DATA!$P180,'M2'!$A:$C,Q$2,FALSE)),VLOOKUP($P1613,'M1'!$A:$C,Q$2,FALSE)),"SPECIFY METHOD")))</f>
        <v>NOT PRESENT</v>
      </c>
      <c r="R1613" s="4" t="str">
        <f>IF($N1613=1,IF(ISERROR(VLOOKUP($P1613,'M1'!$A:$C,R$2,FALSE)),"NOT PRESENT",VLOOKUP($P1613,'M1'!$A:$C,R$2,FALSE)),IF($N1613=2,IF(ISERROR(VLOOKUP(DATA!$P180,'M2'!$A:$C,R$2,FALSE)),"NOT PRESENT",VLOOKUP(DATA!$P180,'M2'!$A:$C,R$2,FALSE)),IF($N1613=0,IF(ISERROR(VLOOKUP($P1613,'M1'!$A:$C,R$2,FALSE)),IF(ISERROR(VLOOKUP(DATA!$P180,'M2'!$A:$C,R$2,FALSE)),"NOT PRESENT",VLOOKUP(DATA!$P180,'M2'!$A:$C,R$2,FALSE)),VLOOKUP($P1613,'M1'!$A:$C,R$2,FALSE)),"SPECIFY METHOD")))</f>
        <v>NOT PRESENT</v>
      </c>
      <c r="S1613" s="20">
        <f t="shared" si="196"/>
        <v>155</v>
      </c>
      <c r="T1613" s="2">
        <v>155</v>
      </c>
    </row>
    <row r="1614" spans="1:32">
      <c r="A1614" s="7">
        <f>MAX($A$1:$A1613)+1</f>
        <v>1613</v>
      </c>
      <c r="B1614" s="2" t="str">
        <f t="shared" si="193"/>
        <v>Em Lim</v>
      </c>
      <c r="C1614" s="2" t="str">
        <f t="shared" si="194"/>
        <v>Isabelle Côté</v>
      </c>
      <c r="D1614" s="2" t="str">
        <f t="shared" si="197"/>
        <v>BMSC9</v>
      </c>
      <c r="E1614" s="7" t="str">
        <f>IF(ISERROR(VLOOKUP($D1614,SITES!$A:$E,2,FALSE)),"",VLOOKUP($D1614,SITES!$A:$E,2,FALSE))</f>
        <v>Eagle Bay</v>
      </c>
      <c r="F1614" s="4">
        <f>IF(ISERROR(VLOOKUP($D1614,SITES!$A:$E,3,FALSE)),"",VLOOKUP($D1614,SITES!$A:$E,3,FALSE))</f>
        <v>48.834789276122997</v>
      </c>
      <c r="G1614" s="18">
        <f>IF(ISERROR(VLOOKUP($D1614,SITES!$A:$E,4,FALSE)),"",VLOOKUP($D1614,SITES!$A:$E,4,FALSE))</f>
        <v>-125.14702606201099</v>
      </c>
      <c r="H1614" s="5" t="str">
        <f t="shared" si="199"/>
        <v>11/05/2023</v>
      </c>
      <c r="I1614" s="2">
        <f t="shared" si="200"/>
        <v>2</v>
      </c>
      <c r="J1614" s="2">
        <f t="shared" si="201"/>
        <v>220</v>
      </c>
      <c r="K1614" s="52">
        <f t="shared" si="202"/>
        <v>0.41666666666666669</v>
      </c>
      <c r="L1614" s="2" t="str">
        <f t="shared" si="203"/>
        <v>EGL</v>
      </c>
      <c r="M1614" s="2">
        <f t="shared" si="204"/>
        <v>6</v>
      </c>
      <c r="N1614" s="2">
        <f t="shared" si="205"/>
        <v>2</v>
      </c>
      <c r="O1614" s="2">
        <f t="shared" si="195"/>
        <v>2</v>
      </c>
      <c r="P1614" s="27" t="s">
        <v>242</v>
      </c>
      <c r="Q1614" s="7" t="str">
        <f>IF($N1614=1,IF(ISERROR(VLOOKUP($P1614,'M1'!$A:$C,Q$2,FALSE)),"NOT PRESENT",VLOOKUP($P1614,'M1'!$A:$C,Q$2,FALSE)),IF($N1614=2,IF(ISERROR(VLOOKUP(DATA!$P181,'M2'!$A:$C,Q$2,FALSE)),"NOT PRESENT",VLOOKUP(DATA!$P181,'M2'!$A:$C,Q$2,FALSE)),IF($N1614=0,IF(ISERROR(VLOOKUP($P1614,'M1'!$A:$C,Q$2,FALSE)),IF(ISERROR(VLOOKUP(DATA!$P181,'M2'!$A:$C,Q$2,FALSE)),"NOT PRESENT",VLOOKUP(DATA!$P181,'M2'!$A:$C,Q$2,FALSE)),VLOOKUP($P1614,'M1'!$A:$C,Q$2,FALSE)),"SPECIFY METHOD")))</f>
        <v>NOT PRESENT</v>
      </c>
      <c r="R1614" s="4" t="str">
        <f>IF($N1614=1,IF(ISERROR(VLOOKUP($P1614,'M1'!$A:$C,R$2,FALSE)),"NOT PRESENT",VLOOKUP($P1614,'M1'!$A:$C,R$2,FALSE)),IF($N1614=2,IF(ISERROR(VLOOKUP(DATA!$P181,'M2'!$A:$C,R$2,FALSE)),"NOT PRESENT",VLOOKUP(DATA!$P181,'M2'!$A:$C,R$2,FALSE)),IF($N1614=0,IF(ISERROR(VLOOKUP($P1614,'M1'!$A:$C,R$2,FALSE)),IF(ISERROR(VLOOKUP(DATA!$P181,'M2'!$A:$C,R$2,FALSE)),"NOT PRESENT",VLOOKUP(DATA!$P181,'M2'!$A:$C,R$2,FALSE)),VLOOKUP($P1614,'M1'!$A:$C,R$2,FALSE)),"SPECIFY METHOD")))</f>
        <v>NOT PRESENT</v>
      </c>
      <c r="S1614" s="20">
        <f t="shared" si="196"/>
        <v>1</v>
      </c>
      <c r="T1614" s="2">
        <v>1</v>
      </c>
    </row>
    <row r="1615" spans="1:32">
      <c r="A1615" s="7">
        <f>MAX($A$1:$A1614)+1</f>
        <v>1614</v>
      </c>
      <c r="B1615" s="2" t="str">
        <f t="shared" si="193"/>
        <v>Em Lim</v>
      </c>
      <c r="C1615" s="2" t="str">
        <f t="shared" si="194"/>
        <v>Isabelle Côté</v>
      </c>
      <c r="D1615" s="2" t="str">
        <f t="shared" si="197"/>
        <v>BMSC9</v>
      </c>
      <c r="E1615" s="7" t="str">
        <f>IF(ISERROR(VLOOKUP($D1615,SITES!$A:$E,2,FALSE)),"",VLOOKUP($D1615,SITES!$A:$E,2,FALSE))</f>
        <v>Eagle Bay</v>
      </c>
      <c r="F1615" s="4">
        <f>IF(ISERROR(VLOOKUP($D1615,SITES!$A:$E,3,FALSE)),"",VLOOKUP($D1615,SITES!$A:$E,3,FALSE))</f>
        <v>48.834789276122997</v>
      </c>
      <c r="G1615" s="18">
        <f>IF(ISERROR(VLOOKUP($D1615,SITES!$A:$E,4,FALSE)),"",VLOOKUP($D1615,SITES!$A:$E,4,FALSE))</f>
        <v>-125.14702606201099</v>
      </c>
      <c r="H1615" s="5" t="str">
        <f t="shared" si="199"/>
        <v>11/05/2023</v>
      </c>
      <c r="I1615" s="2">
        <f t="shared" si="200"/>
        <v>2</v>
      </c>
      <c r="J1615" s="2">
        <f t="shared" si="201"/>
        <v>220</v>
      </c>
      <c r="K1615" s="52">
        <f t="shared" si="202"/>
        <v>0.41666666666666669</v>
      </c>
      <c r="L1615" s="2" t="str">
        <f t="shared" si="203"/>
        <v>EGL</v>
      </c>
      <c r="M1615" s="2">
        <f t="shared" si="204"/>
        <v>6</v>
      </c>
      <c r="N1615" s="2">
        <f t="shared" si="205"/>
        <v>2</v>
      </c>
      <c r="O1615" s="2">
        <f t="shared" si="195"/>
        <v>2</v>
      </c>
      <c r="P1615" s="27" t="s">
        <v>243</v>
      </c>
      <c r="Q1615" s="7" t="str">
        <f>IF($N1615=1,IF(ISERROR(VLOOKUP($P1615,'M1'!$A:$C,Q$2,FALSE)),"NOT PRESENT",VLOOKUP($P1615,'M1'!$A:$C,Q$2,FALSE)),IF($N1615=2,IF(ISERROR(VLOOKUP(DATA!$P182,'M2'!$A:$C,Q$2,FALSE)),"NOT PRESENT",VLOOKUP(DATA!$P182,'M2'!$A:$C,Q$2,FALSE)),IF($N1615=0,IF(ISERROR(VLOOKUP($P1615,'M1'!$A:$C,Q$2,FALSE)),IF(ISERROR(VLOOKUP(DATA!$P182,'M2'!$A:$C,Q$2,FALSE)),"NOT PRESENT",VLOOKUP(DATA!$P182,'M2'!$A:$C,Q$2,FALSE)),VLOOKUP($P1615,'M1'!$A:$C,Q$2,FALSE)),"SPECIFY METHOD")))</f>
        <v>NOT PRESENT</v>
      </c>
      <c r="R1615" s="4" t="str">
        <f>IF($N1615=1,IF(ISERROR(VLOOKUP($P1615,'M1'!$A:$C,R$2,FALSE)),"NOT PRESENT",VLOOKUP($P1615,'M1'!$A:$C,R$2,FALSE)),IF($N1615=2,IF(ISERROR(VLOOKUP(DATA!$P182,'M2'!$A:$C,R$2,FALSE)),"NOT PRESENT",VLOOKUP(DATA!$P182,'M2'!$A:$C,R$2,FALSE)),IF($N1615=0,IF(ISERROR(VLOOKUP($P1615,'M1'!$A:$C,R$2,FALSE)),IF(ISERROR(VLOOKUP(DATA!$P182,'M2'!$A:$C,R$2,FALSE)),"NOT PRESENT",VLOOKUP(DATA!$P182,'M2'!$A:$C,R$2,FALSE)),VLOOKUP($P1615,'M1'!$A:$C,R$2,FALSE)),"SPECIFY METHOD")))</f>
        <v>NOT PRESENT</v>
      </c>
      <c r="S1615" s="20">
        <f t="shared" si="196"/>
        <v>30</v>
      </c>
      <c r="T1615" s="2">
        <v>30</v>
      </c>
    </row>
    <row r="1616" spans="1:32">
      <c r="A1616" s="7">
        <f>MAX($A$1:$A1615)+1</f>
        <v>1615</v>
      </c>
      <c r="B1616" s="2" t="str">
        <f t="shared" si="193"/>
        <v>Em Lim</v>
      </c>
      <c r="C1616" s="2" t="str">
        <f t="shared" si="194"/>
        <v>Isabelle Côté</v>
      </c>
      <c r="D1616" s="2" t="str">
        <f t="shared" si="197"/>
        <v>BMSC9</v>
      </c>
      <c r="E1616" s="7" t="str">
        <f>IF(ISERROR(VLOOKUP($D1616,SITES!$A:$E,2,FALSE)),"",VLOOKUP($D1616,SITES!$A:$E,2,FALSE))</f>
        <v>Eagle Bay</v>
      </c>
      <c r="F1616" s="4">
        <f>IF(ISERROR(VLOOKUP($D1616,SITES!$A:$E,3,FALSE)),"",VLOOKUP($D1616,SITES!$A:$E,3,FALSE))</f>
        <v>48.834789276122997</v>
      </c>
      <c r="G1616" s="18">
        <f>IF(ISERROR(VLOOKUP($D1616,SITES!$A:$E,4,FALSE)),"",VLOOKUP($D1616,SITES!$A:$E,4,FALSE))</f>
        <v>-125.14702606201099</v>
      </c>
      <c r="H1616" s="5" t="str">
        <f t="shared" si="199"/>
        <v>11/05/2023</v>
      </c>
      <c r="I1616" s="2">
        <f t="shared" si="200"/>
        <v>2</v>
      </c>
      <c r="J1616" s="2">
        <f t="shared" si="201"/>
        <v>220</v>
      </c>
      <c r="K1616" s="52">
        <f t="shared" si="202"/>
        <v>0.41666666666666669</v>
      </c>
      <c r="L1616" s="2" t="str">
        <f t="shared" si="203"/>
        <v>EGL</v>
      </c>
      <c r="M1616" s="2">
        <f t="shared" si="204"/>
        <v>6</v>
      </c>
      <c r="N1616" s="2">
        <f t="shared" si="205"/>
        <v>2</v>
      </c>
      <c r="O1616" s="2">
        <f t="shared" si="195"/>
        <v>2</v>
      </c>
      <c r="P1616" s="27" t="s">
        <v>244</v>
      </c>
      <c r="Q1616" s="7" t="str">
        <f>IF($N1616=1,IF(ISERROR(VLOOKUP($P1616,'M1'!$A:$C,Q$2,FALSE)),"NOT PRESENT",VLOOKUP($P1616,'M1'!$A:$C,Q$2,FALSE)),IF($N1616=2,IF(ISERROR(VLOOKUP(DATA!$P183,'M2'!$A:$C,Q$2,FALSE)),"NOT PRESENT",VLOOKUP(DATA!$P183,'M2'!$A:$C,Q$2,FALSE)),IF($N1616=0,IF(ISERROR(VLOOKUP($P1616,'M1'!$A:$C,Q$2,FALSE)),IF(ISERROR(VLOOKUP(DATA!$P183,'M2'!$A:$C,Q$2,FALSE)),"NOT PRESENT",VLOOKUP(DATA!$P183,'M2'!$A:$C,Q$2,FALSE)),VLOOKUP($P1616,'M1'!$A:$C,Q$2,FALSE)),"SPECIFY METHOD")))</f>
        <v>NOT PRESENT</v>
      </c>
      <c r="R1616" s="4" t="str">
        <f>IF($N1616=1,IF(ISERROR(VLOOKUP($P1616,'M1'!$A:$C,R$2,FALSE)),"NOT PRESENT",VLOOKUP($P1616,'M1'!$A:$C,R$2,FALSE)),IF($N1616=2,IF(ISERROR(VLOOKUP(DATA!$P183,'M2'!$A:$C,R$2,FALSE)),"NOT PRESENT",VLOOKUP(DATA!$P183,'M2'!$A:$C,R$2,FALSE)),IF($N1616=0,IF(ISERROR(VLOOKUP($P1616,'M1'!$A:$C,R$2,FALSE)),IF(ISERROR(VLOOKUP(DATA!$P183,'M2'!$A:$C,R$2,FALSE)),"NOT PRESENT",VLOOKUP(DATA!$P183,'M2'!$A:$C,R$2,FALSE)),VLOOKUP($P1616,'M1'!$A:$C,R$2,FALSE)),"SPECIFY METHOD")))</f>
        <v>NOT PRESENT</v>
      </c>
      <c r="S1616" s="20">
        <f t="shared" si="196"/>
        <v>34</v>
      </c>
      <c r="T1616" s="2">
        <v>34</v>
      </c>
    </row>
    <row r="1617" spans="1:26">
      <c r="A1617" s="7">
        <f>MAX($A$1:$A1616)+1</f>
        <v>1616</v>
      </c>
      <c r="B1617" s="2" t="str">
        <f t="shared" si="193"/>
        <v>Em Lim</v>
      </c>
      <c r="C1617" s="2" t="str">
        <f t="shared" si="194"/>
        <v>Isabelle Côté</v>
      </c>
      <c r="D1617" s="2" t="str">
        <f t="shared" si="197"/>
        <v>BMSC9</v>
      </c>
      <c r="E1617" s="7" t="str">
        <f>IF(ISERROR(VLOOKUP($D1617,SITES!$A:$E,2,FALSE)),"",VLOOKUP($D1617,SITES!$A:$E,2,FALSE))</f>
        <v>Eagle Bay</v>
      </c>
      <c r="F1617" s="4">
        <f>IF(ISERROR(VLOOKUP($D1617,SITES!$A:$E,3,FALSE)),"",VLOOKUP($D1617,SITES!$A:$E,3,FALSE))</f>
        <v>48.834789276122997</v>
      </c>
      <c r="G1617" s="18">
        <f>IF(ISERROR(VLOOKUP($D1617,SITES!$A:$E,4,FALSE)),"",VLOOKUP($D1617,SITES!$A:$E,4,FALSE))</f>
        <v>-125.14702606201099</v>
      </c>
      <c r="H1617" s="5" t="str">
        <f t="shared" si="199"/>
        <v>11/05/2023</v>
      </c>
      <c r="I1617" s="2">
        <f t="shared" si="200"/>
        <v>2</v>
      </c>
      <c r="J1617" s="2">
        <f t="shared" si="201"/>
        <v>220</v>
      </c>
      <c r="K1617" s="52">
        <f t="shared" si="202"/>
        <v>0.41666666666666669</v>
      </c>
      <c r="L1617" s="2" t="str">
        <f t="shared" si="203"/>
        <v>EGL</v>
      </c>
      <c r="M1617" s="2">
        <f t="shared" si="204"/>
        <v>6</v>
      </c>
      <c r="N1617" s="2">
        <f t="shared" si="205"/>
        <v>2</v>
      </c>
      <c r="O1617" s="2">
        <f t="shared" si="195"/>
        <v>2</v>
      </c>
      <c r="P1617" s="27" t="s">
        <v>236</v>
      </c>
      <c r="Q1617" s="7" t="str">
        <f>IF($N1617=1,IF(ISERROR(VLOOKUP($P1617,'M1'!$A:$C,Q$2,FALSE)),"NOT PRESENT",VLOOKUP($P1617,'M1'!$A:$C,Q$2,FALSE)),IF($N1617=2,IF(ISERROR(VLOOKUP(DATA!$P184,'M2'!$A:$C,Q$2,FALSE)),"NOT PRESENT",VLOOKUP(DATA!$P184,'M2'!$A:$C,Q$2,FALSE)),IF($N1617=0,IF(ISERROR(VLOOKUP($P1617,'M1'!$A:$C,Q$2,FALSE)),IF(ISERROR(VLOOKUP(DATA!$P184,'M2'!$A:$C,Q$2,FALSE)),"NOT PRESENT",VLOOKUP(DATA!$P184,'M2'!$A:$C,Q$2,FALSE)),VLOOKUP($P1617,'M1'!$A:$C,Q$2,FALSE)),"SPECIFY METHOD")))</f>
        <v>NOT PRESENT</v>
      </c>
      <c r="R1617" s="4" t="str">
        <f>IF($N1617=1,IF(ISERROR(VLOOKUP($P1617,'M1'!$A:$C,R$2,FALSE)),"NOT PRESENT",VLOOKUP($P1617,'M1'!$A:$C,R$2,FALSE)),IF($N1617=2,IF(ISERROR(VLOOKUP(DATA!$P184,'M2'!$A:$C,R$2,FALSE)),"NOT PRESENT",VLOOKUP(DATA!$P184,'M2'!$A:$C,R$2,FALSE)),IF($N1617=0,IF(ISERROR(VLOOKUP($P1617,'M1'!$A:$C,R$2,FALSE)),IF(ISERROR(VLOOKUP(DATA!$P184,'M2'!$A:$C,R$2,FALSE)),"NOT PRESENT",VLOOKUP(DATA!$P184,'M2'!$A:$C,R$2,FALSE)),VLOOKUP($P1617,'M1'!$A:$C,R$2,FALSE)),"SPECIFY METHOD")))</f>
        <v>NOT PRESENT</v>
      </c>
      <c r="S1617" s="20">
        <f t="shared" si="196"/>
        <v>5</v>
      </c>
      <c r="T1617" s="2">
        <v>0</v>
      </c>
      <c r="V1617" s="2">
        <v>1</v>
      </c>
      <c r="W1617" s="2">
        <v>1</v>
      </c>
      <c r="X1617" s="2">
        <v>1</v>
      </c>
      <c r="Y1617" s="2">
        <v>1</v>
      </c>
      <c r="Z1617" s="2">
        <v>1</v>
      </c>
    </row>
    <row r="1618" spans="1:26">
      <c r="A1618" s="7">
        <f>MAX($A$1:$A1617)+1</f>
        <v>1617</v>
      </c>
      <c r="B1618" s="2" t="str">
        <f t="shared" si="193"/>
        <v>Em Lim</v>
      </c>
      <c r="C1618" s="2" t="str">
        <f t="shared" si="194"/>
        <v>Isabelle Côté</v>
      </c>
      <c r="D1618" s="2" t="str">
        <f t="shared" si="197"/>
        <v>BMSC9</v>
      </c>
      <c r="E1618" s="7" t="str">
        <f>IF(ISERROR(VLOOKUP($D1618,SITES!$A:$E,2,FALSE)),"",VLOOKUP($D1618,SITES!$A:$E,2,FALSE))</f>
        <v>Eagle Bay</v>
      </c>
      <c r="F1618" s="4">
        <f>IF(ISERROR(VLOOKUP($D1618,SITES!$A:$E,3,FALSE)),"",VLOOKUP($D1618,SITES!$A:$E,3,FALSE))</f>
        <v>48.834789276122997</v>
      </c>
      <c r="G1618" s="18">
        <f>IF(ISERROR(VLOOKUP($D1618,SITES!$A:$E,4,FALSE)),"",VLOOKUP($D1618,SITES!$A:$E,4,FALSE))</f>
        <v>-125.14702606201099</v>
      </c>
      <c r="H1618" s="5" t="str">
        <f t="shared" si="199"/>
        <v>11/05/2023</v>
      </c>
      <c r="I1618" s="2">
        <f t="shared" si="200"/>
        <v>2</v>
      </c>
      <c r="J1618" s="2">
        <f t="shared" si="201"/>
        <v>220</v>
      </c>
      <c r="K1618" s="52">
        <f t="shared" si="202"/>
        <v>0.41666666666666669</v>
      </c>
      <c r="L1618" s="2" t="str">
        <f t="shared" si="203"/>
        <v>EGL</v>
      </c>
      <c r="M1618" s="2">
        <f t="shared" si="204"/>
        <v>6</v>
      </c>
      <c r="N1618" s="2">
        <f t="shared" si="205"/>
        <v>2</v>
      </c>
      <c r="O1618" s="2">
        <f t="shared" si="195"/>
        <v>2</v>
      </c>
      <c r="P1618" s="27" t="s">
        <v>245</v>
      </c>
      <c r="Q1618" s="7" t="str">
        <f>IF($N1618=1,IF(ISERROR(VLOOKUP($P1618,'M1'!$A:$C,Q$2,FALSE)),"NOT PRESENT",VLOOKUP($P1618,'M1'!$A:$C,Q$2,FALSE)),IF($N1618=2,IF(ISERROR(VLOOKUP(DATA!$P185,'M2'!$A:$C,Q$2,FALSE)),"NOT PRESENT",VLOOKUP(DATA!$P185,'M2'!$A:$C,Q$2,FALSE)),IF($N1618=0,IF(ISERROR(VLOOKUP($P1618,'M1'!$A:$C,Q$2,FALSE)),IF(ISERROR(VLOOKUP(DATA!$P185,'M2'!$A:$C,Q$2,FALSE)),"NOT PRESENT",VLOOKUP(DATA!$P185,'M2'!$A:$C,Q$2,FALSE)),VLOOKUP($P1618,'M1'!$A:$C,Q$2,FALSE)),"SPECIFY METHOD")))</f>
        <v>NOT PRESENT</v>
      </c>
      <c r="R1618" s="4" t="str">
        <f>IF($N1618=1,IF(ISERROR(VLOOKUP($P1618,'M1'!$A:$C,R$2,FALSE)),"NOT PRESENT",VLOOKUP($P1618,'M1'!$A:$C,R$2,FALSE)),IF($N1618=2,IF(ISERROR(VLOOKUP(DATA!$P185,'M2'!$A:$C,R$2,FALSE)),"NOT PRESENT",VLOOKUP(DATA!$P185,'M2'!$A:$C,R$2,FALSE)),IF($N1618=0,IF(ISERROR(VLOOKUP($P1618,'M1'!$A:$C,R$2,FALSE)),IF(ISERROR(VLOOKUP(DATA!$P185,'M2'!$A:$C,R$2,FALSE)),"NOT PRESENT",VLOOKUP(DATA!$P185,'M2'!$A:$C,R$2,FALSE)),VLOOKUP($P1618,'M1'!$A:$C,R$2,FALSE)),"SPECIFY METHOD")))</f>
        <v>NOT PRESENT</v>
      </c>
      <c r="S1618" s="20">
        <f t="shared" si="196"/>
        <v>16</v>
      </c>
      <c r="T1618" s="2">
        <v>16</v>
      </c>
    </row>
    <row r="1619" spans="1:26">
      <c r="A1619" s="7">
        <f>MAX($A$1:$A1618)+1</f>
        <v>1618</v>
      </c>
      <c r="B1619" s="2" t="str">
        <f t="shared" si="193"/>
        <v>Em Lim</v>
      </c>
      <c r="C1619" s="2" t="str">
        <f t="shared" si="194"/>
        <v>Isabelle Côté</v>
      </c>
      <c r="D1619" s="2" t="str">
        <f t="shared" si="197"/>
        <v>BMSC9</v>
      </c>
      <c r="E1619" s="7" t="str">
        <f>IF(ISERROR(VLOOKUP($D1619,SITES!$A:$E,2,FALSE)),"",VLOOKUP($D1619,SITES!$A:$E,2,FALSE))</f>
        <v>Eagle Bay</v>
      </c>
      <c r="F1619" s="4">
        <f>IF(ISERROR(VLOOKUP($D1619,SITES!$A:$E,3,FALSE)),"",VLOOKUP($D1619,SITES!$A:$E,3,FALSE))</f>
        <v>48.834789276122997</v>
      </c>
      <c r="G1619" s="18">
        <f>IF(ISERROR(VLOOKUP($D1619,SITES!$A:$E,4,FALSE)),"",VLOOKUP($D1619,SITES!$A:$E,4,FALSE))</f>
        <v>-125.14702606201099</v>
      </c>
      <c r="H1619" s="5" t="str">
        <f t="shared" si="199"/>
        <v>11/05/2023</v>
      </c>
      <c r="I1619" s="2">
        <f t="shared" si="200"/>
        <v>2</v>
      </c>
      <c r="J1619" s="2">
        <f t="shared" si="201"/>
        <v>220</v>
      </c>
      <c r="K1619" s="52">
        <f t="shared" si="202"/>
        <v>0.41666666666666669</v>
      </c>
      <c r="L1619" s="2" t="str">
        <f t="shared" si="203"/>
        <v>EGL</v>
      </c>
      <c r="M1619" s="2">
        <f t="shared" si="204"/>
        <v>6</v>
      </c>
      <c r="N1619" s="2">
        <f t="shared" si="205"/>
        <v>2</v>
      </c>
      <c r="O1619" s="2">
        <f t="shared" si="195"/>
        <v>2</v>
      </c>
      <c r="P1619" s="27" t="s">
        <v>246</v>
      </c>
      <c r="Q1619" s="7" t="str">
        <f>IF($N1619=1,IF(ISERROR(VLOOKUP($P1619,'M1'!$A:$C,Q$2,FALSE)),"NOT PRESENT",VLOOKUP($P1619,'M1'!$A:$C,Q$2,FALSE)),IF($N1619=2,IF(ISERROR(VLOOKUP(DATA!$P186,'M2'!$A:$C,Q$2,FALSE)),"NOT PRESENT",VLOOKUP(DATA!$P186,'M2'!$A:$C,Q$2,FALSE)),IF($N1619=0,IF(ISERROR(VLOOKUP($P1619,'M1'!$A:$C,Q$2,FALSE)),IF(ISERROR(VLOOKUP(DATA!$P186,'M2'!$A:$C,Q$2,FALSE)),"NOT PRESENT",VLOOKUP(DATA!$P186,'M2'!$A:$C,Q$2,FALSE)),VLOOKUP($P1619,'M1'!$A:$C,Q$2,FALSE)),"SPECIFY METHOD")))</f>
        <v>NOT PRESENT</v>
      </c>
      <c r="R1619" s="4" t="str">
        <f>IF($N1619=1,IF(ISERROR(VLOOKUP($P1619,'M1'!$A:$C,R$2,FALSE)),"NOT PRESENT",VLOOKUP($P1619,'M1'!$A:$C,R$2,FALSE)),IF($N1619=2,IF(ISERROR(VLOOKUP(DATA!$P186,'M2'!$A:$C,R$2,FALSE)),"NOT PRESENT",VLOOKUP(DATA!$P186,'M2'!$A:$C,R$2,FALSE)),IF($N1619=0,IF(ISERROR(VLOOKUP($P1619,'M1'!$A:$C,R$2,FALSE)),IF(ISERROR(VLOOKUP(DATA!$P186,'M2'!$A:$C,R$2,FALSE)),"NOT PRESENT",VLOOKUP(DATA!$P186,'M2'!$A:$C,R$2,FALSE)),VLOOKUP($P1619,'M1'!$A:$C,R$2,FALSE)),"SPECIFY METHOD")))</f>
        <v>NOT PRESENT</v>
      </c>
      <c r="S1619" s="20">
        <f t="shared" si="196"/>
        <v>28</v>
      </c>
      <c r="T1619" s="2">
        <v>0</v>
      </c>
      <c r="U1619" s="2">
        <v>17</v>
      </c>
      <c r="V1619" s="2">
        <v>8</v>
      </c>
      <c r="W1619" s="2">
        <v>2</v>
      </c>
      <c r="X1619" s="2">
        <v>1</v>
      </c>
    </row>
    <row r="1620" spans="1:26">
      <c r="A1620" s="7">
        <f>MAX($A$1:$A1619)+1</f>
        <v>1619</v>
      </c>
      <c r="B1620" s="2" t="str">
        <f t="shared" si="193"/>
        <v>Em Lim</v>
      </c>
      <c r="C1620" s="2" t="str">
        <f t="shared" si="194"/>
        <v>Isabelle Côté</v>
      </c>
      <c r="D1620" s="2" t="str">
        <f t="shared" si="197"/>
        <v>BMSC9</v>
      </c>
      <c r="E1620" s="7" t="str">
        <f>IF(ISERROR(VLOOKUP($D1620,SITES!$A:$E,2,FALSE)),"",VLOOKUP($D1620,SITES!$A:$E,2,FALSE))</f>
        <v>Eagle Bay</v>
      </c>
      <c r="F1620" s="4">
        <f>IF(ISERROR(VLOOKUP($D1620,SITES!$A:$E,3,FALSE)),"",VLOOKUP($D1620,SITES!$A:$E,3,FALSE))</f>
        <v>48.834789276122997</v>
      </c>
      <c r="G1620" s="18">
        <f>IF(ISERROR(VLOOKUP($D1620,SITES!$A:$E,4,FALSE)),"",VLOOKUP($D1620,SITES!$A:$E,4,FALSE))</f>
        <v>-125.14702606201099</v>
      </c>
      <c r="H1620" s="5" t="str">
        <f t="shared" si="199"/>
        <v>11/05/2023</v>
      </c>
      <c r="I1620" s="2">
        <f t="shared" si="200"/>
        <v>2</v>
      </c>
      <c r="J1620" s="2">
        <f t="shared" si="201"/>
        <v>220</v>
      </c>
      <c r="K1620" s="52">
        <f t="shared" si="202"/>
        <v>0.41666666666666669</v>
      </c>
      <c r="L1620" s="2" t="str">
        <f t="shared" si="203"/>
        <v>EGL</v>
      </c>
      <c r="M1620" s="2">
        <f t="shared" si="204"/>
        <v>6</v>
      </c>
      <c r="N1620" s="2">
        <f t="shared" si="205"/>
        <v>2</v>
      </c>
      <c r="O1620" s="2">
        <f t="shared" si="195"/>
        <v>2</v>
      </c>
      <c r="P1620" s="27" t="s">
        <v>247</v>
      </c>
      <c r="Q1620" s="7" t="str">
        <f>IF($N1620=1,IF(ISERROR(VLOOKUP($P1620,'M1'!$A:$C,Q$2,FALSE)),"NOT PRESENT",VLOOKUP($P1620,'M1'!$A:$C,Q$2,FALSE)),IF($N1620=2,IF(ISERROR(VLOOKUP(DATA!$P187,'M2'!$A:$C,Q$2,FALSE)),"NOT PRESENT",VLOOKUP(DATA!$P187,'M2'!$A:$C,Q$2,FALSE)),IF($N1620=0,IF(ISERROR(VLOOKUP($P1620,'M1'!$A:$C,Q$2,FALSE)),IF(ISERROR(VLOOKUP(DATA!$P187,'M2'!$A:$C,Q$2,FALSE)),"NOT PRESENT",VLOOKUP(DATA!$P187,'M2'!$A:$C,Q$2,FALSE)),VLOOKUP($P1620,'M1'!$A:$C,Q$2,FALSE)),"SPECIFY METHOD")))</f>
        <v>NOT PRESENT</v>
      </c>
      <c r="R1620" s="4" t="str">
        <f>IF($N1620=1,IF(ISERROR(VLOOKUP($P1620,'M1'!$A:$C,R$2,FALSE)),"NOT PRESENT",VLOOKUP($P1620,'M1'!$A:$C,R$2,FALSE)),IF($N1620=2,IF(ISERROR(VLOOKUP(DATA!$P187,'M2'!$A:$C,R$2,FALSE)),"NOT PRESENT",VLOOKUP(DATA!$P187,'M2'!$A:$C,R$2,FALSE)),IF($N1620=0,IF(ISERROR(VLOOKUP($P1620,'M1'!$A:$C,R$2,FALSE)),IF(ISERROR(VLOOKUP(DATA!$P187,'M2'!$A:$C,R$2,FALSE)),"NOT PRESENT",VLOOKUP(DATA!$P187,'M2'!$A:$C,R$2,FALSE)),VLOOKUP($P1620,'M1'!$A:$C,R$2,FALSE)),"SPECIFY METHOD")))</f>
        <v>NOT PRESENT</v>
      </c>
      <c r="S1620" s="20">
        <f t="shared" si="196"/>
        <v>14</v>
      </c>
      <c r="T1620" s="2">
        <v>14</v>
      </c>
    </row>
    <row r="1621" spans="1:26">
      <c r="A1621" s="7">
        <f>MAX($A$1:$A1620)+1</f>
        <v>1620</v>
      </c>
      <c r="B1621" s="2" t="str">
        <f t="shared" si="193"/>
        <v>Em Lim</v>
      </c>
      <c r="C1621" s="2" t="str">
        <f t="shared" si="194"/>
        <v>Isabelle Côté</v>
      </c>
      <c r="D1621" s="2" t="str">
        <f t="shared" si="197"/>
        <v>BMSC9</v>
      </c>
      <c r="E1621" s="7" t="str">
        <f>IF(ISERROR(VLOOKUP($D1621,SITES!$A:$E,2,FALSE)),"",VLOOKUP($D1621,SITES!$A:$E,2,FALSE))</f>
        <v>Eagle Bay</v>
      </c>
      <c r="F1621" s="4">
        <f>IF(ISERROR(VLOOKUP($D1621,SITES!$A:$E,3,FALSE)),"",VLOOKUP($D1621,SITES!$A:$E,3,FALSE))</f>
        <v>48.834789276122997</v>
      </c>
      <c r="G1621" s="18">
        <f>IF(ISERROR(VLOOKUP($D1621,SITES!$A:$E,4,FALSE)),"",VLOOKUP($D1621,SITES!$A:$E,4,FALSE))</f>
        <v>-125.14702606201099</v>
      </c>
      <c r="H1621" s="5" t="str">
        <f t="shared" si="199"/>
        <v>11/05/2023</v>
      </c>
      <c r="I1621" s="2">
        <f t="shared" si="200"/>
        <v>2</v>
      </c>
      <c r="J1621" s="2">
        <f t="shared" si="201"/>
        <v>220</v>
      </c>
      <c r="K1621" s="52">
        <f t="shared" si="202"/>
        <v>0.41666666666666669</v>
      </c>
      <c r="L1621" s="2" t="str">
        <f t="shared" si="203"/>
        <v>EGL</v>
      </c>
      <c r="M1621" s="2">
        <f t="shared" si="204"/>
        <v>6</v>
      </c>
      <c r="N1621" s="2">
        <f t="shared" si="205"/>
        <v>2</v>
      </c>
      <c r="O1621" s="2">
        <f t="shared" si="195"/>
        <v>2</v>
      </c>
      <c r="P1621" s="27" t="s">
        <v>248</v>
      </c>
      <c r="Q1621" s="7" t="str">
        <f>IF($N1621=1,IF(ISERROR(VLOOKUP($P1621,'M1'!$A:$C,Q$2,FALSE)),"NOT PRESENT",VLOOKUP($P1621,'M1'!$A:$C,Q$2,FALSE)),IF($N1621=2,IF(ISERROR(VLOOKUP(DATA!$P188,'M2'!$A:$C,Q$2,FALSE)),"NOT PRESENT",VLOOKUP(DATA!$P188,'M2'!$A:$C,Q$2,FALSE)),IF($N1621=0,IF(ISERROR(VLOOKUP($P1621,'M1'!$A:$C,Q$2,FALSE)),IF(ISERROR(VLOOKUP(DATA!$P188,'M2'!$A:$C,Q$2,FALSE)),"NOT PRESENT",VLOOKUP(DATA!$P188,'M2'!$A:$C,Q$2,FALSE)),VLOOKUP($P1621,'M1'!$A:$C,Q$2,FALSE)),"SPECIFY METHOD")))</f>
        <v>NOT PRESENT</v>
      </c>
      <c r="R1621" s="4" t="str">
        <f>IF($N1621=1,IF(ISERROR(VLOOKUP($P1621,'M1'!$A:$C,R$2,FALSE)),"NOT PRESENT",VLOOKUP($P1621,'M1'!$A:$C,R$2,FALSE)),IF($N1621=2,IF(ISERROR(VLOOKUP(DATA!$P188,'M2'!$A:$C,R$2,FALSE)),"NOT PRESENT",VLOOKUP(DATA!$P188,'M2'!$A:$C,R$2,FALSE)),IF($N1621=0,IF(ISERROR(VLOOKUP($P1621,'M1'!$A:$C,R$2,FALSE)),IF(ISERROR(VLOOKUP(DATA!$P188,'M2'!$A:$C,R$2,FALSE)),"NOT PRESENT",VLOOKUP(DATA!$P188,'M2'!$A:$C,R$2,FALSE)),VLOOKUP($P1621,'M1'!$A:$C,R$2,FALSE)),"SPECIFY METHOD")))</f>
        <v>NOT PRESENT</v>
      </c>
      <c r="S1621" s="20">
        <f t="shared" si="196"/>
        <v>20</v>
      </c>
      <c r="T1621" s="2">
        <v>0</v>
      </c>
      <c r="U1621" s="2">
        <v>1</v>
      </c>
      <c r="V1621" s="2">
        <v>7</v>
      </c>
      <c r="W1621" s="2">
        <v>6</v>
      </c>
      <c r="X1621" s="2">
        <v>4</v>
      </c>
      <c r="Y1621" s="2">
        <v>2</v>
      </c>
    </row>
    <row r="1622" spans="1:26">
      <c r="A1622" s="7">
        <f>MAX($A$1:$A1621)+1</f>
        <v>1621</v>
      </c>
      <c r="B1622" s="2" t="str">
        <f t="shared" si="193"/>
        <v>Em Lim</v>
      </c>
      <c r="C1622" s="2" t="str">
        <f t="shared" si="194"/>
        <v>Isabelle Côté</v>
      </c>
      <c r="D1622" s="2" t="str">
        <f t="shared" si="197"/>
        <v>BMSC9</v>
      </c>
      <c r="E1622" s="7" t="str">
        <f>IF(ISERROR(VLOOKUP($D1622,SITES!$A:$E,2,FALSE)),"",VLOOKUP($D1622,SITES!$A:$E,2,FALSE))</f>
        <v>Eagle Bay</v>
      </c>
      <c r="F1622" s="4">
        <f>IF(ISERROR(VLOOKUP($D1622,SITES!$A:$E,3,FALSE)),"",VLOOKUP($D1622,SITES!$A:$E,3,FALSE))</f>
        <v>48.834789276122997</v>
      </c>
      <c r="G1622" s="18">
        <f>IF(ISERROR(VLOOKUP($D1622,SITES!$A:$E,4,FALSE)),"",VLOOKUP($D1622,SITES!$A:$E,4,FALSE))</f>
        <v>-125.14702606201099</v>
      </c>
      <c r="H1622" s="5" t="str">
        <f t="shared" si="199"/>
        <v>11/05/2023</v>
      </c>
      <c r="I1622" s="2">
        <f t="shared" si="200"/>
        <v>2</v>
      </c>
      <c r="J1622" s="2">
        <f t="shared" si="201"/>
        <v>220</v>
      </c>
      <c r="K1622" s="52">
        <f t="shared" si="202"/>
        <v>0.41666666666666669</v>
      </c>
      <c r="L1622" s="2" t="str">
        <f t="shared" si="203"/>
        <v>EGL</v>
      </c>
      <c r="M1622" s="2">
        <f t="shared" si="204"/>
        <v>6</v>
      </c>
      <c r="N1622" s="2">
        <f t="shared" si="205"/>
        <v>2</v>
      </c>
      <c r="O1622" s="2">
        <f t="shared" si="195"/>
        <v>2</v>
      </c>
      <c r="P1622" s="27" t="s">
        <v>198</v>
      </c>
      <c r="Q1622" s="7" t="str">
        <f>IF($N1622=1,IF(ISERROR(VLOOKUP($P1622,'M1'!$A:$C,Q$2,FALSE)),"NOT PRESENT",VLOOKUP($P1622,'M1'!$A:$C,Q$2,FALSE)),IF($N1622=2,IF(ISERROR(VLOOKUP(DATA!$P189,'M2'!$A:$C,Q$2,FALSE)),"NOT PRESENT",VLOOKUP(DATA!$P189,'M2'!$A:$C,Q$2,FALSE)),IF($N1622=0,IF(ISERROR(VLOOKUP($P1622,'M1'!$A:$C,Q$2,FALSE)),IF(ISERROR(VLOOKUP(DATA!$P189,'M2'!$A:$C,Q$2,FALSE)),"NOT PRESENT",VLOOKUP(DATA!$P189,'M2'!$A:$C,Q$2,FALSE)),VLOOKUP($P1622,'M1'!$A:$C,Q$2,FALSE)),"SPECIFY METHOD")))</f>
        <v>NOT PRESENT</v>
      </c>
      <c r="R1622" s="4" t="str">
        <f>IF($N1622=1,IF(ISERROR(VLOOKUP($P1622,'M1'!$A:$C,R$2,FALSE)),"NOT PRESENT",VLOOKUP($P1622,'M1'!$A:$C,R$2,FALSE)),IF($N1622=2,IF(ISERROR(VLOOKUP(DATA!$P189,'M2'!$A:$C,R$2,FALSE)),"NOT PRESENT",VLOOKUP(DATA!$P189,'M2'!$A:$C,R$2,FALSE)),IF($N1622=0,IF(ISERROR(VLOOKUP($P1622,'M1'!$A:$C,R$2,FALSE)),IF(ISERROR(VLOOKUP(DATA!$P189,'M2'!$A:$C,R$2,FALSE)),"NOT PRESENT",VLOOKUP(DATA!$P189,'M2'!$A:$C,R$2,FALSE)),VLOOKUP($P1622,'M1'!$A:$C,R$2,FALSE)),"SPECIFY METHOD")))</f>
        <v>NOT PRESENT</v>
      </c>
      <c r="S1622" s="20">
        <f t="shared" si="196"/>
        <v>1</v>
      </c>
      <c r="T1622" s="2">
        <v>1</v>
      </c>
    </row>
    <row r="1623" spans="1:26">
      <c r="A1623" s="7">
        <f>MAX($A$1:$A1622)+1</f>
        <v>1622</v>
      </c>
      <c r="B1623" s="2" t="str">
        <f t="shared" si="193"/>
        <v>Em Lim</v>
      </c>
      <c r="C1623" s="2" t="str">
        <f t="shared" si="194"/>
        <v>Isabelle Côté</v>
      </c>
      <c r="D1623" s="2" t="str">
        <f t="shared" si="197"/>
        <v>BMSC9</v>
      </c>
      <c r="E1623" s="7" t="str">
        <f>IF(ISERROR(VLOOKUP($D1623,SITES!$A:$E,2,FALSE)),"",VLOOKUP($D1623,SITES!$A:$E,2,FALSE))</f>
        <v>Eagle Bay</v>
      </c>
      <c r="F1623" s="4">
        <f>IF(ISERROR(VLOOKUP($D1623,SITES!$A:$E,3,FALSE)),"",VLOOKUP($D1623,SITES!$A:$E,3,FALSE))</f>
        <v>48.834789276122997</v>
      </c>
      <c r="G1623" s="18">
        <f>IF(ISERROR(VLOOKUP($D1623,SITES!$A:$E,4,FALSE)),"",VLOOKUP($D1623,SITES!$A:$E,4,FALSE))</f>
        <v>-125.14702606201099</v>
      </c>
      <c r="H1623" s="5" t="str">
        <f t="shared" si="199"/>
        <v>11/05/2023</v>
      </c>
      <c r="I1623" s="2">
        <f t="shared" si="200"/>
        <v>2</v>
      </c>
      <c r="J1623" s="2">
        <f t="shared" si="201"/>
        <v>220</v>
      </c>
      <c r="K1623" s="52">
        <f t="shared" si="202"/>
        <v>0.41666666666666669</v>
      </c>
      <c r="L1623" s="2" t="str">
        <f t="shared" si="203"/>
        <v>EGL</v>
      </c>
      <c r="M1623" s="2">
        <f t="shared" si="204"/>
        <v>6</v>
      </c>
      <c r="N1623" s="2">
        <f t="shared" si="205"/>
        <v>2</v>
      </c>
      <c r="O1623" s="2">
        <f t="shared" si="195"/>
        <v>2</v>
      </c>
      <c r="P1623" s="27" t="s">
        <v>249</v>
      </c>
      <c r="Q1623" s="7" t="str">
        <f>IF($N1623=1,IF(ISERROR(VLOOKUP($P1623,'M1'!$A:$C,Q$2,FALSE)),"NOT PRESENT",VLOOKUP($P1623,'M1'!$A:$C,Q$2,FALSE)),IF($N1623=2,IF(ISERROR(VLOOKUP(DATA!$P190,'M2'!$A:$C,Q$2,FALSE)),"NOT PRESENT",VLOOKUP(DATA!$P190,'M2'!$A:$C,Q$2,FALSE)),IF($N1623=0,IF(ISERROR(VLOOKUP($P1623,'M1'!$A:$C,Q$2,FALSE)),IF(ISERROR(VLOOKUP(DATA!$P190,'M2'!$A:$C,Q$2,FALSE)),"NOT PRESENT",VLOOKUP(DATA!$P190,'M2'!$A:$C,Q$2,FALSE)),VLOOKUP($P1623,'M1'!$A:$C,Q$2,FALSE)),"SPECIFY METHOD")))</f>
        <v>NOT PRESENT</v>
      </c>
      <c r="R1623" s="4" t="str">
        <f>IF($N1623=1,IF(ISERROR(VLOOKUP($P1623,'M1'!$A:$C,R$2,FALSE)),"NOT PRESENT",VLOOKUP($P1623,'M1'!$A:$C,R$2,FALSE)),IF($N1623=2,IF(ISERROR(VLOOKUP(DATA!$P190,'M2'!$A:$C,R$2,FALSE)),"NOT PRESENT",VLOOKUP(DATA!$P190,'M2'!$A:$C,R$2,FALSE)),IF($N1623=0,IF(ISERROR(VLOOKUP($P1623,'M1'!$A:$C,R$2,FALSE)),IF(ISERROR(VLOOKUP(DATA!$P190,'M2'!$A:$C,R$2,FALSE)),"NOT PRESENT",VLOOKUP(DATA!$P190,'M2'!$A:$C,R$2,FALSE)),VLOOKUP($P1623,'M1'!$A:$C,R$2,FALSE)),"SPECIFY METHOD")))</f>
        <v>NOT PRESENT</v>
      </c>
      <c r="S1623" s="20">
        <f t="shared" si="196"/>
        <v>5</v>
      </c>
      <c r="T1623" s="2">
        <v>5</v>
      </c>
    </row>
    <row r="1624" spans="1:26">
      <c r="A1624" s="7">
        <f>MAX($A$1:$A1623)+1</f>
        <v>1623</v>
      </c>
      <c r="B1624" s="2" t="str">
        <f t="shared" si="193"/>
        <v>Em Lim</v>
      </c>
      <c r="C1624" s="2" t="str">
        <f t="shared" si="194"/>
        <v>Isabelle Côté</v>
      </c>
      <c r="D1624" s="2" t="str">
        <f t="shared" si="197"/>
        <v>BMSC9</v>
      </c>
      <c r="E1624" s="7" t="str">
        <f>IF(ISERROR(VLOOKUP($D1624,SITES!$A:$E,2,FALSE)),"",VLOOKUP($D1624,SITES!$A:$E,2,FALSE))</f>
        <v>Eagle Bay</v>
      </c>
      <c r="F1624" s="4">
        <f>IF(ISERROR(VLOOKUP($D1624,SITES!$A:$E,3,FALSE)),"",VLOOKUP($D1624,SITES!$A:$E,3,FALSE))</f>
        <v>48.834789276122997</v>
      </c>
      <c r="G1624" s="18">
        <f>IF(ISERROR(VLOOKUP($D1624,SITES!$A:$E,4,FALSE)),"",VLOOKUP($D1624,SITES!$A:$E,4,FALSE))</f>
        <v>-125.14702606201099</v>
      </c>
      <c r="H1624" s="5" t="str">
        <f t="shared" si="199"/>
        <v>11/05/2023</v>
      </c>
      <c r="I1624" s="2">
        <f t="shared" si="200"/>
        <v>2</v>
      </c>
      <c r="J1624" s="2">
        <f t="shared" si="201"/>
        <v>220</v>
      </c>
      <c r="K1624" s="52">
        <f t="shared" si="202"/>
        <v>0.41666666666666669</v>
      </c>
      <c r="L1624" s="2" t="str">
        <f t="shared" si="203"/>
        <v>EGL</v>
      </c>
      <c r="M1624" s="2">
        <f t="shared" si="204"/>
        <v>6</v>
      </c>
      <c r="N1624" s="2">
        <f t="shared" si="205"/>
        <v>2</v>
      </c>
      <c r="O1624" s="2">
        <f t="shared" si="195"/>
        <v>2</v>
      </c>
      <c r="P1624" s="27" t="s">
        <v>250</v>
      </c>
      <c r="Q1624" s="7" t="str">
        <f>IF($N1624=1,IF(ISERROR(VLOOKUP($P1624,'M1'!$A:$C,Q$2,FALSE)),"NOT PRESENT",VLOOKUP($P1624,'M1'!$A:$C,Q$2,FALSE)),IF($N1624=2,IF(ISERROR(VLOOKUP(DATA!$P191,'M2'!$A:$C,Q$2,FALSE)),"NOT PRESENT",VLOOKUP(DATA!$P191,'M2'!$A:$C,Q$2,FALSE)),IF($N1624=0,IF(ISERROR(VLOOKUP($P1624,'M1'!$A:$C,Q$2,FALSE)),IF(ISERROR(VLOOKUP(DATA!$P191,'M2'!$A:$C,Q$2,FALSE)),"NOT PRESENT",VLOOKUP(DATA!$P191,'M2'!$A:$C,Q$2,FALSE)),VLOOKUP($P1624,'M1'!$A:$C,Q$2,FALSE)),"SPECIFY METHOD")))</f>
        <v>NOT PRESENT</v>
      </c>
      <c r="R1624" s="4" t="str">
        <f>IF($N1624=1,IF(ISERROR(VLOOKUP($P1624,'M1'!$A:$C,R$2,FALSE)),"NOT PRESENT",VLOOKUP($P1624,'M1'!$A:$C,R$2,FALSE)),IF($N1624=2,IF(ISERROR(VLOOKUP(DATA!$P191,'M2'!$A:$C,R$2,FALSE)),"NOT PRESENT",VLOOKUP(DATA!$P191,'M2'!$A:$C,R$2,FALSE)),IF($N1624=0,IF(ISERROR(VLOOKUP($P1624,'M1'!$A:$C,R$2,FALSE)),IF(ISERROR(VLOOKUP(DATA!$P191,'M2'!$A:$C,R$2,FALSE)),"NOT PRESENT",VLOOKUP(DATA!$P191,'M2'!$A:$C,R$2,FALSE)),VLOOKUP($P1624,'M1'!$A:$C,R$2,FALSE)),"SPECIFY METHOD")))</f>
        <v>NOT PRESENT</v>
      </c>
      <c r="S1624" s="20">
        <f t="shared" si="196"/>
        <v>4</v>
      </c>
      <c r="T1624" s="2">
        <v>0</v>
      </c>
      <c r="U1624" s="2">
        <v>2</v>
      </c>
      <c r="V1624" s="2">
        <v>2</v>
      </c>
    </row>
    <row r="1625" spans="1:26">
      <c r="A1625" s="7">
        <f>MAX($A$1:$A1624)+1</f>
        <v>1624</v>
      </c>
      <c r="B1625" s="2" t="str">
        <f t="shared" si="193"/>
        <v>Em Lim</v>
      </c>
      <c r="C1625" s="2" t="str">
        <f t="shared" si="194"/>
        <v>Isabelle Côté</v>
      </c>
      <c r="D1625" s="2" t="str">
        <f t="shared" si="197"/>
        <v>BMSC9</v>
      </c>
      <c r="E1625" s="7" t="str">
        <f>IF(ISERROR(VLOOKUP($D1625,SITES!$A:$E,2,FALSE)),"",VLOOKUP($D1625,SITES!$A:$E,2,FALSE))</f>
        <v>Eagle Bay</v>
      </c>
      <c r="F1625" s="4">
        <f>IF(ISERROR(VLOOKUP($D1625,SITES!$A:$E,3,FALSE)),"",VLOOKUP($D1625,SITES!$A:$E,3,FALSE))</f>
        <v>48.834789276122997</v>
      </c>
      <c r="G1625" s="18">
        <f>IF(ISERROR(VLOOKUP($D1625,SITES!$A:$E,4,FALSE)),"",VLOOKUP($D1625,SITES!$A:$E,4,FALSE))</f>
        <v>-125.14702606201099</v>
      </c>
      <c r="H1625" s="5" t="str">
        <f t="shared" si="199"/>
        <v>11/05/2023</v>
      </c>
      <c r="I1625" s="2">
        <f t="shared" si="200"/>
        <v>2</v>
      </c>
      <c r="J1625" s="2">
        <f t="shared" si="201"/>
        <v>220</v>
      </c>
      <c r="K1625" s="52">
        <f t="shared" si="202"/>
        <v>0.41666666666666669</v>
      </c>
      <c r="L1625" s="2" t="str">
        <f t="shared" si="203"/>
        <v>EGL</v>
      </c>
      <c r="M1625" s="2">
        <f t="shared" si="204"/>
        <v>6</v>
      </c>
      <c r="N1625" s="2">
        <f t="shared" si="205"/>
        <v>2</v>
      </c>
      <c r="O1625" s="2">
        <f t="shared" si="195"/>
        <v>2</v>
      </c>
      <c r="P1625" s="27" t="s">
        <v>251</v>
      </c>
      <c r="Q1625" s="7" t="str">
        <f>IF($N1625=1,IF(ISERROR(VLOOKUP($P1625,'M1'!$A:$C,Q$2,FALSE)),"NOT PRESENT",VLOOKUP($P1625,'M1'!$A:$C,Q$2,FALSE)),IF($N1625=2,IF(ISERROR(VLOOKUP(DATA!$P192,'M2'!$A:$C,Q$2,FALSE)),"NOT PRESENT",VLOOKUP(DATA!$P192,'M2'!$A:$C,Q$2,FALSE)),IF($N1625=0,IF(ISERROR(VLOOKUP($P1625,'M1'!$A:$C,Q$2,FALSE)),IF(ISERROR(VLOOKUP(DATA!$P192,'M2'!$A:$C,Q$2,FALSE)),"NOT PRESENT",VLOOKUP(DATA!$P192,'M2'!$A:$C,Q$2,FALSE)),VLOOKUP($P1625,'M1'!$A:$C,Q$2,FALSE)),"SPECIFY METHOD")))</f>
        <v>NOT PRESENT</v>
      </c>
      <c r="R1625" s="4" t="str">
        <f>IF($N1625=1,IF(ISERROR(VLOOKUP($P1625,'M1'!$A:$C,R$2,FALSE)),"NOT PRESENT",VLOOKUP($P1625,'M1'!$A:$C,R$2,FALSE)),IF($N1625=2,IF(ISERROR(VLOOKUP(DATA!$P192,'M2'!$A:$C,R$2,FALSE)),"NOT PRESENT",VLOOKUP(DATA!$P192,'M2'!$A:$C,R$2,FALSE)),IF($N1625=0,IF(ISERROR(VLOOKUP($P1625,'M1'!$A:$C,R$2,FALSE)),IF(ISERROR(VLOOKUP(DATA!$P192,'M2'!$A:$C,R$2,FALSE)),"NOT PRESENT",VLOOKUP(DATA!$P192,'M2'!$A:$C,R$2,FALSE)),VLOOKUP($P1625,'M1'!$A:$C,R$2,FALSE)),"SPECIFY METHOD")))</f>
        <v>NOT PRESENT</v>
      </c>
      <c r="S1625" s="20">
        <f t="shared" si="196"/>
        <v>3</v>
      </c>
      <c r="T1625" s="2">
        <v>3</v>
      </c>
    </row>
    <row r="1626" spans="1:26">
      <c r="A1626" s="7">
        <f>MAX($A$1:$A1625)+1</f>
        <v>1625</v>
      </c>
      <c r="B1626" s="2" t="str">
        <f t="shared" si="193"/>
        <v>Em Lim</v>
      </c>
      <c r="C1626" s="2" t="str">
        <f t="shared" si="194"/>
        <v>Isabelle Côté</v>
      </c>
      <c r="D1626" s="2" t="str">
        <f t="shared" si="197"/>
        <v>BMSC9</v>
      </c>
      <c r="E1626" s="7" t="str">
        <f>IF(ISERROR(VLOOKUP($D1626,SITES!$A:$E,2,FALSE)),"",VLOOKUP($D1626,SITES!$A:$E,2,FALSE))</f>
        <v>Eagle Bay</v>
      </c>
      <c r="F1626" s="4">
        <f>IF(ISERROR(VLOOKUP($D1626,SITES!$A:$E,3,FALSE)),"",VLOOKUP($D1626,SITES!$A:$E,3,FALSE))</f>
        <v>48.834789276122997</v>
      </c>
      <c r="G1626" s="18">
        <f>IF(ISERROR(VLOOKUP($D1626,SITES!$A:$E,4,FALSE)),"",VLOOKUP($D1626,SITES!$A:$E,4,FALSE))</f>
        <v>-125.14702606201099</v>
      </c>
      <c r="H1626" s="5" t="str">
        <f t="shared" si="199"/>
        <v>11/05/2023</v>
      </c>
      <c r="I1626" s="2">
        <f t="shared" si="200"/>
        <v>2</v>
      </c>
      <c r="J1626" s="2">
        <f t="shared" si="201"/>
        <v>220</v>
      </c>
      <c r="K1626" s="52">
        <f t="shared" si="202"/>
        <v>0.41666666666666669</v>
      </c>
      <c r="L1626" s="2" t="str">
        <f t="shared" si="203"/>
        <v>EGL</v>
      </c>
      <c r="M1626" s="2">
        <f t="shared" si="204"/>
        <v>6</v>
      </c>
      <c r="N1626" s="2">
        <f t="shared" si="205"/>
        <v>2</v>
      </c>
      <c r="O1626" s="2">
        <f t="shared" si="195"/>
        <v>2</v>
      </c>
      <c r="P1626" s="27" t="s">
        <v>252</v>
      </c>
      <c r="Q1626" s="7" t="str">
        <f>IF($N1626=1,IF(ISERROR(VLOOKUP($P1626,'M1'!$A:$C,Q$2,FALSE)),"NOT PRESENT",VLOOKUP($P1626,'M1'!$A:$C,Q$2,FALSE)),IF($N1626=2,IF(ISERROR(VLOOKUP(DATA!$P193,'M2'!$A:$C,Q$2,FALSE)),"NOT PRESENT",VLOOKUP(DATA!$P193,'M2'!$A:$C,Q$2,FALSE)),IF($N1626=0,IF(ISERROR(VLOOKUP($P1626,'M1'!$A:$C,Q$2,FALSE)),IF(ISERROR(VLOOKUP(DATA!$P193,'M2'!$A:$C,Q$2,FALSE)),"NOT PRESENT",VLOOKUP(DATA!$P193,'M2'!$A:$C,Q$2,FALSE)),VLOOKUP($P1626,'M1'!$A:$C,Q$2,FALSE)),"SPECIFY METHOD")))</f>
        <v>NOT PRESENT</v>
      </c>
      <c r="R1626" s="4" t="str">
        <f>IF($N1626=1,IF(ISERROR(VLOOKUP($P1626,'M1'!$A:$C,R$2,FALSE)),"NOT PRESENT",VLOOKUP($P1626,'M1'!$A:$C,R$2,FALSE)),IF($N1626=2,IF(ISERROR(VLOOKUP(DATA!$P193,'M2'!$A:$C,R$2,FALSE)),"NOT PRESENT",VLOOKUP(DATA!$P193,'M2'!$A:$C,R$2,FALSE)),IF($N1626=0,IF(ISERROR(VLOOKUP($P1626,'M1'!$A:$C,R$2,FALSE)),IF(ISERROR(VLOOKUP(DATA!$P193,'M2'!$A:$C,R$2,FALSE)),"NOT PRESENT",VLOOKUP(DATA!$P193,'M2'!$A:$C,R$2,FALSE)),VLOOKUP($P1626,'M1'!$A:$C,R$2,FALSE)),"SPECIFY METHOD")))</f>
        <v>NOT PRESENT</v>
      </c>
      <c r="S1626" s="20">
        <f t="shared" si="196"/>
        <v>1</v>
      </c>
      <c r="T1626" s="2">
        <v>1</v>
      </c>
    </row>
    <row r="1627" spans="1:26">
      <c r="A1627" s="7">
        <f>MAX($A$1:$A1626)+1</f>
        <v>1626</v>
      </c>
      <c r="B1627" s="2" t="str">
        <f t="shared" si="193"/>
        <v>Em Lim</v>
      </c>
      <c r="C1627" s="2" t="str">
        <f t="shared" si="194"/>
        <v>Isabelle Côté</v>
      </c>
      <c r="D1627" s="2" t="str">
        <f t="shared" si="197"/>
        <v>BMSC9</v>
      </c>
      <c r="E1627" s="7" t="str">
        <f>IF(ISERROR(VLOOKUP($D1627,SITES!$A:$E,2,FALSE)),"",VLOOKUP($D1627,SITES!$A:$E,2,FALSE))</f>
        <v>Eagle Bay</v>
      </c>
      <c r="F1627" s="4">
        <f>IF(ISERROR(VLOOKUP($D1627,SITES!$A:$E,3,FALSE)),"",VLOOKUP($D1627,SITES!$A:$E,3,FALSE))</f>
        <v>48.834789276122997</v>
      </c>
      <c r="G1627" s="18">
        <f>IF(ISERROR(VLOOKUP($D1627,SITES!$A:$E,4,FALSE)),"",VLOOKUP($D1627,SITES!$A:$E,4,FALSE))</f>
        <v>-125.14702606201099</v>
      </c>
      <c r="H1627" s="5" t="str">
        <f t="shared" si="199"/>
        <v>11/05/2023</v>
      </c>
      <c r="I1627" s="2">
        <f t="shared" si="200"/>
        <v>2</v>
      </c>
      <c r="J1627" s="2">
        <f t="shared" si="201"/>
        <v>220</v>
      </c>
      <c r="K1627" s="52">
        <f t="shared" si="202"/>
        <v>0.41666666666666669</v>
      </c>
      <c r="L1627" s="2" t="str">
        <f t="shared" si="203"/>
        <v>EGL</v>
      </c>
      <c r="M1627" s="2">
        <f t="shared" si="204"/>
        <v>6</v>
      </c>
      <c r="N1627" s="2">
        <f t="shared" si="205"/>
        <v>2</v>
      </c>
      <c r="O1627" s="2">
        <f t="shared" si="195"/>
        <v>2</v>
      </c>
      <c r="P1627" s="27" t="s">
        <v>185</v>
      </c>
      <c r="Q1627" s="7" t="str">
        <f>IF($N1627=1,IF(ISERROR(VLOOKUP($P1627,'M1'!$A:$C,Q$2,FALSE)),"NOT PRESENT",VLOOKUP($P1627,'M1'!$A:$C,Q$2,FALSE)),IF($N1627=2,IF(ISERROR(VLOOKUP(DATA!$P194,'M2'!$A:$C,Q$2,FALSE)),"NOT PRESENT",VLOOKUP(DATA!$P194,'M2'!$A:$C,Q$2,FALSE)),IF($N1627=0,IF(ISERROR(VLOOKUP($P1627,'M1'!$A:$C,Q$2,FALSE)),IF(ISERROR(VLOOKUP(DATA!$P194,'M2'!$A:$C,Q$2,FALSE)),"NOT PRESENT",VLOOKUP(DATA!$P194,'M2'!$A:$C,Q$2,FALSE)),VLOOKUP($P1627,'M1'!$A:$C,Q$2,FALSE)),"SPECIFY METHOD")))</f>
        <v>NOT PRESENT</v>
      </c>
      <c r="R1627" s="4" t="str">
        <f>IF($N1627=1,IF(ISERROR(VLOOKUP($P1627,'M1'!$A:$C,R$2,FALSE)),"NOT PRESENT",VLOOKUP($P1627,'M1'!$A:$C,R$2,FALSE)),IF($N1627=2,IF(ISERROR(VLOOKUP(DATA!$P194,'M2'!$A:$C,R$2,FALSE)),"NOT PRESENT",VLOOKUP(DATA!$P194,'M2'!$A:$C,R$2,FALSE)),IF($N1627=0,IF(ISERROR(VLOOKUP($P1627,'M1'!$A:$C,R$2,FALSE)),IF(ISERROR(VLOOKUP(DATA!$P194,'M2'!$A:$C,R$2,FALSE)),"NOT PRESENT",VLOOKUP(DATA!$P194,'M2'!$A:$C,R$2,FALSE)),VLOOKUP($P1627,'M1'!$A:$C,R$2,FALSE)),"SPECIFY METHOD")))</f>
        <v>NOT PRESENT</v>
      </c>
      <c r="S1627" s="20">
        <f t="shared" si="196"/>
        <v>3</v>
      </c>
      <c r="T1627" s="2">
        <v>3</v>
      </c>
    </row>
    <row r="1628" spans="1:26">
      <c r="A1628" s="7">
        <f>MAX($A$1:$A1627)+1</f>
        <v>1627</v>
      </c>
      <c r="B1628" s="2" t="str">
        <f t="shared" si="193"/>
        <v>Em Lim</v>
      </c>
      <c r="C1628" s="2" t="str">
        <f t="shared" si="194"/>
        <v>Isabelle Côté</v>
      </c>
      <c r="D1628" s="2" t="str">
        <f t="shared" si="197"/>
        <v>BMSC9</v>
      </c>
      <c r="E1628" s="7" t="str">
        <f>IF(ISERROR(VLOOKUP($D1628,SITES!$A:$E,2,FALSE)),"",VLOOKUP($D1628,SITES!$A:$E,2,FALSE))</f>
        <v>Eagle Bay</v>
      </c>
      <c r="F1628" s="4">
        <f>IF(ISERROR(VLOOKUP($D1628,SITES!$A:$E,3,FALSE)),"",VLOOKUP($D1628,SITES!$A:$E,3,FALSE))</f>
        <v>48.834789276122997</v>
      </c>
      <c r="G1628" s="18">
        <f>IF(ISERROR(VLOOKUP($D1628,SITES!$A:$E,4,FALSE)),"",VLOOKUP($D1628,SITES!$A:$E,4,FALSE))</f>
        <v>-125.14702606201099</v>
      </c>
      <c r="H1628" s="5" t="str">
        <f t="shared" si="199"/>
        <v>11/05/2023</v>
      </c>
      <c r="I1628" s="2">
        <f t="shared" si="200"/>
        <v>2</v>
      </c>
      <c r="J1628" s="2">
        <f t="shared" si="201"/>
        <v>220</v>
      </c>
      <c r="K1628" s="52">
        <f t="shared" si="202"/>
        <v>0.41666666666666669</v>
      </c>
      <c r="L1628" s="2" t="str">
        <f t="shared" si="203"/>
        <v>EGL</v>
      </c>
      <c r="M1628" s="2">
        <f t="shared" si="204"/>
        <v>6</v>
      </c>
      <c r="N1628" s="2">
        <f t="shared" si="205"/>
        <v>2</v>
      </c>
      <c r="O1628" s="2">
        <f t="shared" si="195"/>
        <v>2</v>
      </c>
      <c r="P1628" s="27" t="s">
        <v>253</v>
      </c>
      <c r="Q1628" s="7" t="str">
        <f>IF($N1628=1,IF(ISERROR(VLOOKUP($P1628,'M1'!$A:$C,Q$2,FALSE)),"NOT PRESENT",VLOOKUP($P1628,'M1'!$A:$C,Q$2,FALSE)),IF($N1628=2,IF(ISERROR(VLOOKUP(DATA!$P195,'M2'!$A:$C,Q$2,FALSE)),"NOT PRESENT",VLOOKUP(DATA!$P195,'M2'!$A:$C,Q$2,FALSE)),IF($N1628=0,IF(ISERROR(VLOOKUP($P1628,'M1'!$A:$C,Q$2,FALSE)),IF(ISERROR(VLOOKUP(DATA!$P195,'M2'!$A:$C,Q$2,FALSE)),"NOT PRESENT",VLOOKUP(DATA!$P195,'M2'!$A:$C,Q$2,FALSE)),VLOOKUP($P1628,'M1'!$A:$C,Q$2,FALSE)),"SPECIFY METHOD")))</f>
        <v>NOT PRESENT</v>
      </c>
      <c r="R1628" s="4" t="str">
        <f>IF($N1628=1,IF(ISERROR(VLOOKUP($P1628,'M1'!$A:$C,R$2,FALSE)),"NOT PRESENT",VLOOKUP($P1628,'M1'!$A:$C,R$2,FALSE)),IF($N1628=2,IF(ISERROR(VLOOKUP(DATA!$P195,'M2'!$A:$C,R$2,FALSE)),"NOT PRESENT",VLOOKUP(DATA!$P195,'M2'!$A:$C,R$2,FALSE)),IF($N1628=0,IF(ISERROR(VLOOKUP($P1628,'M1'!$A:$C,R$2,FALSE)),IF(ISERROR(VLOOKUP(DATA!$P195,'M2'!$A:$C,R$2,FALSE)),"NOT PRESENT",VLOOKUP(DATA!$P195,'M2'!$A:$C,R$2,FALSE)),VLOOKUP($P1628,'M1'!$A:$C,R$2,FALSE)),"SPECIFY METHOD")))</f>
        <v>NOT PRESENT</v>
      </c>
      <c r="S1628" s="20">
        <f t="shared" si="196"/>
        <v>1</v>
      </c>
      <c r="T1628" s="2">
        <v>1</v>
      </c>
    </row>
    <row r="1629" spans="1:26">
      <c r="A1629" s="7">
        <f>MAX($A$1:$A1628)+1</f>
        <v>1628</v>
      </c>
      <c r="B1629" s="2" t="str">
        <f t="shared" si="193"/>
        <v>Em Lim</v>
      </c>
      <c r="C1629" s="2" t="str">
        <f t="shared" si="194"/>
        <v>Isabelle Côté</v>
      </c>
      <c r="D1629" s="2" t="str">
        <f t="shared" si="197"/>
        <v>BMSC9</v>
      </c>
      <c r="E1629" s="7" t="str">
        <f>IF(ISERROR(VLOOKUP($D1629,SITES!$A:$E,2,FALSE)),"",VLOOKUP($D1629,SITES!$A:$E,2,FALSE))</f>
        <v>Eagle Bay</v>
      </c>
      <c r="F1629" s="4">
        <f>IF(ISERROR(VLOOKUP($D1629,SITES!$A:$E,3,FALSE)),"",VLOOKUP($D1629,SITES!$A:$E,3,FALSE))</f>
        <v>48.834789276122997</v>
      </c>
      <c r="G1629" s="18">
        <f>IF(ISERROR(VLOOKUP($D1629,SITES!$A:$E,4,FALSE)),"",VLOOKUP($D1629,SITES!$A:$E,4,FALSE))</f>
        <v>-125.14702606201099</v>
      </c>
      <c r="H1629" s="5" t="str">
        <f t="shared" si="199"/>
        <v>11/05/2023</v>
      </c>
      <c r="I1629" s="2">
        <f t="shared" si="200"/>
        <v>2</v>
      </c>
      <c r="J1629" s="2">
        <f t="shared" si="201"/>
        <v>220</v>
      </c>
      <c r="K1629" s="52">
        <f t="shared" si="202"/>
        <v>0.41666666666666669</v>
      </c>
      <c r="L1629" s="2" t="str">
        <f t="shared" si="203"/>
        <v>EGL</v>
      </c>
      <c r="M1629" s="2">
        <f t="shared" si="204"/>
        <v>6</v>
      </c>
      <c r="N1629" s="2">
        <f t="shared" si="205"/>
        <v>2</v>
      </c>
      <c r="O1629" s="2">
        <f t="shared" si="195"/>
        <v>2</v>
      </c>
      <c r="P1629" s="27" t="s">
        <v>254</v>
      </c>
      <c r="Q1629" s="7" t="str">
        <f>IF($N1629=1,IF(ISERROR(VLOOKUP($P1629,'M1'!$A:$C,Q$2,FALSE)),"NOT PRESENT",VLOOKUP($P1629,'M1'!$A:$C,Q$2,FALSE)),IF($N1629=2,IF(ISERROR(VLOOKUP(DATA!$P196,'M2'!$A:$C,Q$2,FALSE)),"NOT PRESENT",VLOOKUP(DATA!$P196,'M2'!$A:$C,Q$2,FALSE)),IF($N1629=0,IF(ISERROR(VLOOKUP($P1629,'M1'!$A:$C,Q$2,FALSE)),IF(ISERROR(VLOOKUP(DATA!$P196,'M2'!$A:$C,Q$2,FALSE)),"NOT PRESENT",VLOOKUP(DATA!$P196,'M2'!$A:$C,Q$2,FALSE)),VLOOKUP($P1629,'M1'!$A:$C,Q$2,FALSE)),"SPECIFY METHOD")))</f>
        <v>NOT PRESENT</v>
      </c>
      <c r="R1629" s="4" t="str">
        <f>IF($N1629=1,IF(ISERROR(VLOOKUP($P1629,'M1'!$A:$C,R$2,FALSE)),"NOT PRESENT",VLOOKUP($P1629,'M1'!$A:$C,R$2,FALSE)),IF($N1629=2,IF(ISERROR(VLOOKUP(DATA!$P196,'M2'!$A:$C,R$2,FALSE)),"NOT PRESENT",VLOOKUP(DATA!$P196,'M2'!$A:$C,R$2,FALSE)),IF($N1629=0,IF(ISERROR(VLOOKUP($P1629,'M1'!$A:$C,R$2,FALSE)),IF(ISERROR(VLOOKUP(DATA!$P196,'M2'!$A:$C,R$2,FALSE)),"NOT PRESENT",VLOOKUP(DATA!$P196,'M2'!$A:$C,R$2,FALSE)),VLOOKUP($P1629,'M1'!$A:$C,R$2,FALSE)),"SPECIFY METHOD")))</f>
        <v>NOT PRESENT</v>
      </c>
      <c r="S1629" s="20">
        <f t="shared" si="196"/>
        <v>1</v>
      </c>
      <c r="T1629" s="2">
        <v>0</v>
      </c>
      <c r="X1629" s="2">
        <v>1</v>
      </c>
    </row>
    <row r="1630" spans="1:26">
      <c r="A1630" s="7">
        <f>MAX($A$1:$A1629)+1</f>
        <v>1629</v>
      </c>
      <c r="B1630" s="2" t="str">
        <f t="shared" si="193"/>
        <v>Em Lim</v>
      </c>
      <c r="C1630" s="2" t="str">
        <f t="shared" si="194"/>
        <v>Isabelle Côté</v>
      </c>
      <c r="D1630" s="2" t="str">
        <f t="shared" si="197"/>
        <v>BMSC9</v>
      </c>
      <c r="E1630" s="7" t="str">
        <f>IF(ISERROR(VLOOKUP($D1630,SITES!$A:$E,2,FALSE)),"",VLOOKUP($D1630,SITES!$A:$E,2,FALSE))</f>
        <v>Eagle Bay</v>
      </c>
      <c r="F1630" s="4">
        <f>IF(ISERROR(VLOOKUP($D1630,SITES!$A:$E,3,FALSE)),"",VLOOKUP($D1630,SITES!$A:$E,3,FALSE))</f>
        <v>48.834789276122997</v>
      </c>
      <c r="G1630" s="18">
        <f>IF(ISERROR(VLOOKUP($D1630,SITES!$A:$E,4,FALSE)),"",VLOOKUP($D1630,SITES!$A:$E,4,FALSE))</f>
        <v>-125.14702606201099</v>
      </c>
      <c r="H1630" s="5" t="str">
        <f t="shared" si="199"/>
        <v>11/05/2023</v>
      </c>
      <c r="I1630" s="2">
        <f t="shared" si="200"/>
        <v>2</v>
      </c>
      <c r="J1630" s="2">
        <f t="shared" si="201"/>
        <v>220</v>
      </c>
      <c r="K1630" s="52">
        <f t="shared" si="202"/>
        <v>0.41666666666666669</v>
      </c>
      <c r="L1630" s="2" t="str">
        <f t="shared" si="203"/>
        <v>EGL</v>
      </c>
      <c r="M1630" s="2">
        <f t="shared" si="204"/>
        <v>6</v>
      </c>
      <c r="N1630" s="2">
        <v>0</v>
      </c>
      <c r="O1630" s="2">
        <f t="shared" si="195"/>
        <v>2</v>
      </c>
      <c r="P1630" s="27" t="s">
        <v>226</v>
      </c>
      <c r="Q1630" s="7" t="str">
        <f>IF($N1630=1,IF(ISERROR(VLOOKUP($P1630,'M1'!$A:$C,Q$2,FALSE)),"NOT PRESENT",VLOOKUP($P1630,'M1'!$A:$C,Q$2,FALSE)),IF($N1630=2,IF(ISERROR(VLOOKUP(DATA!$P197,'M2'!$A:$C,Q$2,FALSE)),"NOT PRESENT",VLOOKUP(DATA!$P197,'M2'!$A:$C,Q$2,FALSE)),IF($N1630=0,IF(ISERROR(VLOOKUP($P1630,'M1'!$A:$C,Q$2,FALSE)),IF(ISERROR(VLOOKUP(DATA!$P197,'M2'!$A:$C,Q$2,FALSE)),"NOT PRESENT",VLOOKUP(DATA!$P197,'M2'!$A:$C,Q$2,FALSE)),VLOOKUP($P1630,'M1'!$A:$C,Q$2,FALSE)),"SPECIFY METHOD")))</f>
        <v>NOT PRESENT</v>
      </c>
      <c r="R1630" s="4" t="str">
        <f>IF($N1630=1,IF(ISERROR(VLOOKUP($P1630,'M1'!$A:$C,R$2,FALSE)),"NOT PRESENT",VLOOKUP($P1630,'M1'!$A:$C,R$2,FALSE)),IF($N1630=2,IF(ISERROR(VLOOKUP(DATA!$P197,'M2'!$A:$C,R$2,FALSE)),"NOT PRESENT",VLOOKUP(DATA!$P197,'M2'!$A:$C,R$2,FALSE)),IF($N1630=0,IF(ISERROR(VLOOKUP($P1630,'M1'!$A:$C,R$2,FALSE)),IF(ISERROR(VLOOKUP(DATA!$P197,'M2'!$A:$C,R$2,FALSE)),"NOT PRESENT",VLOOKUP(DATA!$P197,'M2'!$A:$C,R$2,FALSE)),VLOOKUP($P1630,'M1'!$A:$C,R$2,FALSE)),"SPECIFY METHOD")))</f>
        <v>NOT PRESENT</v>
      </c>
      <c r="S1630" s="20">
        <f t="shared" si="196"/>
        <v>1</v>
      </c>
      <c r="T1630" s="2">
        <v>0</v>
      </c>
      <c r="W1630" s="2">
        <v>1</v>
      </c>
    </row>
    <row r="1631" spans="1:26">
      <c r="A1631" s="7">
        <f>MAX($A$1:$A1630)+1</f>
        <v>1630</v>
      </c>
      <c r="B1631" s="2" t="str">
        <f t="shared" si="193"/>
        <v>Em Lim</v>
      </c>
      <c r="C1631" s="2" t="str">
        <f t="shared" si="194"/>
        <v>Isabelle Côté</v>
      </c>
      <c r="D1631" s="2" t="str">
        <f t="shared" si="197"/>
        <v>BMSC9</v>
      </c>
      <c r="E1631" s="7" t="str">
        <f>IF(ISERROR(VLOOKUP($D1631,SITES!$A:$E,2,FALSE)),"",VLOOKUP($D1631,SITES!$A:$E,2,FALSE))</f>
        <v>Eagle Bay</v>
      </c>
      <c r="F1631" s="4">
        <f>IF(ISERROR(VLOOKUP($D1631,SITES!$A:$E,3,FALSE)),"",VLOOKUP($D1631,SITES!$A:$E,3,FALSE))</f>
        <v>48.834789276122997</v>
      </c>
      <c r="G1631" s="18">
        <f>IF(ISERROR(VLOOKUP($D1631,SITES!$A:$E,4,FALSE)),"",VLOOKUP($D1631,SITES!$A:$E,4,FALSE))</f>
        <v>-125.14702606201099</v>
      </c>
      <c r="H1631" s="5" t="str">
        <f t="shared" si="199"/>
        <v>11/05/2023</v>
      </c>
      <c r="I1631" s="2">
        <f t="shared" si="200"/>
        <v>2</v>
      </c>
      <c r="J1631" s="2">
        <f t="shared" si="201"/>
        <v>220</v>
      </c>
      <c r="K1631" s="52">
        <f t="shared" si="202"/>
        <v>0.41666666666666669</v>
      </c>
      <c r="L1631" s="2" t="str">
        <f t="shared" si="203"/>
        <v>EGL</v>
      </c>
      <c r="M1631" s="2">
        <f t="shared" si="204"/>
        <v>6</v>
      </c>
      <c r="N1631" s="2">
        <v>2</v>
      </c>
      <c r="O1631" s="2">
        <f t="shared" si="195"/>
        <v>2</v>
      </c>
      <c r="P1631" s="27" t="s">
        <v>186</v>
      </c>
      <c r="Q1631" s="7" t="str">
        <f>IF($N1631=1,IF(ISERROR(VLOOKUP($P1631,'M1'!$A:$C,Q$2,FALSE)),"NOT PRESENT",VLOOKUP($P1631,'M1'!$A:$C,Q$2,FALSE)),IF($N1631=2,IF(ISERROR(VLOOKUP(DATA!$P198,'M2'!$A:$C,Q$2,FALSE)),"NOT PRESENT",VLOOKUP(DATA!$P198,'M2'!$A:$C,Q$2,FALSE)),IF($N1631=0,IF(ISERROR(VLOOKUP($P1631,'M1'!$A:$C,Q$2,FALSE)),IF(ISERROR(VLOOKUP(DATA!$P198,'M2'!$A:$C,Q$2,FALSE)),"NOT PRESENT",VLOOKUP(DATA!$P198,'M2'!$A:$C,Q$2,FALSE)),VLOOKUP($P1631,'M1'!$A:$C,Q$2,FALSE)),"SPECIFY METHOD")))</f>
        <v>NOT PRESENT</v>
      </c>
      <c r="R1631" s="4" t="str">
        <f>IF($N1631=1,IF(ISERROR(VLOOKUP($P1631,'M1'!$A:$C,R$2,FALSE)),"NOT PRESENT",VLOOKUP($P1631,'M1'!$A:$C,R$2,FALSE)),IF($N1631=2,IF(ISERROR(VLOOKUP(DATA!$P198,'M2'!$A:$C,R$2,FALSE)),"NOT PRESENT",VLOOKUP(DATA!$P198,'M2'!$A:$C,R$2,FALSE)),IF($N1631=0,IF(ISERROR(VLOOKUP($P1631,'M1'!$A:$C,R$2,FALSE)),IF(ISERROR(VLOOKUP(DATA!$P198,'M2'!$A:$C,R$2,FALSE)),"NOT PRESENT",VLOOKUP(DATA!$P198,'M2'!$A:$C,R$2,FALSE)),VLOOKUP($P1631,'M1'!$A:$C,R$2,FALSE)),"SPECIFY METHOD")))</f>
        <v>NOT PRESENT</v>
      </c>
      <c r="S1631" s="20">
        <f t="shared" si="196"/>
        <v>2</v>
      </c>
      <c r="T1631" s="2">
        <v>2</v>
      </c>
    </row>
    <row r="1632" spans="1:26">
      <c r="A1632" s="7">
        <f>MAX($A$1:$A1631)+1</f>
        <v>1631</v>
      </c>
      <c r="B1632" s="2" t="str">
        <f t="shared" si="193"/>
        <v>Em Lim</v>
      </c>
      <c r="C1632" s="2" t="str">
        <f t="shared" si="194"/>
        <v>Isabelle Côté</v>
      </c>
      <c r="D1632" s="2" t="str">
        <f t="shared" si="197"/>
        <v>BMSC9</v>
      </c>
      <c r="E1632" s="7" t="str">
        <f>IF(ISERROR(VLOOKUP($D1632,SITES!$A:$E,2,FALSE)),"",VLOOKUP($D1632,SITES!$A:$E,2,FALSE))</f>
        <v>Eagle Bay</v>
      </c>
      <c r="F1632" s="4">
        <f>IF(ISERROR(VLOOKUP($D1632,SITES!$A:$E,3,FALSE)),"",VLOOKUP($D1632,SITES!$A:$E,3,FALSE))</f>
        <v>48.834789276122997</v>
      </c>
      <c r="G1632" s="18">
        <f>IF(ISERROR(VLOOKUP($D1632,SITES!$A:$E,4,FALSE)),"",VLOOKUP($D1632,SITES!$A:$E,4,FALSE))</f>
        <v>-125.14702606201099</v>
      </c>
      <c r="H1632" s="5" t="str">
        <f t="shared" si="199"/>
        <v>11/05/2023</v>
      </c>
      <c r="I1632" s="2">
        <f t="shared" si="200"/>
        <v>2</v>
      </c>
      <c r="J1632" s="2">
        <f t="shared" si="201"/>
        <v>220</v>
      </c>
      <c r="K1632" s="52">
        <f t="shared" si="202"/>
        <v>0.41666666666666669</v>
      </c>
      <c r="L1632" s="2" t="str">
        <f t="shared" si="203"/>
        <v>EGL</v>
      </c>
      <c r="M1632" s="2">
        <f t="shared" si="204"/>
        <v>6</v>
      </c>
      <c r="N1632" s="2">
        <f t="shared" ref="N1632:N1638" si="206">IF(ISERROR(N1631),IF(ISERROR(N1630),IF(ISERROR(N1629),"BLANK",N1629),N1630),N1631)</f>
        <v>2</v>
      </c>
      <c r="O1632" s="2">
        <f t="shared" si="195"/>
        <v>2</v>
      </c>
      <c r="P1632" s="27" t="s">
        <v>199</v>
      </c>
      <c r="Q1632" s="7" t="str">
        <f>IF($N1632=1,IF(ISERROR(VLOOKUP($P1632,'M1'!$A:$C,Q$2,FALSE)),"NOT PRESENT",VLOOKUP($P1632,'M1'!$A:$C,Q$2,FALSE)),IF($N1632=2,IF(ISERROR(VLOOKUP(DATA!$P199,'M2'!$A:$C,Q$2,FALSE)),"NOT PRESENT",VLOOKUP(DATA!$P199,'M2'!$A:$C,Q$2,FALSE)),IF($N1632=0,IF(ISERROR(VLOOKUP($P1632,'M1'!$A:$C,Q$2,FALSE)),IF(ISERROR(VLOOKUP(DATA!$P199,'M2'!$A:$C,Q$2,FALSE)),"NOT PRESENT",VLOOKUP(DATA!$P199,'M2'!$A:$C,Q$2,FALSE)),VLOOKUP($P1632,'M1'!$A:$C,Q$2,FALSE)),"SPECIFY METHOD")))</f>
        <v>NOT PRESENT</v>
      </c>
      <c r="R1632" s="4" t="str">
        <f>IF($N1632=1,IF(ISERROR(VLOOKUP($P1632,'M1'!$A:$C,R$2,FALSE)),"NOT PRESENT",VLOOKUP($P1632,'M1'!$A:$C,R$2,FALSE)),IF($N1632=2,IF(ISERROR(VLOOKUP(DATA!$P199,'M2'!$A:$C,R$2,FALSE)),"NOT PRESENT",VLOOKUP(DATA!$P199,'M2'!$A:$C,R$2,FALSE)),IF($N1632=0,IF(ISERROR(VLOOKUP($P1632,'M1'!$A:$C,R$2,FALSE)),IF(ISERROR(VLOOKUP(DATA!$P199,'M2'!$A:$C,R$2,FALSE)),"NOT PRESENT",VLOOKUP(DATA!$P199,'M2'!$A:$C,R$2,FALSE)),VLOOKUP($P1632,'M1'!$A:$C,R$2,FALSE)),"SPECIFY METHOD")))</f>
        <v>NOT PRESENT</v>
      </c>
      <c r="S1632" s="20">
        <f t="shared" si="196"/>
        <v>3</v>
      </c>
      <c r="T1632" s="2">
        <v>3</v>
      </c>
    </row>
    <row r="1633" spans="1:31">
      <c r="A1633" s="7">
        <f>MAX($A$1:$A1632)+1</f>
        <v>1632</v>
      </c>
      <c r="B1633" s="2" t="str">
        <f t="shared" si="193"/>
        <v>Em Lim</v>
      </c>
      <c r="C1633" s="2" t="str">
        <f t="shared" si="194"/>
        <v>Isabelle Côté</v>
      </c>
      <c r="D1633" s="2" t="str">
        <f t="shared" si="197"/>
        <v>BMSC9</v>
      </c>
      <c r="E1633" s="7" t="str">
        <f>IF(ISERROR(VLOOKUP($D1633,SITES!$A:$E,2,FALSE)),"",VLOOKUP($D1633,SITES!$A:$E,2,FALSE))</f>
        <v>Eagle Bay</v>
      </c>
      <c r="F1633" s="4">
        <f>IF(ISERROR(VLOOKUP($D1633,SITES!$A:$E,3,FALSE)),"",VLOOKUP($D1633,SITES!$A:$E,3,FALSE))</f>
        <v>48.834789276122997</v>
      </c>
      <c r="G1633" s="18">
        <f>IF(ISERROR(VLOOKUP($D1633,SITES!$A:$E,4,FALSE)),"",VLOOKUP($D1633,SITES!$A:$E,4,FALSE))</f>
        <v>-125.14702606201099</v>
      </c>
      <c r="H1633" s="5" t="str">
        <f t="shared" si="199"/>
        <v>11/05/2023</v>
      </c>
      <c r="I1633" s="2">
        <f t="shared" si="200"/>
        <v>2</v>
      </c>
      <c r="J1633" s="2">
        <f t="shared" si="201"/>
        <v>220</v>
      </c>
      <c r="K1633" s="52">
        <f t="shared" si="202"/>
        <v>0.41666666666666669</v>
      </c>
      <c r="L1633" s="2" t="str">
        <f t="shared" si="203"/>
        <v>EGL</v>
      </c>
      <c r="M1633" s="2">
        <f t="shared" si="204"/>
        <v>6</v>
      </c>
      <c r="N1633" s="2">
        <f t="shared" si="206"/>
        <v>2</v>
      </c>
      <c r="O1633" s="2">
        <f t="shared" si="195"/>
        <v>2</v>
      </c>
      <c r="P1633" s="27" t="s">
        <v>190</v>
      </c>
      <c r="Q1633" s="7" t="str">
        <f>IF($N1633=1,IF(ISERROR(VLOOKUP($P1633,'M1'!$A:$C,Q$2,FALSE)),"NOT PRESENT",VLOOKUP($P1633,'M1'!$A:$C,Q$2,FALSE)),IF($N1633=2,IF(ISERROR(VLOOKUP(DATA!$P200,'M2'!$A:$C,Q$2,FALSE)),"NOT PRESENT",VLOOKUP(DATA!$P200,'M2'!$A:$C,Q$2,FALSE)),IF($N1633=0,IF(ISERROR(VLOOKUP($P1633,'M1'!$A:$C,Q$2,FALSE)),IF(ISERROR(VLOOKUP(DATA!$P200,'M2'!$A:$C,Q$2,FALSE)),"NOT PRESENT",VLOOKUP(DATA!$P200,'M2'!$A:$C,Q$2,FALSE)),VLOOKUP($P1633,'M1'!$A:$C,Q$2,FALSE)),"SPECIFY METHOD")))</f>
        <v>NOT PRESENT</v>
      </c>
      <c r="R1633" s="4" t="str">
        <f>IF($N1633=1,IF(ISERROR(VLOOKUP($P1633,'M1'!$A:$C,R$2,FALSE)),"NOT PRESENT",VLOOKUP($P1633,'M1'!$A:$C,R$2,FALSE)),IF($N1633=2,IF(ISERROR(VLOOKUP(DATA!$P200,'M2'!$A:$C,R$2,FALSE)),"NOT PRESENT",VLOOKUP(DATA!$P200,'M2'!$A:$C,R$2,FALSE)),IF($N1633=0,IF(ISERROR(VLOOKUP($P1633,'M1'!$A:$C,R$2,FALSE)),IF(ISERROR(VLOOKUP(DATA!$P200,'M2'!$A:$C,R$2,FALSE)),"NOT PRESENT",VLOOKUP(DATA!$P200,'M2'!$A:$C,R$2,FALSE)),VLOOKUP($P1633,'M1'!$A:$C,R$2,FALSE)),"SPECIFY METHOD")))</f>
        <v>NOT PRESENT</v>
      </c>
      <c r="S1633" s="20">
        <f t="shared" si="196"/>
        <v>1</v>
      </c>
      <c r="T1633" s="2">
        <v>1</v>
      </c>
    </row>
    <row r="1634" spans="1:31">
      <c r="A1634" s="7">
        <f>MAX($A$1:$A1633)+1</f>
        <v>1633</v>
      </c>
      <c r="B1634" s="2" t="str">
        <f t="shared" si="193"/>
        <v>Em Lim</v>
      </c>
      <c r="C1634" s="2" t="str">
        <f t="shared" si="194"/>
        <v>Isabelle Côté</v>
      </c>
      <c r="D1634" s="2" t="str">
        <f t="shared" si="197"/>
        <v>BMSC9</v>
      </c>
      <c r="E1634" s="7" t="str">
        <f>IF(ISERROR(VLOOKUP($D1634,SITES!$A:$E,2,FALSE)),"",VLOOKUP($D1634,SITES!$A:$E,2,FALSE))</f>
        <v>Eagle Bay</v>
      </c>
      <c r="F1634" s="4">
        <f>IF(ISERROR(VLOOKUP($D1634,SITES!$A:$E,3,FALSE)),"",VLOOKUP($D1634,SITES!$A:$E,3,FALSE))</f>
        <v>48.834789276122997</v>
      </c>
      <c r="G1634" s="18">
        <f>IF(ISERROR(VLOOKUP($D1634,SITES!$A:$E,4,FALSE)),"",VLOOKUP($D1634,SITES!$A:$E,4,FALSE))</f>
        <v>-125.14702606201099</v>
      </c>
      <c r="H1634" s="5" t="str">
        <f t="shared" si="199"/>
        <v>11/05/2023</v>
      </c>
      <c r="I1634" s="2">
        <f t="shared" si="200"/>
        <v>2</v>
      </c>
      <c r="J1634" s="2">
        <f t="shared" si="201"/>
        <v>220</v>
      </c>
      <c r="K1634" s="52">
        <f t="shared" si="202"/>
        <v>0.41666666666666669</v>
      </c>
      <c r="L1634" s="2" t="str">
        <f t="shared" si="203"/>
        <v>EGL</v>
      </c>
      <c r="M1634" s="2">
        <f t="shared" si="204"/>
        <v>6</v>
      </c>
      <c r="N1634" s="2">
        <f t="shared" si="206"/>
        <v>2</v>
      </c>
      <c r="O1634" s="2">
        <f t="shared" si="195"/>
        <v>2</v>
      </c>
      <c r="P1634" s="27" t="s">
        <v>203</v>
      </c>
      <c r="Q1634" s="7" t="str">
        <f>IF($N1634=1,IF(ISERROR(VLOOKUP($P1634,'M1'!$A:$C,Q$2,FALSE)),"NOT PRESENT",VLOOKUP($P1634,'M1'!$A:$C,Q$2,FALSE)),IF($N1634=2,IF(ISERROR(VLOOKUP(DATA!$P201,'M2'!$A:$C,Q$2,FALSE)),"NOT PRESENT",VLOOKUP(DATA!$P201,'M2'!$A:$C,Q$2,FALSE)),IF($N1634=0,IF(ISERROR(VLOOKUP($P1634,'M1'!$A:$C,Q$2,FALSE)),IF(ISERROR(VLOOKUP(DATA!$P201,'M2'!$A:$C,Q$2,FALSE)),"NOT PRESENT",VLOOKUP(DATA!$P201,'M2'!$A:$C,Q$2,FALSE)),VLOOKUP($P1634,'M1'!$A:$C,Q$2,FALSE)),"SPECIFY METHOD")))</f>
        <v>NOT PRESENT</v>
      </c>
      <c r="R1634" s="4" t="str">
        <f>IF($N1634=1,IF(ISERROR(VLOOKUP($P1634,'M1'!$A:$C,R$2,FALSE)),"NOT PRESENT",VLOOKUP($P1634,'M1'!$A:$C,R$2,FALSE)),IF($N1634=2,IF(ISERROR(VLOOKUP(DATA!$P201,'M2'!$A:$C,R$2,FALSE)),"NOT PRESENT",VLOOKUP(DATA!$P201,'M2'!$A:$C,R$2,FALSE)),IF($N1634=0,IF(ISERROR(VLOOKUP($P1634,'M1'!$A:$C,R$2,FALSE)),IF(ISERROR(VLOOKUP(DATA!$P201,'M2'!$A:$C,R$2,FALSE)),"NOT PRESENT",VLOOKUP(DATA!$P201,'M2'!$A:$C,R$2,FALSE)),VLOOKUP($P1634,'M1'!$A:$C,R$2,FALSE)),"SPECIFY METHOD")))</f>
        <v>NOT PRESENT</v>
      </c>
      <c r="S1634" s="20">
        <f t="shared" si="196"/>
        <v>1</v>
      </c>
      <c r="T1634" s="2">
        <v>1</v>
      </c>
    </row>
    <row r="1635" spans="1:31">
      <c r="A1635" s="7">
        <f>MAX($A$1:$A1634)+1</f>
        <v>1634</v>
      </c>
      <c r="B1635" s="2" t="str">
        <f t="shared" si="193"/>
        <v>Em Lim</v>
      </c>
      <c r="C1635" s="2" t="str">
        <f t="shared" si="194"/>
        <v>Isabelle Côté</v>
      </c>
      <c r="D1635" s="2" t="str">
        <f t="shared" si="197"/>
        <v>BMSC9</v>
      </c>
      <c r="E1635" s="7" t="str">
        <f>IF(ISERROR(VLOOKUP($D1635,SITES!$A:$E,2,FALSE)),"",VLOOKUP($D1635,SITES!$A:$E,2,FALSE))</f>
        <v>Eagle Bay</v>
      </c>
      <c r="F1635" s="4">
        <f>IF(ISERROR(VLOOKUP($D1635,SITES!$A:$E,3,FALSE)),"",VLOOKUP($D1635,SITES!$A:$E,3,FALSE))</f>
        <v>48.834789276122997</v>
      </c>
      <c r="G1635" s="18">
        <f>IF(ISERROR(VLOOKUP($D1635,SITES!$A:$E,4,FALSE)),"",VLOOKUP($D1635,SITES!$A:$E,4,FALSE))</f>
        <v>-125.14702606201099</v>
      </c>
      <c r="H1635" s="5" t="str">
        <f t="shared" si="199"/>
        <v>11/05/2023</v>
      </c>
      <c r="I1635" s="2">
        <f t="shared" si="200"/>
        <v>2</v>
      </c>
      <c r="J1635" s="2">
        <f t="shared" si="201"/>
        <v>220</v>
      </c>
      <c r="K1635" s="52">
        <f t="shared" si="202"/>
        <v>0.41666666666666669</v>
      </c>
      <c r="L1635" s="2" t="str">
        <f t="shared" si="203"/>
        <v>EGL</v>
      </c>
      <c r="M1635" s="2">
        <f t="shared" si="204"/>
        <v>6</v>
      </c>
      <c r="N1635" s="2">
        <f t="shared" si="206"/>
        <v>2</v>
      </c>
      <c r="O1635" s="2">
        <f t="shared" si="195"/>
        <v>2</v>
      </c>
      <c r="P1635" s="27" t="s">
        <v>255</v>
      </c>
      <c r="Q1635" s="7" t="str">
        <f>IF($N1635=1,IF(ISERROR(VLOOKUP($P1635,'M1'!$A:$C,Q$2,FALSE)),"NOT PRESENT",VLOOKUP($P1635,'M1'!$A:$C,Q$2,FALSE)),IF($N1635=2,IF(ISERROR(VLOOKUP(DATA!$P202,'M2'!$A:$C,Q$2,FALSE)),"NOT PRESENT",VLOOKUP(DATA!$P202,'M2'!$A:$C,Q$2,FALSE)),IF($N1635=0,IF(ISERROR(VLOOKUP($P1635,'M1'!$A:$C,Q$2,FALSE)),IF(ISERROR(VLOOKUP(DATA!$P202,'M2'!$A:$C,Q$2,FALSE)),"NOT PRESENT",VLOOKUP(DATA!$P202,'M2'!$A:$C,Q$2,FALSE)),VLOOKUP($P1635,'M1'!$A:$C,Q$2,FALSE)),"SPECIFY METHOD")))</f>
        <v>NOT PRESENT</v>
      </c>
      <c r="R1635" s="4" t="str">
        <f>IF($N1635=1,IF(ISERROR(VLOOKUP($P1635,'M1'!$A:$C,R$2,FALSE)),"NOT PRESENT",VLOOKUP($P1635,'M1'!$A:$C,R$2,FALSE)),IF($N1635=2,IF(ISERROR(VLOOKUP(DATA!$P202,'M2'!$A:$C,R$2,FALSE)),"NOT PRESENT",VLOOKUP(DATA!$P202,'M2'!$A:$C,R$2,FALSE)),IF($N1635=0,IF(ISERROR(VLOOKUP($P1635,'M1'!$A:$C,R$2,FALSE)),IF(ISERROR(VLOOKUP(DATA!$P202,'M2'!$A:$C,R$2,FALSE)),"NOT PRESENT",VLOOKUP(DATA!$P202,'M2'!$A:$C,R$2,FALSE)),VLOOKUP($P1635,'M1'!$A:$C,R$2,FALSE)),"SPECIFY METHOD")))</f>
        <v>NOT PRESENT</v>
      </c>
      <c r="S1635" s="20">
        <f t="shared" si="196"/>
        <v>1</v>
      </c>
      <c r="T1635" s="2">
        <v>1</v>
      </c>
    </row>
    <row r="1636" spans="1:31">
      <c r="A1636" s="7">
        <f>MAX($A$1:$A1635)+1</f>
        <v>1635</v>
      </c>
      <c r="B1636" s="2" t="str">
        <f t="shared" si="193"/>
        <v>Em Lim</v>
      </c>
      <c r="C1636" s="2" t="str">
        <f t="shared" si="194"/>
        <v>Isabelle Côté</v>
      </c>
      <c r="D1636" s="2" t="str">
        <f t="shared" si="197"/>
        <v>BMSC9</v>
      </c>
      <c r="E1636" s="7" t="str">
        <f>IF(ISERROR(VLOOKUP($D1636,SITES!$A:$E,2,FALSE)),"",VLOOKUP($D1636,SITES!$A:$E,2,FALSE))</f>
        <v>Eagle Bay</v>
      </c>
      <c r="F1636" s="4">
        <f>IF(ISERROR(VLOOKUP($D1636,SITES!$A:$E,3,FALSE)),"",VLOOKUP($D1636,SITES!$A:$E,3,FALSE))</f>
        <v>48.834789276122997</v>
      </c>
      <c r="G1636" s="18">
        <f>IF(ISERROR(VLOOKUP($D1636,SITES!$A:$E,4,FALSE)),"",VLOOKUP($D1636,SITES!$A:$E,4,FALSE))</f>
        <v>-125.14702606201099</v>
      </c>
      <c r="H1636" s="5" t="str">
        <f t="shared" si="199"/>
        <v>11/05/2023</v>
      </c>
      <c r="I1636" s="2">
        <f t="shared" si="200"/>
        <v>2</v>
      </c>
      <c r="J1636" s="2">
        <f t="shared" si="201"/>
        <v>220</v>
      </c>
      <c r="K1636" s="52">
        <f t="shared" si="202"/>
        <v>0.41666666666666669</v>
      </c>
      <c r="L1636" s="2" t="str">
        <f t="shared" si="203"/>
        <v>EGL</v>
      </c>
      <c r="M1636" s="2">
        <f t="shared" si="204"/>
        <v>6</v>
      </c>
      <c r="N1636" s="2">
        <f t="shared" si="206"/>
        <v>2</v>
      </c>
      <c r="O1636" s="2">
        <f t="shared" si="195"/>
        <v>2</v>
      </c>
      <c r="P1636" s="27" t="s">
        <v>219</v>
      </c>
      <c r="Q1636" s="7" t="str">
        <f>IF($N1636=1,IF(ISERROR(VLOOKUP($P1636,'M1'!$A:$C,Q$2,FALSE)),"NOT PRESENT",VLOOKUP($P1636,'M1'!$A:$C,Q$2,FALSE)),IF($N1636=2,IF(ISERROR(VLOOKUP(DATA!$P203,'M2'!$A:$C,Q$2,FALSE)),"NOT PRESENT",VLOOKUP(DATA!$P203,'M2'!$A:$C,Q$2,FALSE)),IF($N1636=0,IF(ISERROR(VLOOKUP($P1636,'M1'!$A:$C,Q$2,FALSE)),IF(ISERROR(VLOOKUP(DATA!$P203,'M2'!$A:$C,Q$2,FALSE)),"NOT PRESENT",VLOOKUP(DATA!$P203,'M2'!$A:$C,Q$2,FALSE)),VLOOKUP($P1636,'M1'!$A:$C,Q$2,FALSE)),"SPECIFY METHOD")))</f>
        <v>NOT PRESENT</v>
      </c>
      <c r="R1636" s="4" t="str">
        <f>IF($N1636=1,IF(ISERROR(VLOOKUP($P1636,'M1'!$A:$C,R$2,FALSE)),"NOT PRESENT",VLOOKUP($P1636,'M1'!$A:$C,R$2,FALSE)),IF($N1636=2,IF(ISERROR(VLOOKUP(DATA!$P203,'M2'!$A:$C,R$2,FALSE)),"NOT PRESENT",VLOOKUP(DATA!$P203,'M2'!$A:$C,R$2,FALSE)),IF($N1636=0,IF(ISERROR(VLOOKUP($P1636,'M1'!$A:$C,R$2,FALSE)),IF(ISERROR(VLOOKUP(DATA!$P203,'M2'!$A:$C,R$2,FALSE)),"NOT PRESENT",VLOOKUP(DATA!$P203,'M2'!$A:$C,R$2,FALSE)),VLOOKUP($P1636,'M1'!$A:$C,R$2,FALSE)),"SPECIFY METHOD")))</f>
        <v>NOT PRESENT</v>
      </c>
      <c r="S1636" s="20">
        <f t="shared" si="196"/>
        <v>1</v>
      </c>
      <c r="T1636" s="2">
        <v>1</v>
      </c>
    </row>
    <row r="1637" spans="1:31">
      <c r="A1637" s="7">
        <f>MAX($A$1:$A1636)+1</f>
        <v>1636</v>
      </c>
      <c r="B1637" s="2" t="str">
        <f t="shared" si="193"/>
        <v>Em Lim</v>
      </c>
      <c r="C1637" s="2" t="str">
        <f t="shared" si="194"/>
        <v>Isabelle Côté</v>
      </c>
      <c r="D1637" s="2" t="str">
        <f t="shared" si="197"/>
        <v>BMSC9</v>
      </c>
      <c r="E1637" s="7" t="str">
        <f>IF(ISERROR(VLOOKUP($D1637,SITES!$A:$E,2,FALSE)),"",VLOOKUP($D1637,SITES!$A:$E,2,FALSE))</f>
        <v>Eagle Bay</v>
      </c>
      <c r="F1637" s="4">
        <f>IF(ISERROR(VLOOKUP($D1637,SITES!$A:$E,3,FALSE)),"",VLOOKUP($D1637,SITES!$A:$E,3,FALSE))</f>
        <v>48.834789276122997</v>
      </c>
      <c r="G1637" s="18">
        <f>IF(ISERROR(VLOOKUP($D1637,SITES!$A:$E,4,FALSE)),"",VLOOKUP($D1637,SITES!$A:$E,4,FALSE))</f>
        <v>-125.14702606201099</v>
      </c>
      <c r="H1637" s="5" t="str">
        <f t="shared" si="199"/>
        <v>11/05/2023</v>
      </c>
      <c r="I1637" s="2">
        <f t="shared" si="200"/>
        <v>2</v>
      </c>
      <c r="J1637" s="2">
        <f t="shared" si="201"/>
        <v>220</v>
      </c>
      <c r="K1637" s="52">
        <f t="shared" si="202"/>
        <v>0.41666666666666669</v>
      </c>
      <c r="L1637" s="2" t="str">
        <f t="shared" si="203"/>
        <v>EGL</v>
      </c>
      <c r="M1637" s="2">
        <f t="shared" si="204"/>
        <v>6</v>
      </c>
      <c r="N1637" s="2">
        <f t="shared" si="206"/>
        <v>2</v>
      </c>
      <c r="O1637" s="2">
        <f t="shared" si="195"/>
        <v>2</v>
      </c>
      <c r="P1637" s="27" t="s">
        <v>256</v>
      </c>
      <c r="Q1637" s="7" t="str">
        <f>IF($N1637=1,IF(ISERROR(VLOOKUP($P1637,'M1'!$A:$C,Q$2,FALSE)),"NOT PRESENT",VLOOKUP($P1637,'M1'!$A:$C,Q$2,FALSE)),IF($N1637=2,IF(ISERROR(VLOOKUP(DATA!$P204,'M2'!$A:$C,Q$2,FALSE)),"NOT PRESENT",VLOOKUP(DATA!$P204,'M2'!$A:$C,Q$2,FALSE)),IF($N1637=0,IF(ISERROR(VLOOKUP($P1637,'M1'!$A:$C,Q$2,FALSE)),IF(ISERROR(VLOOKUP(DATA!$P204,'M2'!$A:$C,Q$2,FALSE)),"NOT PRESENT",VLOOKUP(DATA!$P204,'M2'!$A:$C,Q$2,FALSE)),VLOOKUP($P1637,'M1'!$A:$C,Q$2,FALSE)),"SPECIFY METHOD")))</f>
        <v>NOT PRESENT</v>
      </c>
      <c r="R1637" s="4" t="str">
        <f>IF($N1637=1,IF(ISERROR(VLOOKUP($P1637,'M1'!$A:$C,R$2,FALSE)),"NOT PRESENT",VLOOKUP($P1637,'M1'!$A:$C,R$2,FALSE)),IF($N1637=2,IF(ISERROR(VLOOKUP(DATA!$P204,'M2'!$A:$C,R$2,FALSE)),"NOT PRESENT",VLOOKUP(DATA!$P204,'M2'!$A:$C,R$2,FALSE)),IF($N1637=0,IF(ISERROR(VLOOKUP($P1637,'M1'!$A:$C,R$2,FALSE)),IF(ISERROR(VLOOKUP(DATA!$P204,'M2'!$A:$C,R$2,FALSE)),"NOT PRESENT",VLOOKUP(DATA!$P204,'M2'!$A:$C,R$2,FALSE)),VLOOKUP($P1637,'M1'!$A:$C,R$2,FALSE)),"SPECIFY METHOD")))</f>
        <v>NOT PRESENT</v>
      </c>
      <c r="S1637" s="20">
        <f t="shared" si="196"/>
        <v>1</v>
      </c>
      <c r="T1637" s="2">
        <v>1</v>
      </c>
    </row>
    <row r="1638" spans="1:31">
      <c r="A1638" s="7">
        <f>MAX($A$1:$A1637)+1</f>
        <v>1637</v>
      </c>
      <c r="B1638" s="2" t="str">
        <f t="shared" si="193"/>
        <v>Em Lim</v>
      </c>
      <c r="C1638" s="2" t="str">
        <f t="shared" si="194"/>
        <v>Isabelle Côté</v>
      </c>
      <c r="D1638" s="2" t="str">
        <f t="shared" si="197"/>
        <v>BMSC9</v>
      </c>
      <c r="E1638" s="7" t="str">
        <f>IF(ISERROR(VLOOKUP($D1638,SITES!$A:$E,2,FALSE)),"",VLOOKUP($D1638,SITES!$A:$E,2,FALSE))</f>
        <v>Eagle Bay</v>
      </c>
      <c r="F1638" s="4">
        <f>IF(ISERROR(VLOOKUP($D1638,SITES!$A:$E,3,FALSE)),"",VLOOKUP($D1638,SITES!$A:$E,3,FALSE))</f>
        <v>48.834789276122997</v>
      </c>
      <c r="G1638" s="18">
        <f>IF(ISERROR(VLOOKUP($D1638,SITES!$A:$E,4,FALSE)),"",VLOOKUP($D1638,SITES!$A:$E,4,FALSE))</f>
        <v>-125.14702606201099</v>
      </c>
      <c r="H1638" s="5" t="str">
        <f t="shared" si="199"/>
        <v>11/05/2023</v>
      </c>
      <c r="I1638" s="2">
        <f t="shared" si="200"/>
        <v>2</v>
      </c>
      <c r="J1638" s="2">
        <f t="shared" si="201"/>
        <v>220</v>
      </c>
      <c r="K1638" s="52">
        <f t="shared" si="202"/>
        <v>0.41666666666666669</v>
      </c>
      <c r="L1638" s="2" t="str">
        <f t="shared" si="203"/>
        <v>EGL</v>
      </c>
      <c r="M1638" s="2">
        <f t="shared" si="204"/>
        <v>6</v>
      </c>
      <c r="N1638" s="2">
        <f t="shared" si="206"/>
        <v>2</v>
      </c>
      <c r="O1638" s="2">
        <f t="shared" si="195"/>
        <v>2</v>
      </c>
      <c r="P1638" s="27" t="s">
        <v>257</v>
      </c>
      <c r="Q1638" s="7" t="str">
        <f>IF($N1638=1,IF(ISERROR(VLOOKUP($P1638,'M1'!$A:$C,Q$2,FALSE)),"NOT PRESENT",VLOOKUP($P1638,'M1'!$A:$C,Q$2,FALSE)),IF($N1638=2,IF(ISERROR(VLOOKUP(DATA!$P205,'M2'!$A:$C,Q$2,FALSE)),"NOT PRESENT",VLOOKUP(DATA!$P205,'M2'!$A:$C,Q$2,FALSE)),IF($N1638=0,IF(ISERROR(VLOOKUP($P1638,'M1'!$A:$C,Q$2,FALSE)),IF(ISERROR(VLOOKUP(DATA!$P205,'M2'!$A:$C,Q$2,FALSE)),"NOT PRESENT",VLOOKUP(DATA!$P205,'M2'!$A:$C,Q$2,FALSE)),VLOOKUP($P1638,'M1'!$A:$C,Q$2,FALSE)),"SPECIFY METHOD")))</f>
        <v>NOT PRESENT</v>
      </c>
      <c r="R1638" s="4" t="str">
        <f>IF($N1638=1,IF(ISERROR(VLOOKUP($P1638,'M1'!$A:$C,R$2,FALSE)),"NOT PRESENT",VLOOKUP($P1638,'M1'!$A:$C,R$2,FALSE)),IF($N1638=2,IF(ISERROR(VLOOKUP(DATA!$P205,'M2'!$A:$C,R$2,FALSE)),"NOT PRESENT",VLOOKUP(DATA!$P205,'M2'!$A:$C,R$2,FALSE)),IF($N1638=0,IF(ISERROR(VLOOKUP($P1638,'M1'!$A:$C,R$2,FALSE)),IF(ISERROR(VLOOKUP(DATA!$P205,'M2'!$A:$C,R$2,FALSE)),"NOT PRESENT",VLOOKUP(DATA!$P205,'M2'!$A:$C,R$2,FALSE)),VLOOKUP($P1638,'M1'!$A:$C,R$2,FALSE)),"SPECIFY METHOD")))</f>
        <v>NOT PRESENT</v>
      </c>
      <c r="S1638" s="20">
        <f t="shared" si="196"/>
        <v>1</v>
      </c>
      <c r="T1638" s="2">
        <v>1</v>
      </c>
    </row>
    <row r="1639" spans="1:31">
      <c r="A1639" s="7">
        <f>MAX($A$1:$A1638)+1</f>
        <v>1638</v>
      </c>
      <c r="B1639" s="2" t="str">
        <f t="shared" si="193"/>
        <v>Em Lim</v>
      </c>
      <c r="C1639" s="2" t="str">
        <f t="shared" si="194"/>
        <v>Isabelle Côté</v>
      </c>
      <c r="D1639" s="2" t="str">
        <f t="shared" si="197"/>
        <v>BMSC9</v>
      </c>
      <c r="E1639" s="7" t="str">
        <f>IF(ISERROR(VLOOKUP($D1639,SITES!$A:$E,2,FALSE)),"",VLOOKUP($D1639,SITES!$A:$E,2,FALSE))</f>
        <v>Eagle Bay</v>
      </c>
      <c r="F1639" s="4">
        <f>IF(ISERROR(VLOOKUP($D1639,SITES!$A:$E,3,FALSE)),"",VLOOKUP($D1639,SITES!$A:$E,3,FALSE))</f>
        <v>48.834789276122997</v>
      </c>
      <c r="G1639" s="18">
        <f>IF(ISERROR(VLOOKUP($D1639,SITES!$A:$E,4,FALSE)),"",VLOOKUP($D1639,SITES!$A:$E,4,FALSE))</f>
        <v>-125.14702606201099</v>
      </c>
      <c r="H1639" s="5" t="str">
        <f t="shared" si="199"/>
        <v>11/05/2023</v>
      </c>
      <c r="I1639" s="2">
        <f t="shared" si="200"/>
        <v>2</v>
      </c>
      <c r="J1639" s="2">
        <f t="shared" si="201"/>
        <v>220</v>
      </c>
      <c r="K1639" s="52">
        <f t="shared" si="202"/>
        <v>0.41666666666666669</v>
      </c>
      <c r="L1639" s="2" t="str">
        <f t="shared" si="203"/>
        <v>EGL</v>
      </c>
      <c r="M1639" s="2">
        <f t="shared" si="204"/>
        <v>6</v>
      </c>
      <c r="N1639" s="2">
        <v>0</v>
      </c>
      <c r="O1639" s="2">
        <f t="shared" si="195"/>
        <v>2</v>
      </c>
      <c r="P1639" s="27" t="s">
        <v>258</v>
      </c>
      <c r="Q1639" s="7" t="str">
        <f>IF($N1639=1,IF(ISERROR(VLOOKUP($P1639,'M1'!$A:$C,Q$2,FALSE)),"NOT PRESENT",VLOOKUP($P1639,'M1'!$A:$C,Q$2,FALSE)),IF($N1639=2,IF(ISERROR(VLOOKUP(DATA!$P206,'M2'!$A:$C,Q$2,FALSE)),"NOT PRESENT",VLOOKUP(DATA!$P206,'M2'!$A:$C,Q$2,FALSE)),IF($N1639=0,IF(ISERROR(VLOOKUP($P1639,'M1'!$A:$C,Q$2,FALSE)),IF(ISERROR(VLOOKUP(DATA!$P206,'M2'!$A:$C,Q$2,FALSE)),"NOT PRESENT",VLOOKUP(DATA!$P206,'M2'!$A:$C,Q$2,FALSE)),VLOOKUP($P1639,'M1'!$A:$C,Q$2,FALSE)),"SPECIFY METHOD")))</f>
        <v>NOT PRESENT</v>
      </c>
      <c r="R1639" s="4" t="str">
        <f>IF($N1639=1,IF(ISERROR(VLOOKUP($P1639,'M1'!$A:$C,R$2,FALSE)),"NOT PRESENT",VLOOKUP($P1639,'M1'!$A:$C,R$2,FALSE)),IF($N1639=2,IF(ISERROR(VLOOKUP(DATA!$P206,'M2'!$A:$C,R$2,FALSE)),"NOT PRESENT",VLOOKUP(DATA!$P206,'M2'!$A:$C,R$2,FALSE)),IF($N1639=0,IF(ISERROR(VLOOKUP($P1639,'M1'!$A:$C,R$2,FALSE)),IF(ISERROR(VLOOKUP(DATA!$P206,'M2'!$A:$C,R$2,FALSE)),"NOT PRESENT",VLOOKUP(DATA!$P206,'M2'!$A:$C,R$2,FALSE)),VLOOKUP($P1639,'M1'!$A:$C,R$2,FALSE)),"SPECIFY METHOD")))</f>
        <v>NOT PRESENT</v>
      </c>
      <c r="S1639" s="20">
        <f t="shared" si="196"/>
        <v>1</v>
      </c>
      <c r="T1639" s="2">
        <v>0</v>
      </c>
      <c r="X1639" s="2">
        <v>1</v>
      </c>
    </row>
    <row r="1640" spans="1:31">
      <c r="A1640" s="7">
        <f>MAX($A$1:$A1639)+1</f>
        <v>1639</v>
      </c>
      <c r="B1640" s="2" t="str">
        <f t="shared" si="193"/>
        <v>Em Lim</v>
      </c>
      <c r="C1640" s="2" t="str">
        <f t="shared" si="194"/>
        <v>Isabelle Côté</v>
      </c>
      <c r="D1640" s="2" t="str">
        <f t="shared" si="197"/>
        <v>BMSC9</v>
      </c>
      <c r="E1640" s="7" t="str">
        <f>IF(ISERROR(VLOOKUP($D1640,SITES!$A:$E,2,FALSE)),"",VLOOKUP($D1640,SITES!$A:$E,2,FALSE))</f>
        <v>Eagle Bay</v>
      </c>
      <c r="F1640" s="4">
        <f>IF(ISERROR(VLOOKUP($D1640,SITES!$A:$E,3,FALSE)),"",VLOOKUP($D1640,SITES!$A:$E,3,FALSE))</f>
        <v>48.834789276122997</v>
      </c>
      <c r="G1640" s="18">
        <f>IF(ISERROR(VLOOKUP($D1640,SITES!$A:$E,4,FALSE)),"",VLOOKUP($D1640,SITES!$A:$E,4,FALSE))</f>
        <v>-125.14702606201099</v>
      </c>
      <c r="H1640" s="5" t="str">
        <f t="shared" si="199"/>
        <v>11/05/2023</v>
      </c>
      <c r="I1640" s="2">
        <f t="shared" si="200"/>
        <v>2</v>
      </c>
      <c r="J1640" s="2">
        <f t="shared" si="201"/>
        <v>220</v>
      </c>
      <c r="K1640" s="52">
        <f t="shared" si="202"/>
        <v>0.41666666666666669</v>
      </c>
      <c r="L1640" s="2" t="str">
        <f t="shared" si="203"/>
        <v>EGL</v>
      </c>
      <c r="M1640" s="2">
        <f t="shared" si="204"/>
        <v>6</v>
      </c>
      <c r="N1640" s="2">
        <v>2</v>
      </c>
      <c r="O1640" s="2">
        <f t="shared" si="195"/>
        <v>2</v>
      </c>
      <c r="P1640" s="27" t="s">
        <v>259</v>
      </c>
      <c r="Q1640" s="7" t="str">
        <f>IF($N1640=1,IF(ISERROR(VLOOKUP($P1640,'M1'!$A:$C,Q$2,FALSE)),"NOT PRESENT",VLOOKUP($P1640,'M1'!$A:$C,Q$2,FALSE)),IF($N1640=2,IF(ISERROR(VLOOKUP(DATA!$P207,'M2'!$A:$C,Q$2,FALSE)),"NOT PRESENT",VLOOKUP(DATA!$P207,'M2'!$A:$C,Q$2,FALSE)),IF($N1640=0,IF(ISERROR(VLOOKUP($P1640,'M1'!$A:$C,Q$2,FALSE)),IF(ISERROR(VLOOKUP(DATA!$P207,'M2'!$A:$C,Q$2,FALSE)),"NOT PRESENT",VLOOKUP(DATA!$P207,'M2'!$A:$C,Q$2,FALSE)),VLOOKUP($P1640,'M1'!$A:$C,Q$2,FALSE)),"SPECIFY METHOD")))</f>
        <v>NOT PRESENT</v>
      </c>
      <c r="R1640" s="4" t="str">
        <f>IF($N1640=1,IF(ISERROR(VLOOKUP($P1640,'M1'!$A:$C,R$2,FALSE)),"NOT PRESENT",VLOOKUP($P1640,'M1'!$A:$C,R$2,FALSE)),IF($N1640=2,IF(ISERROR(VLOOKUP(DATA!$P207,'M2'!$A:$C,R$2,FALSE)),"NOT PRESENT",VLOOKUP(DATA!$P207,'M2'!$A:$C,R$2,FALSE)),IF($N1640=0,IF(ISERROR(VLOOKUP($P1640,'M1'!$A:$C,R$2,FALSE)),IF(ISERROR(VLOOKUP(DATA!$P207,'M2'!$A:$C,R$2,FALSE)),"NOT PRESENT",VLOOKUP(DATA!$P207,'M2'!$A:$C,R$2,FALSE)),VLOOKUP($P1640,'M1'!$A:$C,R$2,FALSE)),"SPECIFY METHOD")))</f>
        <v>NOT PRESENT</v>
      </c>
      <c r="S1640" s="20">
        <f t="shared" si="196"/>
        <v>1</v>
      </c>
      <c r="T1640" s="2">
        <v>1</v>
      </c>
    </row>
    <row r="1641" spans="1:31">
      <c r="A1641" s="7">
        <f>MAX($A$1:$A1640)+1</f>
        <v>1640</v>
      </c>
      <c r="B1641" s="2" t="str">
        <f t="shared" si="193"/>
        <v>Em Lim</v>
      </c>
      <c r="C1641" s="2" t="str">
        <f t="shared" si="194"/>
        <v>Isabelle Côté</v>
      </c>
      <c r="D1641" s="2" t="str">
        <f t="shared" si="197"/>
        <v>BMSC9</v>
      </c>
      <c r="E1641" s="7" t="str">
        <f>IF(ISERROR(VLOOKUP($D1641,SITES!$A:$E,2,FALSE)),"",VLOOKUP($D1641,SITES!$A:$E,2,FALSE))</f>
        <v>Eagle Bay</v>
      </c>
      <c r="F1641" s="4">
        <f>IF(ISERROR(VLOOKUP($D1641,SITES!$A:$E,3,FALSE)),"",VLOOKUP($D1641,SITES!$A:$E,3,FALSE))</f>
        <v>48.834789276122997</v>
      </c>
      <c r="G1641" s="18">
        <f>IF(ISERROR(VLOOKUP($D1641,SITES!$A:$E,4,FALSE)),"",VLOOKUP($D1641,SITES!$A:$E,4,FALSE))</f>
        <v>-125.14702606201099</v>
      </c>
      <c r="H1641" s="5" t="str">
        <f t="shared" si="199"/>
        <v>11/05/2023</v>
      </c>
      <c r="I1641" s="2">
        <f t="shared" si="200"/>
        <v>2</v>
      </c>
      <c r="J1641" s="2">
        <f t="shared" si="201"/>
        <v>220</v>
      </c>
      <c r="K1641" s="52">
        <f t="shared" si="202"/>
        <v>0.41666666666666669</v>
      </c>
      <c r="L1641" s="2" t="str">
        <f t="shared" si="203"/>
        <v>EGL</v>
      </c>
      <c r="M1641" s="2">
        <f t="shared" si="204"/>
        <v>6</v>
      </c>
      <c r="N1641" s="2">
        <v>0</v>
      </c>
      <c r="O1641" s="2">
        <f t="shared" si="195"/>
        <v>2</v>
      </c>
      <c r="P1641" s="27" t="s">
        <v>224</v>
      </c>
      <c r="Q1641" s="7" t="str">
        <f>IF($N1641=1,IF(ISERROR(VLOOKUP($P1641,'M1'!$A:$C,Q$2,FALSE)),"NOT PRESENT",VLOOKUP($P1641,'M1'!$A:$C,Q$2,FALSE)),IF($N1641=2,IF(ISERROR(VLOOKUP(DATA!$P208,'M2'!$A:$C,Q$2,FALSE)),"NOT PRESENT",VLOOKUP(DATA!$P208,'M2'!$A:$C,Q$2,FALSE)),IF($N1641=0,IF(ISERROR(VLOOKUP($P1641,'M1'!$A:$C,Q$2,FALSE)),IF(ISERROR(VLOOKUP(DATA!$P208,'M2'!$A:$C,Q$2,FALSE)),"NOT PRESENT",VLOOKUP(DATA!$P208,'M2'!$A:$C,Q$2,FALSE)),VLOOKUP($P1641,'M1'!$A:$C,Q$2,FALSE)),"SPECIFY METHOD")))</f>
        <v>NOT PRESENT</v>
      </c>
      <c r="R1641" s="4" t="str">
        <f>IF($N1641=1,IF(ISERROR(VLOOKUP($P1641,'M1'!$A:$C,R$2,FALSE)),"NOT PRESENT",VLOOKUP($P1641,'M1'!$A:$C,R$2,FALSE)),IF($N1641=2,IF(ISERROR(VLOOKUP(DATA!$P208,'M2'!$A:$C,R$2,FALSE)),"NOT PRESENT",VLOOKUP(DATA!$P208,'M2'!$A:$C,R$2,FALSE)),IF($N1641=0,IF(ISERROR(VLOOKUP($P1641,'M1'!$A:$C,R$2,FALSE)),IF(ISERROR(VLOOKUP(DATA!$P208,'M2'!$A:$C,R$2,FALSE)),"NOT PRESENT",VLOOKUP(DATA!$P208,'M2'!$A:$C,R$2,FALSE)),VLOOKUP($P1641,'M1'!$A:$C,R$2,FALSE)),"SPECIFY METHOD")))</f>
        <v>NOT PRESENT</v>
      </c>
      <c r="S1641" s="20">
        <f t="shared" si="196"/>
        <v>1</v>
      </c>
      <c r="T1641" s="2">
        <v>0</v>
      </c>
      <c r="AE1641" s="2">
        <v>1</v>
      </c>
    </row>
    <row r="1642" spans="1:31">
      <c r="A1642" s="7">
        <f>MAX($A$1:$A1641)+1</f>
        <v>1641</v>
      </c>
      <c r="B1642" s="2" t="str">
        <f t="shared" si="193"/>
        <v>Em Lim</v>
      </c>
      <c r="C1642" s="2" t="str">
        <f t="shared" si="194"/>
        <v>Isabelle Côté</v>
      </c>
      <c r="D1642" s="2" t="str">
        <f t="shared" si="197"/>
        <v>BMSC9</v>
      </c>
      <c r="E1642" s="7" t="str">
        <f>IF(ISERROR(VLOOKUP($D1642,SITES!$A:$E,2,FALSE)),"",VLOOKUP($D1642,SITES!$A:$E,2,FALSE))</f>
        <v>Eagle Bay</v>
      </c>
      <c r="F1642" s="4">
        <f>IF(ISERROR(VLOOKUP($D1642,SITES!$A:$E,3,FALSE)),"",VLOOKUP($D1642,SITES!$A:$E,3,FALSE))</f>
        <v>48.834789276122997</v>
      </c>
      <c r="G1642" s="18">
        <f>IF(ISERROR(VLOOKUP($D1642,SITES!$A:$E,4,FALSE)),"",VLOOKUP($D1642,SITES!$A:$E,4,FALSE))</f>
        <v>-125.14702606201099</v>
      </c>
      <c r="H1642" s="5" t="str">
        <f t="shared" si="199"/>
        <v>11/05/2023</v>
      </c>
      <c r="I1642" s="2">
        <f t="shared" si="200"/>
        <v>2</v>
      </c>
      <c r="J1642" s="2">
        <f t="shared" si="201"/>
        <v>220</v>
      </c>
      <c r="K1642" s="52">
        <f t="shared" si="202"/>
        <v>0.41666666666666669</v>
      </c>
      <c r="L1642" s="2" t="str">
        <f t="shared" si="203"/>
        <v>EGL</v>
      </c>
      <c r="M1642" s="2">
        <f t="shared" si="204"/>
        <v>6</v>
      </c>
      <c r="N1642" s="2">
        <f>IF(ISERROR(N1641),IF(ISERROR(N1640),IF(ISERROR(N1639),"BLANK",N1639),N1640),N1641)</f>
        <v>0</v>
      </c>
      <c r="O1642" s="2">
        <f t="shared" si="195"/>
        <v>2</v>
      </c>
      <c r="P1642" s="27" t="s">
        <v>260</v>
      </c>
      <c r="Q1642" s="7" t="str">
        <f>IF($N1642=1,IF(ISERROR(VLOOKUP($P1642,'M1'!$A:$C,Q$2,FALSE)),"NOT PRESENT",VLOOKUP($P1642,'M1'!$A:$C,Q$2,FALSE)),IF($N1642=2,IF(ISERROR(VLOOKUP(DATA!$P209,'M2'!$A:$C,Q$2,FALSE)),"NOT PRESENT",VLOOKUP(DATA!$P209,'M2'!$A:$C,Q$2,FALSE)),IF($N1642=0,IF(ISERROR(VLOOKUP($P1642,'M1'!$A:$C,Q$2,FALSE)),IF(ISERROR(VLOOKUP(DATA!$P209,'M2'!$A:$C,Q$2,FALSE)),"NOT PRESENT",VLOOKUP(DATA!$P209,'M2'!$A:$C,Q$2,FALSE)),VLOOKUP($P1642,'M1'!$A:$C,Q$2,FALSE)),"SPECIFY METHOD")))</f>
        <v>NOT PRESENT</v>
      </c>
      <c r="R1642" s="4" t="str">
        <f>IF($N1642=1,IF(ISERROR(VLOOKUP($P1642,'M1'!$A:$C,R$2,FALSE)),"NOT PRESENT",VLOOKUP($P1642,'M1'!$A:$C,R$2,FALSE)),IF($N1642=2,IF(ISERROR(VLOOKUP(DATA!$P209,'M2'!$A:$C,R$2,FALSE)),"NOT PRESENT",VLOOKUP(DATA!$P209,'M2'!$A:$C,R$2,FALSE)),IF($N1642=0,IF(ISERROR(VLOOKUP($P1642,'M1'!$A:$C,R$2,FALSE)),IF(ISERROR(VLOOKUP(DATA!$P209,'M2'!$A:$C,R$2,FALSE)),"NOT PRESENT",VLOOKUP(DATA!$P209,'M2'!$A:$C,R$2,FALSE)),VLOOKUP($P1642,'M1'!$A:$C,R$2,FALSE)),"SPECIFY METHOD")))</f>
        <v>NOT PRESENT</v>
      </c>
      <c r="S1642" s="20">
        <f t="shared" si="196"/>
        <v>1</v>
      </c>
      <c r="T1642" s="2">
        <v>0</v>
      </c>
      <c r="Z1642" s="2">
        <v>1</v>
      </c>
    </row>
    <row r="1643" spans="1:31">
      <c r="A1643" s="7">
        <f>MAX($A$1:$A1642)+1</f>
        <v>1642</v>
      </c>
      <c r="B1643" s="2" t="str">
        <f t="shared" si="193"/>
        <v>Em Lim</v>
      </c>
      <c r="C1643" s="2" t="str">
        <f t="shared" si="194"/>
        <v>Isabelle Côté</v>
      </c>
      <c r="D1643" s="2" t="str">
        <f t="shared" si="197"/>
        <v>BMSC9</v>
      </c>
      <c r="E1643" s="7" t="str">
        <f>IF(ISERROR(VLOOKUP($D1643,SITES!$A:$E,2,FALSE)),"",VLOOKUP($D1643,SITES!$A:$E,2,FALSE))</f>
        <v>Eagle Bay</v>
      </c>
      <c r="F1643" s="4">
        <f>IF(ISERROR(VLOOKUP($D1643,SITES!$A:$E,3,FALSE)),"",VLOOKUP($D1643,SITES!$A:$E,3,FALSE))</f>
        <v>48.834789276122997</v>
      </c>
      <c r="G1643" s="18">
        <f>IF(ISERROR(VLOOKUP($D1643,SITES!$A:$E,4,FALSE)),"",VLOOKUP($D1643,SITES!$A:$E,4,FALSE))</f>
        <v>-125.14702606201099</v>
      </c>
      <c r="H1643" s="5" t="str">
        <f t="shared" si="199"/>
        <v>11/05/2023</v>
      </c>
      <c r="I1643" s="2">
        <f t="shared" si="200"/>
        <v>2</v>
      </c>
      <c r="J1643" s="2">
        <f t="shared" si="201"/>
        <v>220</v>
      </c>
      <c r="K1643" s="52">
        <f t="shared" si="202"/>
        <v>0.41666666666666669</v>
      </c>
      <c r="L1643" s="2" t="str">
        <f t="shared" si="203"/>
        <v>EGL</v>
      </c>
      <c r="M1643" s="2">
        <f t="shared" si="204"/>
        <v>6</v>
      </c>
      <c r="N1643" s="2">
        <f>IF(ISERROR(N1642),IF(ISERROR(N1641),IF(ISERROR(N1640),"BLANK",N1640),N1641),N1642)</f>
        <v>0</v>
      </c>
      <c r="O1643" s="2">
        <f t="shared" si="195"/>
        <v>2</v>
      </c>
      <c r="P1643" s="27" t="s">
        <v>176</v>
      </c>
      <c r="Q1643" s="7" t="str">
        <f>IF($N1643=1,IF(ISERROR(VLOOKUP($P1643,'M1'!$A:$C,Q$2,FALSE)),"NOT PRESENT",VLOOKUP($P1643,'M1'!$A:$C,Q$2,FALSE)),IF($N1643=2,IF(ISERROR(VLOOKUP(DATA!$P210,'M2'!$A:$C,Q$2,FALSE)),"NOT PRESENT",VLOOKUP(DATA!$P210,'M2'!$A:$C,Q$2,FALSE)),IF($N1643=0,IF(ISERROR(VLOOKUP($P1643,'M1'!$A:$C,Q$2,FALSE)),IF(ISERROR(VLOOKUP(DATA!$P210,'M2'!$A:$C,Q$2,FALSE)),"NOT PRESENT",VLOOKUP(DATA!$P210,'M2'!$A:$C,Q$2,FALSE)),VLOOKUP($P1643,'M1'!$A:$C,Q$2,FALSE)),"SPECIFY METHOD")))</f>
        <v>NOT PRESENT</v>
      </c>
      <c r="R1643" s="4" t="str">
        <f>IF($N1643=1,IF(ISERROR(VLOOKUP($P1643,'M1'!$A:$C,R$2,FALSE)),"NOT PRESENT",VLOOKUP($P1643,'M1'!$A:$C,R$2,FALSE)),IF($N1643=2,IF(ISERROR(VLOOKUP(DATA!$P210,'M2'!$A:$C,R$2,FALSE)),"NOT PRESENT",VLOOKUP(DATA!$P210,'M2'!$A:$C,R$2,FALSE)),IF($N1643=0,IF(ISERROR(VLOOKUP($P1643,'M1'!$A:$C,R$2,FALSE)),IF(ISERROR(VLOOKUP(DATA!$P210,'M2'!$A:$C,R$2,FALSE)),"NOT PRESENT",VLOOKUP(DATA!$P210,'M2'!$A:$C,R$2,FALSE)),VLOOKUP($P1643,'M1'!$A:$C,R$2,FALSE)),"SPECIFY METHOD")))</f>
        <v>NOT PRESENT</v>
      </c>
      <c r="S1643" s="20">
        <f t="shared" si="196"/>
        <v>1</v>
      </c>
      <c r="T1643" s="2">
        <v>0</v>
      </c>
      <c r="Z1643" s="2">
        <v>1</v>
      </c>
    </row>
    <row r="1644" spans="1:31">
      <c r="A1644" s="7">
        <f>MAX($A$1:$A1643)+1</f>
        <v>1643</v>
      </c>
      <c r="B1644" s="2" t="s">
        <v>171</v>
      </c>
      <c r="C1644" s="2" t="s">
        <v>170</v>
      </c>
      <c r="D1644" s="2" t="s">
        <v>26</v>
      </c>
      <c r="E1644" s="7" t="s">
        <v>486</v>
      </c>
      <c r="F1644" s="4">
        <v>48.834789276122997</v>
      </c>
      <c r="G1644" s="18">
        <v>-125.14702606201099</v>
      </c>
      <c r="H1644" s="5" t="s">
        <v>8</v>
      </c>
      <c r="I1644" s="2">
        <v>2.5</v>
      </c>
      <c r="J1644" s="2">
        <v>220</v>
      </c>
      <c r="K1644" s="52">
        <v>0.40138888888888885</v>
      </c>
      <c r="L1644" s="2" t="s">
        <v>172</v>
      </c>
      <c r="M1644" s="2">
        <v>6</v>
      </c>
      <c r="N1644" s="2">
        <v>1</v>
      </c>
      <c r="O1644" s="2">
        <v>2</v>
      </c>
      <c r="P1644" s="2" t="s">
        <v>234</v>
      </c>
      <c r="Q1644" s="7" t="s">
        <v>45</v>
      </c>
      <c r="R1644" s="4" t="s">
        <v>353</v>
      </c>
      <c r="S1644" s="20">
        <v>1</v>
      </c>
      <c r="T1644" s="2">
        <v>0</v>
      </c>
      <c r="Z1644" s="2">
        <v>1</v>
      </c>
    </row>
    <row r="1645" spans="1:31">
      <c r="A1645" s="7">
        <f>MAX($A$1:$A1644)+1</f>
        <v>1644</v>
      </c>
      <c r="B1645" s="2" t="s">
        <v>171</v>
      </c>
      <c r="C1645" s="2" t="s">
        <v>170</v>
      </c>
      <c r="D1645" s="2" t="s">
        <v>26</v>
      </c>
      <c r="E1645" s="7" t="s">
        <v>486</v>
      </c>
      <c r="F1645" s="4">
        <v>48.834789276122997</v>
      </c>
      <c r="G1645" s="18">
        <v>-125.14702606201099</v>
      </c>
      <c r="H1645" s="5" t="s">
        <v>8</v>
      </c>
      <c r="I1645" s="2">
        <v>2.5</v>
      </c>
      <c r="J1645" s="2">
        <v>220</v>
      </c>
      <c r="K1645" s="52">
        <v>0.40138888888888885</v>
      </c>
      <c r="L1645" s="2" t="s">
        <v>172</v>
      </c>
      <c r="M1645" s="2">
        <v>6</v>
      </c>
      <c r="N1645" s="2">
        <v>1</v>
      </c>
      <c r="O1645" s="2">
        <v>2</v>
      </c>
      <c r="P1645" s="2" t="s">
        <v>231</v>
      </c>
      <c r="Q1645" s="7" t="s">
        <v>48</v>
      </c>
      <c r="R1645" s="4" t="s">
        <v>365</v>
      </c>
      <c r="S1645" s="20">
        <v>81</v>
      </c>
      <c r="T1645" s="2">
        <v>0</v>
      </c>
      <c r="Y1645" s="2">
        <v>5</v>
      </c>
      <c r="Z1645" s="2">
        <v>27</v>
      </c>
      <c r="AA1645" s="2">
        <v>43</v>
      </c>
      <c r="AB1645" s="2">
        <v>6</v>
      </c>
    </row>
    <row r="1646" spans="1:31">
      <c r="A1646" s="7">
        <f>MAX($A$1:$A1645)+1</f>
        <v>1645</v>
      </c>
      <c r="B1646" s="2" t="s">
        <v>171</v>
      </c>
      <c r="C1646" s="2" t="s">
        <v>170</v>
      </c>
      <c r="D1646" s="2" t="s">
        <v>26</v>
      </c>
      <c r="E1646" s="7" t="s">
        <v>486</v>
      </c>
      <c r="F1646" s="4">
        <v>48.834789276122997</v>
      </c>
      <c r="G1646" s="18">
        <v>-125.14702606201099</v>
      </c>
      <c r="H1646" s="5" t="s">
        <v>8</v>
      </c>
      <c r="I1646" s="2">
        <v>2.5</v>
      </c>
      <c r="J1646" s="2">
        <v>220</v>
      </c>
      <c r="K1646" s="52">
        <v>0.40138888888888885</v>
      </c>
      <c r="L1646" s="2" t="s">
        <v>172</v>
      </c>
      <c r="M1646" s="2">
        <v>6</v>
      </c>
      <c r="N1646" s="2">
        <v>1</v>
      </c>
      <c r="O1646" s="2">
        <v>2</v>
      </c>
      <c r="P1646" s="2" t="s">
        <v>232</v>
      </c>
      <c r="Q1646" s="7" t="s">
        <v>43</v>
      </c>
      <c r="R1646" s="4" t="s">
        <v>324</v>
      </c>
      <c r="S1646" s="20">
        <v>9</v>
      </c>
      <c r="T1646" s="2">
        <v>0</v>
      </c>
      <c r="Z1646" s="2">
        <v>1</v>
      </c>
      <c r="AA1646" s="2">
        <v>1</v>
      </c>
      <c r="AB1646" s="2">
        <v>5</v>
      </c>
      <c r="AC1646" s="2">
        <v>2</v>
      </c>
    </row>
    <row r="1647" spans="1:31">
      <c r="A1647" s="7">
        <f>MAX($A$1:$A1646)+1</f>
        <v>1646</v>
      </c>
      <c r="B1647" s="2" t="s">
        <v>171</v>
      </c>
      <c r="C1647" s="2" t="s">
        <v>170</v>
      </c>
      <c r="D1647" s="2" t="s">
        <v>26</v>
      </c>
      <c r="E1647" s="7" t="s">
        <v>486</v>
      </c>
      <c r="F1647" s="4">
        <v>48.834789276122997</v>
      </c>
      <c r="G1647" s="18">
        <v>-125.14702606201099</v>
      </c>
      <c r="H1647" s="5" t="s">
        <v>8</v>
      </c>
      <c r="I1647" s="2">
        <v>2.5</v>
      </c>
      <c r="J1647" s="2">
        <v>220</v>
      </c>
      <c r="K1647" s="52">
        <v>0.40138888888888885</v>
      </c>
      <c r="L1647" s="2" t="s">
        <v>172</v>
      </c>
      <c r="M1647" s="2">
        <v>6</v>
      </c>
      <c r="N1647" s="2">
        <v>1</v>
      </c>
      <c r="O1647" s="2">
        <v>2</v>
      </c>
      <c r="P1647" s="2" t="s">
        <v>236</v>
      </c>
      <c r="Q1647" s="7" t="s">
        <v>44</v>
      </c>
      <c r="R1647" s="4" t="s">
        <v>369</v>
      </c>
      <c r="S1647" s="20">
        <v>1</v>
      </c>
      <c r="T1647" s="2">
        <v>0</v>
      </c>
      <c r="Y1647" s="2">
        <v>1</v>
      </c>
    </row>
    <row r="1648" spans="1:31">
      <c r="A1648" s="7">
        <f>MAX($A$1:$A1647)+1</f>
        <v>1647</v>
      </c>
      <c r="B1648" s="2" t="s">
        <v>171</v>
      </c>
      <c r="C1648" s="2" t="s">
        <v>170</v>
      </c>
      <c r="D1648" s="2" t="s">
        <v>26</v>
      </c>
      <c r="E1648" s="7" t="s">
        <v>486</v>
      </c>
      <c r="F1648" s="4">
        <v>48.834789276122997</v>
      </c>
      <c r="G1648" s="18">
        <v>-125.14702606201099</v>
      </c>
      <c r="H1648" s="5" t="s">
        <v>8</v>
      </c>
      <c r="I1648" s="2">
        <v>2.5</v>
      </c>
      <c r="J1648" s="2">
        <v>220</v>
      </c>
      <c r="K1648" s="52">
        <v>0.40138888888888885</v>
      </c>
      <c r="L1648" s="2" t="s">
        <v>172</v>
      </c>
      <c r="M1648" s="2">
        <v>6</v>
      </c>
      <c r="N1648" s="2">
        <v>1</v>
      </c>
      <c r="O1648" s="2">
        <v>2</v>
      </c>
      <c r="P1648" s="2" t="s">
        <v>230</v>
      </c>
      <c r="Q1648" s="7" t="s">
        <v>42</v>
      </c>
      <c r="R1648" s="4" t="s">
        <v>321</v>
      </c>
      <c r="S1648" s="20">
        <v>2</v>
      </c>
      <c r="T1648" s="2">
        <v>0</v>
      </c>
      <c r="W1648" s="2">
        <v>2</v>
      </c>
    </row>
    <row r="1649" spans="1:26">
      <c r="A1649" s="7">
        <f>MAX($A$1:$A1648)+1</f>
        <v>1648</v>
      </c>
      <c r="B1649" s="2" t="s">
        <v>171</v>
      </c>
      <c r="C1649" s="2" t="s">
        <v>170</v>
      </c>
      <c r="D1649" s="2" t="s">
        <v>26</v>
      </c>
      <c r="E1649" s="7" t="s">
        <v>486</v>
      </c>
      <c r="F1649" s="4">
        <v>48.834789276122997</v>
      </c>
      <c r="G1649" s="18">
        <v>-125.14702606201099</v>
      </c>
      <c r="H1649" s="5" t="s">
        <v>8</v>
      </c>
      <c r="I1649" s="2">
        <v>2.5</v>
      </c>
      <c r="J1649" s="2">
        <v>220</v>
      </c>
      <c r="K1649" s="52">
        <v>0.40138888888888885</v>
      </c>
      <c r="L1649" s="2" t="s">
        <v>172</v>
      </c>
      <c r="M1649" s="2">
        <v>6</v>
      </c>
      <c r="N1649" s="2">
        <v>2</v>
      </c>
      <c r="O1649" s="2">
        <v>2</v>
      </c>
      <c r="P1649" s="2" t="s">
        <v>241</v>
      </c>
      <c r="Q1649" s="7" t="s">
        <v>63</v>
      </c>
      <c r="R1649" s="4" t="s">
        <v>294</v>
      </c>
      <c r="S1649" s="20">
        <v>136</v>
      </c>
      <c r="T1649" s="2">
        <v>136</v>
      </c>
    </row>
    <row r="1650" spans="1:26">
      <c r="A1650" s="7">
        <f>MAX($A$1:$A1649)+1</f>
        <v>1649</v>
      </c>
      <c r="B1650" s="2" t="s">
        <v>171</v>
      </c>
      <c r="C1650" s="2" t="s">
        <v>170</v>
      </c>
      <c r="D1650" s="2" t="s">
        <v>26</v>
      </c>
      <c r="E1650" s="7" t="s">
        <v>486</v>
      </c>
      <c r="F1650" s="4">
        <v>48.834789276122997</v>
      </c>
      <c r="G1650" s="18">
        <v>-125.14702606201099</v>
      </c>
      <c r="H1650" s="5" t="s">
        <v>8</v>
      </c>
      <c r="I1650" s="2">
        <v>2.5</v>
      </c>
      <c r="J1650" s="2">
        <v>220</v>
      </c>
      <c r="K1650" s="52">
        <v>0.40138888888888885</v>
      </c>
      <c r="L1650" s="2" t="s">
        <v>172</v>
      </c>
      <c r="M1650" s="2">
        <v>6</v>
      </c>
      <c r="N1650" s="2">
        <v>2</v>
      </c>
      <c r="O1650" s="2">
        <v>2</v>
      </c>
      <c r="P1650" s="2" t="s">
        <v>244</v>
      </c>
      <c r="Q1650" s="7" t="s">
        <v>65</v>
      </c>
      <c r="R1650" s="4" t="s">
        <v>307</v>
      </c>
      <c r="S1650" s="20">
        <v>37</v>
      </c>
      <c r="T1650" s="2">
        <v>37</v>
      </c>
    </row>
    <row r="1651" spans="1:26">
      <c r="A1651" s="7">
        <f>MAX($A$1:$A1650)+1</f>
        <v>1650</v>
      </c>
      <c r="B1651" s="2" t="s">
        <v>171</v>
      </c>
      <c r="C1651" s="2" t="s">
        <v>170</v>
      </c>
      <c r="D1651" s="2" t="s">
        <v>26</v>
      </c>
      <c r="E1651" s="7" t="s">
        <v>486</v>
      </c>
      <c r="F1651" s="4">
        <v>48.834789276122997</v>
      </c>
      <c r="G1651" s="18">
        <v>-125.14702606201099</v>
      </c>
      <c r="H1651" s="5" t="s">
        <v>8</v>
      </c>
      <c r="I1651" s="2">
        <v>2.5</v>
      </c>
      <c r="J1651" s="2">
        <v>220</v>
      </c>
      <c r="K1651" s="52">
        <v>0.40138888888888885</v>
      </c>
      <c r="L1651" s="2" t="s">
        <v>172</v>
      </c>
      <c r="M1651" s="2">
        <v>6</v>
      </c>
      <c r="N1651" s="2">
        <v>2</v>
      </c>
      <c r="O1651" s="2">
        <v>2</v>
      </c>
      <c r="P1651" s="2" t="s">
        <v>248</v>
      </c>
      <c r="Q1651" s="7" t="s">
        <v>78</v>
      </c>
      <c r="R1651" s="4" t="s">
        <v>349</v>
      </c>
      <c r="S1651" s="20">
        <v>30</v>
      </c>
      <c r="T1651" s="2">
        <v>0</v>
      </c>
      <c r="V1651" s="2">
        <v>8</v>
      </c>
      <c r="W1651" s="2">
        <v>10</v>
      </c>
      <c r="X1651" s="2">
        <v>9</v>
      </c>
      <c r="Y1651" s="2">
        <v>1</v>
      </c>
      <c r="Z1651" s="2">
        <v>2</v>
      </c>
    </row>
    <row r="1652" spans="1:26">
      <c r="A1652" s="7">
        <f>MAX($A$1:$A1651)+1</f>
        <v>1651</v>
      </c>
      <c r="B1652" s="2" t="s">
        <v>171</v>
      </c>
      <c r="C1652" s="2" t="s">
        <v>170</v>
      </c>
      <c r="D1652" s="2" t="s">
        <v>26</v>
      </c>
      <c r="E1652" s="7" t="s">
        <v>486</v>
      </c>
      <c r="F1652" s="4">
        <v>48.834789276122997</v>
      </c>
      <c r="G1652" s="18">
        <v>-125.14702606201099</v>
      </c>
      <c r="H1652" s="5" t="s">
        <v>8</v>
      </c>
      <c r="I1652" s="2">
        <v>2.5</v>
      </c>
      <c r="J1652" s="2">
        <v>220</v>
      </c>
      <c r="K1652" s="52">
        <v>0.40138888888888885</v>
      </c>
      <c r="L1652" s="2" t="s">
        <v>172</v>
      </c>
      <c r="M1652" s="2">
        <v>6</v>
      </c>
      <c r="N1652" s="2">
        <v>2</v>
      </c>
      <c r="O1652" s="2">
        <v>2</v>
      </c>
      <c r="P1652" s="2" t="s">
        <v>246</v>
      </c>
      <c r="Q1652" s="7" t="s">
        <v>66</v>
      </c>
      <c r="R1652" s="4" t="s">
        <v>318</v>
      </c>
      <c r="S1652" s="20">
        <v>39</v>
      </c>
      <c r="T1652" s="2">
        <v>0</v>
      </c>
      <c r="U1652" s="2">
        <v>16</v>
      </c>
      <c r="V1652" s="2">
        <v>19</v>
      </c>
      <c r="W1652" s="2">
        <v>3</v>
      </c>
      <c r="X1652" s="2">
        <v>1</v>
      </c>
    </row>
    <row r="1653" spans="1:26">
      <c r="A1653" s="7">
        <f>MAX($A$1:$A1652)+1</f>
        <v>1652</v>
      </c>
      <c r="B1653" s="2" t="s">
        <v>171</v>
      </c>
      <c r="C1653" s="2" t="s">
        <v>170</v>
      </c>
      <c r="D1653" s="2" t="s">
        <v>26</v>
      </c>
      <c r="E1653" s="7" t="s">
        <v>486</v>
      </c>
      <c r="F1653" s="4">
        <v>48.834789276122997</v>
      </c>
      <c r="G1653" s="18">
        <v>-125.14702606201099</v>
      </c>
      <c r="H1653" s="5" t="s">
        <v>8</v>
      </c>
      <c r="I1653" s="2">
        <v>2.5</v>
      </c>
      <c r="J1653" s="2">
        <v>220</v>
      </c>
      <c r="K1653" s="52">
        <v>0.40138888888888885</v>
      </c>
      <c r="L1653" s="2" t="s">
        <v>172</v>
      </c>
      <c r="M1653" s="2">
        <v>6</v>
      </c>
      <c r="N1653" s="2">
        <v>2</v>
      </c>
      <c r="O1653" s="2">
        <v>2</v>
      </c>
      <c r="P1653" s="2" t="s">
        <v>296</v>
      </c>
      <c r="Q1653" s="7" t="s">
        <v>75</v>
      </c>
      <c r="R1653" s="4" t="s">
        <v>297</v>
      </c>
      <c r="S1653" s="20">
        <v>3</v>
      </c>
      <c r="T1653" s="2">
        <v>3</v>
      </c>
    </row>
    <row r="1654" spans="1:26">
      <c r="A1654" s="7">
        <f>MAX($A$1:$A1653)+1</f>
        <v>1653</v>
      </c>
      <c r="B1654" s="2" t="s">
        <v>171</v>
      </c>
      <c r="C1654" s="2" t="s">
        <v>170</v>
      </c>
      <c r="D1654" s="2" t="s">
        <v>26</v>
      </c>
      <c r="E1654" s="7" t="s">
        <v>486</v>
      </c>
      <c r="F1654" s="4">
        <v>48.834789276122997</v>
      </c>
      <c r="G1654" s="18">
        <v>-125.14702606201099</v>
      </c>
      <c r="H1654" s="5" t="s">
        <v>8</v>
      </c>
      <c r="I1654" s="2">
        <v>2.5</v>
      </c>
      <c r="J1654" s="2">
        <v>220</v>
      </c>
      <c r="K1654" s="52">
        <v>0.40138888888888885</v>
      </c>
      <c r="L1654" s="2" t="s">
        <v>172</v>
      </c>
      <c r="M1654" s="2">
        <v>6</v>
      </c>
      <c r="N1654" s="2">
        <v>2</v>
      </c>
      <c r="O1654" s="2">
        <v>2</v>
      </c>
      <c r="P1654" s="2" t="s">
        <v>243</v>
      </c>
      <c r="Q1654" s="7" t="s">
        <v>85</v>
      </c>
      <c r="R1654" s="4" t="s">
        <v>312</v>
      </c>
      <c r="S1654" s="20">
        <v>32</v>
      </c>
      <c r="T1654" s="2">
        <v>32</v>
      </c>
    </row>
    <row r="1655" spans="1:26">
      <c r="A1655" s="7">
        <f>MAX($A$1:$A1654)+1</f>
        <v>1654</v>
      </c>
      <c r="B1655" s="2" t="s">
        <v>171</v>
      </c>
      <c r="C1655" s="2" t="s">
        <v>170</v>
      </c>
      <c r="D1655" s="2" t="s">
        <v>26</v>
      </c>
      <c r="E1655" s="7" t="s">
        <v>486</v>
      </c>
      <c r="F1655" s="4">
        <v>48.834789276122997</v>
      </c>
      <c r="G1655" s="18">
        <v>-125.14702606201099</v>
      </c>
      <c r="H1655" s="5" t="s">
        <v>8</v>
      </c>
      <c r="I1655" s="2">
        <v>2.5</v>
      </c>
      <c r="J1655" s="2">
        <v>220</v>
      </c>
      <c r="K1655" s="52">
        <v>0.40138888888888885</v>
      </c>
      <c r="L1655" s="2" t="s">
        <v>172</v>
      </c>
      <c r="M1655" s="2">
        <v>6</v>
      </c>
      <c r="N1655" s="2">
        <v>2</v>
      </c>
      <c r="O1655" s="2">
        <v>2</v>
      </c>
      <c r="P1655" s="2" t="s">
        <v>240</v>
      </c>
      <c r="Q1655" s="7" t="s">
        <v>74</v>
      </c>
      <c r="R1655" s="4" t="s">
        <v>459</v>
      </c>
      <c r="S1655" s="20">
        <v>24</v>
      </c>
      <c r="T1655" s="2">
        <v>24</v>
      </c>
    </row>
    <row r="1656" spans="1:26">
      <c r="A1656" s="7">
        <f>MAX($A$1:$A1655)+1</f>
        <v>1655</v>
      </c>
      <c r="B1656" s="2" t="s">
        <v>171</v>
      </c>
      <c r="C1656" s="2" t="s">
        <v>170</v>
      </c>
      <c r="D1656" s="2" t="s">
        <v>26</v>
      </c>
      <c r="E1656" s="7" t="s">
        <v>486</v>
      </c>
      <c r="F1656" s="4">
        <v>48.834789276122997</v>
      </c>
      <c r="G1656" s="18">
        <v>-125.14702606201099</v>
      </c>
      <c r="H1656" s="5" t="s">
        <v>8</v>
      </c>
      <c r="I1656" s="2">
        <v>2.5</v>
      </c>
      <c r="J1656" s="2">
        <v>220</v>
      </c>
      <c r="K1656" s="52">
        <v>0.40138888888888885</v>
      </c>
      <c r="L1656" s="2" t="s">
        <v>172</v>
      </c>
      <c r="M1656" s="2">
        <v>6</v>
      </c>
      <c r="N1656" s="2">
        <v>2</v>
      </c>
      <c r="O1656" s="2">
        <v>2</v>
      </c>
      <c r="P1656" s="2" t="s">
        <v>461</v>
      </c>
      <c r="Q1656" s="7" t="s">
        <v>462</v>
      </c>
      <c r="R1656" s="4" t="s">
        <v>463</v>
      </c>
      <c r="S1656" s="20">
        <v>4</v>
      </c>
      <c r="T1656" s="2">
        <v>4</v>
      </c>
    </row>
    <row r="1657" spans="1:26">
      <c r="A1657" s="7">
        <f>MAX($A$1:$A1656)+1</f>
        <v>1656</v>
      </c>
      <c r="B1657" s="2" t="s">
        <v>171</v>
      </c>
      <c r="C1657" s="2" t="s">
        <v>170</v>
      </c>
      <c r="D1657" s="2" t="s">
        <v>26</v>
      </c>
      <c r="E1657" s="7" t="s">
        <v>486</v>
      </c>
      <c r="F1657" s="4">
        <v>48.834789276122997</v>
      </c>
      <c r="G1657" s="18">
        <v>-125.14702606201099</v>
      </c>
      <c r="H1657" s="5" t="s">
        <v>8</v>
      </c>
      <c r="I1657" s="2">
        <v>2.5</v>
      </c>
      <c r="J1657" s="2">
        <v>220</v>
      </c>
      <c r="K1657" s="52">
        <v>0.40138888888888885</v>
      </c>
      <c r="L1657" s="2" t="s">
        <v>172</v>
      </c>
      <c r="M1657" s="2">
        <v>6</v>
      </c>
      <c r="N1657" s="2">
        <v>2</v>
      </c>
      <c r="O1657" s="2">
        <v>2</v>
      </c>
      <c r="P1657" s="2" t="s">
        <v>350</v>
      </c>
      <c r="Q1657" s="7" t="s">
        <v>83</v>
      </c>
      <c r="R1657" s="4" t="s">
        <v>351</v>
      </c>
      <c r="S1657" s="20">
        <v>5</v>
      </c>
      <c r="T1657" s="2">
        <v>5</v>
      </c>
    </row>
    <row r="1658" spans="1:26">
      <c r="A1658" s="7">
        <f>MAX($A$1:$A1657)+1</f>
        <v>1657</v>
      </c>
      <c r="B1658" s="2" t="s">
        <v>171</v>
      </c>
      <c r="C1658" s="2" t="s">
        <v>170</v>
      </c>
      <c r="D1658" s="2" t="s">
        <v>26</v>
      </c>
      <c r="E1658" s="7" t="s">
        <v>486</v>
      </c>
      <c r="F1658" s="4">
        <v>48.834789276122997</v>
      </c>
      <c r="G1658" s="18">
        <v>-125.14702606201099</v>
      </c>
      <c r="H1658" s="5" t="s">
        <v>8</v>
      </c>
      <c r="I1658" s="2">
        <v>2.5</v>
      </c>
      <c r="J1658" s="2">
        <v>220</v>
      </c>
      <c r="K1658" s="52">
        <v>0.40138888888888885</v>
      </c>
      <c r="L1658" s="2" t="s">
        <v>172</v>
      </c>
      <c r="M1658" s="2">
        <v>6</v>
      </c>
      <c r="N1658" s="2">
        <v>2</v>
      </c>
      <c r="O1658" s="2">
        <v>2</v>
      </c>
      <c r="P1658" s="2" t="s">
        <v>247</v>
      </c>
      <c r="Q1658" s="7" t="s">
        <v>64</v>
      </c>
      <c r="R1658" s="4" t="s">
        <v>293</v>
      </c>
      <c r="S1658" s="20">
        <v>6</v>
      </c>
      <c r="T1658" s="2">
        <v>6</v>
      </c>
    </row>
    <row r="1659" spans="1:26">
      <c r="A1659" s="7">
        <f>MAX($A$1:$A1658)+1</f>
        <v>1658</v>
      </c>
      <c r="B1659" s="2" t="s">
        <v>171</v>
      </c>
      <c r="C1659" s="2" t="s">
        <v>170</v>
      </c>
      <c r="D1659" s="2" t="s">
        <v>26</v>
      </c>
      <c r="E1659" s="7" t="s">
        <v>486</v>
      </c>
      <c r="F1659" s="4">
        <v>48.834789276122997</v>
      </c>
      <c r="G1659" s="18">
        <v>-125.14702606201099</v>
      </c>
      <c r="H1659" s="5" t="s">
        <v>8</v>
      </c>
      <c r="I1659" s="2">
        <v>2.5</v>
      </c>
      <c r="J1659" s="2">
        <v>220</v>
      </c>
      <c r="K1659" s="52">
        <v>0.40138888888888885</v>
      </c>
      <c r="L1659" s="2" t="s">
        <v>172</v>
      </c>
      <c r="M1659" s="2">
        <v>6</v>
      </c>
      <c r="N1659" s="2">
        <v>2</v>
      </c>
      <c r="O1659" s="2">
        <v>2</v>
      </c>
      <c r="P1659" s="2" t="s">
        <v>251</v>
      </c>
      <c r="Q1659" s="7" t="s">
        <v>73</v>
      </c>
      <c r="R1659" s="4" t="s">
        <v>325</v>
      </c>
      <c r="S1659" s="20">
        <v>4</v>
      </c>
      <c r="T1659" s="2">
        <v>4</v>
      </c>
    </row>
    <row r="1660" spans="1:26">
      <c r="A1660" s="7">
        <f>MAX($A$1:$A1659)+1</f>
        <v>1659</v>
      </c>
      <c r="B1660" s="2" t="s">
        <v>171</v>
      </c>
      <c r="C1660" s="2" t="s">
        <v>170</v>
      </c>
      <c r="D1660" s="2" t="s">
        <v>26</v>
      </c>
      <c r="E1660" s="7" t="s">
        <v>486</v>
      </c>
      <c r="F1660" s="4">
        <v>48.834789276122997</v>
      </c>
      <c r="G1660" s="18">
        <v>-125.14702606201099</v>
      </c>
      <c r="H1660" s="5" t="s">
        <v>8</v>
      </c>
      <c r="I1660" s="2">
        <v>2.5</v>
      </c>
      <c r="J1660" s="2">
        <v>220</v>
      </c>
      <c r="K1660" s="52">
        <v>0.40138888888888885</v>
      </c>
      <c r="L1660" s="2" t="s">
        <v>172</v>
      </c>
      <c r="M1660" s="2">
        <v>6</v>
      </c>
      <c r="N1660" s="2">
        <v>2</v>
      </c>
      <c r="O1660" s="2">
        <v>2</v>
      </c>
      <c r="P1660" s="2" t="s">
        <v>250</v>
      </c>
      <c r="Q1660" s="7" t="s">
        <v>46</v>
      </c>
      <c r="R1660" s="4" t="s">
        <v>295</v>
      </c>
      <c r="S1660" s="20">
        <v>3</v>
      </c>
      <c r="T1660" s="2">
        <v>0</v>
      </c>
      <c r="U1660" s="2">
        <v>3</v>
      </c>
    </row>
    <row r="1661" spans="1:26">
      <c r="A1661" s="7">
        <f>MAX($A$1:$A1660)+1</f>
        <v>1660</v>
      </c>
      <c r="B1661" s="2" t="s">
        <v>171</v>
      </c>
      <c r="C1661" s="2" t="s">
        <v>170</v>
      </c>
      <c r="D1661" s="2" t="s">
        <v>26</v>
      </c>
      <c r="E1661" s="7" t="s">
        <v>486</v>
      </c>
      <c r="F1661" s="4">
        <v>48.834789276122997</v>
      </c>
      <c r="G1661" s="18">
        <v>-125.14702606201099</v>
      </c>
      <c r="H1661" s="5" t="s">
        <v>8</v>
      </c>
      <c r="I1661" s="2">
        <v>2.5</v>
      </c>
      <c r="J1661" s="2">
        <v>220</v>
      </c>
      <c r="K1661" s="52">
        <v>0.40138888888888885</v>
      </c>
      <c r="L1661" s="2" t="s">
        <v>172</v>
      </c>
      <c r="M1661" s="2">
        <v>6</v>
      </c>
      <c r="N1661" s="2">
        <v>2</v>
      </c>
      <c r="O1661" s="2">
        <v>2</v>
      </c>
      <c r="P1661" s="2" t="s">
        <v>316</v>
      </c>
      <c r="Q1661" s="7" t="s">
        <v>123</v>
      </c>
      <c r="R1661" s="4" t="s">
        <v>317</v>
      </c>
      <c r="S1661" s="20">
        <v>7</v>
      </c>
      <c r="T1661" s="2">
        <v>7</v>
      </c>
    </row>
    <row r="1662" spans="1:26">
      <c r="A1662" s="7">
        <f>MAX($A$1:$A1661)+1</f>
        <v>1661</v>
      </c>
      <c r="B1662" s="2" t="s">
        <v>171</v>
      </c>
      <c r="C1662" s="2" t="s">
        <v>170</v>
      </c>
      <c r="D1662" s="2" t="s">
        <v>26</v>
      </c>
      <c r="E1662" s="7" t="s">
        <v>486</v>
      </c>
      <c r="F1662" s="4">
        <v>48.834789276122997</v>
      </c>
      <c r="G1662" s="18">
        <v>-125.14702606201099</v>
      </c>
      <c r="H1662" s="5" t="s">
        <v>8</v>
      </c>
      <c r="I1662" s="2">
        <v>2.5</v>
      </c>
      <c r="J1662" s="2">
        <v>220</v>
      </c>
      <c r="K1662" s="52">
        <v>0.40138888888888885</v>
      </c>
      <c r="L1662" s="2" t="s">
        <v>172</v>
      </c>
      <c r="M1662" s="2">
        <v>6</v>
      </c>
      <c r="N1662" s="2">
        <v>2</v>
      </c>
      <c r="O1662" s="2">
        <v>2</v>
      </c>
      <c r="P1662" s="2" t="s">
        <v>252</v>
      </c>
      <c r="Q1662" s="7" t="s">
        <v>76</v>
      </c>
      <c r="R1662" s="4" t="s">
        <v>413</v>
      </c>
      <c r="S1662" s="20">
        <v>1</v>
      </c>
      <c r="T1662" s="2">
        <v>1</v>
      </c>
    </row>
    <row r="1663" spans="1:26">
      <c r="A1663" s="7">
        <f>MAX($A$1:$A1662)+1</f>
        <v>1662</v>
      </c>
      <c r="B1663" s="2" t="s">
        <v>171</v>
      </c>
      <c r="C1663" s="2" t="s">
        <v>170</v>
      </c>
      <c r="D1663" s="2" t="s">
        <v>26</v>
      </c>
      <c r="E1663" s="7" t="s">
        <v>486</v>
      </c>
      <c r="F1663" s="4">
        <v>48.834789276122997</v>
      </c>
      <c r="G1663" s="18">
        <v>-125.14702606201099</v>
      </c>
      <c r="H1663" s="5" t="s">
        <v>8</v>
      </c>
      <c r="I1663" s="2">
        <v>2.5</v>
      </c>
      <c r="J1663" s="2">
        <v>220</v>
      </c>
      <c r="K1663" s="52">
        <v>0.40138888888888885</v>
      </c>
      <c r="L1663" s="2" t="s">
        <v>172</v>
      </c>
      <c r="M1663" s="2">
        <v>6</v>
      </c>
      <c r="N1663" s="2">
        <v>2</v>
      </c>
      <c r="O1663" s="2">
        <v>2</v>
      </c>
      <c r="P1663" s="2" t="s">
        <v>487</v>
      </c>
      <c r="Q1663" s="7" t="s">
        <v>109</v>
      </c>
      <c r="R1663" s="4" t="s">
        <v>391</v>
      </c>
      <c r="S1663" s="20">
        <v>3</v>
      </c>
      <c r="T1663" s="2">
        <v>3</v>
      </c>
    </row>
    <row r="1664" spans="1:26">
      <c r="A1664" s="7">
        <f>MAX($A$1:$A1663)+1</f>
        <v>1663</v>
      </c>
      <c r="B1664" s="2" t="s">
        <v>171</v>
      </c>
      <c r="C1664" s="2" t="s">
        <v>170</v>
      </c>
      <c r="D1664" s="2" t="s">
        <v>26</v>
      </c>
      <c r="E1664" s="7" t="s">
        <v>486</v>
      </c>
      <c r="F1664" s="4">
        <v>48.834789276122997</v>
      </c>
      <c r="G1664" s="18">
        <v>-125.14702606201099</v>
      </c>
      <c r="H1664" s="5" t="s">
        <v>8</v>
      </c>
      <c r="I1664" s="2">
        <v>2.5</v>
      </c>
      <c r="J1664" s="2">
        <v>220</v>
      </c>
      <c r="K1664" s="52">
        <v>0.40138888888888885</v>
      </c>
      <c r="L1664" s="2" t="s">
        <v>172</v>
      </c>
      <c r="M1664" s="2">
        <v>6</v>
      </c>
      <c r="N1664" s="2">
        <v>2</v>
      </c>
      <c r="O1664" s="2">
        <v>2</v>
      </c>
      <c r="P1664" s="2" t="s">
        <v>335</v>
      </c>
      <c r="Q1664" s="7" t="s">
        <v>91</v>
      </c>
      <c r="R1664" s="4" t="s">
        <v>336</v>
      </c>
      <c r="S1664" s="20">
        <v>2</v>
      </c>
      <c r="T1664" s="2">
        <v>2</v>
      </c>
    </row>
    <row r="1665" spans="1:48">
      <c r="A1665" s="7">
        <f>MAX($A$1:$A1664)+1</f>
        <v>1664</v>
      </c>
      <c r="B1665" s="2" t="s">
        <v>171</v>
      </c>
      <c r="C1665" s="2" t="s">
        <v>170</v>
      </c>
      <c r="D1665" s="2" t="s">
        <v>26</v>
      </c>
      <c r="E1665" s="7" t="s">
        <v>486</v>
      </c>
      <c r="F1665" s="4">
        <v>48.834789276122997</v>
      </c>
      <c r="G1665" s="18">
        <v>-125.14702606201099</v>
      </c>
      <c r="H1665" s="5" t="s">
        <v>8</v>
      </c>
      <c r="I1665" s="2">
        <v>2.5</v>
      </c>
      <c r="J1665" s="2">
        <v>220</v>
      </c>
      <c r="K1665" s="52">
        <v>0.40138888888888885</v>
      </c>
      <c r="L1665" s="2" t="s">
        <v>172</v>
      </c>
      <c r="M1665" s="2">
        <v>6</v>
      </c>
      <c r="N1665" s="2">
        <v>2</v>
      </c>
      <c r="O1665" s="2">
        <v>2</v>
      </c>
      <c r="P1665" s="2" t="s">
        <v>259</v>
      </c>
      <c r="Q1665" s="7" t="s">
        <v>106</v>
      </c>
      <c r="R1665" s="4" t="s">
        <v>343</v>
      </c>
      <c r="S1665" s="20">
        <v>4</v>
      </c>
      <c r="T1665" s="2">
        <v>4</v>
      </c>
    </row>
    <row r="1666" spans="1:48">
      <c r="A1666" s="7">
        <f>MAX($A$1:$A1665)+1</f>
        <v>1665</v>
      </c>
      <c r="B1666" s="2" t="s">
        <v>171</v>
      </c>
      <c r="C1666" s="2" t="s">
        <v>170</v>
      </c>
      <c r="D1666" s="2" t="s">
        <v>26</v>
      </c>
      <c r="E1666" s="7" t="s">
        <v>486</v>
      </c>
      <c r="F1666" s="4">
        <v>48.834789276122997</v>
      </c>
      <c r="G1666" s="18">
        <v>-125.14702606201099</v>
      </c>
      <c r="H1666" s="5" t="s">
        <v>8</v>
      </c>
      <c r="I1666" s="2">
        <v>2.5</v>
      </c>
      <c r="J1666" s="2">
        <v>220</v>
      </c>
      <c r="K1666" s="52">
        <v>0.40138888888888885</v>
      </c>
      <c r="L1666" s="2" t="s">
        <v>172</v>
      </c>
      <c r="M1666" s="2">
        <v>6</v>
      </c>
      <c r="N1666" s="2">
        <v>2</v>
      </c>
      <c r="O1666" s="2">
        <v>2</v>
      </c>
      <c r="P1666" s="2" t="s">
        <v>340</v>
      </c>
      <c r="Q1666" s="7" t="s">
        <v>114</v>
      </c>
      <c r="R1666" s="4" t="s">
        <v>341</v>
      </c>
      <c r="S1666" s="20">
        <v>1</v>
      </c>
      <c r="T1666" s="2">
        <v>1</v>
      </c>
    </row>
    <row r="1667" spans="1:48">
      <c r="A1667" s="7">
        <f>MAX($A$1:$A1666)+1</f>
        <v>1666</v>
      </c>
      <c r="B1667" s="2" t="s">
        <v>171</v>
      </c>
      <c r="C1667" s="2" t="s">
        <v>170</v>
      </c>
      <c r="D1667" s="2" t="s">
        <v>26</v>
      </c>
      <c r="E1667" s="7" t="s">
        <v>486</v>
      </c>
      <c r="F1667" s="4">
        <v>48.834789276122997</v>
      </c>
      <c r="G1667" s="18">
        <v>-125.14702606201099</v>
      </c>
      <c r="H1667" s="5" t="s">
        <v>8</v>
      </c>
      <c r="I1667" s="2">
        <v>2.5</v>
      </c>
      <c r="J1667" s="2">
        <v>220</v>
      </c>
      <c r="K1667" s="52">
        <v>0.40138888888888885</v>
      </c>
      <c r="L1667" s="2" t="s">
        <v>172</v>
      </c>
      <c r="M1667" s="2">
        <v>6</v>
      </c>
      <c r="N1667" s="2">
        <v>2</v>
      </c>
      <c r="O1667" s="2">
        <v>2</v>
      </c>
      <c r="P1667" s="2" t="s">
        <v>483</v>
      </c>
      <c r="Q1667" s="7" t="s">
        <v>149</v>
      </c>
      <c r="R1667" s="4" t="s">
        <v>484</v>
      </c>
      <c r="S1667" s="20">
        <v>3</v>
      </c>
      <c r="T1667" s="2">
        <v>3</v>
      </c>
    </row>
    <row r="1668" spans="1:48">
      <c r="A1668" s="7">
        <f>MAX($A$1:$A1667)+1</f>
        <v>1667</v>
      </c>
      <c r="B1668" s="2" t="s">
        <v>171</v>
      </c>
      <c r="C1668" s="2" t="s">
        <v>170</v>
      </c>
      <c r="D1668" s="2" t="s">
        <v>26</v>
      </c>
      <c r="E1668" s="7" t="s">
        <v>486</v>
      </c>
      <c r="F1668" s="4">
        <v>48.834789276122997</v>
      </c>
      <c r="G1668" s="18">
        <v>-125.14702606201099</v>
      </c>
      <c r="H1668" s="5" t="s">
        <v>8</v>
      </c>
      <c r="I1668" s="2">
        <v>2.5</v>
      </c>
      <c r="J1668" s="2">
        <v>220</v>
      </c>
      <c r="K1668" s="52">
        <v>0.40138888888888885</v>
      </c>
      <c r="L1668" s="2" t="s">
        <v>172</v>
      </c>
      <c r="M1668" s="2">
        <v>6</v>
      </c>
      <c r="N1668" s="2">
        <v>2</v>
      </c>
      <c r="O1668" s="2">
        <v>2</v>
      </c>
      <c r="P1668" s="2" t="s">
        <v>271</v>
      </c>
      <c r="Q1668" s="7" t="s">
        <v>84</v>
      </c>
      <c r="R1668" s="4" t="s">
        <v>406</v>
      </c>
      <c r="S1668" s="20">
        <v>2</v>
      </c>
      <c r="T1668" s="2">
        <v>2</v>
      </c>
    </row>
    <row r="1669" spans="1:48">
      <c r="A1669" s="7">
        <f>MAX($A$1:$A1668)+1</f>
        <v>1668</v>
      </c>
      <c r="B1669" s="2" t="s">
        <v>171</v>
      </c>
      <c r="C1669" s="2" t="s">
        <v>170</v>
      </c>
      <c r="D1669" s="2" t="s">
        <v>26</v>
      </c>
      <c r="E1669" s="7" t="s">
        <v>486</v>
      </c>
      <c r="F1669" s="4">
        <v>48.834789276122997</v>
      </c>
      <c r="G1669" s="18">
        <v>-125.14702606201099</v>
      </c>
      <c r="H1669" s="5" t="s">
        <v>8</v>
      </c>
      <c r="I1669" s="2">
        <v>2.5</v>
      </c>
      <c r="J1669" s="2">
        <v>220</v>
      </c>
      <c r="K1669" s="52">
        <v>0.40138888888888885</v>
      </c>
      <c r="L1669" s="2" t="s">
        <v>172</v>
      </c>
      <c r="M1669" s="2">
        <v>6</v>
      </c>
      <c r="N1669" s="2">
        <v>2</v>
      </c>
      <c r="O1669" s="2">
        <v>2</v>
      </c>
      <c r="P1669" s="2" t="s">
        <v>388</v>
      </c>
      <c r="Q1669" s="7" t="s">
        <v>82</v>
      </c>
      <c r="R1669" s="4" t="s">
        <v>389</v>
      </c>
      <c r="S1669" s="20">
        <v>1</v>
      </c>
      <c r="T1669" s="2">
        <v>1</v>
      </c>
    </row>
    <row r="1670" spans="1:48">
      <c r="A1670" s="7">
        <f>MAX($A$1:$A1669)+1</f>
        <v>1669</v>
      </c>
      <c r="B1670" s="2" t="s">
        <v>171</v>
      </c>
      <c r="C1670" s="2" t="s">
        <v>170</v>
      </c>
      <c r="D1670" s="2" t="s">
        <v>26</v>
      </c>
      <c r="E1670" s="7" t="s">
        <v>486</v>
      </c>
      <c r="F1670" s="4">
        <v>48.834789276122997</v>
      </c>
      <c r="G1670" s="18">
        <v>-125.14702606201099</v>
      </c>
      <c r="H1670" s="5" t="s">
        <v>8</v>
      </c>
      <c r="I1670" s="2">
        <v>2.5</v>
      </c>
      <c r="J1670" s="2">
        <v>220</v>
      </c>
      <c r="K1670" s="52">
        <v>0.40138888888888885</v>
      </c>
      <c r="L1670" s="2" t="s">
        <v>172</v>
      </c>
      <c r="M1670" s="2">
        <v>6</v>
      </c>
      <c r="N1670" s="2">
        <v>2</v>
      </c>
      <c r="O1670" s="2">
        <v>2</v>
      </c>
      <c r="P1670" s="2" t="s">
        <v>419</v>
      </c>
      <c r="Q1670" s="7" t="s">
        <v>139</v>
      </c>
      <c r="R1670" s="4" t="s">
        <v>420</v>
      </c>
      <c r="S1670" s="20">
        <v>1</v>
      </c>
      <c r="T1670" s="2">
        <v>1</v>
      </c>
    </row>
    <row r="1671" spans="1:48">
      <c r="A1671" s="7">
        <f>MAX($A$1:$A1670)+1</f>
        <v>1670</v>
      </c>
      <c r="B1671" s="2" t="s">
        <v>171</v>
      </c>
      <c r="C1671" s="2" t="s">
        <v>170</v>
      </c>
      <c r="D1671" s="2" t="s">
        <v>26</v>
      </c>
      <c r="E1671" s="7" t="s">
        <v>486</v>
      </c>
      <c r="F1671" s="4">
        <v>48.834789276122997</v>
      </c>
      <c r="G1671" s="18">
        <v>-125.14702606201099</v>
      </c>
      <c r="H1671" s="5" t="s">
        <v>8</v>
      </c>
      <c r="I1671" s="2">
        <v>2.5</v>
      </c>
      <c r="J1671" s="2">
        <v>220</v>
      </c>
      <c r="K1671" s="52">
        <v>0.40138888888888885</v>
      </c>
      <c r="L1671" s="2" t="s">
        <v>172</v>
      </c>
      <c r="M1671" s="2">
        <v>6</v>
      </c>
      <c r="N1671" s="2">
        <v>2</v>
      </c>
      <c r="O1671" s="2">
        <v>2</v>
      </c>
      <c r="P1671" s="2" t="s">
        <v>401</v>
      </c>
      <c r="Q1671" s="7" t="s">
        <v>135</v>
      </c>
      <c r="R1671" s="4" t="s">
        <v>402</v>
      </c>
      <c r="S1671" s="20">
        <v>1</v>
      </c>
      <c r="T1671" s="2">
        <v>1</v>
      </c>
    </row>
    <row r="1672" spans="1:48">
      <c r="A1672" s="7">
        <f>MAX($A$1:$A1671)+1</f>
        <v>1671</v>
      </c>
      <c r="B1672" s="2" t="s">
        <v>171</v>
      </c>
      <c r="C1672" s="2" t="s">
        <v>170</v>
      </c>
      <c r="D1672" s="2" t="s">
        <v>26</v>
      </c>
      <c r="E1672" s="7" t="s">
        <v>486</v>
      </c>
      <c r="F1672" s="4">
        <v>48.834789276122997</v>
      </c>
      <c r="G1672" s="18">
        <v>-125.14702606201099</v>
      </c>
      <c r="H1672" s="5" t="s">
        <v>8</v>
      </c>
      <c r="I1672" s="2">
        <v>2.5</v>
      </c>
      <c r="J1672" s="2">
        <v>220</v>
      </c>
      <c r="K1672" s="52">
        <v>0.40138888888888885</v>
      </c>
      <c r="L1672" s="2" t="s">
        <v>172</v>
      </c>
      <c r="M1672" s="2">
        <v>6</v>
      </c>
      <c r="N1672" s="2">
        <v>2</v>
      </c>
      <c r="O1672" s="2">
        <v>2</v>
      </c>
      <c r="P1672" s="2" t="s">
        <v>333</v>
      </c>
      <c r="Q1672" s="7" t="s">
        <v>102</v>
      </c>
      <c r="R1672" s="4" t="s">
        <v>334</v>
      </c>
      <c r="S1672" s="20">
        <v>2</v>
      </c>
      <c r="T1672" s="2">
        <v>2</v>
      </c>
    </row>
    <row r="1673" spans="1:48">
      <c r="A1673" s="7">
        <f>MAX($A$1:$A1672)+1</f>
        <v>1672</v>
      </c>
      <c r="B1673" s="2" t="s">
        <v>171</v>
      </c>
      <c r="C1673" s="2" t="s">
        <v>170</v>
      </c>
      <c r="D1673" s="2" t="s">
        <v>26</v>
      </c>
      <c r="E1673" s="7" t="s">
        <v>486</v>
      </c>
      <c r="F1673" s="4">
        <v>48.834789276122997</v>
      </c>
      <c r="G1673" s="18">
        <v>-125.14702606201099</v>
      </c>
      <c r="H1673" s="5" t="s">
        <v>8</v>
      </c>
      <c r="I1673" s="2">
        <v>2.5</v>
      </c>
      <c r="J1673" s="2">
        <v>220</v>
      </c>
      <c r="K1673" s="52">
        <v>0.40138888888888885</v>
      </c>
      <c r="L1673" s="2" t="s">
        <v>172</v>
      </c>
      <c r="M1673" s="2">
        <v>6</v>
      </c>
      <c r="N1673" s="2">
        <v>0</v>
      </c>
      <c r="O1673" s="2">
        <v>2</v>
      </c>
      <c r="P1673" s="2" t="s">
        <v>231</v>
      </c>
      <c r="Q1673" s="7" t="s">
        <v>48</v>
      </c>
      <c r="R1673" s="4" t="s">
        <v>365</v>
      </c>
      <c r="S1673" s="20">
        <v>4</v>
      </c>
      <c r="T1673" s="2">
        <v>0</v>
      </c>
      <c r="Y1673" s="2">
        <v>4</v>
      </c>
    </row>
    <row r="1674" spans="1:48">
      <c r="A1674" s="7">
        <f>MAX($A$1:$A1673)+1</f>
        <v>1673</v>
      </c>
      <c r="B1674" s="2" t="s">
        <v>171</v>
      </c>
      <c r="C1674" s="2" t="s">
        <v>170</v>
      </c>
      <c r="D1674" s="2" t="s">
        <v>26</v>
      </c>
      <c r="E1674" s="7" t="s">
        <v>486</v>
      </c>
      <c r="F1674" s="4">
        <v>48.834789276122997</v>
      </c>
      <c r="G1674" s="18">
        <v>-125.14702606201099</v>
      </c>
      <c r="H1674" s="5" t="s">
        <v>8</v>
      </c>
      <c r="I1674" s="2">
        <v>2.5</v>
      </c>
      <c r="J1674" s="2">
        <v>220</v>
      </c>
      <c r="K1674" s="52">
        <v>0.40138888888888885</v>
      </c>
      <c r="L1674" s="2" t="s">
        <v>172</v>
      </c>
      <c r="M1674" s="2">
        <v>6</v>
      </c>
      <c r="N1674" s="2">
        <v>0</v>
      </c>
      <c r="O1674" s="2">
        <v>2</v>
      </c>
      <c r="P1674" s="2" t="s">
        <v>237</v>
      </c>
      <c r="Q1674" s="7" t="s">
        <v>51</v>
      </c>
      <c r="R1674" s="4" t="s">
        <v>368</v>
      </c>
      <c r="S1674" s="20">
        <v>1</v>
      </c>
      <c r="T1674" s="2">
        <v>0</v>
      </c>
      <c r="AE1674" s="2">
        <v>1</v>
      </c>
    </row>
    <row r="1675" spans="1:48">
      <c r="A1675" s="7">
        <f>MAX($A$1:$A1674)+1</f>
        <v>1674</v>
      </c>
      <c r="B1675" s="2" t="s">
        <v>171</v>
      </c>
      <c r="C1675" s="2" t="s">
        <v>170</v>
      </c>
      <c r="D1675" s="2" t="s">
        <v>26</v>
      </c>
      <c r="E1675" s="7" t="s">
        <v>486</v>
      </c>
      <c r="F1675" s="4">
        <v>48.834789276122997</v>
      </c>
      <c r="G1675" s="18">
        <v>-125.14702606201099</v>
      </c>
      <c r="H1675" s="5" t="s">
        <v>8</v>
      </c>
      <c r="I1675" s="2">
        <v>2.5</v>
      </c>
      <c r="J1675" s="2">
        <v>220</v>
      </c>
      <c r="K1675" s="52">
        <v>0.40138888888888885</v>
      </c>
      <c r="L1675" s="2" t="s">
        <v>172</v>
      </c>
      <c r="M1675" s="2">
        <v>6</v>
      </c>
      <c r="N1675" s="2">
        <v>0</v>
      </c>
      <c r="O1675" s="2">
        <v>0</v>
      </c>
      <c r="P1675" s="2" t="s">
        <v>235</v>
      </c>
      <c r="Q1675" s="7" t="s">
        <v>54</v>
      </c>
      <c r="R1675" s="4" t="s">
        <v>364</v>
      </c>
      <c r="S1675" s="20">
        <v>1</v>
      </c>
      <c r="T1675" s="2">
        <v>1</v>
      </c>
    </row>
    <row r="1676" spans="1:48">
      <c r="A1676" s="7">
        <f>MAX($A$1:$A1675)+1</f>
        <v>1675</v>
      </c>
      <c r="B1676" s="2" t="s">
        <v>171</v>
      </c>
      <c r="C1676" s="2" t="s">
        <v>170</v>
      </c>
      <c r="D1676" s="2" t="s">
        <v>26</v>
      </c>
      <c r="E1676" s="7" t="s">
        <v>486</v>
      </c>
      <c r="F1676" s="4">
        <v>48.834789276122997</v>
      </c>
      <c r="G1676" s="18">
        <v>-125.14702606201099</v>
      </c>
      <c r="H1676" s="5" t="s">
        <v>8</v>
      </c>
      <c r="I1676" s="2">
        <v>2.5</v>
      </c>
      <c r="J1676" s="2">
        <v>220</v>
      </c>
      <c r="K1676" s="52">
        <v>0.40138888888888885</v>
      </c>
      <c r="L1676" s="2" t="s">
        <v>172</v>
      </c>
      <c r="M1676" s="2">
        <v>6</v>
      </c>
      <c r="N1676" s="2">
        <v>0</v>
      </c>
      <c r="O1676" s="2">
        <v>0</v>
      </c>
      <c r="P1676" s="2" t="s">
        <v>249</v>
      </c>
      <c r="Q1676" s="7" t="s">
        <v>90</v>
      </c>
      <c r="R1676" s="4" t="s">
        <v>352</v>
      </c>
      <c r="S1676" s="20">
        <v>1</v>
      </c>
      <c r="T1676" s="2">
        <v>1</v>
      </c>
    </row>
    <row r="1677" spans="1:48">
      <c r="A1677" s="7">
        <f>MAX($A$1:$A1676)+1</f>
        <v>1676</v>
      </c>
      <c r="B1677" s="2" t="s">
        <v>171</v>
      </c>
      <c r="C1677" s="2" t="s">
        <v>170</v>
      </c>
      <c r="D1677" s="2" t="s">
        <v>26</v>
      </c>
      <c r="E1677" s="7" t="s">
        <v>486</v>
      </c>
      <c r="F1677" s="4">
        <v>48.834789276122997</v>
      </c>
      <c r="G1677" s="18">
        <v>-125.14702606201099</v>
      </c>
      <c r="H1677" s="5" t="s">
        <v>8</v>
      </c>
      <c r="I1677" s="2">
        <v>2.5</v>
      </c>
      <c r="J1677" s="2">
        <v>220</v>
      </c>
      <c r="K1677" s="52">
        <v>0.40138888888888885</v>
      </c>
      <c r="L1677" s="2" t="s">
        <v>172</v>
      </c>
      <c r="M1677" s="2">
        <v>6</v>
      </c>
      <c r="N1677" s="2">
        <v>0</v>
      </c>
      <c r="O1677" s="2">
        <v>0</v>
      </c>
      <c r="P1677" s="2" t="s">
        <v>380</v>
      </c>
      <c r="Q1677" s="7" t="s">
        <v>52</v>
      </c>
      <c r="R1677" s="4" t="s">
        <v>381</v>
      </c>
      <c r="S1677" s="20">
        <v>1</v>
      </c>
      <c r="T1677" s="2">
        <v>0</v>
      </c>
      <c r="Z1677" s="2">
        <v>1</v>
      </c>
    </row>
    <row r="1678" spans="1:48">
      <c r="A1678" s="7">
        <f>MAX($A$1:$A1677)+1</f>
        <v>1677</v>
      </c>
      <c r="B1678" s="2" t="s">
        <v>171</v>
      </c>
      <c r="C1678" s="2" t="s">
        <v>170</v>
      </c>
      <c r="D1678" s="2" t="s">
        <v>26</v>
      </c>
      <c r="E1678" s="7" t="s">
        <v>486</v>
      </c>
      <c r="F1678" s="4">
        <v>48.834789276122997</v>
      </c>
      <c r="G1678" s="18">
        <v>-125.14702606201099</v>
      </c>
      <c r="H1678" s="5" t="s">
        <v>8</v>
      </c>
      <c r="I1678" s="2">
        <v>2.5</v>
      </c>
      <c r="J1678" s="2">
        <v>220</v>
      </c>
      <c r="K1678" s="52">
        <v>0.40138888888888885</v>
      </c>
      <c r="L1678" s="2" t="s">
        <v>172</v>
      </c>
      <c r="M1678" s="2">
        <v>6</v>
      </c>
      <c r="N1678" s="2">
        <v>0</v>
      </c>
      <c r="O1678" s="2">
        <v>0</v>
      </c>
      <c r="P1678" s="2" t="s">
        <v>468</v>
      </c>
      <c r="Q1678" s="7" t="s">
        <v>469</v>
      </c>
      <c r="R1678" s="4" t="s">
        <v>470</v>
      </c>
      <c r="S1678" s="20">
        <v>1</v>
      </c>
      <c r="T1678" s="2">
        <v>0</v>
      </c>
      <c r="W1678" s="2">
        <v>1</v>
      </c>
    </row>
    <row r="1679" spans="1:48">
      <c r="A1679" s="7">
        <f>MAX($A$1:$A1678)+1</f>
        <v>1678</v>
      </c>
      <c r="B1679" s="2" t="s">
        <v>171</v>
      </c>
      <c r="C1679" s="2" t="s">
        <v>170</v>
      </c>
      <c r="D1679" s="2" t="s">
        <v>26</v>
      </c>
      <c r="E1679" s="7" t="s">
        <v>486</v>
      </c>
      <c r="F1679" s="4">
        <v>48.834789276122997</v>
      </c>
      <c r="G1679" s="18">
        <v>-125.14702606201099</v>
      </c>
      <c r="H1679" s="5" t="s">
        <v>8</v>
      </c>
      <c r="I1679" s="2">
        <v>2.5</v>
      </c>
      <c r="J1679" s="2">
        <v>220</v>
      </c>
      <c r="K1679" s="52">
        <v>0.40138888888888885</v>
      </c>
      <c r="L1679" s="2" t="s">
        <v>172</v>
      </c>
      <c r="M1679" s="2">
        <v>6</v>
      </c>
      <c r="N1679" s="2">
        <v>0</v>
      </c>
      <c r="O1679" s="2">
        <v>0</v>
      </c>
      <c r="P1679" s="2" t="s">
        <v>338</v>
      </c>
      <c r="Q1679" s="7" t="s">
        <v>101</v>
      </c>
      <c r="R1679" s="4" t="s">
        <v>339</v>
      </c>
      <c r="S1679" s="20">
        <v>2</v>
      </c>
      <c r="T1679" s="2">
        <v>0</v>
      </c>
      <c r="U1679" s="2">
        <v>1</v>
      </c>
      <c r="V1679" s="2">
        <v>1</v>
      </c>
    </row>
    <row r="1680" spans="1:48">
      <c r="A1680" s="29"/>
      <c r="D1680" s="3"/>
      <c r="H1680" s="50"/>
      <c r="I1680" s="3"/>
      <c r="J1680" s="3"/>
      <c r="K1680" s="21">
        <v>0.5</v>
      </c>
      <c r="L1680" s="3"/>
      <c r="M1680" s="3"/>
      <c r="N1680" s="3" t="s">
        <v>152</v>
      </c>
      <c r="O1680" s="3" t="s">
        <v>152</v>
      </c>
      <c r="P1680" s="3"/>
      <c r="Q1680" s="23">
        <v>2</v>
      </c>
      <c r="R1680" s="24">
        <v>3</v>
      </c>
      <c r="S1680" s="55">
        <f>SUM(S1681:S11679)</f>
        <v>0</v>
      </c>
      <c r="T1680" s="3">
        <f>SUM(T1681:T11679)</f>
        <v>0</v>
      </c>
      <c r="U1680" s="3">
        <v>1</v>
      </c>
      <c r="V1680" s="3">
        <v>2</v>
      </c>
      <c r="W1680" s="3">
        <v>3</v>
      </c>
      <c r="X1680" s="3">
        <v>4</v>
      </c>
      <c r="Y1680" s="3">
        <v>5</v>
      </c>
      <c r="Z1680" s="3">
        <v>6</v>
      </c>
      <c r="AA1680" s="3">
        <v>8</v>
      </c>
      <c r="AB1680" s="3">
        <v>10</v>
      </c>
      <c r="AC1680" s="3">
        <v>12</v>
      </c>
      <c r="AD1680" s="3">
        <v>14</v>
      </c>
      <c r="AE1680" s="3">
        <v>16</v>
      </c>
      <c r="AF1680" s="3">
        <v>20</v>
      </c>
      <c r="AG1680" s="3">
        <v>25</v>
      </c>
      <c r="AH1680" s="3">
        <v>30</v>
      </c>
      <c r="AI1680" s="3">
        <v>35</v>
      </c>
      <c r="AJ1680" s="3">
        <v>40</v>
      </c>
      <c r="AK1680" s="3">
        <v>45</v>
      </c>
      <c r="AL1680" s="3">
        <v>50</v>
      </c>
      <c r="AM1680" s="3">
        <v>55</v>
      </c>
      <c r="AN1680" s="3">
        <v>60</v>
      </c>
      <c r="AO1680" s="3">
        <v>65</v>
      </c>
      <c r="AP1680" s="3">
        <v>70</v>
      </c>
      <c r="AQ1680" s="3">
        <v>75</v>
      </c>
      <c r="AR1680" s="3">
        <v>80</v>
      </c>
      <c r="AS1680" s="3">
        <v>100</v>
      </c>
      <c r="AT1680" s="3">
        <v>120</v>
      </c>
      <c r="AU1680" s="3">
        <v>140</v>
      </c>
      <c r="AV1680" s="3">
        <v>160</v>
      </c>
    </row>
  </sheetData>
  <sheetProtection formatCells="0" formatRows="0" insertRows="0" deleteRows="0" selectLockedCells="1"/>
  <autoFilter ref="A1:AV1680" xr:uid="{00000000-0001-0000-0100-000000000000}">
    <sortState xmlns:xlrd2="http://schemas.microsoft.com/office/spreadsheetml/2017/richdata2" ref="A2:AV1680">
      <sortCondition ref="D1:D1680"/>
    </sortState>
  </autoFilter>
  <phoneticPr fontId="0" type="noConversion"/>
  <dataValidations count="4">
    <dataValidation type="decimal" allowBlank="1" showInputMessage="1" showErrorMessage="1" sqref="O1 O460:O478 O480:O65538" xr:uid="{00000000-0002-0000-0100-000001000000}">
      <formula1>0</formula1>
      <formula2>2</formula2>
    </dataValidation>
    <dataValidation type="decimal" allowBlank="1" showInputMessage="1" showErrorMessage="1" sqref="N480:N65538 N460:N478" xr:uid="{00000000-0002-0000-0100-000002000000}">
      <formula1>0</formula1>
      <formula2>3</formula2>
    </dataValidation>
    <dataValidation type="decimal" operator="greaterThan" allowBlank="1" showInputMessage="1" showErrorMessage="1" sqref="M1:M1048576 I1:I1048576" xr:uid="{00000000-0002-0000-0100-000000000000}">
      <formula1>0</formula1>
    </dataValidation>
    <dataValidation type="time" allowBlank="1" showInputMessage="1" showErrorMessage="1" sqref="K1:K1048576" xr:uid="{00000000-0002-0000-0100-000003000000}">
      <formula1>0.208333333333333</formula1>
      <formula2>0.999305555555556</formula2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0"/>
  <sheetViews>
    <sheetView workbookViewId="0">
      <pane xSplit="3" ySplit="1" topLeftCell="D44" activePane="bottomRight" state="frozen"/>
      <selection pane="topRight" activeCell="E1" sqref="E1"/>
      <selection pane="bottomLeft" activeCell="A2" sqref="A2"/>
      <selection pane="bottomRight" activeCell="B47" sqref="A47:B47"/>
    </sheetView>
  </sheetViews>
  <sheetFormatPr baseColWidth="10" defaultColWidth="9.1640625" defaultRowHeight="13"/>
  <cols>
    <col min="1" max="1" width="9.1640625" customWidth="1"/>
    <col min="2" max="2" width="34.5" bestFit="1" customWidth="1"/>
    <col min="3" max="3" width="37" bestFit="1" customWidth="1"/>
  </cols>
  <sheetData>
    <row r="1" spans="1:3">
      <c r="A1" s="1" t="s">
        <v>166</v>
      </c>
      <c r="B1" s="1" t="s">
        <v>530</v>
      </c>
      <c r="C1" s="1" t="s">
        <v>531</v>
      </c>
    </row>
    <row r="2" spans="1:3">
      <c r="A2" t="s">
        <v>532</v>
      </c>
      <c r="B2" t="s">
        <v>533</v>
      </c>
      <c r="C2" t="s">
        <v>534</v>
      </c>
    </row>
    <row r="3" spans="1:3">
      <c r="A3" t="s">
        <v>535</v>
      </c>
      <c r="B3" t="s">
        <v>536</v>
      </c>
      <c r="C3" t="s">
        <v>537</v>
      </c>
    </row>
    <row r="4" spans="1:3">
      <c r="A4" t="s">
        <v>434</v>
      </c>
      <c r="B4" t="s">
        <v>60</v>
      </c>
      <c r="C4" t="s">
        <v>435</v>
      </c>
    </row>
    <row r="5" spans="1:3">
      <c r="A5" t="s">
        <v>538</v>
      </c>
      <c r="B5" t="s">
        <v>539</v>
      </c>
      <c r="C5" t="s">
        <v>540</v>
      </c>
    </row>
    <row r="6" spans="1:3">
      <c r="A6" t="s">
        <v>250</v>
      </c>
      <c r="B6" t="s">
        <v>46</v>
      </c>
      <c r="C6" t="s">
        <v>295</v>
      </c>
    </row>
    <row r="7" spans="1:3">
      <c r="A7" t="s">
        <v>541</v>
      </c>
      <c r="B7" t="s">
        <v>542</v>
      </c>
      <c r="C7" t="s">
        <v>543</v>
      </c>
    </row>
    <row r="8" spans="1:3">
      <c r="A8" t="s">
        <v>544</v>
      </c>
      <c r="B8" t="s">
        <v>545</v>
      </c>
    </row>
    <row r="9" spans="1:3">
      <c r="A9" t="s">
        <v>393</v>
      </c>
      <c r="B9" t="s">
        <v>58</v>
      </c>
      <c r="C9" t="s">
        <v>394</v>
      </c>
    </row>
    <row r="10" spans="1:3">
      <c r="A10" t="s">
        <v>291</v>
      </c>
      <c r="B10" t="s">
        <v>59</v>
      </c>
      <c r="C10" t="s">
        <v>292</v>
      </c>
    </row>
    <row r="11" spans="1:3">
      <c r="A11" s="3" t="s">
        <v>546</v>
      </c>
      <c r="B11" t="s">
        <v>47</v>
      </c>
      <c r="C11" s="3" t="s">
        <v>547</v>
      </c>
    </row>
    <row r="12" spans="1:3">
      <c r="A12" t="s">
        <v>383</v>
      </c>
      <c r="B12" t="s">
        <v>548</v>
      </c>
      <c r="C12" t="s">
        <v>549</v>
      </c>
    </row>
    <row r="13" spans="1:3">
      <c r="A13" t="s">
        <v>550</v>
      </c>
      <c r="B13" t="s">
        <v>551</v>
      </c>
      <c r="C13" t="s">
        <v>552</v>
      </c>
    </row>
    <row r="14" spans="1:3">
      <c r="A14" t="s">
        <v>553</v>
      </c>
      <c r="B14" t="s">
        <v>554</v>
      </c>
      <c r="C14" t="s">
        <v>555</v>
      </c>
    </row>
    <row r="15" spans="1:3">
      <c r="A15" t="s">
        <v>430</v>
      </c>
      <c r="B15" t="s">
        <v>143</v>
      </c>
      <c r="C15" t="s">
        <v>431</v>
      </c>
    </row>
    <row r="16" spans="1:3">
      <c r="A16" t="s">
        <v>556</v>
      </c>
      <c r="B16" t="s">
        <v>557</v>
      </c>
    </row>
    <row r="17" spans="1:3">
      <c r="A17" t="s">
        <v>492</v>
      </c>
      <c r="B17" t="s">
        <v>558</v>
      </c>
      <c r="C17" s="3" t="s">
        <v>559</v>
      </c>
    </row>
    <row r="18" spans="1:3">
      <c r="A18" t="s">
        <v>465</v>
      </c>
      <c r="B18" t="s">
        <v>466</v>
      </c>
      <c r="C18" t="s">
        <v>467</v>
      </c>
    </row>
    <row r="19" spans="1:3">
      <c r="A19" t="s">
        <v>560</v>
      </c>
      <c r="B19" t="s">
        <v>561</v>
      </c>
      <c r="C19" t="s">
        <v>562</v>
      </c>
    </row>
    <row r="20" spans="1:3">
      <c r="A20" t="s">
        <v>563</v>
      </c>
      <c r="B20" t="s">
        <v>56</v>
      </c>
      <c r="C20" t="s">
        <v>564</v>
      </c>
    </row>
    <row r="21" spans="1:3">
      <c r="A21" t="s">
        <v>565</v>
      </c>
      <c r="B21" t="s">
        <v>153</v>
      </c>
      <c r="C21" t="s">
        <v>566</v>
      </c>
    </row>
    <row r="22" spans="1:3">
      <c r="A22" t="s">
        <v>567</v>
      </c>
      <c r="B22" t="s">
        <v>568</v>
      </c>
      <c r="C22" t="s">
        <v>569</v>
      </c>
    </row>
    <row r="23" spans="1:3">
      <c r="A23" t="s">
        <v>570</v>
      </c>
      <c r="B23" t="s">
        <v>571</v>
      </c>
      <c r="C23" t="s">
        <v>572</v>
      </c>
    </row>
    <row r="24" spans="1:3">
      <c r="A24" t="s">
        <v>573</v>
      </c>
      <c r="B24" t="s">
        <v>574</v>
      </c>
    </row>
    <row r="25" spans="1:3">
      <c r="A25" t="s">
        <v>575</v>
      </c>
      <c r="B25" t="s">
        <v>576</v>
      </c>
      <c r="C25" t="s">
        <v>577</v>
      </c>
    </row>
    <row r="26" spans="1:3">
      <c r="A26" t="s">
        <v>578</v>
      </c>
      <c r="B26" t="s">
        <v>579</v>
      </c>
    </row>
    <row r="27" spans="1:3">
      <c r="A27" t="s">
        <v>580</v>
      </c>
      <c r="B27" t="s">
        <v>581</v>
      </c>
      <c r="C27" t="s">
        <v>582</v>
      </c>
    </row>
    <row r="28" spans="1:3">
      <c r="A28" t="s">
        <v>583</v>
      </c>
      <c r="B28" t="s">
        <v>584</v>
      </c>
      <c r="C28" t="s">
        <v>585</v>
      </c>
    </row>
    <row r="29" spans="1:3">
      <c r="A29" t="s">
        <v>254</v>
      </c>
      <c r="B29" t="s">
        <v>108</v>
      </c>
      <c r="C29" t="s">
        <v>385</v>
      </c>
    </row>
    <row r="30" spans="1:3">
      <c r="A30" t="s">
        <v>586</v>
      </c>
      <c r="B30" t="s">
        <v>587</v>
      </c>
    </row>
    <row r="31" spans="1:3">
      <c r="A31" t="s">
        <v>588</v>
      </c>
      <c r="B31" t="s">
        <v>589</v>
      </c>
      <c r="C31" t="s">
        <v>590</v>
      </c>
    </row>
    <row r="32" spans="1:3">
      <c r="A32" t="s">
        <v>591</v>
      </c>
      <c r="B32" t="s">
        <v>592</v>
      </c>
      <c r="C32" t="s">
        <v>593</v>
      </c>
    </row>
    <row r="33" spans="1:3">
      <c r="A33" t="s">
        <v>232</v>
      </c>
      <c r="B33" t="s">
        <v>43</v>
      </c>
      <c r="C33" t="s">
        <v>324</v>
      </c>
    </row>
    <row r="34" spans="1:3">
      <c r="A34" t="s">
        <v>594</v>
      </c>
      <c r="B34" t="s">
        <v>49</v>
      </c>
      <c r="C34" t="s">
        <v>595</v>
      </c>
    </row>
    <row r="35" spans="1:3">
      <c r="A35" t="s">
        <v>596</v>
      </c>
      <c r="B35" t="s">
        <v>597</v>
      </c>
      <c r="C35" t="s">
        <v>598</v>
      </c>
    </row>
    <row r="36" spans="1:3">
      <c r="A36" t="s">
        <v>599</v>
      </c>
      <c r="B36" t="s">
        <v>600</v>
      </c>
      <c r="C36" t="s">
        <v>601</v>
      </c>
    </row>
    <row r="37" spans="1:3">
      <c r="A37" t="s">
        <v>338</v>
      </c>
      <c r="B37" t="s">
        <v>101</v>
      </c>
      <c r="C37" t="s">
        <v>339</v>
      </c>
    </row>
    <row r="38" spans="1:3">
      <c r="A38" t="s">
        <v>602</v>
      </c>
      <c r="B38" t="s">
        <v>603</v>
      </c>
      <c r="C38" t="s">
        <v>604</v>
      </c>
    </row>
    <row r="39" spans="1:3">
      <c r="A39" t="s">
        <v>605</v>
      </c>
      <c r="B39" t="s">
        <v>606</v>
      </c>
      <c r="C39" t="s">
        <v>607</v>
      </c>
    </row>
    <row r="40" spans="1:3">
      <c r="A40" t="s">
        <v>608</v>
      </c>
      <c r="B40" t="s">
        <v>609</v>
      </c>
      <c r="C40" t="s">
        <v>610</v>
      </c>
    </row>
    <row r="41" spans="1:3">
      <c r="A41" t="s">
        <v>611</v>
      </c>
      <c r="B41" t="s">
        <v>612</v>
      </c>
      <c r="C41" t="s">
        <v>613</v>
      </c>
    </row>
    <row r="42" spans="1:3">
      <c r="A42" t="s">
        <v>614</v>
      </c>
      <c r="B42" t="s">
        <v>615</v>
      </c>
    </row>
    <row r="43" spans="1:3">
      <c r="A43" t="s">
        <v>616</v>
      </c>
      <c r="B43" t="s">
        <v>617</v>
      </c>
      <c r="C43" t="s">
        <v>618</v>
      </c>
    </row>
    <row r="44" spans="1:3">
      <c r="A44" t="s">
        <v>619</v>
      </c>
      <c r="B44" t="s">
        <v>620</v>
      </c>
      <c r="C44" t="s">
        <v>621</v>
      </c>
    </row>
    <row r="45" spans="1:3">
      <c r="A45" s="3" t="s">
        <v>273</v>
      </c>
      <c r="B45" t="s">
        <v>622</v>
      </c>
      <c r="C45" s="3" t="s">
        <v>623</v>
      </c>
    </row>
    <row r="46" spans="1:3">
      <c r="A46" t="s">
        <v>624</v>
      </c>
      <c r="B46" t="s">
        <v>625</v>
      </c>
      <c r="C46" t="s">
        <v>626</v>
      </c>
    </row>
    <row r="47" spans="1:3">
      <c r="A47" t="s">
        <v>215</v>
      </c>
      <c r="B47" t="s">
        <v>216</v>
      </c>
    </row>
    <row r="48" spans="1:3">
      <c r="A48" t="s">
        <v>627</v>
      </c>
      <c r="B48" t="s">
        <v>628</v>
      </c>
    </row>
    <row r="49" spans="1:3">
      <c r="A49" t="s">
        <v>629</v>
      </c>
      <c r="B49" t="s">
        <v>630</v>
      </c>
      <c r="C49" t="s">
        <v>631</v>
      </c>
    </row>
    <row r="50" spans="1:3">
      <c r="A50" t="s">
        <v>632</v>
      </c>
      <c r="B50" t="s">
        <v>633</v>
      </c>
      <c r="C50" t="s">
        <v>634</v>
      </c>
    </row>
    <row r="51" spans="1:3">
      <c r="A51" t="s">
        <v>635</v>
      </c>
      <c r="B51" t="s">
        <v>636</v>
      </c>
      <c r="C51" t="s">
        <v>637</v>
      </c>
    </row>
    <row r="52" spans="1:3">
      <c r="A52" t="s">
        <v>237</v>
      </c>
      <c r="B52" t="s">
        <v>51</v>
      </c>
      <c r="C52" t="s">
        <v>368</v>
      </c>
    </row>
    <row r="53" spans="1:3">
      <c r="A53" t="s">
        <v>638</v>
      </c>
      <c r="B53" t="s">
        <v>639</v>
      </c>
      <c r="C53" t="s">
        <v>640</v>
      </c>
    </row>
    <row r="54" spans="1:3">
      <c r="A54" t="s">
        <v>641</v>
      </c>
      <c r="B54" t="s">
        <v>642</v>
      </c>
      <c r="C54" t="s">
        <v>643</v>
      </c>
    </row>
    <row r="55" spans="1:3">
      <c r="A55" t="s">
        <v>644</v>
      </c>
      <c r="B55" t="s">
        <v>645</v>
      </c>
      <c r="C55" t="s">
        <v>646</v>
      </c>
    </row>
    <row r="56" spans="1:3">
      <c r="A56" t="s">
        <v>236</v>
      </c>
      <c r="B56" t="s">
        <v>44</v>
      </c>
      <c r="C56" t="s">
        <v>369</v>
      </c>
    </row>
    <row r="57" spans="1:3">
      <c r="A57" t="s">
        <v>647</v>
      </c>
      <c r="B57" t="s">
        <v>648</v>
      </c>
      <c r="C57" t="s">
        <v>649</v>
      </c>
    </row>
    <row r="58" spans="1:3">
      <c r="A58" t="s">
        <v>650</v>
      </c>
      <c r="B58" t="s">
        <v>651</v>
      </c>
      <c r="C58" t="s">
        <v>652</v>
      </c>
    </row>
    <row r="59" spans="1:3">
      <c r="A59" t="s">
        <v>450</v>
      </c>
      <c r="B59" t="s">
        <v>62</v>
      </c>
      <c r="C59" t="s">
        <v>451</v>
      </c>
    </row>
    <row r="60" spans="1:3">
      <c r="A60" t="s">
        <v>653</v>
      </c>
      <c r="B60" t="s">
        <v>654</v>
      </c>
      <c r="C60" t="s">
        <v>655</v>
      </c>
    </row>
    <row r="61" spans="1:3">
      <c r="A61" t="s">
        <v>386</v>
      </c>
      <c r="B61" t="s">
        <v>94</v>
      </c>
      <c r="C61" t="s">
        <v>387</v>
      </c>
    </row>
    <row r="62" spans="1:3">
      <c r="A62" t="s">
        <v>425</v>
      </c>
      <c r="B62" t="s">
        <v>141</v>
      </c>
      <c r="C62" t="s">
        <v>426</v>
      </c>
    </row>
    <row r="63" spans="1:3">
      <c r="A63" t="s">
        <v>656</v>
      </c>
      <c r="B63" t="s">
        <v>657</v>
      </c>
      <c r="C63" t="s">
        <v>658</v>
      </c>
    </row>
    <row r="64" spans="1:3">
      <c r="A64" t="s">
        <v>659</v>
      </c>
      <c r="B64" t="s">
        <v>660</v>
      </c>
      <c r="C64" t="s">
        <v>661</v>
      </c>
    </row>
    <row r="65" spans="1:3">
      <c r="A65" t="s">
        <v>471</v>
      </c>
      <c r="B65" t="s">
        <v>57</v>
      </c>
      <c r="C65" t="s">
        <v>472</v>
      </c>
    </row>
    <row r="66" spans="1:3">
      <c r="A66" t="s">
        <v>230</v>
      </c>
      <c r="B66" t="s">
        <v>42</v>
      </c>
      <c r="C66" t="s">
        <v>321</v>
      </c>
    </row>
    <row r="67" spans="1:3">
      <c r="A67" t="s">
        <v>662</v>
      </c>
      <c r="B67" t="s">
        <v>663</v>
      </c>
    </row>
    <row r="68" spans="1:3">
      <c r="A68" t="s">
        <v>664</v>
      </c>
      <c r="B68" t="s">
        <v>665</v>
      </c>
      <c r="C68" t="s">
        <v>666</v>
      </c>
    </row>
    <row r="69" spans="1:3">
      <c r="A69" t="s">
        <v>515</v>
      </c>
      <c r="B69" t="s">
        <v>150</v>
      </c>
      <c r="C69" t="s">
        <v>453</v>
      </c>
    </row>
    <row r="70" spans="1:3">
      <c r="A70" t="s">
        <v>667</v>
      </c>
      <c r="B70" t="s">
        <v>668</v>
      </c>
    </row>
    <row r="71" spans="1:3">
      <c r="A71" t="s">
        <v>669</v>
      </c>
      <c r="B71" t="s">
        <v>670</v>
      </c>
      <c r="C71" t="s">
        <v>671</v>
      </c>
    </row>
    <row r="72" spans="1:3">
      <c r="A72" t="s">
        <v>672</v>
      </c>
      <c r="B72" t="s">
        <v>673</v>
      </c>
      <c r="C72" t="s">
        <v>674</v>
      </c>
    </row>
    <row r="73" spans="1:3">
      <c r="A73" t="s">
        <v>675</v>
      </c>
      <c r="B73" t="s">
        <v>676</v>
      </c>
      <c r="C73" t="s">
        <v>677</v>
      </c>
    </row>
    <row r="74" spans="1:3">
      <c r="A74" t="s">
        <v>234</v>
      </c>
      <c r="B74" t="s">
        <v>45</v>
      </c>
      <c r="C74" t="s">
        <v>353</v>
      </c>
    </row>
    <row r="75" spans="1:3">
      <c r="A75" t="s">
        <v>678</v>
      </c>
      <c r="B75" t="s">
        <v>679</v>
      </c>
      <c r="C75" t="s">
        <v>680</v>
      </c>
    </row>
    <row r="76" spans="1:3">
      <c r="A76" t="s">
        <v>681</v>
      </c>
      <c r="B76" t="s">
        <v>682</v>
      </c>
      <c r="C76" t="s">
        <v>683</v>
      </c>
    </row>
    <row r="77" spans="1:3">
      <c r="A77" t="s">
        <v>233</v>
      </c>
      <c r="B77" t="s">
        <v>53</v>
      </c>
      <c r="C77" t="s">
        <v>379</v>
      </c>
    </row>
    <row r="78" spans="1:3">
      <c r="A78" t="s">
        <v>235</v>
      </c>
      <c r="B78" t="s">
        <v>54</v>
      </c>
      <c r="C78" t="s">
        <v>364</v>
      </c>
    </row>
    <row r="79" spans="1:3">
      <c r="A79" t="s">
        <v>231</v>
      </c>
      <c r="B79" t="s">
        <v>48</v>
      </c>
      <c r="C79" t="s">
        <v>365</v>
      </c>
    </row>
    <row r="80" spans="1:3">
      <c r="A80" t="s">
        <v>522</v>
      </c>
      <c r="B80" t="s">
        <v>523</v>
      </c>
      <c r="C80" t="s">
        <v>524</v>
      </c>
    </row>
    <row r="81" spans="1:3">
      <c r="A81" t="s">
        <v>684</v>
      </c>
      <c r="B81" t="s">
        <v>685</v>
      </c>
      <c r="C81" t="s">
        <v>686</v>
      </c>
    </row>
    <row r="82" spans="1:3">
      <c r="A82" t="s">
        <v>380</v>
      </c>
      <c r="B82" t="s">
        <v>52</v>
      </c>
      <c r="C82" t="s">
        <v>381</v>
      </c>
    </row>
    <row r="83" spans="1:3">
      <c r="A83" t="s">
        <v>687</v>
      </c>
      <c r="B83" t="s">
        <v>688</v>
      </c>
      <c r="C83" t="s">
        <v>689</v>
      </c>
    </row>
    <row r="84" spans="1:3">
      <c r="A84" t="s">
        <v>690</v>
      </c>
      <c r="B84" t="s">
        <v>55</v>
      </c>
      <c r="C84" t="s">
        <v>691</v>
      </c>
    </row>
    <row r="85" spans="1:3">
      <c r="A85" t="s">
        <v>692</v>
      </c>
      <c r="B85" t="s">
        <v>693</v>
      </c>
      <c r="C85" t="s">
        <v>694</v>
      </c>
    </row>
    <row r="86" spans="1:3">
      <c r="A86" t="s">
        <v>695</v>
      </c>
      <c r="B86" t="s">
        <v>696</v>
      </c>
      <c r="C86" t="s">
        <v>697</v>
      </c>
    </row>
    <row r="87" spans="1:3">
      <c r="A87" t="s">
        <v>698</v>
      </c>
      <c r="B87" t="s">
        <v>699</v>
      </c>
      <c r="C87" t="s">
        <v>700</v>
      </c>
    </row>
    <row r="88" spans="1:3">
      <c r="A88" s="3" t="s">
        <v>701</v>
      </c>
      <c r="B88" s="3" t="s">
        <v>50</v>
      </c>
      <c r="C88" s="3" t="s">
        <v>702</v>
      </c>
    </row>
    <row r="89" spans="1:3">
      <c r="A89" t="s">
        <v>468</v>
      </c>
      <c r="B89" t="s">
        <v>469</v>
      </c>
      <c r="C89" s="3" t="s">
        <v>470</v>
      </c>
    </row>
    <row r="90" spans="1:3">
      <c r="A90" t="s">
        <v>333</v>
      </c>
      <c r="B90" t="s">
        <v>703</v>
      </c>
      <c r="C90" t="s">
        <v>704</v>
      </c>
    </row>
    <row r="91" spans="1:3">
      <c r="A91" t="s">
        <v>705</v>
      </c>
      <c r="B91" t="s">
        <v>706</v>
      </c>
    </row>
    <row r="92" spans="1:3">
      <c r="A92" t="s">
        <v>707</v>
      </c>
      <c r="B92" t="s">
        <v>708</v>
      </c>
      <c r="C92" t="s">
        <v>709</v>
      </c>
    </row>
    <row r="93" spans="1:3">
      <c r="A93" t="s">
        <v>710</v>
      </c>
      <c r="B93" t="s">
        <v>711</v>
      </c>
      <c r="C93" t="s">
        <v>712</v>
      </c>
    </row>
    <row r="94" spans="1:3">
      <c r="A94" t="s">
        <v>713</v>
      </c>
      <c r="B94" t="s">
        <v>714</v>
      </c>
      <c r="C94" s="3" t="s">
        <v>715</v>
      </c>
    </row>
    <row r="95" spans="1:3">
      <c r="A95" t="s">
        <v>716</v>
      </c>
      <c r="B95" t="s">
        <v>717</v>
      </c>
    </row>
    <row r="96" spans="1:3">
      <c r="A96" t="s">
        <v>718</v>
      </c>
      <c r="B96" t="s">
        <v>719</v>
      </c>
      <c r="C96" s="3" t="s">
        <v>720</v>
      </c>
    </row>
    <row r="97" spans="1:3">
      <c r="A97" t="s">
        <v>721</v>
      </c>
      <c r="B97" t="s">
        <v>722</v>
      </c>
      <c r="C97" t="s">
        <v>722</v>
      </c>
    </row>
    <row r="199" spans="2:3">
      <c r="B199" s="3"/>
      <c r="C199" s="3"/>
    </row>
    <row r="200" spans="2:3">
      <c r="B200" s="3"/>
      <c r="C200" s="3"/>
    </row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36"/>
  <sheetViews>
    <sheetView workbookViewId="0">
      <pane xSplit="3" ySplit="1" topLeftCell="D45" activePane="bottomRight" state="frozen"/>
      <selection pane="topRight" activeCell="E1" sqref="E1"/>
      <selection pane="bottomLeft" activeCell="A2" sqref="A2"/>
      <selection pane="bottomRight" activeCell="C71" sqref="A71:C71"/>
    </sheetView>
  </sheetViews>
  <sheetFormatPr baseColWidth="10" defaultColWidth="8.83203125" defaultRowHeight="13"/>
  <cols>
    <col min="1" max="1" width="16.5" bestFit="1" customWidth="1"/>
    <col min="2" max="2" width="22.83203125" customWidth="1"/>
    <col min="3" max="3" width="37" bestFit="1" customWidth="1"/>
    <col min="4" max="4" width="20" bestFit="1" customWidth="1"/>
    <col min="6" max="6" width="6" bestFit="1" customWidth="1"/>
    <col min="7" max="7" width="12" bestFit="1" customWidth="1"/>
    <col min="8" max="8" width="37.33203125" bestFit="1" customWidth="1"/>
    <col min="9" max="9" width="33" bestFit="1" customWidth="1"/>
    <col min="183" max="183" width="32.5" bestFit="1" customWidth="1"/>
    <col min="184" max="184" width="23.5" bestFit="1" customWidth="1"/>
  </cols>
  <sheetData>
    <row r="1" spans="1:7">
      <c r="A1" s="1" t="s">
        <v>166</v>
      </c>
      <c r="B1" s="1" t="s">
        <v>530</v>
      </c>
      <c r="C1" s="1" t="s">
        <v>531</v>
      </c>
      <c r="G1" s="1"/>
    </row>
    <row r="2" spans="1:7">
      <c r="A2" t="s">
        <v>265</v>
      </c>
      <c r="B2" t="s">
        <v>113</v>
      </c>
      <c r="C2" t="s">
        <v>723</v>
      </c>
      <c r="G2" s="1"/>
    </row>
    <row r="3" spans="1:7">
      <c r="A3" t="s">
        <v>375</v>
      </c>
      <c r="B3" t="s">
        <v>132</v>
      </c>
    </row>
    <row r="4" spans="1:7">
      <c r="A4" t="s">
        <v>724</v>
      </c>
      <c r="B4" t="s">
        <v>725</v>
      </c>
      <c r="C4" t="s">
        <v>726</v>
      </c>
    </row>
    <row r="5" spans="1:7">
      <c r="A5" t="s">
        <v>544</v>
      </c>
      <c r="B5" t="s">
        <v>727</v>
      </c>
    </row>
    <row r="6" spans="1:7">
      <c r="A6" t="s">
        <v>239</v>
      </c>
      <c r="B6" t="s">
        <v>80</v>
      </c>
      <c r="C6" t="s">
        <v>300</v>
      </c>
    </row>
    <row r="7" spans="1:7">
      <c r="A7" t="s">
        <v>728</v>
      </c>
      <c r="B7" t="s">
        <v>729</v>
      </c>
      <c r="C7" t="s">
        <v>730</v>
      </c>
    </row>
    <row r="8" spans="1:7">
      <c r="A8" t="s">
        <v>532</v>
      </c>
      <c r="B8" t="s">
        <v>533</v>
      </c>
      <c r="C8" t="s">
        <v>534</v>
      </c>
    </row>
    <row r="9" spans="1:7">
      <c r="A9" t="s">
        <v>731</v>
      </c>
      <c r="B9" t="s">
        <v>732</v>
      </c>
      <c r="C9" t="s">
        <v>733</v>
      </c>
    </row>
    <row r="10" spans="1:7">
      <c r="A10" t="s">
        <v>734</v>
      </c>
      <c r="B10" t="s">
        <v>735</v>
      </c>
      <c r="C10" t="s">
        <v>736</v>
      </c>
    </row>
    <row r="11" spans="1:7">
      <c r="A11" t="s">
        <v>434</v>
      </c>
      <c r="B11" t="s">
        <v>60</v>
      </c>
      <c r="C11" t="s">
        <v>435</v>
      </c>
    </row>
    <row r="12" spans="1:7">
      <c r="A12" t="s">
        <v>737</v>
      </c>
      <c r="B12" t="s">
        <v>738</v>
      </c>
    </row>
    <row r="13" spans="1:7">
      <c r="A13" t="s">
        <v>423</v>
      </c>
      <c r="B13" t="s">
        <v>113</v>
      </c>
      <c r="C13" t="s">
        <v>424</v>
      </c>
    </row>
    <row r="14" spans="1:7">
      <c r="A14" t="s">
        <v>739</v>
      </c>
      <c r="B14" t="s">
        <v>740</v>
      </c>
      <c r="C14" t="s">
        <v>741</v>
      </c>
    </row>
    <row r="15" spans="1:7">
      <c r="A15" t="s">
        <v>393</v>
      </c>
      <c r="B15" t="s">
        <v>476</v>
      </c>
      <c r="C15" t="s">
        <v>477</v>
      </c>
    </row>
    <row r="16" spans="1:7">
      <c r="A16" t="s">
        <v>238</v>
      </c>
      <c r="B16" t="s">
        <v>69</v>
      </c>
      <c r="C16" t="s">
        <v>313</v>
      </c>
    </row>
    <row r="17" spans="1:3">
      <c r="A17" t="s">
        <v>742</v>
      </c>
      <c r="B17" t="s">
        <v>743</v>
      </c>
    </row>
    <row r="18" spans="1:3">
      <c r="A18" t="s">
        <v>538</v>
      </c>
      <c r="B18" t="s">
        <v>539</v>
      </c>
      <c r="C18" t="s">
        <v>540</v>
      </c>
    </row>
    <row r="19" spans="1:3">
      <c r="A19" t="s">
        <v>250</v>
      </c>
      <c r="B19" t="s">
        <v>46</v>
      </c>
      <c r="C19" t="s">
        <v>295</v>
      </c>
    </row>
    <row r="20" spans="1:3">
      <c r="A20" t="s">
        <v>541</v>
      </c>
      <c r="B20" t="s">
        <v>542</v>
      </c>
      <c r="C20" t="s">
        <v>543</v>
      </c>
    </row>
    <row r="21" spans="1:3">
      <c r="A21" s="3" t="s">
        <v>744</v>
      </c>
      <c r="B21" s="3" t="s">
        <v>745</v>
      </c>
      <c r="C21" s="3" t="s">
        <v>746</v>
      </c>
    </row>
    <row r="22" spans="1:3">
      <c r="A22" s="3" t="s">
        <v>228</v>
      </c>
      <c r="B22" s="3" t="s">
        <v>105</v>
      </c>
      <c r="C22" s="3" t="s">
        <v>747</v>
      </c>
    </row>
    <row r="23" spans="1:3">
      <c r="A23" t="s">
        <v>748</v>
      </c>
      <c r="B23" t="s">
        <v>749</v>
      </c>
      <c r="C23" t="s">
        <v>750</v>
      </c>
    </row>
    <row r="24" spans="1:3">
      <c r="A24" t="s">
        <v>357</v>
      </c>
      <c r="B24" t="s">
        <v>128</v>
      </c>
      <c r="C24" t="s">
        <v>358</v>
      </c>
    </row>
    <row r="25" spans="1:3">
      <c r="A25" t="s">
        <v>546</v>
      </c>
      <c r="B25" t="s">
        <v>47</v>
      </c>
      <c r="C25" t="s">
        <v>751</v>
      </c>
    </row>
    <row r="26" spans="1:3">
      <c r="A26" t="s">
        <v>752</v>
      </c>
      <c r="B26" t="s">
        <v>753</v>
      </c>
      <c r="C26" t="s">
        <v>754</v>
      </c>
    </row>
    <row r="27" spans="1:3">
      <c r="A27" t="s">
        <v>492</v>
      </c>
      <c r="B27" t="s">
        <v>77</v>
      </c>
      <c r="C27" t="s">
        <v>493</v>
      </c>
    </row>
    <row r="28" spans="1:3">
      <c r="A28" s="3" t="s">
        <v>281</v>
      </c>
      <c r="B28" s="3" t="s">
        <v>117</v>
      </c>
    </row>
    <row r="29" spans="1:3">
      <c r="A29" t="s">
        <v>436</v>
      </c>
      <c r="B29" t="s">
        <v>145</v>
      </c>
      <c r="C29" t="s">
        <v>437</v>
      </c>
    </row>
    <row r="30" spans="1:3">
      <c r="A30" t="s">
        <v>755</v>
      </c>
      <c r="B30" t="s">
        <v>756</v>
      </c>
    </row>
    <row r="31" spans="1:3">
      <c r="A31" t="s">
        <v>308</v>
      </c>
      <c r="B31" t="s">
        <v>122</v>
      </c>
      <c r="C31" t="s">
        <v>309</v>
      </c>
    </row>
    <row r="32" spans="1:3">
      <c r="A32" t="s">
        <v>757</v>
      </c>
      <c r="B32" t="s">
        <v>758</v>
      </c>
      <c r="C32" s="3" t="s">
        <v>759</v>
      </c>
    </row>
    <row r="33" spans="1:3">
      <c r="A33" t="s">
        <v>383</v>
      </c>
      <c r="B33" t="s">
        <v>72</v>
      </c>
      <c r="C33" t="s">
        <v>384</v>
      </c>
    </row>
    <row r="34" spans="1:3">
      <c r="A34" t="s">
        <v>760</v>
      </c>
      <c r="B34" t="s">
        <v>761</v>
      </c>
      <c r="C34" t="s">
        <v>762</v>
      </c>
    </row>
    <row r="35" spans="1:3">
      <c r="A35" t="s">
        <v>763</v>
      </c>
      <c r="B35" t="s">
        <v>551</v>
      </c>
      <c r="C35" t="s">
        <v>552</v>
      </c>
    </row>
    <row r="36" spans="1:3">
      <c r="A36" t="s">
        <v>243</v>
      </c>
      <c r="B36" t="s">
        <v>85</v>
      </c>
      <c r="C36" t="s">
        <v>312</v>
      </c>
    </row>
    <row r="37" spans="1:3">
      <c r="A37" t="s">
        <v>764</v>
      </c>
      <c r="B37" t="s">
        <v>765</v>
      </c>
      <c r="C37" t="s">
        <v>766</v>
      </c>
    </row>
    <row r="38" spans="1:3">
      <c r="A38" t="s">
        <v>767</v>
      </c>
      <c r="B38" t="s">
        <v>768</v>
      </c>
      <c r="C38" t="s">
        <v>769</v>
      </c>
    </row>
    <row r="39" spans="1:3">
      <c r="A39" t="s">
        <v>430</v>
      </c>
      <c r="B39" t="s">
        <v>143</v>
      </c>
      <c r="C39" t="s">
        <v>431</v>
      </c>
    </row>
    <row r="40" spans="1:3">
      <c r="A40" t="s">
        <v>770</v>
      </c>
      <c r="B40" t="s">
        <v>771</v>
      </c>
    </row>
    <row r="41" spans="1:3">
      <c r="A41" t="s">
        <v>556</v>
      </c>
      <c r="B41" t="s">
        <v>557</v>
      </c>
    </row>
    <row r="42" spans="1:3">
      <c r="A42" t="s">
        <v>248</v>
      </c>
      <c r="B42" t="s">
        <v>78</v>
      </c>
      <c r="C42" t="s">
        <v>349</v>
      </c>
    </row>
    <row r="43" spans="1:3">
      <c r="A43" t="s">
        <v>772</v>
      </c>
      <c r="B43" t="s">
        <v>773</v>
      </c>
    </row>
    <row r="44" spans="1:3">
      <c r="A44" t="s">
        <v>774</v>
      </c>
      <c r="B44" t="s">
        <v>775</v>
      </c>
      <c r="C44" t="s">
        <v>776</v>
      </c>
    </row>
    <row r="45" spans="1:3">
      <c r="A45" t="s">
        <v>777</v>
      </c>
      <c r="B45" t="s">
        <v>778</v>
      </c>
      <c r="C45" t="s">
        <v>779</v>
      </c>
    </row>
    <row r="46" spans="1:3">
      <c r="A46" t="s">
        <v>780</v>
      </c>
      <c r="B46" t="s">
        <v>781</v>
      </c>
      <c r="C46" t="s">
        <v>782</v>
      </c>
    </row>
    <row r="47" spans="1:3">
      <c r="A47" t="s">
        <v>783</v>
      </c>
      <c r="B47" t="s">
        <v>784</v>
      </c>
      <c r="C47" t="s">
        <v>785</v>
      </c>
    </row>
    <row r="48" spans="1:3">
      <c r="A48" t="s">
        <v>786</v>
      </c>
      <c r="B48" t="s">
        <v>787</v>
      </c>
    </row>
    <row r="49" spans="1:3">
      <c r="A49" t="s">
        <v>788</v>
      </c>
      <c r="B49" t="s">
        <v>789</v>
      </c>
      <c r="C49" t="s">
        <v>790</v>
      </c>
    </row>
    <row r="50" spans="1:3">
      <c r="A50" t="s">
        <v>791</v>
      </c>
      <c r="B50" t="s">
        <v>558</v>
      </c>
      <c r="C50" s="3" t="s">
        <v>559</v>
      </c>
    </row>
    <row r="51" spans="1:3">
      <c r="A51" t="s">
        <v>792</v>
      </c>
      <c r="B51" t="s">
        <v>793</v>
      </c>
      <c r="C51" t="s">
        <v>794</v>
      </c>
    </row>
    <row r="52" spans="1:3">
      <c r="A52" t="s">
        <v>795</v>
      </c>
      <c r="B52" t="s">
        <v>796</v>
      </c>
      <c r="C52" t="s">
        <v>797</v>
      </c>
    </row>
    <row r="53" spans="1:3">
      <c r="A53" t="s">
        <v>798</v>
      </c>
      <c r="B53" t="s">
        <v>799</v>
      </c>
    </row>
    <row r="54" spans="1:3">
      <c r="A54" t="s">
        <v>345</v>
      </c>
      <c r="B54" t="s">
        <v>127</v>
      </c>
      <c r="C54" t="s">
        <v>346</v>
      </c>
    </row>
    <row r="55" spans="1:3">
      <c r="A55" t="s">
        <v>247</v>
      </c>
      <c r="B55" t="s">
        <v>64</v>
      </c>
      <c r="C55" t="s">
        <v>293</v>
      </c>
    </row>
    <row r="56" spans="1:3">
      <c r="A56" t="s">
        <v>271</v>
      </c>
      <c r="B56" t="s">
        <v>84</v>
      </c>
      <c r="C56" t="s">
        <v>406</v>
      </c>
    </row>
    <row r="57" spans="1:3">
      <c r="A57" t="s">
        <v>259</v>
      </c>
      <c r="B57" t="s">
        <v>106</v>
      </c>
      <c r="C57" s="3" t="s">
        <v>800</v>
      </c>
    </row>
    <row r="58" spans="1:3">
      <c r="A58" t="s">
        <v>240</v>
      </c>
      <c r="B58" t="s">
        <v>74</v>
      </c>
      <c r="C58" s="3" t="s">
        <v>337</v>
      </c>
    </row>
    <row r="59" spans="1:3">
      <c r="A59" t="s">
        <v>255</v>
      </c>
      <c r="B59" t="s">
        <v>79</v>
      </c>
      <c r="C59" t="s">
        <v>354</v>
      </c>
    </row>
    <row r="60" spans="1:3">
      <c r="A60" t="s">
        <v>801</v>
      </c>
      <c r="B60" t="s">
        <v>802</v>
      </c>
      <c r="C60" t="s">
        <v>803</v>
      </c>
    </row>
    <row r="61" spans="1:3">
      <c r="A61" t="s">
        <v>340</v>
      </c>
      <c r="B61" t="s">
        <v>114</v>
      </c>
      <c r="C61" t="s">
        <v>341</v>
      </c>
    </row>
    <row r="62" spans="1:3">
      <c r="A62" t="s">
        <v>252</v>
      </c>
      <c r="B62" t="s">
        <v>76</v>
      </c>
      <c r="C62" s="3" t="s">
        <v>804</v>
      </c>
    </row>
    <row r="63" spans="1:3">
      <c r="A63" s="3" t="s">
        <v>266</v>
      </c>
      <c r="B63" s="3" t="s">
        <v>153</v>
      </c>
      <c r="C63" s="3" t="s">
        <v>805</v>
      </c>
    </row>
    <row r="64" spans="1:3">
      <c r="A64" s="3" t="s">
        <v>806</v>
      </c>
      <c r="B64" s="3" t="s">
        <v>107</v>
      </c>
      <c r="C64" s="3" t="s">
        <v>807</v>
      </c>
    </row>
    <row r="65" spans="1:3">
      <c r="A65" t="s">
        <v>808</v>
      </c>
      <c r="B65" t="s">
        <v>809</v>
      </c>
    </row>
    <row r="66" spans="1:3">
      <c r="A66" t="s">
        <v>810</v>
      </c>
      <c r="B66" t="s">
        <v>811</v>
      </c>
      <c r="C66" t="s">
        <v>812</v>
      </c>
    </row>
    <row r="67" spans="1:3">
      <c r="A67" t="s">
        <v>421</v>
      </c>
      <c r="B67" t="s">
        <v>140</v>
      </c>
      <c r="C67" t="s">
        <v>422</v>
      </c>
    </row>
    <row r="68" spans="1:3">
      <c r="A68" t="s">
        <v>813</v>
      </c>
      <c r="B68" t="s">
        <v>814</v>
      </c>
      <c r="C68" t="s">
        <v>815</v>
      </c>
    </row>
    <row r="69" spans="1:3">
      <c r="A69" t="s">
        <v>816</v>
      </c>
      <c r="B69" t="s">
        <v>817</v>
      </c>
    </row>
    <row r="70" spans="1:3">
      <c r="A70" t="s">
        <v>251</v>
      </c>
      <c r="B70" t="s">
        <v>73</v>
      </c>
      <c r="C70" t="s">
        <v>325</v>
      </c>
    </row>
    <row r="71" spans="1:3">
      <c r="A71" s="3" t="s">
        <v>285</v>
      </c>
      <c r="B71" t="s">
        <v>286</v>
      </c>
      <c r="C71" s="3" t="s">
        <v>287</v>
      </c>
    </row>
    <row r="72" spans="1:3">
      <c r="A72" t="s">
        <v>818</v>
      </c>
      <c r="B72" t="s">
        <v>819</v>
      </c>
      <c r="C72" t="s">
        <v>820</v>
      </c>
    </row>
    <row r="73" spans="1:3">
      <c r="A73" t="s">
        <v>821</v>
      </c>
      <c r="B73" t="s">
        <v>822</v>
      </c>
    </row>
    <row r="74" spans="1:3">
      <c r="A74" t="s">
        <v>823</v>
      </c>
      <c r="B74" t="s">
        <v>824</v>
      </c>
      <c r="C74" t="s">
        <v>825</v>
      </c>
    </row>
    <row r="75" spans="1:3">
      <c r="A75" t="s">
        <v>826</v>
      </c>
      <c r="B75" t="s">
        <v>827</v>
      </c>
      <c r="C75" t="s">
        <v>828</v>
      </c>
    </row>
    <row r="76" spans="1:3">
      <c r="A76" t="s">
        <v>570</v>
      </c>
      <c r="B76" t="s">
        <v>571</v>
      </c>
      <c r="C76" t="s">
        <v>572</v>
      </c>
    </row>
    <row r="77" spans="1:3">
      <c r="A77" t="s">
        <v>573</v>
      </c>
      <c r="B77" t="s">
        <v>574</v>
      </c>
    </row>
    <row r="78" spans="1:3">
      <c r="A78" t="s">
        <v>448</v>
      </c>
      <c r="B78" t="s">
        <v>112</v>
      </c>
      <c r="C78" s="3" t="s">
        <v>449</v>
      </c>
    </row>
    <row r="79" spans="1:3">
      <c r="A79" t="s">
        <v>578</v>
      </c>
      <c r="B79" t="s">
        <v>579</v>
      </c>
    </row>
    <row r="80" spans="1:3">
      <c r="A80" t="s">
        <v>567</v>
      </c>
      <c r="B80" t="s">
        <v>581</v>
      </c>
      <c r="C80" t="s">
        <v>582</v>
      </c>
    </row>
    <row r="81" spans="1:3">
      <c r="A81" t="s">
        <v>246</v>
      </c>
      <c r="B81" t="s">
        <v>66</v>
      </c>
      <c r="C81" t="s">
        <v>318</v>
      </c>
    </row>
    <row r="82" spans="1:3">
      <c r="A82" t="s">
        <v>599</v>
      </c>
      <c r="B82" t="s">
        <v>829</v>
      </c>
      <c r="C82" t="s">
        <v>830</v>
      </c>
    </row>
    <row r="83" spans="1:3">
      <c r="A83" t="s">
        <v>831</v>
      </c>
      <c r="B83" t="s">
        <v>832</v>
      </c>
    </row>
    <row r="84" spans="1:3">
      <c r="A84" t="s">
        <v>254</v>
      </c>
      <c r="B84" t="s">
        <v>108</v>
      </c>
      <c r="C84" t="s">
        <v>385</v>
      </c>
    </row>
    <row r="85" spans="1:3">
      <c r="A85" s="3" t="s">
        <v>183</v>
      </c>
      <c r="B85" s="3" t="s">
        <v>68</v>
      </c>
      <c r="C85" s="3" t="s">
        <v>317</v>
      </c>
    </row>
    <row r="86" spans="1:3">
      <c r="A86" t="s">
        <v>411</v>
      </c>
      <c r="B86" t="s">
        <v>138</v>
      </c>
      <c r="C86" t="s">
        <v>412</v>
      </c>
    </row>
    <row r="87" spans="1:3">
      <c r="A87" t="s">
        <v>833</v>
      </c>
      <c r="B87" t="s">
        <v>834</v>
      </c>
      <c r="C87" t="s">
        <v>835</v>
      </c>
    </row>
    <row r="88" spans="1:3">
      <c r="A88" t="s">
        <v>836</v>
      </c>
      <c r="B88" t="s">
        <v>837</v>
      </c>
      <c r="C88" t="s">
        <v>838</v>
      </c>
    </row>
    <row r="89" spans="1:3">
      <c r="A89" t="s">
        <v>839</v>
      </c>
      <c r="B89" t="s">
        <v>840</v>
      </c>
      <c r="C89" t="s">
        <v>841</v>
      </c>
    </row>
    <row r="90" spans="1:3">
      <c r="A90" t="s">
        <v>842</v>
      </c>
      <c r="B90" t="s">
        <v>843</v>
      </c>
      <c r="C90" t="s">
        <v>844</v>
      </c>
    </row>
    <row r="91" spans="1:3">
      <c r="A91" t="s">
        <v>298</v>
      </c>
      <c r="B91" t="s">
        <v>99</v>
      </c>
      <c r="C91" t="s">
        <v>299</v>
      </c>
    </row>
    <row r="92" spans="1:3">
      <c r="A92" t="s">
        <v>588</v>
      </c>
      <c r="B92" t="s">
        <v>589</v>
      </c>
      <c r="C92" t="s">
        <v>590</v>
      </c>
    </row>
    <row r="93" spans="1:3">
      <c r="A93" t="s">
        <v>591</v>
      </c>
      <c r="B93" t="s">
        <v>592</v>
      </c>
      <c r="C93" t="s">
        <v>593</v>
      </c>
    </row>
    <row r="94" spans="1:3">
      <c r="A94" t="s">
        <v>232</v>
      </c>
      <c r="B94" t="s">
        <v>43</v>
      </c>
      <c r="C94" t="s">
        <v>324</v>
      </c>
    </row>
    <row r="95" spans="1:3">
      <c r="A95" t="s">
        <v>508</v>
      </c>
      <c r="B95" t="s">
        <v>509</v>
      </c>
    </row>
    <row r="96" spans="1:3">
      <c r="A96" t="s">
        <v>594</v>
      </c>
      <c r="B96" t="s">
        <v>49</v>
      </c>
      <c r="C96" t="s">
        <v>595</v>
      </c>
    </row>
    <row r="97" spans="1:3">
      <c r="A97" t="s">
        <v>845</v>
      </c>
      <c r="B97" t="s">
        <v>846</v>
      </c>
      <c r="C97" t="s">
        <v>847</v>
      </c>
    </row>
    <row r="98" spans="1:3">
      <c r="A98" t="s">
        <v>586</v>
      </c>
      <c r="B98" t="s">
        <v>848</v>
      </c>
      <c r="C98" t="s">
        <v>849</v>
      </c>
    </row>
    <row r="99" spans="1:3">
      <c r="A99" t="s">
        <v>850</v>
      </c>
      <c r="B99" t="s">
        <v>851</v>
      </c>
      <c r="C99" t="s">
        <v>852</v>
      </c>
    </row>
    <row r="100" spans="1:3">
      <c r="A100" t="s">
        <v>338</v>
      </c>
      <c r="B100" t="s">
        <v>101</v>
      </c>
      <c r="C100" t="s">
        <v>339</v>
      </c>
    </row>
    <row r="101" spans="1:3">
      <c r="A101" t="s">
        <v>853</v>
      </c>
      <c r="B101" t="s">
        <v>854</v>
      </c>
      <c r="C101" t="s">
        <v>855</v>
      </c>
    </row>
    <row r="102" spans="1:3">
      <c r="A102" t="s">
        <v>856</v>
      </c>
      <c r="B102" t="s">
        <v>857</v>
      </c>
    </row>
    <row r="103" spans="1:3">
      <c r="A103" t="s">
        <v>602</v>
      </c>
      <c r="B103" t="s">
        <v>603</v>
      </c>
      <c r="C103" t="s">
        <v>604</v>
      </c>
    </row>
    <row r="104" spans="1:3">
      <c r="A104" t="s">
        <v>858</v>
      </c>
      <c r="B104" t="s">
        <v>859</v>
      </c>
      <c r="C104" t="s">
        <v>860</v>
      </c>
    </row>
    <row r="105" spans="1:3">
      <c r="A105" t="s">
        <v>861</v>
      </c>
      <c r="B105" t="s">
        <v>862</v>
      </c>
      <c r="C105" s="3" t="s">
        <v>863</v>
      </c>
    </row>
    <row r="106" spans="1:3">
      <c r="A106" t="s">
        <v>605</v>
      </c>
      <c r="B106" t="s">
        <v>606</v>
      </c>
      <c r="C106" t="s">
        <v>607</v>
      </c>
    </row>
    <row r="107" spans="1:3">
      <c r="A107" t="s">
        <v>864</v>
      </c>
      <c r="B107" t="s">
        <v>865</v>
      </c>
      <c r="C107" t="s">
        <v>866</v>
      </c>
    </row>
    <row r="108" spans="1:3">
      <c r="A108" t="s">
        <v>867</v>
      </c>
      <c r="B108" t="s">
        <v>868</v>
      </c>
      <c r="C108" t="s">
        <v>869</v>
      </c>
    </row>
    <row r="109" spans="1:3">
      <c r="A109" t="s">
        <v>513</v>
      </c>
      <c r="B109" t="s">
        <v>115</v>
      </c>
      <c r="C109" t="s">
        <v>514</v>
      </c>
    </row>
    <row r="110" spans="1:3">
      <c r="A110" t="s">
        <v>870</v>
      </c>
      <c r="B110" t="s">
        <v>871</v>
      </c>
      <c r="C110" t="s">
        <v>872</v>
      </c>
    </row>
    <row r="111" spans="1:3">
      <c r="A111" s="3" t="s">
        <v>873</v>
      </c>
      <c r="B111" s="3" t="s">
        <v>104</v>
      </c>
      <c r="C111" s="3" t="s">
        <v>874</v>
      </c>
    </row>
    <row r="112" spans="1:3">
      <c r="A112" t="s">
        <v>875</v>
      </c>
      <c r="B112" t="s">
        <v>876</v>
      </c>
      <c r="C112" t="s">
        <v>877</v>
      </c>
    </row>
    <row r="113" spans="1:3">
      <c r="A113" t="s">
        <v>608</v>
      </c>
      <c r="B113" t="s">
        <v>609</v>
      </c>
      <c r="C113" t="s">
        <v>610</v>
      </c>
    </row>
    <row r="114" spans="1:3">
      <c r="A114" t="s">
        <v>611</v>
      </c>
      <c r="B114" t="s">
        <v>612</v>
      </c>
      <c r="C114" t="s">
        <v>613</v>
      </c>
    </row>
    <row r="115" spans="1:3">
      <c r="A115" t="s">
        <v>878</v>
      </c>
      <c r="B115" t="s">
        <v>879</v>
      </c>
    </row>
    <row r="116" spans="1:3">
      <c r="A116" t="s">
        <v>395</v>
      </c>
      <c r="B116" t="s">
        <v>81</v>
      </c>
      <c r="C116" t="s">
        <v>396</v>
      </c>
    </row>
    <row r="117" spans="1:3">
      <c r="A117" t="s">
        <v>880</v>
      </c>
      <c r="B117" t="s">
        <v>881</v>
      </c>
      <c r="C117" t="s">
        <v>882</v>
      </c>
    </row>
    <row r="118" spans="1:3">
      <c r="A118" t="s">
        <v>427</v>
      </c>
      <c r="B118" t="s">
        <v>142</v>
      </c>
      <c r="C118" t="s">
        <v>428</v>
      </c>
    </row>
    <row r="119" spans="1:3">
      <c r="A119" t="s">
        <v>883</v>
      </c>
      <c r="B119" t="s">
        <v>884</v>
      </c>
      <c r="C119" t="s">
        <v>885</v>
      </c>
    </row>
    <row r="120" spans="1:3">
      <c r="A120" t="s">
        <v>241</v>
      </c>
      <c r="B120" t="s">
        <v>63</v>
      </c>
      <c r="C120" t="s">
        <v>294</v>
      </c>
    </row>
    <row r="121" spans="1:3">
      <c r="A121" t="s">
        <v>886</v>
      </c>
      <c r="B121" t="s">
        <v>887</v>
      </c>
      <c r="C121" t="s">
        <v>888</v>
      </c>
    </row>
    <row r="122" spans="1:3">
      <c r="A122" t="s">
        <v>889</v>
      </c>
      <c r="B122" t="s">
        <v>890</v>
      </c>
      <c r="C122" t="s">
        <v>891</v>
      </c>
    </row>
    <row r="123" spans="1:3">
      <c r="A123" t="s">
        <v>892</v>
      </c>
      <c r="B123" t="s">
        <v>893</v>
      </c>
      <c r="C123" s="3" t="s">
        <v>894</v>
      </c>
    </row>
    <row r="124" spans="1:3">
      <c r="A124" t="s">
        <v>273</v>
      </c>
      <c r="B124" t="s">
        <v>622</v>
      </c>
      <c r="C124" s="3" t="s">
        <v>623</v>
      </c>
    </row>
    <row r="125" spans="1:3">
      <c r="A125" t="s">
        <v>624</v>
      </c>
      <c r="B125" t="s">
        <v>625</v>
      </c>
      <c r="C125" t="s">
        <v>626</v>
      </c>
    </row>
    <row r="126" spans="1:3">
      <c r="A126" t="s">
        <v>215</v>
      </c>
      <c r="B126" t="s">
        <v>216</v>
      </c>
    </row>
    <row r="127" spans="1:3">
      <c r="A127" t="s">
        <v>895</v>
      </c>
      <c r="B127" t="s">
        <v>896</v>
      </c>
      <c r="C127" t="s">
        <v>897</v>
      </c>
    </row>
    <row r="128" spans="1:3">
      <c r="A128" t="s">
        <v>627</v>
      </c>
      <c r="B128" t="s">
        <v>628</v>
      </c>
    </row>
    <row r="129" spans="1:3">
      <c r="A129" t="s">
        <v>898</v>
      </c>
      <c r="B129" t="s">
        <v>111</v>
      </c>
      <c r="C129" t="s">
        <v>899</v>
      </c>
    </row>
    <row r="130" spans="1:3">
      <c r="A130" t="s">
        <v>900</v>
      </c>
      <c r="B130" t="s">
        <v>901</v>
      </c>
      <c r="C130" t="s">
        <v>902</v>
      </c>
    </row>
    <row r="131" spans="1:3">
      <c r="A131" t="s">
        <v>495</v>
      </c>
      <c r="B131" t="s">
        <v>96</v>
      </c>
      <c r="C131" t="s">
        <v>496</v>
      </c>
    </row>
    <row r="132" spans="1:3">
      <c r="A132" t="s">
        <v>903</v>
      </c>
      <c r="B132" t="s">
        <v>630</v>
      </c>
      <c r="C132" t="s">
        <v>631</v>
      </c>
    </row>
    <row r="133" spans="1:3">
      <c r="A133" t="s">
        <v>632</v>
      </c>
      <c r="B133" t="s">
        <v>633</v>
      </c>
      <c r="C133" t="s">
        <v>634</v>
      </c>
    </row>
    <row r="134" spans="1:3">
      <c r="A134" t="s">
        <v>635</v>
      </c>
      <c r="B134" t="s">
        <v>636</v>
      </c>
      <c r="C134" t="s">
        <v>637</v>
      </c>
    </row>
    <row r="135" spans="1:3">
      <c r="A135" t="s">
        <v>904</v>
      </c>
      <c r="B135" t="s">
        <v>905</v>
      </c>
      <c r="C135" t="s">
        <v>906</v>
      </c>
    </row>
    <row r="136" spans="1:3">
      <c r="A136" t="s">
        <v>907</v>
      </c>
      <c r="B136" t="s">
        <v>908</v>
      </c>
    </row>
    <row r="137" spans="1:3">
      <c r="A137" t="s">
        <v>629</v>
      </c>
      <c r="B137" t="s">
        <v>909</v>
      </c>
      <c r="C137" t="s">
        <v>910</v>
      </c>
    </row>
    <row r="138" spans="1:3">
      <c r="A138" t="s">
        <v>237</v>
      </c>
      <c r="B138" t="s">
        <v>51</v>
      </c>
      <c r="C138" t="s">
        <v>368</v>
      </c>
    </row>
    <row r="139" spans="1:3">
      <c r="A139" t="s">
        <v>319</v>
      </c>
      <c r="B139" t="s">
        <v>120</v>
      </c>
      <c r="C139" t="s">
        <v>320</v>
      </c>
    </row>
    <row r="140" spans="1:3">
      <c r="A140" t="s">
        <v>296</v>
      </c>
      <c r="B140" t="s">
        <v>75</v>
      </c>
      <c r="C140" t="s">
        <v>297</v>
      </c>
    </row>
    <row r="141" spans="1:3">
      <c r="A141" t="s">
        <v>638</v>
      </c>
      <c r="B141" t="s">
        <v>639</v>
      </c>
      <c r="C141" t="s">
        <v>640</v>
      </c>
    </row>
    <row r="142" spans="1:3">
      <c r="A142" t="s">
        <v>236</v>
      </c>
      <c r="B142" t="s">
        <v>44</v>
      </c>
      <c r="C142" t="s">
        <v>369</v>
      </c>
    </row>
    <row r="143" spans="1:3">
      <c r="A143" t="s">
        <v>911</v>
      </c>
      <c r="B143" t="s">
        <v>912</v>
      </c>
      <c r="C143" t="s">
        <v>913</v>
      </c>
    </row>
    <row r="144" spans="1:3">
      <c r="A144" t="s">
        <v>914</v>
      </c>
      <c r="B144" t="s">
        <v>915</v>
      </c>
      <c r="C144" t="s">
        <v>916</v>
      </c>
    </row>
    <row r="145" spans="1:3">
      <c r="A145" t="s">
        <v>917</v>
      </c>
      <c r="B145" t="s">
        <v>918</v>
      </c>
    </row>
    <row r="146" spans="1:3">
      <c r="A146" t="s">
        <v>301</v>
      </c>
      <c r="B146" t="s">
        <v>97</v>
      </c>
      <c r="C146" t="s">
        <v>302</v>
      </c>
    </row>
    <row r="147" spans="1:3">
      <c r="A147" s="3" t="s">
        <v>419</v>
      </c>
      <c r="B147" s="3" t="s">
        <v>139</v>
      </c>
      <c r="C147" s="3" t="s">
        <v>420</v>
      </c>
    </row>
    <row r="148" spans="1:3">
      <c r="A148" s="3" t="s">
        <v>207</v>
      </c>
      <c r="B148" s="3" t="s">
        <v>90</v>
      </c>
      <c r="C148" s="3" t="s">
        <v>919</v>
      </c>
    </row>
    <row r="149" spans="1:3">
      <c r="A149" t="s">
        <v>242</v>
      </c>
      <c r="B149" t="s">
        <v>100</v>
      </c>
      <c r="C149" t="s">
        <v>362</v>
      </c>
    </row>
    <row r="150" spans="1:3">
      <c r="A150" t="s">
        <v>920</v>
      </c>
      <c r="B150" t="s">
        <v>921</v>
      </c>
      <c r="C150" t="s">
        <v>922</v>
      </c>
    </row>
    <row r="151" spans="1:3">
      <c r="A151" t="s">
        <v>647</v>
      </c>
      <c r="B151" t="s">
        <v>648</v>
      </c>
      <c r="C151" t="s">
        <v>649</v>
      </c>
    </row>
    <row r="152" spans="1:3">
      <c r="A152" t="s">
        <v>440</v>
      </c>
      <c r="B152" t="s">
        <v>147</v>
      </c>
      <c r="C152" t="s">
        <v>441</v>
      </c>
    </row>
    <row r="153" spans="1:3">
      <c r="A153" t="s">
        <v>923</v>
      </c>
      <c r="B153" t="s">
        <v>924</v>
      </c>
    </row>
    <row r="154" spans="1:3">
      <c r="A154" t="s">
        <v>244</v>
      </c>
      <c r="B154" t="s">
        <v>65</v>
      </c>
      <c r="C154" t="s">
        <v>307</v>
      </c>
    </row>
    <row r="155" spans="1:3">
      <c r="A155" t="s">
        <v>925</v>
      </c>
      <c r="B155" t="s">
        <v>926</v>
      </c>
      <c r="C155" t="s">
        <v>927</v>
      </c>
    </row>
    <row r="156" spans="1:3">
      <c r="A156" t="s">
        <v>653</v>
      </c>
      <c r="B156" t="s">
        <v>654</v>
      </c>
      <c r="C156" t="s">
        <v>655</v>
      </c>
    </row>
    <row r="157" spans="1:3">
      <c r="A157" t="s">
        <v>386</v>
      </c>
      <c r="B157" t="s">
        <v>94</v>
      </c>
      <c r="C157" t="s">
        <v>387</v>
      </c>
    </row>
    <row r="158" spans="1:3">
      <c r="A158" s="3" t="s">
        <v>288</v>
      </c>
      <c r="B158" s="3" t="s">
        <v>119</v>
      </c>
      <c r="C158" s="3" t="s">
        <v>928</v>
      </c>
    </row>
    <row r="159" spans="1:3">
      <c r="A159" t="s">
        <v>929</v>
      </c>
      <c r="B159" t="s">
        <v>930</v>
      </c>
      <c r="C159" t="s">
        <v>931</v>
      </c>
    </row>
    <row r="160" spans="1:3">
      <c r="A160" t="s">
        <v>277</v>
      </c>
      <c r="B160" t="s">
        <v>116</v>
      </c>
    </row>
    <row r="161" spans="1:3">
      <c r="A161" s="3" t="s">
        <v>525</v>
      </c>
      <c r="B161" s="3" t="s">
        <v>526</v>
      </c>
      <c r="C161" s="3" t="s">
        <v>527</v>
      </c>
    </row>
    <row r="162" spans="1:3">
      <c r="A162" t="s">
        <v>528</v>
      </c>
      <c r="B162" t="s">
        <v>95</v>
      </c>
      <c r="C162" t="s">
        <v>529</v>
      </c>
    </row>
    <row r="163" spans="1:3">
      <c r="A163" t="s">
        <v>932</v>
      </c>
      <c r="B163" t="s">
        <v>933</v>
      </c>
      <c r="C163" t="s">
        <v>934</v>
      </c>
    </row>
    <row r="164" spans="1:3">
      <c r="A164" t="s">
        <v>314</v>
      </c>
      <c r="B164" t="s">
        <v>71</v>
      </c>
      <c r="C164" s="3" t="s">
        <v>935</v>
      </c>
    </row>
    <row r="165" spans="1:3">
      <c r="A165" t="s">
        <v>936</v>
      </c>
      <c r="B165" t="s">
        <v>937</v>
      </c>
      <c r="C165" t="s">
        <v>938</v>
      </c>
    </row>
    <row r="166" spans="1:3">
      <c r="A166" t="s">
        <v>425</v>
      </c>
      <c r="B166" t="s">
        <v>141</v>
      </c>
      <c r="C166" t="s">
        <v>426</v>
      </c>
    </row>
    <row r="167" spans="1:3">
      <c r="A167" t="s">
        <v>397</v>
      </c>
      <c r="B167" t="s">
        <v>118</v>
      </c>
      <c r="C167" t="s">
        <v>398</v>
      </c>
    </row>
    <row r="168" spans="1:3">
      <c r="A168" t="s">
        <v>939</v>
      </c>
      <c r="B168" t="s">
        <v>940</v>
      </c>
      <c r="C168" t="s">
        <v>941</v>
      </c>
    </row>
    <row r="169" spans="1:3">
      <c r="A169" t="s">
        <v>331</v>
      </c>
      <c r="B169" t="s">
        <v>67</v>
      </c>
      <c r="C169" t="s">
        <v>332</v>
      </c>
    </row>
    <row r="170" spans="1:3">
      <c r="A170" t="s">
        <v>942</v>
      </c>
      <c r="B170" t="s">
        <v>943</v>
      </c>
    </row>
    <row r="171" spans="1:3">
      <c r="A171" s="3" t="s">
        <v>366</v>
      </c>
      <c r="B171" t="s">
        <v>103</v>
      </c>
      <c r="C171" s="3" t="s">
        <v>367</v>
      </c>
    </row>
    <row r="172" spans="1:3">
      <c r="A172" t="s">
        <v>656</v>
      </c>
      <c r="B172" t="s">
        <v>657</v>
      </c>
      <c r="C172" t="s">
        <v>658</v>
      </c>
    </row>
    <row r="173" spans="1:3">
      <c r="A173" t="s">
        <v>401</v>
      </c>
      <c r="B173" t="s">
        <v>135</v>
      </c>
      <c r="C173" t="s">
        <v>402</v>
      </c>
    </row>
    <row r="174" spans="1:3">
      <c r="A174" t="s">
        <v>944</v>
      </c>
      <c r="B174" t="s">
        <v>93</v>
      </c>
      <c r="C174" t="s">
        <v>945</v>
      </c>
    </row>
    <row r="175" spans="1:3">
      <c r="A175" t="s">
        <v>415</v>
      </c>
      <c r="B175" t="s">
        <v>92</v>
      </c>
      <c r="C175" t="s">
        <v>416</v>
      </c>
    </row>
    <row r="176" spans="1:3">
      <c r="A176" t="s">
        <v>946</v>
      </c>
      <c r="B176" t="s">
        <v>947</v>
      </c>
      <c r="C176" t="s">
        <v>948</v>
      </c>
    </row>
    <row r="177" spans="1:3">
      <c r="A177" t="s">
        <v>305</v>
      </c>
      <c r="B177" t="s">
        <v>89</v>
      </c>
      <c r="C177" t="s">
        <v>306</v>
      </c>
    </row>
    <row r="178" spans="1:3">
      <c r="A178" t="s">
        <v>230</v>
      </c>
      <c r="B178" t="s">
        <v>42</v>
      </c>
      <c r="C178" t="s">
        <v>321</v>
      </c>
    </row>
    <row r="179" spans="1:3">
      <c r="A179" t="s">
        <v>949</v>
      </c>
      <c r="B179" t="s">
        <v>950</v>
      </c>
      <c r="C179" t="s">
        <v>951</v>
      </c>
    </row>
    <row r="180" spans="1:3">
      <c r="A180" t="s">
        <v>952</v>
      </c>
      <c r="B180" t="s">
        <v>953</v>
      </c>
      <c r="C180" t="s">
        <v>954</v>
      </c>
    </row>
    <row r="181" spans="1:3">
      <c r="A181" t="s">
        <v>955</v>
      </c>
      <c r="B181" t="s">
        <v>956</v>
      </c>
      <c r="C181" t="s">
        <v>957</v>
      </c>
    </row>
    <row r="182" spans="1:3">
      <c r="A182" t="s">
        <v>664</v>
      </c>
      <c r="B182" t="s">
        <v>665</v>
      </c>
      <c r="C182" t="s">
        <v>666</v>
      </c>
    </row>
    <row r="183" spans="1:3">
      <c r="A183" t="s">
        <v>235</v>
      </c>
      <c r="B183" t="s">
        <v>150</v>
      </c>
      <c r="C183" t="s">
        <v>453</v>
      </c>
    </row>
    <row r="184" spans="1:3">
      <c r="A184" t="s">
        <v>667</v>
      </c>
      <c r="B184" t="s">
        <v>668</v>
      </c>
    </row>
    <row r="185" spans="1:3">
      <c r="A185" t="s">
        <v>350</v>
      </c>
      <c r="B185" t="s">
        <v>83</v>
      </c>
      <c r="C185" t="s">
        <v>351</v>
      </c>
    </row>
    <row r="186" spans="1:3">
      <c r="A186" t="s">
        <v>958</v>
      </c>
      <c r="B186" t="s">
        <v>959</v>
      </c>
      <c r="C186" t="s">
        <v>960</v>
      </c>
    </row>
    <row r="187" spans="1:3">
      <c r="A187" t="s">
        <v>961</v>
      </c>
      <c r="B187" t="s">
        <v>962</v>
      </c>
      <c r="C187" t="s">
        <v>963</v>
      </c>
    </row>
    <row r="188" spans="1:3">
      <c r="A188" t="s">
        <v>438</v>
      </c>
      <c r="B188" t="s">
        <v>146</v>
      </c>
      <c r="C188" t="s">
        <v>439</v>
      </c>
    </row>
    <row r="189" spans="1:3">
      <c r="A189" t="s">
        <v>335</v>
      </c>
      <c r="B189" t="s">
        <v>91</v>
      </c>
      <c r="C189" t="s">
        <v>336</v>
      </c>
    </row>
    <row r="190" spans="1:3">
      <c r="A190" t="s">
        <v>333</v>
      </c>
      <c r="B190" t="s">
        <v>102</v>
      </c>
      <c r="C190" s="3" t="s">
        <v>334</v>
      </c>
    </row>
    <row r="191" spans="1:3">
      <c r="A191" t="s">
        <v>310</v>
      </c>
      <c r="B191" t="s">
        <v>98</v>
      </c>
      <c r="C191" t="s">
        <v>311</v>
      </c>
    </row>
    <row r="192" spans="1:3">
      <c r="A192" t="s">
        <v>705</v>
      </c>
      <c r="B192" t="s">
        <v>706</v>
      </c>
    </row>
    <row r="193" spans="1:5">
      <c r="A193" t="s">
        <v>707</v>
      </c>
      <c r="B193" t="s">
        <v>708</v>
      </c>
      <c r="C193" t="s">
        <v>709</v>
      </c>
    </row>
    <row r="194" spans="1:5">
      <c r="A194" t="s">
        <v>964</v>
      </c>
      <c r="B194" t="s">
        <v>965</v>
      </c>
      <c r="C194" t="s">
        <v>966</v>
      </c>
    </row>
    <row r="195" spans="1:5">
      <c r="A195" t="s">
        <v>371</v>
      </c>
      <c r="B195" t="s">
        <v>130</v>
      </c>
      <c r="C195" t="s">
        <v>372</v>
      </c>
    </row>
    <row r="196" spans="1:5">
      <c r="A196" t="s">
        <v>967</v>
      </c>
      <c r="B196" t="s">
        <v>968</v>
      </c>
      <c r="C196" t="s">
        <v>969</v>
      </c>
    </row>
    <row r="197" spans="1:5">
      <c r="A197" t="s">
        <v>970</v>
      </c>
      <c r="B197" t="s">
        <v>971</v>
      </c>
      <c r="C197" t="s">
        <v>972</v>
      </c>
    </row>
    <row r="198" spans="1:5">
      <c r="A198" t="s">
        <v>973</v>
      </c>
      <c r="B198" t="s">
        <v>974</v>
      </c>
    </row>
    <row r="199" spans="1:5">
      <c r="A199" t="s">
        <v>347</v>
      </c>
      <c r="B199" t="s">
        <v>110</v>
      </c>
      <c r="C199" t="s">
        <v>348</v>
      </c>
    </row>
    <row r="200" spans="1:5">
      <c r="A200" t="s">
        <v>388</v>
      </c>
      <c r="B200" t="s">
        <v>82</v>
      </c>
      <c r="C200" t="s">
        <v>389</v>
      </c>
    </row>
    <row r="201" spans="1:5">
      <c r="A201" t="s">
        <v>355</v>
      </c>
      <c r="B201" t="s">
        <v>154</v>
      </c>
      <c r="C201" t="s">
        <v>356</v>
      </c>
    </row>
    <row r="202" spans="1:5">
      <c r="A202" s="3" t="s">
        <v>975</v>
      </c>
      <c r="B202" s="3" t="s">
        <v>70</v>
      </c>
      <c r="C202" s="3" t="s">
        <v>445</v>
      </c>
    </row>
    <row r="203" spans="1:5">
      <c r="A203" t="s">
        <v>713</v>
      </c>
      <c r="B203" t="s">
        <v>714</v>
      </c>
      <c r="C203" s="3" t="s">
        <v>715</v>
      </c>
    </row>
    <row r="204" spans="1:5">
      <c r="A204" t="s">
        <v>716</v>
      </c>
      <c r="B204" t="s">
        <v>717</v>
      </c>
    </row>
    <row r="205" spans="1:5">
      <c r="A205" t="s">
        <v>718</v>
      </c>
      <c r="B205" t="s">
        <v>719</v>
      </c>
      <c r="C205" s="3" t="s">
        <v>720</v>
      </c>
      <c r="E205" s="3"/>
    </row>
    <row r="206" spans="1:5">
      <c r="A206" s="3" t="s">
        <v>205</v>
      </c>
      <c r="B206" s="3" t="s">
        <v>88</v>
      </c>
      <c r="C206" s="3" t="s">
        <v>976</v>
      </c>
      <c r="E206" s="3"/>
    </row>
    <row r="207" spans="1:5">
      <c r="A207" s="3" t="s">
        <v>204</v>
      </c>
      <c r="B207" s="3" t="s">
        <v>87</v>
      </c>
      <c r="C207" s="3" t="s">
        <v>455</v>
      </c>
      <c r="E207" s="3"/>
    </row>
    <row r="208" spans="1:5">
      <c r="A208" t="s">
        <v>977</v>
      </c>
      <c r="B208" t="s">
        <v>978</v>
      </c>
      <c r="C208" t="s">
        <v>979</v>
      </c>
      <c r="E208" s="3"/>
    </row>
    <row r="209" spans="1:5">
      <c r="A209" t="s">
        <v>454</v>
      </c>
      <c r="B209" t="s">
        <v>137</v>
      </c>
      <c r="C209" t="s">
        <v>408</v>
      </c>
      <c r="E209" s="3"/>
    </row>
    <row r="210" spans="1:5">
      <c r="A210" t="s">
        <v>487</v>
      </c>
      <c r="B210" t="s">
        <v>109</v>
      </c>
      <c r="C210" t="s">
        <v>391</v>
      </c>
      <c r="E210" s="3"/>
    </row>
    <row r="211" spans="1:5">
      <c r="A211" t="s">
        <v>980</v>
      </c>
      <c r="B211" t="s">
        <v>981</v>
      </c>
      <c r="C211" t="s">
        <v>982</v>
      </c>
      <c r="E211" s="3"/>
    </row>
    <row r="212" spans="1:5">
      <c r="A212" t="s">
        <v>489</v>
      </c>
      <c r="B212" t="s">
        <v>490</v>
      </c>
      <c r="C212" t="s">
        <v>491</v>
      </c>
      <c r="E212" s="3"/>
    </row>
    <row r="213" spans="1:5">
      <c r="A213" t="s">
        <v>342</v>
      </c>
      <c r="B213" t="s">
        <v>126</v>
      </c>
      <c r="C213" t="s">
        <v>329</v>
      </c>
      <c r="E213" s="3"/>
    </row>
    <row r="214" spans="1:5">
      <c r="A214" s="3" t="s">
        <v>721</v>
      </c>
      <c r="B214" s="3" t="s">
        <v>722</v>
      </c>
      <c r="C214" s="3" t="s">
        <v>722</v>
      </c>
      <c r="E214" s="3"/>
    </row>
    <row r="215" spans="1:5">
      <c r="A215" s="3" t="s">
        <v>705</v>
      </c>
      <c r="B215" s="3" t="s">
        <v>983</v>
      </c>
      <c r="C215" s="3" t="s">
        <v>983</v>
      </c>
      <c r="E215" s="3"/>
    </row>
    <row r="216" spans="1:5">
      <c r="E216" s="3"/>
    </row>
    <row r="217" spans="1:5">
      <c r="E217" s="3"/>
    </row>
    <row r="218" spans="1:5">
      <c r="E218" s="3"/>
    </row>
    <row r="219" spans="1:5">
      <c r="E219" s="3"/>
    </row>
    <row r="220" spans="1:5">
      <c r="E220" s="3"/>
    </row>
    <row r="221" spans="1:5">
      <c r="E221" s="3"/>
    </row>
    <row r="222" spans="1:5">
      <c r="E222" s="3"/>
    </row>
    <row r="223" spans="1:5">
      <c r="E223" s="3"/>
    </row>
    <row r="224" spans="1:5">
      <c r="E224" s="3"/>
    </row>
    <row r="225" spans="5:5">
      <c r="E225" s="3"/>
    </row>
    <row r="226" spans="5:5">
      <c r="E226" s="3"/>
    </row>
    <row r="227" spans="5:5">
      <c r="E227" s="3"/>
    </row>
    <row r="228" spans="5:5">
      <c r="E228" s="3"/>
    </row>
    <row r="229" spans="5:5">
      <c r="E229" s="3"/>
    </row>
    <row r="230" spans="5:5">
      <c r="E230" s="3"/>
    </row>
    <row r="231" spans="5:5">
      <c r="E231" s="3"/>
    </row>
    <row r="232" spans="5:5">
      <c r="E232" s="3"/>
    </row>
    <row r="233" spans="5:5">
      <c r="E233" s="3"/>
    </row>
    <row r="234" spans="5:5">
      <c r="E234" s="3"/>
    </row>
    <row r="235" spans="5:5">
      <c r="E235" s="3"/>
    </row>
    <row r="236" spans="5:5">
      <c r="E236" s="3"/>
    </row>
    <row r="237" spans="5:5">
      <c r="E237" s="3"/>
    </row>
    <row r="238" spans="5:5">
      <c r="E238" s="3"/>
    </row>
    <row r="239" spans="5:5">
      <c r="E239" s="3"/>
    </row>
    <row r="240" spans="5:5">
      <c r="E240" s="3"/>
    </row>
    <row r="241" spans="5:5">
      <c r="E241" s="3"/>
    </row>
    <row r="242" spans="5:5">
      <c r="E242" s="3"/>
    </row>
    <row r="243" spans="5:5">
      <c r="E243" s="3"/>
    </row>
    <row r="244" spans="5:5">
      <c r="E244" s="3"/>
    </row>
    <row r="245" spans="5:5">
      <c r="E245" s="3"/>
    </row>
    <row r="246" spans="5:5">
      <c r="E246" s="3"/>
    </row>
    <row r="247" spans="5:5">
      <c r="E247" s="3"/>
    </row>
    <row r="248" spans="5:5">
      <c r="E248" s="3"/>
    </row>
    <row r="249" spans="5:5">
      <c r="E249" s="3"/>
    </row>
    <row r="250" spans="5:5">
      <c r="E250" s="3"/>
    </row>
    <row r="251" spans="5:5">
      <c r="E251" s="3"/>
    </row>
    <row r="252" spans="5:5">
      <c r="E252" s="3"/>
    </row>
    <row r="253" spans="5:5">
      <c r="E253" s="3"/>
    </row>
    <row r="254" spans="5:5">
      <c r="E254" s="3"/>
    </row>
    <row r="255" spans="5:5">
      <c r="E255" s="3"/>
    </row>
    <row r="256" spans="5:5">
      <c r="E256" s="3"/>
    </row>
    <row r="257" spans="5:5">
      <c r="E257" s="3"/>
    </row>
    <row r="258" spans="5:5">
      <c r="E258" s="3"/>
    </row>
    <row r="259" spans="5:5">
      <c r="E259" s="3"/>
    </row>
    <row r="260" spans="5:5">
      <c r="E260" s="3"/>
    </row>
    <row r="261" spans="5:5">
      <c r="E261" s="3"/>
    </row>
    <row r="262" spans="5:5">
      <c r="E262" s="3"/>
    </row>
    <row r="263" spans="5:5">
      <c r="E263" s="3"/>
    </row>
    <row r="264" spans="5:5">
      <c r="E264" s="3"/>
    </row>
    <row r="265" spans="5:5">
      <c r="E265" s="3"/>
    </row>
    <row r="266" spans="5:5">
      <c r="E266" s="3"/>
    </row>
    <row r="267" spans="5:5">
      <c r="E267" s="3"/>
    </row>
    <row r="268" spans="5:5">
      <c r="E268" s="3"/>
    </row>
    <row r="269" spans="5:5">
      <c r="E269" s="3"/>
    </row>
    <row r="270" spans="5:5">
      <c r="E270" s="3"/>
    </row>
    <row r="271" spans="5:5">
      <c r="E271" s="3"/>
    </row>
    <row r="272" spans="5:5">
      <c r="E272" s="3"/>
    </row>
    <row r="273" spans="5:5">
      <c r="E273" s="3"/>
    </row>
    <row r="274" spans="5:5">
      <c r="E274" s="3"/>
    </row>
    <row r="275" spans="5:5">
      <c r="E275" s="3"/>
    </row>
    <row r="276" spans="5:5">
      <c r="E276" s="3"/>
    </row>
    <row r="277" spans="5:5">
      <c r="E277" s="3"/>
    </row>
    <row r="278" spans="5:5">
      <c r="E278" s="3"/>
    </row>
    <row r="279" spans="5:5">
      <c r="E279" s="3"/>
    </row>
    <row r="280" spans="5:5">
      <c r="E280" s="3"/>
    </row>
    <row r="281" spans="5:5">
      <c r="E281" s="3"/>
    </row>
    <row r="282" spans="5:5">
      <c r="E282" s="3"/>
    </row>
    <row r="283" spans="5:5">
      <c r="E283" s="3"/>
    </row>
    <row r="284" spans="5:5">
      <c r="E284" s="3"/>
    </row>
    <row r="285" spans="5:5">
      <c r="E285" s="3"/>
    </row>
    <row r="286" spans="5:5">
      <c r="E286" s="3"/>
    </row>
    <row r="287" spans="5:5">
      <c r="E287" s="3"/>
    </row>
    <row r="288" spans="5:5">
      <c r="E288" s="3"/>
    </row>
    <row r="289" spans="5:5">
      <c r="E289" s="3"/>
    </row>
    <row r="290" spans="5:5">
      <c r="E290" s="3"/>
    </row>
    <row r="291" spans="5:5">
      <c r="E291" s="3"/>
    </row>
    <row r="292" spans="5:5">
      <c r="E292" s="3"/>
    </row>
    <row r="293" spans="5:5">
      <c r="E293" s="3"/>
    </row>
    <row r="294" spans="5:5">
      <c r="E294" s="3"/>
    </row>
    <row r="295" spans="5:5">
      <c r="E295" s="3"/>
    </row>
    <row r="296" spans="5:5">
      <c r="E296" s="3"/>
    </row>
    <row r="297" spans="5:5">
      <c r="E297" s="3"/>
    </row>
    <row r="298" spans="5:5">
      <c r="E298" s="3"/>
    </row>
    <row r="299" spans="5:5">
      <c r="E299" s="3"/>
    </row>
    <row r="300" spans="5:5">
      <c r="E300" s="3"/>
    </row>
    <row r="301" spans="5:5">
      <c r="E301" s="3"/>
    </row>
    <row r="302" spans="5:5">
      <c r="E302" s="3"/>
    </row>
    <row r="303" spans="5:5">
      <c r="E303" s="3"/>
    </row>
    <row r="304" spans="5:5">
      <c r="E304" s="3"/>
    </row>
    <row r="305" spans="5:5">
      <c r="E305" s="3"/>
    </row>
    <row r="306" spans="5:5">
      <c r="E306" s="3"/>
    </row>
    <row r="307" spans="5:5">
      <c r="E307" s="3"/>
    </row>
    <row r="308" spans="5:5">
      <c r="E308" s="3"/>
    </row>
    <row r="309" spans="5:5">
      <c r="E309" s="3"/>
    </row>
    <row r="310" spans="5:5">
      <c r="E310" s="3"/>
    </row>
    <row r="311" spans="5:5">
      <c r="E311" s="3"/>
    </row>
    <row r="312" spans="5:5">
      <c r="E312" s="3"/>
    </row>
    <row r="313" spans="5:5">
      <c r="E313" s="3"/>
    </row>
    <row r="314" spans="5:5">
      <c r="E314" s="3"/>
    </row>
    <row r="315" spans="5:5">
      <c r="E315" s="3"/>
    </row>
    <row r="316" spans="5:5">
      <c r="E316" s="3"/>
    </row>
    <row r="317" spans="5:5">
      <c r="E317" s="3"/>
    </row>
    <row r="318" spans="5:5">
      <c r="E318" s="3"/>
    </row>
    <row r="319" spans="5:5">
      <c r="E319" s="3"/>
    </row>
    <row r="320" spans="5:5">
      <c r="E320" s="3"/>
    </row>
    <row r="321" spans="5:5">
      <c r="E321" s="3"/>
    </row>
    <row r="322" spans="5:5">
      <c r="E322" s="3"/>
    </row>
    <row r="323" spans="5:5">
      <c r="E323" s="3"/>
    </row>
    <row r="324" spans="5:5">
      <c r="E324" s="3"/>
    </row>
    <row r="325" spans="5:5">
      <c r="E325" s="3"/>
    </row>
    <row r="326" spans="5:5">
      <c r="E326" s="3"/>
    </row>
    <row r="327" spans="5:5">
      <c r="E327" s="3"/>
    </row>
    <row r="328" spans="5:5">
      <c r="E328" s="3"/>
    </row>
    <row r="329" spans="5:5">
      <c r="E329" s="3"/>
    </row>
    <row r="330" spans="5:5">
      <c r="E330" s="3"/>
    </row>
    <row r="331" spans="5:5">
      <c r="E331" s="3"/>
    </row>
    <row r="332" spans="5:5">
      <c r="E332" s="3"/>
    </row>
    <row r="333" spans="5:5">
      <c r="E333" s="3"/>
    </row>
    <row r="334" spans="5:5">
      <c r="E334" s="3"/>
    </row>
    <row r="335" spans="5:5">
      <c r="E335" s="3"/>
    </row>
    <row r="336" spans="5:5">
      <c r="E336" s="3"/>
    </row>
    <row r="337" spans="5:5">
      <c r="E337" s="3"/>
    </row>
    <row r="338" spans="5:5">
      <c r="E338" s="3"/>
    </row>
    <row r="339" spans="5:5">
      <c r="E339" s="3"/>
    </row>
    <row r="340" spans="5:5">
      <c r="E340" s="3"/>
    </row>
    <row r="341" spans="5:5">
      <c r="E341" s="3"/>
    </row>
    <row r="342" spans="5:5">
      <c r="E342" s="3"/>
    </row>
    <row r="343" spans="5:5">
      <c r="E343" s="3"/>
    </row>
    <row r="344" spans="5:5">
      <c r="E344" s="3"/>
    </row>
    <row r="345" spans="5:5">
      <c r="E345" s="3"/>
    </row>
    <row r="346" spans="5:5">
      <c r="E346" s="3"/>
    </row>
    <row r="347" spans="5:5">
      <c r="E347" s="3"/>
    </row>
    <row r="348" spans="5:5">
      <c r="E348" s="3"/>
    </row>
    <row r="349" spans="5:5">
      <c r="E349" s="3"/>
    </row>
    <row r="350" spans="5:5">
      <c r="E350" s="3"/>
    </row>
    <row r="351" spans="5:5">
      <c r="E351" s="3"/>
    </row>
    <row r="352" spans="5:5">
      <c r="E352" s="3"/>
    </row>
    <row r="353" spans="5:5">
      <c r="E353" s="3"/>
    </row>
    <row r="354" spans="5:5">
      <c r="E354" s="3"/>
    </row>
    <row r="355" spans="5:5">
      <c r="E355" s="3"/>
    </row>
    <row r="356" spans="5:5">
      <c r="E356" s="3"/>
    </row>
    <row r="357" spans="5:5">
      <c r="E357" s="3"/>
    </row>
    <row r="358" spans="5:5">
      <c r="E358" s="3"/>
    </row>
    <row r="359" spans="5:5">
      <c r="E359" s="3"/>
    </row>
    <row r="360" spans="5:5">
      <c r="E360" s="3"/>
    </row>
    <row r="361" spans="5:5">
      <c r="E361" s="3"/>
    </row>
    <row r="362" spans="5:5">
      <c r="E362" s="3"/>
    </row>
    <row r="363" spans="5:5">
      <c r="E363" s="3"/>
    </row>
    <row r="364" spans="5:5">
      <c r="E364" s="3"/>
    </row>
    <row r="365" spans="5:5">
      <c r="E365" s="3"/>
    </row>
    <row r="366" spans="5:5">
      <c r="E366" s="3"/>
    </row>
    <row r="367" spans="5:5">
      <c r="E367" s="3"/>
    </row>
    <row r="368" spans="5:5">
      <c r="E368" s="3"/>
    </row>
    <row r="369" spans="5:5">
      <c r="E369" s="3"/>
    </row>
    <row r="370" spans="5:5">
      <c r="E370" s="3"/>
    </row>
    <row r="371" spans="5:5">
      <c r="E371" s="3"/>
    </row>
    <row r="372" spans="5:5">
      <c r="E372" s="3"/>
    </row>
    <row r="373" spans="5:5">
      <c r="E373" s="3"/>
    </row>
    <row r="374" spans="5:5">
      <c r="E374" s="3"/>
    </row>
    <row r="375" spans="5:5">
      <c r="E375" s="3"/>
    </row>
    <row r="376" spans="5:5">
      <c r="E376" s="3"/>
    </row>
    <row r="377" spans="5:5">
      <c r="E377" s="3"/>
    </row>
    <row r="378" spans="5:5">
      <c r="E378" s="3"/>
    </row>
    <row r="379" spans="5:5">
      <c r="E379" s="3"/>
    </row>
    <row r="380" spans="5:5">
      <c r="E380" s="3"/>
    </row>
    <row r="381" spans="5:5">
      <c r="E381" s="3"/>
    </row>
    <row r="382" spans="5:5">
      <c r="E382" s="3"/>
    </row>
    <row r="383" spans="5:5">
      <c r="E383" s="3"/>
    </row>
    <row r="384" spans="5:5"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  <row r="427" spans="5:5">
      <c r="E427" s="3"/>
    </row>
    <row r="428" spans="5:5">
      <c r="E428" s="3"/>
    </row>
    <row r="429" spans="5:5">
      <c r="E429" s="3"/>
    </row>
    <row r="430" spans="5:5">
      <c r="E430" s="3"/>
    </row>
    <row r="431" spans="5:5">
      <c r="E431" s="3"/>
    </row>
    <row r="432" spans="5:5">
      <c r="E432" s="3"/>
    </row>
    <row r="433" spans="3:5">
      <c r="E433" s="3"/>
    </row>
    <row r="434" spans="3:5">
      <c r="E434" s="3"/>
    </row>
    <row r="435" spans="3:5">
      <c r="E435" s="3"/>
    </row>
    <row r="436" spans="3:5">
      <c r="E436" s="3"/>
    </row>
    <row r="437" spans="3:5">
      <c r="C437" s="3"/>
      <c r="E437" s="3"/>
    </row>
    <row r="438" spans="3:5">
      <c r="E438" s="3"/>
    </row>
    <row r="439" spans="3:5">
      <c r="E439" s="3"/>
    </row>
    <row r="440" spans="3:5">
      <c r="E440" s="3"/>
    </row>
    <row r="441" spans="3:5">
      <c r="E441" s="3"/>
    </row>
    <row r="442" spans="3:5">
      <c r="E442" s="3"/>
    </row>
    <row r="443" spans="3:5">
      <c r="E443" s="3"/>
    </row>
    <row r="444" spans="3:5">
      <c r="E444" s="3"/>
    </row>
    <row r="445" spans="3:5">
      <c r="E445" s="3"/>
    </row>
    <row r="446" spans="3:5">
      <c r="E446" s="3"/>
    </row>
    <row r="447" spans="3:5">
      <c r="E447" s="3"/>
    </row>
    <row r="448" spans="3:5">
      <c r="E448" s="3"/>
    </row>
    <row r="449" spans="5:5">
      <c r="E449" s="3"/>
    </row>
    <row r="450" spans="5:5">
      <c r="E450" s="3"/>
    </row>
    <row r="451" spans="5:5">
      <c r="E451" s="3"/>
    </row>
    <row r="452" spans="5:5">
      <c r="E452" s="3"/>
    </row>
    <row r="453" spans="5:5">
      <c r="E453" s="3"/>
    </row>
    <row r="454" spans="5:5">
      <c r="E454" s="3"/>
    </row>
    <row r="455" spans="5:5">
      <c r="E455" s="3"/>
    </row>
    <row r="456" spans="5:5">
      <c r="E456" s="3"/>
    </row>
    <row r="457" spans="5:5">
      <c r="E457" s="3"/>
    </row>
    <row r="458" spans="5:5">
      <c r="E458" s="3"/>
    </row>
    <row r="459" spans="5:5">
      <c r="E459" s="3"/>
    </row>
    <row r="460" spans="5:5">
      <c r="E460" s="3"/>
    </row>
    <row r="461" spans="5:5">
      <c r="E461" s="3"/>
    </row>
    <row r="462" spans="5:5">
      <c r="E462" s="3"/>
    </row>
    <row r="463" spans="5:5">
      <c r="E463" s="3"/>
    </row>
    <row r="464" spans="5:5">
      <c r="E464" s="3"/>
    </row>
    <row r="465" spans="5:5">
      <c r="E465" s="3"/>
    </row>
    <row r="466" spans="5:5">
      <c r="E466" s="3"/>
    </row>
    <row r="467" spans="5:5">
      <c r="E467" s="3"/>
    </row>
    <row r="468" spans="5:5">
      <c r="E468" s="3"/>
    </row>
    <row r="469" spans="5:5">
      <c r="E469" s="3"/>
    </row>
    <row r="470" spans="5:5">
      <c r="E470" s="3"/>
    </row>
    <row r="471" spans="5:5">
      <c r="E471" s="3"/>
    </row>
    <row r="472" spans="5:5">
      <c r="E472" s="3"/>
    </row>
    <row r="473" spans="5:5">
      <c r="E473" s="3"/>
    </row>
    <row r="474" spans="5:5">
      <c r="E474" s="3"/>
    </row>
    <row r="475" spans="5:5">
      <c r="E475" s="3"/>
    </row>
    <row r="476" spans="5:5">
      <c r="E476" s="3"/>
    </row>
    <row r="477" spans="5:5">
      <c r="E477" s="3"/>
    </row>
    <row r="478" spans="5:5">
      <c r="E478" s="3"/>
    </row>
    <row r="479" spans="5:5">
      <c r="E479" s="3"/>
    </row>
    <row r="480" spans="5:5">
      <c r="E480" s="3"/>
    </row>
    <row r="481" spans="5:5">
      <c r="E481" s="3"/>
    </row>
    <row r="482" spans="5:5">
      <c r="E482" s="3"/>
    </row>
    <row r="483" spans="5:5">
      <c r="E483" s="3"/>
    </row>
    <row r="484" spans="5:5">
      <c r="E484" s="3"/>
    </row>
    <row r="485" spans="5:5">
      <c r="E485" s="3"/>
    </row>
    <row r="486" spans="5:5">
      <c r="E486" s="3"/>
    </row>
    <row r="487" spans="5:5">
      <c r="E487" s="3"/>
    </row>
    <row r="488" spans="5:5">
      <c r="E488" s="3"/>
    </row>
    <row r="489" spans="5:5">
      <c r="E489" s="3"/>
    </row>
    <row r="490" spans="5:5">
      <c r="E490" s="3"/>
    </row>
    <row r="491" spans="5:5">
      <c r="E491" s="3"/>
    </row>
    <row r="492" spans="5:5">
      <c r="E492" s="3"/>
    </row>
    <row r="493" spans="5:5">
      <c r="E493" s="3"/>
    </row>
    <row r="494" spans="5:5">
      <c r="E494" s="3"/>
    </row>
    <row r="495" spans="5:5">
      <c r="E495" s="3"/>
    </row>
    <row r="496" spans="5:5">
      <c r="E496" s="3"/>
    </row>
    <row r="497" spans="5:5">
      <c r="E497" s="3"/>
    </row>
    <row r="498" spans="5:5">
      <c r="E498" s="3"/>
    </row>
    <row r="499" spans="5:5">
      <c r="E499" s="3"/>
    </row>
    <row r="500" spans="5:5">
      <c r="E500" s="3"/>
    </row>
    <row r="501" spans="5:5">
      <c r="E501" s="3"/>
    </row>
    <row r="502" spans="5:5">
      <c r="E502" s="3"/>
    </row>
    <row r="503" spans="5:5">
      <c r="E503" s="3"/>
    </row>
    <row r="504" spans="5:5">
      <c r="E504" s="3"/>
    </row>
    <row r="505" spans="5:5">
      <c r="E505" s="3"/>
    </row>
    <row r="506" spans="5:5">
      <c r="E506" s="3"/>
    </row>
    <row r="507" spans="5:5">
      <c r="E507" s="3"/>
    </row>
    <row r="508" spans="5:5">
      <c r="E508" s="3"/>
    </row>
    <row r="509" spans="5:5">
      <c r="E509" s="3"/>
    </row>
    <row r="510" spans="5:5">
      <c r="E510" s="3"/>
    </row>
    <row r="511" spans="5:5">
      <c r="E511" s="3"/>
    </row>
    <row r="512" spans="5:5">
      <c r="E512" s="3"/>
    </row>
    <row r="513" spans="5:5">
      <c r="E513" s="3"/>
    </row>
    <row r="514" spans="5:5">
      <c r="E514" s="3"/>
    </row>
    <row r="515" spans="5:5">
      <c r="E515" s="3"/>
    </row>
    <row r="516" spans="5:5">
      <c r="E516" s="3"/>
    </row>
    <row r="517" spans="5:5">
      <c r="E517" s="3"/>
    </row>
    <row r="518" spans="5:5">
      <c r="E518" s="3"/>
    </row>
    <row r="519" spans="5:5">
      <c r="E519" s="3"/>
    </row>
    <row r="520" spans="5:5">
      <c r="E520" s="3"/>
    </row>
    <row r="521" spans="5:5">
      <c r="E521" s="3"/>
    </row>
    <row r="522" spans="5:5">
      <c r="E522" s="3"/>
    </row>
    <row r="523" spans="5:5">
      <c r="E523" s="3"/>
    </row>
    <row r="524" spans="5:5">
      <c r="E524" s="3"/>
    </row>
    <row r="525" spans="5:5">
      <c r="E525" s="3"/>
    </row>
    <row r="526" spans="5:5">
      <c r="E526" s="3"/>
    </row>
    <row r="527" spans="5:5">
      <c r="E527" s="3"/>
    </row>
    <row r="528" spans="5:5">
      <c r="E528" s="3"/>
    </row>
    <row r="529" spans="5:5">
      <c r="E529" s="3"/>
    </row>
    <row r="530" spans="5:5">
      <c r="E530" s="3"/>
    </row>
    <row r="531" spans="5:5">
      <c r="E531" s="3"/>
    </row>
    <row r="532" spans="5:5">
      <c r="E532" s="3"/>
    </row>
    <row r="533" spans="5:5">
      <c r="E533" s="3"/>
    </row>
    <row r="534" spans="5:5">
      <c r="E534" s="3"/>
    </row>
    <row r="535" spans="5:5">
      <c r="E535" s="3"/>
    </row>
    <row r="536" spans="5:5">
      <c r="E536" s="3"/>
    </row>
    <row r="537" spans="5:5">
      <c r="E537" s="3"/>
    </row>
    <row r="538" spans="5:5">
      <c r="E538" s="3"/>
    </row>
    <row r="539" spans="5:5">
      <c r="E539" s="3"/>
    </row>
    <row r="540" spans="5:5">
      <c r="E540" s="3"/>
    </row>
    <row r="541" spans="5:5">
      <c r="E541" s="3"/>
    </row>
    <row r="542" spans="5:5">
      <c r="E542" s="3"/>
    </row>
    <row r="543" spans="5:5">
      <c r="E543" s="3"/>
    </row>
    <row r="544" spans="5:5">
      <c r="E544" s="3"/>
    </row>
    <row r="545" spans="5:5">
      <c r="E545" s="3"/>
    </row>
    <row r="546" spans="5:5">
      <c r="E546" s="3"/>
    </row>
    <row r="547" spans="5:5">
      <c r="E547" s="3"/>
    </row>
    <row r="548" spans="5:5">
      <c r="E548" s="3"/>
    </row>
    <row r="549" spans="5:5">
      <c r="E549" s="3"/>
    </row>
    <row r="550" spans="5:5">
      <c r="E550" s="3"/>
    </row>
    <row r="551" spans="5:5">
      <c r="E551" s="3"/>
    </row>
    <row r="552" spans="5:5">
      <c r="E552" s="3"/>
    </row>
    <row r="553" spans="5:5">
      <c r="E553" s="3"/>
    </row>
    <row r="554" spans="5:5">
      <c r="E554" s="3"/>
    </row>
    <row r="555" spans="5:5">
      <c r="E555" s="3"/>
    </row>
    <row r="556" spans="5:5">
      <c r="E556" s="3"/>
    </row>
    <row r="557" spans="5:5">
      <c r="E557" s="3"/>
    </row>
    <row r="558" spans="5:5">
      <c r="E558" s="3"/>
    </row>
    <row r="559" spans="5:5">
      <c r="E559" s="3"/>
    </row>
    <row r="560" spans="5:5">
      <c r="E560" s="3"/>
    </row>
    <row r="561" spans="5:5">
      <c r="E561" s="3"/>
    </row>
    <row r="562" spans="5:5">
      <c r="E562" s="3"/>
    </row>
    <row r="563" spans="5:5">
      <c r="E563" s="3"/>
    </row>
    <row r="564" spans="5:5">
      <c r="E564" s="3"/>
    </row>
    <row r="565" spans="5:5">
      <c r="E565" s="3"/>
    </row>
    <row r="566" spans="5:5">
      <c r="E566" s="3"/>
    </row>
    <row r="567" spans="5:5">
      <c r="E567" s="3"/>
    </row>
    <row r="568" spans="5:5">
      <c r="E568" s="3"/>
    </row>
    <row r="569" spans="5:5">
      <c r="E569" s="3"/>
    </row>
    <row r="570" spans="5:5">
      <c r="E570" s="3"/>
    </row>
    <row r="571" spans="5:5">
      <c r="E571" s="3"/>
    </row>
    <row r="572" spans="5:5">
      <c r="E572" s="3"/>
    </row>
    <row r="573" spans="5:5">
      <c r="E573" s="3"/>
    </row>
    <row r="574" spans="5:5">
      <c r="E574" s="3"/>
    </row>
    <row r="575" spans="5:5">
      <c r="E575" s="3"/>
    </row>
    <row r="576" spans="5:5">
      <c r="E576" s="3"/>
    </row>
    <row r="577" spans="5:5">
      <c r="E577" s="3"/>
    </row>
    <row r="578" spans="5:5">
      <c r="E578" s="3"/>
    </row>
    <row r="579" spans="5:5">
      <c r="E579" s="3"/>
    </row>
    <row r="580" spans="5:5">
      <c r="E580" s="3"/>
    </row>
    <row r="581" spans="5:5">
      <c r="E581" s="3"/>
    </row>
    <row r="582" spans="5:5">
      <c r="E582" s="3"/>
    </row>
    <row r="583" spans="5:5">
      <c r="E583" s="3"/>
    </row>
    <row r="584" spans="5:5">
      <c r="E584" s="3"/>
    </row>
    <row r="585" spans="5:5">
      <c r="E585" s="3"/>
    </row>
    <row r="586" spans="5:5">
      <c r="E586" s="3"/>
    </row>
    <row r="587" spans="5:5">
      <c r="E587" s="3"/>
    </row>
    <row r="588" spans="5:5">
      <c r="E588" s="3"/>
    </row>
    <row r="589" spans="5:5">
      <c r="E589" s="3"/>
    </row>
    <row r="590" spans="5:5">
      <c r="E590" s="3"/>
    </row>
    <row r="591" spans="5:5">
      <c r="E591" s="3"/>
    </row>
    <row r="592" spans="5:5">
      <c r="E592" s="3"/>
    </row>
    <row r="593" spans="5:5">
      <c r="E593" s="3"/>
    </row>
    <row r="594" spans="5:5">
      <c r="E594" s="3"/>
    </row>
    <row r="595" spans="5:5">
      <c r="E595" s="3"/>
    </row>
    <row r="596" spans="5:5">
      <c r="E596" s="3"/>
    </row>
    <row r="597" spans="5:5">
      <c r="E597" s="3"/>
    </row>
    <row r="598" spans="5:5">
      <c r="E598" s="3"/>
    </row>
    <row r="599" spans="5:5">
      <c r="E599" s="3"/>
    </row>
    <row r="600" spans="5:5">
      <c r="E600" s="3"/>
    </row>
    <row r="601" spans="5:5">
      <c r="E601" s="3"/>
    </row>
    <row r="602" spans="5:5">
      <c r="E602" s="3"/>
    </row>
    <row r="603" spans="5:5">
      <c r="E603" s="3"/>
    </row>
    <row r="604" spans="5:5">
      <c r="E604" s="3"/>
    </row>
    <row r="605" spans="5:5">
      <c r="E605" s="3"/>
    </row>
    <row r="606" spans="5:5">
      <c r="E606" s="3"/>
    </row>
    <row r="607" spans="5:5">
      <c r="E607" s="3"/>
    </row>
    <row r="608" spans="5:5">
      <c r="E608" s="3"/>
    </row>
    <row r="609" spans="1:5">
      <c r="E609" s="3"/>
    </row>
    <row r="610" spans="1:5">
      <c r="A610" s="3"/>
      <c r="E610" s="3"/>
    </row>
    <row r="611" spans="1:5">
      <c r="A611" s="3"/>
      <c r="E611" s="3"/>
    </row>
    <row r="612" spans="1:5">
      <c r="A612" s="3"/>
      <c r="E612" s="3"/>
    </row>
    <row r="613" spans="1:5">
      <c r="A613" s="3"/>
      <c r="E613" s="3"/>
    </row>
    <row r="614" spans="1:5">
      <c r="A614" s="3"/>
      <c r="E614" s="3"/>
    </row>
    <row r="615" spans="1:5">
      <c r="A615" s="3"/>
      <c r="E615" s="3"/>
    </row>
    <row r="616" spans="1:5">
      <c r="A616" s="3"/>
      <c r="E616" s="3"/>
    </row>
    <row r="617" spans="1:5">
      <c r="A617" s="3"/>
      <c r="E617" s="3"/>
    </row>
    <row r="618" spans="1:5">
      <c r="A618" s="3"/>
      <c r="E618" s="3"/>
    </row>
    <row r="619" spans="1:5">
      <c r="A619" s="3"/>
      <c r="E619" s="3"/>
    </row>
    <row r="620" spans="1:5">
      <c r="A620" s="3"/>
      <c r="E620" s="3"/>
    </row>
    <row r="621" spans="1:5">
      <c r="A621" s="3"/>
      <c r="E621" s="3"/>
    </row>
    <row r="622" spans="1:5">
      <c r="A622" s="3"/>
      <c r="E622" s="3"/>
    </row>
    <row r="623" spans="1:5">
      <c r="A623" s="3"/>
      <c r="E623" s="3"/>
    </row>
    <row r="624" spans="1:5">
      <c r="A624" s="3"/>
      <c r="E624" s="3"/>
    </row>
    <row r="625" spans="1:5">
      <c r="A625" s="3"/>
      <c r="E625" s="3"/>
    </row>
    <row r="627" spans="1:5">
      <c r="C627" s="3"/>
    </row>
    <row r="628" spans="1:5">
      <c r="C628" s="3"/>
    </row>
    <row r="629" spans="1:5">
      <c r="C629" s="3"/>
    </row>
    <row r="630" spans="1:5">
      <c r="C630" s="3"/>
    </row>
    <row r="631" spans="1:5">
      <c r="C631" s="3"/>
    </row>
    <row r="632" spans="1:5">
      <c r="C632" s="3"/>
    </row>
    <row r="633" spans="1:5">
      <c r="C633" s="3"/>
    </row>
    <row r="634" spans="1:5">
      <c r="C634" s="3"/>
    </row>
    <row r="635" spans="1:5">
      <c r="C635" s="3"/>
    </row>
    <row r="636" spans="1:5">
      <c r="C636" s="3"/>
    </row>
    <row r="637" spans="1:5">
      <c r="C637" s="3"/>
    </row>
    <row r="638" spans="1:5">
      <c r="C638" s="3"/>
    </row>
    <row r="639" spans="1:5">
      <c r="C639" s="3"/>
    </row>
    <row r="640" spans="1:5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  <row r="912" spans="3:3">
      <c r="C912" s="3"/>
    </row>
    <row r="913" spans="3:3">
      <c r="C913" s="3"/>
    </row>
    <row r="914" spans="3:3">
      <c r="C914" s="3"/>
    </row>
    <row r="915" spans="3:3">
      <c r="C915" s="3"/>
    </row>
    <row r="916" spans="3:3">
      <c r="C916" s="3"/>
    </row>
    <row r="917" spans="3:3">
      <c r="C917" s="3"/>
    </row>
    <row r="918" spans="3:3">
      <c r="C918" s="3"/>
    </row>
    <row r="919" spans="3:3">
      <c r="C919" s="3"/>
    </row>
    <row r="920" spans="3:3">
      <c r="C920" s="3"/>
    </row>
    <row r="921" spans="3:3">
      <c r="C921" s="3"/>
    </row>
    <row r="922" spans="3:3">
      <c r="C922" s="3"/>
    </row>
    <row r="923" spans="3:3">
      <c r="C923" s="3"/>
    </row>
    <row r="924" spans="3:3">
      <c r="C924" s="3"/>
    </row>
    <row r="925" spans="3:3">
      <c r="C925" s="3"/>
    </row>
    <row r="926" spans="3:3">
      <c r="C926" s="3"/>
    </row>
    <row r="927" spans="3:3">
      <c r="C927" s="3"/>
    </row>
    <row r="928" spans="3:3">
      <c r="C928" s="3"/>
    </row>
    <row r="929" spans="3:3">
      <c r="C929" s="3"/>
    </row>
    <row r="930" spans="3:3">
      <c r="C930" s="3"/>
    </row>
    <row r="931" spans="3:3">
      <c r="C931" s="3"/>
    </row>
    <row r="932" spans="3:3">
      <c r="C932" s="3"/>
    </row>
    <row r="933" spans="3:3">
      <c r="C933" s="3"/>
    </row>
    <row r="934" spans="3:3">
      <c r="C934" s="3"/>
    </row>
    <row r="935" spans="3:3">
      <c r="C935" s="3"/>
    </row>
    <row r="936" spans="3:3">
      <c r="C936" s="3"/>
    </row>
  </sheetData>
  <phoneticPr fontId="3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9"/>
  <sheetViews>
    <sheetView topLeftCell="A52" workbookViewId="0">
      <selection activeCell="C35" sqref="C35:D35"/>
    </sheetView>
  </sheetViews>
  <sheetFormatPr baseColWidth="10" defaultColWidth="8.83203125" defaultRowHeight="13"/>
  <cols>
    <col min="1" max="1" width="17.5" customWidth="1"/>
    <col min="2" max="2" width="39.5" bestFit="1" customWidth="1"/>
    <col min="3" max="3" width="12.5" bestFit="1" customWidth="1"/>
    <col min="4" max="4" width="12" bestFit="1" customWidth="1"/>
    <col min="5" max="5" width="20.33203125" bestFit="1" customWidth="1"/>
  </cols>
  <sheetData>
    <row r="1" spans="1:5" s="1" customFormat="1">
      <c r="A1" s="1" t="s">
        <v>984</v>
      </c>
      <c r="B1" s="1" t="s">
        <v>158</v>
      </c>
      <c r="C1" s="1" t="s">
        <v>159</v>
      </c>
      <c r="D1" s="1" t="s">
        <v>160</v>
      </c>
      <c r="E1" s="1" t="s">
        <v>985</v>
      </c>
    </row>
    <row r="2" spans="1:5">
      <c r="A2" t="s">
        <v>986</v>
      </c>
      <c r="B2" t="s">
        <v>987</v>
      </c>
      <c r="C2">
        <v>51.74418</v>
      </c>
      <c r="D2">
        <v>-128.07130000000001</v>
      </c>
      <c r="E2" t="s">
        <v>988</v>
      </c>
    </row>
    <row r="3" spans="1:5">
      <c r="A3" t="s">
        <v>989</v>
      </c>
      <c r="B3" t="s">
        <v>990</v>
      </c>
      <c r="C3">
        <v>51.733899999999998</v>
      </c>
      <c r="D3">
        <v>-127.99670999999999</v>
      </c>
      <c r="E3" t="s">
        <v>988</v>
      </c>
    </row>
    <row r="4" spans="1:5">
      <c r="A4" t="s">
        <v>991</v>
      </c>
      <c r="B4" t="s">
        <v>992</v>
      </c>
      <c r="C4">
        <v>51.649079999999998</v>
      </c>
      <c r="D4">
        <v>-128.15116</v>
      </c>
      <c r="E4" t="s">
        <v>988</v>
      </c>
    </row>
    <row r="5" spans="1:5">
      <c r="A5" t="s">
        <v>993</v>
      </c>
      <c r="B5" t="s">
        <v>994</v>
      </c>
      <c r="C5">
        <v>51.803629999999998</v>
      </c>
      <c r="D5">
        <v>-128.25416000000001</v>
      </c>
      <c r="E5" t="s">
        <v>988</v>
      </c>
    </row>
    <row r="6" spans="1:5">
      <c r="A6" t="s">
        <v>995</v>
      </c>
      <c r="B6" t="s">
        <v>996</v>
      </c>
      <c r="C6">
        <v>51.667029999999997</v>
      </c>
      <c r="D6">
        <v>-128.13995</v>
      </c>
      <c r="E6" t="s">
        <v>988</v>
      </c>
    </row>
    <row r="7" spans="1:5">
      <c r="A7" t="s">
        <v>997</v>
      </c>
      <c r="B7" t="s">
        <v>998</v>
      </c>
      <c r="C7">
        <v>51.649099999999997</v>
      </c>
      <c r="D7">
        <v>-128.15525</v>
      </c>
      <c r="E7" t="s">
        <v>988</v>
      </c>
    </row>
    <row r="8" spans="1:5">
      <c r="A8" t="s">
        <v>999</v>
      </c>
      <c r="B8" t="s">
        <v>1000</v>
      </c>
      <c r="C8">
        <v>51.701180000000001</v>
      </c>
      <c r="D8">
        <v>-128.07386</v>
      </c>
      <c r="E8" t="s">
        <v>988</v>
      </c>
    </row>
    <row r="9" spans="1:5">
      <c r="A9" t="s">
        <v>1001</v>
      </c>
      <c r="B9" t="s">
        <v>1002</v>
      </c>
      <c r="C9">
        <v>51.680250000000001</v>
      </c>
      <c r="D9">
        <v>-128.12610000000001</v>
      </c>
      <c r="E9" t="s">
        <v>988</v>
      </c>
    </row>
    <row r="10" spans="1:5">
      <c r="A10" t="s">
        <v>31</v>
      </c>
      <c r="B10" t="s">
        <v>290</v>
      </c>
      <c r="C10">
        <v>48.828948974609297</v>
      </c>
      <c r="D10">
        <v>-125.19757080078099</v>
      </c>
      <c r="E10" s="3" t="s">
        <v>1003</v>
      </c>
    </row>
    <row r="11" spans="1:5">
      <c r="A11" t="s">
        <v>22</v>
      </c>
      <c r="B11" t="s">
        <v>464</v>
      </c>
      <c r="C11">
        <v>48.870517730712798</v>
      </c>
      <c r="D11">
        <v>-125.160346984863</v>
      </c>
      <c r="E11" s="3" t="s">
        <v>1003</v>
      </c>
    </row>
    <row r="12" spans="1:5">
      <c r="A12" t="s">
        <v>38</v>
      </c>
      <c r="B12" t="s">
        <v>344</v>
      </c>
      <c r="C12">
        <v>48.857467651367102</v>
      </c>
      <c r="D12">
        <v>-125.158233642578</v>
      </c>
      <c r="E12" s="3" t="s">
        <v>1003</v>
      </c>
    </row>
    <row r="13" spans="1:5">
      <c r="A13" t="s">
        <v>39</v>
      </c>
      <c r="B13" t="s">
        <v>359</v>
      </c>
      <c r="C13">
        <v>48.858283996582003</v>
      </c>
      <c r="D13">
        <v>-125.160919189453</v>
      </c>
      <c r="E13" s="3" t="s">
        <v>1003</v>
      </c>
    </row>
    <row r="14" spans="1:5">
      <c r="A14" t="s">
        <v>1004</v>
      </c>
      <c r="B14" t="s">
        <v>1005</v>
      </c>
      <c r="C14">
        <v>48.865032196044901</v>
      </c>
      <c r="D14">
        <v>-125.313720703125</v>
      </c>
      <c r="E14" s="3" t="s">
        <v>1003</v>
      </c>
    </row>
    <row r="15" spans="1:5">
      <c r="A15" t="s">
        <v>1006</v>
      </c>
      <c r="B15" t="s">
        <v>1007</v>
      </c>
      <c r="C15">
        <v>48.879081726074197</v>
      </c>
      <c r="D15">
        <v>-125.297401428222</v>
      </c>
      <c r="E15" s="3" t="s">
        <v>1003</v>
      </c>
    </row>
    <row r="16" spans="1:5">
      <c r="A16" t="s">
        <v>1008</v>
      </c>
      <c r="B16" t="s">
        <v>1009</v>
      </c>
      <c r="C16">
        <v>48.880283355712798</v>
      </c>
      <c r="D16">
        <v>-125.31288146972599</v>
      </c>
      <c r="E16" s="3" t="s">
        <v>1003</v>
      </c>
    </row>
    <row r="17" spans="1:5">
      <c r="A17" t="s">
        <v>1010</v>
      </c>
      <c r="B17" t="s">
        <v>1011</v>
      </c>
      <c r="C17">
        <v>48.890701293945298</v>
      </c>
      <c r="D17">
        <v>-125.300498962402</v>
      </c>
      <c r="E17" s="3" t="s">
        <v>1003</v>
      </c>
    </row>
    <row r="18" spans="1:5">
      <c r="A18" t="s">
        <v>1012</v>
      </c>
      <c r="B18" t="s">
        <v>1013</v>
      </c>
      <c r="C18">
        <v>48.865482330322202</v>
      </c>
      <c r="D18">
        <v>-125.36148071289</v>
      </c>
      <c r="E18" s="3" t="s">
        <v>1003</v>
      </c>
    </row>
    <row r="19" spans="1:5">
      <c r="A19" t="s">
        <v>1014</v>
      </c>
      <c r="B19" t="s">
        <v>1015</v>
      </c>
      <c r="C19">
        <v>48.911617279052699</v>
      </c>
      <c r="D19">
        <v>-125.267036437988</v>
      </c>
      <c r="E19" s="3" t="s">
        <v>1003</v>
      </c>
    </row>
    <row r="20" spans="1:5">
      <c r="A20" t="s">
        <v>24</v>
      </c>
      <c r="B20" t="s">
        <v>482</v>
      </c>
      <c r="C20">
        <v>48.828601837158203</v>
      </c>
      <c r="D20">
        <v>-125.221298217773</v>
      </c>
      <c r="E20" s="3" t="s">
        <v>1003</v>
      </c>
    </row>
    <row r="21" spans="1:5">
      <c r="A21" t="s">
        <v>23</v>
      </c>
      <c r="B21" t="s">
        <v>478</v>
      </c>
      <c r="C21">
        <v>48.850399017333899</v>
      </c>
      <c r="D21">
        <v>-125.198768615722</v>
      </c>
      <c r="E21" s="3" t="s">
        <v>1003</v>
      </c>
    </row>
    <row r="22" spans="1:5">
      <c r="A22" t="s">
        <v>25</v>
      </c>
      <c r="B22" t="s">
        <v>485</v>
      </c>
      <c r="C22">
        <v>48.835666656494098</v>
      </c>
      <c r="D22">
        <v>-125.214797973632</v>
      </c>
      <c r="E22" s="3" t="s">
        <v>1003</v>
      </c>
    </row>
    <row r="23" spans="1:5">
      <c r="A23" t="s">
        <v>21</v>
      </c>
      <c r="B23" t="s">
        <v>460</v>
      </c>
      <c r="C23">
        <v>48.85205078125</v>
      </c>
      <c r="D23">
        <v>-125.123565673828</v>
      </c>
      <c r="E23" s="3" t="s">
        <v>1003</v>
      </c>
    </row>
    <row r="24" spans="1:5">
      <c r="A24" t="s">
        <v>20</v>
      </c>
      <c r="B24" t="s">
        <v>458</v>
      </c>
      <c r="C24">
        <v>48.8542671203613</v>
      </c>
      <c r="D24">
        <v>-125.11703491210901</v>
      </c>
      <c r="E24" s="3" t="s">
        <v>1003</v>
      </c>
    </row>
    <row r="25" spans="1:5">
      <c r="A25" s="3" t="s">
        <v>27</v>
      </c>
      <c r="B25" s="3" t="s">
        <v>488</v>
      </c>
      <c r="C25">
        <v>48.837589000000001</v>
      </c>
      <c r="D25">
        <v>-125.14414499999999</v>
      </c>
      <c r="E25" s="3" t="s">
        <v>1003</v>
      </c>
    </row>
    <row r="26" spans="1:5">
      <c r="A26" s="3" t="s">
        <v>34</v>
      </c>
      <c r="B26" s="3" t="s">
        <v>378</v>
      </c>
      <c r="C26">
        <v>48.916072999999997</v>
      </c>
      <c r="D26">
        <v>-125.131174</v>
      </c>
      <c r="E26" s="3" t="s">
        <v>1003</v>
      </c>
    </row>
    <row r="27" spans="1:5">
      <c r="A27" s="3" t="s">
        <v>35</v>
      </c>
      <c r="B27" s="3" t="s">
        <v>382</v>
      </c>
      <c r="C27">
        <v>48.838594999999998</v>
      </c>
      <c r="D27">
        <v>-125.135015</v>
      </c>
      <c r="E27" s="3" t="s">
        <v>1003</v>
      </c>
    </row>
    <row r="28" spans="1:5">
      <c r="A28" s="3" t="s">
        <v>36</v>
      </c>
      <c r="B28" s="3" t="s">
        <v>392</v>
      </c>
      <c r="C28">
        <v>48.9071</v>
      </c>
      <c r="D28">
        <v>-125.03701700000001</v>
      </c>
      <c r="E28" s="3" t="s">
        <v>1003</v>
      </c>
    </row>
    <row r="29" spans="1:5">
      <c r="A29" s="3" t="s">
        <v>37</v>
      </c>
      <c r="B29" s="3" t="s">
        <v>404</v>
      </c>
      <c r="C29">
        <v>48.901183000000003</v>
      </c>
      <c r="D29">
        <v>-125.060433</v>
      </c>
      <c r="E29" s="3" t="s">
        <v>1003</v>
      </c>
    </row>
    <row r="30" spans="1:5">
      <c r="A30" t="s">
        <v>29</v>
      </c>
      <c r="B30" t="s">
        <v>497</v>
      </c>
      <c r="C30">
        <v>48.855583190917898</v>
      </c>
      <c r="D30">
        <v>-125.183799743652</v>
      </c>
      <c r="E30" s="3" t="s">
        <v>1003</v>
      </c>
    </row>
    <row r="31" spans="1:5">
      <c r="A31" t="s">
        <v>28</v>
      </c>
      <c r="B31" t="s">
        <v>494</v>
      </c>
      <c r="C31">
        <v>48.815116882324197</v>
      </c>
      <c r="D31">
        <v>-125.175331115722</v>
      </c>
      <c r="E31" s="3" t="s">
        <v>1003</v>
      </c>
    </row>
    <row r="32" spans="1:5">
      <c r="A32" t="s">
        <v>30</v>
      </c>
      <c r="B32" t="s">
        <v>330</v>
      </c>
      <c r="C32">
        <v>48.8273315429687</v>
      </c>
      <c r="D32">
        <v>-125.196601867675</v>
      </c>
      <c r="E32" s="3" t="s">
        <v>1003</v>
      </c>
    </row>
    <row r="33" spans="1:5">
      <c r="A33" t="s">
        <v>32</v>
      </c>
      <c r="B33" t="s">
        <v>363</v>
      </c>
      <c r="C33">
        <v>48.950233459472599</v>
      </c>
      <c r="D33">
        <v>-125.155548095703</v>
      </c>
      <c r="E33" s="3" t="s">
        <v>1003</v>
      </c>
    </row>
    <row r="34" spans="1:5">
      <c r="A34" t="s">
        <v>1016</v>
      </c>
      <c r="B34" t="s">
        <v>1017</v>
      </c>
      <c r="C34">
        <v>48.954643249511697</v>
      </c>
      <c r="D34">
        <v>-125.153991699218</v>
      </c>
      <c r="E34" s="3" t="s">
        <v>1003</v>
      </c>
    </row>
    <row r="35" spans="1:5">
      <c r="A35" t="s">
        <v>33</v>
      </c>
      <c r="B35" t="s">
        <v>370</v>
      </c>
      <c r="C35">
        <v>48.955081939697202</v>
      </c>
      <c r="D35">
        <v>-125.15337371826099</v>
      </c>
      <c r="E35" s="3" t="s">
        <v>1003</v>
      </c>
    </row>
    <row r="36" spans="1:5">
      <c r="A36" t="s">
        <v>26</v>
      </c>
      <c r="B36" t="s">
        <v>486</v>
      </c>
      <c r="C36">
        <v>48.834789276122997</v>
      </c>
      <c r="D36">
        <v>-125.14702606201099</v>
      </c>
      <c r="E36" s="3" t="s">
        <v>1003</v>
      </c>
    </row>
    <row r="37" spans="1:5">
      <c r="A37" t="s">
        <v>1018</v>
      </c>
      <c r="B37" t="s">
        <v>1019</v>
      </c>
      <c r="C37">
        <v>47.652140000000003</v>
      </c>
      <c r="D37">
        <v>-52.696169999999903</v>
      </c>
      <c r="E37" t="s">
        <v>1020</v>
      </c>
    </row>
    <row r="38" spans="1:5">
      <c r="A38" t="s">
        <v>1021</v>
      </c>
      <c r="B38" t="s">
        <v>1022</v>
      </c>
      <c r="C38">
        <v>47.095253</v>
      </c>
      <c r="D38">
        <v>-52.909590000000001</v>
      </c>
      <c r="E38" t="s">
        <v>1020</v>
      </c>
    </row>
    <row r="39" spans="1:5">
      <c r="A39" t="s">
        <v>1023</v>
      </c>
      <c r="B39" t="s">
        <v>1024</v>
      </c>
      <c r="C39">
        <v>47.433706000000001</v>
      </c>
      <c r="D39">
        <v>-53.158597999999998</v>
      </c>
      <c r="E39" t="s">
        <v>1020</v>
      </c>
    </row>
    <row r="40" spans="1:5">
      <c r="A40" t="s">
        <v>1025</v>
      </c>
      <c r="B40" t="s">
        <v>1026</v>
      </c>
      <c r="C40">
        <v>47.803725999999997</v>
      </c>
      <c r="D40">
        <v>-52.787438000000002</v>
      </c>
      <c r="E40" t="s">
        <v>1020</v>
      </c>
    </row>
    <row r="41" spans="1:5">
      <c r="A41" t="s">
        <v>1027</v>
      </c>
      <c r="B41" t="s">
        <v>1028</v>
      </c>
      <c r="C41">
        <v>47.722558999999997</v>
      </c>
      <c r="D41">
        <v>-52.835217999999998</v>
      </c>
      <c r="E41" t="s">
        <v>1020</v>
      </c>
    </row>
    <row r="42" spans="1:5">
      <c r="A42" t="s">
        <v>1029</v>
      </c>
      <c r="B42" t="s">
        <v>1030</v>
      </c>
      <c r="C42">
        <v>47.66498</v>
      </c>
      <c r="D42">
        <v>-52.726889999999997</v>
      </c>
      <c r="E42" t="s">
        <v>1020</v>
      </c>
    </row>
    <row r="43" spans="1:5">
      <c r="A43" t="s">
        <v>1031</v>
      </c>
      <c r="B43" t="s">
        <v>1032</v>
      </c>
      <c r="C43">
        <v>47.625320000000002</v>
      </c>
      <c r="D43">
        <v>-52.663369999999901</v>
      </c>
      <c r="E43" t="s">
        <v>1020</v>
      </c>
    </row>
    <row r="44" spans="1:5">
      <c r="A44" t="s">
        <v>1033</v>
      </c>
      <c r="B44" t="s">
        <v>1034</v>
      </c>
      <c r="C44">
        <v>47.627290000000002</v>
      </c>
      <c r="D44">
        <v>-52.857689999999998</v>
      </c>
      <c r="E44" t="s">
        <v>1020</v>
      </c>
    </row>
    <row r="45" spans="1:5">
      <c r="A45" t="s">
        <v>1035</v>
      </c>
      <c r="B45" t="s">
        <v>1036</v>
      </c>
      <c r="C45">
        <v>47.593032000000001</v>
      </c>
      <c r="D45">
        <v>-52.887818000000003</v>
      </c>
      <c r="E45" t="s">
        <v>1020</v>
      </c>
    </row>
    <row r="46" spans="1:5">
      <c r="A46" t="s">
        <v>1037</v>
      </c>
      <c r="B46" t="s">
        <v>1038</v>
      </c>
      <c r="C46">
        <v>48.862142999999897</v>
      </c>
      <c r="D46">
        <v>-53.988593000000002</v>
      </c>
      <c r="E46" t="s">
        <v>1020</v>
      </c>
    </row>
    <row r="47" spans="1:5">
      <c r="A47" t="s">
        <v>1039</v>
      </c>
      <c r="B47" t="s">
        <v>1040</v>
      </c>
      <c r="C47">
        <v>48.640341999999997</v>
      </c>
      <c r="D47">
        <v>-53.729569999999903</v>
      </c>
      <c r="E47" t="s">
        <v>1020</v>
      </c>
    </row>
    <row r="48" spans="1:5">
      <c r="A48" t="s">
        <v>1041</v>
      </c>
      <c r="B48" t="s">
        <v>1042</v>
      </c>
      <c r="C48">
        <v>48.679724999999998</v>
      </c>
      <c r="D48">
        <v>-53.677975000000004</v>
      </c>
      <c r="E48" t="s">
        <v>1020</v>
      </c>
    </row>
    <row r="49" spans="1:5">
      <c r="A49" t="s">
        <v>1043</v>
      </c>
      <c r="B49" t="s">
        <v>1044</v>
      </c>
      <c r="C49">
        <v>47.700316000000001</v>
      </c>
      <c r="D49">
        <v>-52.703564</v>
      </c>
      <c r="E49" t="s">
        <v>1020</v>
      </c>
    </row>
    <row r="50" spans="1:5">
      <c r="A50" t="s">
        <v>1045</v>
      </c>
      <c r="B50" t="s">
        <v>1046</v>
      </c>
      <c r="C50">
        <v>33.897529999999897</v>
      </c>
      <c r="D50">
        <v>-120.10075000000001</v>
      </c>
      <c r="E50" t="s">
        <v>1047</v>
      </c>
    </row>
    <row r="51" spans="1:5">
      <c r="A51" t="s">
        <v>1048</v>
      </c>
      <c r="B51" t="s">
        <v>1049</v>
      </c>
      <c r="C51">
        <v>34.054279999999999</v>
      </c>
      <c r="D51">
        <v>-119.56686999999999</v>
      </c>
      <c r="E51" t="s">
        <v>1047</v>
      </c>
    </row>
    <row r="52" spans="1:5">
      <c r="A52" t="s">
        <v>1050</v>
      </c>
      <c r="B52" t="s">
        <v>1051</v>
      </c>
      <c r="C52">
        <v>34.044150000000002</v>
      </c>
      <c r="D52">
        <v>-119.54245</v>
      </c>
      <c r="E52" t="s">
        <v>1047</v>
      </c>
    </row>
    <row r="53" spans="1:5">
      <c r="A53" t="s">
        <v>1052</v>
      </c>
      <c r="B53" t="s">
        <v>1053</v>
      </c>
      <c r="C53">
        <v>34.044930000000001</v>
      </c>
      <c r="D53">
        <v>-119.6014</v>
      </c>
      <c r="E53" t="s">
        <v>1047</v>
      </c>
    </row>
    <row r="54" spans="1:5">
      <c r="A54" t="s">
        <v>1054</v>
      </c>
      <c r="B54" t="s">
        <v>1055</v>
      </c>
      <c r="C54">
        <v>34.0246</v>
      </c>
      <c r="D54">
        <v>-119.60597</v>
      </c>
      <c r="E54" t="s">
        <v>1047</v>
      </c>
    </row>
    <row r="55" spans="1:5">
      <c r="A55" t="s">
        <v>1056</v>
      </c>
      <c r="B55" t="s">
        <v>1057</v>
      </c>
      <c r="C55">
        <v>49.315709999999903</v>
      </c>
      <c r="D55">
        <v>-124.21548999999899</v>
      </c>
      <c r="E55" t="s">
        <v>1058</v>
      </c>
    </row>
    <row r="56" spans="1:5">
      <c r="A56" t="s">
        <v>1059</v>
      </c>
      <c r="B56" t="s">
        <v>1060</v>
      </c>
      <c r="C56">
        <v>49.313270000000003</v>
      </c>
      <c r="D56">
        <v>-124.243169999999</v>
      </c>
      <c r="E56" t="s">
        <v>1058</v>
      </c>
    </row>
    <row r="57" spans="1:5">
      <c r="A57" t="s">
        <v>1061</v>
      </c>
      <c r="B57" t="s">
        <v>1062</v>
      </c>
      <c r="C57">
        <v>49.313569999999999</v>
      </c>
      <c r="D57">
        <v>-124.241939999999</v>
      </c>
      <c r="E57" t="s">
        <v>1058</v>
      </c>
    </row>
    <row r="58" spans="1:5">
      <c r="A58" t="s">
        <v>1063</v>
      </c>
      <c r="B58" t="s">
        <v>1064</v>
      </c>
      <c r="C58">
        <v>34.047979999999903</v>
      </c>
      <c r="D58">
        <v>-119.5514</v>
      </c>
      <c r="E58" t="s">
        <v>1047</v>
      </c>
    </row>
    <row r="59" spans="1:5">
      <c r="A59" t="s">
        <v>1065</v>
      </c>
      <c r="B59" t="s">
        <v>1066</v>
      </c>
      <c r="C59">
        <v>50.051540000000003</v>
      </c>
      <c r="D59">
        <v>-125.22526000000001</v>
      </c>
      <c r="E59" t="s">
        <v>1058</v>
      </c>
    </row>
    <row r="60" spans="1:5">
      <c r="A60" t="s">
        <v>1067</v>
      </c>
      <c r="B60" t="s">
        <v>1068</v>
      </c>
      <c r="C60">
        <v>49.292499999999997</v>
      </c>
      <c r="D60">
        <v>-124.14351000000001</v>
      </c>
      <c r="E60" t="s">
        <v>1058</v>
      </c>
    </row>
    <row r="61" spans="1:5">
      <c r="A61" t="s">
        <v>1069</v>
      </c>
      <c r="B61" t="s">
        <v>1070</v>
      </c>
      <c r="C61">
        <v>48.814749999999997</v>
      </c>
      <c r="D61">
        <v>-123.608539999999</v>
      </c>
      <c r="E61" t="s">
        <v>1058</v>
      </c>
    </row>
    <row r="62" spans="1:5">
      <c r="A62" t="s">
        <v>1071</v>
      </c>
      <c r="B62" t="s">
        <v>1072</v>
      </c>
      <c r="C62">
        <v>49.450020000000002</v>
      </c>
      <c r="D62">
        <v>-123.24075999999999</v>
      </c>
      <c r="E62" t="s">
        <v>1058</v>
      </c>
    </row>
    <row r="63" spans="1:5">
      <c r="A63" t="s">
        <v>1073</v>
      </c>
      <c r="B63" t="s">
        <v>1074</v>
      </c>
      <c r="C63">
        <v>33.892330000000001</v>
      </c>
      <c r="D63">
        <v>-120.1195</v>
      </c>
      <c r="E63" t="s">
        <v>1047</v>
      </c>
    </row>
    <row r="64" spans="1:5">
      <c r="A64" t="s">
        <v>1075</v>
      </c>
      <c r="B64" t="s">
        <v>1076</v>
      </c>
      <c r="C64">
        <v>33.900370000000002</v>
      </c>
      <c r="D64">
        <v>-120.13563000000001</v>
      </c>
      <c r="E64" t="s">
        <v>1047</v>
      </c>
    </row>
    <row r="65" spans="1:5">
      <c r="A65" t="s">
        <v>1077</v>
      </c>
      <c r="B65" t="s">
        <v>1078</v>
      </c>
      <c r="C65">
        <v>33.901420000000002</v>
      </c>
      <c r="D65">
        <v>-120.10221999999899</v>
      </c>
      <c r="E65" t="s">
        <v>1047</v>
      </c>
    </row>
    <row r="66" spans="1:5">
      <c r="A66" t="s">
        <v>1079</v>
      </c>
      <c r="B66" t="s">
        <v>1080</v>
      </c>
      <c r="C66">
        <v>33.901470000000003</v>
      </c>
      <c r="D66">
        <v>-120.10297</v>
      </c>
      <c r="E66" t="s">
        <v>1047</v>
      </c>
    </row>
    <row r="67" spans="1:5">
      <c r="A67" t="s">
        <v>1081</v>
      </c>
      <c r="B67" t="s">
        <v>1082</v>
      </c>
      <c r="C67">
        <v>34.03837</v>
      </c>
      <c r="D67">
        <v>-119.5253</v>
      </c>
      <c r="E67" t="s">
        <v>1047</v>
      </c>
    </row>
    <row r="68" spans="1:5">
      <c r="A68" t="s">
        <v>1083</v>
      </c>
      <c r="B68" t="s">
        <v>1084</v>
      </c>
      <c r="C68">
        <v>34.052169999999997</v>
      </c>
      <c r="D68">
        <v>-119.58211999999899</v>
      </c>
      <c r="E68" t="s">
        <v>1047</v>
      </c>
    </row>
    <row r="69" spans="1:5">
      <c r="A69" t="s">
        <v>1085</v>
      </c>
      <c r="B69" t="s">
        <v>1086</v>
      </c>
      <c r="C69">
        <v>34.06438</v>
      </c>
      <c r="D69">
        <v>-120.3566</v>
      </c>
      <c r="E69" t="s">
        <v>1047</v>
      </c>
    </row>
  </sheetData>
  <phoneticPr fontId="3" type="noConversion"/>
  <pageMargins left="0.75" right="0.75" top="1" bottom="1" header="0.5" footer="0.5"/>
  <pageSetup paperSize="9" orientation="portrait" verticalDpi="599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1"/>
  <sheetViews>
    <sheetView workbookViewId="0"/>
  </sheetViews>
  <sheetFormatPr baseColWidth="10" defaultColWidth="8.83203125" defaultRowHeight="13"/>
  <sheetData>
    <row r="1" spans="11:11">
      <c r="K1" t="s">
        <v>1087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"/>
  <sheetViews>
    <sheetView workbookViewId="0">
      <selection sqref="A1:B65536"/>
    </sheetView>
  </sheetViews>
  <sheetFormatPr baseColWidth="10" defaultColWidth="8.83203125" defaultRowHeight="13"/>
  <cols>
    <col min="1" max="1" width="55.83203125" bestFit="1" customWidth="1"/>
    <col min="2" max="2" width="27.6640625" bestFit="1" customWidth="1"/>
    <col min="3" max="3" width="17.33203125" bestFit="1" customWidth="1"/>
    <col min="4" max="4" width="22.6640625" bestFit="1" customWidth="1"/>
    <col min="5" max="5" width="55.83203125" bestFit="1" customWidth="1"/>
    <col min="6" max="6" width="27.6640625" bestFit="1" customWidth="1"/>
  </cols>
  <sheetData>
    <row r="1" spans="1:2">
      <c r="A1" s="26" t="s">
        <v>1088</v>
      </c>
      <c r="B1" s="26" t="s">
        <v>1089</v>
      </c>
    </row>
    <row r="2" spans="1:2">
      <c r="A2" t="s">
        <v>1090</v>
      </c>
      <c r="B2" t="s">
        <v>1091</v>
      </c>
    </row>
    <row r="3" spans="1:2">
      <c r="A3" t="s">
        <v>1092</v>
      </c>
      <c r="B3" t="s">
        <v>1093</v>
      </c>
    </row>
    <row r="4" spans="1:2">
      <c r="A4" t="s">
        <v>1094</v>
      </c>
      <c r="B4" t="s">
        <v>1095</v>
      </c>
    </row>
    <row r="5" spans="1:2">
      <c r="A5" t="s">
        <v>1096</v>
      </c>
      <c r="B5" t="s">
        <v>1097</v>
      </c>
    </row>
    <row r="6" spans="1:2">
      <c r="A6" t="s">
        <v>1098</v>
      </c>
      <c r="B6" t="s">
        <v>1099</v>
      </c>
    </row>
    <row r="7" spans="1:2">
      <c r="A7" t="s">
        <v>1100</v>
      </c>
      <c r="B7" t="s">
        <v>1101</v>
      </c>
    </row>
    <row r="8" spans="1:2">
      <c r="A8" t="s">
        <v>1102</v>
      </c>
      <c r="B8" t="s">
        <v>1103</v>
      </c>
    </row>
    <row r="9" spans="1:2">
      <c r="A9" t="s">
        <v>1104</v>
      </c>
      <c r="B9" t="s">
        <v>1105</v>
      </c>
    </row>
    <row r="10" spans="1:2">
      <c r="A10" t="s">
        <v>1106</v>
      </c>
      <c r="B10" t="s">
        <v>1107</v>
      </c>
    </row>
    <row r="11" spans="1:2">
      <c r="A11" t="s">
        <v>1108</v>
      </c>
      <c r="B11" t="s">
        <v>1109</v>
      </c>
    </row>
    <row r="12" spans="1:2">
      <c r="A12" t="s">
        <v>1110</v>
      </c>
      <c r="B12" t="s">
        <v>1111</v>
      </c>
    </row>
    <row r="13" spans="1:2">
      <c r="A13" t="s">
        <v>1112</v>
      </c>
      <c r="B13" t="s">
        <v>1113</v>
      </c>
    </row>
    <row r="14" spans="1:2">
      <c r="A14" t="s">
        <v>1114</v>
      </c>
      <c r="B14" t="s">
        <v>1115</v>
      </c>
    </row>
    <row r="15" spans="1:2">
      <c r="A15" t="s">
        <v>1116</v>
      </c>
      <c r="B15" t="s">
        <v>1117</v>
      </c>
    </row>
    <row r="16" spans="1:2">
      <c r="A16" t="s">
        <v>1118</v>
      </c>
      <c r="B16" t="s">
        <v>1119</v>
      </c>
    </row>
    <row r="17" spans="1:2">
      <c r="A17" t="s">
        <v>1120</v>
      </c>
      <c r="B17" t="s">
        <v>1121</v>
      </c>
    </row>
    <row r="18" spans="1:2">
      <c r="A18" t="s">
        <v>1122</v>
      </c>
      <c r="B18" t="s">
        <v>1123</v>
      </c>
    </row>
    <row r="19" spans="1:2">
      <c r="A19" t="s">
        <v>1124</v>
      </c>
      <c r="B19" t="s">
        <v>1125</v>
      </c>
    </row>
    <row r="20" spans="1:2">
      <c r="A20" t="s">
        <v>1126</v>
      </c>
      <c r="B20" t="s">
        <v>1127</v>
      </c>
    </row>
    <row r="21" spans="1:2">
      <c r="A21" t="s">
        <v>1128</v>
      </c>
      <c r="B21" t="s">
        <v>1129</v>
      </c>
    </row>
    <row r="22" spans="1:2">
      <c r="A22" t="s">
        <v>1130</v>
      </c>
      <c r="B22" t="s">
        <v>1131</v>
      </c>
    </row>
    <row r="23" spans="1:2">
      <c r="A23" t="s">
        <v>1132</v>
      </c>
      <c r="B23" t="s">
        <v>1133</v>
      </c>
    </row>
    <row r="24" spans="1:2">
      <c r="A24" t="s">
        <v>1134</v>
      </c>
      <c r="B24" t="s">
        <v>1135</v>
      </c>
    </row>
    <row r="25" spans="1:2">
      <c r="A25" t="s">
        <v>1136</v>
      </c>
      <c r="B25" t="s">
        <v>1137</v>
      </c>
    </row>
    <row r="26" spans="1:2">
      <c r="A26" t="s">
        <v>1138</v>
      </c>
      <c r="B26" t="s">
        <v>1139</v>
      </c>
    </row>
    <row r="27" spans="1:2">
      <c r="A27" t="s">
        <v>1140</v>
      </c>
      <c r="B27" t="s">
        <v>1141</v>
      </c>
    </row>
    <row r="28" spans="1:2">
      <c r="A28" t="s">
        <v>1142</v>
      </c>
      <c r="B28" t="s">
        <v>1143</v>
      </c>
    </row>
    <row r="29" spans="1:2">
      <c r="A29" t="s">
        <v>1144</v>
      </c>
      <c r="B29" t="s">
        <v>1145</v>
      </c>
    </row>
    <row r="30" spans="1:2">
      <c r="A30" t="s">
        <v>1146</v>
      </c>
      <c r="B30" t="s">
        <v>1147</v>
      </c>
    </row>
    <row r="31" spans="1:2">
      <c r="A31" t="s">
        <v>1148</v>
      </c>
      <c r="B31" t="s">
        <v>1149</v>
      </c>
    </row>
    <row r="32" spans="1:2">
      <c r="A32" t="s">
        <v>1150</v>
      </c>
      <c r="B32" t="s">
        <v>1151</v>
      </c>
    </row>
    <row r="33" spans="1:2">
      <c r="A33" t="s">
        <v>1152</v>
      </c>
      <c r="B33" t="s">
        <v>1153</v>
      </c>
    </row>
    <row r="34" spans="1:2">
      <c r="A34" t="s">
        <v>1154</v>
      </c>
      <c r="B34" t="s">
        <v>1155</v>
      </c>
    </row>
    <row r="35" spans="1:2">
      <c r="A35" t="s">
        <v>1156</v>
      </c>
      <c r="B35" t="s">
        <v>1157</v>
      </c>
    </row>
    <row r="36" spans="1:2">
      <c r="A36" t="s">
        <v>1158</v>
      </c>
      <c r="B36" t="s">
        <v>1159</v>
      </c>
    </row>
    <row r="37" spans="1:2">
      <c r="A37" t="s">
        <v>1160</v>
      </c>
      <c r="B37" t="s">
        <v>1161</v>
      </c>
    </row>
    <row r="38" spans="1:2">
      <c r="A38" t="s">
        <v>1162</v>
      </c>
      <c r="B38" t="s">
        <v>1163</v>
      </c>
    </row>
    <row r="39" spans="1:2">
      <c r="A39" t="s">
        <v>1164</v>
      </c>
      <c r="B39" t="s">
        <v>1165</v>
      </c>
    </row>
    <row r="40" spans="1:2">
      <c r="A40" t="s">
        <v>1166</v>
      </c>
      <c r="B40" t="s">
        <v>1167</v>
      </c>
    </row>
    <row r="41" spans="1:2">
      <c r="A41" t="s">
        <v>1168</v>
      </c>
      <c r="B41" t="s">
        <v>1169</v>
      </c>
    </row>
    <row r="42" spans="1:2">
      <c r="A42" t="s">
        <v>1170</v>
      </c>
      <c r="B42" t="s">
        <v>1171</v>
      </c>
    </row>
    <row r="43" spans="1:2">
      <c r="A43" t="s">
        <v>1172</v>
      </c>
      <c r="B43" t="s">
        <v>1173</v>
      </c>
    </row>
    <row r="44" spans="1:2">
      <c r="A44" t="s">
        <v>1174</v>
      </c>
      <c r="B44" t="s">
        <v>1175</v>
      </c>
    </row>
    <row r="45" spans="1:2">
      <c r="A45" t="s">
        <v>1176</v>
      </c>
      <c r="B45" t="s">
        <v>1177</v>
      </c>
    </row>
    <row r="46" spans="1:2">
      <c r="A46" t="s">
        <v>1178</v>
      </c>
      <c r="B46" t="s">
        <v>1179</v>
      </c>
    </row>
    <row r="47" spans="1:2">
      <c r="A47" t="s">
        <v>1180</v>
      </c>
      <c r="B47" t="s">
        <v>1181</v>
      </c>
    </row>
    <row r="48" spans="1:2">
      <c r="A48" t="s">
        <v>1182</v>
      </c>
      <c r="B48" t="s">
        <v>1183</v>
      </c>
    </row>
    <row r="49" spans="1:2">
      <c r="A49" t="s">
        <v>1184</v>
      </c>
      <c r="B49" t="s">
        <v>1185</v>
      </c>
    </row>
    <row r="50" spans="1:2">
      <c r="A50" t="s">
        <v>1186</v>
      </c>
      <c r="B50" t="s">
        <v>1187</v>
      </c>
    </row>
    <row r="51" spans="1:2">
      <c r="A51" t="s">
        <v>1188</v>
      </c>
      <c r="B51" t="s">
        <v>1189</v>
      </c>
    </row>
    <row r="52" spans="1:2">
      <c r="A52" t="s">
        <v>1190</v>
      </c>
      <c r="B52" t="s">
        <v>1191</v>
      </c>
    </row>
    <row r="53" spans="1:2">
      <c r="A53" t="s">
        <v>1192</v>
      </c>
      <c r="B53" t="s">
        <v>1193</v>
      </c>
    </row>
    <row r="54" spans="1:2">
      <c r="A54" t="s">
        <v>1194</v>
      </c>
      <c r="B54" t="s">
        <v>1195</v>
      </c>
    </row>
    <row r="55" spans="1:2">
      <c r="A55" t="s">
        <v>1196</v>
      </c>
      <c r="B55" t="s">
        <v>1197</v>
      </c>
    </row>
    <row r="56" spans="1:2">
      <c r="A56" t="s">
        <v>1198</v>
      </c>
      <c r="B56" t="s">
        <v>1199</v>
      </c>
    </row>
    <row r="57" spans="1:2">
      <c r="A57" t="s">
        <v>1200</v>
      </c>
      <c r="B57" t="s">
        <v>1201</v>
      </c>
    </row>
    <row r="58" spans="1:2">
      <c r="A58" t="s">
        <v>1202</v>
      </c>
      <c r="B58" t="s">
        <v>1203</v>
      </c>
    </row>
    <row r="59" spans="1:2">
      <c r="A59" t="s">
        <v>1204</v>
      </c>
      <c r="B59" t="s">
        <v>1205</v>
      </c>
    </row>
    <row r="60" spans="1:2">
      <c r="A60" t="s">
        <v>1206</v>
      </c>
      <c r="B60" t="s">
        <v>1207</v>
      </c>
    </row>
    <row r="61" spans="1:2">
      <c r="A61" t="s">
        <v>1208</v>
      </c>
      <c r="B61" t="s">
        <v>1209</v>
      </c>
    </row>
    <row r="62" spans="1:2">
      <c r="A62" t="s">
        <v>1210</v>
      </c>
      <c r="B62" t="s">
        <v>1211</v>
      </c>
    </row>
    <row r="63" spans="1:2">
      <c r="A63" t="s">
        <v>1212</v>
      </c>
      <c r="B63" t="s">
        <v>1213</v>
      </c>
    </row>
    <row r="64" spans="1:2">
      <c r="A64" t="s">
        <v>1214</v>
      </c>
      <c r="B64" t="s">
        <v>1215</v>
      </c>
    </row>
    <row r="65" spans="1:2">
      <c r="A65" t="s">
        <v>1216</v>
      </c>
      <c r="B65" t="s">
        <v>1217</v>
      </c>
    </row>
    <row r="66" spans="1:2">
      <c r="A66" t="s">
        <v>1218</v>
      </c>
      <c r="B66" t="s">
        <v>1103</v>
      </c>
    </row>
    <row r="67" spans="1:2">
      <c r="A67" t="s">
        <v>1219</v>
      </c>
      <c r="B67" t="s">
        <v>1220</v>
      </c>
    </row>
    <row r="68" spans="1:2">
      <c r="A68" t="s">
        <v>1221</v>
      </c>
      <c r="B68" t="s">
        <v>1222</v>
      </c>
    </row>
    <row r="69" spans="1:2">
      <c r="A69" t="s">
        <v>1223</v>
      </c>
      <c r="B69" t="s">
        <v>1224</v>
      </c>
    </row>
    <row r="70" spans="1:2">
      <c r="A70" t="s">
        <v>1225</v>
      </c>
      <c r="B70" t="s">
        <v>1226</v>
      </c>
    </row>
    <row r="71" spans="1:2">
      <c r="A71" t="s">
        <v>1227</v>
      </c>
      <c r="B71" t="s">
        <v>1228</v>
      </c>
    </row>
    <row r="72" spans="1:2">
      <c r="A72" t="s">
        <v>1229</v>
      </c>
      <c r="B72" t="s">
        <v>1230</v>
      </c>
    </row>
    <row r="73" spans="1:2">
      <c r="A73" t="s">
        <v>1231</v>
      </c>
      <c r="B73" t="s">
        <v>1232</v>
      </c>
    </row>
    <row r="74" spans="1:2">
      <c r="A74" t="s">
        <v>1233</v>
      </c>
      <c r="B74" t="s">
        <v>1201</v>
      </c>
    </row>
    <row r="75" spans="1:2">
      <c r="A75" t="s">
        <v>1234</v>
      </c>
      <c r="B75" t="s">
        <v>1235</v>
      </c>
    </row>
    <row r="76" spans="1:2">
      <c r="A76" t="s">
        <v>1236</v>
      </c>
      <c r="B76" t="s">
        <v>1237</v>
      </c>
    </row>
    <row r="77" spans="1:2">
      <c r="A77" t="s">
        <v>1238</v>
      </c>
      <c r="B77" t="s">
        <v>1239</v>
      </c>
    </row>
    <row r="78" spans="1:2">
      <c r="A78" t="s">
        <v>1240</v>
      </c>
      <c r="B78" t="s">
        <v>1241</v>
      </c>
    </row>
    <row r="79" spans="1:2">
      <c r="A79" t="s">
        <v>1242</v>
      </c>
      <c r="B79" t="s">
        <v>1243</v>
      </c>
    </row>
    <row r="80" spans="1:2">
      <c r="A80" t="s">
        <v>1244</v>
      </c>
      <c r="B80" t="s">
        <v>1245</v>
      </c>
    </row>
    <row r="81" spans="1:2">
      <c r="A81" t="s">
        <v>1246</v>
      </c>
      <c r="B81" t="s">
        <v>1097</v>
      </c>
    </row>
    <row r="82" spans="1:2">
      <c r="A82" t="s">
        <v>1247</v>
      </c>
      <c r="B82" t="s">
        <v>1248</v>
      </c>
    </row>
    <row r="83" spans="1:2">
      <c r="A83" t="s">
        <v>1249</v>
      </c>
      <c r="B83" t="s">
        <v>1250</v>
      </c>
    </row>
    <row r="84" spans="1:2">
      <c r="A84" t="s">
        <v>1251</v>
      </c>
      <c r="B84" t="s">
        <v>1252</v>
      </c>
    </row>
    <row r="85" spans="1:2">
      <c r="A85" t="s">
        <v>1253</v>
      </c>
      <c r="B85" t="s">
        <v>1254</v>
      </c>
    </row>
    <row r="86" spans="1:2">
      <c r="A86" t="s">
        <v>1255</v>
      </c>
      <c r="B86" t="s">
        <v>1256</v>
      </c>
    </row>
    <row r="87" spans="1:2">
      <c r="A87" t="s">
        <v>1257</v>
      </c>
      <c r="B87" t="s">
        <v>1258</v>
      </c>
    </row>
    <row r="88" spans="1:2">
      <c r="A88" t="s">
        <v>1259</v>
      </c>
      <c r="B88" t="s">
        <v>1260</v>
      </c>
    </row>
    <row r="89" spans="1:2">
      <c r="A89" t="s">
        <v>1261</v>
      </c>
      <c r="B89" t="s">
        <v>1262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67"/>
  <sheetViews>
    <sheetView topLeftCell="A146" workbookViewId="0">
      <selection activeCell="B167" sqref="B167"/>
    </sheetView>
  </sheetViews>
  <sheetFormatPr baseColWidth="10" defaultColWidth="8.83203125" defaultRowHeight="13"/>
  <cols>
    <col min="1" max="1" width="8.83203125" bestFit="1" customWidth="1"/>
    <col min="2" max="2" width="29.5" bestFit="1" customWidth="1"/>
    <col min="3" max="3" width="10.33203125" bestFit="1" customWidth="1"/>
  </cols>
  <sheetData>
    <row r="1" spans="1:3">
      <c r="A1" s="1" t="s">
        <v>1263</v>
      </c>
      <c r="B1" s="1" t="s">
        <v>1264</v>
      </c>
      <c r="C1" s="3"/>
    </row>
    <row r="2" spans="1:3">
      <c r="A2" t="s">
        <v>1265</v>
      </c>
      <c r="B2" t="s">
        <v>1266</v>
      </c>
      <c r="C2" s="51"/>
    </row>
    <row r="3" spans="1:3">
      <c r="A3" t="s">
        <v>1267</v>
      </c>
      <c r="B3" t="s">
        <v>1268</v>
      </c>
      <c r="C3" s="51"/>
    </row>
    <row r="4" spans="1:3">
      <c r="A4" s="3" t="s">
        <v>1269</v>
      </c>
      <c r="B4" s="3" t="s">
        <v>409</v>
      </c>
      <c r="C4" s="51"/>
    </row>
    <row r="5" spans="1:3">
      <c r="A5" t="s">
        <v>1270</v>
      </c>
      <c r="B5" t="s">
        <v>1271</v>
      </c>
      <c r="C5" s="51"/>
    </row>
    <row r="6" spans="1:3">
      <c r="A6" t="s">
        <v>1272</v>
      </c>
      <c r="B6" t="s">
        <v>1273</v>
      </c>
      <c r="C6" s="51"/>
    </row>
    <row r="7" spans="1:3">
      <c r="A7" t="s">
        <v>1274</v>
      </c>
      <c r="B7" t="s">
        <v>1275</v>
      </c>
      <c r="C7" s="51"/>
    </row>
    <row r="8" spans="1:3">
      <c r="A8" t="s">
        <v>1276</v>
      </c>
      <c r="B8" t="s">
        <v>1277</v>
      </c>
      <c r="C8" s="51"/>
    </row>
    <row r="9" spans="1:3">
      <c r="A9" t="s">
        <v>1278</v>
      </c>
      <c r="B9" t="s">
        <v>1279</v>
      </c>
      <c r="C9" s="51"/>
    </row>
    <row r="10" spans="1:3">
      <c r="A10" t="s">
        <v>1280</v>
      </c>
      <c r="B10" t="s">
        <v>1281</v>
      </c>
      <c r="C10" s="51"/>
    </row>
    <row r="11" spans="1:3">
      <c r="A11" t="s">
        <v>1282</v>
      </c>
      <c r="B11" t="s">
        <v>1283</v>
      </c>
      <c r="C11" s="51"/>
    </row>
    <row r="12" spans="1:3">
      <c r="A12" t="s">
        <v>1284</v>
      </c>
      <c r="B12" t="s">
        <v>1285</v>
      </c>
      <c r="C12" s="51"/>
    </row>
    <row r="13" spans="1:3">
      <c r="A13" t="s">
        <v>1286</v>
      </c>
      <c r="B13" t="s">
        <v>1287</v>
      </c>
      <c r="C13" s="51"/>
    </row>
    <row r="14" spans="1:3">
      <c r="A14" t="s">
        <v>1288</v>
      </c>
      <c r="B14" t="s">
        <v>1289</v>
      </c>
      <c r="C14" s="51"/>
    </row>
    <row r="15" spans="1:3">
      <c r="A15" t="s">
        <v>1290</v>
      </c>
      <c r="B15" t="s">
        <v>1291</v>
      </c>
      <c r="C15" s="51"/>
    </row>
    <row r="16" spans="1:3">
      <c r="A16" t="s">
        <v>1292</v>
      </c>
      <c r="B16" t="s">
        <v>1293</v>
      </c>
      <c r="C16" s="51"/>
    </row>
    <row r="17" spans="1:3">
      <c r="A17" t="s">
        <v>1294</v>
      </c>
      <c r="B17" t="s">
        <v>1295</v>
      </c>
      <c r="C17" s="51"/>
    </row>
    <row r="18" spans="1:3">
      <c r="A18" t="s">
        <v>1296</v>
      </c>
      <c r="B18" t="s">
        <v>1297</v>
      </c>
      <c r="C18" s="51"/>
    </row>
    <row r="19" spans="1:3">
      <c r="A19" t="s">
        <v>1298</v>
      </c>
      <c r="B19" t="s">
        <v>1299</v>
      </c>
      <c r="C19" s="51"/>
    </row>
    <row r="20" spans="1:3">
      <c r="A20" t="s">
        <v>1300</v>
      </c>
      <c r="B20" t="s">
        <v>1301</v>
      </c>
      <c r="C20" s="51"/>
    </row>
    <row r="21" spans="1:3">
      <c r="A21" t="s">
        <v>1269</v>
      </c>
      <c r="B21" t="s">
        <v>1302</v>
      </c>
      <c r="C21" s="51"/>
    </row>
    <row r="22" spans="1:3">
      <c r="A22" t="s">
        <v>1303</v>
      </c>
      <c r="B22" t="s">
        <v>1304</v>
      </c>
      <c r="C22" s="51"/>
    </row>
    <row r="23" spans="1:3">
      <c r="A23" t="s">
        <v>1305</v>
      </c>
      <c r="B23" t="s">
        <v>1306</v>
      </c>
      <c r="C23" s="51"/>
    </row>
    <row r="24" spans="1:3">
      <c r="A24" t="s">
        <v>1307</v>
      </c>
      <c r="B24" t="s">
        <v>1308</v>
      </c>
      <c r="C24" s="51"/>
    </row>
    <row r="25" spans="1:3">
      <c r="A25" t="s">
        <v>1309</v>
      </c>
      <c r="B25" t="s">
        <v>1310</v>
      </c>
      <c r="C25" s="51"/>
    </row>
    <row r="26" spans="1:3">
      <c r="A26" t="s">
        <v>1311</v>
      </c>
      <c r="B26" t="s">
        <v>1312</v>
      </c>
      <c r="C26" s="51"/>
    </row>
    <row r="27" spans="1:3">
      <c r="A27" t="s">
        <v>1313</v>
      </c>
      <c r="B27" t="s">
        <v>1314</v>
      </c>
      <c r="C27" s="51"/>
    </row>
    <row r="28" spans="1:3">
      <c r="A28" t="s">
        <v>1315</v>
      </c>
      <c r="B28" t="s">
        <v>1316</v>
      </c>
      <c r="C28" s="51"/>
    </row>
    <row r="29" spans="1:3">
      <c r="A29" t="s">
        <v>1317</v>
      </c>
      <c r="B29" t="s">
        <v>1318</v>
      </c>
      <c r="C29" s="51"/>
    </row>
    <row r="30" spans="1:3">
      <c r="A30" t="s">
        <v>1319</v>
      </c>
      <c r="B30" t="s">
        <v>1320</v>
      </c>
      <c r="C30" s="51"/>
    </row>
    <row r="31" spans="1:3">
      <c r="A31" t="s">
        <v>1321</v>
      </c>
      <c r="B31" t="s">
        <v>1322</v>
      </c>
      <c r="C31" s="51"/>
    </row>
    <row r="32" spans="1:3">
      <c r="A32" t="s">
        <v>1323</v>
      </c>
      <c r="B32" t="s">
        <v>1324</v>
      </c>
      <c r="C32" s="51"/>
    </row>
    <row r="33" spans="1:3">
      <c r="A33" t="s">
        <v>1325</v>
      </c>
      <c r="B33" t="s">
        <v>1326</v>
      </c>
      <c r="C33" s="51"/>
    </row>
    <row r="34" spans="1:3">
      <c r="A34" t="s">
        <v>1327</v>
      </c>
      <c r="B34" t="s">
        <v>1328</v>
      </c>
      <c r="C34" s="51"/>
    </row>
    <row r="35" spans="1:3">
      <c r="A35" t="s">
        <v>1329</v>
      </c>
      <c r="B35" t="s">
        <v>1330</v>
      </c>
      <c r="C35" s="51"/>
    </row>
    <row r="36" spans="1:3">
      <c r="A36" t="s">
        <v>1331</v>
      </c>
      <c r="B36" t="s">
        <v>1332</v>
      </c>
      <c r="C36" s="51"/>
    </row>
    <row r="37" spans="1:3">
      <c r="A37" t="s">
        <v>1333</v>
      </c>
      <c r="B37" t="s">
        <v>1334</v>
      </c>
      <c r="C37" s="51"/>
    </row>
    <row r="38" spans="1:3">
      <c r="A38" t="s">
        <v>1335</v>
      </c>
      <c r="B38" t="s">
        <v>1336</v>
      </c>
      <c r="C38" s="51"/>
    </row>
    <row r="39" spans="1:3">
      <c r="A39" t="s">
        <v>1337</v>
      </c>
      <c r="B39" t="s">
        <v>1338</v>
      </c>
      <c r="C39" s="51"/>
    </row>
    <row r="40" spans="1:3">
      <c r="A40" t="s">
        <v>1339</v>
      </c>
      <c r="B40" t="s">
        <v>1340</v>
      </c>
      <c r="C40" s="51"/>
    </row>
    <row r="41" spans="1:3">
      <c r="A41" t="s">
        <v>1341</v>
      </c>
      <c r="B41" t="s">
        <v>1342</v>
      </c>
      <c r="C41" s="51"/>
    </row>
    <row r="42" spans="1:3">
      <c r="A42" t="s">
        <v>1343</v>
      </c>
      <c r="B42" t="s">
        <v>1344</v>
      </c>
      <c r="C42" s="51"/>
    </row>
    <row r="43" spans="1:3">
      <c r="A43" t="s">
        <v>1345</v>
      </c>
      <c r="B43" t="s">
        <v>1346</v>
      </c>
      <c r="C43" s="51"/>
    </row>
    <row r="44" spans="1:3">
      <c r="A44" t="s">
        <v>1347</v>
      </c>
      <c r="B44" t="s">
        <v>1348</v>
      </c>
      <c r="C44" s="51"/>
    </row>
    <row r="45" spans="1:3">
      <c r="A45" t="s">
        <v>1349</v>
      </c>
      <c r="B45" t="s">
        <v>1350</v>
      </c>
      <c r="C45" s="51"/>
    </row>
    <row r="46" spans="1:3">
      <c r="A46" t="s">
        <v>1351</v>
      </c>
      <c r="B46" t="s">
        <v>1352</v>
      </c>
      <c r="C46" s="51"/>
    </row>
    <row r="47" spans="1:3">
      <c r="A47" t="s">
        <v>1353</v>
      </c>
      <c r="B47" t="s">
        <v>1354</v>
      </c>
      <c r="C47" s="51"/>
    </row>
    <row r="48" spans="1:3">
      <c r="A48" t="s">
        <v>1355</v>
      </c>
      <c r="B48" t="s">
        <v>1356</v>
      </c>
      <c r="C48" s="51"/>
    </row>
    <row r="49" spans="1:3">
      <c r="A49" t="s">
        <v>1357</v>
      </c>
      <c r="B49" t="s">
        <v>1358</v>
      </c>
      <c r="C49" s="51"/>
    </row>
    <row r="50" spans="1:3">
      <c r="A50" t="s">
        <v>1359</v>
      </c>
      <c r="B50" t="s">
        <v>1360</v>
      </c>
      <c r="C50" s="51"/>
    </row>
    <row r="51" spans="1:3">
      <c r="A51" t="s">
        <v>1361</v>
      </c>
      <c r="B51" t="s">
        <v>1362</v>
      </c>
      <c r="C51" s="51"/>
    </row>
    <row r="52" spans="1:3">
      <c r="A52" t="s">
        <v>1363</v>
      </c>
      <c r="B52" t="s">
        <v>1364</v>
      </c>
      <c r="C52" s="51"/>
    </row>
    <row r="53" spans="1:3">
      <c r="A53" t="s">
        <v>1365</v>
      </c>
      <c r="B53" t="s">
        <v>1366</v>
      </c>
      <c r="C53" s="51"/>
    </row>
    <row r="54" spans="1:3">
      <c r="A54" t="s">
        <v>1367</v>
      </c>
      <c r="B54" t="s">
        <v>1368</v>
      </c>
      <c r="C54" s="51"/>
    </row>
    <row r="55" spans="1:3">
      <c r="A55" t="s">
        <v>1369</v>
      </c>
      <c r="B55" t="s">
        <v>1370</v>
      </c>
      <c r="C55" s="51"/>
    </row>
    <row r="56" spans="1:3">
      <c r="A56" t="s">
        <v>1371</v>
      </c>
      <c r="B56" t="s">
        <v>1372</v>
      </c>
      <c r="C56" s="51"/>
    </row>
    <row r="57" spans="1:3">
      <c r="A57" t="s">
        <v>1373</v>
      </c>
      <c r="B57" t="s">
        <v>1374</v>
      </c>
      <c r="C57" s="51"/>
    </row>
    <row r="58" spans="1:3">
      <c r="A58" t="s">
        <v>1375</v>
      </c>
      <c r="B58" t="s">
        <v>1376</v>
      </c>
      <c r="C58" s="51"/>
    </row>
    <row r="59" spans="1:3">
      <c r="A59" t="s">
        <v>1377</v>
      </c>
      <c r="B59" t="s">
        <v>1378</v>
      </c>
      <c r="C59" s="51"/>
    </row>
    <row r="60" spans="1:3">
      <c r="A60" t="s">
        <v>1379</v>
      </c>
      <c r="B60" t="s">
        <v>1380</v>
      </c>
      <c r="C60" s="51"/>
    </row>
    <row r="61" spans="1:3">
      <c r="A61" t="s">
        <v>1381</v>
      </c>
      <c r="B61" t="s">
        <v>1382</v>
      </c>
      <c r="C61" s="51"/>
    </row>
    <row r="62" spans="1:3">
      <c r="A62" t="s">
        <v>1383</v>
      </c>
      <c r="B62" t="s">
        <v>1384</v>
      </c>
      <c r="C62" s="51"/>
    </row>
    <row r="63" spans="1:3">
      <c r="A63" t="s">
        <v>1385</v>
      </c>
      <c r="B63" t="s">
        <v>1386</v>
      </c>
      <c r="C63" s="51"/>
    </row>
    <row r="64" spans="1:3">
      <c r="A64" t="s">
        <v>1387</v>
      </c>
      <c r="B64" t="s">
        <v>1388</v>
      </c>
      <c r="C64" s="51"/>
    </row>
    <row r="65" spans="1:3">
      <c r="A65" t="s">
        <v>1389</v>
      </c>
      <c r="B65" t="s">
        <v>1390</v>
      </c>
      <c r="C65" s="51"/>
    </row>
    <row r="66" spans="1:3">
      <c r="A66" t="s">
        <v>1391</v>
      </c>
      <c r="B66" t="s">
        <v>1392</v>
      </c>
      <c r="C66" s="51"/>
    </row>
    <row r="67" spans="1:3">
      <c r="A67" t="s">
        <v>1393</v>
      </c>
      <c r="B67" t="s">
        <v>1394</v>
      </c>
      <c r="C67" s="51"/>
    </row>
    <row r="68" spans="1:3">
      <c r="A68" t="s">
        <v>1395</v>
      </c>
      <c r="B68" t="s">
        <v>1396</v>
      </c>
      <c r="C68" s="51"/>
    </row>
    <row r="69" spans="1:3">
      <c r="A69" t="s">
        <v>1397</v>
      </c>
      <c r="B69" t="s">
        <v>1398</v>
      </c>
      <c r="C69" s="51"/>
    </row>
    <row r="70" spans="1:3">
      <c r="A70" t="s">
        <v>1399</v>
      </c>
      <c r="B70" t="s">
        <v>1400</v>
      </c>
      <c r="C70" s="51"/>
    </row>
    <row r="71" spans="1:3">
      <c r="A71" t="s">
        <v>1401</v>
      </c>
      <c r="B71" t="s">
        <v>1402</v>
      </c>
      <c r="C71" s="51"/>
    </row>
    <row r="72" spans="1:3">
      <c r="A72" t="s">
        <v>1403</v>
      </c>
      <c r="B72" t="s">
        <v>1404</v>
      </c>
      <c r="C72" s="51"/>
    </row>
    <row r="73" spans="1:3">
      <c r="A73" t="s">
        <v>1405</v>
      </c>
      <c r="B73" t="s">
        <v>1406</v>
      </c>
      <c r="C73" s="51"/>
    </row>
    <row r="74" spans="1:3">
      <c r="A74" t="s">
        <v>1407</v>
      </c>
      <c r="B74" t="s">
        <v>1408</v>
      </c>
      <c r="C74" s="51"/>
    </row>
    <row r="75" spans="1:3">
      <c r="A75" t="s">
        <v>1409</v>
      </c>
      <c r="B75" t="s">
        <v>1410</v>
      </c>
      <c r="C75" s="51"/>
    </row>
    <row r="76" spans="1:3">
      <c r="A76" t="s">
        <v>1411</v>
      </c>
      <c r="B76" t="s">
        <v>1412</v>
      </c>
      <c r="C76" s="51"/>
    </row>
    <row r="77" spans="1:3">
      <c r="A77" t="s">
        <v>1413</v>
      </c>
      <c r="B77" t="s">
        <v>1414</v>
      </c>
      <c r="C77" s="51"/>
    </row>
    <row r="78" spans="1:3">
      <c r="A78" t="s">
        <v>1415</v>
      </c>
      <c r="B78" t="s">
        <v>1416</v>
      </c>
      <c r="C78" s="51"/>
    </row>
    <row r="79" spans="1:3">
      <c r="A79" t="s">
        <v>1417</v>
      </c>
      <c r="B79" t="s">
        <v>1418</v>
      </c>
      <c r="C79" s="51"/>
    </row>
    <row r="80" spans="1:3">
      <c r="A80" t="s">
        <v>1419</v>
      </c>
      <c r="B80" t="s">
        <v>1420</v>
      </c>
      <c r="C80" s="51"/>
    </row>
    <row r="81" spans="1:3">
      <c r="A81" t="s">
        <v>1421</v>
      </c>
      <c r="B81" t="s">
        <v>1422</v>
      </c>
      <c r="C81" s="51"/>
    </row>
    <row r="82" spans="1:3">
      <c r="A82" t="s">
        <v>1423</v>
      </c>
      <c r="B82" t="s">
        <v>1424</v>
      </c>
      <c r="C82" s="51"/>
    </row>
    <row r="83" spans="1:3">
      <c r="A83" t="s">
        <v>1425</v>
      </c>
      <c r="B83" t="s">
        <v>1426</v>
      </c>
      <c r="C83" s="51"/>
    </row>
    <row r="84" spans="1:3">
      <c r="A84" t="s">
        <v>1427</v>
      </c>
      <c r="B84" t="s">
        <v>1428</v>
      </c>
      <c r="C84" s="51"/>
    </row>
    <row r="85" spans="1:3">
      <c r="A85" t="s">
        <v>1429</v>
      </c>
      <c r="B85" t="s">
        <v>1430</v>
      </c>
      <c r="C85" s="51"/>
    </row>
    <row r="86" spans="1:3">
      <c r="A86" t="s">
        <v>1431</v>
      </c>
      <c r="B86" t="s">
        <v>1432</v>
      </c>
      <c r="C86" s="51"/>
    </row>
    <row r="87" spans="1:3">
      <c r="A87" t="s">
        <v>1433</v>
      </c>
      <c r="B87" t="s">
        <v>1434</v>
      </c>
      <c r="C87" s="51"/>
    </row>
    <row r="88" spans="1:3">
      <c r="A88" t="s">
        <v>1435</v>
      </c>
      <c r="B88" t="s">
        <v>1436</v>
      </c>
      <c r="C88" s="51"/>
    </row>
    <row r="89" spans="1:3">
      <c r="A89" t="s">
        <v>1437</v>
      </c>
      <c r="B89" t="s">
        <v>1438</v>
      </c>
      <c r="C89" s="51"/>
    </row>
    <row r="90" spans="1:3">
      <c r="A90" t="s">
        <v>1439</v>
      </c>
      <c r="B90" t="s">
        <v>1440</v>
      </c>
      <c r="C90" s="51"/>
    </row>
    <row r="91" spans="1:3">
      <c r="A91" t="s">
        <v>1441</v>
      </c>
      <c r="B91" t="s">
        <v>1442</v>
      </c>
      <c r="C91" s="51"/>
    </row>
    <row r="92" spans="1:3">
      <c r="A92" t="s">
        <v>1443</v>
      </c>
      <c r="B92" t="s">
        <v>1444</v>
      </c>
      <c r="C92" s="51"/>
    </row>
    <row r="93" spans="1:3">
      <c r="A93" t="s">
        <v>1445</v>
      </c>
      <c r="B93" t="s">
        <v>1446</v>
      </c>
      <c r="C93" s="51"/>
    </row>
    <row r="94" spans="1:3">
      <c r="A94" t="s">
        <v>1447</v>
      </c>
      <c r="B94" t="s">
        <v>1448</v>
      </c>
      <c r="C94" s="51"/>
    </row>
    <row r="95" spans="1:3">
      <c r="A95" t="s">
        <v>172</v>
      </c>
      <c r="B95" t="s">
        <v>171</v>
      </c>
      <c r="C95" s="51"/>
    </row>
    <row r="96" spans="1:3">
      <c r="A96" t="s">
        <v>1449</v>
      </c>
      <c r="B96" t="s">
        <v>1450</v>
      </c>
      <c r="C96" s="51"/>
    </row>
    <row r="97" spans="1:3">
      <c r="A97" t="s">
        <v>1451</v>
      </c>
      <c r="B97" t="s">
        <v>1452</v>
      </c>
      <c r="C97" s="51"/>
    </row>
    <row r="98" spans="1:3">
      <c r="A98" t="s">
        <v>1453</v>
      </c>
      <c r="B98" t="s">
        <v>1454</v>
      </c>
      <c r="C98" s="51"/>
    </row>
    <row r="99" spans="1:3">
      <c r="A99" t="s">
        <v>1455</v>
      </c>
      <c r="B99" t="s">
        <v>1456</v>
      </c>
      <c r="C99" s="51"/>
    </row>
    <row r="100" spans="1:3">
      <c r="A100" t="s">
        <v>1457</v>
      </c>
      <c r="B100" t="s">
        <v>1458</v>
      </c>
      <c r="C100" s="51"/>
    </row>
    <row r="101" spans="1:3">
      <c r="A101" t="s">
        <v>1459</v>
      </c>
      <c r="B101" t="s">
        <v>1460</v>
      </c>
      <c r="C101" s="51"/>
    </row>
    <row r="102" spans="1:3">
      <c r="A102" t="s">
        <v>1461</v>
      </c>
      <c r="B102" t="s">
        <v>1462</v>
      </c>
      <c r="C102" s="51"/>
    </row>
    <row r="103" spans="1:3">
      <c r="A103" t="s">
        <v>1463</v>
      </c>
      <c r="B103" t="s">
        <v>1464</v>
      </c>
      <c r="C103" s="51"/>
    </row>
    <row r="104" spans="1:3">
      <c r="A104" t="s">
        <v>1465</v>
      </c>
      <c r="B104" t="s">
        <v>1466</v>
      </c>
      <c r="C104" s="51"/>
    </row>
    <row r="105" spans="1:3">
      <c r="A105" t="s">
        <v>1467</v>
      </c>
      <c r="B105" t="s">
        <v>1468</v>
      </c>
      <c r="C105" s="51"/>
    </row>
    <row r="106" spans="1:3">
      <c r="A106" t="s">
        <v>1469</v>
      </c>
      <c r="B106" t="s">
        <v>1470</v>
      </c>
      <c r="C106" s="51"/>
    </row>
    <row r="107" spans="1:3">
      <c r="A107" t="s">
        <v>1471</v>
      </c>
      <c r="B107" t="s">
        <v>1472</v>
      </c>
      <c r="C107" s="51"/>
    </row>
    <row r="108" spans="1:3">
      <c r="A108" t="s">
        <v>1473</v>
      </c>
      <c r="B108" t="s">
        <v>1474</v>
      </c>
      <c r="C108" s="51"/>
    </row>
    <row r="109" spans="1:3">
      <c r="A109" t="s">
        <v>1475</v>
      </c>
      <c r="B109" t="s">
        <v>1476</v>
      </c>
      <c r="C109" s="51"/>
    </row>
    <row r="110" spans="1:3">
      <c r="A110" t="s">
        <v>1477</v>
      </c>
      <c r="B110" t="s">
        <v>1478</v>
      </c>
      <c r="C110" s="51"/>
    </row>
    <row r="111" spans="1:3">
      <c r="A111" t="s">
        <v>1479</v>
      </c>
      <c r="B111" t="s">
        <v>1480</v>
      </c>
      <c r="C111" s="51"/>
    </row>
    <row r="112" spans="1:3">
      <c r="A112" t="s">
        <v>1481</v>
      </c>
      <c r="B112" t="s">
        <v>1482</v>
      </c>
      <c r="C112" s="51"/>
    </row>
    <row r="113" spans="1:3">
      <c r="A113" t="s">
        <v>1483</v>
      </c>
      <c r="B113" t="s">
        <v>1484</v>
      </c>
      <c r="C113" s="51"/>
    </row>
    <row r="114" spans="1:3">
      <c r="A114" t="s">
        <v>1485</v>
      </c>
      <c r="B114" t="s">
        <v>1486</v>
      </c>
      <c r="C114" s="51"/>
    </row>
    <row r="115" spans="1:3">
      <c r="A115" t="s">
        <v>1487</v>
      </c>
      <c r="B115" t="s">
        <v>1488</v>
      </c>
      <c r="C115" s="51"/>
    </row>
    <row r="116" spans="1:3">
      <c r="A116" t="s">
        <v>1489</v>
      </c>
      <c r="B116" t="s">
        <v>1490</v>
      </c>
      <c r="C116" s="51"/>
    </row>
    <row r="117" spans="1:3">
      <c r="A117" t="s">
        <v>1491</v>
      </c>
      <c r="B117" t="s">
        <v>1492</v>
      </c>
      <c r="C117" s="51"/>
    </row>
    <row r="118" spans="1:3">
      <c r="A118" t="s">
        <v>1493</v>
      </c>
      <c r="B118" t="s">
        <v>1494</v>
      </c>
      <c r="C118" s="51"/>
    </row>
    <row r="119" spans="1:3">
      <c r="A119" t="s">
        <v>1495</v>
      </c>
      <c r="B119" t="s">
        <v>1496</v>
      </c>
      <c r="C119" s="51"/>
    </row>
    <row r="120" spans="1:3">
      <c r="A120" t="s">
        <v>1497</v>
      </c>
      <c r="B120" t="s">
        <v>1498</v>
      </c>
      <c r="C120" s="51"/>
    </row>
    <row r="121" spans="1:3">
      <c r="A121" t="s">
        <v>1499</v>
      </c>
      <c r="B121" t="s">
        <v>1500</v>
      </c>
      <c r="C121" s="51"/>
    </row>
    <row r="122" spans="1:3">
      <c r="A122" t="s">
        <v>1501</v>
      </c>
      <c r="B122" t="s">
        <v>1502</v>
      </c>
      <c r="C122" s="51"/>
    </row>
    <row r="123" spans="1:3">
      <c r="A123" t="s">
        <v>1503</v>
      </c>
      <c r="B123" t="s">
        <v>1504</v>
      </c>
      <c r="C123" s="51"/>
    </row>
    <row r="124" spans="1:3">
      <c r="A124" t="s">
        <v>1505</v>
      </c>
      <c r="B124" t="s">
        <v>1506</v>
      </c>
      <c r="C124" s="51"/>
    </row>
    <row r="125" spans="1:3">
      <c r="A125" t="s">
        <v>1507</v>
      </c>
      <c r="B125" t="s">
        <v>1508</v>
      </c>
      <c r="C125" s="51"/>
    </row>
    <row r="126" spans="1:3">
      <c r="A126" t="s">
        <v>1509</v>
      </c>
      <c r="B126" t="s">
        <v>1510</v>
      </c>
      <c r="C126" s="51"/>
    </row>
    <row r="127" spans="1:3">
      <c r="A127" t="s">
        <v>1511</v>
      </c>
      <c r="B127" t="s">
        <v>1512</v>
      </c>
      <c r="C127" s="51"/>
    </row>
    <row r="128" spans="1:3">
      <c r="A128" t="s">
        <v>1513</v>
      </c>
      <c r="B128" t="s">
        <v>1514</v>
      </c>
      <c r="C128" s="51"/>
    </row>
    <row r="129" spans="1:3">
      <c r="A129" t="s">
        <v>1515</v>
      </c>
      <c r="B129" t="s">
        <v>1516</v>
      </c>
      <c r="C129" s="51"/>
    </row>
    <row r="130" spans="1:3">
      <c r="A130" t="s">
        <v>1517</v>
      </c>
      <c r="B130" t="s">
        <v>1518</v>
      </c>
      <c r="C130" s="51"/>
    </row>
    <row r="131" spans="1:3">
      <c r="A131" t="s">
        <v>1519</v>
      </c>
      <c r="B131" t="s">
        <v>1520</v>
      </c>
      <c r="C131" s="51"/>
    </row>
    <row r="132" spans="1:3">
      <c r="A132" s="3" t="s">
        <v>405</v>
      </c>
      <c r="B132" s="3" t="s">
        <v>278</v>
      </c>
      <c r="C132" s="51"/>
    </row>
    <row r="133" spans="1:3">
      <c r="A133" t="s">
        <v>1521</v>
      </c>
      <c r="B133" t="s">
        <v>1522</v>
      </c>
      <c r="C133" s="51"/>
    </row>
    <row r="134" spans="1:3">
      <c r="A134" t="s">
        <v>1523</v>
      </c>
      <c r="B134" t="s">
        <v>1524</v>
      </c>
      <c r="C134" s="51"/>
    </row>
    <row r="135" spans="1:3">
      <c r="A135" t="s">
        <v>1525</v>
      </c>
      <c r="B135" t="s">
        <v>1526</v>
      </c>
      <c r="C135" s="51"/>
    </row>
    <row r="136" spans="1:3">
      <c r="A136" t="s">
        <v>1527</v>
      </c>
      <c r="B136" t="s">
        <v>1528</v>
      </c>
      <c r="C136" s="51"/>
    </row>
    <row r="137" spans="1:3">
      <c r="A137" t="s">
        <v>1529</v>
      </c>
      <c r="B137" t="s">
        <v>1530</v>
      </c>
      <c r="C137" s="51"/>
    </row>
    <row r="138" spans="1:3">
      <c r="A138" t="s">
        <v>1531</v>
      </c>
      <c r="B138" t="s">
        <v>1532</v>
      </c>
      <c r="C138" s="51"/>
    </row>
    <row r="139" spans="1:3">
      <c r="A139" t="s">
        <v>1533</v>
      </c>
      <c r="B139" t="s">
        <v>1534</v>
      </c>
      <c r="C139" s="51"/>
    </row>
    <row r="140" spans="1:3">
      <c r="A140" t="s">
        <v>1535</v>
      </c>
      <c r="B140" t="s">
        <v>1536</v>
      </c>
      <c r="C140" s="51"/>
    </row>
    <row r="141" spans="1:3">
      <c r="A141" t="s">
        <v>1537</v>
      </c>
      <c r="B141" t="s">
        <v>1538</v>
      </c>
      <c r="C141" s="51"/>
    </row>
    <row r="142" spans="1:3">
      <c r="A142" t="s">
        <v>1539</v>
      </c>
      <c r="B142" t="s">
        <v>1540</v>
      </c>
      <c r="C142" s="51"/>
    </row>
    <row r="143" spans="1:3">
      <c r="A143" t="s">
        <v>1541</v>
      </c>
      <c r="B143" t="s">
        <v>1542</v>
      </c>
      <c r="C143" s="51"/>
    </row>
    <row r="144" spans="1:3">
      <c r="A144" t="s">
        <v>1543</v>
      </c>
      <c r="B144" t="s">
        <v>1544</v>
      </c>
      <c r="C144" s="51"/>
    </row>
    <row r="145" spans="1:3">
      <c r="A145" t="s">
        <v>1545</v>
      </c>
      <c r="B145" t="s">
        <v>1546</v>
      </c>
      <c r="C145" s="51"/>
    </row>
    <row r="146" spans="1:3">
      <c r="A146" t="s">
        <v>1547</v>
      </c>
      <c r="B146" t="s">
        <v>1548</v>
      </c>
      <c r="C146" s="51"/>
    </row>
    <row r="147" spans="1:3">
      <c r="A147" t="s">
        <v>1549</v>
      </c>
      <c r="B147" t="s">
        <v>1550</v>
      </c>
      <c r="C147" s="51"/>
    </row>
    <row r="148" spans="1:3">
      <c r="A148" t="s">
        <v>1551</v>
      </c>
      <c r="B148" t="s">
        <v>1552</v>
      </c>
      <c r="C148" s="51"/>
    </row>
    <row r="149" spans="1:3">
      <c r="A149" t="s">
        <v>1553</v>
      </c>
      <c r="B149" t="s">
        <v>1554</v>
      </c>
      <c r="C149" s="51"/>
    </row>
    <row r="150" spans="1:3">
      <c r="A150" t="s">
        <v>1555</v>
      </c>
      <c r="B150" t="s">
        <v>1556</v>
      </c>
      <c r="C150" s="51"/>
    </row>
    <row r="151" spans="1:3">
      <c r="A151" t="s">
        <v>1557</v>
      </c>
      <c r="B151" t="s">
        <v>1558</v>
      </c>
      <c r="C151" s="51"/>
    </row>
    <row r="152" spans="1:3">
      <c r="A152" t="s">
        <v>1559</v>
      </c>
      <c r="B152" t="s">
        <v>1560</v>
      </c>
      <c r="C152" s="51"/>
    </row>
    <row r="153" spans="1:3">
      <c r="A153" t="s">
        <v>1561</v>
      </c>
      <c r="B153" t="s">
        <v>1562</v>
      </c>
      <c r="C153" s="51"/>
    </row>
    <row r="154" spans="1:3">
      <c r="A154" t="s">
        <v>1563</v>
      </c>
      <c r="B154" t="s">
        <v>1564</v>
      </c>
      <c r="C154" s="51"/>
    </row>
    <row r="155" spans="1:3">
      <c r="A155" t="s">
        <v>1565</v>
      </c>
      <c r="B155" t="s">
        <v>1566</v>
      </c>
      <c r="C155" s="51"/>
    </row>
    <row r="156" spans="1:3">
      <c r="A156" t="s">
        <v>1567</v>
      </c>
      <c r="B156" t="s">
        <v>1568</v>
      </c>
      <c r="C156" s="51"/>
    </row>
    <row r="157" spans="1:3">
      <c r="A157" t="s">
        <v>1569</v>
      </c>
      <c r="B157" t="s">
        <v>1570</v>
      </c>
      <c r="C157" s="51"/>
    </row>
    <row r="158" spans="1:3">
      <c r="A158" t="s">
        <v>1571</v>
      </c>
      <c r="B158" t="s">
        <v>1572</v>
      </c>
      <c r="C158" s="51"/>
    </row>
    <row r="159" spans="1:3">
      <c r="A159" t="s">
        <v>1573</v>
      </c>
      <c r="B159" t="s">
        <v>1574</v>
      </c>
      <c r="C159" s="51"/>
    </row>
    <row r="160" spans="1:3">
      <c r="A160" t="s">
        <v>1575</v>
      </c>
      <c r="B160" t="s">
        <v>1576</v>
      </c>
      <c r="C160" s="51"/>
    </row>
    <row r="161" spans="1:3">
      <c r="A161" t="s">
        <v>1577</v>
      </c>
      <c r="B161" t="s">
        <v>1578</v>
      </c>
      <c r="C161" s="51"/>
    </row>
    <row r="162" spans="1:3">
      <c r="A162" t="s">
        <v>1579</v>
      </c>
      <c r="B162" t="s">
        <v>1580</v>
      </c>
      <c r="C162" s="51"/>
    </row>
    <row r="163" spans="1:3">
      <c r="A163" t="s">
        <v>1581</v>
      </c>
      <c r="B163" t="s">
        <v>1582</v>
      </c>
      <c r="C163" s="51"/>
    </row>
    <row r="164" spans="1:3">
      <c r="A164" t="s">
        <v>1583</v>
      </c>
      <c r="B164" t="s">
        <v>1584</v>
      </c>
      <c r="C164" s="51"/>
    </row>
    <row r="165" spans="1:3">
      <c r="A165" t="s">
        <v>1585</v>
      </c>
      <c r="B165" t="s">
        <v>1586</v>
      </c>
      <c r="C165" s="51"/>
    </row>
    <row r="166" spans="1:3">
      <c r="A166" t="s">
        <v>1587</v>
      </c>
      <c r="B166" t="s">
        <v>1588</v>
      </c>
      <c r="C166" s="51"/>
    </row>
    <row r="167" spans="1:3">
      <c r="A167" t="s">
        <v>279</v>
      </c>
      <c r="B167" t="s">
        <v>170</v>
      </c>
      <c r="C167" s="51"/>
    </row>
    <row r="168" spans="1:3">
      <c r="A168" t="s">
        <v>1589</v>
      </c>
      <c r="B168" t="s">
        <v>1590</v>
      </c>
      <c r="C168" s="51"/>
    </row>
    <row r="169" spans="1:3">
      <c r="A169" t="s">
        <v>1591</v>
      </c>
      <c r="B169" t="s">
        <v>1592</v>
      </c>
      <c r="C169" s="51"/>
    </row>
    <row r="170" spans="1:3">
      <c r="A170" t="s">
        <v>1593</v>
      </c>
      <c r="B170" t="s">
        <v>1594</v>
      </c>
      <c r="C170" s="51"/>
    </row>
    <row r="171" spans="1:3">
      <c r="A171" t="s">
        <v>1595</v>
      </c>
      <c r="B171" t="s">
        <v>1596</v>
      </c>
      <c r="C171" s="51"/>
    </row>
    <row r="172" spans="1:3">
      <c r="A172" t="s">
        <v>1597</v>
      </c>
      <c r="B172" t="s">
        <v>1598</v>
      </c>
      <c r="C172" s="51"/>
    </row>
    <row r="173" spans="1:3">
      <c r="A173" t="s">
        <v>1599</v>
      </c>
      <c r="B173" t="s">
        <v>1600</v>
      </c>
      <c r="C173" s="51"/>
    </row>
    <row r="174" spans="1:3">
      <c r="A174" t="s">
        <v>1601</v>
      </c>
      <c r="B174" t="s">
        <v>1602</v>
      </c>
      <c r="C174" s="51"/>
    </row>
    <row r="175" spans="1:3">
      <c r="A175" t="s">
        <v>1603</v>
      </c>
      <c r="B175" t="s">
        <v>1604</v>
      </c>
      <c r="C175" s="51"/>
    </row>
    <row r="176" spans="1:3">
      <c r="A176" t="s">
        <v>1605</v>
      </c>
      <c r="B176" t="s">
        <v>1606</v>
      </c>
      <c r="C176" s="51"/>
    </row>
    <row r="177" spans="1:3">
      <c r="A177" t="s">
        <v>1607</v>
      </c>
      <c r="B177" t="s">
        <v>1608</v>
      </c>
      <c r="C177" s="51"/>
    </row>
    <row r="178" spans="1:3">
      <c r="A178" t="s">
        <v>1609</v>
      </c>
      <c r="B178" t="s">
        <v>1610</v>
      </c>
      <c r="C178" s="51"/>
    </row>
    <row r="179" spans="1:3">
      <c r="A179" t="s">
        <v>1611</v>
      </c>
      <c r="B179" t="s">
        <v>1612</v>
      </c>
      <c r="C179" s="51"/>
    </row>
    <row r="180" spans="1:3">
      <c r="A180" t="s">
        <v>1613</v>
      </c>
      <c r="B180" t="s">
        <v>1614</v>
      </c>
      <c r="C180" s="51"/>
    </row>
    <row r="181" spans="1:3">
      <c r="A181" t="s">
        <v>1615</v>
      </c>
      <c r="B181" t="s">
        <v>1616</v>
      </c>
      <c r="C181" s="51"/>
    </row>
    <row r="182" spans="1:3">
      <c r="A182" t="s">
        <v>1617</v>
      </c>
      <c r="B182" t="s">
        <v>1618</v>
      </c>
      <c r="C182" s="51"/>
    </row>
    <row r="183" spans="1:3">
      <c r="A183" t="s">
        <v>1619</v>
      </c>
      <c r="B183" t="s">
        <v>1620</v>
      </c>
      <c r="C183" s="51"/>
    </row>
    <row r="184" spans="1:3">
      <c r="A184" t="s">
        <v>1621</v>
      </c>
      <c r="B184" t="s">
        <v>1622</v>
      </c>
      <c r="C184" s="51"/>
    </row>
    <row r="185" spans="1:3">
      <c r="A185" t="s">
        <v>1623</v>
      </c>
      <c r="B185" t="s">
        <v>1624</v>
      </c>
      <c r="C185" s="51"/>
    </row>
    <row r="186" spans="1:3">
      <c r="A186" t="s">
        <v>1625</v>
      </c>
      <c r="B186" t="s">
        <v>1626</v>
      </c>
      <c r="C186" s="51"/>
    </row>
    <row r="187" spans="1:3">
      <c r="A187" t="s">
        <v>1627</v>
      </c>
      <c r="B187" t="s">
        <v>1628</v>
      </c>
      <c r="C187" s="51"/>
    </row>
    <row r="188" spans="1:3">
      <c r="A188" t="s">
        <v>1629</v>
      </c>
      <c r="B188" t="s">
        <v>1630</v>
      </c>
      <c r="C188" s="51"/>
    </row>
    <row r="189" spans="1:3">
      <c r="A189" t="s">
        <v>1631</v>
      </c>
      <c r="B189" t="s">
        <v>1632</v>
      </c>
      <c r="C189" s="51"/>
    </row>
    <row r="190" spans="1:3">
      <c r="A190" t="s">
        <v>1633</v>
      </c>
      <c r="B190" t="s">
        <v>1634</v>
      </c>
      <c r="C190" s="51"/>
    </row>
    <row r="191" spans="1:3">
      <c r="A191" t="s">
        <v>1635</v>
      </c>
      <c r="B191" t="s">
        <v>1636</v>
      </c>
      <c r="C191" s="51"/>
    </row>
    <row r="192" spans="1:3">
      <c r="A192" t="s">
        <v>1637</v>
      </c>
      <c r="B192" t="s">
        <v>1638</v>
      </c>
      <c r="C192" s="51"/>
    </row>
    <row r="193" spans="1:3">
      <c r="A193" t="s">
        <v>1639</v>
      </c>
      <c r="B193" t="s">
        <v>1640</v>
      </c>
      <c r="C193" s="51"/>
    </row>
    <row r="194" spans="1:3">
      <c r="A194" t="s">
        <v>1641</v>
      </c>
      <c r="B194" t="s">
        <v>1642</v>
      </c>
      <c r="C194" s="51"/>
    </row>
    <row r="195" spans="1:3">
      <c r="A195" t="s">
        <v>1643</v>
      </c>
      <c r="B195" t="s">
        <v>1644</v>
      </c>
      <c r="C195" s="51"/>
    </row>
    <row r="196" spans="1:3">
      <c r="A196" t="s">
        <v>1645</v>
      </c>
      <c r="B196" t="s">
        <v>1646</v>
      </c>
      <c r="C196" s="51"/>
    </row>
    <row r="197" spans="1:3">
      <c r="A197" t="s">
        <v>1647</v>
      </c>
      <c r="B197" t="s">
        <v>1648</v>
      </c>
      <c r="C197" s="51"/>
    </row>
    <row r="198" spans="1:3">
      <c r="A198" t="s">
        <v>1649</v>
      </c>
      <c r="B198" t="s">
        <v>1650</v>
      </c>
      <c r="C198" s="51"/>
    </row>
    <row r="199" spans="1:3">
      <c r="A199" t="s">
        <v>1651</v>
      </c>
      <c r="B199" t="s">
        <v>1652</v>
      </c>
      <c r="C199" s="51"/>
    </row>
    <row r="200" spans="1:3">
      <c r="A200" t="s">
        <v>1653</v>
      </c>
      <c r="B200" t="s">
        <v>1654</v>
      </c>
      <c r="C200" s="51"/>
    </row>
    <row r="201" spans="1:3">
      <c r="A201" t="s">
        <v>1655</v>
      </c>
      <c r="B201" t="s">
        <v>1656</v>
      </c>
      <c r="C201" s="51"/>
    </row>
    <row r="202" spans="1:3">
      <c r="A202" t="s">
        <v>1657</v>
      </c>
      <c r="B202" t="s">
        <v>1658</v>
      </c>
      <c r="C202" s="51"/>
    </row>
    <row r="203" spans="1:3">
      <c r="A203" t="s">
        <v>1659</v>
      </c>
      <c r="B203" t="s">
        <v>1660</v>
      </c>
      <c r="C203" s="51"/>
    </row>
    <row r="204" spans="1:3">
      <c r="A204" t="s">
        <v>1661</v>
      </c>
      <c r="B204" t="s">
        <v>1662</v>
      </c>
      <c r="C204" s="51"/>
    </row>
    <row r="205" spans="1:3">
      <c r="A205" t="s">
        <v>1663</v>
      </c>
      <c r="B205" t="s">
        <v>1664</v>
      </c>
      <c r="C205" s="51"/>
    </row>
    <row r="206" spans="1:3">
      <c r="A206" t="s">
        <v>1665</v>
      </c>
      <c r="B206" t="s">
        <v>1666</v>
      </c>
      <c r="C206" s="51"/>
    </row>
    <row r="207" spans="1:3">
      <c r="A207" t="s">
        <v>1667</v>
      </c>
      <c r="B207" t="s">
        <v>1668</v>
      </c>
      <c r="C207" s="51"/>
    </row>
    <row r="208" spans="1:3">
      <c r="A208" t="s">
        <v>1669</v>
      </c>
      <c r="B208" t="s">
        <v>1670</v>
      </c>
      <c r="C208" s="51"/>
    </row>
    <row r="209" spans="1:3">
      <c r="A209" t="s">
        <v>1671</v>
      </c>
      <c r="B209" t="s">
        <v>1672</v>
      </c>
      <c r="C209" s="51"/>
    </row>
    <row r="210" spans="1:3">
      <c r="A210" t="s">
        <v>1673</v>
      </c>
      <c r="B210" t="s">
        <v>1674</v>
      </c>
      <c r="C210" s="51"/>
    </row>
    <row r="211" spans="1:3">
      <c r="A211" t="s">
        <v>1675</v>
      </c>
      <c r="B211" t="s">
        <v>1676</v>
      </c>
      <c r="C211" s="51"/>
    </row>
    <row r="212" spans="1:3">
      <c r="A212" t="s">
        <v>1677</v>
      </c>
      <c r="B212" t="s">
        <v>1678</v>
      </c>
      <c r="C212" s="51"/>
    </row>
    <row r="213" spans="1:3">
      <c r="A213" t="s">
        <v>1679</v>
      </c>
      <c r="B213" t="s">
        <v>1680</v>
      </c>
      <c r="C213" s="51"/>
    </row>
    <row r="214" spans="1:3">
      <c r="A214" t="s">
        <v>1681</v>
      </c>
      <c r="B214" t="s">
        <v>1682</v>
      </c>
      <c r="C214" s="25"/>
    </row>
    <row r="215" spans="1:3">
      <c r="A215" t="s">
        <v>1683</v>
      </c>
      <c r="B215" t="s">
        <v>1684</v>
      </c>
    </row>
    <row r="216" spans="1:3">
      <c r="A216" t="s">
        <v>1685</v>
      </c>
      <c r="B216" t="s">
        <v>1686</v>
      </c>
    </row>
    <row r="217" spans="1:3">
      <c r="A217" t="s">
        <v>1687</v>
      </c>
      <c r="B217" t="s">
        <v>1688</v>
      </c>
    </row>
    <row r="218" spans="1:3">
      <c r="A218" t="s">
        <v>1689</v>
      </c>
      <c r="B218" t="s">
        <v>1690</v>
      </c>
    </row>
    <row r="219" spans="1:3">
      <c r="A219" t="s">
        <v>1691</v>
      </c>
      <c r="B219" t="s">
        <v>1692</v>
      </c>
    </row>
    <row r="220" spans="1:3">
      <c r="A220" t="s">
        <v>1693</v>
      </c>
      <c r="B220" t="s">
        <v>1694</v>
      </c>
    </row>
    <row r="221" spans="1:3">
      <c r="A221" t="s">
        <v>1695</v>
      </c>
      <c r="B221" t="s">
        <v>1696</v>
      </c>
    </row>
    <row r="222" spans="1:3">
      <c r="A222" t="s">
        <v>1697</v>
      </c>
      <c r="B222" t="s">
        <v>1698</v>
      </c>
    </row>
    <row r="223" spans="1:3">
      <c r="A223" t="s">
        <v>1699</v>
      </c>
      <c r="B223" t="s">
        <v>1700</v>
      </c>
    </row>
    <row r="224" spans="1:3">
      <c r="A224" t="s">
        <v>1701</v>
      </c>
      <c r="B224" t="s">
        <v>1702</v>
      </c>
    </row>
    <row r="225" spans="1:2">
      <c r="A225" t="s">
        <v>1703</v>
      </c>
      <c r="B225" t="s">
        <v>1704</v>
      </c>
    </row>
    <row r="226" spans="1:2">
      <c r="A226" t="s">
        <v>1705</v>
      </c>
      <c r="B226" t="s">
        <v>1706</v>
      </c>
    </row>
    <row r="227" spans="1:2">
      <c r="A227" t="s">
        <v>1707</v>
      </c>
      <c r="B227" t="s">
        <v>1708</v>
      </c>
    </row>
    <row r="228" spans="1:2">
      <c r="A228" t="s">
        <v>1709</v>
      </c>
      <c r="B228" t="s">
        <v>1710</v>
      </c>
    </row>
    <row r="229" spans="1:2">
      <c r="A229" t="s">
        <v>1711</v>
      </c>
      <c r="B229" t="s">
        <v>1712</v>
      </c>
    </row>
    <row r="230" spans="1:2">
      <c r="A230" t="s">
        <v>1713</v>
      </c>
      <c r="B230" t="s">
        <v>1714</v>
      </c>
    </row>
    <row r="231" spans="1:2">
      <c r="A231" t="s">
        <v>1715</v>
      </c>
      <c r="B231" t="s">
        <v>1716</v>
      </c>
    </row>
    <row r="232" spans="1:2">
      <c r="A232" t="s">
        <v>1717</v>
      </c>
      <c r="B232" t="s">
        <v>1718</v>
      </c>
    </row>
    <row r="233" spans="1:2">
      <c r="A233" t="s">
        <v>1719</v>
      </c>
      <c r="B233" t="s">
        <v>1720</v>
      </c>
    </row>
    <row r="234" spans="1:2">
      <c r="A234" t="s">
        <v>1721</v>
      </c>
      <c r="B234" t="s">
        <v>1722</v>
      </c>
    </row>
    <row r="235" spans="1:2">
      <c r="A235" t="s">
        <v>1723</v>
      </c>
      <c r="B235" t="s">
        <v>1724</v>
      </c>
    </row>
    <row r="236" spans="1:2">
      <c r="A236" t="s">
        <v>1725</v>
      </c>
      <c r="B236" t="s">
        <v>1726</v>
      </c>
    </row>
    <row r="237" spans="1:2">
      <c r="A237" t="s">
        <v>1727</v>
      </c>
      <c r="B237" t="s">
        <v>1728</v>
      </c>
    </row>
    <row r="238" spans="1:2">
      <c r="A238" t="s">
        <v>1729</v>
      </c>
      <c r="B238" t="s">
        <v>1730</v>
      </c>
    </row>
    <row r="239" spans="1:2">
      <c r="A239" t="s">
        <v>1731</v>
      </c>
      <c r="B239" t="s">
        <v>1732</v>
      </c>
    </row>
    <row r="240" spans="1:2">
      <c r="A240" t="s">
        <v>1733</v>
      </c>
      <c r="B240" t="s">
        <v>1734</v>
      </c>
    </row>
    <row r="241" spans="1:2">
      <c r="A241" t="s">
        <v>1735</v>
      </c>
      <c r="B241" t="s">
        <v>1736</v>
      </c>
    </row>
    <row r="242" spans="1:2">
      <c r="A242" t="s">
        <v>1737</v>
      </c>
      <c r="B242" t="s">
        <v>1738</v>
      </c>
    </row>
    <row r="243" spans="1:2">
      <c r="A243" t="s">
        <v>1739</v>
      </c>
      <c r="B243" t="s">
        <v>1740</v>
      </c>
    </row>
    <row r="244" spans="1:2">
      <c r="A244" t="s">
        <v>1741</v>
      </c>
      <c r="B244" t="s">
        <v>1742</v>
      </c>
    </row>
    <row r="245" spans="1:2">
      <c r="A245" t="s">
        <v>1743</v>
      </c>
      <c r="B245" t="s">
        <v>1744</v>
      </c>
    </row>
    <row r="246" spans="1:2">
      <c r="A246" t="s">
        <v>1745</v>
      </c>
      <c r="B246" t="s">
        <v>1746</v>
      </c>
    </row>
    <row r="247" spans="1:2">
      <c r="A247" t="s">
        <v>1747</v>
      </c>
      <c r="B247" t="s">
        <v>1748</v>
      </c>
    </row>
    <row r="248" spans="1:2">
      <c r="A248" t="s">
        <v>1749</v>
      </c>
      <c r="B248" t="s">
        <v>1750</v>
      </c>
    </row>
    <row r="249" spans="1:2">
      <c r="A249" t="s">
        <v>1751</v>
      </c>
      <c r="B249" t="s">
        <v>1752</v>
      </c>
    </row>
    <row r="250" spans="1:2">
      <c r="A250" t="s">
        <v>1753</v>
      </c>
      <c r="B250" t="s">
        <v>1754</v>
      </c>
    </row>
    <row r="251" spans="1:2">
      <c r="A251" t="s">
        <v>1755</v>
      </c>
      <c r="B251" t="s">
        <v>1756</v>
      </c>
    </row>
    <row r="252" spans="1:2">
      <c r="A252" t="s">
        <v>1757</v>
      </c>
      <c r="B252" t="s">
        <v>1758</v>
      </c>
    </row>
    <row r="253" spans="1:2">
      <c r="A253" t="s">
        <v>1759</v>
      </c>
      <c r="B253" t="s">
        <v>1760</v>
      </c>
    </row>
    <row r="254" spans="1:2">
      <c r="A254" t="s">
        <v>1761</v>
      </c>
      <c r="B254" t="s">
        <v>1762</v>
      </c>
    </row>
    <row r="255" spans="1:2">
      <c r="A255" t="s">
        <v>1763</v>
      </c>
      <c r="B255" t="s">
        <v>1764</v>
      </c>
    </row>
    <row r="256" spans="1:2">
      <c r="A256" t="s">
        <v>1765</v>
      </c>
      <c r="B256" t="s">
        <v>1766</v>
      </c>
    </row>
    <row r="257" spans="1:2">
      <c r="A257" t="s">
        <v>1767</v>
      </c>
      <c r="B257" t="s">
        <v>1768</v>
      </c>
    </row>
    <row r="258" spans="1:2">
      <c r="A258" t="s">
        <v>1769</v>
      </c>
      <c r="B258" t="s">
        <v>1770</v>
      </c>
    </row>
    <row r="259" spans="1:2">
      <c r="A259" t="s">
        <v>1771</v>
      </c>
      <c r="B259" t="s">
        <v>1772</v>
      </c>
    </row>
    <row r="260" spans="1:2">
      <c r="A260" t="s">
        <v>1773</v>
      </c>
      <c r="B260" t="s">
        <v>1774</v>
      </c>
    </row>
    <row r="261" spans="1:2">
      <c r="A261" t="s">
        <v>1775</v>
      </c>
      <c r="B261" t="s">
        <v>1776</v>
      </c>
    </row>
    <row r="262" spans="1:2">
      <c r="A262" t="s">
        <v>1777</v>
      </c>
      <c r="B262" t="s">
        <v>1778</v>
      </c>
    </row>
    <row r="263" spans="1:2">
      <c r="A263" t="s">
        <v>1779</v>
      </c>
      <c r="B263" t="s">
        <v>1780</v>
      </c>
    </row>
    <row r="264" spans="1:2">
      <c r="A264" t="s">
        <v>1781</v>
      </c>
      <c r="B264" t="s">
        <v>1782</v>
      </c>
    </row>
    <row r="265" spans="1:2">
      <c r="A265" t="s">
        <v>1783</v>
      </c>
      <c r="B265" t="s">
        <v>1784</v>
      </c>
    </row>
    <row r="266" spans="1:2">
      <c r="A266" t="s">
        <v>1785</v>
      </c>
      <c r="B266" t="s">
        <v>1786</v>
      </c>
    </row>
    <row r="267" spans="1:2">
      <c r="A267" t="s">
        <v>1787</v>
      </c>
      <c r="B267" t="s">
        <v>1788</v>
      </c>
    </row>
    <row r="268" spans="1:2">
      <c r="A268" t="s">
        <v>1789</v>
      </c>
      <c r="B268" t="s">
        <v>1790</v>
      </c>
    </row>
    <row r="269" spans="1:2">
      <c r="A269" t="s">
        <v>1791</v>
      </c>
      <c r="B269" t="s">
        <v>1792</v>
      </c>
    </row>
    <row r="270" spans="1:2">
      <c r="A270" t="s">
        <v>1793</v>
      </c>
      <c r="B270" t="s">
        <v>1794</v>
      </c>
    </row>
    <row r="271" spans="1:2">
      <c r="A271" t="s">
        <v>1795</v>
      </c>
      <c r="B271" t="s">
        <v>1796</v>
      </c>
    </row>
    <row r="272" spans="1:2">
      <c r="A272" t="s">
        <v>1797</v>
      </c>
      <c r="B272" t="s">
        <v>1798</v>
      </c>
    </row>
    <row r="273" spans="1:2">
      <c r="A273" t="s">
        <v>1799</v>
      </c>
      <c r="B273" t="s">
        <v>1800</v>
      </c>
    </row>
    <row r="274" spans="1:2">
      <c r="A274" t="s">
        <v>1801</v>
      </c>
      <c r="B274" t="s">
        <v>1802</v>
      </c>
    </row>
    <row r="275" spans="1:2">
      <c r="A275" t="s">
        <v>1803</v>
      </c>
      <c r="B275" t="s">
        <v>1804</v>
      </c>
    </row>
    <row r="276" spans="1:2">
      <c r="A276" t="s">
        <v>1805</v>
      </c>
      <c r="B276" t="s">
        <v>1806</v>
      </c>
    </row>
    <row r="277" spans="1:2">
      <c r="A277" t="s">
        <v>1807</v>
      </c>
      <c r="B277" t="s">
        <v>1808</v>
      </c>
    </row>
    <row r="278" spans="1:2">
      <c r="A278" t="s">
        <v>1809</v>
      </c>
      <c r="B278" t="s">
        <v>1810</v>
      </c>
    </row>
    <row r="279" spans="1:2">
      <c r="A279" t="s">
        <v>1811</v>
      </c>
      <c r="B279" t="s">
        <v>1812</v>
      </c>
    </row>
    <row r="280" spans="1:2">
      <c r="A280" t="s">
        <v>1813</v>
      </c>
      <c r="B280" t="s">
        <v>1814</v>
      </c>
    </row>
    <row r="281" spans="1:2">
      <c r="A281" t="s">
        <v>1815</v>
      </c>
      <c r="B281" t="s">
        <v>1816</v>
      </c>
    </row>
    <row r="282" spans="1:2">
      <c r="A282" t="s">
        <v>1817</v>
      </c>
      <c r="B282" t="s">
        <v>1818</v>
      </c>
    </row>
    <row r="283" spans="1:2">
      <c r="A283" t="s">
        <v>1819</v>
      </c>
      <c r="B283" t="s">
        <v>1820</v>
      </c>
    </row>
    <row r="284" spans="1:2">
      <c r="A284" t="s">
        <v>1821</v>
      </c>
      <c r="B284" t="s">
        <v>1822</v>
      </c>
    </row>
    <row r="285" spans="1:2">
      <c r="A285" t="s">
        <v>1823</v>
      </c>
      <c r="B285" t="s">
        <v>1824</v>
      </c>
    </row>
    <row r="286" spans="1:2">
      <c r="A286" t="s">
        <v>1825</v>
      </c>
      <c r="B286" t="s">
        <v>1826</v>
      </c>
    </row>
    <row r="287" spans="1:2">
      <c r="A287" t="s">
        <v>1827</v>
      </c>
      <c r="B287" t="s">
        <v>1828</v>
      </c>
    </row>
    <row r="288" spans="1:2">
      <c r="A288" t="s">
        <v>1829</v>
      </c>
      <c r="B288" t="s">
        <v>1830</v>
      </c>
    </row>
    <row r="289" spans="1:2">
      <c r="A289" t="s">
        <v>1831</v>
      </c>
      <c r="B289" t="s">
        <v>1832</v>
      </c>
    </row>
    <row r="290" spans="1:2">
      <c r="A290" t="s">
        <v>1833</v>
      </c>
      <c r="B290" t="s">
        <v>1834</v>
      </c>
    </row>
    <row r="291" spans="1:2">
      <c r="A291" t="s">
        <v>1835</v>
      </c>
      <c r="B291" t="s">
        <v>1836</v>
      </c>
    </row>
    <row r="292" spans="1:2">
      <c r="A292" t="s">
        <v>1837</v>
      </c>
      <c r="B292" t="s">
        <v>1838</v>
      </c>
    </row>
    <row r="293" spans="1:2">
      <c r="A293" t="s">
        <v>1839</v>
      </c>
      <c r="B293" t="s">
        <v>1840</v>
      </c>
    </row>
    <row r="294" spans="1:2">
      <c r="A294" t="s">
        <v>1841</v>
      </c>
      <c r="B294" t="s">
        <v>1842</v>
      </c>
    </row>
    <row r="295" spans="1:2">
      <c r="A295" t="s">
        <v>1843</v>
      </c>
      <c r="B295" t="s">
        <v>1844</v>
      </c>
    </row>
    <row r="296" spans="1:2">
      <c r="A296" t="s">
        <v>1845</v>
      </c>
      <c r="B296" t="s">
        <v>1846</v>
      </c>
    </row>
    <row r="297" spans="1:2">
      <c r="A297" t="s">
        <v>1847</v>
      </c>
      <c r="B297" t="s">
        <v>1848</v>
      </c>
    </row>
    <row r="298" spans="1:2">
      <c r="A298" t="s">
        <v>1849</v>
      </c>
      <c r="B298" t="s">
        <v>1850</v>
      </c>
    </row>
    <row r="299" spans="1:2">
      <c r="A299" t="s">
        <v>1851</v>
      </c>
      <c r="B299" t="s">
        <v>1852</v>
      </c>
    </row>
    <row r="300" spans="1:2">
      <c r="A300" t="s">
        <v>1853</v>
      </c>
      <c r="B300" t="s">
        <v>1854</v>
      </c>
    </row>
    <row r="301" spans="1:2">
      <c r="A301" t="s">
        <v>1855</v>
      </c>
      <c r="B301" t="s">
        <v>1856</v>
      </c>
    </row>
    <row r="302" spans="1:2">
      <c r="A302" t="s">
        <v>1857</v>
      </c>
      <c r="B302" t="s">
        <v>1858</v>
      </c>
    </row>
    <row r="303" spans="1:2">
      <c r="A303" t="s">
        <v>1859</v>
      </c>
      <c r="B303" t="s">
        <v>1860</v>
      </c>
    </row>
    <row r="304" spans="1:2">
      <c r="A304" t="s">
        <v>1861</v>
      </c>
      <c r="B304" t="s">
        <v>1862</v>
      </c>
    </row>
    <row r="305" spans="1:2">
      <c r="A305" t="s">
        <v>1863</v>
      </c>
      <c r="B305" t="s">
        <v>1864</v>
      </c>
    </row>
    <row r="306" spans="1:2">
      <c r="A306" t="s">
        <v>1865</v>
      </c>
      <c r="B306" t="s">
        <v>1866</v>
      </c>
    </row>
    <row r="307" spans="1:2">
      <c r="A307" t="s">
        <v>1867</v>
      </c>
      <c r="B307" t="s">
        <v>1868</v>
      </c>
    </row>
    <row r="308" spans="1:2">
      <c r="A308" t="s">
        <v>1869</v>
      </c>
      <c r="B308" t="s">
        <v>1870</v>
      </c>
    </row>
    <row r="309" spans="1:2">
      <c r="A309" t="s">
        <v>1871</v>
      </c>
      <c r="B309" t="s">
        <v>1872</v>
      </c>
    </row>
    <row r="310" spans="1:2">
      <c r="A310" t="s">
        <v>1873</v>
      </c>
      <c r="B310" t="s">
        <v>1874</v>
      </c>
    </row>
    <row r="311" spans="1:2">
      <c r="A311" t="s">
        <v>1875</v>
      </c>
      <c r="B311" t="s">
        <v>1876</v>
      </c>
    </row>
    <row r="312" spans="1:2">
      <c r="A312" t="s">
        <v>1877</v>
      </c>
      <c r="B312" t="s">
        <v>1878</v>
      </c>
    </row>
    <row r="313" spans="1:2">
      <c r="A313" t="s">
        <v>1879</v>
      </c>
      <c r="B313" t="s">
        <v>1880</v>
      </c>
    </row>
    <row r="314" spans="1:2">
      <c r="A314" t="s">
        <v>1881</v>
      </c>
      <c r="B314" t="s">
        <v>1882</v>
      </c>
    </row>
    <row r="315" spans="1:2">
      <c r="A315" t="s">
        <v>1883</v>
      </c>
      <c r="B315" t="s">
        <v>1884</v>
      </c>
    </row>
    <row r="316" spans="1:2">
      <c r="A316" t="s">
        <v>1885</v>
      </c>
      <c r="B316" t="s">
        <v>1886</v>
      </c>
    </row>
    <row r="317" spans="1:2">
      <c r="A317" t="s">
        <v>1887</v>
      </c>
      <c r="B317" t="s">
        <v>1888</v>
      </c>
    </row>
    <row r="318" spans="1:2">
      <c r="A318" t="s">
        <v>1889</v>
      </c>
      <c r="B318" t="s">
        <v>1890</v>
      </c>
    </row>
    <row r="319" spans="1:2">
      <c r="A319" t="s">
        <v>1891</v>
      </c>
      <c r="B319" t="s">
        <v>1892</v>
      </c>
    </row>
    <row r="320" spans="1:2">
      <c r="A320" t="s">
        <v>1893</v>
      </c>
      <c r="B320" t="s">
        <v>1894</v>
      </c>
    </row>
    <row r="321" spans="1:2">
      <c r="A321" t="s">
        <v>1895</v>
      </c>
      <c r="B321" t="s">
        <v>1896</v>
      </c>
    </row>
    <row r="322" spans="1:2">
      <c r="A322" t="s">
        <v>1897</v>
      </c>
      <c r="B322" t="s">
        <v>1898</v>
      </c>
    </row>
    <row r="323" spans="1:2">
      <c r="A323" t="s">
        <v>1899</v>
      </c>
      <c r="B323" t="s">
        <v>1900</v>
      </c>
    </row>
    <row r="324" spans="1:2">
      <c r="A324" t="s">
        <v>1901</v>
      </c>
      <c r="B324" t="s">
        <v>1902</v>
      </c>
    </row>
    <row r="325" spans="1:2">
      <c r="A325" t="s">
        <v>1903</v>
      </c>
      <c r="B325" t="s">
        <v>1904</v>
      </c>
    </row>
    <row r="326" spans="1:2">
      <c r="A326" t="s">
        <v>1905</v>
      </c>
      <c r="B326" t="s">
        <v>1906</v>
      </c>
    </row>
    <row r="327" spans="1:2">
      <c r="A327" t="s">
        <v>1907</v>
      </c>
      <c r="B327" t="s">
        <v>1908</v>
      </c>
    </row>
    <row r="328" spans="1:2">
      <c r="A328" t="s">
        <v>1909</v>
      </c>
      <c r="B328" t="s">
        <v>1910</v>
      </c>
    </row>
    <row r="329" spans="1:2">
      <c r="A329" t="s">
        <v>1911</v>
      </c>
      <c r="B329" t="s">
        <v>1912</v>
      </c>
    </row>
    <row r="330" spans="1:2">
      <c r="A330" t="s">
        <v>1913</v>
      </c>
      <c r="B330" t="s">
        <v>1914</v>
      </c>
    </row>
    <row r="331" spans="1:2">
      <c r="A331" t="s">
        <v>1915</v>
      </c>
      <c r="B331" t="s">
        <v>1916</v>
      </c>
    </row>
    <row r="332" spans="1:2">
      <c r="A332" t="s">
        <v>1917</v>
      </c>
      <c r="B332" t="s">
        <v>1918</v>
      </c>
    </row>
    <row r="333" spans="1:2">
      <c r="A333" t="s">
        <v>1919</v>
      </c>
      <c r="B333" t="s">
        <v>1920</v>
      </c>
    </row>
    <row r="334" spans="1:2">
      <c r="A334" t="s">
        <v>1921</v>
      </c>
      <c r="B334" t="s">
        <v>1922</v>
      </c>
    </row>
    <row r="335" spans="1:2">
      <c r="A335" t="s">
        <v>1923</v>
      </c>
      <c r="B335" t="s">
        <v>1924</v>
      </c>
    </row>
    <row r="336" spans="1:2">
      <c r="A336" t="s">
        <v>1925</v>
      </c>
      <c r="B336" t="s">
        <v>1926</v>
      </c>
    </row>
    <row r="337" spans="1:2">
      <c r="A337" t="s">
        <v>1927</v>
      </c>
      <c r="B337" t="s">
        <v>1928</v>
      </c>
    </row>
    <row r="338" spans="1:2">
      <c r="A338" t="s">
        <v>1929</v>
      </c>
      <c r="B338" t="s">
        <v>1930</v>
      </c>
    </row>
    <row r="339" spans="1:2">
      <c r="A339" t="s">
        <v>1931</v>
      </c>
      <c r="B339" t="s">
        <v>1932</v>
      </c>
    </row>
    <row r="340" spans="1:2">
      <c r="A340" t="s">
        <v>1933</v>
      </c>
      <c r="B340" t="s">
        <v>1934</v>
      </c>
    </row>
    <row r="341" spans="1:2">
      <c r="A341" t="s">
        <v>1935</v>
      </c>
      <c r="B341" t="s">
        <v>1936</v>
      </c>
    </row>
    <row r="342" spans="1:2">
      <c r="A342" t="s">
        <v>1937</v>
      </c>
      <c r="B342" t="s">
        <v>1938</v>
      </c>
    </row>
    <row r="343" spans="1:2">
      <c r="A343" t="s">
        <v>1939</v>
      </c>
      <c r="B343" t="s">
        <v>1940</v>
      </c>
    </row>
    <row r="344" spans="1:2">
      <c r="A344" t="s">
        <v>1941</v>
      </c>
      <c r="B344" t="s">
        <v>1942</v>
      </c>
    </row>
    <row r="345" spans="1:2">
      <c r="A345" t="s">
        <v>1943</v>
      </c>
      <c r="B345" t="s">
        <v>1944</v>
      </c>
    </row>
    <row r="346" spans="1:2">
      <c r="A346" t="s">
        <v>1945</v>
      </c>
      <c r="B346" t="s">
        <v>1946</v>
      </c>
    </row>
    <row r="347" spans="1:2">
      <c r="A347" t="s">
        <v>1947</v>
      </c>
      <c r="B347" t="s">
        <v>1948</v>
      </c>
    </row>
    <row r="348" spans="1:2">
      <c r="A348" t="s">
        <v>1949</v>
      </c>
      <c r="B348" t="s">
        <v>1950</v>
      </c>
    </row>
    <row r="349" spans="1:2">
      <c r="A349" t="s">
        <v>1951</v>
      </c>
      <c r="B349" t="s">
        <v>1952</v>
      </c>
    </row>
    <row r="350" spans="1:2">
      <c r="A350" t="s">
        <v>1953</v>
      </c>
      <c r="B350" t="s">
        <v>1954</v>
      </c>
    </row>
    <row r="351" spans="1:2">
      <c r="A351" t="s">
        <v>1955</v>
      </c>
      <c r="B351" t="s">
        <v>1956</v>
      </c>
    </row>
    <row r="352" spans="1:2">
      <c r="A352" t="s">
        <v>1957</v>
      </c>
      <c r="B352" t="s">
        <v>1958</v>
      </c>
    </row>
    <row r="353" spans="1:2">
      <c r="A353" t="s">
        <v>1959</v>
      </c>
      <c r="B353" t="s">
        <v>1960</v>
      </c>
    </row>
    <row r="354" spans="1:2">
      <c r="A354" t="s">
        <v>1961</v>
      </c>
      <c r="B354" t="s">
        <v>1962</v>
      </c>
    </row>
    <row r="355" spans="1:2">
      <c r="A355" t="s">
        <v>1963</v>
      </c>
      <c r="B355" t="s">
        <v>1964</v>
      </c>
    </row>
    <row r="356" spans="1:2">
      <c r="A356" t="s">
        <v>1965</v>
      </c>
      <c r="B356" t="s">
        <v>1966</v>
      </c>
    </row>
    <row r="357" spans="1:2">
      <c r="A357" t="s">
        <v>1967</v>
      </c>
      <c r="B357" t="s">
        <v>1968</v>
      </c>
    </row>
    <row r="358" spans="1:2">
      <c r="A358" s="3" t="s">
        <v>270</v>
      </c>
      <c r="B358" s="3" t="s">
        <v>269</v>
      </c>
    </row>
    <row r="359" spans="1:2">
      <c r="A359" t="s">
        <v>1969</v>
      </c>
      <c r="B359" t="s">
        <v>1970</v>
      </c>
    </row>
    <row r="360" spans="1:2">
      <c r="A360" t="s">
        <v>1971</v>
      </c>
      <c r="B360" t="s">
        <v>1972</v>
      </c>
    </row>
    <row r="361" spans="1:2">
      <c r="A361" t="s">
        <v>1973</v>
      </c>
      <c r="B361" t="s">
        <v>1974</v>
      </c>
    </row>
    <row r="362" spans="1:2">
      <c r="A362" t="s">
        <v>1975</v>
      </c>
      <c r="B362" t="s">
        <v>1976</v>
      </c>
    </row>
    <row r="363" spans="1:2">
      <c r="A363" t="s">
        <v>1977</v>
      </c>
      <c r="B363" t="s">
        <v>1978</v>
      </c>
    </row>
    <row r="364" spans="1:2">
      <c r="A364" t="s">
        <v>1979</v>
      </c>
      <c r="B364" t="s">
        <v>1980</v>
      </c>
    </row>
    <row r="365" spans="1:2">
      <c r="A365" t="s">
        <v>1981</v>
      </c>
      <c r="B365" t="s">
        <v>1982</v>
      </c>
    </row>
    <row r="366" spans="1:2">
      <c r="A366" t="s">
        <v>1983</v>
      </c>
      <c r="B366" t="s">
        <v>1984</v>
      </c>
    </row>
    <row r="367" spans="1:2">
      <c r="A367" t="s">
        <v>1985</v>
      </c>
      <c r="B367" t="s">
        <v>1986</v>
      </c>
    </row>
  </sheetData>
  <autoFilter ref="A1:B36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79"/>
  <sheetViews>
    <sheetView topLeftCell="A92" workbookViewId="0">
      <selection activeCell="A66" sqref="A66"/>
    </sheetView>
  </sheetViews>
  <sheetFormatPr baseColWidth="10" defaultColWidth="8.83203125" defaultRowHeight="13"/>
  <cols>
    <col min="1" max="1" width="18.33203125" customWidth="1"/>
    <col min="2" max="2" width="12" bestFit="1" customWidth="1"/>
    <col min="3" max="3" width="7.1640625" customWidth="1"/>
    <col min="4" max="4" width="8.1640625" customWidth="1"/>
    <col min="5" max="5" width="9.5" customWidth="1"/>
    <col min="6" max="6" width="7.83203125" bestFit="1" customWidth="1"/>
    <col min="7" max="12" width="14.6640625" bestFit="1" customWidth="1"/>
    <col min="13" max="13" width="10.33203125" bestFit="1" customWidth="1"/>
  </cols>
  <sheetData>
    <row r="1" spans="1:13">
      <c r="A1" s="3" t="s">
        <v>1987</v>
      </c>
    </row>
    <row r="3" spans="1:13">
      <c r="A3" s="32" t="s">
        <v>1988</v>
      </c>
      <c r="B3" s="33"/>
      <c r="C3" s="33"/>
      <c r="D3" s="33"/>
      <c r="E3" s="33"/>
      <c r="F3" s="33"/>
      <c r="G3" s="32" t="s">
        <v>156</v>
      </c>
      <c r="H3" s="33"/>
      <c r="I3" s="33"/>
      <c r="J3" s="33"/>
      <c r="K3" s="33"/>
      <c r="L3" s="33"/>
      <c r="M3" s="34"/>
    </row>
    <row r="4" spans="1:13">
      <c r="A4" s="32" t="s">
        <v>2</v>
      </c>
      <c r="B4" s="32" t="s">
        <v>158</v>
      </c>
      <c r="C4" s="32" t="s">
        <v>1</v>
      </c>
      <c r="D4" s="32" t="s">
        <v>3</v>
      </c>
      <c r="E4" s="32" t="s">
        <v>40</v>
      </c>
      <c r="F4" s="32" t="s">
        <v>165</v>
      </c>
      <c r="G4" s="35" t="s">
        <v>4</v>
      </c>
      <c r="H4" s="36" t="s">
        <v>170</v>
      </c>
      <c r="I4" s="36" t="s">
        <v>278</v>
      </c>
      <c r="J4" s="36" t="s">
        <v>409</v>
      </c>
      <c r="K4" s="36" t="s">
        <v>269</v>
      </c>
      <c r="L4" s="36" t="s">
        <v>171</v>
      </c>
      <c r="M4" s="37" t="s">
        <v>19</v>
      </c>
    </row>
    <row r="5" spans="1:13">
      <c r="A5" s="35" t="s">
        <v>4</v>
      </c>
      <c r="B5" s="35" t="s">
        <v>4</v>
      </c>
      <c r="C5" s="35" t="s">
        <v>4</v>
      </c>
      <c r="D5" s="35" t="s">
        <v>4</v>
      </c>
      <c r="E5" s="35" t="s">
        <v>152</v>
      </c>
      <c r="F5" s="35" t="s">
        <v>152</v>
      </c>
      <c r="G5" s="35">
        <v>1</v>
      </c>
      <c r="H5" s="36"/>
      <c r="I5" s="36"/>
      <c r="J5" s="36"/>
      <c r="K5" s="36"/>
      <c r="L5" s="36"/>
      <c r="M5" s="37">
        <v>1</v>
      </c>
    </row>
    <row r="6" spans="1:13">
      <c r="A6" s="35" t="s">
        <v>20</v>
      </c>
      <c r="B6" s="35" t="s">
        <v>458</v>
      </c>
      <c r="C6" s="35" t="s">
        <v>5</v>
      </c>
      <c r="D6" s="35">
        <v>5.5</v>
      </c>
      <c r="E6" s="35">
        <v>1</v>
      </c>
      <c r="F6" s="35">
        <v>2</v>
      </c>
      <c r="G6" s="35"/>
      <c r="H6" s="36">
        <v>5</v>
      </c>
      <c r="I6" s="36"/>
      <c r="J6" s="36"/>
      <c r="K6" s="36"/>
      <c r="L6" s="36"/>
      <c r="M6" s="37">
        <v>5</v>
      </c>
    </row>
    <row r="7" spans="1:13">
      <c r="A7" s="38"/>
      <c r="B7" s="38"/>
      <c r="C7" s="38"/>
      <c r="D7" s="38"/>
      <c r="E7" s="38"/>
      <c r="F7" s="39">
        <v>1</v>
      </c>
      <c r="G7" s="39"/>
      <c r="L7">
        <v>2</v>
      </c>
      <c r="M7" s="40">
        <v>2</v>
      </c>
    </row>
    <row r="8" spans="1:13">
      <c r="A8" s="38"/>
      <c r="B8" s="38"/>
      <c r="C8" s="38"/>
      <c r="D8" s="38"/>
      <c r="E8" s="35">
        <v>2</v>
      </c>
      <c r="F8" s="35">
        <v>2</v>
      </c>
      <c r="G8" s="35"/>
      <c r="H8" s="36">
        <v>23</v>
      </c>
      <c r="I8" s="36"/>
      <c r="J8" s="36"/>
      <c r="K8" s="36"/>
      <c r="L8" s="36"/>
      <c r="M8" s="37">
        <v>23</v>
      </c>
    </row>
    <row r="9" spans="1:13">
      <c r="A9" s="38"/>
      <c r="B9" s="38"/>
      <c r="C9" s="38"/>
      <c r="D9" s="38"/>
      <c r="E9" s="38"/>
      <c r="F9" s="39">
        <v>1</v>
      </c>
      <c r="G9" s="39"/>
      <c r="L9">
        <v>16</v>
      </c>
      <c r="M9" s="40">
        <v>16</v>
      </c>
    </row>
    <row r="10" spans="1:13">
      <c r="A10" s="38"/>
      <c r="B10" s="38"/>
      <c r="C10" s="38"/>
      <c r="D10" s="38"/>
      <c r="E10" s="35">
        <v>0</v>
      </c>
      <c r="F10" s="35">
        <v>2</v>
      </c>
      <c r="G10" s="35"/>
      <c r="H10" s="36">
        <v>1</v>
      </c>
      <c r="I10" s="36"/>
      <c r="J10" s="36"/>
      <c r="K10" s="36"/>
      <c r="L10" s="36"/>
      <c r="M10" s="37">
        <v>1</v>
      </c>
    </row>
    <row r="11" spans="1:13">
      <c r="A11" s="38"/>
      <c r="B11" s="38"/>
      <c r="C11" s="38"/>
      <c r="D11" s="38"/>
      <c r="E11" s="38"/>
      <c r="F11" s="39">
        <v>1</v>
      </c>
      <c r="G11" s="39"/>
      <c r="L11">
        <v>3</v>
      </c>
      <c r="M11" s="40">
        <v>3</v>
      </c>
    </row>
    <row r="12" spans="1:13">
      <c r="A12" s="35" t="s">
        <v>21</v>
      </c>
      <c r="B12" s="35" t="s">
        <v>460</v>
      </c>
      <c r="C12" s="35" t="s">
        <v>5</v>
      </c>
      <c r="D12" s="35">
        <v>6</v>
      </c>
      <c r="E12" s="35">
        <v>1</v>
      </c>
      <c r="F12" s="35">
        <v>2</v>
      </c>
      <c r="G12" s="35"/>
      <c r="H12" s="36"/>
      <c r="I12" s="36"/>
      <c r="J12" s="36"/>
      <c r="K12" s="36"/>
      <c r="L12" s="36">
        <v>3</v>
      </c>
      <c r="M12" s="37">
        <v>3</v>
      </c>
    </row>
    <row r="13" spans="1:13">
      <c r="A13" s="38"/>
      <c r="B13" s="38"/>
      <c r="C13" s="38"/>
      <c r="D13" s="38"/>
      <c r="E13" s="38"/>
      <c r="F13" s="39">
        <v>1</v>
      </c>
      <c r="G13" s="39"/>
      <c r="H13">
        <v>5</v>
      </c>
      <c r="M13" s="40">
        <v>5</v>
      </c>
    </row>
    <row r="14" spans="1:13">
      <c r="A14" s="38"/>
      <c r="B14" s="38"/>
      <c r="C14" s="38"/>
      <c r="D14" s="38"/>
      <c r="E14" s="35">
        <v>2</v>
      </c>
      <c r="F14" s="35">
        <v>2</v>
      </c>
      <c r="G14" s="35"/>
      <c r="H14" s="36"/>
      <c r="I14" s="36"/>
      <c r="J14" s="36"/>
      <c r="K14" s="36"/>
      <c r="L14" s="36">
        <v>20</v>
      </c>
      <c r="M14" s="37">
        <v>20</v>
      </c>
    </row>
    <row r="15" spans="1:13">
      <c r="A15" s="38"/>
      <c r="B15" s="38"/>
      <c r="C15" s="38"/>
      <c r="D15" s="38"/>
      <c r="E15" s="38"/>
      <c r="F15" s="39">
        <v>1</v>
      </c>
      <c r="G15" s="39"/>
      <c r="H15">
        <v>20</v>
      </c>
      <c r="M15" s="40">
        <v>20</v>
      </c>
    </row>
    <row r="16" spans="1:13">
      <c r="A16" s="38"/>
      <c r="B16" s="38"/>
      <c r="C16" s="38"/>
      <c r="D16" s="38"/>
      <c r="E16" s="35">
        <v>0</v>
      </c>
      <c r="F16" s="35">
        <v>2</v>
      </c>
      <c r="G16" s="35"/>
      <c r="H16" s="36"/>
      <c r="I16" s="36"/>
      <c r="J16" s="36"/>
      <c r="K16" s="36"/>
      <c r="L16" s="36">
        <v>2</v>
      </c>
      <c r="M16" s="37">
        <v>2</v>
      </c>
    </row>
    <row r="17" spans="1:13">
      <c r="A17" s="38"/>
      <c r="B17" s="38"/>
      <c r="C17" s="38"/>
      <c r="D17" s="38"/>
      <c r="E17" s="38"/>
      <c r="F17" s="39">
        <v>1</v>
      </c>
      <c r="G17" s="39"/>
      <c r="H17">
        <v>1</v>
      </c>
      <c r="M17" s="40">
        <v>1</v>
      </c>
    </row>
    <row r="18" spans="1:13">
      <c r="A18" s="38"/>
      <c r="B18" s="38"/>
      <c r="C18" s="38"/>
      <c r="D18" s="38"/>
      <c r="E18" s="38"/>
      <c r="F18" s="39">
        <v>0</v>
      </c>
      <c r="G18" s="39"/>
      <c r="H18">
        <v>2</v>
      </c>
      <c r="M18" s="40">
        <v>2</v>
      </c>
    </row>
    <row r="19" spans="1:13">
      <c r="A19" s="35" t="s">
        <v>22</v>
      </c>
      <c r="B19" s="35" t="s">
        <v>464</v>
      </c>
      <c r="C19" s="35" t="s">
        <v>6</v>
      </c>
      <c r="D19" s="35">
        <v>4</v>
      </c>
      <c r="E19" s="35">
        <v>1</v>
      </c>
      <c r="F19" s="35">
        <v>2</v>
      </c>
      <c r="G19" s="35"/>
      <c r="H19" s="36"/>
      <c r="I19" s="36"/>
      <c r="J19" s="36"/>
      <c r="K19" s="36"/>
      <c r="L19" s="36">
        <v>9</v>
      </c>
      <c r="M19" s="37">
        <v>9</v>
      </c>
    </row>
    <row r="20" spans="1:13">
      <c r="A20" s="38"/>
      <c r="B20" s="38"/>
      <c r="C20" s="38"/>
      <c r="D20" s="38"/>
      <c r="E20" s="38"/>
      <c r="F20" s="39">
        <v>1</v>
      </c>
      <c r="G20" s="39"/>
      <c r="H20">
        <v>4</v>
      </c>
      <c r="M20" s="40">
        <v>4</v>
      </c>
    </row>
    <row r="21" spans="1:13">
      <c r="A21" s="38"/>
      <c r="B21" s="38"/>
      <c r="C21" s="38"/>
      <c r="D21" s="38"/>
      <c r="E21" s="35">
        <v>2</v>
      </c>
      <c r="F21" s="35">
        <v>2</v>
      </c>
      <c r="G21" s="35"/>
      <c r="H21" s="36"/>
      <c r="I21" s="36"/>
      <c r="J21" s="36"/>
      <c r="K21" s="36"/>
      <c r="L21" s="36">
        <v>20</v>
      </c>
      <c r="M21" s="37">
        <v>20</v>
      </c>
    </row>
    <row r="22" spans="1:13">
      <c r="A22" s="38"/>
      <c r="B22" s="38"/>
      <c r="C22" s="38"/>
      <c r="D22" s="38"/>
      <c r="E22" s="38"/>
      <c r="F22" s="39">
        <v>1</v>
      </c>
      <c r="G22" s="39"/>
      <c r="H22">
        <v>19</v>
      </c>
      <c r="M22" s="40">
        <v>19</v>
      </c>
    </row>
    <row r="23" spans="1:13">
      <c r="A23" s="38"/>
      <c r="B23" s="38"/>
      <c r="C23" s="38"/>
      <c r="D23" s="38"/>
      <c r="E23" s="35">
        <v>0</v>
      </c>
      <c r="F23" s="35">
        <v>2</v>
      </c>
      <c r="G23" s="35"/>
      <c r="H23" s="36"/>
      <c r="I23" s="36"/>
      <c r="J23" s="36"/>
      <c r="K23" s="36"/>
      <c r="L23" s="36">
        <v>2</v>
      </c>
      <c r="M23" s="37">
        <v>2</v>
      </c>
    </row>
    <row r="24" spans="1:13">
      <c r="A24" s="38"/>
      <c r="B24" s="38"/>
      <c r="C24" s="38"/>
      <c r="D24" s="38"/>
      <c r="E24" s="38"/>
      <c r="F24" s="39">
        <v>1</v>
      </c>
      <c r="G24" s="39"/>
      <c r="H24">
        <v>2</v>
      </c>
      <c r="M24" s="40">
        <v>2</v>
      </c>
    </row>
    <row r="25" spans="1:13">
      <c r="A25" s="38"/>
      <c r="B25" s="38"/>
      <c r="C25" s="38"/>
      <c r="D25" s="38"/>
      <c r="E25" s="38"/>
      <c r="F25" s="39">
        <v>0</v>
      </c>
      <c r="G25" s="39"/>
      <c r="H25">
        <v>2</v>
      </c>
      <c r="L25">
        <v>1</v>
      </c>
      <c r="M25" s="40">
        <v>3</v>
      </c>
    </row>
    <row r="26" spans="1:13">
      <c r="A26" s="35" t="s">
        <v>23</v>
      </c>
      <c r="B26" s="35" t="s">
        <v>478</v>
      </c>
      <c r="C26" s="35" t="s">
        <v>6</v>
      </c>
      <c r="D26" s="35">
        <v>7</v>
      </c>
      <c r="E26" s="35">
        <v>1</v>
      </c>
      <c r="F26" s="35">
        <v>2</v>
      </c>
      <c r="G26" s="35"/>
      <c r="H26" s="36"/>
      <c r="I26" s="36"/>
      <c r="J26" s="36"/>
      <c r="K26" s="36"/>
      <c r="L26" s="36">
        <v>2</v>
      </c>
      <c r="M26" s="37">
        <v>2</v>
      </c>
    </row>
    <row r="27" spans="1:13">
      <c r="A27" s="38"/>
      <c r="B27" s="38"/>
      <c r="C27" s="38"/>
      <c r="D27" s="38"/>
      <c r="E27" s="38"/>
      <c r="F27" s="39">
        <v>1</v>
      </c>
      <c r="G27" s="39"/>
      <c r="H27">
        <v>1</v>
      </c>
      <c r="M27" s="40">
        <v>1</v>
      </c>
    </row>
    <row r="28" spans="1:13">
      <c r="A28" s="38"/>
      <c r="B28" s="38"/>
      <c r="C28" s="38"/>
      <c r="D28" s="38"/>
      <c r="E28" s="35">
        <v>2</v>
      </c>
      <c r="F28" s="35">
        <v>2</v>
      </c>
      <c r="G28" s="35"/>
      <c r="H28" s="36"/>
      <c r="I28" s="36"/>
      <c r="J28" s="36"/>
      <c r="K28" s="36"/>
      <c r="L28" s="36">
        <v>19</v>
      </c>
      <c r="M28" s="37">
        <v>19</v>
      </c>
    </row>
    <row r="29" spans="1:13">
      <c r="A29" s="38"/>
      <c r="B29" s="38"/>
      <c r="C29" s="38"/>
      <c r="D29" s="38"/>
      <c r="E29" s="38"/>
      <c r="F29" s="39">
        <v>1</v>
      </c>
      <c r="G29" s="39"/>
      <c r="H29">
        <v>26</v>
      </c>
      <c r="M29" s="40">
        <v>26</v>
      </c>
    </row>
    <row r="30" spans="1:13">
      <c r="A30" s="38"/>
      <c r="B30" s="38"/>
      <c r="C30" s="38"/>
      <c r="D30" s="38"/>
      <c r="E30" s="35">
        <v>0</v>
      </c>
      <c r="F30" s="35">
        <v>2</v>
      </c>
      <c r="G30" s="35"/>
      <c r="H30" s="36"/>
      <c r="I30" s="36"/>
      <c r="J30" s="36"/>
      <c r="K30" s="36"/>
      <c r="L30" s="36">
        <v>2</v>
      </c>
      <c r="M30" s="37">
        <v>2</v>
      </c>
    </row>
    <row r="31" spans="1:13">
      <c r="A31" s="38"/>
      <c r="B31" s="38"/>
      <c r="C31" s="38"/>
      <c r="D31" s="38"/>
      <c r="E31" s="38"/>
      <c r="F31" s="39">
        <v>0</v>
      </c>
      <c r="G31" s="39"/>
      <c r="H31">
        <v>2</v>
      </c>
      <c r="M31" s="40">
        <v>2</v>
      </c>
    </row>
    <row r="32" spans="1:13">
      <c r="A32" s="35" t="s">
        <v>24</v>
      </c>
      <c r="B32" s="35" t="s">
        <v>482</v>
      </c>
      <c r="C32" s="35" t="s">
        <v>7</v>
      </c>
      <c r="D32" s="35">
        <v>6.5</v>
      </c>
      <c r="E32" s="35">
        <v>1</v>
      </c>
      <c r="F32" s="35">
        <v>2</v>
      </c>
      <c r="G32" s="35"/>
      <c r="H32" s="36"/>
      <c r="I32" s="36"/>
      <c r="J32" s="36"/>
      <c r="K32" s="36"/>
      <c r="L32" s="36">
        <v>5</v>
      </c>
      <c r="M32" s="37">
        <v>5</v>
      </c>
    </row>
    <row r="33" spans="1:13">
      <c r="A33" s="38"/>
      <c r="B33" s="38"/>
      <c r="C33" s="38"/>
      <c r="D33" s="38"/>
      <c r="E33" s="38"/>
      <c r="F33" s="39">
        <v>1</v>
      </c>
      <c r="G33" s="39"/>
      <c r="H33">
        <v>3</v>
      </c>
      <c r="M33" s="40">
        <v>3</v>
      </c>
    </row>
    <row r="34" spans="1:13">
      <c r="A34" s="38"/>
      <c r="B34" s="38"/>
      <c r="C34" s="38"/>
      <c r="D34" s="38"/>
      <c r="E34" s="35">
        <v>2</v>
      </c>
      <c r="F34" s="35">
        <v>2</v>
      </c>
      <c r="G34" s="35"/>
      <c r="H34" s="36"/>
      <c r="I34" s="36"/>
      <c r="J34" s="36"/>
      <c r="K34" s="36"/>
      <c r="L34" s="36">
        <v>23</v>
      </c>
      <c r="M34" s="37">
        <v>23</v>
      </c>
    </row>
    <row r="35" spans="1:13">
      <c r="A35" s="38"/>
      <c r="B35" s="38"/>
      <c r="C35" s="38"/>
      <c r="D35" s="38"/>
      <c r="E35" s="38"/>
      <c r="F35" s="39">
        <v>1</v>
      </c>
      <c r="G35" s="39"/>
      <c r="H35">
        <v>20</v>
      </c>
      <c r="M35" s="40">
        <v>20</v>
      </c>
    </row>
    <row r="36" spans="1:13">
      <c r="A36" s="38"/>
      <c r="B36" s="38"/>
      <c r="C36" s="38"/>
      <c r="D36" s="38"/>
      <c r="E36" s="35">
        <v>0</v>
      </c>
      <c r="F36" s="35">
        <v>0</v>
      </c>
      <c r="G36" s="35"/>
      <c r="H36" s="36">
        <v>2</v>
      </c>
      <c r="I36" s="36"/>
      <c r="J36" s="36"/>
      <c r="K36" s="36"/>
      <c r="L36" s="36">
        <v>1</v>
      </c>
      <c r="M36" s="37">
        <v>3</v>
      </c>
    </row>
    <row r="37" spans="1:13">
      <c r="A37" s="35" t="s">
        <v>25</v>
      </c>
      <c r="B37" s="35" t="s">
        <v>485</v>
      </c>
      <c r="C37" s="35" t="s">
        <v>7</v>
      </c>
      <c r="D37" s="35">
        <v>6.5</v>
      </c>
      <c r="E37" s="35">
        <v>1</v>
      </c>
      <c r="F37" s="35">
        <v>2</v>
      </c>
      <c r="G37" s="35"/>
      <c r="H37" s="36"/>
      <c r="I37" s="36"/>
      <c r="J37" s="36"/>
      <c r="K37" s="36"/>
      <c r="L37" s="36">
        <v>3</v>
      </c>
      <c r="M37" s="37">
        <v>3</v>
      </c>
    </row>
    <row r="38" spans="1:13">
      <c r="A38" s="38"/>
      <c r="B38" s="38"/>
      <c r="C38" s="38"/>
      <c r="D38" s="38"/>
      <c r="E38" s="38"/>
      <c r="F38" s="39">
        <v>1</v>
      </c>
      <c r="G38" s="39"/>
      <c r="H38">
        <v>3</v>
      </c>
      <c r="M38" s="40">
        <v>3</v>
      </c>
    </row>
    <row r="39" spans="1:13">
      <c r="A39" s="38"/>
      <c r="B39" s="38"/>
      <c r="C39" s="38"/>
      <c r="D39" s="38"/>
      <c r="E39" s="35">
        <v>2</v>
      </c>
      <c r="F39" s="35">
        <v>2</v>
      </c>
      <c r="G39" s="35"/>
      <c r="H39" s="36"/>
      <c r="I39" s="36"/>
      <c r="J39" s="36"/>
      <c r="K39" s="36"/>
      <c r="L39" s="36">
        <v>22</v>
      </c>
      <c r="M39" s="37">
        <v>22</v>
      </c>
    </row>
    <row r="40" spans="1:13">
      <c r="A40" s="38"/>
      <c r="B40" s="38"/>
      <c r="C40" s="38"/>
      <c r="D40" s="38"/>
      <c r="E40" s="38"/>
      <c r="F40" s="39">
        <v>1</v>
      </c>
      <c r="G40" s="39"/>
      <c r="H40">
        <v>24</v>
      </c>
      <c r="M40" s="40">
        <v>24</v>
      </c>
    </row>
    <row r="41" spans="1:13">
      <c r="A41" s="38"/>
      <c r="B41" s="38"/>
      <c r="C41" s="38"/>
      <c r="D41" s="38"/>
      <c r="E41" s="35">
        <v>0</v>
      </c>
      <c r="F41" s="35">
        <v>2</v>
      </c>
      <c r="G41" s="35"/>
      <c r="H41" s="36"/>
      <c r="I41" s="36"/>
      <c r="J41" s="36"/>
      <c r="K41" s="36"/>
      <c r="L41" s="36">
        <v>4</v>
      </c>
      <c r="M41" s="37">
        <v>4</v>
      </c>
    </row>
    <row r="42" spans="1:13">
      <c r="A42" s="38"/>
      <c r="B42" s="38"/>
      <c r="C42" s="38"/>
      <c r="D42" s="38"/>
      <c r="E42" s="38"/>
      <c r="F42" s="39">
        <v>0</v>
      </c>
      <c r="G42" s="39"/>
      <c r="L42">
        <v>1</v>
      </c>
      <c r="M42" s="40">
        <v>1</v>
      </c>
    </row>
    <row r="43" spans="1:13">
      <c r="A43" s="35" t="s">
        <v>26</v>
      </c>
      <c r="B43" s="35" t="s">
        <v>486</v>
      </c>
      <c r="C43" s="35" t="s">
        <v>8</v>
      </c>
      <c r="D43" s="35">
        <v>6</v>
      </c>
      <c r="E43" s="35">
        <v>1</v>
      </c>
      <c r="F43" s="35">
        <v>2</v>
      </c>
      <c r="G43" s="35"/>
      <c r="H43" s="36"/>
      <c r="I43" s="36"/>
      <c r="J43" s="36"/>
      <c r="K43" s="36"/>
      <c r="L43" s="36">
        <v>5</v>
      </c>
      <c r="M43" s="37">
        <v>5</v>
      </c>
    </row>
    <row r="44" spans="1:13">
      <c r="A44" s="38"/>
      <c r="B44" s="38"/>
      <c r="C44" s="38"/>
      <c r="D44" s="38"/>
      <c r="E44" s="38"/>
      <c r="F44" s="39">
        <v>1</v>
      </c>
      <c r="G44" s="39"/>
      <c r="H44">
        <v>8</v>
      </c>
      <c r="M44" s="40">
        <v>8</v>
      </c>
    </row>
    <row r="45" spans="1:13">
      <c r="A45" s="38"/>
      <c r="B45" s="38"/>
      <c r="C45" s="38"/>
      <c r="D45" s="38"/>
      <c r="E45" s="35">
        <v>2</v>
      </c>
      <c r="F45" s="35">
        <v>2</v>
      </c>
      <c r="G45" s="35"/>
      <c r="H45" s="36"/>
      <c r="I45" s="36"/>
      <c r="J45" s="36"/>
      <c r="K45" s="36"/>
      <c r="L45" s="36">
        <v>24</v>
      </c>
      <c r="M45" s="37">
        <v>24</v>
      </c>
    </row>
    <row r="46" spans="1:13">
      <c r="A46" s="38"/>
      <c r="B46" s="38"/>
      <c r="C46" s="38"/>
      <c r="D46" s="38"/>
      <c r="E46" s="38"/>
      <c r="F46" s="39">
        <v>1</v>
      </c>
      <c r="G46" s="39"/>
      <c r="H46">
        <v>30</v>
      </c>
      <c r="M46" s="40">
        <v>30</v>
      </c>
    </row>
    <row r="47" spans="1:13">
      <c r="A47" s="38"/>
      <c r="B47" s="38"/>
      <c r="C47" s="38"/>
      <c r="D47" s="38"/>
      <c r="E47" s="35">
        <v>0</v>
      </c>
      <c r="F47" s="35">
        <v>2</v>
      </c>
      <c r="G47" s="35"/>
      <c r="H47" s="36"/>
      <c r="I47" s="36"/>
      <c r="J47" s="36"/>
      <c r="K47" s="36"/>
      <c r="L47" s="36">
        <v>2</v>
      </c>
      <c r="M47" s="37">
        <v>2</v>
      </c>
    </row>
    <row r="48" spans="1:13">
      <c r="A48" s="38"/>
      <c r="B48" s="38"/>
      <c r="C48" s="38"/>
      <c r="D48" s="38"/>
      <c r="E48" s="38"/>
      <c r="F48" s="39">
        <v>1</v>
      </c>
      <c r="G48" s="39"/>
      <c r="H48">
        <v>5</v>
      </c>
      <c r="M48" s="40">
        <v>5</v>
      </c>
    </row>
    <row r="49" spans="1:13">
      <c r="A49" s="38"/>
      <c r="B49" s="38"/>
      <c r="C49" s="38"/>
      <c r="D49" s="38"/>
      <c r="E49" s="38"/>
      <c r="F49" s="39">
        <v>0</v>
      </c>
      <c r="G49" s="39"/>
      <c r="L49">
        <v>5</v>
      </c>
      <c r="M49" s="40">
        <v>5</v>
      </c>
    </row>
    <row r="50" spans="1:13">
      <c r="A50" s="35" t="s">
        <v>27</v>
      </c>
      <c r="B50" s="35" t="s">
        <v>488</v>
      </c>
      <c r="C50" s="35" t="s">
        <v>8</v>
      </c>
      <c r="D50" s="35">
        <v>7</v>
      </c>
      <c r="E50" s="35">
        <v>1</v>
      </c>
      <c r="F50" s="35">
        <v>2</v>
      </c>
      <c r="G50" s="35"/>
      <c r="H50" s="36"/>
      <c r="I50" s="36"/>
      <c r="J50" s="36"/>
      <c r="K50" s="36"/>
      <c r="L50" s="36">
        <v>5</v>
      </c>
      <c r="M50" s="37">
        <v>5</v>
      </c>
    </row>
    <row r="51" spans="1:13">
      <c r="A51" s="38"/>
      <c r="B51" s="38"/>
      <c r="C51" s="38"/>
      <c r="D51" s="38"/>
      <c r="E51" s="38"/>
      <c r="F51" s="39">
        <v>1</v>
      </c>
      <c r="G51" s="39"/>
      <c r="H51">
        <v>5</v>
      </c>
      <c r="M51" s="40">
        <v>5</v>
      </c>
    </row>
    <row r="52" spans="1:13">
      <c r="A52" s="38"/>
      <c r="B52" s="38"/>
      <c r="C52" s="38"/>
      <c r="D52" s="38"/>
      <c r="E52" s="35">
        <v>2</v>
      </c>
      <c r="F52" s="35">
        <v>2</v>
      </c>
      <c r="G52" s="35"/>
      <c r="H52" s="36"/>
      <c r="I52" s="36"/>
      <c r="J52" s="36"/>
      <c r="K52" s="36"/>
      <c r="L52" s="36">
        <v>28</v>
      </c>
      <c r="M52" s="37">
        <v>28</v>
      </c>
    </row>
    <row r="53" spans="1:13">
      <c r="A53" s="38"/>
      <c r="B53" s="38"/>
      <c r="C53" s="38"/>
      <c r="D53" s="38"/>
      <c r="E53" s="38"/>
      <c r="F53" s="39">
        <v>1</v>
      </c>
      <c r="G53" s="39"/>
      <c r="H53">
        <v>20</v>
      </c>
      <c r="M53" s="40">
        <v>20</v>
      </c>
    </row>
    <row r="54" spans="1:13">
      <c r="A54" s="38"/>
      <c r="B54" s="38"/>
      <c r="C54" s="38"/>
      <c r="D54" s="38"/>
      <c r="E54" s="35">
        <v>0</v>
      </c>
      <c r="F54" s="35">
        <v>2</v>
      </c>
      <c r="G54" s="35"/>
      <c r="H54" s="36"/>
      <c r="I54" s="36"/>
      <c r="J54" s="36"/>
      <c r="K54" s="36"/>
      <c r="L54" s="36">
        <v>1</v>
      </c>
      <c r="M54" s="37">
        <v>1</v>
      </c>
    </row>
    <row r="55" spans="1:13">
      <c r="A55" s="38"/>
      <c r="B55" s="38"/>
      <c r="C55" s="38"/>
      <c r="D55" s="38"/>
      <c r="E55" s="38"/>
      <c r="F55" s="39">
        <v>1</v>
      </c>
      <c r="G55" s="39"/>
      <c r="H55">
        <v>2</v>
      </c>
      <c r="M55" s="40">
        <v>2</v>
      </c>
    </row>
    <row r="56" spans="1:13">
      <c r="A56" s="38"/>
      <c r="B56" s="38"/>
      <c r="C56" s="38"/>
      <c r="D56" s="38"/>
      <c r="E56" s="38"/>
      <c r="F56" s="39">
        <v>0</v>
      </c>
      <c r="G56" s="39"/>
      <c r="H56">
        <v>5</v>
      </c>
      <c r="M56" s="40">
        <v>5</v>
      </c>
    </row>
    <row r="57" spans="1:13">
      <c r="A57" s="35" t="s">
        <v>28</v>
      </c>
      <c r="B57" s="35" t="s">
        <v>494</v>
      </c>
      <c r="C57" s="35" t="s">
        <v>9</v>
      </c>
      <c r="D57" s="35">
        <v>8.5</v>
      </c>
      <c r="E57" s="35">
        <v>1</v>
      </c>
      <c r="F57" s="35">
        <v>2</v>
      </c>
      <c r="G57" s="35"/>
      <c r="H57" s="36"/>
      <c r="I57" s="36"/>
      <c r="J57" s="36"/>
      <c r="K57" s="36"/>
      <c r="L57" s="36">
        <v>1</v>
      </c>
      <c r="M57" s="37">
        <v>1</v>
      </c>
    </row>
    <row r="58" spans="1:13">
      <c r="A58" s="38"/>
      <c r="B58" s="38"/>
      <c r="C58" s="38"/>
      <c r="D58" s="38"/>
      <c r="E58" s="38"/>
      <c r="F58" s="39">
        <v>1</v>
      </c>
      <c r="G58" s="39"/>
      <c r="H58">
        <v>1</v>
      </c>
      <c r="M58" s="40">
        <v>1</v>
      </c>
    </row>
    <row r="59" spans="1:13">
      <c r="A59" s="38"/>
      <c r="B59" s="38"/>
      <c r="C59" s="38"/>
      <c r="D59" s="38"/>
      <c r="E59" s="35">
        <v>2</v>
      </c>
      <c r="F59" s="35">
        <v>2</v>
      </c>
      <c r="G59" s="35"/>
      <c r="H59" s="36"/>
      <c r="I59" s="36"/>
      <c r="J59" s="36"/>
      <c r="K59" s="36"/>
      <c r="L59" s="36">
        <v>20</v>
      </c>
      <c r="M59" s="37">
        <v>20</v>
      </c>
    </row>
    <row r="60" spans="1:13">
      <c r="A60" s="38"/>
      <c r="B60" s="38"/>
      <c r="C60" s="38"/>
      <c r="D60" s="38"/>
      <c r="E60" s="38"/>
      <c r="F60" s="39">
        <v>1</v>
      </c>
      <c r="G60" s="39"/>
      <c r="H60">
        <v>19</v>
      </c>
      <c r="M60" s="40">
        <v>19</v>
      </c>
    </row>
    <row r="61" spans="1:13">
      <c r="A61" s="38"/>
      <c r="B61" s="38"/>
      <c r="C61" s="38"/>
      <c r="D61" s="38"/>
      <c r="E61" s="35">
        <v>0</v>
      </c>
      <c r="F61" s="35">
        <v>1</v>
      </c>
      <c r="G61" s="35"/>
      <c r="H61" s="36">
        <v>1</v>
      </c>
      <c r="I61" s="36"/>
      <c r="J61" s="36"/>
      <c r="K61" s="36"/>
      <c r="L61" s="36"/>
      <c r="M61" s="37">
        <v>1</v>
      </c>
    </row>
    <row r="62" spans="1:13">
      <c r="A62" s="38"/>
      <c r="B62" s="38"/>
      <c r="C62" s="38"/>
      <c r="D62" s="38"/>
      <c r="E62" s="38"/>
      <c r="F62" s="39">
        <v>0</v>
      </c>
      <c r="G62" s="39"/>
      <c r="H62">
        <v>1</v>
      </c>
      <c r="L62">
        <v>4</v>
      </c>
      <c r="M62" s="40">
        <v>5</v>
      </c>
    </row>
    <row r="63" spans="1:13">
      <c r="A63" s="35" t="s">
        <v>29</v>
      </c>
      <c r="B63" s="35" t="s">
        <v>497</v>
      </c>
      <c r="C63" s="35" t="s">
        <v>9</v>
      </c>
      <c r="D63" s="35">
        <v>7.5</v>
      </c>
      <c r="E63" s="35">
        <v>1</v>
      </c>
      <c r="F63" s="35">
        <v>2</v>
      </c>
      <c r="G63" s="35"/>
      <c r="H63" s="36"/>
      <c r="I63" s="36"/>
      <c r="J63" s="36"/>
      <c r="K63" s="36"/>
      <c r="L63" s="36">
        <v>3</v>
      </c>
      <c r="M63" s="37">
        <v>3</v>
      </c>
    </row>
    <row r="64" spans="1:13">
      <c r="A64" s="38"/>
      <c r="B64" s="38"/>
      <c r="C64" s="38"/>
      <c r="D64" s="38"/>
      <c r="E64" s="38"/>
      <c r="F64" s="39">
        <v>1</v>
      </c>
      <c r="G64" s="39"/>
      <c r="H64">
        <v>4</v>
      </c>
      <c r="M64" s="40">
        <v>4</v>
      </c>
    </row>
    <row r="65" spans="1:13">
      <c r="A65" s="38"/>
      <c r="B65" s="38"/>
      <c r="C65" s="38"/>
      <c r="D65" s="38"/>
      <c r="E65" s="35">
        <v>2</v>
      </c>
      <c r="F65" s="35">
        <v>2</v>
      </c>
      <c r="G65" s="35"/>
      <c r="H65" s="36"/>
      <c r="I65" s="36"/>
      <c r="J65" s="36"/>
      <c r="K65" s="36"/>
      <c r="L65" s="36">
        <v>29</v>
      </c>
      <c r="M65" s="37">
        <v>29</v>
      </c>
    </row>
    <row r="66" spans="1:13">
      <c r="A66" s="38"/>
      <c r="B66" s="38"/>
      <c r="C66" s="38"/>
      <c r="D66" s="38"/>
      <c r="E66" s="38"/>
      <c r="F66" s="39">
        <v>1</v>
      </c>
      <c r="G66" s="39"/>
      <c r="H66">
        <v>24</v>
      </c>
      <c r="M66" s="40">
        <v>24</v>
      </c>
    </row>
    <row r="67" spans="1:13">
      <c r="A67" s="38"/>
      <c r="B67" s="38"/>
      <c r="C67" s="38"/>
      <c r="D67" s="38"/>
      <c r="E67" s="35">
        <v>0</v>
      </c>
      <c r="F67" s="35">
        <v>2</v>
      </c>
      <c r="G67" s="35"/>
      <c r="H67" s="36"/>
      <c r="I67" s="36"/>
      <c r="J67" s="36"/>
      <c r="K67" s="36"/>
      <c r="L67" s="36">
        <v>1</v>
      </c>
      <c r="M67" s="37">
        <v>1</v>
      </c>
    </row>
    <row r="68" spans="1:13">
      <c r="A68" s="38"/>
      <c r="B68" s="38"/>
      <c r="C68" s="38"/>
      <c r="D68" s="38"/>
      <c r="E68" s="38"/>
      <c r="F68" s="39">
        <v>1</v>
      </c>
      <c r="G68" s="39"/>
      <c r="H68">
        <v>1</v>
      </c>
      <c r="M68" s="40">
        <v>1</v>
      </c>
    </row>
    <row r="69" spans="1:13">
      <c r="A69" s="38"/>
      <c r="B69" s="38"/>
      <c r="C69" s="38"/>
      <c r="D69" s="38"/>
      <c r="E69" s="38"/>
      <c r="F69" s="39">
        <v>0</v>
      </c>
      <c r="G69" s="39"/>
      <c r="H69">
        <v>1</v>
      </c>
      <c r="M69" s="40">
        <v>1</v>
      </c>
    </row>
    <row r="70" spans="1:13">
      <c r="A70" s="35" t="s">
        <v>30</v>
      </c>
      <c r="B70" s="35" t="s">
        <v>330</v>
      </c>
      <c r="C70" s="35" t="s">
        <v>10</v>
      </c>
      <c r="D70" s="35">
        <v>5.5</v>
      </c>
      <c r="E70" s="35">
        <v>1</v>
      </c>
      <c r="F70" s="35">
        <v>2</v>
      </c>
      <c r="G70" s="35"/>
      <c r="H70" s="36"/>
      <c r="I70" s="36"/>
      <c r="J70" s="36"/>
      <c r="K70" s="36"/>
      <c r="L70" s="36">
        <v>1</v>
      </c>
      <c r="M70" s="37">
        <v>1</v>
      </c>
    </row>
    <row r="71" spans="1:13">
      <c r="A71" s="38"/>
      <c r="B71" s="38"/>
      <c r="C71" s="38"/>
      <c r="D71" s="38"/>
      <c r="E71" s="38"/>
      <c r="F71" s="39">
        <v>1</v>
      </c>
      <c r="G71" s="39"/>
      <c r="I71">
        <v>1</v>
      </c>
      <c r="M71" s="40">
        <v>1</v>
      </c>
    </row>
    <row r="72" spans="1:13">
      <c r="A72" s="38"/>
      <c r="B72" s="38"/>
      <c r="C72" s="38"/>
      <c r="D72" s="38"/>
      <c r="E72" s="35">
        <v>2</v>
      </c>
      <c r="F72" s="35">
        <v>2</v>
      </c>
      <c r="G72" s="35"/>
      <c r="H72" s="36"/>
      <c r="I72" s="36"/>
      <c r="J72" s="36"/>
      <c r="K72" s="36"/>
      <c r="L72" s="36">
        <v>20</v>
      </c>
      <c r="M72" s="37">
        <v>20</v>
      </c>
    </row>
    <row r="73" spans="1:13">
      <c r="A73" s="38"/>
      <c r="B73" s="38"/>
      <c r="C73" s="38"/>
      <c r="D73" s="38"/>
      <c r="E73" s="38"/>
      <c r="F73" s="39">
        <v>1</v>
      </c>
      <c r="G73" s="39"/>
      <c r="I73">
        <v>19</v>
      </c>
      <c r="M73" s="40">
        <v>19</v>
      </c>
    </row>
    <row r="74" spans="1:13">
      <c r="A74" s="38"/>
      <c r="B74" s="38"/>
      <c r="C74" s="38"/>
      <c r="D74" s="38"/>
      <c r="E74" s="35">
        <v>0</v>
      </c>
      <c r="F74" s="35">
        <v>2</v>
      </c>
      <c r="G74" s="35"/>
      <c r="H74" s="36"/>
      <c r="I74" s="36"/>
      <c r="J74" s="36"/>
      <c r="K74" s="36"/>
      <c r="L74" s="36">
        <v>1</v>
      </c>
      <c r="M74" s="37">
        <v>1</v>
      </c>
    </row>
    <row r="75" spans="1:13">
      <c r="A75" s="38"/>
      <c r="B75" s="38"/>
      <c r="C75" s="38"/>
      <c r="D75" s="38"/>
      <c r="E75" s="38"/>
      <c r="F75" s="39">
        <v>0</v>
      </c>
      <c r="G75" s="39"/>
      <c r="I75">
        <v>1</v>
      </c>
      <c r="L75">
        <v>1</v>
      </c>
      <c r="M75" s="40">
        <v>2</v>
      </c>
    </row>
    <row r="76" spans="1:13">
      <c r="A76" s="38"/>
      <c r="B76" s="38"/>
      <c r="C76" s="38"/>
      <c r="D76" s="35">
        <v>8</v>
      </c>
      <c r="E76" s="35">
        <v>1</v>
      </c>
      <c r="F76" s="35">
        <v>2</v>
      </c>
      <c r="G76" s="35"/>
      <c r="H76" s="36"/>
      <c r="I76" s="36"/>
      <c r="J76" s="36"/>
      <c r="K76" s="36">
        <v>2</v>
      </c>
      <c r="L76" s="36"/>
      <c r="M76" s="37">
        <v>2</v>
      </c>
    </row>
    <row r="77" spans="1:13">
      <c r="A77" s="38"/>
      <c r="B77" s="38"/>
      <c r="C77" s="38"/>
      <c r="D77" s="38"/>
      <c r="E77" s="38"/>
      <c r="F77" s="39">
        <v>1</v>
      </c>
      <c r="G77" s="39"/>
      <c r="H77">
        <v>2</v>
      </c>
      <c r="M77" s="40">
        <v>2</v>
      </c>
    </row>
    <row r="78" spans="1:13">
      <c r="A78" s="38"/>
      <c r="B78" s="38"/>
      <c r="C78" s="38"/>
      <c r="D78" s="38"/>
      <c r="E78" s="35">
        <v>2</v>
      </c>
      <c r="F78" s="35">
        <v>2</v>
      </c>
      <c r="G78" s="35"/>
      <c r="H78" s="36"/>
      <c r="I78" s="36"/>
      <c r="J78" s="36"/>
      <c r="K78" s="36">
        <v>19</v>
      </c>
      <c r="L78" s="36"/>
      <c r="M78" s="37">
        <v>19</v>
      </c>
    </row>
    <row r="79" spans="1:13">
      <c r="A79" s="38"/>
      <c r="B79" s="38"/>
      <c r="C79" s="38"/>
      <c r="D79" s="38"/>
      <c r="E79" s="38"/>
      <c r="F79" s="39">
        <v>1</v>
      </c>
      <c r="G79" s="39"/>
      <c r="H79">
        <v>20</v>
      </c>
      <c r="M79" s="40">
        <v>20</v>
      </c>
    </row>
    <row r="80" spans="1:13">
      <c r="A80" s="35" t="s">
        <v>32</v>
      </c>
      <c r="B80" s="35" t="s">
        <v>363</v>
      </c>
      <c r="C80" s="35" t="s">
        <v>11</v>
      </c>
      <c r="D80" s="35">
        <v>5.5</v>
      </c>
      <c r="E80" s="35">
        <v>1</v>
      </c>
      <c r="F80" s="35">
        <v>2</v>
      </c>
      <c r="G80" s="35"/>
      <c r="H80" s="36"/>
      <c r="I80" s="36"/>
      <c r="J80" s="36"/>
      <c r="K80" s="36">
        <v>2</v>
      </c>
      <c r="L80" s="36"/>
      <c r="M80" s="37">
        <v>2</v>
      </c>
    </row>
    <row r="81" spans="1:13">
      <c r="A81" s="38"/>
      <c r="B81" s="38"/>
      <c r="C81" s="38"/>
      <c r="D81" s="38"/>
      <c r="E81" s="38"/>
      <c r="F81" s="39">
        <v>1</v>
      </c>
      <c r="G81" s="39"/>
      <c r="H81">
        <v>3</v>
      </c>
      <c r="M81" s="40">
        <v>3</v>
      </c>
    </row>
    <row r="82" spans="1:13">
      <c r="A82" s="38"/>
      <c r="B82" s="38"/>
      <c r="C82" s="38"/>
      <c r="D82" s="38"/>
      <c r="E82" s="35">
        <v>2</v>
      </c>
      <c r="F82" s="35">
        <v>2</v>
      </c>
      <c r="G82" s="35"/>
      <c r="H82" s="36"/>
      <c r="I82" s="36"/>
      <c r="J82" s="36"/>
      <c r="K82" s="36">
        <v>16</v>
      </c>
      <c r="L82" s="36"/>
      <c r="M82" s="37">
        <v>16</v>
      </c>
    </row>
    <row r="83" spans="1:13">
      <c r="A83" s="38"/>
      <c r="B83" s="38"/>
      <c r="C83" s="38"/>
      <c r="D83" s="38"/>
      <c r="E83" s="38"/>
      <c r="F83" s="39">
        <v>1</v>
      </c>
      <c r="G83" s="39"/>
      <c r="H83">
        <v>24</v>
      </c>
      <c r="M83" s="40">
        <v>24</v>
      </c>
    </row>
    <row r="84" spans="1:13">
      <c r="A84" s="38"/>
      <c r="B84" s="38"/>
      <c r="C84" s="38"/>
      <c r="D84" s="38"/>
      <c r="E84" s="35">
        <v>0</v>
      </c>
      <c r="F84" s="35">
        <v>1</v>
      </c>
      <c r="G84" s="35"/>
      <c r="H84" s="36">
        <v>1</v>
      </c>
      <c r="I84" s="36"/>
      <c r="J84" s="36"/>
      <c r="K84" s="36"/>
      <c r="L84" s="36"/>
      <c r="M84" s="37">
        <v>1</v>
      </c>
    </row>
    <row r="85" spans="1:13">
      <c r="A85" s="38"/>
      <c r="B85" s="38"/>
      <c r="C85" s="38"/>
      <c r="D85" s="35">
        <v>10</v>
      </c>
      <c r="E85" s="35">
        <v>1</v>
      </c>
      <c r="F85" s="35">
        <v>2</v>
      </c>
      <c r="G85" s="35"/>
      <c r="H85" s="36"/>
      <c r="I85" s="36"/>
      <c r="J85" s="36"/>
      <c r="K85" s="36"/>
      <c r="L85" s="36">
        <v>6</v>
      </c>
      <c r="M85" s="37">
        <v>6</v>
      </c>
    </row>
    <row r="86" spans="1:13">
      <c r="A86" s="38"/>
      <c r="B86" s="38"/>
      <c r="C86" s="38"/>
      <c r="D86" s="38"/>
      <c r="E86" s="38"/>
      <c r="F86" s="39">
        <v>1</v>
      </c>
      <c r="G86" s="39"/>
      <c r="I86">
        <v>2</v>
      </c>
      <c r="M86" s="40">
        <v>2</v>
      </c>
    </row>
    <row r="87" spans="1:13">
      <c r="A87" s="38"/>
      <c r="B87" s="38"/>
      <c r="C87" s="38"/>
      <c r="D87" s="38"/>
      <c r="E87" s="35">
        <v>2</v>
      </c>
      <c r="F87" s="35">
        <v>2</v>
      </c>
      <c r="G87" s="35"/>
      <c r="H87" s="36"/>
      <c r="I87" s="36"/>
      <c r="J87" s="36"/>
      <c r="K87" s="36"/>
      <c r="L87" s="36">
        <v>22</v>
      </c>
      <c r="M87" s="37">
        <v>22</v>
      </c>
    </row>
    <row r="88" spans="1:13">
      <c r="A88" s="38"/>
      <c r="B88" s="38"/>
      <c r="C88" s="38"/>
      <c r="D88" s="38"/>
      <c r="E88" s="38"/>
      <c r="F88" s="39">
        <v>1</v>
      </c>
      <c r="G88" s="39"/>
      <c r="I88">
        <v>19</v>
      </c>
      <c r="M88" s="40">
        <v>19</v>
      </c>
    </row>
    <row r="89" spans="1:13">
      <c r="A89" s="38"/>
      <c r="B89" s="38"/>
      <c r="C89" s="38"/>
      <c r="D89" s="38"/>
      <c r="E89" s="35">
        <v>0</v>
      </c>
      <c r="F89" s="35">
        <v>1</v>
      </c>
      <c r="G89" s="35"/>
      <c r="H89" s="36"/>
      <c r="I89" s="36">
        <v>4</v>
      </c>
      <c r="J89" s="36"/>
      <c r="K89" s="36"/>
      <c r="L89" s="36"/>
      <c r="M89" s="37">
        <v>4</v>
      </c>
    </row>
    <row r="90" spans="1:13">
      <c r="A90" s="38"/>
      <c r="B90" s="38"/>
      <c r="C90" s="38"/>
      <c r="D90" s="38"/>
      <c r="E90" s="38"/>
      <c r="F90" s="39">
        <v>0</v>
      </c>
      <c r="G90" s="39"/>
      <c r="L90">
        <v>3</v>
      </c>
      <c r="M90" s="40">
        <v>3</v>
      </c>
    </row>
    <row r="91" spans="1:13">
      <c r="A91" s="35" t="s">
        <v>33</v>
      </c>
      <c r="B91" s="35" t="s">
        <v>370</v>
      </c>
      <c r="C91" s="35" t="s">
        <v>11</v>
      </c>
      <c r="D91" s="35">
        <v>7.5</v>
      </c>
      <c r="E91" s="35">
        <v>1</v>
      </c>
      <c r="F91" s="35">
        <v>2</v>
      </c>
      <c r="G91" s="35"/>
      <c r="H91" s="36"/>
      <c r="I91" s="36"/>
      <c r="J91" s="36"/>
      <c r="K91" s="36">
        <v>3</v>
      </c>
      <c r="L91" s="36"/>
      <c r="M91" s="37">
        <v>3</v>
      </c>
    </row>
    <row r="92" spans="1:13">
      <c r="A92" s="38"/>
      <c r="B92" s="38"/>
      <c r="C92" s="38"/>
      <c r="D92" s="38"/>
      <c r="E92" s="38"/>
      <c r="F92" s="39">
        <v>1</v>
      </c>
      <c r="G92" s="39"/>
      <c r="H92">
        <v>2</v>
      </c>
      <c r="M92" s="40">
        <v>2</v>
      </c>
    </row>
    <row r="93" spans="1:13">
      <c r="A93" s="38"/>
      <c r="B93" s="38"/>
      <c r="C93" s="38"/>
      <c r="D93" s="38"/>
      <c r="E93" s="35">
        <v>2</v>
      </c>
      <c r="F93" s="35">
        <v>2</v>
      </c>
      <c r="G93" s="35"/>
      <c r="H93" s="36"/>
      <c r="I93" s="36"/>
      <c r="J93" s="36"/>
      <c r="K93" s="36">
        <v>17</v>
      </c>
      <c r="L93" s="36"/>
      <c r="M93" s="37">
        <v>17</v>
      </c>
    </row>
    <row r="94" spans="1:13">
      <c r="A94" s="38"/>
      <c r="B94" s="38"/>
      <c r="C94" s="38"/>
      <c r="D94" s="38"/>
      <c r="E94" s="38"/>
      <c r="F94" s="39">
        <v>1</v>
      </c>
      <c r="G94" s="39"/>
      <c r="H94">
        <v>15</v>
      </c>
      <c r="M94" s="40">
        <v>15</v>
      </c>
    </row>
    <row r="95" spans="1:13">
      <c r="A95" s="38"/>
      <c r="B95" s="38"/>
      <c r="C95" s="38"/>
      <c r="D95" s="35">
        <v>9</v>
      </c>
      <c r="E95" s="35">
        <v>1</v>
      </c>
      <c r="F95" s="35">
        <v>2</v>
      </c>
      <c r="G95" s="35"/>
      <c r="H95" s="36"/>
      <c r="I95" s="36"/>
      <c r="J95" s="36"/>
      <c r="K95" s="36"/>
      <c r="L95" s="36">
        <v>2</v>
      </c>
      <c r="M95" s="37">
        <v>2</v>
      </c>
    </row>
    <row r="96" spans="1:13">
      <c r="A96" s="38"/>
      <c r="B96" s="38"/>
      <c r="C96" s="38"/>
      <c r="D96" s="38"/>
      <c r="E96" s="38"/>
      <c r="F96" s="39">
        <v>1</v>
      </c>
      <c r="G96" s="39"/>
      <c r="I96">
        <v>2</v>
      </c>
      <c r="M96" s="40">
        <v>2</v>
      </c>
    </row>
    <row r="97" spans="1:13">
      <c r="A97" s="38"/>
      <c r="B97" s="38"/>
      <c r="C97" s="38"/>
      <c r="D97" s="38"/>
      <c r="E97" s="35">
        <v>2</v>
      </c>
      <c r="F97" s="35">
        <v>2</v>
      </c>
      <c r="G97" s="35"/>
      <c r="H97" s="36"/>
      <c r="I97" s="36"/>
      <c r="J97" s="36"/>
      <c r="K97" s="36"/>
      <c r="L97" s="36">
        <v>21</v>
      </c>
      <c r="M97" s="37">
        <v>21</v>
      </c>
    </row>
    <row r="98" spans="1:13">
      <c r="A98" s="38"/>
      <c r="B98" s="38"/>
      <c r="C98" s="38"/>
      <c r="D98" s="38"/>
      <c r="E98" s="38"/>
      <c r="F98" s="39">
        <v>1</v>
      </c>
      <c r="G98" s="39"/>
      <c r="I98">
        <v>21</v>
      </c>
      <c r="M98" s="40">
        <v>21</v>
      </c>
    </row>
    <row r="99" spans="1:13">
      <c r="A99" s="38"/>
      <c r="B99" s="38"/>
      <c r="C99" s="38"/>
      <c r="D99" s="38"/>
      <c r="E99" s="35">
        <v>0</v>
      </c>
      <c r="F99" s="35">
        <v>1</v>
      </c>
      <c r="G99" s="35"/>
      <c r="H99" s="36"/>
      <c r="I99" s="36">
        <v>3</v>
      </c>
      <c r="J99" s="36"/>
      <c r="K99" s="36"/>
      <c r="L99" s="36"/>
      <c r="M99" s="37">
        <v>3</v>
      </c>
    </row>
    <row r="100" spans="1:13">
      <c r="A100" s="38"/>
      <c r="B100" s="38"/>
      <c r="C100" s="38"/>
      <c r="D100" s="38"/>
      <c r="E100" s="38"/>
      <c r="F100" s="39">
        <v>0</v>
      </c>
      <c r="G100" s="39"/>
      <c r="L100">
        <v>2</v>
      </c>
      <c r="M100" s="40">
        <v>2</v>
      </c>
    </row>
    <row r="101" spans="1:13">
      <c r="A101" s="35" t="s">
        <v>34</v>
      </c>
      <c r="B101" s="35" t="s">
        <v>378</v>
      </c>
      <c r="C101" s="35" t="s">
        <v>12</v>
      </c>
      <c r="D101" s="35">
        <v>7.5</v>
      </c>
      <c r="E101" s="35">
        <v>1</v>
      </c>
      <c r="F101" s="35">
        <v>2</v>
      </c>
      <c r="G101" s="35"/>
      <c r="H101" s="36">
        <v>5</v>
      </c>
      <c r="I101" s="36"/>
      <c r="J101" s="36"/>
      <c r="K101" s="36"/>
      <c r="L101" s="36"/>
      <c r="M101" s="37">
        <v>5</v>
      </c>
    </row>
    <row r="102" spans="1:13">
      <c r="A102" s="38"/>
      <c r="B102" s="38"/>
      <c r="C102" s="38"/>
      <c r="D102" s="38"/>
      <c r="E102" s="38"/>
      <c r="F102" s="39">
        <v>1</v>
      </c>
      <c r="G102" s="39"/>
      <c r="J102">
        <v>3</v>
      </c>
      <c r="M102" s="40">
        <v>3</v>
      </c>
    </row>
    <row r="103" spans="1:13">
      <c r="A103" s="38"/>
      <c r="B103" s="38"/>
      <c r="C103" s="38"/>
      <c r="D103" s="38"/>
      <c r="E103" s="35">
        <v>2</v>
      </c>
      <c r="F103" s="35">
        <v>2</v>
      </c>
      <c r="G103" s="35"/>
      <c r="H103" s="36">
        <v>28</v>
      </c>
      <c r="I103" s="36"/>
      <c r="J103" s="36"/>
      <c r="K103" s="36"/>
      <c r="L103" s="36"/>
      <c r="M103" s="37">
        <v>28</v>
      </c>
    </row>
    <row r="104" spans="1:13">
      <c r="A104" s="38"/>
      <c r="B104" s="38"/>
      <c r="C104" s="38"/>
      <c r="D104" s="38"/>
      <c r="E104" s="38"/>
      <c r="F104" s="39">
        <v>1</v>
      </c>
      <c r="G104" s="39"/>
      <c r="J104">
        <v>26</v>
      </c>
      <c r="M104" s="40">
        <v>26</v>
      </c>
    </row>
    <row r="105" spans="1:13">
      <c r="A105" s="38"/>
      <c r="B105" s="38"/>
      <c r="C105" s="38"/>
      <c r="D105" s="38"/>
      <c r="E105" s="35">
        <v>0</v>
      </c>
      <c r="F105" s="35">
        <v>2</v>
      </c>
      <c r="G105" s="35"/>
      <c r="H105" s="36">
        <v>2</v>
      </c>
      <c r="I105" s="36"/>
      <c r="J105" s="36"/>
      <c r="K105" s="36"/>
      <c r="L105" s="36"/>
      <c r="M105" s="37">
        <v>2</v>
      </c>
    </row>
    <row r="106" spans="1:13">
      <c r="A106" s="38"/>
      <c r="B106" s="38"/>
      <c r="C106" s="38"/>
      <c r="D106" s="35">
        <v>11</v>
      </c>
      <c r="E106" s="35">
        <v>1</v>
      </c>
      <c r="F106" s="35">
        <v>2</v>
      </c>
      <c r="G106" s="35"/>
      <c r="H106" s="36"/>
      <c r="I106" s="36"/>
      <c r="J106" s="36"/>
      <c r="K106" s="36"/>
      <c r="L106" s="36">
        <v>5</v>
      </c>
      <c r="M106" s="37">
        <v>5</v>
      </c>
    </row>
    <row r="107" spans="1:13">
      <c r="A107" s="38"/>
      <c r="B107" s="38"/>
      <c r="C107" s="38"/>
      <c r="D107" s="38"/>
      <c r="E107" s="38"/>
      <c r="F107" s="39">
        <v>1</v>
      </c>
      <c r="G107" s="39"/>
      <c r="I107">
        <v>6</v>
      </c>
      <c r="M107" s="40">
        <v>6</v>
      </c>
    </row>
    <row r="108" spans="1:13">
      <c r="A108" s="38"/>
      <c r="B108" s="38"/>
      <c r="C108" s="38"/>
      <c r="D108" s="38"/>
      <c r="E108" s="35">
        <v>2</v>
      </c>
      <c r="F108" s="35">
        <v>2</v>
      </c>
      <c r="G108" s="35"/>
      <c r="H108" s="36"/>
      <c r="I108" s="36"/>
      <c r="J108" s="36"/>
      <c r="K108" s="36"/>
      <c r="L108" s="36">
        <v>26</v>
      </c>
      <c r="M108" s="37">
        <v>26</v>
      </c>
    </row>
    <row r="109" spans="1:13">
      <c r="A109" s="38"/>
      <c r="B109" s="38"/>
      <c r="C109" s="38"/>
      <c r="D109" s="38"/>
      <c r="E109" s="38"/>
      <c r="F109" s="39">
        <v>1</v>
      </c>
      <c r="G109" s="39"/>
      <c r="I109">
        <v>18</v>
      </c>
      <c r="M109" s="40">
        <v>18</v>
      </c>
    </row>
    <row r="110" spans="1:13">
      <c r="A110" s="38"/>
      <c r="B110" s="38"/>
      <c r="C110" s="38"/>
      <c r="D110" s="38"/>
      <c r="E110" s="35">
        <v>0</v>
      </c>
      <c r="F110" s="35">
        <v>2</v>
      </c>
      <c r="G110" s="35"/>
      <c r="H110" s="36"/>
      <c r="I110" s="36"/>
      <c r="J110" s="36"/>
      <c r="K110" s="36"/>
      <c r="L110" s="36">
        <v>7</v>
      </c>
      <c r="M110" s="37">
        <v>7</v>
      </c>
    </row>
    <row r="111" spans="1:13">
      <c r="A111" s="38"/>
      <c r="B111" s="38"/>
      <c r="C111" s="38"/>
      <c r="D111" s="38"/>
      <c r="E111" s="38"/>
      <c r="F111" s="39">
        <v>1</v>
      </c>
      <c r="G111" s="39"/>
      <c r="I111">
        <v>7</v>
      </c>
      <c r="M111" s="40">
        <v>7</v>
      </c>
    </row>
    <row r="112" spans="1:13">
      <c r="A112" s="35" t="s">
        <v>36</v>
      </c>
      <c r="B112" s="35" t="s">
        <v>392</v>
      </c>
      <c r="C112" s="35" t="s">
        <v>13</v>
      </c>
      <c r="D112" s="35">
        <v>10</v>
      </c>
      <c r="E112" s="35">
        <v>1</v>
      </c>
      <c r="F112" s="35">
        <v>2</v>
      </c>
      <c r="G112" s="35"/>
      <c r="H112" s="36">
        <v>7</v>
      </c>
      <c r="I112" s="36"/>
      <c r="J112" s="36"/>
      <c r="K112" s="36"/>
      <c r="L112" s="36"/>
      <c r="M112" s="37">
        <v>7</v>
      </c>
    </row>
    <row r="113" spans="1:13">
      <c r="A113" s="38"/>
      <c r="B113" s="38"/>
      <c r="C113" s="38"/>
      <c r="D113" s="38"/>
      <c r="E113" s="38"/>
      <c r="F113" s="39">
        <v>1</v>
      </c>
      <c r="G113" s="39"/>
      <c r="I113">
        <v>3</v>
      </c>
      <c r="M113" s="40">
        <v>3</v>
      </c>
    </row>
    <row r="114" spans="1:13">
      <c r="A114" s="38"/>
      <c r="B114" s="38"/>
      <c r="C114" s="38"/>
      <c r="D114" s="38"/>
      <c r="E114" s="35">
        <v>2</v>
      </c>
      <c r="F114" s="35">
        <v>2</v>
      </c>
      <c r="G114" s="35"/>
      <c r="H114" s="36">
        <v>25</v>
      </c>
      <c r="I114" s="36"/>
      <c r="J114" s="36"/>
      <c r="K114" s="36"/>
      <c r="L114" s="36"/>
      <c r="M114" s="37">
        <v>25</v>
      </c>
    </row>
    <row r="115" spans="1:13">
      <c r="A115" s="38"/>
      <c r="B115" s="38"/>
      <c r="C115" s="38"/>
      <c r="D115" s="38"/>
      <c r="E115" s="38"/>
      <c r="F115" s="39">
        <v>1</v>
      </c>
      <c r="G115" s="39"/>
      <c r="I115">
        <v>31</v>
      </c>
      <c r="M115" s="40">
        <v>31</v>
      </c>
    </row>
    <row r="116" spans="1:13">
      <c r="A116" s="38"/>
      <c r="B116" s="38"/>
      <c r="C116" s="38"/>
      <c r="D116" s="38"/>
      <c r="E116" s="35">
        <v>0</v>
      </c>
      <c r="F116" s="35">
        <v>2</v>
      </c>
      <c r="G116" s="35"/>
      <c r="H116" s="36">
        <v>5</v>
      </c>
      <c r="I116" s="36"/>
      <c r="J116" s="36"/>
      <c r="K116" s="36"/>
      <c r="L116" s="36"/>
      <c r="M116" s="37">
        <v>5</v>
      </c>
    </row>
    <row r="117" spans="1:13">
      <c r="A117" s="38"/>
      <c r="B117" s="38"/>
      <c r="C117" s="38"/>
      <c r="D117" s="38"/>
      <c r="E117" s="38"/>
      <c r="F117" s="39">
        <v>1</v>
      </c>
      <c r="G117" s="39"/>
      <c r="I117">
        <v>3</v>
      </c>
      <c r="M117" s="40">
        <v>3</v>
      </c>
    </row>
    <row r="118" spans="1:13">
      <c r="A118" s="38"/>
      <c r="B118" s="38"/>
      <c r="C118" s="38"/>
      <c r="D118" s="35">
        <v>9.5</v>
      </c>
      <c r="E118" s="35">
        <v>1</v>
      </c>
      <c r="F118" s="35">
        <v>2</v>
      </c>
      <c r="G118" s="35"/>
      <c r="H118" s="36"/>
      <c r="I118" s="36"/>
      <c r="J118" s="36">
        <v>5</v>
      </c>
      <c r="K118" s="36"/>
      <c r="L118" s="36"/>
      <c r="M118" s="37">
        <v>5</v>
      </c>
    </row>
    <row r="119" spans="1:13">
      <c r="A119" s="38"/>
      <c r="B119" s="38"/>
      <c r="C119" s="38"/>
      <c r="D119" s="38"/>
      <c r="E119" s="38"/>
      <c r="F119" s="39">
        <v>1</v>
      </c>
      <c r="G119" s="39"/>
      <c r="K119">
        <v>2</v>
      </c>
      <c r="M119" s="40">
        <v>2</v>
      </c>
    </row>
    <row r="120" spans="1:13">
      <c r="A120" s="38"/>
      <c r="B120" s="38"/>
      <c r="C120" s="38"/>
      <c r="D120" s="38"/>
      <c r="E120" s="35">
        <v>2</v>
      </c>
      <c r="F120" s="35">
        <v>2</v>
      </c>
      <c r="G120" s="35"/>
      <c r="H120" s="36"/>
      <c r="I120" s="36"/>
      <c r="J120" s="36">
        <v>24</v>
      </c>
      <c r="K120" s="36"/>
      <c r="L120" s="36"/>
      <c r="M120" s="37">
        <v>24</v>
      </c>
    </row>
    <row r="121" spans="1:13">
      <c r="A121" s="38"/>
      <c r="B121" s="38"/>
      <c r="C121" s="38"/>
      <c r="D121" s="38"/>
      <c r="E121" s="38"/>
      <c r="F121" s="39">
        <v>1</v>
      </c>
      <c r="G121" s="39"/>
      <c r="K121">
        <v>19</v>
      </c>
      <c r="M121" s="40">
        <v>19</v>
      </c>
    </row>
    <row r="122" spans="1:13">
      <c r="A122" s="38"/>
      <c r="B122" s="38"/>
      <c r="C122" s="38"/>
      <c r="D122" s="38"/>
      <c r="E122" s="35">
        <v>0</v>
      </c>
      <c r="F122" s="35">
        <v>1</v>
      </c>
      <c r="G122" s="35"/>
      <c r="H122" s="36"/>
      <c r="I122" s="36"/>
      <c r="J122" s="36"/>
      <c r="K122" s="36">
        <v>2</v>
      </c>
      <c r="L122" s="36"/>
      <c r="M122" s="37">
        <v>2</v>
      </c>
    </row>
    <row r="123" spans="1:13">
      <c r="A123" s="35" t="s">
        <v>31</v>
      </c>
      <c r="B123" s="35" t="s">
        <v>290</v>
      </c>
      <c r="C123" s="35" t="s">
        <v>10</v>
      </c>
      <c r="D123" s="35">
        <v>5.5</v>
      </c>
      <c r="E123" s="35">
        <v>1</v>
      </c>
      <c r="F123" s="35">
        <v>2</v>
      </c>
      <c r="G123" s="35"/>
      <c r="H123" s="36"/>
      <c r="I123" s="36">
        <v>1</v>
      </c>
      <c r="J123" s="36"/>
      <c r="K123" s="36"/>
      <c r="L123" s="36"/>
      <c r="M123" s="37">
        <v>1</v>
      </c>
    </row>
    <row r="124" spans="1:13">
      <c r="A124" s="38"/>
      <c r="B124" s="38"/>
      <c r="C124" s="38"/>
      <c r="D124" s="38"/>
      <c r="E124" s="38"/>
      <c r="F124" s="39">
        <v>1</v>
      </c>
      <c r="G124" s="39"/>
      <c r="I124">
        <v>1</v>
      </c>
      <c r="L124">
        <v>2</v>
      </c>
      <c r="M124" s="40">
        <v>3</v>
      </c>
    </row>
    <row r="125" spans="1:13">
      <c r="A125" s="38"/>
      <c r="B125" s="38"/>
      <c r="C125" s="38"/>
      <c r="D125" s="38"/>
      <c r="E125" s="35">
        <v>2</v>
      </c>
      <c r="F125" s="35">
        <v>2</v>
      </c>
      <c r="G125" s="35"/>
      <c r="H125" s="36"/>
      <c r="I125" s="36">
        <v>23</v>
      </c>
      <c r="J125" s="36"/>
      <c r="K125" s="36"/>
      <c r="L125" s="36"/>
      <c r="M125" s="37">
        <v>23</v>
      </c>
    </row>
    <row r="126" spans="1:13">
      <c r="A126" s="38"/>
      <c r="B126" s="38"/>
      <c r="C126" s="38"/>
      <c r="D126" s="38"/>
      <c r="E126" s="38"/>
      <c r="F126" s="39">
        <v>1</v>
      </c>
      <c r="G126" s="39"/>
      <c r="I126">
        <v>18</v>
      </c>
      <c r="L126">
        <v>27</v>
      </c>
      <c r="M126" s="40">
        <v>45</v>
      </c>
    </row>
    <row r="127" spans="1:13">
      <c r="A127" s="38"/>
      <c r="B127" s="38"/>
      <c r="C127" s="38"/>
      <c r="D127" s="38"/>
      <c r="E127" s="35">
        <v>0</v>
      </c>
      <c r="F127" s="35">
        <v>2</v>
      </c>
      <c r="G127" s="35"/>
      <c r="H127" s="36"/>
      <c r="I127" s="36">
        <v>1</v>
      </c>
      <c r="J127" s="36"/>
      <c r="K127" s="36"/>
      <c r="L127" s="36"/>
      <c r="M127" s="37">
        <v>1</v>
      </c>
    </row>
    <row r="128" spans="1:13">
      <c r="A128" s="38"/>
      <c r="B128" s="38"/>
      <c r="C128" s="38"/>
      <c r="D128" s="38"/>
      <c r="E128" s="38"/>
      <c r="F128" s="39">
        <v>1</v>
      </c>
      <c r="G128" s="39"/>
      <c r="I128">
        <v>2</v>
      </c>
      <c r="L128">
        <v>1</v>
      </c>
      <c r="M128" s="40">
        <v>3</v>
      </c>
    </row>
    <row r="129" spans="1:13">
      <c r="A129" s="38"/>
      <c r="B129" s="38"/>
      <c r="C129" s="38"/>
      <c r="D129" s="35">
        <v>8</v>
      </c>
      <c r="E129" s="35">
        <v>1</v>
      </c>
      <c r="F129" s="35">
        <v>2</v>
      </c>
      <c r="G129" s="35"/>
      <c r="H129" s="36"/>
      <c r="I129" s="36"/>
      <c r="J129" s="36">
        <v>2</v>
      </c>
      <c r="K129" s="36"/>
      <c r="L129" s="36"/>
      <c r="M129" s="37">
        <v>2</v>
      </c>
    </row>
    <row r="130" spans="1:13">
      <c r="A130" s="38"/>
      <c r="B130" s="38"/>
      <c r="C130" s="38"/>
      <c r="D130" s="38"/>
      <c r="E130" s="38"/>
      <c r="F130" s="39">
        <v>1</v>
      </c>
      <c r="G130" s="39"/>
      <c r="K130">
        <v>1</v>
      </c>
      <c r="M130" s="40">
        <v>1</v>
      </c>
    </row>
    <row r="131" spans="1:13">
      <c r="A131" s="38"/>
      <c r="B131" s="38"/>
      <c r="C131" s="38"/>
      <c r="D131" s="38"/>
      <c r="E131" s="35">
        <v>2</v>
      </c>
      <c r="F131" s="35">
        <v>2</v>
      </c>
      <c r="G131" s="35"/>
      <c r="H131" s="36"/>
      <c r="I131" s="36"/>
      <c r="J131" s="36">
        <v>19</v>
      </c>
      <c r="K131" s="36"/>
      <c r="L131" s="36"/>
      <c r="M131" s="37">
        <v>19</v>
      </c>
    </row>
    <row r="132" spans="1:13">
      <c r="A132" s="38"/>
      <c r="B132" s="38"/>
      <c r="C132" s="38"/>
      <c r="D132" s="38"/>
      <c r="E132" s="38"/>
      <c r="F132" s="39">
        <v>1</v>
      </c>
      <c r="G132" s="39"/>
      <c r="K132">
        <v>20</v>
      </c>
      <c r="M132" s="40">
        <v>20</v>
      </c>
    </row>
    <row r="133" spans="1:13">
      <c r="A133" s="38"/>
      <c r="B133" s="38"/>
      <c r="C133" s="38"/>
      <c r="D133" s="38"/>
      <c r="E133" s="35">
        <v>0</v>
      </c>
      <c r="F133" s="35">
        <v>1</v>
      </c>
      <c r="G133" s="35"/>
      <c r="H133" s="36"/>
      <c r="I133" s="36"/>
      <c r="J133" s="36"/>
      <c r="K133" s="36">
        <v>1</v>
      </c>
      <c r="L133" s="36"/>
      <c r="M133" s="37">
        <v>1</v>
      </c>
    </row>
    <row r="134" spans="1:13">
      <c r="A134" s="35" t="s">
        <v>38</v>
      </c>
      <c r="B134" s="35" t="s">
        <v>344</v>
      </c>
      <c r="C134" s="35" t="s">
        <v>14</v>
      </c>
      <c r="D134" s="35">
        <v>5.5</v>
      </c>
      <c r="E134" s="35">
        <v>1</v>
      </c>
      <c r="F134" s="35">
        <v>2</v>
      </c>
      <c r="G134" s="35"/>
      <c r="H134" s="36"/>
      <c r="I134" s="36"/>
      <c r="J134" s="36"/>
      <c r="K134" s="36">
        <v>2</v>
      </c>
      <c r="L134" s="36"/>
      <c r="M134" s="37">
        <v>2</v>
      </c>
    </row>
    <row r="135" spans="1:13">
      <c r="A135" s="38"/>
      <c r="B135" s="38"/>
      <c r="C135" s="38"/>
      <c r="D135" s="38"/>
      <c r="E135" s="38"/>
      <c r="F135" s="39">
        <v>1</v>
      </c>
      <c r="G135" s="39"/>
      <c r="J135">
        <v>1</v>
      </c>
      <c r="M135" s="40">
        <v>1</v>
      </c>
    </row>
    <row r="136" spans="1:13">
      <c r="A136" s="38"/>
      <c r="B136" s="38"/>
      <c r="C136" s="38"/>
      <c r="D136" s="38"/>
      <c r="E136" s="35">
        <v>2</v>
      </c>
      <c r="F136" s="35">
        <v>2</v>
      </c>
      <c r="G136" s="35"/>
      <c r="H136" s="36"/>
      <c r="I136" s="36"/>
      <c r="J136" s="36"/>
      <c r="K136" s="36">
        <v>23</v>
      </c>
      <c r="L136" s="36"/>
      <c r="M136" s="37">
        <v>23</v>
      </c>
    </row>
    <row r="137" spans="1:13">
      <c r="A137" s="38"/>
      <c r="B137" s="38"/>
      <c r="C137" s="38"/>
      <c r="D137" s="38"/>
      <c r="E137" s="38"/>
      <c r="F137" s="39">
        <v>1</v>
      </c>
      <c r="G137" s="39"/>
      <c r="J137">
        <v>22</v>
      </c>
      <c r="M137" s="40">
        <v>22</v>
      </c>
    </row>
    <row r="138" spans="1:13">
      <c r="A138" s="38"/>
      <c r="B138" s="38"/>
      <c r="C138" s="38"/>
      <c r="D138" s="38"/>
      <c r="E138" s="35">
        <v>0</v>
      </c>
      <c r="F138" s="35">
        <v>2</v>
      </c>
      <c r="G138" s="35"/>
      <c r="H138" s="36"/>
      <c r="I138" s="36"/>
      <c r="J138" s="36"/>
      <c r="K138" s="36">
        <v>2</v>
      </c>
      <c r="L138" s="36"/>
      <c r="M138" s="37">
        <v>2</v>
      </c>
    </row>
    <row r="139" spans="1:13">
      <c r="A139" s="38"/>
      <c r="B139" s="38"/>
      <c r="C139" s="38"/>
      <c r="D139" s="38"/>
      <c r="E139" s="38"/>
      <c r="F139" s="39">
        <v>1</v>
      </c>
      <c r="G139" s="39"/>
      <c r="J139">
        <v>1</v>
      </c>
      <c r="M139" s="40">
        <v>1</v>
      </c>
    </row>
    <row r="140" spans="1:13">
      <c r="A140" s="38"/>
      <c r="B140" s="38"/>
      <c r="C140" s="38"/>
      <c r="D140" s="35">
        <v>7.5</v>
      </c>
      <c r="E140" s="35">
        <v>1</v>
      </c>
      <c r="F140" s="35">
        <v>2</v>
      </c>
      <c r="G140" s="35"/>
      <c r="H140" s="36"/>
      <c r="I140" s="36"/>
      <c r="J140" s="36"/>
      <c r="K140" s="36"/>
      <c r="L140" s="36">
        <v>3</v>
      </c>
      <c r="M140" s="37">
        <v>3</v>
      </c>
    </row>
    <row r="141" spans="1:13">
      <c r="A141" s="38"/>
      <c r="B141" s="38"/>
      <c r="C141" s="38"/>
      <c r="D141" s="38"/>
      <c r="E141" s="38"/>
      <c r="F141" s="39">
        <v>1</v>
      </c>
      <c r="G141" s="39"/>
      <c r="I141">
        <v>1</v>
      </c>
      <c r="M141" s="40">
        <v>1</v>
      </c>
    </row>
    <row r="142" spans="1:13">
      <c r="A142" s="38"/>
      <c r="B142" s="38"/>
      <c r="C142" s="38"/>
      <c r="D142" s="38"/>
      <c r="E142" s="35">
        <v>2</v>
      </c>
      <c r="F142" s="35">
        <v>2</v>
      </c>
      <c r="G142" s="35"/>
      <c r="H142" s="36"/>
      <c r="I142" s="36"/>
      <c r="J142" s="36"/>
      <c r="K142" s="36"/>
      <c r="L142" s="36">
        <v>22</v>
      </c>
      <c r="M142" s="37">
        <v>22</v>
      </c>
    </row>
    <row r="143" spans="1:13">
      <c r="A143" s="38"/>
      <c r="B143" s="38"/>
      <c r="C143" s="38"/>
      <c r="D143" s="38"/>
      <c r="E143" s="38"/>
      <c r="F143" s="39">
        <v>1</v>
      </c>
      <c r="G143" s="39"/>
      <c r="I143">
        <v>23</v>
      </c>
      <c r="M143" s="40">
        <v>23</v>
      </c>
    </row>
    <row r="144" spans="1:13">
      <c r="A144" s="38"/>
      <c r="B144" s="38"/>
      <c r="C144" s="38"/>
      <c r="D144" s="38"/>
      <c r="E144" s="35">
        <v>0</v>
      </c>
      <c r="F144" s="35">
        <v>1</v>
      </c>
      <c r="G144" s="35"/>
      <c r="H144" s="36"/>
      <c r="I144" s="36">
        <v>2</v>
      </c>
      <c r="J144" s="36"/>
      <c r="K144" s="36"/>
      <c r="L144" s="36"/>
      <c r="M144" s="37">
        <v>2</v>
      </c>
    </row>
    <row r="145" spans="1:13">
      <c r="A145" s="38"/>
      <c r="B145" s="38"/>
      <c r="C145" s="38"/>
      <c r="D145" s="38"/>
      <c r="E145" s="38"/>
      <c r="F145" s="39">
        <v>0</v>
      </c>
      <c r="G145" s="39"/>
      <c r="L145">
        <v>4</v>
      </c>
      <c r="M145" s="40">
        <v>4</v>
      </c>
    </row>
    <row r="146" spans="1:13">
      <c r="A146" s="35" t="s">
        <v>39</v>
      </c>
      <c r="B146" s="35" t="s">
        <v>359</v>
      </c>
      <c r="C146" s="35" t="s">
        <v>14</v>
      </c>
      <c r="D146" s="35">
        <v>6.5</v>
      </c>
      <c r="E146" s="35">
        <v>1</v>
      </c>
      <c r="F146" s="35">
        <v>2</v>
      </c>
      <c r="G146" s="35"/>
      <c r="H146" s="36"/>
      <c r="I146" s="36"/>
      <c r="J146" s="36"/>
      <c r="K146" s="36">
        <v>3</v>
      </c>
      <c r="L146" s="36"/>
      <c r="M146" s="37">
        <v>3</v>
      </c>
    </row>
    <row r="147" spans="1:13">
      <c r="A147" s="38"/>
      <c r="B147" s="38"/>
      <c r="C147" s="38"/>
      <c r="D147" s="38"/>
      <c r="E147" s="38"/>
      <c r="F147" s="39">
        <v>1</v>
      </c>
      <c r="G147" s="39"/>
      <c r="J147">
        <v>1</v>
      </c>
      <c r="M147" s="40">
        <v>1</v>
      </c>
    </row>
    <row r="148" spans="1:13">
      <c r="A148" s="38"/>
      <c r="B148" s="38"/>
      <c r="C148" s="38"/>
      <c r="D148" s="38"/>
      <c r="E148" s="35">
        <v>2</v>
      </c>
      <c r="F148" s="35">
        <v>2</v>
      </c>
      <c r="G148" s="35"/>
      <c r="H148" s="36"/>
      <c r="I148" s="36"/>
      <c r="J148" s="36"/>
      <c r="K148" s="36">
        <v>21</v>
      </c>
      <c r="L148" s="36"/>
      <c r="M148" s="37">
        <v>21</v>
      </c>
    </row>
    <row r="149" spans="1:13">
      <c r="A149" s="38"/>
      <c r="B149" s="38"/>
      <c r="C149" s="38"/>
      <c r="D149" s="38"/>
      <c r="E149" s="38"/>
      <c r="F149" s="39">
        <v>1</v>
      </c>
      <c r="G149" s="39"/>
      <c r="J149">
        <v>22</v>
      </c>
      <c r="M149" s="40">
        <v>22</v>
      </c>
    </row>
    <row r="150" spans="1:13">
      <c r="A150" s="38"/>
      <c r="B150" s="38"/>
      <c r="C150" s="38"/>
      <c r="D150" s="38"/>
      <c r="E150" s="35">
        <v>0</v>
      </c>
      <c r="F150" s="35">
        <v>1</v>
      </c>
      <c r="G150" s="35"/>
      <c r="H150" s="36"/>
      <c r="I150" s="36"/>
      <c r="J150" s="36">
        <v>2</v>
      </c>
      <c r="K150" s="36"/>
      <c r="L150" s="36"/>
      <c r="M150" s="37">
        <v>2</v>
      </c>
    </row>
    <row r="151" spans="1:13">
      <c r="A151" s="38"/>
      <c r="B151" s="38"/>
      <c r="C151" s="38"/>
      <c r="D151" s="35">
        <v>9</v>
      </c>
      <c r="E151" s="35">
        <v>1</v>
      </c>
      <c r="F151" s="35">
        <v>2</v>
      </c>
      <c r="G151" s="35"/>
      <c r="H151" s="36"/>
      <c r="I151" s="36"/>
      <c r="J151" s="36"/>
      <c r="K151" s="36"/>
      <c r="L151" s="36">
        <v>2</v>
      </c>
      <c r="M151" s="37">
        <v>2</v>
      </c>
    </row>
    <row r="152" spans="1:13">
      <c r="A152" s="38"/>
      <c r="B152" s="38"/>
      <c r="C152" s="38"/>
      <c r="D152" s="38"/>
      <c r="E152" s="38"/>
      <c r="F152" s="39">
        <v>1</v>
      </c>
      <c r="G152" s="39"/>
      <c r="I152">
        <v>1</v>
      </c>
      <c r="M152" s="40">
        <v>1</v>
      </c>
    </row>
    <row r="153" spans="1:13">
      <c r="A153" s="38"/>
      <c r="B153" s="38"/>
      <c r="C153" s="38"/>
      <c r="D153" s="38"/>
      <c r="E153" s="35">
        <v>2</v>
      </c>
      <c r="F153" s="35">
        <v>2</v>
      </c>
      <c r="G153" s="35"/>
      <c r="H153" s="36"/>
      <c r="I153" s="36"/>
      <c r="J153" s="36"/>
      <c r="K153" s="36"/>
      <c r="L153" s="36">
        <v>28</v>
      </c>
      <c r="M153" s="37">
        <v>28</v>
      </c>
    </row>
    <row r="154" spans="1:13">
      <c r="A154" s="38"/>
      <c r="B154" s="38"/>
      <c r="C154" s="38"/>
      <c r="D154" s="38"/>
      <c r="E154" s="38"/>
      <c r="F154" s="39">
        <v>1</v>
      </c>
      <c r="G154" s="39"/>
      <c r="I154">
        <v>25</v>
      </c>
      <c r="M154" s="40">
        <v>25</v>
      </c>
    </row>
    <row r="155" spans="1:13">
      <c r="A155" s="38"/>
      <c r="B155" s="38"/>
      <c r="C155" s="38"/>
      <c r="D155" s="38"/>
      <c r="E155" s="35">
        <v>0</v>
      </c>
      <c r="F155" s="35">
        <v>1</v>
      </c>
      <c r="G155" s="35"/>
      <c r="H155" s="36"/>
      <c r="I155" s="36">
        <v>2</v>
      </c>
      <c r="J155" s="36"/>
      <c r="K155" s="36"/>
      <c r="L155" s="36"/>
      <c r="M155" s="37">
        <v>2</v>
      </c>
    </row>
    <row r="156" spans="1:13">
      <c r="A156" s="35" t="s">
        <v>35</v>
      </c>
      <c r="B156" s="35" t="s">
        <v>382</v>
      </c>
      <c r="C156" s="35" t="s">
        <v>12</v>
      </c>
      <c r="D156" s="35">
        <v>5.5</v>
      </c>
      <c r="E156" s="35">
        <v>1</v>
      </c>
      <c r="F156" s="35">
        <v>2</v>
      </c>
      <c r="G156" s="35"/>
      <c r="H156" s="36"/>
      <c r="I156" s="36"/>
      <c r="J156" s="36"/>
      <c r="K156" s="36">
        <v>8</v>
      </c>
      <c r="L156" s="36"/>
      <c r="M156" s="37">
        <v>8</v>
      </c>
    </row>
    <row r="157" spans="1:13">
      <c r="A157" s="38"/>
      <c r="B157" s="38"/>
      <c r="C157" s="38"/>
      <c r="D157" s="38"/>
      <c r="E157" s="38"/>
      <c r="F157" s="39">
        <v>1</v>
      </c>
      <c r="G157" s="39"/>
      <c r="J157">
        <v>6</v>
      </c>
      <c r="M157" s="40">
        <v>6</v>
      </c>
    </row>
    <row r="158" spans="1:13">
      <c r="A158" s="38"/>
      <c r="B158" s="38"/>
      <c r="C158" s="38"/>
      <c r="D158" s="38"/>
      <c r="E158" s="35">
        <v>2</v>
      </c>
      <c r="F158" s="35">
        <v>2</v>
      </c>
      <c r="G158" s="35"/>
      <c r="H158" s="36"/>
      <c r="I158" s="36"/>
      <c r="J158" s="36"/>
      <c r="K158" s="36">
        <v>24</v>
      </c>
      <c r="L158" s="36"/>
      <c r="M158" s="37">
        <v>24</v>
      </c>
    </row>
    <row r="159" spans="1:13">
      <c r="A159" s="38"/>
      <c r="B159" s="38"/>
      <c r="C159" s="38"/>
      <c r="D159" s="38"/>
      <c r="E159" s="38"/>
      <c r="F159" s="39">
        <v>1</v>
      </c>
      <c r="G159" s="39"/>
      <c r="J159">
        <v>26</v>
      </c>
      <c r="M159" s="40">
        <v>26</v>
      </c>
    </row>
    <row r="160" spans="1:13">
      <c r="A160" s="38"/>
      <c r="B160" s="38"/>
      <c r="C160" s="38"/>
      <c r="D160" s="38"/>
      <c r="E160" s="35">
        <v>0</v>
      </c>
      <c r="F160" s="35">
        <v>1</v>
      </c>
      <c r="G160" s="35"/>
      <c r="H160" s="36"/>
      <c r="I160" s="36"/>
      <c r="J160" s="36">
        <v>1</v>
      </c>
      <c r="K160" s="36"/>
      <c r="L160" s="36"/>
      <c r="M160" s="37">
        <v>1</v>
      </c>
    </row>
    <row r="161" spans="1:13">
      <c r="A161" s="38"/>
      <c r="B161" s="38"/>
      <c r="C161" s="38"/>
      <c r="D161" s="35">
        <v>5.7</v>
      </c>
      <c r="E161" s="35">
        <v>1</v>
      </c>
      <c r="F161" s="35">
        <v>2</v>
      </c>
      <c r="G161" s="35"/>
      <c r="H161" s="36"/>
      <c r="I161" s="36"/>
      <c r="J161" s="36"/>
      <c r="K161" s="36"/>
      <c r="L161" s="36">
        <v>6</v>
      </c>
      <c r="M161" s="37">
        <v>6</v>
      </c>
    </row>
    <row r="162" spans="1:13">
      <c r="A162" s="38"/>
      <c r="B162" s="38"/>
      <c r="C162" s="38"/>
      <c r="D162" s="38"/>
      <c r="E162" s="38"/>
      <c r="F162" s="39">
        <v>1</v>
      </c>
      <c r="G162" s="39"/>
      <c r="I162">
        <v>6</v>
      </c>
      <c r="M162" s="40">
        <v>6</v>
      </c>
    </row>
    <row r="163" spans="1:13">
      <c r="A163" s="38"/>
      <c r="B163" s="38"/>
      <c r="C163" s="38"/>
      <c r="D163" s="38"/>
      <c r="E163" s="35">
        <v>2</v>
      </c>
      <c r="F163" s="35">
        <v>2</v>
      </c>
      <c r="G163" s="35"/>
      <c r="H163" s="36"/>
      <c r="I163" s="36"/>
      <c r="J163" s="36"/>
      <c r="K163" s="36"/>
      <c r="L163" s="36">
        <v>25</v>
      </c>
      <c r="M163" s="37">
        <v>25</v>
      </c>
    </row>
    <row r="164" spans="1:13">
      <c r="A164" s="38"/>
      <c r="B164" s="38"/>
      <c r="C164" s="38"/>
      <c r="D164" s="38"/>
      <c r="E164" s="38"/>
      <c r="F164" s="39">
        <v>1</v>
      </c>
      <c r="G164" s="39"/>
      <c r="I164">
        <v>20</v>
      </c>
      <c r="M164" s="40">
        <v>20</v>
      </c>
    </row>
    <row r="165" spans="1:13">
      <c r="A165" s="38"/>
      <c r="B165" s="38"/>
      <c r="C165" s="38"/>
      <c r="D165" s="38"/>
      <c r="E165" s="35">
        <v>0</v>
      </c>
      <c r="F165" s="35">
        <v>2</v>
      </c>
      <c r="G165" s="35"/>
      <c r="H165" s="36"/>
      <c r="I165" s="36"/>
      <c r="J165" s="36"/>
      <c r="K165" s="36"/>
      <c r="L165" s="36">
        <v>1</v>
      </c>
      <c r="M165" s="37">
        <v>1</v>
      </c>
    </row>
    <row r="166" spans="1:13">
      <c r="A166" s="38"/>
      <c r="B166" s="38"/>
      <c r="C166" s="38"/>
      <c r="D166" s="38"/>
      <c r="E166" s="38"/>
      <c r="F166" s="39">
        <v>1</v>
      </c>
      <c r="G166" s="39"/>
      <c r="I166">
        <v>6</v>
      </c>
      <c r="M166" s="40">
        <v>6</v>
      </c>
    </row>
    <row r="167" spans="1:13">
      <c r="A167" s="38"/>
      <c r="B167" s="38"/>
      <c r="C167" s="38"/>
      <c r="D167" s="38"/>
      <c r="E167" s="38"/>
      <c r="F167" s="39">
        <v>0</v>
      </c>
      <c r="G167" s="39"/>
      <c r="L167">
        <v>1</v>
      </c>
      <c r="M167" s="40">
        <v>1</v>
      </c>
    </row>
    <row r="168" spans="1:13">
      <c r="A168" s="35" t="s">
        <v>37</v>
      </c>
      <c r="B168" s="35" t="s">
        <v>404</v>
      </c>
      <c r="C168" s="35" t="s">
        <v>13</v>
      </c>
      <c r="D168" s="35">
        <v>7</v>
      </c>
      <c r="E168" s="35">
        <v>1</v>
      </c>
      <c r="F168" s="35">
        <v>2</v>
      </c>
      <c r="G168" s="35"/>
      <c r="H168" s="36"/>
      <c r="I168" s="36"/>
      <c r="J168" s="36"/>
      <c r="K168" s="36">
        <v>3</v>
      </c>
      <c r="L168" s="36"/>
      <c r="M168" s="37">
        <v>3</v>
      </c>
    </row>
    <row r="169" spans="1:13">
      <c r="A169" s="38"/>
      <c r="B169" s="38"/>
      <c r="C169" s="38"/>
      <c r="D169" s="38"/>
      <c r="E169" s="38"/>
      <c r="F169" s="39">
        <v>1</v>
      </c>
      <c r="G169" s="39"/>
      <c r="J169">
        <v>2</v>
      </c>
      <c r="M169" s="40">
        <v>2</v>
      </c>
    </row>
    <row r="170" spans="1:13">
      <c r="A170" s="38"/>
      <c r="B170" s="38"/>
      <c r="C170" s="38"/>
      <c r="D170" s="38"/>
      <c r="E170" s="35">
        <v>2</v>
      </c>
      <c r="F170" s="35">
        <v>2</v>
      </c>
      <c r="G170" s="35"/>
      <c r="H170" s="36"/>
      <c r="I170" s="36"/>
      <c r="J170" s="36"/>
      <c r="K170" s="36">
        <v>29</v>
      </c>
      <c r="L170" s="36"/>
      <c r="M170" s="37">
        <v>29</v>
      </c>
    </row>
    <row r="171" spans="1:13">
      <c r="A171" s="38"/>
      <c r="B171" s="38"/>
      <c r="C171" s="38"/>
      <c r="D171" s="38"/>
      <c r="E171" s="38"/>
      <c r="F171" s="39">
        <v>1</v>
      </c>
      <c r="G171" s="39"/>
      <c r="J171">
        <v>28</v>
      </c>
      <c r="M171" s="40">
        <v>28</v>
      </c>
    </row>
    <row r="172" spans="1:13">
      <c r="A172" s="38"/>
      <c r="B172" s="38"/>
      <c r="C172" s="38"/>
      <c r="D172" s="38"/>
      <c r="E172" s="35">
        <v>0</v>
      </c>
      <c r="F172" s="35">
        <v>1</v>
      </c>
      <c r="G172" s="35"/>
      <c r="H172" s="36"/>
      <c r="I172" s="36"/>
      <c r="J172" s="36">
        <v>1</v>
      </c>
      <c r="K172" s="36"/>
      <c r="L172" s="36"/>
      <c r="M172" s="37">
        <v>1</v>
      </c>
    </row>
    <row r="173" spans="1:13">
      <c r="A173" s="38"/>
      <c r="B173" s="38"/>
      <c r="C173" s="38"/>
      <c r="D173" s="35">
        <v>9</v>
      </c>
      <c r="E173" s="35">
        <v>1</v>
      </c>
      <c r="F173" s="35">
        <v>2</v>
      </c>
      <c r="G173" s="35"/>
      <c r="H173" s="36"/>
      <c r="I173" s="36"/>
      <c r="J173" s="36"/>
      <c r="K173" s="36"/>
      <c r="L173" s="36">
        <v>3</v>
      </c>
      <c r="M173" s="37">
        <v>3</v>
      </c>
    </row>
    <row r="174" spans="1:13">
      <c r="A174" s="38"/>
      <c r="B174" s="38"/>
      <c r="C174" s="38"/>
      <c r="D174" s="38"/>
      <c r="E174" s="38"/>
      <c r="F174" s="39">
        <v>1</v>
      </c>
      <c r="G174" s="39"/>
      <c r="I174">
        <v>2</v>
      </c>
      <c r="M174" s="40">
        <v>2</v>
      </c>
    </row>
    <row r="175" spans="1:13">
      <c r="A175" s="38"/>
      <c r="B175" s="38"/>
      <c r="C175" s="38"/>
      <c r="D175" s="38"/>
      <c r="E175" s="35">
        <v>2</v>
      </c>
      <c r="F175" s="35">
        <v>2</v>
      </c>
      <c r="G175" s="35"/>
      <c r="H175" s="36"/>
      <c r="I175" s="36"/>
      <c r="J175" s="36"/>
      <c r="K175" s="36"/>
      <c r="L175" s="36">
        <v>22</v>
      </c>
      <c r="M175" s="37">
        <v>22</v>
      </c>
    </row>
    <row r="176" spans="1:13">
      <c r="A176" s="38"/>
      <c r="B176" s="38"/>
      <c r="C176" s="38"/>
      <c r="D176" s="38"/>
      <c r="E176" s="38"/>
      <c r="F176" s="39">
        <v>1</v>
      </c>
      <c r="G176" s="39"/>
      <c r="I176">
        <v>25</v>
      </c>
      <c r="M176" s="40">
        <v>25</v>
      </c>
    </row>
    <row r="177" spans="1:13">
      <c r="A177" s="38"/>
      <c r="B177" s="38"/>
      <c r="C177" s="38"/>
      <c r="D177" s="38"/>
      <c r="E177" s="35">
        <v>0</v>
      </c>
      <c r="F177" s="35">
        <v>1</v>
      </c>
      <c r="G177" s="35"/>
      <c r="H177" s="36"/>
      <c r="I177" s="36">
        <v>1</v>
      </c>
      <c r="J177" s="36"/>
      <c r="K177" s="36"/>
      <c r="L177" s="36"/>
      <c r="M177" s="37">
        <v>1</v>
      </c>
    </row>
    <row r="178" spans="1:13">
      <c r="A178" s="38"/>
      <c r="B178" s="38"/>
      <c r="C178" s="38"/>
      <c r="D178" s="38"/>
      <c r="E178" s="38"/>
      <c r="F178" s="39">
        <v>0</v>
      </c>
      <c r="G178" s="39"/>
      <c r="L178">
        <v>4</v>
      </c>
      <c r="M178" s="40">
        <v>4</v>
      </c>
    </row>
    <row r="179" spans="1:13">
      <c r="A179" s="41" t="s">
        <v>19</v>
      </c>
      <c r="B179" s="42"/>
      <c r="C179" s="42"/>
      <c r="D179" s="42"/>
      <c r="E179" s="42"/>
      <c r="F179" s="42"/>
      <c r="G179" s="41">
        <v>1</v>
      </c>
      <c r="H179" s="43">
        <v>431</v>
      </c>
      <c r="I179" s="43">
        <v>300</v>
      </c>
      <c r="J179" s="43">
        <v>192</v>
      </c>
      <c r="K179" s="43">
        <v>219</v>
      </c>
      <c r="L179" s="43">
        <v>556</v>
      </c>
      <c r="M179" s="44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DATA</vt:lpstr>
      <vt:lpstr>M1</vt:lpstr>
      <vt:lpstr>M2</vt:lpstr>
      <vt:lpstr>SITES</vt:lpstr>
      <vt:lpstr>NOTES</vt:lpstr>
      <vt:lpstr>CRYPTIC FAMILIES</vt:lpstr>
      <vt:lpstr>DIVERS</vt:lpstr>
      <vt:lpstr>Pivot data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Brook</dc:creator>
  <cp:keywords/>
  <dc:description/>
  <cp:lastModifiedBy>Alec Jones</cp:lastModifiedBy>
  <cp:revision/>
  <dcterms:created xsi:type="dcterms:W3CDTF">2007-10-13T13:23:35Z</dcterms:created>
  <dcterms:modified xsi:type="dcterms:W3CDTF">2024-10-16T21:08:10Z</dcterms:modified>
  <cp:category/>
  <cp:contentStatus/>
</cp:coreProperties>
</file>