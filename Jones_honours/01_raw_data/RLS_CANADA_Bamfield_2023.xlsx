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D2C43952-CBED-8C41-AA8D-3839753F9C6F}" xr6:coauthVersionLast="47" xr6:coauthVersionMax="47" xr10:uidLastSave="{00000000-0000-0000-0000-000000000000}"/>
  <bookViews>
    <workbookView xWindow="0" yWindow="500" windowWidth="28800" windowHeight="15840" activeTab="7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88" r:id="rId10"/>
    <pivotCache cacheId="89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R590" i="6"/>
  <c r="Q590" i="6" l="1"/>
  <c r="J102" i="6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642" i="6" s="1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N540" i="6" s="1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J641" i="6" l="1"/>
  <c r="Q539" i="6"/>
  <c r="N103" i="6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 s="1"/>
  <c r="A5" i="6" s="1"/>
  <c r="A6" i="6" l="1"/>
  <c r="A7" i="6" l="1"/>
  <c r="A8" i="6" s="1"/>
  <c r="A9" i="6" s="1"/>
  <c r="A10" i="6" l="1"/>
  <c r="A11" i="6" l="1"/>
  <c r="A12" i="6" s="1"/>
  <c r="A13" i="6" l="1"/>
  <c r="A14" i="6"/>
  <c r="A15" i="6" l="1"/>
  <c r="A16" i="6"/>
  <c r="A17" i="6" l="1"/>
  <c r="A18" i="6" s="1"/>
  <c r="A19" i="6" s="1"/>
  <c r="A20" i="6" l="1"/>
  <c r="A21" i="6" l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A1454" i="6" s="1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<sst xmlns="http://schemas.openxmlformats.org/spreadsheetml/2006/main" count="14017" uniqueCount="1989">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</sst>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88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89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680"/>
  <sheetViews>
    <sheetView zoomScale="110" workbookViewId="0">
      <pane xSplit="17" ySplit="2" topLeftCell="R1465" activePane="bottomRight" state="frozen"/>
      <selection pane="topRight" activeCell="J1" sqref="J1"/>
      <selection pane="bottomLeft" activeCell="A3" sqref="A3"/>
      <selection pane="bottomRight" activeCell="D1" sqref="D1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>
      <c r="A101" s="7">
        <f>MAX($A$1:$A100)+1</f>
        <v>100</v>
      </c>
      <c r="B101" s="2" t="str">
        <f t="shared" ref="B101:B127" si="1">IF(ISERROR(B100),IF(ISERROR(B99),IF(ISERROR(B98),"BLANK",B98),B99),B100)</f>
        <v>Em Lim</v>
      </c>
      <c r="C101" s="2" t="str">
        <f t="shared" ref="C101:C127" si="2"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 t="shared" ref="L101:L127" si="3"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 t="shared" ref="S101:S127" si="4"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>
      <c r="A102" s="7">
        <f>MAX($A$1:$A101)+1</f>
        <v>101</v>
      </c>
      <c r="B102" s="2" t="str">
        <f t="shared" si="1"/>
        <v>Em Lim</v>
      </c>
      <c r="C102" s="2" t="str">
        <f t="shared" si="2"/>
        <v>Isabelle Côté</v>
      </c>
      <c r="D102" s="2" t="str">
        <f t="shared" ref="D102:D127" si="5"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 t="shared" ref="H102:H127" si="6">IF(ISERROR(H101),IF(ISERROR(H100),IF(ISERROR(H99),"BLANK",H99),H100),H101)</f>
        <v>09/05/2023</v>
      </c>
      <c r="I102" s="2">
        <f t="shared" ref="I102:I127" si="7">IF(ISERROR(I101),IF(ISERROR(I100),IF(ISERROR(I99),"BLANK",I99),I100),I101)</f>
        <v>1.5</v>
      </c>
      <c r="J102" s="2">
        <f t="shared" ref="J102:J127" si="8">IF(ISERROR(J101),IF(ISERROR(J100),IF(ISERROR(J99),"BLANK",J99),J100),J101)</f>
        <v>270</v>
      </c>
      <c r="K102" s="6">
        <f t="shared" ref="K102:K127" si="9">IF(ISERROR(K101),IF(ISERROR(K100),IF(ISERROR(K99),"BLANK",K99),K100),K101)</f>
        <v>0.43263888888888885</v>
      </c>
      <c r="L102" s="2" t="str">
        <f t="shared" si="3"/>
        <v>EGL</v>
      </c>
      <c r="M102" s="2">
        <f t="shared" ref="M102:O104" si="10">IF(ISERROR(M101),IF(ISERROR(M100),IF(ISERROR(M99),"BLANK",M99),M100),M101)</f>
        <v>4</v>
      </c>
      <c r="N102" s="2">
        <f t="shared" si="10"/>
        <v>1</v>
      </c>
      <c r="O102" s="2">
        <f t="shared" si="10"/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 t="shared" si="4"/>
        <v>9</v>
      </c>
      <c r="T102" s="2">
        <v>0</v>
      </c>
      <c r="U102" s="2">
        <v>9</v>
      </c>
    </row>
    <row r="103" spans="1:28">
      <c r="A103" s="7">
        <f>MAX($A$1:$A102)+1</f>
        <v>102</v>
      </c>
      <c r="B103" s="2" t="str">
        <f t="shared" si="1"/>
        <v>Em Lim</v>
      </c>
      <c r="C103" s="2" t="str">
        <f t="shared" si="2"/>
        <v>Isabelle Côté</v>
      </c>
      <c r="D103" s="2" t="str">
        <f t="shared" si="5"/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 t="shared" si="6"/>
        <v>09/05/2023</v>
      </c>
      <c r="I103" s="2">
        <f t="shared" si="7"/>
        <v>1.5</v>
      </c>
      <c r="J103" s="2">
        <f t="shared" si="8"/>
        <v>270</v>
      </c>
      <c r="K103" s="6">
        <f t="shared" si="9"/>
        <v>0.43263888888888885</v>
      </c>
      <c r="L103" s="2" t="str">
        <f t="shared" si="3"/>
        <v>EGL</v>
      </c>
      <c r="M103" s="2">
        <f t="shared" si="10"/>
        <v>4</v>
      </c>
      <c r="N103" s="2">
        <f t="shared" si="10"/>
        <v>1</v>
      </c>
      <c r="O103" s="2">
        <f t="shared" si="10"/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 t="shared" si="4"/>
        <v>3</v>
      </c>
      <c r="T103" s="2">
        <v>0</v>
      </c>
      <c r="U103" s="2">
        <v>1</v>
      </c>
      <c r="V103" s="2">
        <v>2</v>
      </c>
    </row>
    <row r="104" spans="1:28">
      <c r="A104" s="7">
        <f>MAX($A$1:$A103)+1</f>
        <v>103</v>
      </c>
      <c r="B104" s="2" t="str">
        <f t="shared" si="1"/>
        <v>Em Lim</v>
      </c>
      <c r="C104" s="2" t="str">
        <f t="shared" si="2"/>
        <v>Isabelle Côté</v>
      </c>
      <c r="D104" s="2" t="str">
        <f t="shared" si="5"/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 t="shared" si="6"/>
        <v>09/05/2023</v>
      </c>
      <c r="I104" s="2">
        <f t="shared" si="7"/>
        <v>1.5</v>
      </c>
      <c r="J104" s="2">
        <f t="shared" si="8"/>
        <v>270</v>
      </c>
      <c r="K104" s="6">
        <f t="shared" si="9"/>
        <v>0.43263888888888885</v>
      </c>
      <c r="L104" s="2" t="str">
        <f t="shared" si="3"/>
        <v>EGL</v>
      </c>
      <c r="M104" s="2">
        <f t="shared" si="10"/>
        <v>4</v>
      </c>
      <c r="N104" s="2">
        <f t="shared" si="10"/>
        <v>1</v>
      </c>
      <c r="O104" s="2">
        <f t="shared" si="10"/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 t="shared" si="4"/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>
      <c r="A105" s="7">
        <f>MAX($A$1:$A104)+1</f>
        <v>104</v>
      </c>
      <c r="B105" s="2" t="str">
        <f t="shared" si="1"/>
        <v>Em Lim</v>
      </c>
      <c r="C105" s="2" t="str">
        <f t="shared" si="2"/>
        <v>Isabelle Côté</v>
      </c>
      <c r="D105" s="2" t="str">
        <f t="shared" si="5"/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 t="shared" si="6"/>
        <v>09/05/2023</v>
      </c>
      <c r="I105" s="2">
        <f t="shared" si="7"/>
        <v>1.5</v>
      </c>
      <c r="J105" s="2">
        <f t="shared" si="8"/>
        <v>270</v>
      </c>
      <c r="K105" s="6">
        <f t="shared" si="9"/>
        <v>0.43263888888888885</v>
      </c>
      <c r="L105" s="2" t="str">
        <f t="shared" si="3"/>
        <v>EGL</v>
      </c>
      <c r="M105" s="2">
        <f t="shared" ref="M105:M127" si="11">IF(ISERROR(M104),IF(ISERROR(M103),IF(ISERROR(M102),"BLANK",M102),M103),M104)</f>
        <v>4</v>
      </c>
      <c r="N105" s="2">
        <v>2</v>
      </c>
      <c r="O105" s="2">
        <f t="shared" ref="O105:O125" si="12"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 t="shared" si="4"/>
        <v>91</v>
      </c>
      <c r="T105" s="2">
        <v>91</v>
      </c>
    </row>
    <row r="106" spans="1:28">
      <c r="A106" s="7">
        <f>MAX($A$1:$A105)+1</f>
        <v>105</v>
      </c>
      <c r="B106" s="2" t="str">
        <f t="shared" si="1"/>
        <v>Em Lim</v>
      </c>
      <c r="C106" s="2" t="str">
        <f t="shared" si="2"/>
        <v>Isabelle Côté</v>
      </c>
      <c r="D106" s="2" t="str">
        <f t="shared" si="5"/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 t="shared" si="6"/>
        <v>09/05/2023</v>
      </c>
      <c r="I106" s="2">
        <f t="shared" si="7"/>
        <v>1.5</v>
      </c>
      <c r="J106" s="2">
        <f t="shared" si="8"/>
        <v>270</v>
      </c>
      <c r="K106" s="6">
        <f t="shared" si="9"/>
        <v>0.43263888888888885</v>
      </c>
      <c r="L106" s="2" t="str">
        <f t="shared" si="3"/>
        <v>EGL</v>
      </c>
      <c r="M106" s="2">
        <f t="shared" si="11"/>
        <v>4</v>
      </c>
      <c r="N106" s="2">
        <f t="shared" ref="N106:N112" si="13">IF(ISERROR(N105),IF(ISERROR(N104),IF(ISERROR(N103),"BLANK",N103),N104),N105)</f>
        <v>2</v>
      </c>
      <c r="O106" s="2">
        <f t="shared" si="12"/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 t="shared" si="4"/>
        <v>8</v>
      </c>
      <c r="T106" s="2">
        <v>8</v>
      </c>
    </row>
    <row r="107" spans="1:28">
      <c r="A107" s="7">
        <f>MAX($A$1:$A106)+1</f>
        <v>106</v>
      </c>
      <c r="B107" s="2" t="str">
        <f t="shared" si="1"/>
        <v>Em Lim</v>
      </c>
      <c r="C107" s="2" t="str">
        <f t="shared" si="2"/>
        <v>Isabelle Côté</v>
      </c>
      <c r="D107" s="2" t="str">
        <f t="shared" si="5"/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 t="shared" si="6"/>
        <v>09/05/2023</v>
      </c>
      <c r="I107" s="2">
        <f t="shared" si="7"/>
        <v>1.5</v>
      </c>
      <c r="J107" s="2">
        <f t="shared" si="8"/>
        <v>270</v>
      </c>
      <c r="K107" s="6">
        <f t="shared" si="9"/>
        <v>0.43263888888888885</v>
      </c>
      <c r="L107" s="2" t="str">
        <f t="shared" si="3"/>
        <v>EGL</v>
      </c>
      <c r="M107" s="2">
        <f t="shared" si="11"/>
        <v>4</v>
      </c>
      <c r="N107" s="2">
        <f t="shared" si="13"/>
        <v>2</v>
      </c>
      <c r="O107" s="2">
        <f t="shared" si="12"/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 t="shared" si="4"/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>
      <c r="A108" s="7">
        <f>MAX($A$1:$A107)+1</f>
        <v>107</v>
      </c>
      <c r="B108" s="2" t="str">
        <f t="shared" si="1"/>
        <v>Em Lim</v>
      </c>
      <c r="C108" s="2" t="str">
        <f t="shared" si="2"/>
        <v>Isabelle Côté</v>
      </c>
      <c r="D108" s="2" t="str">
        <f t="shared" si="5"/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 t="shared" si="6"/>
        <v>09/05/2023</v>
      </c>
      <c r="I108" s="2">
        <f t="shared" si="7"/>
        <v>1.5</v>
      </c>
      <c r="J108" s="2">
        <f t="shared" si="8"/>
        <v>270</v>
      </c>
      <c r="K108" s="6">
        <f t="shared" si="9"/>
        <v>0.43263888888888885</v>
      </c>
      <c r="L108" s="2" t="str">
        <f t="shared" si="3"/>
        <v>EGL</v>
      </c>
      <c r="M108" s="2">
        <f t="shared" si="11"/>
        <v>4</v>
      </c>
      <c r="N108" s="2">
        <f t="shared" si="13"/>
        <v>2</v>
      </c>
      <c r="O108" s="2">
        <f t="shared" si="12"/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 t="shared" si="4"/>
        <v>6</v>
      </c>
      <c r="T108" s="2">
        <v>6</v>
      </c>
    </row>
    <row r="109" spans="1:28">
      <c r="A109" s="7">
        <f>MAX($A$1:$A108)+1</f>
        <v>108</v>
      </c>
      <c r="B109" s="2" t="str">
        <f t="shared" si="1"/>
        <v>Em Lim</v>
      </c>
      <c r="C109" s="2" t="str">
        <f t="shared" si="2"/>
        <v>Isabelle Côté</v>
      </c>
      <c r="D109" s="2" t="str">
        <f t="shared" si="5"/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 t="shared" si="6"/>
        <v>09/05/2023</v>
      </c>
      <c r="I109" s="2">
        <f t="shared" si="7"/>
        <v>1.5</v>
      </c>
      <c r="J109" s="2">
        <f t="shared" si="8"/>
        <v>270</v>
      </c>
      <c r="K109" s="6">
        <f t="shared" si="9"/>
        <v>0.43263888888888885</v>
      </c>
      <c r="L109" s="2" t="str">
        <f t="shared" si="3"/>
        <v>EGL</v>
      </c>
      <c r="M109" s="2">
        <f t="shared" si="11"/>
        <v>4</v>
      </c>
      <c r="N109" s="2">
        <f t="shared" si="13"/>
        <v>2</v>
      </c>
      <c r="O109" s="2">
        <f t="shared" si="12"/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 t="shared" si="4"/>
        <v>6</v>
      </c>
      <c r="T109" s="2">
        <v>6</v>
      </c>
    </row>
    <row r="110" spans="1:28">
      <c r="A110" s="7">
        <f>MAX($A$1:$A109)+1</f>
        <v>109</v>
      </c>
      <c r="B110" s="2" t="str">
        <f t="shared" si="1"/>
        <v>Em Lim</v>
      </c>
      <c r="C110" s="2" t="str">
        <f t="shared" si="2"/>
        <v>Isabelle Côté</v>
      </c>
      <c r="D110" s="2" t="str">
        <f t="shared" si="5"/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 t="shared" si="6"/>
        <v>09/05/2023</v>
      </c>
      <c r="I110" s="2">
        <f t="shared" si="7"/>
        <v>1.5</v>
      </c>
      <c r="J110" s="2">
        <f t="shared" si="8"/>
        <v>270</v>
      </c>
      <c r="K110" s="6">
        <f t="shared" si="9"/>
        <v>0.43263888888888885</v>
      </c>
      <c r="L110" s="2" t="str">
        <f t="shared" si="3"/>
        <v>EGL</v>
      </c>
      <c r="M110" s="2">
        <f t="shared" si="11"/>
        <v>4</v>
      </c>
      <c r="N110" s="2">
        <f t="shared" si="13"/>
        <v>2</v>
      </c>
      <c r="O110" s="2">
        <f t="shared" si="12"/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 t="shared" si="4"/>
        <v>1</v>
      </c>
      <c r="T110" s="2">
        <v>1</v>
      </c>
    </row>
    <row r="111" spans="1:28">
      <c r="A111" s="7">
        <f>MAX($A$1:$A110)+1</f>
        <v>110</v>
      </c>
      <c r="B111" s="2" t="str">
        <f t="shared" si="1"/>
        <v>Em Lim</v>
      </c>
      <c r="C111" s="2" t="str">
        <f t="shared" si="2"/>
        <v>Isabelle Côté</v>
      </c>
      <c r="D111" s="2" t="str">
        <f t="shared" si="5"/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 t="shared" si="6"/>
        <v>09/05/2023</v>
      </c>
      <c r="I111" s="2">
        <f t="shared" si="7"/>
        <v>1.5</v>
      </c>
      <c r="J111" s="2">
        <f t="shared" si="8"/>
        <v>270</v>
      </c>
      <c r="K111" s="6">
        <f t="shared" si="9"/>
        <v>0.43263888888888885</v>
      </c>
      <c r="L111" s="2" t="str">
        <f t="shared" si="3"/>
        <v>EGL</v>
      </c>
      <c r="M111" s="2">
        <f t="shared" si="11"/>
        <v>4</v>
      </c>
      <c r="N111" s="2">
        <f t="shared" si="13"/>
        <v>2</v>
      </c>
      <c r="O111" s="2">
        <f t="shared" si="12"/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 t="shared" si="4"/>
        <v>50</v>
      </c>
      <c r="T111" s="2">
        <v>50</v>
      </c>
    </row>
    <row r="112" spans="1:28">
      <c r="A112" s="7">
        <f>MAX($A$1:$A111)+1</f>
        <v>111</v>
      </c>
      <c r="B112" s="2" t="str">
        <f t="shared" si="1"/>
        <v>Em Lim</v>
      </c>
      <c r="C112" s="2" t="str">
        <f t="shared" si="2"/>
        <v>Isabelle Côté</v>
      </c>
      <c r="D112" s="2" t="str">
        <f t="shared" si="5"/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 t="shared" si="6"/>
        <v>09/05/2023</v>
      </c>
      <c r="I112" s="2">
        <f t="shared" si="7"/>
        <v>1.5</v>
      </c>
      <c r="J112" s="2">
        <f t="shared" si="8"/>
        <v>270</v>
      </c>
      <c r="K112" s="6">
        <f t="shared" si="9"/>
        <v>0.43263888888888885</v>
      </c>
      <c r="L112" s="2" t="str">
        <f t="shared" si="3"/>
        <v>EGL</v>
      </c>
      <c r="M112" s="2">
        <f t="shared" si="11"/>
        <v>4</v>
      </c>
      <c r="N112" s="2">
        <f t="shared" si="13"/>
        <v>2</v>
      </c>
      <c r="O112" s="2">
        <f t="shared" si="12"/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 t="shared" si="4"/>
        <v>33</v>
      </c>
      <c r="T112" s="2">
        <v>33</v>
      </c>
    </row>
    <row r="113" spans="1:31">
      <c r="A113" s="7">
        <f>MAX($A$1:$A112)+1</f>
        <v>112</v>
      </c>
      <c r="B113" s="2" t="str">
        <f t="shared" si="1"/>
        <v>Em Lim</v>
      </c>
      <c r="C113" s="2" t="str">
        <f t="shared" si="2"/>
        <v>Isabelle Côté</v>
      </c>
      <c r="D113" s="2" t="str">
        <f t="shared" si="5"/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 t="shared" si="6"/>
        <v>09/05/2023</v>
      </c>
      <c r="I113" s="2">
        <f t="shared" si="7"/>
        <v>1.5</v>
      </c>
      <c r="J113" s="2">
        <f t="shared" si="8"/>
        <v>270</v>
      </c>
      <c r="K113" s="6">
        <f t="shared" si="9"/>
        <v>0.43263888888888885</v>
      </c>
      <c r="L113" s="2" t="str">
        <f t="shared" si="3"/>
        <v>EGL</v>
      </c>
      <c r="M113" s="2">
        <f t="shared" si="11"/>
        <v>4</v>
      </c>
      <c r="N113" s="2">
        <v>0</v>
      </c>
      <c r="O113" s="2">
        <f t="shared" si="12"/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 t="shared" si="4"/>
        <v>2</v>
      </c>
      <c r="T113" s="2">
        <v>0</v>
      </c>
      <c r="U113" s="2">
        <v>1</v>
      </c>
      <c r="V113" s="2">
        <v>1</v>
      </c>
    </row>
    <row r="114" spans="1:31">
      <c r="A114" s="7">
        <f>MAX($A$1:$A113)+1</f>
        <v>113</v>
      </c>
      <c r="B114" s="2" t="str">
        <f t="shared" si="1"/>
        <v>Em Lim</v>
      </c>
      <c r="C114" s="2" t="str">
        <f t="shared" si="2"/>
        <v>Isabelle Côté</v>
      </c>
      <c r="D114" s="2" t="str">
        <f t="shared" si="5"/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 t="shared" si="6"/>
        <v>09/05/2023</v>
      </c>
      <c r="I114" s="2">
        <f t="shared" si="7"/>
        <v>1.5</v>
      </c>
      <c r="J114" s="2">
        <f t="shared" si="8"/>
        <v>270</v>
      </c>
      <c r="K114" s="6">
        <f t="shared" si="9"/>
        <v>0.43263888888888885</v>
      </c>
      <c r="L114" s="2" t="str">
        <f t="shared" si="3"/>
        <v>EGL</v>
      </c>
      <c r="M114" s="2">
        <f t="shared" si="11"/>
        <v>4</v>
      </c>
      <c r="N114" s="2">
        <v>2</v>
      </c>
      <c r="O114" s="2">
        <f t="shared" si="12"/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 t="shared" si="4"/>
        <v>1</v>
      </c>
      <c r="T114" s="2">
        <v>1</v>
      </c>
    </row>
    <row r="115" spans="1:31">
      <c r="A115" s="7">
        <f>MAX($A$1:$A114)+1</f>
        <v>114</v>
      </c>
      <c r="B115" s="2" t="str">
        <f t="shared" si="1"/>
        <v>Em Lim</v>
      </c>
      <c r="C115" s="2" t="str">
        <f t="shared" si="2"/>
        <v>Isabelle Côté</v>
      </c>
      <c r="D115" s="2" t="str">
        <f t="shared" si="5"/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 t="shared" si="6"/>
        <v>09/05/2023</v>
      </c>
      <c r="I115" s="2">
        <f t="shared" si="7"/>
        <v>1.5</v>
      </c>
      <c r="J115" s="2">
        <f t="shared" si="8"/>
        <v>270</v>
      </c>
      <c r="K115" s="6">
        <f t="shared" si="9"/>
        <v>0.43263888888888885</v>
      </c>
      <c r="L115" s="2" t="str">
        <f t="shared" si="3"/>
        <v>EGL</v>
      </c>
      <c r="M115" s="2">
        <f t="shared" si="11"/>
        <v>4</v>
      </c>
      <c r="N115" s="2">
        <f t="shared" ref="N115:N124" si="14">IF(ISERROR(N114),IF(ISERROR(N113),IF(ISERROR(N112),"BLANK",N112),N113),N114)</f>
        <v>2</v>
      </c>
      <c r="O115" s="2">
        <f t="shared" si="12"/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 t="shared" si="4"/>
        <v>2</v>
      </c>
      <c r="T115" s="2">
        <v>0</v>
      </c>
      <c r="X115" s="2">
        <v>1</v>
      </c>
      <c r="Y115" s="2">
        <v>1</v>
      </c>
    </row>
    <row r="116" spans="1:31">
      <c r="A116" s="7">
        <f>MAX($A$1:$A115)+1</f>
        <v>115</v>
      </c>
      <c r="B116" s="2" t="str">
        <f t="shared" si="1"/>
        <v>Em Lim</v>
      </c>
      <c r="C116" s="2" t="str">
        <f t="shared" si="2"/>
        <v>Isabelle Côté</v>
      </c>
      <c r="D116" s="2" t="str">
        <f t="shared" si="5"/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 t="shared" si="6"/>
        <v>09/05/2023</v>
      </c>
      <c r="I116" s="2">
        <f t="shared" si="7"/>
        <v>1.5</v>
      </c>
      <c r="J116" s="2">
        <f t="shared" si="8"/>
        <v>270</v>
      </c>
      <c r="K116" s="6">
        <f t="shared" si="9"/>
        <v>0.43263888888888885</v>
      </c>
      <c r="L116" s="2" t="str">
        <f t="shared" si="3"/>
        <v>EGL</v>
      </c>
      <c r="M116" s="2">
        <f t="shared" si="11"/>
        <v>4</v>
      </c>
      <c r="N116" s="2">
        <f t="shared" si="14"/>
        <v>2</v>
      </c>
      <c r="O116" s="2">
        <f t="shared" si="12"/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 t="shared" si="4"/>
        <v>5</v>
      </c>
      <c r="T116" s="2">
        <v>5</v>
      </c>
    </row>
    <row r="117" spans="1:31">
      <c r="A117" s="7">
        <f>MAX($A$1:$A116)+1</f>
        <v>116</v>
      </c>
      <c r="B117" s="2" t="str">
        <f t="shared" si="1"/>
        <v>Em Lim</v>
      </c>
      <c r="C117" s="2" t="str">
        <f t="shared" si="2"/>
        <v>Isabelle Côté</v>
      </c>
      <c r="D117" s="2" t="str">
        <f t="shared" si="5"/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 t="shared" si="6"/>
        <v>09/05/2023</v>
      </c>
      <c r="I117" s="2">
        <f t="shared" si="7"/>
        <v>1.5</v>
      </c>
      <c r="J117" s="2">
        <f t="shared" si="8"/>
        <v>270</v>
      </c>
      <c r="K117" s="6">
        <f t="shared" si="9"/>
        <v>0.43263888888888885</v>
      </c>
      <c r="L117" s="2" t="str">
        <f t="shared" si="3"/>
        <v>EGL</v>
      </c>
      <c r="M117" s="2">
        <f t="shared" si="11"/>
        <v>4</v>
      </c>
      <c r="N117" s="2">
        <f t="shared" si="14"/>
        <v>2</v>
      </c>
      <c r="O117" s="2">
        <f t="shared" si="12"/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 t="shared" si="4"/>
        <v>15</v>
      </c>
      <c r="U117" s="2">
        <v>11</v>
      </c>
      <c r="V117" s="2">
        <v>3</v>
      </c>
      <c r="X117" s="2">
        <v>1</v>
      </c>
    </row>
    <row r="118" spans="1:31">
      <c r="A118" s="7">
        <f>MAX($A$1:$A117)+1</f>
        <v>117</v>
      </c>
      <c r="B118" s="2" t="str">
        <f t="shared" si="1"/>
        <v>Em Lim</v>
      </c>
      <c r="C118" s="2" t="str">
        <f t="shared" si="2"/>
        <v>Isabelle Côté</v>
      </c>
      <c r="D118" s="2" t="str">
        <f t="shared" si="5"/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 t="shared" si="6"/>
        <v>09/05/2023</v>
      </c>
      <c r="I118" s="2">
        <f t="shared" si="7"/>
        <v>1.5</v>
      </c>
      <c r="J118" s="2">
        <f t="shared" si="8"/>
        <v>270</v>
      </c>
      <c r="K118" s="6">
        <f t="shared" si="9"/>
        <v>0.43263888888888885</v>
      </c>
      <c r="L118" s="2" t="str">
        <f t="shared" si="3"/>
        <v>EGL</v>
      </c>
      <c r="M118" s="2">
        <f t="shared" si="11"/>
        <v>4</v>
      </c>
      <c r="N118" s="2">
        <f t="shared" si="14"/>
        <v>2</v>
      </c>
      <c r="O118" s="2">
        <f t="shared" si="12"/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 t="shared" si="4"/>
        <v>2</v>
      </c>
      <c r="T118" s="2">
        <v>2</v>
      </c>
    </row>
    <row r="119" spans="1:31">
      <c r="A119" s="7">
        <f>MAX($A$1:$A118)+1</f>
        <v>118</v>
      </c>
      <c r="B119" s="2" t="str">
        <f t="shared" si="1"/>
        <v>Em Lim</v>
      </c>
      <c r="C119" s="2" t="str">
        <f t="shared" si="2"/>
        <v>Isabelle Côté</v>
      </c>
      <c r="D119" s="2" t="str">
        <f t="shared" si="5"/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 t="shared" si="6"/>
        <v>09/05/2023</v>
      </c>
      <c r="I119" s="2">
        <f t="shared" si="7"/>
        <v>1.5</v>
      </c>
      <c r="J119" s="2">
        <f t="shared" si="8"/>
        <v>270</v>
      </c>
      <c r="K119" s="6">
        <f t="shared" si="9"/>
        <v>0.43263888888888885</v>
      </c>
      <c r="L119" s="2" t="str">
        <f t="shared" si="3"/>
        <v>EGL</v>
      </c>
      <c r="M119" s="2">
        <f t="shared" si="11"/>
        <v>4</v>
      </c>
      <c r="N119" s="2">
        <f t="shared" si="14"/>
        <v>2</v>
      </c>
      <c r="O119" s="2">
        <f t="shared" si="12"/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 t="shared" si="4"/>
        <v>3</v>
      </c>
      <c r="T119" s="2">
        <v>3</v>
      </c>
    </row>
    <row r="120" spans="1:31">
      <c r="A120" s="7">
        <f>MAX($A$1:$A119)+1</f>
        <v>119</v>
      </c>
      <c r="B120" s="2" t="str">
        <f t="shared" si="1"/>
        <v>Em Lim</v>
      </c>
      <c r="C120" s="2" t="str">
        <f t="shared" si="2"/>
        <v>Isabelle Côté</v>
      </c>
      <c r="D120" s="2" t="str">
        <f t="shared" si="5"/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 t="shared" si="6"/>
        <v>09/05/2023</v>
      </c>
      <c r="I120" s="2">
        <f t="shared" si="7"/>
        <v>1.5</v>
      </c>
      <c r="J120" s="2">
        <f t="shared" si="8"/>
        <v>270</v>
      </c>
      <c r="K120" s="6">
        <f t="shared" si="9"/>
        <v>0.43263888888888885</v>
      </c>
      <c r="L120" s="2" t="str">
        <f t="shared" si="3"/>
        <v>EGL</v>
      </c>
      <c r="M120" s="2">
        <f t="shared" si="11"/>
        <v>4</v>
      </c>
      <c r="N120" s="2">
        <f t="shared" si="14"/>
        <v>2</v>
      </c>
      <c r="O120" s="2">
        <f t="shared" si="12"/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 t="shared" si="4"/>
        <v>1</v>
      </c>
      <c r="T120" s="2">
        <v>1</v>
      </c>
    </row>
    <row r="121" spans="1:31">
      <c r="A121" s="7">
        <f>MAX($A$1:$A120)+1</f>
        <v>120</v>
      </c>
      <c r="B121" s="2" t="str">
        <f t="shared" si="1"/>
        <v>Em Lim</v>
      </c>
      <c r="C121" s="2" t="str">
        <f t="shared" si="2"/>
        <v>Isabelle Côté</v>
      </c>
      <c r="D121" s="2" t="str">
        <f t="shared" si="5"/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 t="shared" si="6"/>
        <v>09/05/2023</v>
      </c>
      <c r="I121" s="2">
        <f t="shared" si="7"/>
        <v>1.5</v>
      </c>
      <c r="J121" s="2">
        <f t="shared" si="8"/>
        <v>270</v>
      </c>
      <c r="K121" s="6">
        <f t="shared" si="9"/>
        <v>0.43263888888888885</v>
      </c>
      <c r="L121" s="2" t="str">
        <f t="shared" si="3"/>
        <v>EGL</v>
      </c>
      <c r="M121" s="2">
        <f t="shared" si="11"/>
        <v>4</v>
      </c>
      <c r="N121" s="2">
        <f t="shared" si="14"/>
        <v>2</v>
      </c>
      <c r="O121" s="2">
        <f t="shared" si="12"/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 t="shared" si="4"/>
        <v>2</v>
      </c>
      <c r="T121" s="2">
        <v>2</v>
      </c>
    </row>
    <row r="122" spans="1:31">
      <c r="A122" s="7">
        <f>MAX($A$1:$A121)+1</f>
        <v>121</v>
      </c>
      <c r="B122" s="2" t="str">
        <f t="shared" si="1"/>
        <v>Em Lim</v>
      </c>
      <c r="C122" s="2" t="str">
        <f t="shared" si="2"/>
        <v>Isabelle Côté</v>
      </c>
      <c r="D122" s="2" t="str">
        <f t="shared" si="5"/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 t="shared" si="6"/>
        <v>09/05/2023</v>
      </c>
      <c r="I122" s="2">
        <f t="shared" si="7"/>
        <v>1.5</v>
      </c>
      <c r="J122" s="2">
        <f t="shared" si="8"/>
        <v>270</v>
      </c>
      <c r="K122" s="6">
        <f t="shared" si="9"/>
        <v>0.43263888888888885</v>
      </c>
      <c r="L122" s="2" t="str">
        <f t="shared" si="3"/>
        <v>EGL</v>
      </c>
      <c r="M122" s="2">
        <f t="shared" si="11"/>
        <v>4</v>
      </c>
      <c r="N122" s="2">
        <f t="shared" si="14"/>
        <v>2</v>
      </c>
      <c r="O122" s="2">
        <f t="shared" si="12"/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 t="shared" si="4"/>
        <v>1</v>
      </c>
      <c r="T122" s="2">
        <v>1</v>
      </c>
    </row>
    <row r="123" spans="1:31">
      <c r="A123" s="7">
        <f>MAX($A$1:$A122)+1</f>
        <v>122</v>
      </c>
      <c r="B123" s="2" t="str">
        <f t="shared" si="1"/>
        <v>Em Lim</v>
      </c>
      <c r="C123" s="2" t="str">
        <f t="shared" si="2"/>
        <v>Isabelle Côté</v>
      </c>
      <c r="D123" s="2" t="str">
        <f t="shared" si="5"/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 t="shared" si="6"/>
        <v>09/05/2023</v>
      </c>
      <c r="I123" s="2">
        <f t="shared" si="7"/>
        <v>1.5</v>
      </c>
      <c r="J123" s="2">
        <f t="shared" si="8"/>
        <v>270</v>
      </c>
      <c r="K123" s="6">
        <f t="shared" si="9"/>
        <v>0.43263888888888885</v>
      </c>
      <c r="L123" s="2" t="str">
        <f t="shared" si="3"/>
        <v>EGL</v>
      </c>
      <c r="M123" s="2">
        <f t="shared" si="11"/>
        <v>4</v>
      </c>
      <c r="N123" s="2">
        <f t="shared" si="14"/>
        <v>2</v>
      </c>
      <c r="O123" s="2">
        <f t="shared" si="12"/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 t="shared" si="4"/>
        <v>1</v>
      </c>
      <c r="T123" s="2">
        <v>0</v>
      </c>
      <c r="Y123" s="2">
        <v>1</v>
      </c>
    </row>
    <row r="124" spans="1:31">
      <c r="A124" s="7">
        <f>MAX($A$1:$A123)+1</f>
        <v>123</v>
      </c>
      <c r="B124" s="2" t="str">
        <f t="shared" si="1"/>
        <v>Em Lim</v>
      </c>
      <c r="C124" s="2" t="str">
        <f t="shared" si="2"/>
        <v>Isabelle Côté</v>
      </c>
      <c r="D124" s="2" t="str">
        <f t="shared" si="5"/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 t="shared" si="6"/>
        <v>09/05/2023</v>
      </c>
      <c r="I124" s="2">
        <f t="shared" si="7"/>
        <v>1.5</v>
      </c>
      <c r="J124" s="2">
        <f t="shared" si="8"/>
        <v>270</v>
      </c>
      <c r="K124" s="6">
        <f t="shared" si="9"/>
        <v>0.43263888888888885</v>
      </c>
      <c r="L124" s="2" t="str">
        <f t="shared" si="3"/>
        <v>EGL</v>
      </c>
      <c r="M124" s="2">
        <f t="shared" si="11"/>
        <v>4</v>
      </c>
      <c r="N124" s="2">
        <f t="shared" si="14"/>
        <v>2</v>
      </c>
      <c r="O124" s="2">
        <f t="shared" si="12"/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 t="shared" si="4"/>
        <v>1</v>
      </c>
      <c r="T124" s="2">
        <v>0</v>
      </c>
      <c r="V124" s="2">
        <v>1</v>
      </c>
    </row>
    <row r="125" spans="1:31">
      <c r="A125" s="7">
        <f>MAX($A$1:$A124)+1</f>
        <v>124</v>
      </c>
      <c r="B125" s="2" t="str">
        <f t="shared" si="1"/>
        <v>Em Lim</v>
      </c>
      <c r="C125" s="2" t="str">
        <f t="shared" si="2"/>
        <v>Isabelle Côté</v>
      </c>
      <c r="D125" s="2" t="str">
        <f t="shared" si="5"/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 t="shared" si="6"/>
        <v>09/05/2023</v>
      </c>
      <c r="I125" s="2">
        <f t="shared" si="7"/>
        <v>1.5</v>
      </c>
      <c r="J125" s="2">
        <f t="shared" si="8"/>
        <v>270</v>
      </c>
      <c r="K125" s="6">
        <f t="shared" si="9"/>
        <v>0.43263888888888885</v>
      </c>
      <c r="L125" s="2" t="str">
        <f t="shared" si="3"/>
        <v>EGL</v>
      </c>
      <c r="M125" s="2">
        <f t="shared" si="11"/>
        <v>4</v>
      </c>
      <c r="N125" s="2">
        <v>0</v>
      </c>
      <c r="O125" s="2">
        <f t="shared" si="12"/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 t="shared" si="4"/>
        <v>8</v>
      </c>
      <c r="T125" s="2">
        <v>0</v>
      </c>
      <c r="V125" s="2">
        <v>8</v>
      </c>
    </row>
    <row r="126" spans="1:31">
      <c r="A126" s="7">
        <f>MAX($A$1:$A125)+1</f>
        <v>125</v>
      </c>
      <c r="B126" s="2" t="str">
        <f t="shared" si="1"/>
        <v>Em Lim</v>
      </c>
      <c r="C126" s="2" t="str">
        <f t="shared" si="2"/>
        <v>Isabelle Côté</v>
      </c>
      <c r="D126" s="2" t="str">
        <f t="shared" si="5"/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 t="shared" si="6"/>
        <v>09/05/2023</v>
      </c>
      <c r="I126" s="2">
        <f t="shared" si="7"/>
        <v>1.5</v>
      </c>
      <c r="J126" s="2">
        <f t="shared" si="8"/>
        <v>270</v>
      </c>
      <c r="K126" s="6">
        <f t="shared" si="9"/>
        <v>0.43263888888888885</v>
      </c>
      <c r="L126" s="2" t="str">
        <f t="shared" si="3"/>
        <v>EGL</v>
      </c>
      <c r="M126" s="2">
        <f t="shared" si="11"/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 t="shared" si="4"/>
        <v>1</v>
      </c>
      <c r="T126" s="2">
        <v>0</v>
      </c>
      <c r="AE126" s="2">
        <v>1</v>
      </c>
    </row>
    <row r="127" spans="1:31">
      <c r="A127" s="7">
        <f>MAX($A$1:$A126)+1</f>
        <v>126</v>
      </c>
      <c r="B127" s="2" t="str">
        <f t="shared" si="1"/>
        <v>Em Lim</v>
      </c>
      <c r="C127" s="2" t="str">
        <f t="shared" si="2"/>
        <v>Isabelle Côté</v>
      </c>
      <c r="D127" s="2" t="str">
        <f t="shared" si="5"/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 t="shared" si="6"/>
        <v>09/05/2023</v>
      </c>
      <c r="I127" s="2">
        <f t="shared" si="7"/>
        <v>1.5</v>
      </c>
      <c r="J127" s="2">
        <f t="shared" si="8"/>
        <v>270</v>
      </c>
      <c r="K127" s="6">
        <f t="shared" si="9"/>
        <v>0.43263888888888885</v>
      </c>
      <c r="L127" s="2" t="str">
        <f t="shared" si="3"/>
        <v>EGL</v>
      </c>
      <c r="M127" s="2">
        <f t="shared" si="11"/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 t="shared" si="4"/>
        <v>1</v>
      </c>
      <c r="T127" s="2">
        <v>0</v>
      </c>
      <c r="X127" s="2">
        <v>1</v>
      </c>
    </row>
    <row r="128" spans="1:3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>
      <c r="A373" s="7">
        <f>MAX($A$1:$A372)+1</f>
        <v>372</v>
      </c>
      <c r="B373" s="2" t="str">
        <f t="shared" ref="B373:B397" si="15">IF(ISERROR(B372),IF(ISERROR(B371),IF(ISERROR(B370),"BLANK",B370),B371),B372)</f>
        <v>Em Lim</v>
      </c>
      <c r="C373" s="2" t="str">
        <f t="shared" ref="C373:C397" si="16"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 t="shared" ref="I373:I397" si="17">IF(ISERROR(I372),IF(ISERROR(I371),IF(ISERROR(I370),"BLANK",I370),I371),I372)</f>
        <v>1.5</v>
      </c>
      <c r="J373" s="2">
        <v>270</v>
      </c>
      <c r="K373" s="6">
        <v>0.46875</v>
      </c>
      <c r="L373" s="2" t="str">
        <f t="shared" ref="L373:L397" si="18"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 t="shared" ref="S373:S397" si="19"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>
      <c r="A374" s="7">
        <f>MAX($A$1:$A373)+1</f>
        <v>373</v>
      </c>
      <c r="B374" s="2" t="str">
        <f t="shared" si="15"/>
        <v>Em Lim</v>
      </c>
      <c r="C374" s="2" t="str">
        <f t="shared" si="16"/>
        <v>Isabelle Côté</v>
      </c>
      <c r="D374" s="2" t="str">
        <f t="shared" ref="D374:D397" si="20"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 t="shared" ref="H374:H397" si="21">IF(ISERROR(H373),IF(ISERROR(H372),IF(ISERROR(H371),"BLANK",H371),H372),H373)</f>
        <v>10/05/2023</v>
      </c>
      <c r="I374" s="2">
        <f t="shared" si="17"/>
        <v>1.5</v>
      </c>
      <c r="J374" s="2">
        <f t="shared" ref="J374:J397" si="22">IF(ISERROR(J373),IF(ISERROR(J372),IF(ISERROR(J371),"BLANK",J371),J372),J373)</f>
        <v>270</v>
      </c>
      <c r="K374" s="6">
        <f t="shared" ref="K374:K397" si="23">IF(ISERROR(K373),IF(ISERROR(K372),IF(ISERROR(K371),"BLANK",K371),K372),K373)</f>
        <v>0.46875</v>
      </c>
      <c r="L374" s="2" t="str">
        <f t="shared" si="18"/>
        <v>EGL</v>
      </c>
      <c r="M374" s="2">
        <f t="shared" ref="M374:O375" si="24">IF(ISERROR(M373),IF(ISERROR(M372),IF(ISERROR(M371),"BLANK",M371),M372),M373)</f>
        <v>6.5</v>
      </c>
      <c r="N374" s="2">
        <f t="shared" si="24"/>
        <v>1</v>
      </c>
      <c r="O374" s="2">
        <f t="shared" si="24"/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 t="shared" si="19"/>
        <v>1</v>
      </c>
      <c r="T374" s="2">
        <v>0</v>
      </c>
      <c r="U374" s="2">
        <v>1</v>
      </c>
    </row>
    <row r="375" spans="1:32">
      <c r="A375" s="7">
        <f>MAX($A$1:$A374)+1</f>
        <v>374</v>
      </c>
      <c r="B375" s="2" t="str">
        <f t="shared" si="15"/>
        <v>Em Lim</v>
      </c>
      <c r="C375" s="2" t="str">
        <f t="shared" si="16"/>
        <v>Isabelle Côté</v>
      </c>
      <c r="D375" s="2" t="str">
        <f t="shared" si="20"/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 t="shared" si="21"/>
        <v>10/05/2023</v>
      </c>
      <c r="I375" s="2">
        <f t="shared" si="17"/>
        <v>1.5</v>
      </c>
      <c r="J375" s="2">
        <f t="shared" si="22"/>
        <v>270</v>
      </c>
      <c r="K375" s="6">
        <f t="shared" si="23"/>
        <v>0.46875</v>
      </c>
      <c r="L375" s="2" t="str">
        <f t="shared" si="18"/>
        <v>EGL</v>
      </c>
      <c r="M375" s="2">
        <f t="shared" si="24"/>
        <v>6.5</v>
      </c>
      <c r="N375" s="2">
        <f t="shared" si="24"/>
        <v>1</v>
      </c>
      <c r="O375" s="2">
        <f t="shared" si="24"/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 t="shared" si="19"/>
        <v>1</v>
      </c>
      <c r="T375" s="2">
        <v>0</v>
      </c>
      <c r="AF375" s="2">
        <v>1</v>
      </c>
    </row>
    <row r="376" spans="1:32">
      <c r="A376" s="7">
        <f>MAX($A$1:$A375)+1</f>
        <v>375</v>
      </c>
      <c r="B376" s="2" t="str">
        <f t="shared" si="15"/>
        <v>Em Lim</v>
      </c>
      <c r="C376" s="2" t="str">
        <f t="shared" si="16"/>
        <v>Isabelle Côté</v>
      </c>
      <c r="D376" s="2" t="str">
        <f t="shared" si="20"/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 t="shared" si="21"/>
        <v>10/05/2023</v>
      </c>
      <c r="I376" s="2">
        <f t="shared" si="17"/>
        <v>1.5</v>
      </c>
      <c r="J376" s="2">
        <f t="shared" si="22"/>
        <v>270</v>
      </c>
      <c r="K376" s="6">
        <f t="shared" si="23"/>
        <v>0.46875</v>
      </c>
      <c r="L376" s="2" t="str">
        <f t="shared" si="18"/>
        <v>EGL</v>
      </c>
      <c r="M376" s="2">
        <f t="shared" ref="M376:M397" si="25">IF(ISERROR(M375),IF(ISERROR(M374),IF(ISERROR(M373),"BLANK",M373),M374),M375)</f>
        <v>6.5</v>
      </c>
      <c r="N376" s="2">
        <v>2</v>
      </c>
      <c r="O376" s="2">
        <f t="shared" ref="O376:O395" si="26"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 t="shared" si="19"/>
        <v>372</v>
      </c>
      <c r="T376" s="2">
        <v>372</v>
      </c>
    </row>
    <row r="377" spans="1:32">
      <c r="A377" s="7">
        <f>MAX($A$1:$A376)+1</f>
        <v>376</v>
      </c>
      <c r="B377" s="2" t="str">
        <f t="shared" si="15"/>
        <v>Em Lim</v>
      </c>
      <c r="C377" s="2" t="str">
        <f t="shared" si="16"/>
        <v>Isabelle Côté</v>
      </c>
      <c r="D377" s="2" t="str">
        <f t="shared" si="20"/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 t="shared" si="21"/>
        <v>10/05/2023</v>
      </c>
      <c r="I377" s="2">
        <f t="shared" si="17"/>
        <v>1.5</v>
      </c>
      <c r="J377" s="2">
        <f t="shared" si="22"/>
        <v>270</v>
      </c>
      <c r="K377" s="6">
        <f t="shared" si="23"/>
        <v>0.46875</v>
      </c>
      <c r="L377" s="2" t="str">
        <f t="shared" si="18"/>
        <v>EGL</v>
      </c>
      <c r="M377" s="2">
        <f t="shared" si="25"/>
        <v>6.5</v>
      </c>
      <c r="N377" s="2">
        <f t="shared" ref="N377:N395" si="27">IF(ISERROR(N376),IF(ISERROR(N375),IF(ISERROR(N374),"BLANK",N374),N375),N376)</f>
        <v>2</v>
      </c>
      <c r="O377" s="2">
        <f t="shared" si="26"/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 t="shared" si="19"/>
        <v>13</v>
      </c>
      <c r="T377" s="2">
        <v>13</v>
      </c>
    </row>
    <row r="378" spans="1:32">
      <c r="A378" s="7">
        <f>MAX($A$1:$A377)+1</f>
        <v>377</v>
      </c>
      <c r="B378" s="2" t="str">
        <f t="shared" si="15"/>
        <v>Em Lim</v>
      </c>
      <c r="C378" s="2" t="str">
        <f t="shared" si="16"/>
        <v>Isabelle Côté</v>
      </c>
      <c r="D378" s="2" t="str">
        <f t="shared" si="20"/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 t="shared" si="21"/>
        <v>10/05/2023</v>
      </c>
      <c r="I378" s="2">
        <f t="shared" si="17"/>
        <v>1.5</v>
      </c>
      <c r="J378" s="2">
        <f t="shared" si="22"/>
        <v>270</v>
      </c>
      <c r="K378" s="6">
        <f t="shared" si="23"/>
        <v>0.46875</v>
      </c>
      <c r="L378" s="2" t="str">
        <f t="shared" si="18"/>
        <v>EGL</v>
      </c>
      <c r="M378" s="2">
        <f t="shared" si="25"/>
        <v>6.5</v>
      </c>
      <c r="N378" s="2">
        <f t="shared" si="27"/>
        <v>2</v>
      </c>
      <c r="O378" s="2">
        <f t="shared" si="26"/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 t="shared" si="19"/>
        <v>40</v>
      </c>
      <c r="T378" s="2">
        <v>40</v>
      </c>
    </row>
    <row r="379" spans="1:32">
      <c r="A379" s="7">
        <f>MAX($A$1:$A378)+1</f>
        <v>378</v>
      </c>
      <c r="B379" s="2" t="str">
        <f t="shared" si="15"/>
        <v>Em Lim</v>
      </c>
      <c r="C379" s="2" t="str">
        <f t="shared" si="16"/>
        <v>Isabelle Côté</v>
      </c>
      <c r="D379" s="2" t="str">
        <f t="shared" si="20"/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 t="shared" si="21"/>
        <v>10/05/2023</v>
      </c>
      <c r="I379" s="2">
        <f t="shared" si="17"/>
        <v>1.5</v>
      </c>
      <c r="J379" s="2">
        <f t="shared" si="22"/>
        <v>270</v>
      </c>
      <c r="K379" s="6">
        <f t="shared" si="23"/>
        <v>0.46875</v>
      </c>
      <c r="L379" s="2" t="str">
        <f t="shared" si="18"/>
        <v>EGL</v>
      </c>
      <c r="M379" s="2">
        <f t="shared" si="25"/>
        <v>6.5</v>
      </c>
      <c r="N379" s="2">
        <f t="shared" si="27"/>
        <v>2</v>
      </c>
      <c r="O379" s="2">
        <f t="shared" si="26"/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 t="shared" si="19"/>
        <v>27</v>
      </c>
      <c r="T379" s="2">
        <v>27</v>
      </c>
    </row>
    <row r="380" spans="1:32">
      <c r="A380" s="7">
        <f>MAX($A$1:$A379)+1</f>
        <v>379</v>
      </c>
      <c r="B380" s="2" t="str">
        <f t="shared" si="15"/>
        <v>Em Lim</v>
      </c>
      <c r="C380" s="2" t="str">
        <f t="shared" si="16"/>
        <v>Isabelle Côté</v>
      </c>
      <c r="D380" s="2" t="str">
        <f t="shared" si="20"/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 t="shared" si="21"/>
        <v>10/05/2023</v>
      </c>
      <c r="I380" s="2">
        <f t="shared" si="17"/>
        <v>1.5</v>
      </c>
      <c r="J380" s="2">
        <f t="shared" si="22"/>
        <v>270</v>
      </c>
      <c r="K380" s="6">
        <f t="shared" si="23"/>
        <v>0.46875</v>
      </c>
      <c r="L380" s="2" t="str">
        <f t="shared" si="18"/>
        <v>EGL</v>
      </c>
      <c r="M380" s="2">
        <f t="shared" si="25"/>
        <v>6.5</v>
      </c>
      <c r="N380" s="2">
        <f t="shared" si="27"/>
        <v>2</v>
      </c>
      <c r="O380" s="2">
        <f t="shared" si="26"/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 t="shared" si="19"/>
        <v>4</v>
      </c>
      <c r="T380" s="2">
        <v>4</v>
      </c>
    </row>
    <row r="381" spans="1:32">
      <c r="A381" s="7">
        <f>MAX($A$1:$A380)+1</f>
        <v>380</v>
      </c>
      <c r="B381" s="2" t="str">
        <f t="shared" si="15"/>
        <v>Em Lim</v>
      </c>
      <c r="C381" s="2" t="str">
        <f t="shared" si="16"/>
        <v>Isabelle Côté</v>
      </c>
      <c r="D381" s="2" t="str">
        <f t="shared" si="20"/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 t="shared" si="21"/>
        <v>10/05/2023</v>
      </c>
      <c r="I381" s="2">
        <f t="shared" si="17"/>
        <v>1.5</v>
      </c>
      <c r="J381" s="2">
        <f t="shared" si="22"/>
        <v>270</v>
      </c>
      <c r="K381" s="6">
        <f t="shared" si="23"/>
        <v>0.46875</v>
      </c>
      <c r="L381" s="2" t="str">
        <f t="shared" si="18"/>
        <v>EGL</v>
      </c>
      <c r="M381" s="2">
        <f t="shared" si="25"/>
        <v>6.5</v>
      </c>
      <c r="N381" s="2">
        <f t="shared" si="27"/>
        <v>2</v>
      </c>
      <c r="O381" s="2">
        <f t="shared" si="26"/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 t="shared" si="19"/>
        <v>11</v>
      </c>
      <c r="T381" s="2">
        <v>11</v>
      </c>
    </row>
    <row r="382" spans="1:32">
      <c r="A382" s="7">
        <f>MAX($A$1:$A381)+1</f>
        <v>381</v>
      </c>
      <c r="B382" s="2" t="str">
        <f t="shared" si="15"/>
        <v>Em Lim</v>
      </c>
      <c r="C382" s="2" t="str">
        <f t="shared" si="16"/>
        <v>Isabelle Côté</v>
      </c>
      <c r="D382" s="2" t="str">
        <f t="shared" si="20"/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 t="shared" si="21"/>
        <v>10/05/2023</v>
      </c>
      <c r="I382" s="2">
        <f t="shared" si="17"/>
        <v>1.5</v>
      </c>
      <c r="J382" s="2">
        <f t="shared" si="22"/>
        <v>270</v>
      </c>
      <c r="K382" s="6">
        <f t="shared" si="23"/>
        <v>0.46875</v>
      </c>
      <c r="L382" s="2" t="str">
        <f t="shared" si="18"/>
        <v>EGL</v>
      </c>
      <c r="M382" s="2">
        <f t="shared" si="25"/>
        <v>6.5</v>
      </c>
      <c r="N382" s="2">
        <f t="shared" si="27"/>
        <v>2</v>
      </c>
      <c r="O382" s="2">
        <f t="shared" si="26"/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 t="shared" si="19"/>
        <v>19</v>
      </c>
      <c r="T382" s="2">
        <v>19</v>
      </c>
    </row>
    <row r="383" spans="1:32">
      <c r="A383" s="7">
        <f>MAX($A$1:$A382)+1</f>
        <v>382</v>
      </c>
      <c r="B383" s="2" t="str">
        <f t="shared" si="15"/>
        <v>Em Lim</v>
      </c>
      <c r="C383" s="2" t="str">
        <f t="shared" si="16"/>
        <v>Isabelle Côté</v>
      </c>
      <c r="D383" s="2" t="str">
        <f t="shared" si="20"/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 t="shared" si="21"/>
        <v>10/05/2023</v>
      </c>
      <c r="I383" s="2">
        <f t="shared" si="17"/>
        <v>1.5</v>
      </c>
      <c r="J383" s="2">
        <f t="shared" si="22"/>
        <v>270</v>
      </c>
      <c r="K383" s="6">
        <f t="shared" si="23"/>
        <v>0.46875</v>
      </c>
      <c r="L383" s="2" t="str">
        <f t="shared" si="18"/>
        <v>EGL</v>
      </c>
      <c r="M383" s="2">
        <f t="shared" si="25"/>
        <v>6.5</v>
      </c>
      <c r="N383" s="2">
        <f t="shared" si="27"/>
        <v>2</v>
      </c>
      <c r="O383" s="2">
        <f t="shared" si="26"/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 t="shared" si="19"/>
        <v>13</v>
      </c>
      <c r="T383" s="2">
        <v>13</v>
      </c>
    </row>
    <row r="384" spans="1:32">
      <c r="A384" s="7">
        <f>MAX($A$1:$A383)+1</f>
        <v>383</v>
      </c>
      <c r="B384" s="2" t="str">
        <f t="shared" si="15"/>
        <v>Em Lim</v>
      </c>
      <c r="C384" s="2" t="str">
        <f t="shared" si="16"/>
        <v>Isabelle Côté</v>
      </c>
      <c r="D384" s="2" t="str">
        <f t="shared" si="20"/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 t="shared" si="21"/>
        <v>10/05/2023</v>
      </c>
      <c r="I384" s="2">
        <f t="shared" si="17"/>
        <v>1.5</v>
      </c>
      <c r="J384" s="2">
        <f t="shared" si="22"/>
        <v>270</v>
      </c>
      <c r="K384" s="6">
        <f t="shared" si="23"/>
        <v>0.46875</v>
      </c>
      <c r="L384" s="2" t="str">
        <f t="shared" si="18"/>
        <v>EGL</v>
      </c>
      <c r="M384" s="2">
        <f t="shared" si="25"/>
        <v>6.5</v>
      </c>
      <c r="N384" s="2">
        <f t="shared" si="27"/>
        <v>2</v>
      </c>
      <c r="O384" s="2">
        <f t="shared" si="26"/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 t="shared" si="19"/>
        <v>4</v>
      </c>
      <c r="T384" s="2">
        <v>4</v>
      </c>
    </row>
    <row r="385" spans="1:31">
      <c r="A385" s="7">
        <f>MAX($A$1:$A384)+1</f>
        <v>384</v>
      </c>
      <c r="B385" s="2" t="str">
        <f t="shared" si="15"/>
        <v>Em Lim</v>
      </c>
      <c r="C385" s="2" t="str">
        <f t="shared" si="16"/>
        <v>Isabelle Côté</v>
      </c>
      <c r="D385" s="2" t="str">
        <f t="shared" si="20"/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 t="shared" si="21"/>
        <v>10/05/2023</v>
      </c>
      <c r="I385" s="2">
        <f t="shared" si="17"/>
        <v>1.5</v>
      </c>
      <c r="J385" s="2">
        <f t="shared" si="22"/>
        <v>270</v>
      </c>
      <c r="K385" s="6">
        <f t="shared" si="23"/>
        <v>0.46875</v>
      </c>
      <c r="L385" s="2" t="str">
        <f t="shared" si="18"/>
        <v>EGL</v>
      </c>
      <c r="M385" s="2">
        <f t="shared" si="25"/>
        <v>6.5</v>
      </c>
      <c r="N385" s="2">
        <f t="shared" si="27"/>
        <v>2</v>
      </c>
      <c r="O385" s="2">
        <f t="shared" si="26"/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 t="shared" si="19"/>
        <v>16</v>
      </c>
      <c r="T385" s="2">
        <v>16</v>
      </c>
    </row>
    <row r="386" spans="1:31">
      <c r="A386" s="7">
        <f>MAX($A$1:$A385)+1</f>
        <v>385</v>
      </c>
      <c r="B386" s="2" t="str">
        <f t="shared" si="15"/>
        <v>Em Lim</v>
      </c>
      <c r="C386" s="2" t="str">
        <f t="shared" si="16"/>
        <v>Isabelle Côté</v>
      </c>
      <c r="D386" s="2" t="str">
        <f t="shared" si="20"/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 t="shared" si="21"/>
        <v>10/05/2023</v>
      </c>
      <c r="I386" s="2">
        <f t="shared" si="17"/>
        <v>1.5</v>
      </c>
      <c r="J386" s="2">
        <f t="shared" si="22"/>
        <v>270</v>
      </c>
      <c r="K386" s="6">
        <f t="shared" si="23"/>
        <v>0.46875</v>
      </c>
      <c r="L386" s="2" t="str">
        <f t="shared" si="18"/>
        <v>EGL</v>
      </c>
      <c r="M386" s="2">
        <f t="shared" si="25"/>
        <v>6.5</v>
      </c>
      <c r="N386" s="2">
        <f t="shared" si="27"/>
        <v>2</v>
      </c>
      <c r="O386" s="2">
        <f t="shared" si="26"/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 t="shared" si="19"/>
        <v>1</v>
      </c>
      <c r="T386" s="2">
        <v>1</v>
      </c>
    </row>
    <row r="387" spans="1:31">
      <c r="A387" s="7">
        <f>MAX($A$1:$A386)+1</f>
        <v>386</v>
      </c>
      <c r="B387" s="2" t="str">
        <f t="shared" si="15"/>
        <v>Em Lim</v>
      </c>
      <c r="C387" s="2" t="str">
        <f t="shared" si="16"/>
        <v>Isabelle Côté</v>
      </c>
      <c r="D387" s="2" t="str">
        <f t="shared" si="20"/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 t="shared" si="21"/>
        <v>10/05/2023</v>
      </c>
      <c r="I387" s="2">
        <f t="shared" si="17"/>
        <v>1.5</v>
      </c>
      <c r="J387" s="2">
        <f t="shared" si="22"/>
        <v>270</v>
      </c>
      <c r="K387" s="6">
        <f t="shared" si="23"/>
        <v>0.46875</v>
      </c>
      <c r="L387" s="2" t="str">
        <f t="shared" si="18"/>
        <v>EGL</v>
      </c>
      <c r="M387" s="2">
        <f t="shared" si="25"/>
        <v>6.5</v>
      </c>
      <c r="N387" s="2">
        <f t="shared" si="27"/>
        <v>2</v>
      </c>
      <c r="O387" s="2">
        <f t="shared" si="26"/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 t="shared" si="19"/>
        <v>10</v>
      </c>
      <c r="T387" s="2">
        <v>10</v>
      </c>
    </row>
    <row r="388" spans="1:31">
      <c r="A388" s="7">
        <f>MAX($A$1:$A387)+1</f>
        <v>387</v>
      </c>
      <c r="B388" s="2" t="str">
        <f t="shared" si="15"/>
        <v>Em Lim</v>
      </c>
      <c r="C388" s="2" t="str">
        <f t="shared" si="16"/>
        <v>Isabelle Côté</v>
      </c>
      <c r="D388" s="2" t="str">
        <f t="shared" si="20"/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 t="shared" si="21"/>
        <v>10/05/2023</v>
      </c>
      <c r="I388" s="2">
        <f t="shared" si="17"/>
        <v>1.5</v>
      </c>
      <c r="J388" s="2">
        <f t="shared" si="22"/>
        <v>270</v>
      </c>
      <c r="K388" s="6">
        <f t="shared" si="23"/>
        <v>0.46875</v>
      </c>
      <c r="L388" s="2" t="str">
        <f t="shared" si="18"/>
        <v>EGL</v>
      </c>
      <c r="M388" s="2">
        <f t="shared" si="25"/>
        <v>6.5</v>
      </c>
      <c r="N388" s="2">
        <f t="shared" si="27"/>
        <v>2</v>
      </c>
      <c r="O388" s="2">
        <f t="shared" si="26"/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 t="shared" si="19"/>
        <v>1</v>
      </c>
      <c r="T388" s="2">
        <v>1</v>
      </c>
    </row>
    <row r="389" spans="1:31">
      <c r="A389" s="7">
        <f>MAX($A$1:$A388)+1</f>
        <v>388</v>
      </c>
      <c r="B389" s="2" t="str">
        <f t="shared" si="15"/>
        <v>Em Lim</v>
      </c>
      <c r="C389" s="2" t="str">
        <f t="shared" si="16"/>
        <v>Isabelle Côté</v>
      </c>
      <c r="D389" s="2" t="str">
        <f t="shared" si="20"/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 t="shared" si="21"/>
        <v>10/05/2023</v>
      </c>
      <c r="I389" s="2">
        <f t="shared" si="17"/>
        <v>1.5</v>
      </c>
      <c r="J389" s="2">
        <f t="shared" si="22"/>
        <v>270</v>
      </c>
      <c r="K389" s="6">
        <f t="shared" si="23"/>
        <v>0.46875</v>
      </c>
      <c r="L389" s="2" t="str">
        <f t="shared" si="18"/>
        <v>EGL</v>
      </c>
      <c r="M389" s="2">
        <f t="shared" si="25"/>
        <v>6.5</v>
      </c>
      <c r="N389" s="2">
        <f t="shared" si="27"/>
        <v>2</v>
      </c>
      <c r="O389" s="2">
        <f t="shared" si="26"/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 t="shared" si="19"/>
        <v>1</v>
      </c>
      <c r="T389" s="2">
        <v>1</v>
      </c>
    </row>
    <row r="390" spans="1:31">
      <c r="A390" s="7">
        <f>MAX($A$1:$A389)+1</f>
        <v>389</v>
      </c>
      <c r="B390" s="2" t="str">
        <f t="shared" si="15"/>
        <v>Em Lim</v>
      </c>
      <c r="C390" s="2" t="str">
        <f t="shared" si="16"/>
        <v>Isabelle Côté</v>
      </c>
      <c r="D390" s="2" t="str">
        <f t="shared" si="20"/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 t="shared" si="21"/>
        <v>10/05/2023</v>
      </c>
      <c r="I390" s="2">
        <f t="shared" si="17"/>
        <v>1.5</v>
      </c>
      <c r="J390" s="2">
        <f t="shared" si="22"/>
        <v>270</v>
      </c>
      <c r="K390" s="6">
        <f t="shared" si="23"/>
        <v>0.46875</v>
      </c>
      <c r="L390" s="2" t="str">
        <f t="shared" si="18"/>
        <v>EGL</v>
      </c>
      <c r="M390" s="2">
        <f t="shared" si="25"/>
        <v>6.5</v>
      </c>
      <c r="N390" s="2">
        <f t="shared" si="27"/>
        <v>2</v>
      </c>
      <c r="O390" s="2">
        <f t="shared" si="26"/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 t="shared" si="19"/>
        <v>5</v>
      </c>
      <c r="T390" s="2">
        <v>0</v>
      </c>
      <c r="U390" s="2">
        <v>3</v>
      </c>
      <c r="V390" s="2">
        <v>2</v>
      </c>
    </row>
    <row r="391" spans="1:31">
      <c r="A391" s="7">
        <f>MAX($A$1:$A390)+1</f>
        <v>390</v>
      </c>
      <c r="B391" s="2" t="str">
        <f t="shared" si="15"/>
        <v>Em Lim</v>
      </c>
      <c r="C391" s="2" t="str">
        <f t="shared" si="16"/>
        <v>Isabelle Côté</v>
      </c>
      <c r="D391" s="2" t="str">
        <f t="shared" si="20"/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 t="shared" si="21"/>
        <v>10/05/2023</v>
      </c>
      <c r="I391" s="2">
        <f t="shared" si="17"/>
        <v>1.5</v>
      </c>
      <c r="J391" s="2">
        <f t="shared" si="22"/>
        <v>270</v>
      </c>
      <c r="K391" s="6">
        <f t="shared" si="23"/>
        <v>0.46875</v>
      </c>
      <c r="L391" s="2" t="str">
        <f t="shared" si="18"/>
        <v>EGL</v>
      </c>
      <c r="M391" s="2">
        <f t="shared" si="25"/>
        <v>6.5</v>
      </c>
      <c r="N391" s="2">
        <f t="shared" si="27"/>
        <v>2</v>
      </c>
      <c r="O391" s="2">
        <f t="shared" si="26"/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 t="shared" si="19"/>
        <v>2</v>
      </c>
      <c r="T391" s="2">
        <v>2</v>
      </c>
    </row>
    <row r="392" spans="1:31">
      <c r="A392" s="7">
        <f>MAX($A$1:$A391)+1</f>
        <v>391</v>
      </c>
      <c r="B392" s="2" t="str">
        <f t="shared" si="15"/>
        <v>Em Lim</v>
      </c>
      <c r="C392" s="2" t="str">
        <f t="shared" si="16"/>
        <v>Isabelle Côté</v>
      </c>
      <c r="D392" s="2" t="str">
        <f t="shared" si="20"/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 t="shared" si="21"/>
        <v>10/05/2023</v>
      </c>
      <c r="I392" s="2">
        <f t="shared" si="17"/>
        <v>1.5</v>
      </c>
      <c r="J392" s="2">
        <f t="shared" si="22"/>
        <v>270</v>
      </c>
      <c r="K392" s="6">
        <f t="shared" si="23"/>
        <v>0.46875</v>
      </c>
      <c r="L392" s="2" t="str">
        <f t="shared" si="18"/>
        <v>EGL</v>
      </c>
      <c r="M392" s="2">
        <f t="shared" si="25"/>
        <v>6.5</v>
      </c>
      <c r="N392" s="2">
        <f t="shared" si="27"/>
        <v>2</v>
      </c>
      <c r="O392" s="2">
        <f t="shared" si="26"/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 t="shared" si="19"/>
        <v>1</v>
      </c>
      <c r="T392" s="2">
        <v>1</v>
      </c>
    </row>
    <row r="393" spans="1:31">
      <c r="A393" s="7">
        <f>MAX($A$1:$A392)+1</f>
        <v>392</v>
      </c>
      <c r="B393" s="2" t="str">
        <f t="shared" si="15"/>
        <v>Em Lim</v>
      </c>
      <c r="C393" s="2" t="str">
        <f t="shared" si="16"/>
        <v>Isabelle Côté</v>
      </c>
      <c r="D393" s="2" t="str">
        <f t="shared" si="20"/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 t="shared" si="21"/>
        <v>10/05/2023</v>
      </c>
      <c r="I393" s="2">
        <f t="shared" si="17"/>
        <v>1.5</v>
      </c>
      <c r="J393" s="2">
        <f t="shared" si="22"/>
        <v>270</v>
      </c>
      <c r="K393" s="6">
        <f t="shared" si="23"/>
        <v>0.46875</v>
      </c>
      <c r="L393" s="2" t="str">
        <f t="shared" si="18"/>
        <v>EGL</v>
      </c>
      <c r="M393" s="2">
        <f t="shared" si="25"/>
        <v>6.5</v>
      </c>
      <c r="N393" s="2">
        <f t="shared" si="27"/>
        <v>2</v>
      </c>
      <c r="O393" s="2">
        <f t="shared" si="26"/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 t="shared" si="19"/>
        <v>1</v>
      </c>
      <c r="T393" s="2">
        <v>1</v>
      </c>
    </row>
    <row r="394" spans="1:31">
      <c r="A394" s="7">
        <f>MAX($A$1:$A393)+1</f>
        <v>393</v>
      </c>
      <c r="B394" s="2" t="str">
        <f t="shared" si="15"/>
        <v>Em Lim</v>
      </c>
      <c r="C394" s="2" t="str">
        <f t="shared" si="16"/>
        <v>Isabelle Côté</v>
      </c>
      <c r="D394" s="2" t="str">
        <f t="shared" si="20"/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 t="shared" si="21"/>
        <v>10/05/2023</v>
      </c>
      <c r="I394" s="2">
        <f t="shared" si="17"/>
        <v>1.5</v>
      </c>
      <c r="J394" s="2">
        <f t="shared" si="22"/>
        <v>270</v>
      </c>
      <c r="K394" s="6">
        <f t="shared" si="23"/>
        <v>0.46875</v>
      </c>
      <c r="L394" s="2" t="str">
        <f t="shared" si="18"/>
        <v>EGL</v>
      </c>
      <c r="M394" s="2">
        <f t="shared" si="25"/>
        <v>6.5</v>
      </c>
      <c r="N394" s="2">
        <f t="shared" si="27"/>
        <v>2</v>
      </c>
      <c r="O394" s="2">
        <f t="shared" si="26"/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 t="shared" si="19"/>
        <v>10</v>
      </c>
      <c r="T394" s="2">
        <v>10</v>
      </c>
    </row>
    <row r="395" spans="1:31">
      <c r="A395" s="7">
        <f>MAX($A$1:$A394)+1</f>
        <v>394</v>
      </c>
      <c r="B395" s="2" t="str">
        <f t="shared" si="15"/>
        <v>Em Lim</v>
      </c>
      <c r="C395" s="2" t="str">
        <f t="shared" si="16"/>
        <v>Isabelle Côté</v>
      </c>
      <c r="D395" s="2" t="str">
        <f t="shared" si="20"/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 t="shared" si="21"/>
        <v>10/05/2023</v>
      </c>
      <c r="I395" s="2">
        <f t="shared" si="17"/>
        <v>1.5</v>
      </c>
      <c r="J395" s="2">
        <f t="shared" si="22"/>
        <v>270</v>
      </c>
      <c r="K395" s="6">
        <f t="shared" si="23"/>
        <v>0.46875</v>
      </c>
      <c r="L395" s="2" t="str">
        <f t="shared" si="18"/>
        <v>EGL</v>
      </c>
      <c r="M395" s="2">
        <f t="shared" si="25"/>
        <v>6.5</v>
      </c>
      <c r="N395" s="2">
        <f t="shared" si="27"/>
        <v>2</v>
      </c>
      <c r="O395" s="2">
        <f t="shared" si="26"/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 t="shared" si="19"/>
        <v>1</v>
      </c>
      <c r="T395" s="2">
        <v>1</v>
      </c>
    </row>
    <row r="396" spans="1:31">
      <c r="A396" s="7">
        <f>MAX($A$1:$A395)+1</f>
        <v>395</v>
      </c>
      <c r="B396" s="2" t="str">
        <f t="shared" si="15"/>
        <v>Em Lim</v>
      </c>
      <c r="C396" s="2" t="str">
        <f t="shared" si="16"/>
        <v>Isabelle Côté</v>
      </c>
      <c r="D396" s="2" t="str">
        <f t="shared" si="20"/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 t="shared" si="21"/>
        <v>10/05/2023</v>
      </c>
      <c r="I396" s="2">
        <f t="shared" si="17"/>
        <v>1.5</v>
      </c>
      <c r="J396" s="2">
        <f t="shared" si="22"/>
        <v>270</v>
      </c>
      <c r="K396" s="6">
        <f t="shared" si="23"/>
        <v>0.46875</v>
      </c>
      <c r="L396" s="2" t="str">
        <f t="shared" si="18"/>
        <v>EGL</v>
      </c>
      <c r="M396" s="2">
        <f t="shared" si="25"/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 t="shared" si="19"/>
        <v>1</v>
      </c>
      <c r="T396" s="2">
        <v>0</v>
      </c>
      <c r="V396" s="2">
        <v>1</v>
      </c>
    </row>
    <row r="397" spans="1:31">
      <c r="A397" s="7">
        <f>MAX($A$1:$A396)+1</f>
        <v>396</v>
      </c>
      <c r="B397" s="2" t="str">
        <f t="shared" si="15"/>
        <v>Em Lim</v>
      </c>
      <c r="C397" s="2" t="str">
        <f t="shared" si="16"/>
        <v>Isabelle Côté</v>
      </c>
      <c r="D397" s="2" t="str">
        <f t="shared" si="20"/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 t="shared" si="21"/>
        <v>10/05/2023</v>
      </c>
      <c r="I397" s="2">
        <f t="shared" si="17"/>
        <v>1.5</v>
      </c>
      <c r="J397" s="2">
        <f t="shared" si="22"/>
        <v>270</v>
      </c>
      <c r="K397" s="6">
        <f t="shared" si="23"/>
        <v>0.46875</v>
      </c>
      <c r="L397" s="2" t="str">
        <f t="shared" si="18"/>
        <v>EGL</v>
      </c>
      <c r="M397" s="2">
        <f t="shared" si="25"/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 t="shared" si="19"/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>
      <c r="A427" s="7">
        <f>MAX($A$1:$A426)+1</f>
        <v>426</v>
      </c>
      <c r="B427" s="2" t="str">
        <f t="shared" ref="B427:B455" si="28">IF(ISERROR(B426),IF(ISERROR(B425),IF(ISERROR(B424),"BLANK",B424),B425),B426)</f>
        <v>Em Lim</v>
      </c>
      <c r="C427" s="2" t="str">
        <f t="shared" ref="C427:C455" si="29"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 t="shared" ref="H427:H455" si="30"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 t="shared" ref="L427:L455" si="31"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 t="shared" ref="S427:S455" si="32">SUM(T427:AV427)</f>
        <v>5</v>
      </c>
      <c r="T427" s="2">
        <v>0</v>
      </c>
      <c r="AA427" s="2">
        <v>2</v>
      </c>
      <c r="AB427" s="2">
        <v>3</v>
      </c>
    </row>
    <row r="428" spans="1:28">
      <c r="A428" s="7">
        <f>MAX($A$1:$A427)+1</f>
        <v>427</v>
      </c>
      <c r="B428" s="2" t="str">
        <f t="shared" si="28"/>
        <v>Em Lim</v>
      </c>
      <c r="C428" s="2" t="str">
        <f t="shared" si="29"/>
        <v>Jasmin Schuster</v>
      </c>
      <c r="D428" s="2" t="str">
        <f t="shared" ref="D428:D455" si="33"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 t="shared" si="30"/>
        <v>10/05/2023</v>
      </c>
      <c r="I428" s="2">
        <f t="shared" ref="I428:I455" si="34">IF(ISERROR(I427),IF(ISERROR(I426),IF(ISERROR(I425),"BLANK",I425),I426),I427)</f>
        <v>1.5</v>
      </c>
      <c r="J428" s="2">
        <f t="shared" ref="J428:J455" si="35">IF(ISERROR(J427),IF(ISERROR(J426),IF(ISERROR(J425),"BLANK",J425),J426),J427)</f>
        <v>60</v>
      </c>
      <c r="K428" s="6">
        <f t="shared" ref="K428:K455" si="36">IF(ISERROR(K427),IF(ISERROR(K426),IF(ISERROR(K425),"BLANK",K425),K426),K427)</f>
        <v>0.5625</v>
      </c>
      <c r="L428" s="2" t="str">
        <f t="shared" si="31"/>
        <v>EGL</v>
      </c>
      <c r="M428" s="2">
        <f t="shared" ref="M428:M455" si="37">IF(ISERROR(M427),IF(ISERROR(M426),IF(ISERROR(M425),"BLANK",M425),M426),M427)</f>
        <v>7</v>
      </c>
      <c r="N428" s="2">
        <v>2</v>
      </c>
      <c r="O428" s="2">
        <f t="shared" ref="O428:O453" si="38"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 t="shared" si="32"/>
        <v>500</v>
      </c>
      <c r="T428" s="2">
        <v>500</v>
      </c>
    </row>
    <row r="429" spans="1:28">
      <c r="A429" s="7">
        <f>MAX($A$1:$A428)+1</f>
        <v>428</v>
      </c>
      <c r="B429" s="2" t="str">
        <f t="shared" si="28"/>
        <v>Em Lim</v>
      </c>
      <c r="C429" s="2" t="str">
        <f t="shared" si="29"/>
        <v>Jasmin Schuster</v>
      </c>
      <c r="D429" s="2" t="str">
        <f t="shared" si="33"/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 t="shared" si="30"/>
        <v>10/05/2023</v>
      </c>
      <c r="I429" s="2">
        <f t="shared" si="34"/>
        <v>1.5</v>
      </c>
      <c r="J429" s="2">
        <f t="shared" si="35"/>
        <v>60</v>
      </c>
      <c r="K429" s="6">
        <f t="shared" si="36"/>
        <v>0.5625</v>
      </c>
      <c r="L429" s="2" t="str">
        <f t="shared" si="31"/>
        <v>EGL</v>
      </c>
      <c r="M429" s="2">
        <f t="shared" si="37"/>
        <v>7</v>
      </c>
      <c r="N429" s="2">
        <f t="shared" ref="N429:N453" si="39">IF(ISERROR(N428),IF(ISERROR(N427),IF(ISERROR(N426),"BLANK",N426),N427),N428)</f>
        <v>2</v>
      </c>
      <c r="O429" s="2">
        <f t="shared" si="38"/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 t="shared" si="32"/>
        <v>2</v>
      </c>
      <c r="T429" s="2">
        <v>2</v>
      </c>
    </row>
    <row r="430" spans="1:28">
      <c r="A430" s="7">
        <f>MAX($A$1:$A429)+1</f>
        <v>429</v>
      </c>
      <c r="B430" s="2" t="str">
        <f t="shared" si="28"/>
        <v>Em Lim</v>
      </c>
      <c r="C430" s="2" t="str">
        <f t="shared" si="29"/>
        <v>Jasmin Schuster</v>
      </c>
      <c r="D430" s="2" t="str">
        <f t="shared" si="33"/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 t="shared" si="30"/>
        <v>10/05/2023</v>
      </c>
      <c r="I430" s="2">
        <f t="shared" si="34"/>
        <v>1.5</v>
      </c>
      <c r="J430" s="2">
        <f t="shared" si="35"/>
        <v>60</v>
      </c>
      <c r="K430" s="6">
        <f t="shared" si="36"/>
        <v>0.5625</v>
      </c>
      <c r="L430" s="2" t="str">
        <f t="shared" si="31"/>
        <v>EGL</v>
      </c>
      <c r="M430" s="2">
        <f t="shared" si="37"/>
        <v>7</v>
      </c>
      <c r="N430" s="2">
        <f t="shared" si="39"/>
        <v>2</v>
      </c>
      <c r="O430" s="2">
        <f t="shared" si="38"/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 t="shared" si="32"/>
        <v>14</v>
      </c>
      <c r="T430" s="2">
        <v>14</v>
      </c>
    </row>
    <row r="431" spans="1:28">
      <c r="A431" s="7">
        <f>MAX($A$1:$A430)+1</f>
        <v>430</v>
      </c>
      <c r="B431" s="2" t="str">
        <f t="shared" si="28"/>
        <v>Em Lim</v>
      </c>
      <c r="C431" s="2" t="str">
        <f t="shared" si="29"/>
        <v>Jasmin Schuster</v>
      </c>
      <c r="D431" s="2" t="str">
        <f t="shared" si="33"/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 t="shared" si="30"/>
        <v>10/05/2023</v>
      </c>
      <c r="I431" s="2">
        <f t="shared" si="34"/>
        <v>1.5</v>
      </c>
      <c r="J431" s="2">
        <f t="shared" si="35"/>
        <v>60</v>
      </c>
      <c r="K431" s="6">
        <f t="shared" si="36"/>
        <v>0.5625</v>
      </c>
      <c r="L431" s="2" t="str">
        <f t="shared" si="31"/>
        <v>EGL</v>
      </c>
      <c r="M431" s="2">
        <f t="shared" si="37"/>
        <v>7</v>
      </c>
      <c r="N431" s="2">
        <f t="shared" si="39"/>
        <v>2</v>
      </c>
      <c r="O431" s="2">
        <f t="shared" si="38"/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 t="shared" si="32"/>
        <v>39</v>
      </c>
      <c r="T431" s="2">
        <v>39</v>
      </c>
    </row>
    <row r="432" spans="1:28">
      <c r="A432" s="7">
        <f>MAX($A$1:$A431)+1</f>
        <v>431</v>
      </c>
      <c r="B432" s="2" t="str">
        <f t="shared" si="28"/>
        <v>Em Lim</v>
      </c>
      <c r="C432" s="2" t="str">
        <f t="shared" si="29"/>
        <v>Jasmin Schuster</v>
      </c>
      <c r="D432" s="2" t="str">
        <f t="shared" si="33"/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 t="shared" si="30"/>
        <v>10/05/2023</v>
      </c>
      <c r="I432" s="2">
        <f t="shared" si="34"/>
        <v>1.5</v>
      </c>
      <c r="J432" s="2">
        <f t="shared" si="35"/>
        <v>60</v>
      </c>
      <c r="K432" s="6">
        <f t="shared" si="36"/>
        <v>0.5625</v>
      </c>
      <c r="L432" s="2" t="str">
        <f t="shared" si="31"/>
        <v>EGL</v>
      </c>
      <c r="M432" s="2">
        <f t="shared" si="37"/>
        <v>7</v>
      </c>
      <c r="N432" s="2">
        <f t="shared" si="39"/>
        <v>2</v>
      </c>
      <c r="O432" s="2">
        <f t="shared" si="38"/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 t="shared" si="32"/>
        <v>22</v>
      </c>
      <c r="T432" s="2">
        <v>22</v>
      </c>
    </row>
    <row r="433" spans="1:26">
      <c r="A433" s="7">
        <f>MAX($A$1:$A432)+1</f>
        <v>432</v>
      </c>
      <c r="B433" s="2" t="str">
        <f t="shared" si="28"/>
        <v>Em Lim</v>
      </c>
      <c r="C433" s="2" t="str">
        <f t="shared" si="29"/>
        <v>Jasmin Schuster</v>
      </c>
      <c r="D433" s="2" t="str">
        <f t="shared" si="33"/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 t="shared" si="30"/>
        <v>10/05/2023</v>
      </c>
      <c r="I433" s="2">
        <f t="shared" si="34"/>
        <v>1.5</v>
      </c>
      <c r="J433" s="2">
        <f t="shared" si="35"/>
        <v>60</v>
      </c>
      <c r="K433" s="6">
        <f t="shared" si="36"/>
        <v>0.5625</v>
      </c>
      <c r="L433" s="2" t="str">
        <f t="shared" si="31"/>
        <v>EGL</v>
      </c>
      <c r="M433" s="2">
        <f t="shared" si="37"/>
        <v>7</v>
      </c>
      <c r="N433" s="2">
        <f t="shared" si="39"/>
        <v>2</v>
      </c>
      <c r="O433" s="2">
        <f t="shared" si="38"/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 t="shared" si="32"/>
        <v>21</v>
      </c>
      <c r="T433" s="2">
        <v>21</v>
      </c>
    </row>
    <row r="434" spans="1:26">
      <c r="A434" s="7">
        <f>MAX($A$1:$A433)+1</f>
        <v>433</v>
      </c>
      <c r="B434" s="2" t="str">
        <f t="shared" si="28"/>
        <v>Em Lim</v>
      </c>
      <c r="C434" s="2" t="str">
        <f t="shared" si="29"/>
        <v>Jasmin Schuster</v>
      </c>
      <c r="D434" s="2" t="str">
        <f t="shared" si="33"/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 t="shared" si="30"/>
        <v>10/05/2023</v>
      </c>
      <c r="I434" s="2">
        <f t="shared" si="34"/>
        <v>1.5</v>
      </c>
      <c r="J434" s="2">
        <f t="shared" si="35"/>
        <v>60</v>
      </c>
      <c r="K434" s="6">
        <f t="shared" si="36"/>
        <v>0.5625</v>
      </c>
      <c r="L434" s="2" t="str">
        <f t="shared" si="31"/>
        <v>EGL</v>
      </c>
      <c r="M434" s="2">
        <f t="shared" si="37"/>
        <v>7</v>
      </c>
      <c r="N434" s="2">
        <f t="shared" si="39"/>
        <v>2</v>
      </c>
      <c r="O434" s="2">
        <f t="shared" si="38"/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 t="shared" si="32"/>
        <v>1</v>
      </c>
      <c r="T434" s="2">
        <v>1</v>
      </c>
    </row>
    <row r="435" spans="1:26">
      <c r="A435" s="7">
        <f>MAX($A$1:$A434)+1</f>
        <v>434</v>
      </c>
      <c r="B435" s="2" t="str">
        <f t="shared" si="28"/>
        <v>Em Lim</v>
      </c>
      <c r="C435" s="2" t="str">
        <f t="shared" si="29"/>
        <v>Jasmin Schuster</v>
      </c>
      <c r="D435" s="2" t="str">
        <f t="shared" si="33"/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 t="shared" si="30"/>
        <v>10/05/2023</v>
      </c>
      <c r="I435" s="2">
        <f t="shared" si="34"/>
        <v>1.5</v>
      </c>
      <c r="J435" s="2">
        <f t="shared" si="35"/>
        <v>60</v>
      </c>
      <c r="K435" s="6">
        <f t="shared" si="36"/>
        <v>0.5625</v>
      </c>
      <c r="L435" s="2" t="str">
        <f t="shared" si="31"/>
        <v>EGL</v>
      </c>
      <c r="M435" s="2">
        <f t="shared" si="37"/>
        <v>7</v>
      </c>
      <c r="N435" s="2">
        <f t="shared" si="39"/>
        <v>2</v>
      </c>
      <c r="O435" s="2">
        <f t="shared" si="38"/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 t="shared" si="32"/>
        <v>2</v>
      </c>
      <c r="T435" s="2">
        <v>0</v>
      </c>
      <c r="U435" s="2">
        <v>1</v>
      </c>
      <c r="X435" s="2">
        <v>1</v>
      </c>
    </row>
    <row r="436" spans="1:26">
      <c r="A436" s="7">
        <f>MAX($A$1:$A435)+1</f>
        <v>435</v>
      </c>
      <c r="B436" s="2" t="str">
        <f t="shared" si="28"/>
        <v>Em Lim</v>
      </c>
      <c r="C436" s="2" t="str">
        <f t="shared" si="29"/>
        <v>Jasmin Schuster</v>
      </c>
      <c r="D436" s="2" t="str">
        <f t="shared" si="33"/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 t="shared" si="30"/>
        <v>10/05/2023</v>
      </c>
      <c r="I436" s="2">
        <f t="shared" si="34"/>
        <v>1.5</v>
      </c>
      <c r="J436" s="2">
        <f t="shared" si="35"/>
        <v>60</v>
      </c>
      <c r="K436" s="6">
        <f t="shared" si="36"/>
        <v>0.5625</v>
      </c>
      <c r="L436" s="2" t="str">
        <f t="shared" si="31"/>
        <v>EGL</v>
      </c>
      <c r="M436" s="2">
        <f t="shared" si="37"/>
        <v>7</v>
      </c>
      <c r="N436" s="2">
        <f t="shared" si="39"/>
        <v>2</v>
      </c>
      <c r="O436" s="2">
        <f t="shared" si="38"/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 t="shared" si="32"/>
        <v>20</v>
      </c>
      <c r="T436" s="2">
        <v>20</v>
      </c>
    </row>
    <row r="437" spans="1:26">
      <c r="A437" s="7">
        <f>MAX($A$1:$A436)+1</f>
        <v>436</v>
      </c>
      <c r="B437" s="2" t="str">
        <f t="shared" si="28"/>
        <v>Em Lim</v>
      </c>
      <c r="C437" s="2" t="str">
        <f t="shared" si="29"/>
        <v>Jasmin Schuster</v>
      </c>
      <c r="D437" s="2" t="str">
        <f t="shared" si="33"/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 t="shared" si="30"/>
        <v>10/05/2023</v>
      </c>
      <c r="I437" s="2">
        <f t="shared" si="34"/>
        <v>1.5</v>
      </c>
      <c r="J437" s="2">
        <f t="shared" si="35"/>
        <v>60</v>
      </c>
      <c r="K437" s="6">
        <f t="shared" si="36"/>
        <v>0.5625</v>
      </c>
      <c r="L437" s="2" t="str">
        <f t="shared" si="31"/>
        <v>EGL</v>
      </c>
      <c r="M437" s="2">
        <f t="shared" si="37"/>
        <v>7</v>
      </c>
      <c r="N437" s="2">
        <f t="shared" si="39"/>
        <v>2</v>
      </c>
      <c r="O437" s="2">
        <f t="shared" si="38"/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 t="shared" si="32"/>
        <v>9</v>
      </c>
      <c r="T437" s="2">
        <v>9</v>
      </c>
    </row>
    <row r="438" spans="1:26">
      <c r="A438" s="7">
        <f>MAX($A$1:$A437)+1</f>
        <v>437</v>
      </c>
      <c r="B438" s="2" t="str">
        <f t="shared" si="28"/>
        <v>Em Lim</v>
      </c>
      <c r="C438" s="2" t="str">
        <f t="shared" si="29"/>
        <v>Jasmin Schuster</v>
      </c>
      <c r="D438" s="2" t="str">
        <f t="shared" si="33"/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 t="shared" si="30"/>
        <v>10/05/2023</v>
      </c>
      <c r="I438" s="2">
        <f t="shared" si="34"/>
        <v>1.5</v>
      </c>
      <c r="J438" s="2">
        <f t="shared" si="35"/>
        <v>60</v>
      </c>
      <c r="K438" s="6">
        <f t="shared" si="36"/>
        <v>0.5625</v>
      </c>
      <c r="L438" s="2" t="str">
        <f t="shared" si="31"/>
        <v>EGL</v>
      </c>
      <c r="M438" s="2">
        <f t="shared" si="37"/>
        <v>7</v>
      </c>
      <c r="N438" s="2">
        <f t="shared" si="39"/>
        <v>2</v>
      </c>
      <c r="O438" s="2">
        <f t="shared" si="38"/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 t="shared" si="32"/>
        <v>1</v>
      </c>
      <c r="T438" s="2">
        <v>1</v>
      </c>
    </row>
    <row r="439" spans="1:26">
      <c r="A439" s="7">
        <f>MAX($A$1:$A438)+1</f>
        <v>438</v>
      </c>
      <c r="B439" s="2" t="str">
        <f t="shared" si="28"/>
        <v>Em Lim</v>
      </c>
      <c r="C439" s="2" t="str">
        <f t="shared" si="29"/>
        <v>Jasmin Schuster</v>
      </c>
      <c r="D439" s="2" t="str">
        <f t="shared" si="33"/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 t="shared" si="30"/>
        <v>10/05/2023</v>
      </c>
      <c r="I439" s="2">
        <f t="shared" si="34"/>
        <v>1.5</v>
      </c>
      <c r="J439" s="2">
        <f t="shared" si="35"/>
        <v>60</v>
      </c>
      <c r="K439" s="6">
        <f t="shared" si="36"/>
        <v>0.5625</v>
      </c>
      <c r="L439" s="2" t="str">
        <f t="shared" si="31"/>
        <v>EGL</v>
      </c>
      <c r="M439" s="2">
        <f t="shared" si="37"/>
        <v>7</v>
      </c>
      <c r="N439" s="2">
        <f t="shared" si="39"/>
        <v>2</v>
      </c>
      <c r="O439" s="2">
        <f t="shared" si="38"/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 t="shared" si="32"/>
        <v>3</v>
      </c>
      <c r="T439" s="2">
        <v>0</v>
      </c>
      <c r="U439" s="2">
        <v>3</v>
      </c>
    </row>
    <row r="440" spans="1:26">
      <c r="A440" s="7">
        <f>MAX($A$1:$A439)+1</f>
        <v>439</v>
      </c>
      <c r="B440" s="2" t="str">
        <f t="shared" si="28"/>
        <v>Em Lim</v>
      </c>
      <c r="C440" s="2" t="str">
        <f t="shared" si="29"/>
        <v>Jasmin Schuster</v>
      </c>
      <c r="D440" s="2" t="str">
        <f t="shared" si="33"/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 t="shared" si="30"/>
        <v>10/05/2023</v>
      </c>
      <c r="I440" s="2">
        <f t="shared" si="34"/>
        <v>1.5</v>
      </c>
      <c r="J440" s="2">
        <f t="shared" si="35"/>
        <v>60</v>
      </c>
      <c r="K440" s="6">
        <f t="shared" si="36"/>
        <v>0.5625</v>
      </c>
      <c r="L440" s="2" t="str">
        <f t="shared" si="31"/>
        <v>EGL</v>
      </c>
      <c r="M440" s="2">
        <f t="shared" si="37"/>
        <v>7</v>
      </c>
      <c r="N440" s="2">
        <f t="shared" si="39"/>
        <v>2</v>
      </c>
      <c r="O440" s="2">
        <f t="shared" si="38"/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 t="shared" si="32"/>
        <v>3</v>
      </c>
      <c r="T440" s="2">
        <v>3</v>
      </c>
    </row>
    <row r="441" spans="1:26">
      <c r="A441" s="7">
        <f>MAX($A$1:$A440)+1</f>
        <v>440</v>
      </c>
      <c r="B441" s="2" t="str">
        <f t="shared" si="28"/>
        <v>Em Lim</v>
      </c>
      <c r="C441" s="2" t="str">
        <f t="shared" si="29"/>
        <v>Jasmin Schuster</v>
      </c>
      <c r="D441" s="2" t="str">
        <f t="shared" si="33"/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 t="shared" si="30"/>
        <v>10/05/2023</v>
      </c>
      <c r="I441" s="2">
        <f t="shared" si="34"/>
        <v>1.5</v>
      </c>
      <c r="J441" s="2">
        <f t="shared" si="35"/>
        <v>60</v>
      </c>
      <c r="K441" s="6">
        <f t="shared" si="36"/>
        <v>0.5625</v>
      </c>
      <c r="L441" s="2" t="str">
        <f t="shared" si="31"/>
        <v>EGL</v>
      </c>
      <c r="M441" s="2">
        <f t="shared" si="37"/>
        <v>7</v>
      </c>
      <c r="N441" s="2">
        <f t="shared" si="39"/>
        <v>2</v>
      </c>
      <c r="O441" s="2">
        <f t="shared" si="38"/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 t="shared" si="32"/>
        <v>2</v>
      </c>
      <c r="T441" s="2">
        <v>2</v>
      </c>
    </row>
    <row r="442" spans="1:26">
      <c r="A442" s="7">
        <f>MAX($A$1:$A441)+1</f>
        <v>441</v>
      </c>
      <c r="B442" s="2" t="str">
        <f t="shared" si="28"/>
        <v>Em Lim</v>
      </c>
      <c r="C442" s="2" t="str">
        <f t="shared" si="29"/>
        <v>Jasmin Schuster</v>
      </c>
      <c r="D442" s="2" t="str">
        <f t="shared" si="33"/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 t="shared" si="30"/>
        <v>10/05/2023</v>
      </c>
      <c r="I442" s="2">
        <f t="shared" si="34"/>
        <v>1.5</v>
      </c>
      <c r="J442" s="2">
        <f t="shared" si="35"/>
        <v>60</v>
      </c>
      <c r="K442" s="6">
        <f t="shared" si="36"/>
        <v>0.5625</v>
      </c>
      <c r="L442" s="2" t="str">
        <f t="shared" si="31"/>
        <v>EGL</v>
      </c>
      <c r="M442" s="2">
        <f t="shared" si="37"/>
        <v>7</v>
      </c>
      <c r="N442" s="2">
        <f t="shared" si="39"/>
        <v>2</v>
      </c>
      <c r="O442" s="2">
        <f t="shared" si="38"/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 t="shared" si="32"/>
        <v>1</v>
      </c>
      <c r="T442" s="2">
        <v>1</v>
      </c>
    </row>
    <row r="443" spans="1:26">
      <c r="A443" s="7">
        <f>MAX($A$1:$A442)+1</f>
        <v>442</v>
      </c>
      <c r="B443" s="2" t="str">
        <f t="shared" si="28"/>
        <v>Em Lim</v>
      </c>
      <c r="C443" s="2" t="str">
        <f t="shared" si="29"/>
        <v>Jasmin Schuster</v>
      </c>
      <c r="D443" s="2" t="str">
        <f t="shared" si="33"/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 t="shared" si="30"/>
        <v>10/05/2023</v>
      </c>
      <c r="I443" s="2">
        <f t="shared" si="34"/>
        <v>1.5</v>
      </c>
      <c r="J443" s="2">
        <f t="shared" si="35"/>
        <v>60</v>
      </c>
      <c r="K443" s="6">
        <f t="shared" si="36"/>
        <v>0.5625</v>
      </c>
      <c r="L443" s="2" t="str">
        <f t="shared" si="31"/>
        <v>EGL</v>
      </c>
      <c r="M443" s="2">
        <f t="shared" si="37"/>
        <v>7</v>
      </c>
      <c r="N443" s="2">
        <f t="shared" si="39"/>
        <v>2</v>
      </c>
      <c r="O443" s="2">
        <f t="shared" si="38"/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 t="shared" si="32"/>
        <v>1</v>
      </c>
      <c r="T443" s="2">
        <v>1</v>
      </c>
    </row>
    <row r="444" spans="1:26">
      <c r="A444" s="7">
        <f>MAX($A$1:$A443)+1</f>
        <v>443</v>
      </c>
      <c r="B444" s="2" t="str">
        <f t="shared" si="28"/>
        <v>Em Lim</v>
      </c>
      <c r="C444" s="2" t="str">
        <f t="shared" si="29"/>
        <v>Jasmin Schuster</v>
      </c>
      <c r="D444" s="2" t="str">
        <f t="shared" si="33"/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 t="shared" si="30"/>
        <v>10/05/2023</v>
      </c>
      <c r="I444" s="2">
        <f t="shared" si="34"/>
        <v>1.5</v>
      </c>
      <c r="J444" s="2">
        <f t="shared" si="35"/>
        <v>60</v>
      </c>
      <c r="K444" s="6">
        <f t="shared" si="36"/>
        <v>0.5625</v>
      </c>
      <c r="L444" s="2" t="str">
        <f t="shared" si="31"/>
        <v>EGL</v>
      </c>
      <c r="M444" s="2">
        <f t="shared" si="37"/>
        <v>7</v>
      </c>
      <c r="N444" s="2">
        <f t="shared" si="39"/>
        <v>2</v>
      </c>
      <c r="O444" s="2">
        <f t="shared" si="38"/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 t="shared" si="32"/>
        <v>2</v>
      </c>
      <c r="T444" s="2">
        <v>2</v>
      </c>
    </row>
    <row r="445" spans="1:26">
      <c r="A445" s="7">
        <f>MAX($A$1:$A444)+1</f>
        <v>444</v>
      </c>
      <c r="B445" s="2" t="str">
        <f t="shared" si="28"/>
        <v>Em Lim</v>
      </c>
      <c r="C445" s="2" t="str">
        <f t="shared" si="29"/>
        <v>Jasmin Schuster</v>
      </c>
      <c r="D445" s="2" t="str">
        <f t="shared" si="33"/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 t="shared" si="30"/>
        <v>10/05/2023</v>
      </c>
      <c r="I445" s="2">
        <f t="shared" si="34"/>
        <v>1.5</v>
      </c>
      <c r="J445" s="2">
        <f t="shared" si="35"/>
        <v>60</v>
      </c>
      <c r="K445" s="6">
        <f t="shared" si="36"/>
        <v>0.5625</v>
      </c>
      <c r="L445" s="2" t="str">
        <f t="shared" si="31"/>
        <v>EGL</v>
      </c>
      <c r="M445" s="2">
        <f t="shared" si="37"/>
        <v>7</v>
      </c>
      <c r="N445" s="2">
        <f t="shared" si="39"/>
        <v>2</v>
      </c>
      <c r="O445" s="2">
        <f t="shared" si="38"/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 t="shared" si="32"/>
        <v>1</v>
      </c>
      <c r="T445" s="2">
        <v>1</v>
      </c>
    </row>
    <row r="446" spans="1:26">
      <c r="A446" s="7">
        <f>MAX($A$1:$A445)+1</f>
        <v>445</v>
      </c>
      <c r="B446" s="2" t="str">
        <f t="shared" si="28"/>
        <v>Em Lim</v>
      </c>
      <c r="C446" s="2" t="str">
        <f t="shared" si="29"/>
        <v>Jasmin Schuster</v>
      </c>
      <c r="D446" s="2" t="str">
        <f t="shared" si="33"/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 t="shared" si="30"/>
        <v>10/05/2023</v>
      </c>
      <c r="I446" s="2">
        <f t="shared" si="34"/>
        <v>1.5</v>
      </c>
      <c r="J446" s="2">
        <f t="shared" si="35"/>
        <v>60</v>
      </c>
      <c r="K446" s="6">
        <f t="shared" si="36"/>
        <v>0.5625</v>
      </c>
      <c r="L446" s="2" t="str">
        <f t="shared" si="31"/>
        <v>EGL</v>
      </c>
      <c r="M446" s="2">
        <f t="shared" si="37"/>
        <v>7</v>
      </c>
      <c r="N446" s="2">
        <f t="shared" si="39"/>
        <v>2</v>
      </c>
      <c r="O446" s="2">
        <f t="shared" si="38"/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 t="shared" si="32"/>
        <v>2</v>
      </c>
      <c r="T446" s="2">
        <v>0</v>
      </c>
      <c r="Z446" s="2">
        <v>2</v>
      </c>
    </row>
    <row r="447" spans="1:26">
      <c r="A447" s="7">
        <f>MAX($A$1:$A446)+1</f>
        <v>446</v>
      </c>
      <c r="B447" s="2" t="str">
        <f t="shared" si="28"/>
        <v>Em Lim</v>
      </c>
      <c r="C447" s="2" t="str">
        <f t="shared" si="29"/>
        <v>Jasmin Schuster</v>
      </c>
      <c r="D447" s="2" t="str">
        <f t="shared" si="33"/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 t="shared" si="30"/>
        <v>10/05/2023</v>
      </c>
      <c r="I447" s="2">
        <f t="shared" si="34"/>
        <v>1.5</v>
      </c>
      <c r="J447" s="2">
        <f t="shared" si="35"/>
        <v>60</v>
      </c>
      <c r="K447" s="6">
        <f t="shared" si="36"/>
        <v>0.5625</v>
      </c>
      <c r="L447" s="2" t="str">
        <f t="shared" si="31"/>
        <v>EGL</v>
      </c>
      <c r="M447" s="2">
        <f t="shared" si="37"/>
        <v>7</v>
      </c>
      <c r="N447" s="2">
        <f t="shared" si="39"/>
        <v>2</v>
      </c>
      <c r="O447" s="2">
        <f t="shared" si="38"/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 t="shared" si="32"/>
        <v>1</v>
      </c>
      <c r="T447" s="2">
        <v>1</v>
      </c>
    </row>
    <row r="448" spans="1:26">
      <c r="A448" s="7">
        <f>MAX($A$1:$A447)+1</f>
        <v>447</v>
      </c>
      <c r="B448" s="2" t="str">
        <f t="shared" si="28"/>
        <v>Em Lim</v>
      </c>
      <c r="C448" s="2" t="str">
        <f t="shared" si="29"/>
        <v>Jasmin Schuster</v>
      </c>
      <c r="D448" s="2" t="str">
        <f t="shared" si="33"/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 t="shared" si="30"/>
        <v>10/05/2023</v>
      </c>
      <c r="I448" s="2">
        <f t="shared" si="34"/>
        <v>1.5</v>
      </c>
      <c r="J448" s="2">
        <f t="shared" si="35"/>
        <v>60</v>
      </c>
      <c r="K448" s="6">
        <f t="shared" si="36"/>
        <v>0.5625</v>
      </c>
      <c r="L448" s="2" t="str">
        <f t="shared" si="31"/>
        <v>EGL</v>
      </c>
      <c r="M448" s="2">
        <f t="shared" si="37"/>
        <v>7</v>
      </c>
      <c r="N448" s="2">
        <f t="shared" si="39"/>
        <v>2</v>
      </c>
      <c r="O448" s="2">
        <f t="shared" si="38"/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 t="shared" si="32"/>
        <v>1</v>
      </c>
      <c r="T448" s="2">
        <v>0</v>
      </c>
      <c r="V448" s="2">
        <v>1</v>
      </c>
    </row>
    <row r="449" spans="1:28">
      <c r="A449" s="7">
        <f>MAX($A$1:$A448)+1</f>
        <v>448</v>
      </c>
      <c r="B449" s="2" t="str">
        <f t="shared" si="28"/>
        <v>Em Lim</v>
      </c>
      <c r="C449" s="2" t="str">
        <f t="shared" si="29"/>
        <v>Jasmin Schuster</v>
      </c>
      <c r="D449" s="2" t="str">
        <f t="shared" si="33"/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 t="shared" si="30"/>
        <v>10/05/2023</v>
      </c>
      <c r="I449" s="2">
        <f t="shared" si="34"/>
        <v>1.5</v>
      </c>
      <c r="J449" s="2">
        <f t="shared" si="35"/>
        <v>60</v>
      </c>
      <c r="K449" s="6">
        <f t="shared" si="36"/>
        <v>0.5625</v>
      </c>
      <c r="L449" s="2" t="str">
        <f t="shared" si="31"/>
        <v>EGL</v>
      </c>
      <c r="M449" s="2">
        <f t="shared" si="37"/>
        <v>7</v>
      </c>
      <c r="N449" s="2">
        <f t="shared" si="39"/>
        <v>2</v>
      </c>
      <c r="O449" s="2">
        <f t="shared" si="38"/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 t="shared" si="32"/>
        <v>1</v>
      </c>
      <c r="T449" s="2">
        <v>1</v>
      </c>
    </row>
    <row r="450" spans="1:28">
      <c r="A450" s="7">
        <f>MAX($A$1:$A449)+1</f>
        <v>449</v>
      </c>
      <c r="B450" s="2" t="str">
        <f t="shared" si="28"/>
        <v>Em Lim</v>
      </c>
      <c r="C450" s="2" t="str">
        <f t="shared" si="29"/>
        <v>Jasmin Schuster</v>
      </c>
      <c r="D450" s="2" t="str">
        <f t="shared" si="33"/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 t="shared" si="30"/>
        <v>10/05/2023</v>
      </c>
      <c r="I450" s="2">
        <f t="shared" si="34"/>
        <v>1.5</v>
      </c>
      <c r="J450" s="2">
        <f t="shared" si="35"/>
        <v>60</v>
      </c>
      <c r="K450" s="6">
        <f t="shared" si="36"/>
        <v>0.5625</v>
      </c>
      <c r="L450" s="2" t="str">
        <f t="shared" si="31"/>
        <v>EGL</v>
      </c>
      <c r="M450" s="2">
        <f t="shared" si="37"/>
        <v>7</v>
      </c>
      <c r="N450" s="2">
        <f t="shared" si="39"/>
        <v>2</v>
      </c>
      <c r="O450" s="2">
        <f t="shared" si="38"/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 t="shared" si="32"/>
        <v>2</v>
      </c>
      <c r="T450" s="2">
        <v>0</v>
      </c>
      <c r="V450" s="2">
        <v>2</v>
      </c>
    </row>
    <row r="451" spans="1:28">
      <c r="A451" s="7">
        <f>MAX($A$1:$A450)+1</f>
        <v>450</v>
      </c>
      <c r="B451" s="2" t="str">
        <f t="shared" si="28"/>
        <v>Em Lim</v>
      </c>
      <c r="C451" s="2" t="str">
        <f t="shared" si="29"/>
        <v>Jasmin Schuster</v>
      </c>
      <c r="D451" s="2" t="str">
        <f t="shared" si="33"/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 t="shared" si="30"/>
        <v>10/05/2023</v>
      </c>
      <c r="I451" s="2">
        <f t="shared" si="34"/>
        <v>1.5</v>
      </c>
      <c r="J451" s="2">
        <f t="shared" si="35"/>
        <v>60</v>
      </c>
      <c r="K451" s="6">
        <f t="shared" si="36"/>
        <v>0.5625</v>
      </c>
      <c r="L451" s="2" t="str">
        <f t="shared" si="31"/>
        <v>EGL</v>
      </c>
      <c r="M451" s="2">
        <f t="shared" si="37"/>
        <v>7</v>
      </c>
      <c r="N451" s="2">
        <f t="shared" si="39"/>
        <v>2</v>
      </c>
      <c r="O451" s="2">
        <f t="shared" si="38"/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 t="shared" si="32"/>
        <v>1</v>
      </c>
      <c r="T451" s="2">
        <v>1</v>
      </c>
    </row>
    <row r="452" spans="1:28">
      <c r="A452" s="7">
        <f>MAX($A$1:$A451)+1</f>
        <v>451</v>
      </c>
      <c r="B452" s="2" t="str">
        <f t="shared" si="28"/>
        <v>Em Lim</v>
      </c>
      <c r="C452" s="2" t="str">
        <f t="shared" si="29"/>
        <v>Jasmin Schuster</v>
      </c>
      <c r="D452" s="2" t="str">
        <f t="shared" si="33"/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 t="shared" si="30"/>
        <v>10/05/2023</v>
      </c>
      <c r="I452" s="2">
        <f t="shared" si="34"/>
        <v>1.5</v>
      </c>
      <c r="J452" s="2">
        <f t="shared" si="35"/>
        <v>60</v>
      </c>
      <c r="K452" s="6">
        <f t="shared" si="36"/>
        <v>0.5625</v>
      </c>
      <c r="L452" s="2" t="str">
        <f t="shared" si="31"/>
        <v>EGL</v>
      </c>
      <c r="M452" s="2">
        <f t="shared" si="37"/>
        <v>7</v>
      </c>
      <c r="N452" s="2">
        <f t="shared" si="39"/>
        <v>2</v>
      </c>
      <c r="O452" s="2">
        <f t="shared" si="38"/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 t="shared" si="32"/>
        <v>2</v>
      </c>
      <c r="T452" s="2">
        <v>2</v>
      </c>
    </row>
    <row r="453" spans="1:28">
      <c r="A453" s="7">
        <f>MAX($A$1:$A452)+1</f>
        <v>452</v>
      </c>
      <c r="B453" s="2" t="str">
        <f t="shared" si="28"/>
        <v>Em Lim</v>
      </c>
      <c r="C453" s="2" t="str">
        <f t="shared" si="29"/>
        <v>Jasmin Schuster</v>
      </c>
      <c r="D453" s="2" t="str">
        <f t="shared" si="33"/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 t="shared" si="30"/>
        <v>10/05/2023</v>
      </c>
      <c r="I453" s="2">
        <f t="shared" si="34"/>
        <v>1.5</v>
      </c>
      <c r="J453" s="2">
        <f t="shared" si="35"/>
        <v>60</v>
      </c>
      <c r="K453" s="6">
        <f t="shared" si="36"/>
        <v>0.5625</v>
      </c>
      <c r="L453" s="2" t="str">
        <f t="shared" si="31"/>
        <v>EGL</v>
      </c>
      <c r="M453" s="2">
        <f t="shared" si="37"/>
        <v>7</v>
      </c>
      <c r="N453" s="2">
        <f t="shared" si="39"/>
        <v>2</v>
      </c>
      <c r="O453" s="2">
        <f t="shared" si="38"/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 t="shared" si="32"/>
        <v>1</v>
      </c>
      <c r="T453" s="2">
        <v>1</v>
      </c>
    </row>
    <row r="454" spans="1:28">
      <c r="A454" s="7">
        <f>MAX($A$1:$A453)+1</f>
        <v>453</v>
      </c>
      <c r="B454" s="2" t="str">
        <f t="shared" si="28"/>
        <v>Em Lim</v>
      </c>
      <c r="C454" s="2" t="str">
        <f t="shared" si="29"/>
        <v>Jasmin Schuster</v>
      </c>
      <c r="D454" s="2" t="str">
        <f t="shared" si="33"/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 t="shared" si="30"/>
        <v>10/05/2023</v>
      </c>
      <c r="I454" s="2">
        <f t="shared" si="34"/>
        <v>1.5</v>
      </c>
      <c r="J454" s="2">
        <f t="shared" si="35"/>
        <v>60</v>
      </c>
      <c r="K454" s="6">
        <f t="shared" si="36"/>
        <v>0.5625</v>
      </c>
      <c r="L454" s="2" t="str">
        <f t="shared" si="31"/>
        <v>EGL</v>
      </c>
      <c r="M454" s="2">
        <f t="shared" si="37"/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 t="shared" si="32"/>
        <v>2</v>
      </c>
      <c r="T454" s="2">
        <v>0</v>
      </c>
      <c r="Y454" s="2">
        <v>2</v>
      </c>
    </row>
    <row r="455" spans="1:28">
      <c r="A455" s="7">
        <f>MAX($A$1:$A454)+1</f>
        <v>454</v>
      </c>
      <c r="B455" s="2" t="str">
        <f t="shared" si="28"/>
        <v>Em Lim</v>
      </c>
      <c r="C455" s="2" t="str">
        <f t="shared" si="29"/>
        <v>Jasmin Schuster</v>
      </c>
      <c r="D455" s="2" t="str">
        <f t="shared" si="33"/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 t="shared" si="30"/>
        <v>10/05/2023</v>
      </c>
      <c r="I455" s="2">
        <f t="shared" si="34"/>
        <v>1.5</v>
      </c>
      <c r="J455" s="2">
        <f t="shared" si="35"/>
        <v>60</v>
      </c>
      <c r="K455" s="6">
        <f t="shared" si="36"/>
        <v>0.5625</v>
      </c>
      <c r="L455" s="2" t="str">
        <f t="shared" si="31"/>
        <v>EGL</v>
      </c>
      <c r="M455" s="2">
        <f t="shared" si="37"/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 t="shared" si="32"/>
        <v>1</v>
      </c>
      <c r="T455" s="2">
        <v>0</v>
      </c>
      <c r="V455" s="2">
        <v>1</v>
      </c>
    </row>
    <row r="456" spans="1:28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>
      <c r="A479" s="7">
        <f>MAX($A$1:$A478)+1</f>
        <v>478</v>
      </c>
      <c r="B479" s="2" t="str">
        <f t="shared" ref="B479:B505" si="40">IF(ISERROR(B478),IF(ISERROR(B477),IF(ISERROR(B476),"BLANK",B476),B477),B478)</f>
        <v>Em Lim</v>
      </c>
      <c r="C479" s="2" t="str">
        <f t="shared" ref="C479:C505" si="41"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 t="shared" ref="H479:H505" si="42"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 t="shared" ref="L479:L505" si="43">IF(ISERROR(L478),IF(ISERROR(L477),IF(ISERROR(L476),"BLANK",L476),L477),L478)</f>
        <v>EGL</v>
      </c>
      <c r="M479" s="2">
        <f t="shared" ref="M479:M505" si="44"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 t="shared" ref="S479:S505" si="45"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>
      <c r="A480" s="7">
        <f>MAX($A$1:$A479)+1</f>
        <v>479</v>
      </c>
      <c r="B480" s="2" t="str">
        <f t="shared" si="40"/>
        <v>Em Lim</v>
      </c>
      <c r="C480" s="2" t="str">
        <f t="shared" si="41"/>
        <v>Jasmin Schuster</v>
      </c>
      <c r="D480" s="2" t="str">
        <f t="shared" ref="D480:D505" si="46"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 t="shared" si="42"/>
        <v>09/05/2023</v>
      </c>
      <c r="I480" s="2">
        <f t="shared" ref="I480:I505" si="47">IF(ISERROR(I479),IF(ISERROR(I478),IF(ISERROR(I477),"BLANK",I477),I478),I479)</f>
        <v>2.5</v>
      </c>
      <c r="J480" s="2">
        <f t="shared" ref="J480:J505" si="48">IF(ISERROR(J479),IF(ISERROR(J478),IF(ISERROR(J477),"BLANK",J477),J478),J479)</f>
        <v>300</v>
      </c>
      <c r="K480" s="6">
        <f t="shared" ref="K480:K505" si="49">IF(ISERROR(K479),IF(ISERROR(K478),IF(ISERROR(K477),"BLANK",K477),K478),K479)</f>
        <v>0.52430555555555558</v>
      </c>
      <c r="L480" s="2" t="str">
        <f t="shared" si="43"/>
        <v>EGL</v>
      </c>
      <c r="M480" s="2">
        <f t="shared" si="44"/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 t="shared" si="45"/>
        <v>1</v>
      </c>
      <c r="T480" s="2">
        <v>0</v>
      </c>
      <c r="Z480" s="2">
        <v>1</v>
      </c>
    </row>
    <row r="481" spans="1:29">
      <c r="A481" s="7">
        <f>MAX($A$1:$A480)+1</f>
        <v>480</v>
      </c>
      <c r="B481" s="2" t="str">
        <f t="shared" si="40"/>
        <v>Em Lim</v>
      </c>
      <c r="C481" s="2" t="str">
        <f t="shared" si="41"/>
        <v>Jasmin Schuster</v>
      </c>
      <c r="D481" s="2" t="str">
        <f t="shared" si="46"/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 t="shared" si="42"/>
        <v>09/05/2023</v>
      </c>
      <c r="I481" s="2">
        <f t="shared" si="47"/>
        <v>2.5</v>
      </c>
      <c r="J481" s="2">
        <f t="shared" si="48"/>
        <v>300</v>
      </c>
      <c r="K481" s="6">
        <f t="shared" si="49"/>
        <v>0.52430555555555558</v>
      </c>
      <c r="L481" s="2" t="str">
        <f t="shared" si="43"/>
        <v>EGL</v>
      </c>
      <c r="M481" s="2">
        <f t="shared" si="44"/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 t="shared" si="45"/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>
      <c r="A482" s="7">
        <f>MAX($A$1:$A481)+1</f>
        <v>481</v>
      </c>
      <c r="B482" s="2" t="str">
        <f t="shared" si="40"/>
        <v>Em Lim</v>
      </c>
      <c r="C482" s="2" t="str">
        <f t="shared" si="41"/>
        <v>Jasmin Schuster</v>
      </c>
      <c r="D482" s="2" t="str">
        <f t="shared" si="46"/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 t="shared" si="42"/>
        <v>09/05/2023</v>
      </c>
      <c r="I482" s="2">
        <f t="shared" si="47"/>
        <v>2.5</v>
      </c>
      <c r="J482" s="2">
        <f t="shared" si="48"/>
        <v>300</v>
      </c>
      <c r="K482" s="6">
        <f t="shared" si="49"/>
        <v>0.52430555555555558</v>
      </c>
      <c r="L482" s="2" t="str">
        <f t="shared" si="43"/>
        <v>EGL</v>
      </c>
      <c r="M482" s="2">
        <f t="shared" si="44"/>
        <v>7</v>
      </c>
      <c r="N482" s="2">
        <v>2</v>
      </c>
      <c r="O482" s="2">
        <f t="shared" ref="O482:O505" si="50"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 t="shared" si="45"/>
        <v>422</v>
      </c>
      <c r="T482" s="2">
        <v>422</v>
      </c>
    </row>
    <row r="483" spans="1:29">
      <c r="A483" s="7">
        <f>MAX($A$1:$A482)+1</f>
        <v>482</v>
      </c>
      <c r="B483" s="2" t="str">
        <f t="shared" si="40"/>
        <v>Em Lim</v>
      </c>
      <c r="C483" s="2" t="str">
        <f t="shared" si="41"/>
        <v>Jasmin Schuster</v>
      </c>
      <c r="D483" s="2" t="str">
        <f t="shared" si="46"/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 t="shared" si="42"/>
        <v>09/05/2023</v>
      </c>
      <c r="I483" s="2">
        <f t="shared" si="47"/>
        <v>2.5</v>
      </c>
      <c r="J483" s="2">
        <f t="shared" si="48"/>
        <v>300</v>
      </c>
      <c r="K483" s="6">
        <f t="shared" si="49"/>
        <v>0.52430555555555558</v>
      </c>
      <c r="L483" s="2" t="str">
        <f t="shared" si="43"/>
        <v>EGL</v>
      </c>
      <c r="M483" s="2">
        <f t="shared" si="44"/>
        <v>7</v>
      </c>
      <c r="N483" s="2">
        <f t="shared" ref="N483:N505" si="51">IF(ISERROR(N482),IF(ISERROR(N481),IF(ISERROR(N480),"BLANK",N480),N481),N482)</f>
        <v>2</v>
      </c>
      <c r="O483" s="2">
        <f t="shared" si="50"/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 t="shared" si="45"/>
        <v>14</v>
      </c>
      <c r="T483" s="2">
        <v>14</v>
      </c>
    </row>
    <row r="484" spans="1:29">
      <c r="A484" s="7">
        <f>MAX($A$1:$A483)+1</f>
        <v>483</v>
      </c>
      <c r="B484" s="2" t="str">
        <f t="shared" si="40"/>
        <v>Em Lim</v>
      </c>
      <c r="C484" s="2" t="str">
        <f t="shared" si="41"/>
        <v>Jasmin Schuster</v>
      </c>
      <c r="D484" s="2" t="str">
        <f t="shared" si="46"/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 t="shared" si="42"/>
        <v>09/05/2023</v>
      </c>
      <c r="I484" s="2">
        <f t="shared" si="47"/>
        <v>2.5</v>
      </c>
      <c r="J484" s="2">
        <f t="shared" si="48"/>
        <v>300</v>
      </c>
      <c r="K484" s="6">
        <f t="shared" si="49"/>
        <v>0.52430555555555558</v>
      </c>
      <c r="L484" s="2" t="str">
        <f t="shared" si="43"/>
        <v>EGL</v>
      </c>
      <c r="M484" s="2">
        <f t="shared" si="44"/>
        <v>7</v>
      </c>
      <c r="N484" s="2">
        <f t="shared" si="51"/>
        <v>2</v>
      </c>
      <c r="O484" s="2">
        <f t="shared" si="50"/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 t="shared" si="45"/>
        <v>17</v>
      </c>
      <c r="T484" s="2">
        <v>17</v>
      </c>
    </row>
    <row r="485" spans="1:29">
      <c r="A485" s="7">
        <f>MAX($A$1:$A484)+1</f>
        <v>484</v>
      </c>
      <c r="B485" s="2" t="str">
        <f t="shared" si="40"/>
        <v>Em Lim</v>
      </c>
      <c r="C485" s="2" t="str">
        <f t="shared" si="41"/>
        <v>Jasmin Schuster</v>
      </c>
      <c r="D485" s="2" t="str">
        <f t="shared" si="46"/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 t="shared" si="42"/>
        <v>09/05/2023</v>
      </c>
      <c r="I485" s="2">
        <f t="shared" si="47"/>
        <v>2.5</v>
      </c>
      <c r="J485" s="2">
        <f t="shared" si="48"/>
        <v>300</v>
      </c>
      <c r="K485" s="6">
        <f t="shared" si="49"/>
        <v>0.52430555555555558</v>
      </c>
      <c r="L485" s="2" t="str">
        <f t="shared" si="43"/>
        <v>EGL</v>
      </c>
      <c r="M485" s="2">
        <f t="shared" si="44"/>
        <v>7</v>
      </c>
      <c r="N485" s="2">
        <f t="shared" si="51"/>
        <v>2</v>
      </c>
      <c r="O485" s="2">
        <f t="shared" si="50"/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 t="shared" si="45"/>
        <v>45</v>
      </c>
      <c r="T485" s="2">
        <v>45</v>
      </c>
    </row>
    <row r="486" spans="1:29">
      <c r="A486" s="7">
        <f>MAX($A$1:$A485)+1</f>
        <v>485</v>
      </c>
      <c r="B486" s="2" t="str">
        <f t="shared" si="40"/>
        <v>Em Lim</v>
      </c>
      <c r="C486" s="2" t="str">
        <f t="shared" si="41"/>
        <v>Jasmin Schuster</v>
      </c>
      <c r="D486" s="2" t="str">
        <f t="shared" si="46"/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 t="shared" si="42"/>
        <v>09/05/2023</v>
      </c>
      <c r="I486" s="2">
        <f t="shared" si="47"/>
        <v>2.5</v>
      </c>
      <c r="J486" s="2">
        <f t="shared" si="48"/>
        <v>300</v>
      </c>
      <c r="K486" s="6">
        <f t="shared" si="49"/>
        <v>0.52430555555555558</v>
      </c>
      <c r="L486" s="2" t="str">
        <f t="shared" si="43"/>
        <v>EGL</v>
      </c>
      <c r="M486" s="2">
        <f t="shared" si="44"/>
        <v>7</v>
      </c>
      <c r="N486" s="2">
        <f t="shared" si="51"/>
        <v>2</v>
      </c>
      <c r="O486" s="2">
        <f t="shared" si="50"/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 t="shared" si="45"/>
        <v>16</v>
      </c>
      <c r="T486" s="2">
        <v>16</v>
      </c>
    </row>
    <row r="487" spans="1:29">
      <c r="A487" s="7">
        <f>MAX($A$1:$A486)+1</f>
        <v>486</v>
      </c>
      <c r="B487" s="2" t="str">
        <f t="shared" si="40"/>
        <v>Em Lim</v>
      </c>
      <c r="C487" s="2" t="str">
        <f t="shared" si="41"/>
        <v>Jasmin Schuster</v>
      </c>
      <c r="D487" s="2" t="str">
        <f t="shared" si="46"/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 t="shared" si="42"/>
        <v>09/05/2023</v>
      </c>
      <c r="I487" s="2">
        <f t="shared" si="47"/>
        <v>2.5</v>
      </c>
      <c r="J487" s="2">
        <f t="shared" si="48"/>
        <v>300</v>
      </c>
      <c r="K487" s="6">
        <f t="shared" si="49"/>
        <v>0.52430555555555558</v>
      </c>
      <c r="L487" s="2" t="str">
        <f t="shared" si="43"/>
        <v>EGL</v>
      </c>
      <c r="M487" s="2">
        <f t="shared" si="44"/>
        <v>7</v>
      </c>
      <c r="N487" s="2">
        <f t="shared" si="51"/>
        <v>2</v>
      </c>
      <c r="O487" s="2">
        <f t="shared" si="50"/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 t="shared" si="45"/>
        <v>21</v>
      </c>
      <c r="T487" s="2">
        <v>21</v>
      </c>
    </row>
    <row r="488" spans="1:29">
      <c r="A488" s="7">
        <f>MAX($A$1:$A487)+1</f>
        <v>487</v>
      </c>
      <c r="B488" s="2" t="str">
        <f t="shared" si="40"/>
        <v>Em Lim</v>
      </c>
      <c r="C488" s="2" t="str">
        <f t="shared" si="41"/>
        <v>Jasmin Schuster</v>
      </c>
      <c r="D488" s="2" t="str">
        <f t="shared" si="46"/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 t="shared" si="42"/>
        <v>09/05/2023</v>
      </c>
      <c r="I488" s="2">
        <f t="shared" si="47"/>
        <v>2.5</v>
      </c>
      <c r="J488" s="2">
        <f t="shared" si="48"/>
        <v>300</v>
      </c>
      <c r="K488" s="6">
        <f t="shared" si="49"/>
        <v>0.52430555555555558</v>
      </c>
      <c r="L488" s="2" t="str">
        <f t="shared" si="43"/>
        <v>EGL</v>
      </c>
      <c r="M488" s="2">
        <f t="shared" si="44"/>
        <v>7</v>
      </c>
      <c r="N488" s="2">
        <f t="shared" si="51"/>
        <v>2</v>
      </c>
      <c r="O488" s="2">
        <f t="shared" si="50"/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 t="shared" si="45"/>
        <v>11</v>
      </c>
      <c r="T488" s="2">
        <v>11</v>
      </c>
    </row>
    <row r="489" spans="1:29">
      <c r="A489" s="7">
        <f>MAX($A$1:$A488)+1</f>
        <v>488</v>
      </c>
      <c r="B489" s="2" t="str">
        <f t="shared" si="40"/>
        <v>Em Lim</v>
      </c>
      <c r="C489" s="2" t="str">
        <f t="shared" si="41"/>
        <v>Jasmin Schuster</v>
      </c>
      <c r="D489" s="2" t="str">
        <f t="shared" si="46"/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 t="shared" si="42"/>
        <v>09/05/2023</v>
      </c>
      <c r="I489" s="2">
        <f t="shared" si="47"/>
        <v>2.5</v>
      </c>
      <c r="J489" s="2">
        <f t="shared" si="48"/>
        <v>300</v>
      </c>
      <c r="K489" s="6">
        <f t="shared" si="49"/>
        <v>0.52430555555555558</v>
      </c>
      <c r="L489" s="2" t="str">
        <f t="shared" si="43"/>
        <v>EGL</v>
      </c>
      <c r="M489" s="2">
        <f t="shared" si="44"/>
        <v>7</v>
      </c>
      <c r="N489" s="2">
        <f t="shared" si="51"/>
        <v>2</v>
      </c>
      <c r="O489" s="2">
        <f t="shared" si="50"/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 t="shared" si="45"/>
        <v>7</v>
      </c>
      <c r="T489" s="2">
        <v>7</v>
      </c>
    </row>
    <row r="490" spans="1:29">
      <c r="A490" s="7">
        <f>MAX($A$1:$A489)+1</f>
        <v>489</v>
      </c>
      <c r="B490" s="2" t="str">
        <f t="shared" si="40"/>
        <v>Em Lim</v>
      </c>
      <c r="C490" s="2" t="str">
        <f t="shared" si="41"/>
        <v>Jasmin Schuster</v>
      </c>
      <c r="D490" s="2" t="str">
        <f t="shared" si="46"/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 t="shared" si="42"/>
        <v>09/05/2023</v>
      </c>
      <c r="I490" s="2">
        <f t="shared" si="47"/>
        <v>2.5</v>
      </c>
      <c r="J490" s="2">
        <f t="shared" si="48"/>
        <v>300</v>
      </c>
      <c r="K490" s="6">
        <f t="shared" si="49"/>
        <v>0.52430555555555558</v>
      </c>
      <c r="L490" s="2" t="str">
        <f t="shared" si="43"/>
        <v>EGL</v>
      </c>
      <c r="M490" s="2">
        <f t="shared" si="44"/>
        <v>7</v>
      </c>
      <c r="N490" s="2">
        <f t="shared" si="51"/>
        <v>2</v>
      </c>
      <c r="O490" s="2">
        <f t="shared" si="50"/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 t="shared" si="45"/>
        <v>2</v>
      </c>
      <c r="V490" s="2">
        <v>1</v>
      </c>
      <c r="Y490" s="2">
        <v>1</v>
      </c>
    </row>
    <row r="491" spans="1:29">
      <c r="A491" s="7">
        <f>MAX($A$1:$A490)+1</f>
        <v>490</v>
      </c>
      <c r="B491" s="2" t="str">
        <f t="shared" si="40"/>
        <v>Em Lim</v>
      </c>
      <c r="C491" s="2" t="str">
        <f t="shared" si="41"/>
        <v>Jasmin Schuster</v>
      </c>
      <c r="D491" s="2" t="str">
        <f t="shared" si="46"/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 t="shared" si="42"/>
        <v>09/05/2023</v>
      </c>
      <c r="I491" s="2">
        <f t="shared" si="47"/>
        <v>2.5</v>
      </c>
      <c r="J491" s="2">
        <f t="shared" si="48"/>
        <v>300</v>
      </c>
      <c r="K491" s="6">
        <f t="shared" si="49"/>
        <v>0.52430555555555558</v>
      </c>
      <c r="L491" s="2" t="str">
        <f t="shared" si="43"/>
        <v>EGL</v>
      </c>
      <c r="M491" s="2">
        <f t="shared" si="44"/>
        <v>7</v>
      </c>
      <c r="N491" s="2">
        <f t="shared" si="51"/>
        <v>2</v>
      </c>
      <c r="O491" s="2">
        <f t="shared" si="50"/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 t="shared" si="45"/>
        <v>2</v>
      </c>
      <c r="T491" s="2">
        <v>0</v>
      </c>
      <c r="U491" s="2">
        <v>2</v>
      </c>
    </row>
    <row r="492" spans="1:29">
      <c r="A492" s="7">
        <f>MAX($A$1:$A491)+1</f>
        <v>491</v>
      </c>
      <c r="B492" s="2" t="str">
        <f t="shared" si="40"/>
        <v>Em Lim</v>
      </c>
      <c r="C492" s="2" t="str">
        <f t="shared" si="41"/>
        <v>Jasmin Schuster</v>
      </c>
      <c r="D492" s="2" t="str">
        <f t="shared" si="46"/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 t="shared" si="42"/>
        <v>09/05/2023</v>
      </c>
      <c r="I492" s="2">
        <f t="shared" si="47"/>
        <v>2.5</v>
      </c>
      <c r="J492" s="2">
        <f t="shared" si="48"/>
        <v>300</v>
      </c>
      <c r="K492" s="6">
        <f t="shared" si="49"/>
        <v>0.52430555555555558</v>
      </c>
      <c r="L492" s="2" t="str">
        <f t="shared" si="43"/>
        <v>EGL</v>
      </c>
      <c r="M492" s="2">
        <f t="shared" si="44"/>
        <v>7</v>
      </c>
      <c r="N492" s="2">
        <f t="shared" si="51"/>
        <v>2</v>
      </c>
      <c r="O492" s="2">
        <f t="shared" si="50"/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 t="shared" si="45"/>
        <v>1</v>
      </c>
      <c r="T492" s="2">
        <v>0</v>
      </c>
      <c r="V492" s="2">
        <v>1</v>
      </c>
    </row>
    <row r="493" spans="1:29">
      <c r="A493" s="7">
        <f>MAX($A$1:$A492)+1</f>
        <v>492</v>
      </c>
      <c r="B493" s="2" t="str">
        <f t="shared" si="40"/>
        <v>Em Lim</v>
      </c>
      <c r="C493" s="2" t="str">
        <f t="shared" si="41"/>
        <v>Jasmin Schuster</v>
      </c>
      <c r="D493" s="2" t="str">
        <f t="shared" si="46"/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 t="shared" si="42"/>
        <v>09/05/2023</v>
      </c>
      <c r="I493" s="2">
        <f t="shared" si="47"/>
        <v>2.5</v>
      </c>
      <c r="J493" s="2">
        <f t="shared" si="48"/>
        <v>300</v>
      </c>
      <c r="K493" s="6">
        <f t="shared" si="49"/>
        <v>0.52430555555555558</v>
      </c>
      <c r="L493" s="2" t="str">
        <f t="shared" si="43"/>
        <v>EGL</v>
      </c>
      <c r="M493" s="2">
        <f t="shared" si="44"/>
        <v>7</v>
      </c>
      <c r="N493" s="2">
        <f t="shared" si="51"/>
        <v>2</v>
      </c>
      <c r="O493" s="2">
        <f t="shared" si="50"/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 t="shared" si="45"/>
        <v>3</v>
      </c>
      <c r="T493" s="2">
        <v>3</v>
      </c>
    </row>
    <row r="494" spans="1:29">
      <c r="A494" s="7">
        <f>MAX($A$1:$A493)+1</f>
        <v>493</v>
      </c>
      <c r="B494" s="2" t="str">
        <f t="shared" si="40"/>
        <v>Em Lim</v>
      </c>
      <c r="C494" s="2" t="str">
        <f t="shared" si="41"/>
        <v>Jasmin Schuster</v>
      </c>
      <c r="D494" s="2" t="str">
        <f t="shared" si="46"/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 t="shared" si="42"/>
        <v>09/05/2023</v>
      </c>
      <c r="I494" s="2">
        <f t="shared" si="47"/>
        <v>2.5</v>
      </c>
      <c r="J494" s="2">
        <f t="shared" si="48"/>
        <v>300</v>
      </c>
      <c r="K494" s="6">
        <f t="shared" si="49"/>
        <v>0.52430555555555558</v>
      </c>
      <c r="L494" s="2" t="str">
        <f t="shared" si="43"/>
        <v>EGL</v>
      </c>
      <c r="M494" s="2">
        <f t="shared" si="44"/>
        <v>7</v>
      </c>
      <c r="N494" s="2">
        <f t="shared" si="51"/>
        <v>2</v>
      </c>
      <c r="O494" s="2">
        <f t="shared" si="50"/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 t="shared" si="45"/>
        <v>1</v>
      </c>
      <c r="T494" s="2">
        <v>1</v>
      </c>
    </row>
    <row r="495" spans="1:29">
      <c r="A495" s="7">
        <f>MAX($A$1:$A494)+1</f>
        <v>494</v>
      </c>
      <c r="B495" s="2" t="str">
        <f t="shared" si="40"/>
        <v>Em Lim</v>
      </c>
      <c r="C495" s="2" t="str">
        <f t="shared" si="41"/>
        <v>Jasmin Schuster</v>
      </c>
      <c r="D495" s="2" t="str">
        <f t="shared" si="46"/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 t="shared" si="42"/>
        <v>09/05/2023</v>
      </c>
      <c r="I495" s="2">
        <f t="shared" si="47"/>
        <v>2.5</v>
      </c>
      <c r="J495" s="2">
        <f t="shared" si="48"/>
        <v>300</v>
      </c>
      <c r="K495" s="6">
        <f t="shared" si="49"/>
        <v>0.52430555555555558</v>
      </c>
      <c r="L495" s="2" t="str">
        <f t="shared" si="43"/>
        <v>EGL</v>
      </c>
      <c r="M495" s="2">
        <f t="shared" si="44"/>
        <v>7</v>
      </c>
      <c r="N495" s="2">
        <f t="shared" si="51"/>
        <v>2</v>
      </c>
      <c r="O495" s="2">
        <f t="shared" si="50"/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 t="shared" si="45"/>
        <v>1</v>
      </c>
      <c r="U495" s="2">
        <v>1</v>
      </c>
    </row>
    <row r="496" spans="1:29">
      <c r="A496" s="7">
        <f>MAX($A$1:$A495)+1</f>
        <v>495</v>
      </c>
      <c r="B496" s="2" t="str">
        <f t="shared" si="40"/>
        <v>Em Lim</v>
      </c>
      <c r="C496" s="2" t="str">
        <f t="shared" si="41"/>
        <v>Jasmin Schuster</v>
      </c>
      <c r="D496" s="2" t="str">
        <f t="shared" si="46"/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 t="shared" si="42"/>
        <v>09/05/2023</v>
      </c>
      <c r="I496" s="2">
        <f t="shared" si="47"/>
        <v>2.5</v>
      </c>
      <c r="J496" s="2">
        <f t="shared" si="48"/>
        <v>300</v>
      </c>
      <c r="K496" s="6">
        <f t="shared" si="49"/>
        <v>0.52430555555555558</v>
      </c>
      <c r="L496" s="2" t="str">
        <f t="shared" si="43"/>
        <v>EGL</v>
      </c>
      <c r="M496" s="2">
        <f t="shared" si="44"/>
        <v>7</v>
      </c>
      <c r="N496" s="2">
        <f t="shared" si="51"/>
        <v>2</v>
      </c>
      <c r="O496" s="2">
        <f t="shared" si="50"/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 t="shared" si="45"/>
        <v>2</v>
      </c>
      <c r="T496" s="2">
        <v>0</v>
      </c>
      <c r="W496" s="2">
        <v>2</v>
      </c>
    </row>
    <row r="497" spans="1:32">
      <c r="A497" s="7">
        <f>MAX($A$1:$A496)+1</f>
        <v>496</v>
      </c>
      <c r="B497" s="2" t="str">
        <f t="shared" si="40"/>
        <v>Em Lim</v>
      </c>
      <c r="C497" s="2" t="str">
        <f t="shared" si="41"/>
        <v>Jasmin Schuster</v>
      </c>
      <c r="D497" s="2" t="str">
        <f t="shared" si="46"/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 t="shared" si="42"/>
        <v>09/05/2023</v>
      </c>
      <c r="I497" s="2">
        <f t="shared" si="47"/>
        <v>2.5</v>
      </c>
      <c r="J497" s="2">
        <f t="shared" si="48"/>
        <v>300</v>
      </c>
      <c r="K497" s="6">
        <f t="shared" si="49"/>
        <v>0.52430555555555558</v>
      </c>
      <c r="L497" s="2" t="str">
        <f t="shared" si="43"/>
        <v>EGL</v>
      </c>
      <c r="M497" s="2">
        <f t="shared" si="44"/>
        <v>7</v>
      </c>
      <c r="N497" s="2">
        <f t="shared" si="51"/>
        <v>2</v>
      </c>
      <c r="O497" s="2">
        <f t="shared" si="50"/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 t="shared" si="45"/>
        <v>2</v>
      </c>
      <c r="T497" s="2">
        <v>0</v>
      </c>
      <c r="U497" s="2">
        <v>2</v>
      </c>
    </row>
    <row r="498" spans="1:32">
      <c r="A498" s="7">
        <f>MAX($A$1:$A497)+1</f>
        <v>497</v>
      </c>
      <c r="B498" s="2" t="str">
        <f t="shared" si="40"/>
        <v>Em Lim</v>
      </c>
      <c r="C498" s="2" t="str">
        <f t="shared" si="41"/>
        <v>Jasmin Schuster</v>
      </c>
      <c r="D498" s="2" t="str">
        <f t="shared" si="46"/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 t="shared" si="42"/>
        <v>09/05/2023</v>
      </c>
      <c r="I498" s="2">
        <f t="shared" si="47"/>
        <v>2.5</v>
      </c>
      <c r="J498" s="2">
        <f t="shared" si="48"/>
        <v>300</v>
      </c>
      <c r="K498" s="6">
        <f t="shared" si="49"/>
        <v>0.52430555555555558</v>
      </c>
      <c r="L498" s="2" t="str">
        <f t="shared" si="43"/>
        <v>EGL</v>
      </c>
      <c r="M498" s="2">
        <f t="shared" si="44"/>
        <v>7</v>
      </c>
      <c r="N498" s="2">
        <f t="shared" si="51"/>
        <v>2</v>
      </c>
      <c r="O498" s="2">
        <f t="shared" si="50"/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 t="shared" si="45"/>
        <v>1</v>
      </c>
      <c r="T498" s="2">
        <v>1</v>
      </c>
    </row>
    <row r="499" spans="1:32">
      <c r="A499" s="7">
        <f>MAX($A$1:$A498)+1</f>
        <v>498</v>
      </c>
      <c r="B499" s="2" t="str">
        <f t="shared" si="40"/>
        <v>Em Lim</v>
      </c>
      <c r="C499" s="2" t="str">
        <f t="shared" si="41"/>
        <v>Jasmin Schuster</v>
      </c>
      <c r="D499" s="2" t="str">
        <f t="shared" si="46"/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 t="shared" si="42"/>
        <v>09/05/2023</v>
      </c>
      <c r="I499" s="2">
        <f t="shared" si="47"/>
        <v>2.5</v>
      </c>
      <c r="J499" s="2">
        <f t="shared" si="48"/>
        <v>300</v>
      </c>
      <c r="K499" s="6">
        <f t="shared" si="49"/>
        <v>0.52430555555555558</v>
      </c>
      <c r="L499" s="2" t="str">
        <f t="shared" si="43"/>
        <v>EGL</v>
      </c>
      <c r="M499" s="2">
        <f t="shared" si="44"/>
        <v>7</v>
      </c>
      <c r="N499" s="2">
        <f t="shared" si="51"/>
        <v>2</v>
      </c>
      <c r="O499" s="2">
        <f t="shared" si="50"/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 t="shared" si="45"/>
        <v>2</v>
      </c>
      <c r="T499" s="2">
        <v>2</v>
      </c>
    </row>
    <row r="500" spans="1:32">
      <c r="A500" s="7">
        <f>MAX($A$1:$A499)+1</f>
        <v>499</v>
      </c>
      <c r="B500" s="2" t="str">
        <f t="shared" si="40"/>
        <v>Em Lim</v>
      </c>
      <c r="C500" s="2" t="str">
        <f t="shared" si="41"/>
        <v>Jasmin Schuster</v>
      </c>
      <c r="D500" s="2" t="str">
        <f t="shared" si="46"/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 t="shared" si="42"/>
        <v>09/05/2023</v>
      </c>
      <c r="I500" s="2">
        <f t="shared" si="47"/>
        <v>2.5</v>
      </c>
      <c r="J500" s="2">
        <f t="shared" si="48"/>
        <v>300</v>
      </c>
      <c r="K500" s="6">
        <f t="shared" si="49"/>
        <v>0.52430555555555558</v>
      </c>
      <c r="L500" s="2" t="str">
        <f t="shared" si="43"/>
        <v>EGL</v>
      </c>
      <c r="M500" s="2">
        <f t="shared" si="44"/>
        <v>7</v>
      </c>
      <c r="N500" s="2">
        <f t="shared" si="51"/>
        <v>2</v>
      </c>
      <c r="O500" s="2">
        <f t="shared" si="50"/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 t="shared" si="45"/>
        <v>1</v>
      </c>
      <c r="T500" s="2">
        <v>1</v>
      </c>
    </row>
    <row r="501" spans="1:32">
      <c r="A501" s="7">
        <f>MAX($A$1:$A500)+1</f>
        <v>500</v>
      </c>
      <c r="B501" s="2" t="str">
        <f t="shared" si="40"/>
        <v>Em Lim</v>
      </c>
      <c r="C501" s="2" t="str">
        <f t="shared" si="41"/>
        <v>Jasmin Schuster</v>
      </c>
      <c r="D501" s="2" t="str">
        <f t="shared" si="46"/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 t="shared" si="42"/>
        <v>09/05/2023</v>
      </c>
      <c r="I501" s="2">
        <f t="shared" si="47"/>
        <v>2.5</v>
      </c>
      <c r="J501" s="2">
        <f t="shared" si="48"/>
        <v>300</v>
      </c>
      <c r="K501" s="6">
        <f t="shared" si="49"/>
        <v>0.52430555555555558</v>
      </c>
      <c r="L501" s="2" t="str">
        <f t="shared" si="43"/>
        <v>EGL</v>
      </c>
      <c r="M501" s="2">
        <f t="shared" si="44"/>
        <v>7</v>
      </c>
      <c r="N501" s="2">
        <f t="shared" si="51"/>
        <v>2</v>
      </c>
      <c r="O501" s="2">
        <f t="shared" si="50"/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 t="shared" si="45"/>
        <v>2</v>
      </c>
      <c r="T501" s="2">
        <v>0</v>
      </c>
      <c r="X501" s="2">
        <v>1</v>
      </c>
      <c r="Z501" s="2">
        <v>1</v>
      </c>
    </row>
    <row r="502" spans="1:32">
      <c r="A502" s="7">
        <f>MAX($A$1:$A501)+1</f>
        <v>501</v>
      </c>
      <c r="B502" s="2" t="str">
        <f t="shared" si="40"/>
        <v>Em Lim</v>
      </c>
      <c r="C502" s="2" t="str">
        <f t="shared" si="41"/>
        <v>Jasmin Schuster</v>
      </c>
      <c r="D502" s="2" t="str">
        <f t="shared" si="46"/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 t="shared" si="42"/>
        <v>09/05/2023</v>
      </c>
      <c r="I502" s="2">
        <f t="shared" si="47"/>
        <v>2.5</v>
      </c>
      <c r="J502" s="2">
        <f t="shared" si="48"/>
        <v>300</v>
      </c>
      <c r="K502" s="6">
        <f t="shared" si="49"/>
        <v>0.52430555555555558</v>
      </c>
      <c r="L502" s="2" t="str">
        <f t="shared" si="43"/>
        <v>EGL</v>
      </c>
      <c r="M502" s="2">
        <f t="shared" si="44"/>
        <v>7</v>
      </c>
      <c r="N502" s="2">
        <f t="shared" si="51"/>
        <v>2</v>
      </c>
      <c r="O502" s="2">
        <f t="shared" si="50"/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 t="shared" si="45"/>
        <v>2</v>
      </c>
      <c r="T502" s="2">
        <v>2</v>
      </c>
    </row>
    <row r="503" spans="1:32">
      <c r="A503" s="7">
        <f>MAX($A$1:$A502)+1</f>
        <v>502</v>
      </c>
      <c r="B503" s="2" t="str">
        <f t="shared" si="40"/>
        <v>Em Lim</v>
      </c>
      <c r="C503" s="2" t="str">
        <f t="shared" si="41"/>
        <v>Jasmin Schuster</v>
      </c>
      <c r="D503" s="2" t="str">
        <f t="shared" si="46"/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 t="shared" si="42"/>
        <v>09/05/2023</v>
      </c>
      <c r="I503" s="2">
        <f t="shared" si="47"/>
        <v>2.5</v>
      </c>
      <c r="J503" s="2">
        <f t="shared" si="48"/>
        <v>300</v>
      </c>
      <c r="K503" s="6">
        <f t="shared" si="49"/>
        <v>0.52430555555555558</v>
      </c>
      <c r="L503" s="2" t="str">
        <f t="shared" si="43"/>
        <v>EGL</v>
      </c>
      <c r="M503" s="2">
        <f t="shared" si="44"/>
        <v>7</v>
      </c>
      <c r="N503" s="2">
        <f t="shared" si="51"/>
        <v>2</v>
      </c>
      <c r="O503" s="2">
        <f t="shared" si="50"/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 t="shared" si="45"/>
        <v>1</v>
      </c>
      <c r="T503" s="2">
        <v>1</v>
      </c>
    </row>
    <row r="504" spans="1:32">
      <c r="A504" s="7">
        <f>MAX($A$1:$A503)+1</f>
        <v>503</v>
      </c>
      <c r="B504" s="2" t="str">
        <f t="shared" si="40"/>
        <v>Em Lim</v>
      </c>
      <c r="C504" s="2" t="str">
        <f t="shared" si="41"/>
        <v>Jasmin Schuster</v>
      </c>
      <c r="D504" s="2" t="str">
        <f t="shared" si="46"/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 t="shared" si="42"/>
        <v>09/05/2023</v>
      </c>
      <c r="I504" s="2">
        <f t="shared" si="47"/>
        <v>2.5</v>
      </c>
      <c r="J504" s="2">
        <f t="shared" si="48"/>
        <v>300</v>
      </c>
      <c r="K504" s="6">
        <f t="shared" si="49"/>
        <v>0.52430555555555558</v>
      </c>
      <c r="L504" s="2" t="str">
        <f t="shared" si="43"/>
        <v>EGL</v>
      </c>
      <c r="M504" s="2">
        <f t="shared" si="44"/>
        <v>7</v>
      </c>
      <c r="N504" s="2">
        <f t="shared" si="51"/>
        <v>2</v>
      </c>
      <c r="O504" s="2">
        <f t="shared" si="50"/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 t="shared" si="45"/>
        <v>2</v>
      </c>
      <c r="T504" s="2">
        <v>2</v>
      </c>
    </row>
    <row r="505" spans="1:32">
      <c r="A505" s="7">
        <f>MAX($A$1:$A504)+1</f>
        <v>504</v>
      </c>
      <c r="B505" s="2" t="str">
        <f t="shared" si="40"/>
        <v>Em Lim</v>
      </c>
      <c r="C505" s="2" t="str">
        <f t="shared" si="41"/>
        <v>Jasmin Schuster</v>
      </c>
      <c r="D505" s="2" t="str">
        <f t="shared" si="46"/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 t="shared" si="42"/>
        <v>09/05/2023</v>
      </c>
      <c r="I505" s="2">
        <f t="shared" si="47"/>
        <v>2.5</v>
      </c>
      <c r="J505" s="2">
        <f t="shared" si="48"/>
        <v>300</v>
      </c>
      <c r="K505" s="6">
        <f t="shared" si="49"/>
        <v>0.52430555555555558</v>
      </c>
      <c r="L505" s="2" t="str">
        <f t="shared" si="43"/>
        <v>EGL</v>
      </c>
      <c r="M505" s="2">
        <f t="shared" si="44"/>
        <v>7</v>
      </c>
      <c r="N505" s="2">
        <f t="shared" si="51"/>
        <v>2</v>
      </c>
      <c r="O505" s="2">
        <f t="shared" si="50"/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 t="shared" si="45"/>
        <v>1</v>
      </c>
      <c r="T505" s="2">
        <v>0</v>
      </c>
      <c r="U505" s="2">
        <v>1</v>
      </c>
    </row>
    <row r="506" spans="1:32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>
      <c r="A536" s="7">
        <f>MAX($A$1:$A535)+1</f>
        <v>535</v>
      </c>
      <c r="B536" s="2" t="str">
        <f t="shared" ref="B536:B563" si="52">IF(ISERROR(B535),IF(ISERROR(B534),IF(ISERROR(B533),"BLANK",B533),B534),B535)</f>
        <v>Em Lim</v>
      </c>
      <c r="C536" s="2" t="str">
        <f t="shared" ref="C536:C563" si="53"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 t="shared" ref="H536:H563" si="54">IF(ISERROR(H535),IF(ISERROR(H534),IF(ISERROR(H533),"BLANK",H533),H534),H535)</f>
        <v>10/05/2023</v>
      </c>
      <c r="I536" s="2">
        <v>2</v>
      </c>
      <c r="J536" s="2">
        <f t="shared" ref="J536:J563" si="55">IF(ISERROR(J535),IF(ISERROR(J534),IF(ISERROR(J533),"BLANK",J533),J534),J535)</f>
        <v>300</v>
      </c>
      <c r="K536" s="6">
        <v>0.54166666666666663</v>
      </c>
      <c r="L536" s="2" t="str">
        <f t="shared" ref="L536:L563" si="56"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 t="shared" ref="S536:S563" si="57"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>
      <c r="A537" s="7">
        <f>MAX($A$1:$A536)+1</f>
        <v>536</v>
      </c>
      <c r="B537" s="2" t="str">
        <f t="shared" si="52"/>
        <v>Em Lim</v>
      </c>
      <c r="C537" s="2" t="str">
        <f t="shared" si="53"/>
        <v>Jasmin Schuster</v>
      </c>
      <c r="D537" s="2" t="str">
        <f t="shared" ref="D537:D563" si="58"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 t="shared" si="54"/>
        <v>10/05/2023</v>
      </c>
      <c r="I537" s="2">
        <f t="shared" ref="I537:I563" si="59">IF(ISERROR(I536),IF(ISERROR(I535),IF(ISERROR(I534),"BLANK",I534),I535),I536)</f>
        <v>2</v>
      </c>
      <c r="J537" s="2">
        <f t="shared" si="55"/>
        <v>300</v>
      </c>
      <c r="K537" s="6">
        <f t="shared" ref="K537:K563" si="60">IF(ISERROR(K536),IF(ISERROR(K535),IF(ISERROR(K534),"BLANK",K534),K535),K536)</f>
        <v>0.54166666666666663</v>
      </c>
      <c r="L537" s="2" t="str">
        <f t="shared" si="56"/>
        <v>EGL</v>
      </c>
      <c r="M537" s="2">
        <f t="shared" ref="M537:O540" si="61">IF(ISERROR(M536),IF(ISERROR(M535),IF(ISERROR(M534),"BLANK",M534),M535),M536)</f>
        <v>6</v>
      </c>
      <c r="N537" s="2">
        <f t="shared" si="61"/>
        <v>1</v>
      </c>
      <c r="O537" s="2">
        <f t="shared" si="61"/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 t="shared" si="57"/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>
      <c r="A538" s="7">
        <f>MAX($A$1:$A537)+1</f>
        <v>537</v>
      </c>
      <c r="B538" s="2" t="str">
        <f t="shared" si="52"/>
        <v>Em Lim</v>
      </c>
      <c r="C538" s="2" t="str">
        <f t="shared" si="53"/>
        <v>Jasmin Schuster</v>
      </c>
      <c r="D538" s="2" t="str">
        <f t="shared" si="58"/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 t="shared" si="54"/>
        <v>10/05/2023</v>
      </c>
      <c r="I538" s="2">
        <f t="shared" si="59"/>
        <v>2</v>
      </c>
      <c r="J538" s="2">
        <f t="shared" si="55"/>
        <v>300</v>
      </c>
      <c r="K538" s="6">
        <f t="shared" si="60"/>
        <v>0.54166666666666663</v>
      </c>
      <c r="L538" s="2" t="str">
        <f t="shared" si="56"/>
        <v>EGL</v>
      </c>
      <c r="M538" s="2">
        <f t="shared" si="61"/>
        <v>6</v>
      </c>
      <c r="N538" s="2">
        <f t="shared" si="61"/>
        <v>1</v>
      </c>
      <c r="O538" s="2">
        <f t="shared" si="61"/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 t="shared" si="57"/>
        <v>1</v>
      </c>
      <c r="T538" s="2">
        <v>0</v>
      </c>
      <c r="V538" s="2">
        <v>1</v>
      </c>
    </row>
    <row r="539" spans="1:29">
      <c r="A539" s="7">
        <f>MAX($A$1:$A538)+1</f>
        <v>538</v>
      </c>
      <c r="B539" s="2" t="str">
        <f t="shared" si="52"/>
        <v>Em Lim</v>
      </c>
      <c r="C539" s="2" t="str">
        <f t="shared" si="53"/>
        <v>Jasmin Schuster</v>
      </c>
      <c r="D539" s="2" t="str">
        <f t="shared" si="58"/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 t="shared" si="54"/>
        <v>10/05/2023</v>
      </c>
      <c r="I539" s="2">
        <f t="shared" si="59"/>
        <v>2</v>
      </c>
      <c r="J539" s="2">
        <f t="shared" si="55"/>
        <v>300</v>
      </c>
      <c r="K539" s="6">
        <f t="shared" si="60"/>
        <v>0.54166666666666663</v>
      </c>
      <c r="L539" s="2" t="str">
        <f t="shared" si="56"/>
        <v>EGL</v>
      </c>
      <c r="M539" s="2">
        <f t="shared" si="61"/>
        <v>6</v>
      </c>
      <c r="N539" s="2">
        <f t="shared" si="61"/>
        <v>1</v>
      </c>
      <c r="O539" s="2">
        <f t="shared" si="61"/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 t="shared" si="57"/>
        <v>1</v>
      </c>
      <c r="T539" s="2">
        <v>1</v>
      </c>
    </row>
    <row r="540" spans="1:29">
      <c r="A540" s="7">
        <f>MAX($A$1:$A539)+1</f>
        <v>539</v>
      </c>
      <c r="B540" s="2" t="str">
        <f t="shared" si="52"/>
        <v>Em Lim</v>
      </c>
      <c r="C540" s="2" t="str">
        <f t="shared" si="53"/>
        <v>Jasmin Schuster</v>
      </c>
      <c r="D540" s="2" t="str">
        <f t="shared" si="58"/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 t="shared" si="54"/>
        <v>10/05/2023</v>
      </c>
      <c r="I540" s="2">
        <f t="shared" si="59"/>
        <v>2</v>
      </c>
      <c r="J540" s="2">
        <f t="shared" si="55"/>
        <v>300</v>
      </c>
      <c r="K540" s="6">
        <f t="shared" si="60"/>
        <v>0.54166666666666663</v>
      </c>
      <c r="L540" s="2" t="str">
        <f t="shared" si="56"/>
        <v>EGL</v>
      </c>
      <c r="M540" s="2">
        <f t="shared" si="61"/>
        <v>6</v>
      </c>
      <c r="N540" s="2">
        <f t="shared" si="61"/>
        <v>1</v>
      </c>
      <c r="O540" s="2">
        <f t="shared" si="61"/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 t="shared" si="57"/>
        <v>5</v>
      </c>
      <c r="T540" s="2">
        <v>0</v>
      </c>
      <c r="Y540" s="2">
        <v>2</v>
      </c>
      <c r="Z540" s="2">
        <v>3</v>
      </c>
    </row>
    <row r="541" spans="1:29">
      <c r="A541" s="7">
        <f>MAX($A$1:$A540)+1</f>
        <v>540</v>
      </c>
      <c r="B541" s="2" t="str">
        <f t="shared" si="52"/>
        <v>Em Lim</v>
      </c>
      <c r="C541" s="2" t="str">
        <f t="shared" si="53"/>
        <v>Jasmin Schuster</v>
      </c>
      <c r="D541" s="2" t="str">
        <f t="shared" si="58"/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 t="shared" si="54"/>
        <v>10/05/2023</v>
      </c>
      <c r="I541" s="2">
        <f t="shared" si="59"/>
        <v>2</v>
      </c>
      <c r="J541" s="2">
        <f t="shared" si="55"/>
        <v>300</v>
      </c>
      <c r="K541" s="6">
        <f t="shared" si="60"/>
        <v>0.54166666666666663</v>
      </c>
      <c r="L541" s="2" t="str">
        <f t="shared" si="56"/>
        <v>EGL</v>
      </c>
      <c r="M541" s="2">
        <f t="shared" ref="M541:M563" si="62">IF(ISERROR(M540),IF(ISERROR(M539),IF(ISERROR(M538),"BLANK",M538),M539),M540)</f>
        <v>6</v>
      </c>
      <c r="N541" s="2">
        <v>2</v>
      </c>
      <c r="O541" s="2">
        <f t="shared" ref="O541:O561" si="63"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 t="shared" si="57"/>
        <v>373</v>
      </c>
      <c r="T541" s="2">
        <v>373</v>
      </c>
    </row>
    <row r="542" spans="1:29">
      <c r="A542" s="7">
        <f>MAX($A$1:$A541)+1</f>
        <v>541</v>
      </c>
      <c r="B542" s="2" t="str">
        <f t="shared" si="52"/>
        <v>Em Lim</v>
      </c>
      <c r="C542" s="2" t="str">
        <f t="shared" si="53"/>
        <v>Jasmin Schuster</v>
      </c>
      <c r="D542" s="2" t="str">
        <f t="shared" si="58"/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 t="shared" si="54"/>
        <v>10/05/2023</v>
      </c>
      <c r="I542" s="2">
        <f t="shared" si="59"/>
        <v>2</v>
      </c>
      <c r="J542" s="2">
        <f t="shared" si="55"/>
        <v>300</v>
      </c>
      <c r="K542" s="6">
        <f t="shared" si="60"/>
        <v>0.54166666666666663</v>
      </c>
      <c r="L542" s="2" t="str">
        <f t="shared" si="56"/>
        <v>EGL</v>
      </c>
      <c r="M542" s="2">
        <f t="shared" si="62"/>
        <v>6</v>
      </c>
      <c r="N542" s="2">
        <f t="shared" ref="N542:N559" si="64">IF(ISERROR(N541),IF(ISERROR(N540),IF(ISERROR(N539),"BLANK",N539),N540),N541)</f>
        <v>2</v>
      </c>
      <c r="O542" s="2">
        <f t="shared" si="63"/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 t="shared" si="57"/>
        <v>17</v>
      </c>
      <c r="T542" s="2">
        <v>17</v>
      </c>
    </row>
    <row r="543" spans="1:29">
      <c r="A543" s="7">
        <f>MAX($A$1:$A542)+1</f>
        <v>542</v>
      </c>
      <c r="B543" s="2" t="str">
        <f t="shared" si="52"/>
        <v>Em Lim</v>
      </c>
      <c r="C543" s="2" t="str">
        <f t="shared" si="53"/>
        <v>Jasmin Schuster</v>
      </c>
      <c r="D543" s="2" t="str">
        <f t="shared" si="58"/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 t="shared" si="54"/>
        <v>10/05/2023</v>
      </c>
      <c r="I543" s="2">
        <f t="shared" si="59"/>
        <v>2</v>
      </c>
      <c r="J543" s="2">
        <f t="shared" si="55"/>
        <v>300</v>
      </c>
      <c r="K543" s="6">
        <f t="shared" si="60"/>
        <v>0.54166666666666663</v>
      </c>
      <c r="L543" s="2" t="str">
        <f t="shared" si="56"/>
        <v>EGL</v>
      </c>
      <c r="M543" s="2">
        <f t="shared" si="62"/>
        <v>6</v>
      </c>
      <c r="N543" s="2">
        <f t="shared" si="64"/>
        <v>2</v>
      </c>
      <c r="O543" s="2">
        <f t="shared" si="63"/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 t="shared" si="57"/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>
      <c r="A544" s="7">
        <f>MAX($A$1:$A543)+1</f>
        <v>543</v>
      </c>
      <c r="B544" s="2" t="str">
        <f t="shared" si="52"/>
        <v>Em Lim</v>
      </c>
      <c r="C544" s="2" t="str">
        <f t="shared" si="53"/>
        <v>Jasmin Schuster</v>
      </c>
      <c r="D544" s="2" t="str">
        <f t="shared" si="58"/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 t="shared" si="54"/>
        <v>10/05/2023</v>
      </c>
      <c r="I544" s="2">
        <f t="shared" si="59"/>
        <v>2</v>
      </c>
      <c r="J544" s="2">
        <f t="shared" si="55"/>
        <v>300</v>
      </c>
      <c r="K544" s="6">
        <f t="shared" si="60"/>
        <v>0.54166666666666663</v>
      </c>
      <c r="L544" s="2" t="str">
        <f t="shared" si="56"/>
        <v>EGL</v>
      </c>
      <c r="M544" s="2">
        <f t="shared" si="62"/>
        <v>6</v>
      </c>
      <c r="N544" s="2">
        <f t="shared" si="64"/>
        <v>2</v>
      </c>
      <c r="O544" s="2">
        <f t="shared" si="63"/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 t="shared" si="57"/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>
      <c r="A545" s="7">
        <f>MAX($A$1:$A544)+1</f>
        <v>544</v>
      </c>
      <c r="B545" s="2" t="str">
        <f t="shared" si="52"/>
        <v>Em Lim</v>
      </c>
      <c r="C545" s="2" t="str">
        <f t="shared" si="53"/>
        <v>Jasmin Schuster</v>
      </c>
      <c r="D545" s="2" t="str">
        <f t="shared" si="58"/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 t="shared" si="54"/>
        <v>10/05/2023</v>
      </c>
      <c r="I545" s="2">
        <f t="shared" si="59"/>
        <v>2</v>
      </c>
      <c r="J545" s="2">
        <f t="shared" si="55"/>
        <v>300</v>
      </c>
      <c r="K545" s="6">
        <f t="shared" si="60"/>
        <v>0.54166666666666663</v>
      </c>
      <c r="L545" s="2" t="str">
        <f t="shared" si="56"/>
        <v>EGL</v>
      </c>
      <c r="M545" s="2">
        <f t="shared" si="62"/>
        <v>6</v>
      </c>
      <c r="N545" s="2">
        <f t="shared" si="64"/>
        <v>2</v>
      </c>
      <c r="O545" s="2">
        <f t="shared" si="63"/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 t="shared" si="57"/>
        <v>42</v>
      </c>
      <c r="T545" s="2">
        <v>42</v>
      </c>
    </row>
    <row r="546" spans="1:25">
      <c r="A546" s="7">
        <f>MAX($A$1:$A545)+1</f>
        <v>545</v>
      </c>
      <c r="B546" s="2" t="str">
        <f t="shared" si="52"/>
        <v>Em Lim</v>
      </c>
      <c r="C546" s="2" t="str">
        <f t="shared" si="53"/>
        <v>Jasmin Schuster</v>
      </c>
      <c r="D546" s="2" t="str">
        <f t="shared" si="58"/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 t="shared" si="54"/>
        <v>10/05/2023</v>
      </c>
      <c r="I546" s="2">
        <f t="shared" si="59"/>
        <v>2</v>
      </c>
      <c r="J546" s="2">
        <f t="shared" si="55"/>
        <v>300</v>
      </c>
      <c r="K546" s="6">
        <f t="shared" si="60"/>
        <v>0.54166666666666663</v>
      </c>
      <c r="L546" s="2" t="str">
        <f t="shared" si="56"/>
        <v>EGL</v>
      </c>
      <c r="M546" s="2">
        <f t="shared" si="62"/>
        <v>6</v>
      </c>
      <c r="N546" s="2">
        <f t="shared" si="64"/>
        <v>2</v>
      </c>
      <c r="O546" s="2">
        <f t="shared" si="63"/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 t="shared" si="57"/>
        <v>15</v>
      </c>
      <c r="T546" s="2">
        <v>15</v>
      </c>
    </row>
    <row r="547" spans="1:25">
      <c r="A547" s="7">
        <f>MAX($A$1:$A546)+1</f>
        <v>546</v>
      </c>
      <c r="B547" s="2" t="str">
        <f t="shared" si="52"/>
        <v>Em Lim</v>
      </c>
      <c r="C547" s="2" t="str">
        <f t="shared" si="53"/>
        <v>Jasmin Schuster</v>
      </c>
      <c r="D547" s="2" t="str">
        <f t="shared" si="58"/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 t="shared" si="54"/>
        <v>10/05/2023</v>
      </c>
      <c r="I547" s="2">
        <f t="shared" si="59"/>
        <v>2</v>
      </c>
      <c r="J547" s="2">
        <f t="shared" si="55"/>
        <v>300</v>
      </c>
      <c r="K547" s="6">
        <f t="shared" si="60"/>
        <v>0.54166666666666663</v>
      </c>
      <c r="L547" s="2" t="str">
        <f t="shared" si="56"/>
        <v>EGL</v>
      </c>
      <c r="M547" s="2">
        <f t="shared" si="62"/>
        <v>6</v>
      </c>
      <c r="N547" s="2">
        <f t="shared" si="64"/>
        <v>2</v>
      </c>
      <c r="O547" s="2">
        <f t="shared" si="63"/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 t="shared" si="57"/>
        <v>18</v>
      </c>
      <c r="T547" s="2">
        <v>18</v>
      </c>
    </row>
    <row r="548" spans="1:25">
      <c r="A548" s="7">
        <f>MAX($A$1:$A547)+1</f>
        <v>547</v>
      </c>
      <c r="B548" s="2" t="str">
        <f t="shared" si="52"/>
        <v>Em Lim</v>
      </c>
      <c r="C548" s="2" t="str">
        <f t="shared" si="53"/>
        <v>Jasmin Schuster</v>
      </c>
      <c r="D548" s="2" t="str">
        <f t="shared" si="58"/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 t="shared" si="54"/>
        <v>10/05/2023</v>
      </c>
      <c r="I548" s="2">
        <f t="shared" si="59"/>
        <v>2</v>
      </c>
      <c r="J548" s="2">
        <f t="shared" si="55"/>
        <v>300</v>
      </c>
      <c r="K548" s="6">
        <f t="shared" si="60"/>
        <v>0.54166666666666663</v>
      </c>
      <c r="L548" s="2" t="str">
        <f t="shared" si="56"/>
        <v>EGL</v>
      </c>
      <c r="M548" s="2">
        <f t="shared" si="62"/>
        <v>6</v>
      </c>
      <c r="N548" s="2">
        <f t="shared" si="64"/>
        <v>2</v>
      </c>
      <c r="O548" s="2">
        <f t="shared" si="63"/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 t="shared" si="57"/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>
      <c r="A549" s="7">
        <f>MAX($A$1:$A548)+1</f>
        <v>548</v>
      </c>
      <c r="B549" s="2" t="str">
        <f t="shared" si="52"/>
        <v>Em Lim</v>
      </c>
      <c r="C549" s="2" t="str">
        <f t="shared" si="53"/>
        <v>Jasmin Schuster</v>
      </c>
      <c r="D549" s="2" t="str">
        <f t="shared" si="58"/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 t="shared" si="54"/>
        <v>10/05/2023</v>
      </c>
      <c r="I549" s="2">
        <f t="shared" si="59"/>
        <v>2</v>
      </c>
      <c r="J549" s="2">
        <f t="shared" si="55"/>
        <v>300</v>
      </c>
      <c r="K549" s="6">
        <f t="shared" si="60"/>
        <v>0.54166666666666663</v>
      </c>
      <c r="L549" s="2" t="str">
        <f t="shared" si="56"/>
        <v>EGL</v>
      </c>
      <c r="M549" s="2">
        <f t="shared" si="62"/>
        <v>6</v>
      </c>
      <c r="N549" s="2">
        <f t="shared" si="64"/>
        <v>2</v>
      </c>
      <c r="O549" s="2">
        <f t="shared" si="63"/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 t="shared" si="57"/>
        <v>1</v>
      </c>
      <c r="T549" s="2">
        <v>1</v>
      </c>
    </row>
    <row r="550" spans="1:25">
      <c r="A550" s="7">
        <f>MAX($A$1:$A549)+1</f>
        <v>549</v>
      </c>
      <c r="B550" s="2" t="str">
        <f t="shared" si="52"/>
        <v>Em Lim</v>
      </c>
      <c r="C550" s="2" t="str">
        <f t="shared" si="53"/>
        <v>Jasmin Schuster</v>
      </c>
      <c r="D550" s="2" t="str">
        <f t="shared" si="58"/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 t="shared" si="54"/>
        <v>10/05/2023</v>
      </c>
      <c r="I550" s="2">
        <f t="shared" si="59"/>
        <v>2</v>
      </c>
      <c r="J550" s="2">
        <f t="shared" si="55"/>
        <v>300</v>
      </c>
      <c r="K550" s="6">
        <f t="shared" si="60"/>
        <v>0.54166666666666663</v>
      </c>
      <c r="L550" s="2" t="str">
        <f t="shared" si="56"/>
        <v>EGL</v>
      </c>
      <c r="M550" s="2">
        <f t="shared" si="62"/>
        <v>6</v>
      </c>
      <c r="N550" s="2">
        <f t="shared" si="64"/>
        <v>2</v>
      </c>
      <c r="O550" s="2">
        <f t="shared" si="63"/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 t="shared" si="57"/>
        <v>1</v>
      </c>
      <c r="T550" s="2">
        <v>1</v>
      </c>
    </row>
    <row r="551" spans="1:25">
      <c r="A551" s="7">
        <f>MAX($A$1:$A550)+1</f>
        <v>550</v>
      </c>
      <c r="B551" s="2" t="str">
        <f t="shared" si="52"/>
        <v>Em Lim</v>
      </c>
      <c r="C551" s="2" t="str">
        <f t="shared" si="53"/>
        <v>Jasmin Schuster</v>
      </c>
      <c r="D551" s="2" t="str">
        <f t="shared" si="58"/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 t="shared" si="54"/>
        <v>10/05/2023</v>
      </c>
      <c r="I551" s="2">
        <f t="shared" si="59"/>
        <v>2</v>
      </c>
      <c r="J551" s="2">
        <f t="shared" si="55"/>
        <v>300</v>
      </c>
      <c r="K551" s="6">
        <f t="shared" si="60"/>
        <v>0.54166666666666663</v>
      </c>
      <c r="L551" s="2" t="str">
        <f t="shared" si="56"/>
        <v>EGL</v>
      </c>
      <c r="M551" s="2">
        <f t="shared" si="62"/>
        <v>6</v>
      </c>
      <c r="N551" s="2">
        <f t="shared" si="64"/>
        <v>2</v>
      </c>
      <c r="O551" s="2">
        <f t="shared" si="63"/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 t="shared" si="57"/>
        <v>7</v>
      </c>
      <c r="T551" s="2">
        <v>7</v>
      </c>
    </row>
    <row r="552" spans="1:25">
      <c r="A552" s="7">
        <f>MAX($A$1:$A551)+1</f>
        <v>551</v>
      </c>
      <c r="B552" s="2" t="str">
        <f t="shared" si="52"/>
        <v>Em Lim</v>
      </c>
      <c r="C552" s="2" t="str">
        <f t="shared" si="53"/>
        <v>Jasmin Schuster</v>
      </c>
      <c r="D552" s="2" t="str">
        <f t="shared" si="58"/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 t="shared" si="54"/>
        <v>10/05/2023</v>
      </c>
      <c r="I552" s="2">
        <f t="shared" si="59"/>
        <v>2</v>
      </c>
      <c r="J552" s="2">
        <f t="shared" si="55"/>
        <v>300</v>
      </c>
      <c r="K552" s="6">
        <f t="shared" si="60"/>
        <v>0.54166666666666663</v>
      </c>
      <c r="L552" s="2" t="str">
        <f t="shared" si="56"/>
        <v>EGL</v>
      </c>
      <c r="M552" s="2">
        <f t="shared" si="62"/>
        <v>6</v>
      </c>
      <c r="N552" s="2">
        <f t="shared" si="64"/>
        <v>2</v>
      </c>
      <c r="O552" s="2">
        <f t="shared" si="63"/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 t="shared" si="57"/>
        <v>11</v>
      </c>
      <c r="T552" s="2">
        <v>11</v>
      </c>
    </row>
    <row r="553" spans="1:25">
      <c r="A553" s="7">
        <f>MAX($A$1:$A552)+1</f>
        <v>552</v>
      </c>
      <c r="B553" s="2" t="str">
        <f t="shared" si="52"/>
        <v>Em Lim</v>
      </c>
      <c r="C553" s="2" t="str">
        <f t="shared" si="53"/>
        <v>Jasmin Schuster</v>
      </c>
      <c r="D553" s="2" t="str">
        <f t="shared" si="58"/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 t="shared" si="54"/>
        <v>10/05/2023</v>
      </c>
      <c r="I553" s="2">
        <f t="shared" si="59"/>
        <v>2</v>
      </c>
      <c r="J553" s="2">
        <f t="shared" si="55"/>
        <v>300</v>
      </c>
      <c r="K553" s="6">
        <f t="shared" si="60"/>
        <v>0.54166666666666663</v>
      </c>
      <c r="L553" s="2" t="str">
        <f t="shared" si="56"/>
        <v>EGL</v>
      </c>
      <c r="M553" s="2">
        <f t="shared" si="62"/>
        <v>6</v>
      </c>
      <c r="N553" s="2">
        <f t="shared" si="64"/>
        <v>2</v>
      </c>
      <c r="O553" s="2">
        <f t="shared" si="63"/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 t="shared" si="57"/>
        <v>1</v>
      </c>
      <c r="T553" s="2">
        <v>1</v>
      </c>
    </row>
    <row r="554" spans="1:25">
      <c r="A554" s="7">
        <f>MAX($A$1:$A553)+1</f>
        <v>553</v>
      </c>
      <c r="B554" s="2" t="str">
        <f t="shared" si="52"/>
        <v>Em Lim</v>
      </c>
      <c r="C554" s="2" t="str">
        <f t="shared" si="53"/>
        <v>Jasmin Schuster</v>
      </c>
      <c r="D554" s="2" t="str">
        <f t="shared" si="58"/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 t="shared" si="54"/>
        <v>10/05/2023</v>
      </c>
      <c r="I554" s="2">
        <f t="shared" si="59"/>
        <v>2</v>
      </c>
      <c r="J554" s="2">
        <f t="shared" si="55"/>
        <v>300</v>
      </c>
      <c r="K554" s="6">
        <f t="shared" si="60"/>
        <v>0.54166666666666663</v>
      </c>
      <c r="L554" s="2" t="str">
        <f t="shared" si="56"/>
        <v>EGL</v>
      </c>
      <c r="M554" s="2">
        <f t="shared" si="62"/>
        <v>6</v>
      </c>
      <c r="N554" s="2">
        <f t="shared" si="64"/>
        <v>2</v>
      </c>
      <c r="O554" s="2">
        <f t="shared" si="63"/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 t="shared" si="57"/>
        <v>4</v>
      </c>
      <c r="T554" s="2">
        <v>0</v>
      </c>
      <c r="U554" s="2">
        <v>4</v>
      </c>
    </row>
    <row r="555" spans="1:25">
      <c r="A555" s="7">
        <f>MAX($A$1:$A554)+1</f>
        <v>554</v>
      </c>
      <c r="B555" s="2" t="str">
        <f t="shared" si="52"/>
        <v>Em Lim</v>
      </c>
      <c r="C555" s="2" t="str">
        <f t="shared" si="53"/>
        <v>Jasmin Schuster</v>
      </c>
      <c r="D555" s="2" t="str">
        <f t="shared" si="58"/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 t="shared" si="54"/>
        <v>10/05/2023</v>
      </c>
      <c r="I555" s="2">
        <f t="shared" si="59"/>
        <v>2</v>
      </c>
      <c r="J555" s="2">
        <f t="shared" si="55"/>
        <v>300</v>
      </c>
      <c r="K555" s="6">
        <f t="shared" si="60"/>
        <v>0.54166666666666663</v>
      </c>
      <c r="L555" s="2" t="str">
        <f t="shared" si="56"/>
        <v>EGL</v>
      </c>
      <c r="M555" s="2">
        <f t="shared" si="62"/>
        <v>6</v>
      </c>
      <c r="N555" s="2">
        <f t="shared" si="64"/>
        <v>2</v>
      </c>
      <c r="O555" s="2">
        <f t="shared" si="63"/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 t="shared" si="57"/>
        <v>3</v>
      </c>
      <c r="T555" s="2">
        <v>3</v>
      </c>
    </row>
    <row r="556" spans="1:25">
      <c r="A556" s="7">
        <f>MAX($A$1:$A555)+1</f>
        <v>555</v>
      </c>
      <c r="B556" s="2" t="str">
        <f t="shared" si="52"/>
        <v>Em Lim</v>
      </c>
      <c r="C556" s="2" t="str">
        <f t="shared" si="53"/>
        <v>Jasmin Schuster</v>
      </c>
      <c r="D556" s="2" t="str">
        <f t="shared" si="58"/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 t="shared" si="54"/>
        <v>10/05/2023</v>
      </c>
      <c r="I556" s="2">
        <f t="shared" si="59"/>
        <v>2</v>
      </c>
      <c r="J556" s="2">
        <f t="shared" si="55"/>
        <v>300</v>
      </c>
      <c r="K556" s="6">
        <f t="shared" si="60"/>
        <v>0.54166666666666663</v>
      </c>
      <c r="L556" s="2" t="str">
        <f t="shared" si="56"/>
        <v>EGL</v>
      </c>
      <c r="M556" s="2">
        <f t="shared" si="62"/>
        <v>6</v>
      </c>
      <c r="N556" s="2">
        <f t="shared" si="64"/>
        <v>2</v>
      </c>
      <c r="O556" s="2">
        <f t="shared" si="63"/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 t="shared" si="57"/>
        <v>1</v>
      </c>
      <c r="T556" s="2">
        <v>1</v>
      </c>
    </row>
    <row r="557" spans="1:25">
      <c r="A557" s="7">
        <f>MAX($A$1:$A556)+1</f>
        <v>556</v>
      </c>
      <c r="B557" s="2" t="str">
        <f t="shared" si="52"/>
        <v>Em Lim</v>
      </c>
      <c r="C557" s="2" t="str">
        <f t="shared" si="53"/>
        <v>Jasmin Schuster</v>
      </c>
      <c r="D557" s="2" t="str">
        <f t="shared" si="58"/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 t="shared" si="54"/>
        <v>10/05/2023</v>
      </c>
      <c r="I557" s="2">
        <f t="shared" si="59"/>
        <v>2</v>
      </c>
      <c r="J557" s="2">
        <f t="shared" si="55"/>
        <v>300</v>
      </c>
      <c r="K557" s="6">
        <f t="shared" si="60"/>
        <v>0.54166666666666663</v>
      </c>
      <c r="L557" s="2" t="str">
        <f t="shared" si="56"/>
        <v>EGL</v>
      </c>
      <c r="M557" s="2">
        <f t="shared" si="62"/>
        <v>6</v>
      </c>
      <c r="N557" s="2">
        <f t="shared" si="64"/>
        <v>2</v>
      </c>
      <c r="O557" s="2">
        <f t="shared" si="63"/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 t="shared" si="57"/>
        <v>1</v>
      </c>
      <c r="T557" s="2">
        <v>1</v>
      </c>
    </row>
    <row r="558" spans="1:25">
      <c r="A558" s="7">
        <f>MAX($A$1:$A557)+1</f>
        <v>557</v>
      </c>
      <c r="B558" s="2" t="str">
        <f t="shared" si="52"/>
        <v>Em Lim</v>
      </c>
      <c r="C558" s="2" t="str">
        <f t="shared" si="53"/>
        <v>Jasmin Schuster</v>
      </c>
      <c r="D558" s="2" t="str">
        <f t="shared" si="58"/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 t="shared" si="54"/>
        <v>10/05/2023</v>
      </c>
      <c r="I558" s="2">
        <f t="shared" si="59"/>
        <v>2</v>
      </c>
      <c r="J558" s="2">
        <f t="shared" si="55"/>
        <v>300</v>
      </c>
      <c r="K558" s="6">
        <f t="shared" si="60"/>
        <v>0.54166666666666663</v>
      </c>
      <c r="L558" s="2" t="str">
        <f t="shared" si="56"/>
        <v>EGL</v>
      </c>
      <c r="M558" s="2">
        <f t="shared" si="62"/>
        <v>6</v>
      </c>
      <c r="N558" s="2">
        <f t="shared" si="64"/>
        <v>2</v>
      </c>
      <c r="O558" s="2">
        <f t="shared" si="63"/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 t="shared" si="57"/>
        <v>1</v>
      </c>
      <c r="T558" s="2">
        <v>1</v>
      </c>
    </row>
    <row r="559" spans="1:25">
      <c r="A559" s="7">
        <f>MAX($A$1:$A558)+1</f>
        <v>558</v>
      </c>
      <c r="B559" s="2" t="str">
        <f t="shared" si="52"/>
        <v>Em Lim</v>
      </c>
      <c r="C559" s="2" t="str">
        <f t="shared" si="53"/>
        <v>Jasmin Schuster</v>
      </c>
      <c r="D559" s="2" t="str">
        <f t="shared" si="58"/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 t="shared" si="54"/>
        <v>10/05/2023</v>
      </c>
      <c r="I559" s="2">
        <f t="shared" si="59"/>
        <v>2</v>
      </c>
      <c r="J559" s="2">
        <f t="shared" si="55"/>
        <v>300</v>
      </c>
      <c r="K559" s="6">
        <f t="shared" si="60"/>
        <v>0.54166666666666663</v>
      </c>
      <c r="L559" s="2" t="str">
        <f t="shared" si="56"/>
        <v>EGL</v>
      </c>
      <c r="M559" s="2">
        <f t="shared" si="62"/>
        <v>6</v>
      </c>
      <c r="N559" s="2">
        <f t="shared" si="64"/>
        <v>2</v>
      </c>
      <c r="O559" s="2">
        <f t="shared" si="63"/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 t="shared" si="57"/>
        <v>1</v>
      </c>
      <c r="T559" s="2">
        <v>0</v>
      </c>
      <c r="U559" s="2">
        <v>1</v>
      </c>
    </row>
    <row r="560" spans="1:25">
      <c r="A560" s="7">
        <f>MAX($A$1:$A559)+1</f>
        <v>559</v>
      </c>
      <c r="B560" s="2" t="str">
        <f t="shared" si="52"/>
        <v>Em Lim</v>
      </c>
      <c r="C560" s="2" t="str">
        <f t="shared" si="53"/>
        <v>Jasmin Schuster</v>
      </c>
      <c r="D560" s="2" t="str">
        <f t="shared" si="58"/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 t="shared" si="54"/>
        <v>10/05/2023</v>
      </c>
      <c r="I560" s="2">
        <f t="shared" si="59"/>
        <v>2</v>
      </c>
      <c r="J560" s="2">
        <f t="shared" si="55"/>
        <v>300</v>
      </c>
      <c r="K560" s="6">
        <f t="shared" si="60"/>
        <v>0.54166666666666663</v>
      </c>
      <c r="L560" s="2" t="str">
        <f t="shared" si="56"/>
        <v>EGL</v>
      </c>
      <c r="M560" s="2">
        <f t="shared" si="62"/>
        <v>6</v>
      </c>
      <c r="N560" s="27">
        <v>0</v>
      </c>
      <c r="O560" s="2">
        <f t="shared" si="63"/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 t="shared" si="57"/>
        <v>2</v>
      </c>
      <c r="T560" s="2">
        <v>0</v>
      </c>
      <c r="X560" s="2">
        <v>1</v>
      </c>
      <c r="Y560" s="2">
        <v>1</v>
      </c>
    </row>
    <row r="561" spans="1:32">
      <c r="A561" s="7">
        <f>MAX($A$1:$A560)+1</f>
        <v>560</v>
      </c>
      <c r="B561" s="2" t="str">
        <f t="shared" si="52"/>
        <v>Em Lim</v>
      </c>
      <c r="C561" s="2" t="str">
        <f t="shared" si="53"/>
        <v>Jasmin Schuster</v>
      </c>
      <c r="D561" s="2" t="str">
        <f t="shared" si="58"/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 t="shared" si="54"/>
        <v>10/05/2023</v>
      </c>
      <c r="I561" s="2">
        <f t="shared" si="59"/>
        <v>2</v>
      </c>
      <c r="J561" s="2">
        <f t="shared" si="55"/>
        <v>300</v>
      </c>
      <c r="K561" s="6">
        <f t="shared" si="60"/>
        <v>0.54166666666666663</v>
      </c>
      <c r="L561" s="2" t="str">
        <f t="shared" si="56"/>
        <v>EGL</v>
      </c>
      <c r="M561" s="2">
        <f t="shared" si="62"/>
        <v>6</v>
      </c>
      <c r="N561" s="2">
        <v>2</v>
      </c>
      <c r="O561" s="2">
        <f t="shared" si="63"/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 t="shared" si="57"/>
        <v>1</v>
      </c>
      <c r="T561" s="2">
        <v>1</v>
      </c>
    </row>
    <row r="562" spans="1:32">
      <c r="A562" s="7">
        <f>MAX($A$1:$A561)+1</f>
        <v>561</v>
      </c>
      <c r="B562" s="2" t="str">
        <f t="shared" si="52"/>
        <v>Em Lim</v>
      </c>
      <c r="C562" s="2" t="str">
        <f t="shared" si="53"/>
        <v>Jasmin Schuster</v>
      </c>
      <c r="D562" s="2" t="str">
        <f t="shared" si="58"/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 t="shared" si="54"/>
        <v>10/05/2023</v>
      </c>
      <c r="I562" s="2">
        <f t="shared" si="59"/>
        <v>2</v>
      </c>
      <c r="J562" s="2">
        <f t="shared" si="55"/>
        <v>300</v>
      </c>
      <c r="K562" s="6">
        <f t="shared" si="60"/>
        <v>0.54166666666666663</v>
      </c>
      <c r="L562" s="2" t="str">
        <f t="shared" si="56"/>
        <v>EGL</v>
      </c>
      <c r="M562" s="2">
        <f t="shared" si="62"/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 t="shared" si="57"/>
        <v>1</v>
      </c>
      <c r="T562" s="2">
        <v>0</v>
      </c>
      <c r="AA562" s="2">
        <v>1</v>
      </c>
    </row>
    <row r="563" spans="1:32">
      <c r="A563" s="7">
        <f>MAX($A$1:$A562)+1</f>
        <v>562</v>
      </c>
      <c r="B563" s="2" t="str">
        <f t="shared" si="52"/>
        <v>Em Lim</v>
      </c>
      <c r="C563" s="2" t="str">
        <f t="shared" si="53"/>
        <v>Jasmin Schuster</v>
      </c>
      <c r="D563" s="2" t="str">
        <f t="shared" si="58"/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 t="shared" si="54"/>
        <v>10/05/2023</v>
      </c>
      <c r="I563" s="2">
        <f t="shared" si="59"/>
        <v>2</v>
      </c>
      <c r="J563" s="2">
        <f t="shared" si="55"/>
        <v>300</v>
      </c>
      <c r="K563" s="6">
        <f t="shared" si="60"/>
        <v>0.54166666666666663</v>
      </c>
      <c r="L563" s="2" t="str">
        <f t="shared" si="56"/>
        <v>EGL</v>
      </c>
      <c r="M563" s="2">
        <f t="shared" si="62"/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 t="shared" si="57"/>
        <v>1</v>
      </c>
      <c r="T563" s="2">
        <v>0</v>
      </c>
      <c r="Z563" s="2">
        <v>1</v>
      </c>
    </row>
    <row r="564" spans="1:32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 t="shared" ref="J565:J588" si="65"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 t="shared" si="65"/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 t="shared" si="65"/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 t="shared" si="65"/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 t="shared" si="65"/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 t="shared" si="65"/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 t="shared" si="65"/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 t="shared" si="65"/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 t="shared" si="65"/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 t="shared" si="65"/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 t="shared" si="65"/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 t="shared" si="65"/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 t="shared" si="65"/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 t="shared" si="65"/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 t="shared" si="65"/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 t="shared" si="65"/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 t="shared" si="65"/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 t="shared" si="65"/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 t="shared" si="65"/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 t="shared" si="65"/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 t="shared" si="65"/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 t="shared" si="65"/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 t="shared" si="65"/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 t="shared" si="65"/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 t="shared" ref="S589:S617" si="66"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>
      <c r="A590" s="7">
        <f>MAX($A$1:$A589)+1</f>
        <v>589</v>
      </c>
      <c r="B590" s="2" t="str">
        <f t="shared" ref="B590:B617" si="67">IF(ISERROR(B589),IF(ISERROR(B588),IF(ISERROR(B587),"BLANK",B587),B588),B589)</f>
        <v>Jasmin Schuster</v>
      </c>
      <c r="C590" s="2" t="str">
        <f t="shared" ref="C590:C617" si="68">IF(ISERROR(C589),IF(ISERROR(C588),IF(ISERROR(C587),"BLANK",C587),C588),C589)</f>
        <v>Em Lim</v>
      </c>
      <c r="D590" s="2" t="str">
        <f t="shared" ref="D590:D617" si="69"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 t="shared" ref="H590:O593" si="70">IF(ISERROR(H589),IF(ISERROR(H588),IF(ISERROR(H587),"BLANK",H587),H588),H589)</f>
        <v>08/05/2023</v>
      </c>
      <c r="I590" s="2">
        <f t="shared" si="70"/>
        <v>3</v>
      </c>
      <c r="J590" s="2">
        <f t="shared" si="70"/>
        <v>90</v>
      </c>
      <c r="K590" s="6">
        <f t="shared" si="70"/>
        <v>0.42638888888888887</v>
      </c>
      <c r="L590" s="2" t="str">
        <f t="shared" si="70"/>
        <v>EGL</v>
      </c>
      <c r="M590" s="2">
        <f t="shared" si="70"/>
        <v>5.5</v>
      </c>
      <c r="N590" s="2">
        <f t="shared" si="70"/>
        <v>1</v>
      </c>
      <c r="O590" s="2">
        <f t="shared" si="70"/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 t="shared" si="66"/>
        <v>1</v>
      </c>
      <c r="T590" s="2">
        <v>0</v>
      </c>
      <c r="Z590" s="2">
        <v>1</v>
      </c>
    </row>
    <row r="591" spans="1:26">
      <c r="A591" s="7">
        <f>MAX($A$1:$A590)+1</f>
        <v>590</v>
      </c>
      <c r="B591" s="2" t="str">
        <f t="shared" si="67"/>
        <v>Jasmin Schuster</v>
      </c>
      <c r="C591" s="2" t="str">
        <f t="shared" si="68"/>
        <v>Em Lim</v>
      </c>
      <c r="D591" s="2" t="str">
        <f t="shared" si="69"/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 t="shared" si="70"/>
        <v>08/05/2023</v>
      </c>
      <c r="I591" s="2">
        <f t="shared" si="70"/>
        <v>3</v>
      </c>
      <c r="J591" s="2">
        <f t="shared" si="70"/>
        <v>90</v>
      </c>
      <c r="K591" s="6">
        <f t="shared" si="70"/>
        <v>0.42638888888888887</v>
      </c>
      <c r="L591" s="2" t="str">
        <f t="shared" si="70"/>
        <v>EGL</v>
      </c>
      <c r="M591" s="2">
        <f t="shared" si="70"/>
        <v>5.5</v>
      </c>
      <c r="N591" s="2">
        <f t="shared" si="70"/>
        <v>1</v>
      </c>
      <c r="O591" s="2">
        <f t="shared" si="70"/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 t="shared" si="66"/>
        <v>1</v>
      </c>
      <c r="T591" s="2">
        <v>0</v>
      </c>
      <c r="X591" s="2">
        <v>1</v>
      </c>
    </row>
    <row r="592" spans="1:26">
      <c r="A592" s="7">
        <f>MAX($A$1:$A591)+1</f>
        <v>591</v>
      </c>
      <c r="B592" s="2" t="str">
        <f t="shared" si="67"/>
        <v>Jasmin Schuster</v>
      </c>
      <c r="C592" s="2" t="str">
        <f t="shared" si="68"/>
        <v>Em Lim</v>
      </c>
      <c r="D592" s="2" t="str">
        <f t="shared" si="69"/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 t="shared" si="70"/>
        <v>08/05/2023</v>
      </c>
      <c r="I592" s="2">
        <f t="shared" si="70"/>
        <v>3</v>
      </c>
      <c r="J592" s="2">
        <f t="shared" si="70"/>
        <v>90</v>
      </c>
      <c r="K592" s="6">
        <f t="shared" si="70"/>
        <v>0.42638888888888887</v>
      </c>
      <c r="L592" s="2" t="str">
        <f t="shared" si="70"/>
        <v>EGL</v>
      </c>
      <c r="M592" s="2">
        <f t="shared" si="70"/>
        <v>5.5</v>
      </c>
      <c r="N592" s="2">
        <f t="shared" si="70"/>
        <v>1</v>
      </c>
      <c r="O592" s="2">
        <f t="shared" si="70"/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 t="shared" si="66"/>
        <v>2</v>
      </c>
      <c r="T592" s="2">
        <v>0</v>
      </c>
      <c r="X592" s="2">
        <v>1</v>
      </c>
      <c r="Y592" s="2">
        <v>1</v>
      </c>
    </row>
    <row r="593" spans="1:24">
      <c r="A593" s="7">
        <f>MAX($A$1:$A592)+1</f>
        <v>592</v>
      </c>
      <c r="B593" s="2" t="str">
        <f t="shared" si="67"/>
        <v>Jasmin Schuster</v>
      </c>
      <c r="C593" s="2" t="str">
        <f t="shared" si="68"/>
        <v>Em Lim</v>
      </c>
      <c r="D593" s="2" t="str">
        <f t="shared" si="69"/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 t="shared" si="70"/>
        <v>08/05/2023</v>
      </c>
      <c r="I593" s="2">
        <f t="shared" si="70"/>
        <v>3</v>
      </c>
      <c r="J593" s="2">
        <f t="shared" si="70"/>
        <v>90</v>
      </c>
      <c r="K593" s="6">
        <f t="shared" si="70"/>
        <v>0.42638888888888887</v>
      </c>
      <c r="L593" s="2" t="str">
        <f t="shared" si="70"/>
        <v>EGL</v>
      </c>
      <c r="M593" s="2">
        <f t="shared" si="70"/>
        <v>5.5</v>
      </c>
      <c r="N593" s="2">
        <f t="shared" si="70"/>
        <v>1</v>
      </c>
      <c r="O593" s="2">
        <f t="shared" si="70"/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 t="shared" si="66"/>
        <v>1</v>
      </c>
      <c r="T593" s="2">
        <v>1</v>
      </c>
    </row>
    <row r="594" spans="1:24">
      <c r="A594" s="7">
        <f>MAX($A$1:$A593)+1</f>
        <v>593</v>
      </c>
      <c r="B594" s="2" t="str">
        <f t="shared" si="67"/>
        <v>Jasmin Schuster</v>
      </c>
      <c r="C594" s="2" t="str">
        <f t="shared" si="68"/>
        <v>Em Lim</v>
      </c>
      <c r="D594" s="2" t="str">
        <f t="shared" si="69"/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 t="shared" ref="H594:H617" si="71">IF(ISERROR(H593),IF(ISERROR(H592),IF(ISERROR(H591),"BLANK",H591),H592),H593)</f>
        <v>08/05/2023</v>
      </c>
      <c r="I594" s="2">
        <f t="shared" ref="I594:I617" si="72">IF(ISERROR(I593),IF(ISERROR(I592),IF(ISERROR(I591),"BLANK",I591),I592),I593)</f>
        <v>3</v>
      </c>
      <c r="J594" s="2">
        <f t="shared" ref="J594:J617" si="73">IF(ISERROR(J593),IF(ISERROR(J592),IF(ISERROR(J591),"BLANK",J591),J592),J593)</f>
        <v>90</v>
      </c>
      <c r="K594" s="6">
        <f t="shared" ref="K594:K617" si="74">IF(ISERROR(K593),IF(ISERROR(K592),IF(ISERROR(K591),"BLANK",K591),K592),K593)</f>
        <v>0.42638888888888887</v>
      </c>
      <c r="L594" s="2" t="str">
        <f t="shared" ref="L594:L617" si="75">IF(ISERROR(L593),IF(ISERROR(L592),IF(ISERROR(L591),"BLANK",L591),L592),L593)</f>
        <v>EGL</v>
      </c>
      <c r="M594" s="2">
        <f t="shared" ref="M594:M617" si="76">IF(ISERROR(M593),IF(ISERROR(M592),IF(ISERROR(M591),"BLANK",M591),M592),M593)</f>
        <v>5.5</v>
      </c>
      <c r="N594" s="2">
        <v>2</v>
      </c>
      <c r="O594" s="2">
        <f t="shared" ref="O594:O617" si="77"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 t="shared" si="66"/>
        <v>52</v>
      </c>
      <c r="T594" s="2">
        <v>52</v>
      </c>
    </row>
    <row r="595" spans="1:24">
      <c r="A595" s="7">
        <f>MAX($A$1:$A594)+1</f>
        <v>594</v>
      </c>
      <c r="B595" s="2" t="str">
        <f t="shared" si="67"/>
        <v>Jasmin Schuster</v>
      </c>
      <c r="C595" s="2" t="str">
        <f t="shared" si="68"/>
        <v>Em Lim</v>
      </c>
      <c r="D595" s="2" t="str">
        <f t="shared" si="69"/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 t="shared" si="71"/>
        <v>08/05/2023</v>
      </c>
      <c r="I595" s="2">
        <f t="shared" si="72"/>
        <v>3</v>
      </c>
      <c r="J595" s="2">
        <f t="shared" si="73"/>
        <v>90</v>
      </c>
      <c r="K595" s="6">
        <f t="shared" si="74"/>
        <v>0.42638888888888887</v>
      </c>
      <c r="L595" s="2" t="str">
        <f t="shared" si="75"/>
        <v>EGL</v>
      </c>
      <c r="M595" s="2">
        <f t="shared" si="76"/>
        <v>5.5</v>
      </c>
      <c r="N595" s="2">
        <f t="shared" ref="N595:N612" si="78">IF(ISERROR(N594),IF(ISERROR(N593),IF(ISERROR(N592),"BLANK",N592),N593),N594)</f>
        <v>2</v>
      </c>
      <c r="O595" s="2">
        <f t="shared" si="77"/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 t="shared" si="66"/>
        <v>20</v>
      </c>
      <c r="T595" s="2">
        <v>20</v>
      </c>
    </row>
    <row r="596" spans="1:24">
      <c r="A596" s="7">
        <f>MAX($A$1:$A595)+1</f>
        <v>595</v>
      </c>
      <c r="B596" s="2" t="str">
        <f t="shared" si="67"/>
        <v>Jasmin Schuster</v>
      </c>
      <c r="C596" s="2" t="str">
        <f t="shared" si="68"/>
        <v>Em Lim</v>
      </c>
      <c r="D596" s="2" t="str">
        <f t="shared" si="69"/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 t="shared" si="71"/>
        <v>08/05/2023</v>
      </c>
      <c r="I596" s="2">
        <f t="shared" si="72"/>
        <v>3</v>
      </c>
      <c r="J596" s="2">
        <f t="shared" si="73"/>
        <v>90</v>
      </c>
      <c r="K596" s="6">
        <f t="shared" si="74"/>
        <v>0.42638888888888887</v>
      </c>
      <c r="L596" s="2" t="str">
        <f t="shared" si="75"/>
        <v>EGL</v>
      </c>
      <c r="M596" s="2">
        <f t="shared" si="76"/>
        <v>5.5</v>
      </c>
      <c r="N596" s="2">
        <f t="shared" si="78"/>
        <v>2</v>
      </c>
      <c r="O596" s="2">
        <f t="shared" si="77"/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 t="shared" si="66"/>
        <v>12</v>
      </c>
      <c r="T596" s="2">
        <v>12</v>
      </c>
    </row>
    <row r="597" spans="1:24">
      <c r="A597" s="7">
        <f>MAX($A$1:$A596)+1</f>
        <v>596</v>
      </c>
      <c r="B597" s="2" t="str">
        <f t="shared" si="67"/>
        <v>Jasmin Schuster</v>
      </c>
      <c r="C597" s="2" t="str">
        <f t="shared" si="68"/>
        <v>Em Lim</v>
      </c>
      <c r="D597" s="2" t="str">
        <f t="shared" si="69"/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 t="shared" si="71"/>
        <v>08/05/2023</v>
      </c>
      <c r="I597" s="2">
        <f t="shared" si="72"/>
        <v>3</v>
      </c>
      <c r="J597" s="2">
        <f t="shared" si="73"/>
        <v>90</v>
      </c>
      <c r="K597" s="6">
        <f t="shared" si="74"/>
        <v>0.42638888888888887</v>
      </c>
      <c r="L597" s="2" t="str">
        <f t="shared" si="75"/>
        <v>EGL</v>
      </c>
      <c r="M597" s="2">
        <f t="shared" si="76"/>
        <v>5.5</v>
      </c>
      <c r="N597" s="2">
        <f t="shared" si="78"/>
        <v>2</v>
      </c>
      <c r="O597" s="2">
        <f t="shared" si="77"/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 t="shared" si="66"/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>
      <c r="A598" s="7">
        <f>MAX($A$1:$A597)+1</f>
        <v>597</v>
      </c>
      <c r="B598" s="2" t="str">
        <f t="shared" si="67"/>
        <v>Jasmin Schuster</v>
      </c>
      <c r="C598" s="2" t="str">
        <f t="shared" si="68"/>
        <v>Em Lim</v>
      </c>
      <c r="D598" s="2" t="str">
        <f t="shared" si="69"/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 t="shared" si="71"/>
        <v>08/05/2023</v>
      </c>
      <c r="I598" s="2">
        <f t="shared" si="72"/>
        <v>3</v>
      </c>
      <c r="J598" s="2">
        <f t="shared" si="73"/>
        <v>90</v>
      </c>
      <c r="K598" s="6">
        <f t="shared" si="74"/>
        <v>0.42638888888888887</v>
      </c>
      <c r="L598" s="2" t="str">
        <f t="shared" si="75"/>
        <v>EGL</v>
      </c>
      <c r="M598" s="2">
        <f t="shared" si="76"/>
        <v>5.5</v>
      </c>
      <c r="N598" s="2">
        <f t="shared" si="78"/>
        <v>2</v>
      </c>
      <c r="O598" s="2">
        <f t="shared" si="77"/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 t="shared" si="66"/>
        <v>5</v>
      </c>
      <c r="T598" s="2">
        <v>0</v>
      </c>
      <c r="V598" s="2">
        <v>2</v>
      </c>
      <c r="W598" s="2">
        <v>3</v>
      </c>
    </row>
    <row r="599" spans="1:24">
      <c r="A599" s="7">
        <f>MAX($A$1:$A598)+1</f>
        <v>598</v>
      </c>
      <c r="B599" s="2" t="str">
        <f t="shared" si="67"/>
        <v>Jasmin Schuster</v>
      </c>
      <c r="C599" s="2" t="str">
        <f t="shared" si="68"/>
        <v>Em Lim</v>
      </c>
      <c r="D599" s="2" t="str">
        <f t="shared" si="69"/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 t="shared" si="71"/>
        <v>08/05/2023</v>
      </c>
      <c r="I599" s="2">
        <f t="shared" si="72"/>
        <v>3</v>
      </c>
      <c r="J599" s="2">
        <f t="shared" si="73"/>
        <v>90</v>
      </c>
      <c r="K599" s="6">
        <f t="shared" si="74"/>
        <v>0.42638888888888887</v>
      </c>
      <c r="L599" s="2" t="str">
        <f t="shared" si="75"/>
        <v>EGL</v>
      </c>
      <c r="M599" s="2">
        <f t="shared" si="76"/>
        <v>5.5</v>
      </c>
      <c r="N599" s="2">
        <f t="shared" si="78"/>
        <v>2</v>
      </c>
      <c r="O599" s="2">
        <f t="shared" si="77"/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 t="shared" si="66"/>
        <v>21</v>
      </c>
      <c r="T599" s="2">
        <v>21</v>
      </c>
    </row>
    <row r="600" spans="1:24">
      <c r="A600" s="7">
        <f>MAX($A$1:$A599)+1</f>
        <v>599</v>
      </c>
      <c r="B600" s="2" t="str">
        <f t="shared" si="67"/>
        <v>Jasmin Schuster</v>
      </c>
      <c r="C600" s="2" t="str">
        <f t="shared" si="68"/>
        <v>Em Lim</v>
      </c>
      <c r="D600" s="2" t="str">
        <f t="shared" si="69"/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 t="shared" si="71"/>
        <v>08/05/2023</v>
      </c>
      <c r="I600" s="2">
        <f t="shared" si="72"/>
        <v>3</v>
      </c>
      <c r="J600" s="2">
        <f t="shared" si="73"/>
        <v>90</v>
      </c>
      <c r="K600" s="6">
        <f t="shared" si="74"/>
        <v>0.42638888888888887</v>
      </c>
      <c r="L600" s="2" t="str">
        <f t="shared" si="75"/>
        <v>EGL</v>
      </c>
      <c r="M600" s="2">
        <f t="shared" si="76"/>
        <v>5.5</v>
      </c>
      <c r="N600" s="2">
        <f t="shared" si="78"/>
        <v>2</v>
      </c>
      <c r="O600" s="2">
        <f t="shared" si="77"/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 t="shared" si="66"/>
        <v>6</v>
      </c>
      <c r="T600" s="2">
        <v>6</v>
      </c>
    </row>
    <row r="601" spans="1:24">
      <c r="A601" s="7">
        <f>MAX($A$1:$A600)+1</f>
        <v>600</v>
      </c>
      <c r="B601" s="2" t="str">
        <f t="shared" si="67"/>
        <v>Jasmin Schuster</v>
      </c>
      <c r="C601" s="2" t="str">
        <f t="shared" si="68"/>
        <v>Em Lim</v>
      </c>
      <c r="D601" s="2" t="str">
        <f t="shared" si="69"/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 t="shared" si="71"/>
        <v>08/05/2023</v>
      </c>
      <c r="I601" s="2">
        <f t="shared" si="72"/>
        <v>3</v>
      </c>
      <c r="J601" s="2">
        <f t="shared" si="73"/>
        <v>90</v>
      </c>
      <c r="K601" s="6">
        <f t="shared" si="74"/>
        <v>0.42638888888888887</v>
      </c>
      <c r="L601" s="2" t="str">
        <f t="shared" si="75"/>
        <v>EGL</v>
      </c>
      <c r="M601" s="2">
        <f t="shared" si="76"/>
        <v>5.5</v>
      </c>
      <c r="N601" s="2">
        <f t="shared" si="78"/>
        <v>2</v>
      </c>
      <c r="O601" s="2">
        <f t="shared" si="77"/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 t="shared" si="66"/>
        <v>23</v>
      </c>
      <c r="T601" s="2">
        <v>23</v>
      </c>
    </row>
    <row r="602" spans="1:24">
      <c r="A602" s="7">
        <f>MAX($A$1:$A601)+1</f>
        <v>601</v>
      </c>
      <c r="B602" s="2" t="str">
        <f t="shared" si="67"/>
        <v>Jasmin Schuster</v>
      </c>
      <c r="C602" s="2" t="str">
        <f t="shared" si="68"/>
        <v>Em Lim</v>
      </c>
      <c r="D602" s="2" t="str">
        <f t="shared" si="69"/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 t="shared" si="71"/>
        <v>08/05/2023</v>
      </c>
      <c r="I602" s="2">
        <f t="shared" si="72"/>
        <v>3</v>
      </c>
      <c r="J602" s="2">
        <f t="shared" si="73"/>
        <v>90</v>
      </c>
      <c r="K602" s="6">
        <f t="shared" si="74"/>
        <v>0.42638888888888887</v>
      </c>
      <c r="L602" s="2" t="str">
        <f t="shared" si="75"/>
        <v>EGL</v>
      </c>
      <c r="M602" s="2">
        <f t="shared" si="76"/>
        <v>5.5</v>
      </c>
      <c r="N602" s="2">
        <f t="shared" si="78"/>
        <v>2</v>
      </c>
      <c r="O602" s="2">
        <f t="shared" si="77"/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 t="shared" si="66"/>
        <v>1</v>
      </c>
      <c r="T602" s="2">
        <v>1</v>
      </c>
    </row>
    <row r="603" spans="1:24">
      <c r="A603" s="7">
        <f>MAX($A$1:$A602)+1</f>
        <v>602</v>
      </c>
      <c r="B603" s="2" t="str">
        <f t="shared" si="67"/>
        <v>Jasmin Schuster</v>
      </c>
      <c r="C603" s="2" t="str">
        <f t="shared" si="68"/>
        <v>Em Lim</v>
      </c>
      <c r="D603" s="2" t="str">
        <f t="shared" si="69"/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 t="shared" si="71"/>
        <v>08/05/2023</v>
      </c>
      <c r="I603" s="2">
        <f t="shared" si="72"/>
        <v>3</v>
      </c>
      <c r="J603" s="2">
        <f t="shared" si="73"/>
        <v>90</v>
      </c>
      <c r="K603" s="6">
        <f t="shared" si="74"/>
        <v>0.42638888888888887</v>
      </c>
      <c r="L603" s="2" t="str">
        <f t="shared" si="75"/>
        <v>EGL</v>
      </c>
      <c r="M603" s="2">
        <f t="shared" si="76"/>
        <v>5.5</v>
      </c>
      <c r="N603" s="2">
        <f t="shared" si="78"/>
        <v>2</v>
      </c>
      <c r="O603" s="2">
        <f t="shared" si="77"/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 t="shared" si="66"/>
        <v>1</v>
      </c>
      <c r="T603" s="2">
        <v>1</v>
      </c>
    </row>
    <row r="604" spans="1:24">
      <c r="A604" s="7">
        <f>MAX($A$1:$A603)+1</f>
        <v>603</v>
      </c>
      <c r="B604" s="2" t="str">
        <f t="shared" si="67"/>
        <v>Jasmin Schuster</v>
      </c>
      <c r="C604" s="2" t="str">
        <f t="shared" si="68"/>
        <v>Em Lim</v>
      </c>
      <c r="D604" s="2" t="str">
        <f t="shared" si="69"/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 t="shared" si="71"/>
        <v>08/05/2023</v>
      </c>
      <c r="I604" s="2">
        <f t="shared" si="72"/>
        <v>3</v>
      </c>
      <c r="J604" s="2">
        <f t="shared" si="73"/>
        <v>90</v>
      </c>
      <c r="K604" s="6">
        <f t="shared" si="74"/>
        <v>0.42638888888888887</v>
      </c>
      <c r="L604" s="2" t="str">
        <f t="shared" si="75"/>
        <v>EGL</v>
      </c>
      <c r="M604" s="2">
        <f t="shared" si="76"/>
        <v>5.5</v>
      </c>
      <c r="N604" s="2">
        <f t="shared" si="78"/>
        <v>2</v>
      </c>
      <c r="O604" s="2">
        <f t="shared" si="77"/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 t="shared" si="66"/>
        <v>1</v>
      </c>
      <c r="T604" s="2">
        <v>1</v>
      </c>
    </row>
    <row r="605" spans="1:24">
      <c r="A605" s="7">
        <f>MAX($A$1:$A604)+1</f>
        <v>604</v>
      </c>
      <c r="B605" s="2" t="str">
        <f t="shared" si="67"/>
        <v>Jasmin Schuster</v>
      </c>
      <c r="C605" s="2" t="str">
        <f t="shared" si="68"/>
        <v>Em Lim</v>
      </c>
      <c r="D605" s="2" t="str">
        <f t="shared" si="69"/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 t="shared" si="71"/>
        <v>08/05/2023</v>
      </c>
      <c r="I605" s="2">
        <f t="shared" si="72"/>
        <v>3</v>
      </c>
      <c r="J605" s="2">
        <f t="shared" si="73"/>
        <v>90</v>
      </c>
      <c r="K605" s="6">
        <f t="shared" si="74"/>
        <v>0.42638888888888887</v>
      </c>
      <c r="L605" s="2" t="str">
        <f t="shared" si="75"/>
        <v>EGL</v>
      </c>
      <c r="M605" s="2">
        <f t="shared" si="76"/>
        <v>5.5</v>
      </c>
      <c r="N605" s="2">
        <f t="shared" si="78"/>
        <v>2</v>
      </c>
      <c r="O605" s="2">
        <f t="shared" si="77"/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 t="shared" si="66"/>
        <v>2</v>
      </c>
      <c r="T605" s="2">
        <v>2</v>
      </c>
    </row>
    <row r="606" spans="1:24">
      <c r="A606" s="7">
        <f>MAX($A$1:$A605)+1</f>
        <v>605</v>
      </c>
      <c r="B606" s="2" t="str">
        <f t="shared" si="67"/>
        <v>Jasmin Schuster</v>
      </c>
      <c r="C606" s="2" t="str">
        <f t="shared" si="68"/>
        <v>Em Lim</v>
      </c>
      <c r="D606" s="2" t="str">
        <f t="shared" si="69"/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 t="shared" si="71"/>
        <v>08/05/2023</v>
      </c>
      <c r="I606" s="2">
        <f t="shared" si="72"/>
        <v>3</v>
      </c>
      <c r="J606" s="2">
        <f t="shared" si="73"/>
        <v>90</v>
      </c>
      <c r="K606" s="6">
        <f t="shared" si="74"/>
        <v>0.42638888888888887</v>
      </c>
      <c r="L606" s="2" t="str">
        <f t="shared" si="75"/>
        <v>EGL</v>
      </c>
      <c r="M606" s="2">
        <f t="shared" si="76"/>
        <v>5.5</v>
      </c>
      <c r="N606" s="2">
        <f t="shared" si="78"/>
        <v>2</v>
      </c>
      <c r="O606" s="2">
        <f t="shared" si="77"/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 t="shared" si="66"/>
        <v>7</v>
      </c>
      <c r="T606" s="2">
        <v>7</v>
      </c>
    </row>
    <row r="607" spans="1:24">
      <c r="A607" s="7">
        <f>MAX($A$1:$A606)+1</f>
        <v>606</v>
      </c>
      <c r="B607" s="2" t="str">
        <f t="shared" si="67"/>
        <v>Jasmin Schuster</v>
      </c>
      <c r="C607" s="2" t="str">
        <f t="shared" si="68"/>
        <v>Em Lim</v>
      </c>
      <c r="D607" s="2" t="str">
        <f t="shared" si="69"/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 t="shared" si="71"/>
        <v>08/05/2023</v>
      </c>
      <c r="I607" s="2">
        <f t="shared" si="72"/>
        <v>3</v>
      </c>
      <c r="J607" s="2">
        <f t="shared" si="73"/>
        <v>90</v>
      </c>
      <c r="K607" s="6">
        <f t="shared" si="74"/>
        <v>0.42638888888888887</v>
      </c>
      <c r="L607" s="2" t="str">
        <f t="shared" si="75"/>
        <v>EGL</v>
      </c>
      <c r="M607" s="2">
        <f t="shared" si="76"/>
        <v>5.5</v>
      </c>
      <c r="N607" s="2">
        <f t="shared" si="78"/>
        <v>2</v>
      </c>
      <c r="O607" s="2">
        <f t="shared" si="77"/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 t="shared" si="66"/>
        <v>7</v>
      </c>
      <c r="T607" s="2">
        <v>7</v>
      </c>
    </row>
    <row r="608" spans="1:24">
      <c r="A608" s="7">
        <f>MAX($A$1:$A607)+1</f>
        <v>607</v>
      </c>
      <c r="B608" s="2" t="str">
        <f t="shared" si="67"/>
        <v>Jasmin Schuster</v>
      </c>
      <c r="C608" s="2" t="str">
        <f t="shared" si="68"/>
        <v>Em Lim</v>
      </c>
      <c r="D608" s="2" t="str">
        <f t="shared" si="69"/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 t="shared" si="71"/>
        <v>08/05/2023</v>
      </c>
      <c r="I608" s="2">
        <f t="shared" si="72"/>
        <v>3</v>
      </c>
      <c r="J608" s="2">
        <f t="shared" si="73"/>
        <v>90</v>
      </c>
      <c r="K608" s="6">
        <f t="shared" si="74"/>
        <v>0.42638888888888887</v>
      </c>
      <c r="L608" s="2" t="str">
        <f t="shared" si="75"/>
        <v>EGL</v>
      </c>
      <c r="M608" s="2">
        <f t="shared" si="76"/>
        <v>5.5</v>
      </c>
      <c r="N608" s="2">
        <f t="shared" si="78"/>
        <v>2</v>
      </c>
      <c r="O608" s="2">
        <f t="shared" si="77"/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 t="shared" si="66"/>
        <v>2</v>
      </c>
      <c r="T608" s="2">
        <v>2</v>
      </c>
    </row>
    <row r="609" spans="1:27">
      <c r="A609" s="7">
        <f>MAX($A$1:$A608)+1</f>
        <v>608</v>
      </c>
      <c r="B609" s="2" t="str">
        <f t="shared" si="67"/>
        <v>Jasmin Schuster</v>
      </c>
      <c r="C609" s="2" t="str">
        <f t="shared" si="68"/>
        <v>Em Lim</v>
      </c>
      <c r="D609" s="2" t="str">
        <f t="shared" si="69"/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 t="shared" si="71"/>
        <v>08/05/2023</v>
      </c>
      <c r="I609" s="2">
        <f t="shared" si="72"/>
        <v>3</v>
      </c>
      <c r="J609" s="2">
        <f t="shared" si="73"/>
        <v>90</v>
      </c>
      <c r="K609" s="6">
        <f t="shared" si="74"/>
        <v>0.42638888888888887</v>
      </c>
      <c r="L609" s="2" t="str">
        <f t="shared" si="75"/>
        <v>EGL</v>
      </c>
      <c r="M609" s="2">
        <f t="shared" si="76"/>
        <v>5.5</v>
      </c>
      <c r="N609" s="2">
        <f t="shared" si="78"/>
        <v>2</v>
      </c>
      <c r="O609" s="2">
        <f t="shared" si="77"/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 t="shared" si="66"/>
        <v>1</v>
      </c>
      <c r="T609" s="2">
        <v>1</v>
      </c>
    </row>
    <row r="610" spans="1:27">
      <c r="A610" s="7">
        <f>MAX($A$1:$A609)+1</f>
        <v>609</v>
      </c>
      <c r="B610" s="2" t="str">
        <f t="shared" si="67"/>
        <v>Jasmin Schuster</v>
      </c>
      <c r="C610" s="2" t="str">
        <f t="shared" si="68"/>
        <v>Em Lim</v>
      </c>
      <c r="D610" s="2" t="str">
        <f t="shared" si="69"/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 t="shared" si="71"/>
        <v>08/05/2023</v>
      </c>
      <c r="I610" s="2">
        <f t="shared" si="72"/>
        <v>3</v>
      </c>
      <c r="J610" s="2">
        <f t="shared" si="73"/>
        <v>90</v>
      </c>
      <c r="K610" s="6">
        <f t="shared" si="74"/>
        <v>0.42638888888888887</v>
      </c>
      <c r="L610" s="2" t="str">
        <f t="shared" si="75"/>
        <v>EGL</v>
      </c>
      <c r="M610" s="2">
        <f t="shared" si="76"/>
        <v>5.5</v>
      </c>
      <c r="N610" s="2">
        <f t="shared" si="78"/>
        <v>2</v>
      </c>
      <c r="O610" s="2">
        <f t="shared" si="77"/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 t="shared" si="66"/>
        <v>4</v>
      </c>
      <c r="T610" s="2">
        <v>0</v>
      </c>
      <c r="Y610" s="2">
        <v>3</v>
      </c>
      <c r="Z610" s="2">
        <v>1</v>
      </c>
    </row>
    <row r="611" spans="1:27">
      <c r="A611" s="7">
        <f>MAX($A$1:$A610)+1</f>
        <v>610</v>
      </c>
      <c r="B611" s="2" t="str">
        <f t="shared" si="67"/>
        <v>Jasmin Schuster</v>
      </c>
      <c r="C611" s="2" t="str">
        <f t="shared" si="68"/>
        <v>Em Lim</v>
      </c>
      <c r="D611" s="2" t="str">
        <f t="shared" si="69"/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 t="shared" si="71"/>
        <v>08/05/2023</v>
      </c>
      <c r="I611" s="2">
        <f t="shared" si="72"/>
        <v>3</v>
      </c>
      <c r="J611" s="2">
        <f t="shared" si="73"/>
        <v>90</v>
      </c>
      <c r="K611" s="6">
        <f t="shared" si="74"/>
        <v>0.42638888888888887</v>
      </c>
      <c r="L611" s="2" t="str">
        <f t="shared" si="75"/>
        <v>EGL</v>
      </c>
      <c r="M611" s="2">
        <f t="shared" si="76"/>
        <v>5.5</v>
      </c>
      <c r="N611" s="2">
        <f t="shared" si="78"/>
        <v>2</v>
      </c>
      <c r="O611" s="2">
        <f t="shared" si="77"/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 t="shared" si="66"/>
        <v>1</v>
      </c>
      <c r="T611" s="2">
        <v>0</v>
      </c>
      <c r="U611" s="2">
        <v>1</v>
      </c>
    </row>
    <row r="612" spans="1:27">
      <c r="A612" s="7">
        <f>MAX($A$1:$A611)+1</f>
        <v>611</v>
      </c>
      <c r="B612" s="2" t="str">
        <f t="shared" si="67"/>
        <v>Jasmin Schuster</v>
      </c>
      <c r="C612" s="2" t="str">
        <f t="shared" si="68"/>
        <v>Em Lim</v>
      </c>
      <c r="D612" s="2" t="str">
        <f t="shared" si="69"/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 t="shared" si="71"/>
        <v>08/05/2023</v>
      </c>
      <c r="I612" s="2">
        <f t="shared" si="72"/>
        <v>3</v>
      </c>
      <c r="J612" s="2">
        <f t="shared" si="73"/>
        <v>90</v>
      </c>
      <c r="K612" s="6">
        <f t="shared" si="74"/>
        <v>0.42638888888888887</v>
      </c>
      <c r="L612" s="2" t="str">
        <f t="shared" si="75"/>
        <v>EGL</v>
      </c>
      <c r="M612" s="2">
        <f t="shared" si="76"/>
        <v>5.5</v>
      </c>
      <c r="N612" s="2">
        <f t="shared" si="78"/>
        <v>2</v>
      </c>
      <c r="O612" s="2">
        <f t="shared" si="77"/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 t="shared" si="66"/>
        <v>1</v>
      </c>
      <c r="T612" s="2">
        <v>1</v>
      </c>
    </row>
    <row r="613" spans="1:27">
      <c r="A613" s="7">
        <f>MAX($A$1:$A612)+1</f>
        <v>612</v>
      </c>
      <c r="B613" s="2" t="str">
        <f t="shared" si="67"/>
        <v>Jasmin Schuster</v>
      </c>
      <c r="C613" s="2" t="str">
        <f t="shared" si="68"/>
        <v>Em Lim</v>
      </c>
      <c r="D613" s="2" t="str">
        <f t="shared" si="69"/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 t="shared" si="71"/>
        <v>08/05/2023</v>
      </c>
      <c r="I613" s="2">
        <f t="shared" si="72"/>
        <v>3</v>
      </c>
      <c r="J613" s="2">
        <f t="shared" si="73"/>
        <v>90</v>
      </c>
      <c r="K613" s="6">
        <f t="shared" si="74"/>
        <v>0.42638888888888887</v>
      </c>
      <c r="L613" s="2" t="str">
        <f t="shared" si="75"/>
        <v>EGL</v>
      </c>
      <c r="M613" s="2">
        <f t="shared" si="76"/>
        <v>5.5</v>
      </c>
      <c r="N613" s="27">
        <v>0</v>
      </c>
      <c r="O613" s="2">
        <f t="shared" si="77"/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 t="shared" si="66"/>
        <v>1</v>
      </c>
      <c r="T613" s="2">
        <v>0</v>
      </c>
      <c r="X613" s="2">
        <v>1</v>
      </c>
    </row>
    <row r="614" spans="1:27">
      <c r="A614" s="7">
        <f>MAX($A$1:$A613)+1</f>
        <v>613</v>
      </c>
      <c r="B614" s="2" t="str">
        <f t="shared" si="67"/>
        <v>Jasmin Schuster</v>
      </c>
      <c r="C614" s="2" t="str">
        <f t="shared" si="68"/>
        <v>Em Lim</v>
      </c>
      <c r="D614" s="2" t="str">
        <f t="shared" si="69"/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 t="shared" si="71"/>
        <v>08/05/2023</v>
      </c>
      <c r="I614" s="2">
        <f t="shared" si="72"/>
        <v>3</v>
      </c>
      <c r="J614" s="2">
        <f t="shared" si="73"/>
        <v>90</v>
      </c>
      <c r="K614" s="6">
        <f t="shared" si="74"/>
        <v>0.42638888888888887</v>
      </c>
      <c r="L614" s="2" t="str">
        <f t="shared" si="75"/>
        <v>EGL</v>
      </c>
      <c r="M614" s="2">
        <f t="shared" si="76"/>
        <v>5.5</v>
      </c>
      <c r="N614" s="2">
        <v>2</v>
      </c>
      <c r="O614" s="2">
        <f t="shared" si="77"/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 t="shared" si="66"/>
        <v>1</v>
      </c>
      <c r="T614" s="2">
        <v>1</v>
      </c>
    </row>
    <row r="615" spans="1:27">
      <c r="A615" s="7">
        <f>MAX($A$1:$A614)+1</f>
        <v>614</v>
      </c>
      <c r="B615" s="2" t="str">
        <f t="shared" si="67"/>
        <v>Jasmin Schuster</v>
      </c>
      <c r="C615" s="2" t="str">
        <f t="shared" si="68"/>
        <v>Em Lim</v>
      </c>
      <c r="D615" s="2" t="str">
        <f t="shared" si="69"/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 t="shared" si="71"/>
        <v>08/05/2023</v>
      </c>
      <c r="I615" s="2">
        <f t="shared" si="72"/>
        <v>3</v>
      </c>
      <c r="J615" s="2">
        <f t="shared" si="73"/>
        <v>90</v>
      </c>
      <c r="K615" s="6">
        <f t="shared" si="74"/>
        <v>0.42638888888888887</v>
      </c>
      <c r="L615" s="2" t="str">
        <f t="shared" si="75"/>
        <v>EGL</v>
      </c>
      <c r="M615" s="2">
        <f t="shared" si="76"/>
        <v>5.5</v>
      </c>
      <c r="N615" s="2">
        <f>IF(ISERROR(N614),IF(ISERROR(N613),IF(ISERROR(N612),"BLANK",N612),N613),N614)</f>
        <v>2</v>
      </c>
      <c r="O615" s="2">
        <f t="shared" si="77"/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 t="shared" si="66"/>
        <v>1</v>
      </c>
      <c r="T615" s="2">
        <v>1</v>
      </c>
    </row>
    <row r="616" spans="1:27">
      <c r="A616" s="7">
        <f>MAX($A$1:$A615)+1</f>
        <v>615</v>
      </c>
      <c r="B616" s="2" t="str">
        <f t="shared" si="67"/>
        <v>Jasmin Schuster</v>
      </c>
      <c r="C616" s="2" t="str">
        <f t="shared" si="68"/>
        <v>Em Lim</v>
      </c>
      <c r="D616" s="2" t="str">
        <f t="shared" si="69"/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 t="shared" si="71"/>
        <v>08/05/2023</v>
      </c>
      <c r="I616" s="2">
        <f t="shared" si="72"/>
        <v>3</v>
      </c>
      <c r="J616" s="2">
        <f t="shared" si="73"/>
        <v>90</v>
      </c>
      <c r="K616" s="6">
        <f t="shared" si="74"/>
        <v>0.42638888888888887</v>
      </c>
      <c r="L616" s="2" t="str">
        <f t="shared" si="75"/>
        <v>EGL</v>
      </c>
      <c r="M616" s="2">
        <f t="shared" si="76"/>
        <v>5.5</v>
      </c>
      <c r="N616" s="2">
        <f>IF(ISERROR(N615),IF(ISERROR(N614),IF(ISERROR(N613),"BLANK",N613),N614),N615)</f>
        <v>2</v>
      </c>
      <c r="O616" s="2">
        <f t="shared" si="77"/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 t="shared" si="66"/>
        <v>1</v>
      </c>
      <c r="T616" s="2">
        <v>1</v>
      </c>
    </row>
    <row r="617" spans="1:27">
      <c r="A617" s="7">
        <f>MAX($A$1:$A616)+1</f>
        <v>616</v>
      </c>
      <c r="B617" s="2" t="str">
        <f t="shared" si="67"/>
        <v>Jasmin Schuster</v>
      </c>
      <c r="C617" s="2" t="str">
        <f t="shared" si="68"/>
        <v>Em Lim</v>
      </c>
      <c r="D617" s="2" t="str">
        <f t="shared" si="69"/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 t="shared" si="71"/>
        <v>08/05/2023</v>
      </c>
      <c r="I617" s="2">
        <f t="shared" si="72"/>
        <v>3</v>
      </c>
      <c r="J617" s="2">
        <f t="shared" si="73"/>
        <v>90</v>
      </c>
      <c r="K617" s="6">
        <f t="shared" si="74"/>
        <v>0.42638888888888887</v>
      </c>
      <c r="L617" s="2" t="str">
        <f t="shared" si="75"/>
        <v>EGL</v>
      </c>
      <c r="M617" s="2">
        <f t="shared" si="76"/>
        <v>5.5</v>
      </c>
      <c r="N617" s="2">
        <f>IF(ISERROR(N616),IF(ISERROR(N615),IF(ISERROR(N614),"BLANK",N614),N615),N616)</f>
        <v>2</v>
      </c>
      <c r="O617" s="2">
        <f t="shared" si="77"/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 t="shared" si="66"/>
        <v>1</v>
      </c>
      <c r="T617" s="2">
        <v>1</v>
      </c>
    </row>
    <row r="618" spans="1:27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>
      <c r="A639" s="7">
        <f>MAX($A$1:$A638)+1</f>
        <v>638</v>
      </c>
      <c r="B639" s="2" t="str">
        <f t="shared" ref="B639:C641" si="79">IF(ISERROR(B638),IF(ISERROR(B637),IF(ISERROR(B636),"BLANK",B636),B637),B638)</f>
        <v>Em Lim</v>
      </c>
      <c r="C639" s="2" t="str">
        <f t="shared" si="79"/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 t="shared" ref="S639:S670" si="80"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>
      <c r="A640" s="7">
        <f>MAX($A$1:$A639)+1</f>
        <v>639</v>
      </c>
      <c r="B640" s="2" t="str">
        <f t="shared" si="79"/>
        <v>Em Lim</v>
      </c>
      <c r="C640" s="2" t="str">
        <f t="shared" si="79"/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 t="shared" ref="I640:K641" si="81">IF(ISERROR(I639),IF(ISERROR(I638),IF(ISERROR(I637),"BLANK",I637),I638),I639)</f>
        <v>3</v>
      </c>
      <c r="J640" s="2">
        <f t="shared" si="81"/>
        <v>30</v>
      </c>
      <c r="K640" s="6">
        <f t="shared" si="81"/>
        <v>0.51388888888888895</v>
      </c>
      <c r="L640" s="2" t="str">
        <f>IF(ISERROR(L639),IF(ISERROR(L638),IF(ISERROR(L637),"BLANK",L637),L638),L639)</f>
        <v>EGL</v>
      </c>
      <c r="M640" s="2">
        <f t="shared" ref="M640:O641" si="82">IF(ISERROR(M639),IF(ISERROR(M638),IF(ISERROR(M637),"BLANK",M637),M638),M639)</f>
        <v>7</v>
      </c>
      <c r="N640" s="2">
        <f t="shared" si="82"/>
        <v>1</v>
      </c>
      <c r="O640" s="2">
        <f t="shared" si="82"/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 t="shared" si="80"/>
        <v>2</v>
      </c>
      <c r="T640" s="2">
        <v>0</v>
      </c>
      <c r="AA640" s="2">
        <v>1</v>
      </c>
      <c r="AB640" s="2">
        <v>1</v>
      </c>
    </row>
    <row r="641" spans="1:26">
      <c r="A641" s="7">
        <f>MAX($A$1:$A640)+1</f>
        <v>640</v>
      </c>
      <c r="B641" s="2" t="str">
        <f t="shared" si="79"/>
        <v>Em Lim</v>
      </c>
      <c r="C641" s="2" t="str">
        <f t="shared" si="79"/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 t="shared" si="81"/>
        <v>3</v>
      </c>
      <c r="J641" s="2">
        <f t="shared" si="81"/>
        <v>30</v>
      </c>
      <c r="K641" s="6">
        <f t="shared" si="81"/>
        <v>0.51388888888888895</v>
      </c>
      <c r="L641" s="2" t="str">
        <f>IF(ISERROR(L640),IF(ISERROR(L639),IF(ISERROR(L638),"BLANK",L638),L639),L640)</f>
        <v>EGL</v>
      </c>
      <c r="M641" s="2">
        <f t="shared" si="82"/>
        <v>7</v>
      </c>
      <c r="N641" s="2">
        <f t="shared" si="82"/>
        <v>1</v>
      </c>
      <c r="O641" s="2">
        <f t="shared" si="82"/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 t="shared" si="80"/>
        <v>1</v>
      </c>
      <c r="T641" s="2">
        <v>0</v>
      </c>
      <c r="X641" s="2">
        <v>1</v>
      </c>
    </row>
    <row r="642" spans="1:26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 t="shared" ref="H642:O642" si="83">IF(ISERROR(H640),IF(ISERROR(H639),IF(ISERROR(H638),"BLANK",H638),H639),H640)</f>
        <v>08/05/2023</v>
      </c>
      <c r="I642" s="2">
        <f t="shared" si="83"/>
        <v>3</v>
      </c>
      <c r="J642" s="2">
        <f t="shared" si="83"/>
        <v>30</v>
      </c>
      <c r="K642" s="6">
        <f t="shared" si="83"/>
        <v>0.51388888888888895</v>
      </c>
      <c r="L642" s="2" t="str">
        <f t="shared" si="83"/>
        <v>EGL</v>
      </c>
      <c r="M642" s="2">
        <f t="shared" si="83"/>
        <v>7</v>
      </c>
      <c r="N642" s="2">
        <f t="shared" si="83"/>
        <v>1</v>
      </c>
      <c r="O642" s="2">
        <f t="shared" si="83"/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 t="shared" si="80"/>
        <v>1</v>
      </c>
      <c r="T642" s="2">
        <v>0</v>
      </c>
      <c r="W642" s="2">
        <v>1</v>
      </c>
    </row>
    <row r="643" spans="1:26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 t="shared" ref="H643:O643" si="84">IF(ISERROR(H642),IF(ISERROR(H640),IF(ISERROR(H639),"BLANK",H639),H640),H642)</f>
        <v>08/05/2023</v>
      </c>
      <c r="I643" s="2">
        <f t="shared" si="84"/>
        <v>3</v>
      </c>
      <c r="J643" s="2">
        <f t="shared" si="84"/>
        <v>30</v>
      </c>
      <c r="K643" s="6">
        <f t="shared" si="84"/>
        <v>0.51388888888888895</v>
      </c>
      <c r="L643" s="2" t="str">
        <f t="shared" si="84"/>
        <v>EGL</v>
      </c>
      <c r="M643" s="2">
        <f t="shared" si="84"/>
        <v>7</v>
      </c>
      <c r="N643" s="2">
        <f t="shared" si="84"/>
        <v>1</v>
      </c>
      <c r="O643" s="2">
        <f t="shared" si="84"/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 t="shared" si="80"/>
        <v>1</v>
      </c>
      <c r="T643" s="2">
        <v>0</v>
      </c>
      <c r="Z643" s="2">
        <v>1</v>
      </c>
    </row>
    <row r="644" spans="1:26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 t="shared" ref="H644:M644" si="85">IF(ISERROR(H643),IF(ISERROR(H642),IF(ISERROR(H640),"BLANK",H640),H642),H643)</f>
        <v>08/05/2023</v>
      </c>
      <c r="I644" s="2">
        <f t="shared" si="85"/>
        <v>3</v>
      </c>
      <c r="J644" s="2">
        <f t="shared" si="85"/>
        <v>30</v>
      </c>
      <c r="K644" s="6">
        <f t="shared" si="85"/>
        <v>0.51388888888888895</v>
      </c>
      <c r="L644" s="2" t="str">
        <f t="shared" si="85"/>
        <v>EGL</v>
      </c>
      <c r="M644" s="2">
        <f t="shared" si="85"/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 t="shared" si="80"/>
        <v>203</v>
      </c>
      <c r="T644" s="2">
        <v>203</v>
      </c>
    </row>
    <row r="645" spans="1:26">
      <c r="A645" s="7">
        <f>MAX($A$1:$A644)+1</f>
        <v>644</v>
      </c>
      <c r="B645" s="2" t="str">
        <f t="shared" ref="B645:B670" si="86">IF(ISERROR(B644),IF(ISERROR(B643),IF(ISERROR(B642),"BLANK",B642),B643),B644)</f>
        <v>Em Lim</v>
      </c>
      <c r="C645" s="2" t="str">
        <f t="shared" ref="C645:C670" si="87">IF(ISERROR(C644),IF(ISERROR(C643),IF(ISERROR(C642),"BLANK",C642),C643),C644)</f>
        <v>Jasmin Schuster</v>
      </c>
      <c r="D645" s="2" t="str">
        <f t="shared" ref="D645:D670" si="88"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 t="shared" ref="H645:O652" si="89">IF(ISERROR(H644),IF(ISERROR(H643),IF(ISERROR(H642),"BLANK",H642),H643),H644)</f>
        <v>08/05/2023</v>
      </c>
      <c r="I645" s="2">
        <f t="shared" si="89"/>
        <v>3</v>
      </c>
      <c r="J645" s="2">
        <f t="shared" si="89"/>
        <v>30</v>
      </c>
      <c r="K645" s="6">
        <f t="shared" si="89"/>
        <v>0.51388888888888895</v>
      </c>
      <c r="L645" s="2" t="str">
        <f t="shared" si="89"/>
        <v>EGL</v>
      </c>
      <c r="M645" s="2">
        <f t="shared" si="89"/>
        <v>7</v>
      </c>
      <c r="N645" s="2">
        <f t="shared" si="89"/>
        <v>2</v>
      </c>
      <c r="O645" s="2">
        <f t="shared" si="89"/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 t="shared" si="80"/>
        <v>6</v>
      </c>
      <c r="T645" s="2">
        <v>6</v>
      </c>
    </row>
    <row r="646" spans="1:26">
      <c r="A646" s="7">
        <f>MAX($A$1:$A645)+1</f>
        <v>645</v>
      </c>
      <c r="B646" s="2" t="str">
        <f t="shared" si="86"/>
        <v>Em Lim</v>
      </c>
      <c r="C646" s="2" t="str">
        <f t="shared" si="87"/>
        <v>Jasmin Schuster</v>
      </c>
      <c r="D646" s="2" t="str">
        <f t="shared" si="88"/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 t="shared" si="89"/>
        <v>08/05/2023</v>
      </c>
      <c r="I646" s="2">
        <f t="shared" si="89"/>
        <v>3</v>
      </c>
      <c r="J646" s="2">
        <f t="shared" si="89"/>
        <v>30</v>
      </c>
      <c r="K646" s="6">
        <f t="shared" si="89"/>
        <v>0.51388888888888895</v>
      </c>
      <c r="L646" s="2" t="str">
        <f t="shared" si="89"/>
        <v>EGL</v>
      </c>
      <c r="M646" s="2">
        <f t="shared" si="89"/>
        <v>7</v>
      </c>
      <c r="N646" s="2">
        <f t="shared" si="89"/>
        <v>2</v>
      </c>
      <c r="O646" s="2">
        <f t="shared" si="89"/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 t="shared" si="80"/>
        <v>29</v>
      </c>
      <c r="T646" s="2">
        <v>29</v>
      </c>
    </row>
    <row r="647" spans="1:26">
      <c r="A647" s="7">
        <f>MAX($A$1:$A646)+1</f>
        <v>646</v>
      </c>
      <c r="B647" s="2" t="str">
        <f t="shared" si="86"/>
        <v>Em Lim</v>
      </c>
      <c r="C647" s="2" t="str">
        <f t="shared" si="87"/>
        <v>Jasmin Schuster</v>
      </c>
      <c r="D647" s="2" t="str">
        <f t="shared" si="88"/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 t="shared" si="89"/>
        <v>08/05/2023</v>
      </c>
      <c r="I647" s="2">
        <f t="shared" si="89"/>
        <v>3</v>
      </c>
      <c r="J647" s="2">
        <f t="shared" si="89"/>
        <v>30</v>
      </c>
      <c r="K647" s="6">
        <f t="shared" si="89"/>
        <v>0.51388888888888895</v>
      </c>
      <c r="L647" s="2" t="str">
        <f t="shared" si="89"/>
        <v>EGL</v>
      </c>
      <c r="M647" s="2">
        <f t="shared" si="89"/>
        <v>7</v>
      </c>
      <c r="N647" s="2">
        <f t="shared" si="89"/>
        <v>2</v>
      </c>
      <c r="O647" s="2">
        <f t="shared" si="89"/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 t="shared" si="80"/>
        <v>11</v>
      </c>
      <c r="T647" s="2">
        <v>11</v>
      </c>
    </row>
    <row r="648" spans="1:26">
      <c r="A648" s="7">
        <f>MAX($A$1:$A647)+1</f>
        <v>647</v>
      </c>
      <c r="B648" s="2" t="str">
        <f t="shared" si="86"/>
        <v>Em Lim</v>
      </c>
      <c r="C648" s="2" t="str">
        <f t="shared" si="87"/>
        <v>Jasmin Schuster</v>
      </c>
      <c r="D648" s="2" t="str">
        <f t="shared" si="88"/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 t="shared" si="89"/>
        <v>08/05/2023</v>
      </c>
      <c r="I648" s="2">
        <f t="shared" si="89"/>
        <v>3</v>
      </c>
      <c r="J648" s="2">
        <f t="shared" si="89"/>
        <v>30</v>
      </c>
      <c r="K648" s="6">
        <f t="shared" si="89"/>
        <v>0.51388888888888895</v>
      </c>
      <c r="L648" s="2" t="str">
        <f t="shared" si="89"/>
        <v>EGL</v>
      </c>
      <c r="M648" s="2">
        <f t="shared" si="89"/>
        <v>7</v>
      </c>
      <c r="N648" s="2">
        <f t="shared" si="89"/>
        <v>2</v>
      </c>
      <c r="O648" s="2">
        <f t="shared" si="89"/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 t="shared" si="80"/>
        <v>2</v>
      </c>
      <c r="T648" s="2">
        <v>2</v>
      </c>
    </row>
    <row r="649" spans="1:26">
      <c r="A649" s="7">
        <f>MAX($A$1:$A648)+1</f>
        <v>648</v>
      </c>
      <c r="B649" s="2" t="str">
        <f t="shared" si="86"/>
        <v>Em Lim</v>
      </c>
      <c r="C649" s="2" t="str">
        <f t="shared" si="87"/>
        <v>Jasmin Schuster</v>
      </c>
      <c r="D649" s="2" t="str">
        <f t="shared" si="88"/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 t="shared" si="89"/>
        <v>08/05/2023</v>
      </c>
      <c r="I649" s="2">
        <f t="shared" si="89"/>
        <v>3</v>
      </c>
      <c r="J649" s="2">
        <f t="shared" si="89"/>
        <v>30</v>
      </c>
      <c r="K649" s="6">
        <f t="shared" si="89"/>
        <v>0.51388888888888895</v>
      </c>
      <c r="L649" s="2" t="str">
        <f t="shared" si="89"/>
        <v>EGL</v>
      </c>
      <c r="M649" s="2">
        <f t="shared" si="89"/>
        <v>7</v>
      </c>
      <c r="N649" s="2">
        <f t="shared" si="89"/>
        <v>2</v>
      </c>
      <c r="O649" s="2">
        <f t="shared" si="89"/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 t="shared" si="80"/>
        <v>20</v>
      </c>
      <c r="T649" s="2">
        <v>20</v>
      </c>
    </row>
    <row r="650" spans="1:26">
      <c r="A650" s="7">
        <f>MAX($A$1:$A649)+1</f>
        <v>649</v>
      </c>
      <c r="B650" s="2" t="str">
        <f t="shared" si="86"/>
        <v>Em Lim</v>
      </c>
      <c r="C650" s="2" t="str">
        <f t="shared" si="87"/>
        <v>Jasmin Schuster</v>
      </c>
      <c r="D650" s="2" t="str">
        <f t="shared" si="88"/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 t="shared" si="89"/>
        <v>08/05/2023</v>
      </c>
      <c r="I650" s="2">
        <f t="shared" si="89"/>
        <v>3</v>
      </c>
      <c r="J650" s="2">
        <f t="shared" si="89"/>
        <v>30</v>
      </c>
      <c r="K650" s="6">
        <f t="shared" si="89"/>
        <v>0.51388888888888895</v>
      </c>
      <c r="L650" s="2" t="str">
        <f t="shared" si="89"/>
        <v>EGL</v>
      </c>
      <c r="M650" s="2">
        <f t="shared" si="89"/>
        <v>7</v>
      </c>
      <c r="N650" s="2">
        <f t="shared" si="89"/>
        <v>2</v>
      </c>
      <c r="O650" s="2">
        <f t="shared" si="89"/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 t="shared" si="80"/>
        <v>6</v>
      </c>
      <c r="T650" s="2">
        <v>6</v>
      </c>
    </row>
    <row r="651" spans="1:26">
      <c r="A651" s="7">
        <f>MAX($A$1:$A650)+1</f>
        <v>650</v>
      </c>
      <c r="B651" s="2" t="str">
        <f t="shared" si="86"/>
        <v>Em Lim</v>
      </c>
      <c r="C651" s="2" t="str">
        <f t="shared" si="87"/>
        <v>Jasmin Schuster</v>
      </c>
      <c r="D651" s="2" t="str">
        <f t="shared" si="88"/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 t="shared" si="89"/>
        <v>08/05/2023</v>
      </c>
      <c r="I651" s="2">
        <f t="shared" si="89"/>
        <v>3</v>
      </c>
      <c r="J651" s="2">
        <f t="shared" si="89"/>
        <v>30</v>
      </c>
      <c r="K651" s="6">
        <f t="shared" si="89"/>
        <v>0.51388888888888895</v>
      </c>
      <c r="L651" s="2" t="str">
        <f t="shared" si="89"/>
        <v>EGL</v>
      </c>
      <c r="M651" s="2">
        <f t="shared" si="89"/>
        <v>7</v>
      </c>
      <c r="N651" s="2">
        <f t="shared" si="89"/>
        <v>2</v>
      </c>
      <c r="O651" s="2">
        <f t="shared" si="89"/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 t="shared" si="80"/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>
      <c r="A652" s="7">
        <f>MAX($A$1:$A651)+1</f>
        <v>651</v>
      </c>
      <c r="B652" s="2" t="str">
        <f t="shared" si="86"/>
        <v>Em Lim</v>
      </c>
      <c r="C652" s="2" t="str">
        <f t="shared" si="87"/>
        <v>Jasmin Schuster</v>
      </c>
      <c r="D652" s="2" t="str">
        <f t="shared" si="88"/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 t="shared" si="89"/>
        <v>08/05/2023</v>
      </c>
      <c r="I652" s="2">
        <f t="shared" si="89"/>
        <v>3</v>
      </c>
      <c r="J652" s="2">
        <f t="shared" si="89"/>
        <v>30</v>
      </c>
      <c r="K652" s="6">
        <f t="shared" si="89"/>
        <v>0.51388888888888895</v>
      </c>
      <c r="L652" s="2" t="str">
        <f t="shared" si="89"/>
        <v>EGL</v>
      </c>
      <c r="M652" s="2">
        <f t="shared" si="89"/>
        <v>7</v>
      </c>
      <c r="N652" s="2">
        <f t="shared" si="89"/>
        <v>2</v>
      </c>
      <c r="O652" s="2">
        <f t="shared" si="89"/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 t="shared" si="80"/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>
      <c r="A653" s="7">
        <f>MAX($A$1:$A652)+1</f>
        <v>652</v>
      </c>
      <c r="B653" s="2" t="str">
        <f t="shared" si="86"/>
        <v>Em Lim</v>
      </c>
      <c r="C653" s="2" t="str">
        <f t="shared" si="87"/>
        <v>Jasmin Schuster</v>
      </c>
      <c r="D653" s="2" t="str">
        <f t="shared" si="88"/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 t="shared" ref="H653:H670" si="90">IF(ISERROR(H652),IF(ISERROR(H651),IF(ISERROR(H650),"BLANK",H650),H651),H652)</f>
        <v>08/05/2023</v>
      </c>
      <c r="I653" s="2">
        <f t="shared" ref="I653:I670" si="91">IF(ISERROR(I652),IF(ISERROR(I651),IF(ISERROR(I650),"BLANK",I650),I651),I652)</f>
        <v>3</v>
      </c>
      <c r="J653" s="2">
        <f t="shared" ref="J653:J670" si="92">IF(ISERROR(J652),IF(ISERROR(J651),IF(ISERROR(J650),"BLANK",J650),J651),J652)</f>
        <v>30</v>
      </c>
      <c r="K653" s="6">
        <f t="shared" ref="K653:K670" si="93">IF(ISERROR(K652),IF(ISERROR(K651),IF(ISERROR(K650),"BLANK",K650),K651),K652)</f>
        <v>0.51388888888888895</v>
      </c>
      <c r="L653" s="2" t="str">
        <f t="shared" ref="L653:L670" si="94">IF(ISERROR(L652),IF(ISERROR(L651),IF(ISERROR(L650),"BLANK",L650),L651),L652)</f>
        <v>EGL</v>
      </c>
      <c r="M653" s="2">
        <f t="shared" ref="M653:M670" si="95">IF(ISERROR(M652),IF(ISERROR(M651),IF(ISERROR(M650),"BLANK",M650),M651),M652)</f>
        <v>7</v>
      </c>
      <c r="N653" s="2">
        <v>0</v>
      </c>
      <c r="O653" s="2">
        <f t="shared" ref="O653:O665" si="96"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 t="shared" si="80"/>
        <v>2</v>
      </c>
      <c r="T653" s="2">
        <v>0</v>
      </c>
      <c r="Z653" s="2">
        <v>2</v>
      </c>
    </row>
    <row r="654" spans="1:26">
      <c r="A654" s="7">
        <f>MAX($A$1:$A653)+1</f>
        <v>653</v>
      </c>
      <c r="B654" s="2" t="str">
        <f t="shared" si="86"/>
        <v>Em Lim</v>
      </c>
      <c r="C654" s="2" t="str">
        <f t="shared" si="87"/>
        <v>Jasmin Schuster</v>
      </c>
      <c r="D654" s="2" t="str">
        <f t="shared" si="88"/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 t="shared" si="90"/>
        <v>08/05/2023</v>
      </c>
      <c r="I654" s="2">
        <f t="shared" si="91"/>
        <v>3</v>
      </c>
      <c r="J654" s="2">
        <f t="shared" si="92"/>
        <v>30</v>
      </c>
      <c r="K654" s="6">
        <f t="shared" si="93"/>
        <v>0.51388888888888895</v>
      </c>
      <c r="L654" s="2" t="str">
        <f t="shared" si="94"/>
        <v>EGL</v>
      </c>
      <c r="M654" s="2">
        <f t="shared" si="95"/>
        <v>7</v>
      </c>
      <c r="N654" s="2">
        <v>2</v>
      </c>
      <c r="O654" s="2">
        <f t="shared" si="96"/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 t="shared" si="80"/>
        <v>11</v>
      </c>
      <c r="T654" s="2">
        <v>11</v>
      </c>
    </row>
    <row r="655" spans="1:26">
      <c r="A655" s="7">
        <f>MAX($A$1:$A654)+1</f>
        <v>654</v>
      </c>
      <c r="B655" s="2" t="str">
        <f t="shared" si="86"/>
        <v>Em Lim</v>
      </c>
      <c r="C655" s="2" t="str">
        <f t="shared" si="87"/>
        <v>Jasmin Schuster</v>
      </c>
      <c r="D655" s="2" t="str">
        <f t="shared" si="88"/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 t="shared" si="90"/>
        <v>08/05/2023</v>
      </c>
      <c r="I655" s="2">
        <f t="shared" si="91"/>
        <v>3</v>
      </c>
      <c r="J655" s="2">
        <f t="shared" si="92"/>
        <v>30</v>
      </c>
      <c r="K655" s="6">
        <f t="shared" si="93"/>
        <v>0.51388888888888895</v>
      </c>
      <c r="L655" s="2" t="str">
        <f t="shared" si="94"/>
        <v>EGL</v>
      </c>
      <c r="M655" s="2">
        <f t="shared" si="95"/>
        <v>7</v>
      </c>
      <c r="N655" s="2">
        <f t="shared" ref="N655:N663" si="97">IF(ISERROR(N654),IF(ISERROR(N653),IF(ISERROR(N652),"BLANK",N652),N653),N654)</f>
        <v>2</v>
      </c>
      <c r="O655" s="2">
        <f t="shared" si="96"/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 t="shared" si="80"/>
        <v>8</v>
      </c>
      <c r="T655" s="2">
        <v>8</v>
      </c>
    </row>
    <row r="656" spans="1:26">
      <c r="A656" s="7">
        <f>MAX($A$1:$A655)+1</f>
        <v>655</v>
      </c>
      <c r="B656" s="2" t="str">
        <f t="shared" si="86"/>
        <v>Em Lim</v>
      </c>
      <c r="C656" s="2" t="str">
        <f t="shared" si="87"/>
        <v>Jasmin Schuster</v>
      </c>
      <c r="D656" s="2" t="str">
        <f t="shared" si="88"/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 t="shared" si="90"/>
        <v>08/05/2023</v>
      </c>
      <c r="I656" s="2">
        <f t="shared" si="91"/>
        <v>3</v>
      </c>
      <c r="J656" s="2">
        <f t="shared" si="92"/>
        <v>30</v>
      </c>
      <c r="K656" s="6">
        <f t="shared" si="93"/>
        <v>0.51388888888888895</v>
      </c>
      <c r="L656" s="2" t="str">
        <f t="shared" si="94"/>
        <v>EGL</v>
      </c>
      <c r="M656" s="2">
        <f t="shared" si="95"/>
        <v>7</v>
      </c>
      <c r="N656" s="2">
        <f t="shared" si="97"/>
        <v>2</v>
      </c>
      <c r="O656" s="2">
        <f t="shared" si="96"/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 t="shared" si="80"/>
        <v>4</v>
      </c>
      <c r="T656" s="2">
        <v>4</v>
      </c>
    </row>
    <row r="657" spans="1:31">
      <c r="A657" s="7">
        <f>MAX($A$1:$A656)+1</f>
        <v>656</v>
      </c>
      <c r="B657" s="2" t="str">
        <f t="shared" si="86"/>
        <v>Em Lim</v>
      </c>
      <c r="C657" s="2" t="str">
        <f t="shared" si="87"/>
        <v>Jasmin Schuster</v>
      </c>
      <c r="D657" s="2" t="str">
        <f t="shared" si="88"/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 t="shared" si="90"/>
        <v>08/05/2023</v>
      </c>
      <c r="I657" s="2">
        <f t="shared" si="91"/>
        <v>3</v>
      </c>
      <c r="J657" s="2">
        <f t="shared" si="92"/>
        <v>30</v>
      </c>
      <c r="K657" s="6">
        <f t="shared" si="93"/>
        <v>0.51388888888888895</v>
      </c>
      <c r="L657" s="2" t="str">
        <f t="shared" si="94"/>
        <v>EGL</v>
      </c>
      <c r="M657" s="2">
        <f t="shared" si="95"/>
        <v>7</v>
      </c>
      <c r="N657" s="2">
        <f t="shared" si="97"/>
        <v>2</v>
      </c>
      <c r="O657" s="2">
        <f t="shared" si="96"/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 t="shared" si="80"/>
        <v>7</v>
      </c>
      <c r="T657" s="2">
        <v>7</v>
      </c>
    </row>
    <row r="658" spans="1:31">
      <c r="A658" s="7">
        <f>MAX($A$1:$A657)+1</f>
        <v>657</v>
      </c>
      <c r="B658" s="2" t="str">
        <f t="shared" si="86"/>
        <v>Em Lim</v>
      </c>
      <c r="C658" s="2" t="str">
        <f t="shared" si="87"/>
        <v>Jasmin Schuster</v>
      </c>
      <c r="D658" s="2" t="str">
        <f t="shared" si="88"/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 t="shared" si="90"/>
        <v>08/05/2023</v>
      </c>
      <c r="I658" s="2">
        <f t="shared" si="91"/>
        <v>3</v>
      </c>
      <c r="J658" s="2">
        <f t="shared" si="92"/>
        <v>30</v>
      </c>
      <c r="K658" s="6">
        <f t="shared" si="93"/>
        <v>0.51388888888888895</v>
      </c>
      <c r="L658" s="2" t="str">
        <f t="shared" si="94"/>
        <v>EGL</v>
      </c>
      <c r="M658" s="2">
        <f t="shared" si="95"/>
        <v>7</v>
      </c>
      <c r="N658" s="2">
        <f t="shared" si="97"/>
        <v>2</v>
      </c>
      <c r="O658" s="2">
        <f t="shared" si="96"/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 t="shared" si="80"/>
        <v>2</v>
      </c>
      <c r="T658" s="2">
        <v>2</v>
      </c>
    </row>
    <row r="659" spans="1:31">
      <c r="A659" s="7">
        <f>MAX($A$1:$A658)+1</f>
        <v>658</v>
      </c>
      <c r="B659" s="2" t="str">
        <f t="shared" si="86"/>
        <v>Em Lim</v>
      </c>
      <c r="C659" s="2" t="str">
        <f t="shared" si="87"/>
        <v>Jasmin Schuster</v>
      </c>
      <c r="D659" s="2" t="str">
        <f t="shared" si="88"/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 t="shared" si="90"/>
        <v>08/05/2023</v>
      </c>
      <c r="I659" s="2">
        <f t="shared" si="91"/>
        <v>3</v>
      </c>
      <c r="J659" s="2">
        <f t="shared" si="92"/>
        <v>30</v>
      </c>
      <c r="K659" s="6">
        <f t="shared" si="93"/>
        <v>0.51388888888888895</v>
      </c>
      <c r="L659" s="2" t="str">
        <f t="shared" si="94"/>
        <v>EGL</v>
      </c>
      <c r="M659" s="2">
        <f t="shared" si="95"/>
        <v>7</v>
      </c>
      <c r="N659" s="2">
        <f t="shared" si="97"/>
        <v>2</v>
      </c>
      <c r="O659" s="2">
        <f t="shared" si="96"/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 t="shared" si="80"/>
        <v>1</v>
      </c>
      <c r="T659" s="2">
        <v>1</v>
      </c>
    </row>
    <row r="660" spans="1:31">
      <c r="A660" s="7">
        <f>MAX($A$1:$A659)+1</f>
        <v>659</v>
      </c>
      <c r="B660" s="2" t="str">
        <f t="shared" si="86"/>
        <v>Em Lim</v>
      </c>
      <c r="C660" s="2" t="str">
        <f t="shared" si="87"/>
        <v>Jasmin Schuster</v>
      </c>
      <c r="D660" s="2" t="str">
        <f t="shared" si="88"/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 t="shared" si="90"/>
        <v>08/05/2023</v>
      </c>
      <c r="I660" s="2">
        <f t="shared" si="91"/>
        <v>3</v>
      </c>
      <c r="J660" s="2">
        <f t="shared" si="92"/>
        <v>30</v>
      </c>
      <c r="K660" s="6">
        <f t="shared" si="93"/>
        <v>0.51388888888888895</v>
      </c>
      <c r="L660" s="2" t="str">
        <f t="shared" si="94"/>
        <v>EGL</v>
      </c>
      <c r="M660" s="2">
        <f t="shared" si="95"/>
        <v>7</v>
      </c>
      <c r="N660" s="2">
        <f t="shared" si="97"/>
        <v>2</v>
      </c>
      <c r="O660" s="2">
        <f t="shared" si="96"/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 t="shared" si="80"/>
        <v>7</v>
      </c>
      <c r="T660" s="2">
        <v>0</v>
      </c>
      <c r="U660" s="2">
        <v>6</v>
      </c>
      <c r="V660" s="2">
        <v>1</v>
      </c>
    </row>
    <row r="661" spans="1:31">
      <c r="A661" s="7">
        <f>MAX($A$1:$A660)+1</f>
        <v>660</v>
      </c>
      <c r="B661" s="2" t="str">
        <f t="shared" si="86"/>
        <v>Em Lim</v>
      </c>
      <c r="C661" s="2" t="str">
        <f t="shared" si="87"/>
        <v>Jasmin Schuster</v>
      </c>
      <c r="D661" s="2" t="str">
        <f t="shared" si="88"/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 t="shared" si="90"/>
        <v>08/05/2023</v>
      </c>
      <c r="I661" s="2">
        <f t="shared" si="91"/>
        <v>3</v>
      </c>
      <c r="J661" s="2">
        <f t="shared" si="92"/>
        <v>30</v>
      </c>
      <c r="K661" s="6">
        <f t="shared" si="93"/>
        <v>0.51388888888888895</v>
      </c>
      <c r="L661" s="2" t="str">
        <f t="shared" si="94"/>
        <v>EGL</v>
      </c>
      <c r="M661" s="2">
        <f t="shared" si="95"/>
        <v>7</v>
      </c>
      <c r="N661" s="2">
        <f t="shared" si="97"/>
        <v>2</v>
      </c>
      <c r="O661" s="2">
        <f t="shared" si="96"/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 t="shared" si="80"/>
        <v>6</v>
      </c>
      <c r="T661" s="2">
        <v>6</v>
      </c>
    </row>
    <row r="662" spans="1:31">
      <c r="A662" s="7">
        <f>MAX($A$1:$A661)+1</f>
        <v>661</v>
      </c>
      <c r="B662" s="2" t="str">
        <f t="shared" si="86"/>
        <v>Em Lim</v>
      </c>
      <c r="C662" s="2" t="str">
        <f t="shared" si="87"/>
        <v>Jasmin Schuster</v>
      </c>
      <c r="D662" s="2" t="str">
        <f t="shared" si="88"/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 t="shared" si="90"/>
        <v>08/05/2023</v>
      </c>
      <c r="I662" s="2">
        <f t="shared" si="91"/>
        <v>3</v>
      </c>
      <c r="J662" s="2">
        <f t="shared" si="92"/>
        <v>30</v>
      </c>
      <c r="K662" s="6">
        <f t="shared" si="93"/>
        <v>0.51388888888888895</v>
      </c>
      <c r="L662" s="2" t="str">
        <f t="shared" si="94"/>
        <v>EGL</v>
      </c>
      <c r="M662" s="2">
        <f t="shared" si="95"/>
        <v>7</v>
      </c>
      <c r="N662" s="2">
        <f t="shared" si="97"/>
        <v>2</v>
      </c>
      <c r="O662" s="2">
        <f t="shared" si="96"/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 t="shared" si="80"/>
        <v>2</v>
      </c>
      <c r="T662" s="2">
        <v>2</v>
      </c>
    </row>
    <row r="663" spans="1:31">
      <c r="A663" s="7">
        <f>MAX($A$1:$A662)+1</f>
        <v>662</v>
      </c>
      <c r="B663" s="2" t="str">
        <f t="shared" si="86"/>
        <v>Em Lim</v>
      </c>
      <c r="C663" s="2" t="str">
        <f t="shared" si="87"/>
        <v>Jasmin Schuster</v>
      </c>
      <c r="D663" s="2" t="str">
        <f t="shared" si="88"/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 t="shared" si="90"/>
        <v>08/05/2023</v>
      </c>
      <c r="I663" s="2">
        <f t="shared" si="91"/>
        <v>3</v>
      </c>
      <c r="J663" s="2">
        <f t="shared" si="92"/>
        <v>30</v>
      </c>
      <c r="K663" s="6">
        <f t="shared" si="93"/>
        <v>0.51388888888888895</v>
      </c>
      <c r="L663" s="2" t="str">
        <f t="shared" si="94"/>
        <v>EGL</v>
      </c>
      <c r="M663" s="2">
        <f t="shared" si="95"/>
        <v>7</v>
      </c>
      <c r="N663" s="2">
        <f t="shared" si="97"/>
        <v>2</v>
      </c>
      <c r="O663" s="2">
        <f t="shared" si="96"/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 t="shared" si="80"/>
        <v>2</v>
      </c>
      <c r="T663" s="2">
        <v>2</v>
      </c>
    </row>
    <row r="664" spans="1:31">
      <c r="A664" s="7">
        <f>MAX($A$1:$A663)+1</f>
        <v>663</v>
      </c>
      <c r="B664" s="2" t="str">
        <f t="shared" si="86"/>
        <v>Em Lim</v>
      </c>
      <c r="C664" s="2" t="str">
        <f t="shared" si="87"/>
        <v>Jasmin Schuster</v>
      </c>
      <c r="D664" s="2" t="str">
        <f t="shared" si="88"/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 t="shared" si="90"/>
        <v>08/05/2023</v>
      </c>
      <c r="I664" s="2">
        <f t="shared" si="91"/>
        <v>3</v>
      </c>
      <c r="J664" s="2">
        <f t="shared" si="92"/>
        <v>30</v>
      </c>
      <c r="K664" s="6">
        <f t="shared" si="93"/>
        <v>0.51388888888888895</v>
      </c>
      <c r="L664" s="2" t="str">
        <f t="shared" si="94"/>
        <v>EGL</v>
      </c>
      <c r="M664" s="2">
        <f t="shared" si="95"/>
        <v>7</v>
      </c>
      <c r="N664" s="2">
        <v>0</v>
      </c>
      <c r="O664" s="2">
        <f t="shared" si="96"/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 t="shared" si="80"/>
        <v>1</v>
      </c>
      <c r="T664" s="2">
        <v>0</v>
      </c>
      <c r="W664" s="2">
        <v>1</v>
      </c>
    </row>
    <row r="665" spans="1:31">
      <c r="A665" s="7">
        <f>MAX($A$1:$A664)+1</f>
        <v>664</v>
      </c>
      <c r="B665" s="2" t="str">
        <f t="shared" si="86"/>
        <v>Em Lim</v>
      </c>
      <c r="C665" s="2" t="str">
        <f t="shared" si="87"/>
        <v>Jasmin Schuster</v>
      </c>
      <c r="D665" s="2" t="str">
        <f t="shared" si="88"/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 t="shared" si="90"/>
        <v>08/05/2023</v>
      </c>
      <c r="I665" s="2">
        <f t="shared" si="91"/>
        <v>3</v>
      </c>
      <c r="J665" s="2">
        <f t="shared" si="92"/>
        <v>30</v>
      </c>
      <c r="K665" s="6">
        <f t="shared" si="93"/>
        <v>0.51388888888888895</v>
      </c>
      <c r="L665" s="2" t="str">
        <f t="shared" si="94"/>
        <v>EGL</v>
      </c>
      <c r="M665" s="2">
        <f t="shared" si="95"/>
        <v>7</v>
      </c>
      <c r="N665" s="2">
        <v>2</v>
      </c>
      <c r="O665" s="2">
        <f t="shared" si="96"/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 t="shared" si="80"/>
        <v>1</v>
      </c>
      <c r="T665" s="2">
        <v>0</v>
      </c>
      <c r="V665" s="2">
        <v>1</v>
      </c>
    </row>
    <row r="666" spans="1:31">
      <c r="A666" s="7">
        <f>MAX($A$1:$A665)+1</f>
        <v>665</v>
      </c>
      <c r="B666" s="2" t="str">
        <f t="shared" si="86"/>
        <v>Em Lim</v>
      </c>
      <c r="C666" s="2" t="str">
        <f t="shared" si="87"/>
        <v>Jasmin Schuster</v>
      </c>
      <c r="D666" s="2" t="str">
        <f t="shared" si="88"/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 t="shared" si="90"/>
        <v>08/05/2023</v>
      </c>
      <c r="I666" s="2">
        <f t="shared" si="91"/>
        <v>3</v>
      </c>
      <c r="J666" s="2">
        <f t="shared" si="92"/>
        <v>30</v>
      </c>
      <c r="K666" s="6">
        <f t="shared" si="93"/>
        <v>0.51388888888888895</v>
      </c>
      <c r="L666" s="2" t="str">
        <f t="shared" si="94"/>
        <v>EGL</v>
      </c>
      <c r="M666" s="2">
        <f t="shared" si="95"/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 t="shared" si="80"/>
        <v>3</v>
      </c>
      <c r="T666" s="2">
        <v>0</v>
      </c>
      <c r="AA666" s="2">
        <v>2</v>
      </c>
      <c r="AB666" s="2">
        <v>1</v>
      </c>
    </row>
    <row r="667" spans="1:31">
      <c r="A667" s="7">
        <f>MAX($A$1:$A666)+1</f>
        <v>666</v>
      </c>
      <c r="B667" s="2" t="str">
        <f t="shared" si="86"/>
        <v>Em Lim</v>
      </c>
      <c r="C667" s="2" t="str">
        <f t="shared" si="87"/>
        <v>Jasmin Schuster</v>
      </c>
      <c r="D667" s="2" t="str">
        <f t="shared" si="88"/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 t="shared" si="90"/>
        <v>08/05/2023</v>
      </c>
      <c r="I667" s="2">
        <f t="shared" si="91"/>
        <v>3</v>
      </c>
      <c r="J667" s="2">
        <f t="shared" si="92"/>
        <v>30</v>
      </c>
      <c r="K667" s="6">
        <f t="shared" si="93"/>
        <v>0.51388888888888895</v>
      </c>
      <c r="L667" s="2" t="str">
        <f t="shared" si="94"/>
        <v>EGL</v>
      </c>
      <c r="M667" s="2">
        <f t="shared" si="95"/>
        <v>7</v>
      </c>
      <c r="N667" s="2">
        <f t="shared" ref="N667:O670" si="98">IF(ISERROR(N666),IF(ISERROR(N665),IF(ISERROR(N664),"BLANK",N664),N665),N666)</f>
        <v>0</v>
      </c>
      <c r="O667" s="2">
        <f t="shared" si="98"/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 t="shared" si="80"/>
        <v>1</v>
      </c>
      <c r="T667" s="2">
        <v>0</v>
      </c>
      <c r="Y667" s="2">
        <v>1</v>
      </c>
    </row>
    <row r="668" spans="1:31">
      <c r="A668" s="7">
        <f>MAX($A$1:$A667)+1</f>
        <v>667</v>
      </c>
      <c r="B668" s="2" t="str">
        <f t="shared" si="86"/>
        <v>Em Lim</v>
      </c>
      <c r="C668" s="2" t="str">
        <f t="shared" si="87"/>
        <v>Jasmin Schuster</v>
      </c>
      <c r="D668" s="2" t="str">
        <f t="shared" si="88"/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 t="shared" si="90"/>
        <v>08/05/2023</v>
      </c>
      <c r="I668" s="2">
        <f t="shared" si="91"/>
        <v>3</v>
      </c>
      <c r="J668" s="2">
        <f t="shared" si="92"/>
        <v>30</v>
      </c>
      <c r="K668" s="6">
        <f t="shared" si="93"/>
        <v>0.51388888888888895</v>
      </c>
      <c r="L668" s="2" t="str">
        <f t="shared" si="94"/>
        <v>EGL</v>
      </c>
      <c r="M668" s="2">
        <f t="shared" si="95"/>
        <v>7</v>
      </c>
      <c r="N668" s="2">
        <f t="shared" si="98"/>
        <v>0</v>
      </c>
      <c r="O668" s="2">
        <f t="shared" si="98"/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 t="shared" si="80"/>
        <v>2</v>
      </c>
      <c r="T668" s="2">
        <v>2</v>
      </c>
    </row>
    <row r="669" spans="1:31">
      <c r="A669" s="7">
        <f>MAX($A$1:$A668)+1</f>
        <v>668</v>
      </c>
      <c r="B669" s="2" t="str">
        <f t="shared" si="86"/>
        <v>Em Lim</v>
      </c>
      <c r="C669" s="2" t="str">
        <f t="shared" si="87"/>
        <v>Jasmin Schuster</v>
      </c>
      <c r="D669" s="2" t="str">
        <f t="shared" si="88"/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 t="shared" si="90"/>
        <v>08/05/2023</v>
      </c>
      <c r="I669" s="2">
        <f t="shared" si="91"/>
        <v>3</v>
      </c>
      <c r="J669" s="2">
        <f t="shared" si="92"/>
        <v>30</v>
      </c>
      <c r="K669" s="6">
        <f t="shared" si="93"/>
        <v>0.51388888888888895</v>
      </c>
      <c r="L669" s="2" t="str">
        <f t="shared" si="94"/>
        <v>EGL</v>
      </c>
      <c r="M669" s="2">
        <f t="shared" si="95"/>
        <v>7</v>
      </c>
      <c r="N669" s="2">
        <f t="shared" si="98"/>
        <v>0</v>
      </c>
      <c r="O669" s="2">
        <f t="shared" si="98"/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 t="shared" si="80"/>
        <v>1</v>
      </c>
      <c r="T669" s="2">
        <v>0</v>
      </c>
      <c r="AE669" s="2">
        <v>1</v>
      </c>
    </row>
    <row r="670" spans="1:31">
      <c r="A670" s="7">
        <f>MAX($A$1:$A669)+1</f>
        <v>669</v>
      </c>
      <c r="B670" s="2" t="str">
        <f t="shared" si="86"/>
        <v>Em Lim</v>
      </c>
      <c r="C670" s="2" t="str">
        <f t="shared" si="87"/>
        <v>Jasmin Schuster</v>
      </c>
      <c r="D670" s="2" t="str">
        <f t="shared" si="88"/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 t="shared" si="90"/>
        <v>08/05/2023</v>
      </c>
      <c r="I670" s="2">
        <f t="shared" si="91"/>
        <v>3</v>
      </c>
      <c r="J670" s="2">
        <f t="shared" si="92"/>
        <v>30</v>
      </c>
      <c r="K670" s="6">
        <f t="shared" si="93"/>
        <v>0.51388888888888895</v>
      </c>
      <c r="L670" s="2" t="str">
        <f t="shared" si="94"/>
        <v>EGL</v>
      </c>
      <c r="M670" s="2">
        <f t="shared" si="95"/>
        <v>7</v>
      </c>
      <c r="N670" s="2">
        <f t="shared" si="98"/>
        <v>0</v>
      </c>
      <c r="O670" s="2">
        <f t="shared" si="98"/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 t="shared" si="80"/>
        <v>1</v>
      </c>
      <c r="T670" s="2">
        <v>0</v>
      </c>
      <c r="Y670" s="2">
        <v>1</v>
      </c>
    </row>
    <row r="671" spans="1:3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>
      <c r="A705" s="7">
        <f>MAX($A$1:$A704)+1</f>
        <v>704</v>
      </c>
      <c r="B705" s="2" t="str">
        <f t="shared" ref="B705:B739" si="99">IF(ISERROR(B704),IF(ISERROR(B703),IF(ISERROR(B702),"BLANK",B702),B703),B704)</f>
        <v>Em Lim</v>
      </c>
      <c r="C705" s="2" t="str">
        <f t="shared" ref="C705:C739" si="100"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 t="shared" ref="L705:L739" si="101">IF(ISERROR(L704),IF(ISERROR(L703),IF(ISERROR(L702),"BLANK",L702),L703),L704)</f>
        <v>EGL</v>
      </c>
      <c r="M705" s="2">
        <f t="shared" ref="M705:M739" si="102"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 t="shared" ref="S705:S739" si="103"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>
      <c r="A706" s="7">
        <f>MAX($A$1:$A705)+1</f>
        <v>705</v>
      </c>
      <c r="B706" s="2" t="str">
        <f t="shared" si="99"/>
        <v>Em Lim</v>
      </c>
      <c r="C706" s="2" t="str">
        <f t="shared" si="100"/>
        <v>Jasmin Schuster</v>
      </c>
      <c r="D706" s="2" t="str">
        <f t="shared" ref="D706:D739" si="104"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 t="shared" ref="H706:H739" si="105">IF(ISERROR(H705),IF(ISERROR(H704),IF(ISERROR(H703),"BLANK",H703),H704),H705)</f>
        <v>18/05/2023</v>
      </c>
      <c r="I706" s="2">
        <f t="shared" ref="I706:I739" si="106">IF(ISERROR(I705),IF(ISERROR(I704),IF(ISERROR(I703),"BLANK",I703),I704),I705)</f>
        <v>6</v>
      </c>
      <c r="J706" s="2">
        <f t="shared" ref="J706:J739" si="107">IF(ISERROR(J705),IF(ISERROR(J704),IF(ISERROR(J703),"BLANK",J703),J704),J705)</f>
        <v>40</v>
      </c>
      <c r="K706" s="6">
        <f t="shared" ref="K706:K739" si="108">IF(ISERROR(K705),IF(ISERROR(K704),IF(ISERROR(K703),"BLANK",K703),K704),K705)</f>
        <v>0.4375</v>
      </c>
      <c r="L706" s="2" t="str">
        <f t="shared" si="101"/>
        <v>EGL</v>
      </c>
      <c r="M706" s="2">
        <f t="shared" si="102"/>
        <v>7</v>
      </c>
      <c r="N706" s="2">
        <f t="shared" ref="N706:O709" si="109">IF(ISERROR(N705),IF(ISERROR(N704),IF(ISERROR(N703),"BLANK",N703),N704),N705)</f>
        <v>1</v>
      </c>
      <c r="O706" s="2">
        <f t="shared" si="109"/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 t="shared" si="103"/>
        <v>12</v>
      </c>
      <c r="T706" s="2">
        <v>0</v>
      </c>
      <c r="Z706" s="2">
        <v>7</v>
      </c>
      <c r="AA706" s="2">
        <v>5</v>
      </c>
    </row>
    <row r="707" spans="1:32">
      <c r="A707" s="7">
        <f>MAX($A$1:$A706)+1</f>
        <v>706</v>
      </c>
      <c r="B707" s="2" t="str">
        <f t="shared" si="99"/>
        <v>Em Lim</v>
      </c>
      <c r="C707" s="2" t="str">
        <f t="shared" si="100"/>
        <v>Jasmin Schuster</v>
      </c>
      <c r="D707" s="2" t="str">
        <f t="shared" si="104"/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 t="shared" si="105"/>
        <v>18/05/2023</v>
      </c>
      <c r="I707" s="2">
        <f t="shared" si="106"/>
        <v>6</v>
      </c>
      <c r="J707" s="2">
        <f t="shared" si="107"/>
        <v>40</v>
      </c>
      <c r="K707" s="6">
        <f t="shared" si="108"/>
        <v>0.4375</v>
      </c>
      <c r="L707" s="2" t="str">
        <f t="shared" si="101"/>
        <v>EGL</v>
      </c>
      <c r="M707" s="2">
        <f t="shared" si="102"/>
        <v>7</v>
      </c>
      <c r="N707" s="2">
        <f t="shared" si="109"/>
        <v>1</v>
      </c>
      <c r="O707" s="2">
        <f t="shared" si="109"/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 t="shared" si="103"/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>
      <c r="A708" s="7">
        <f>MAX($A$1:$A707)+1</f>
        <v>707</v>
      </c>
      <c r="B708" s="2" t="str">
        <f t="shared" si="99"/>
        <v>Em Lim</v>
      </c>
      <c r="C708" s="2" t="str">
        <f t="shared" si="100"/>
        <v>Jasmin Schuster</v>
      </c>
      <c r="D708" s="2" t="str">
        <f t="shared" si="104"/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 t="shared" si="105"/>
        <v>18/05/2023</v>
      </c>
      <c r="I708" s="2">
        <f t="shared" si="106"/>
        <v>6</v>
      </c>
      <c r="J708" s="2">
        <f t="shared" si="107"/>
        <v>40</v>
      </c>
      <c r="K708" s="6">
        <f t="shared" si="108"/>
        <v>0.4375</v>
      </c>
      <c r="L708" s="2" t="str">
        <f t="shared" si="101"/>
        <v>EGL</v>
      </c>
      <c r="M708" s="2">
        <f t="shared" si="102"/>
        <v>7</v>
      </c>
      <c r="N708" s="2">
        <f t="shared" si="109"/>
        <v>1</v>
      </c>
      <c r="O708" s="2">
        <f t="shared" si="109"/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 t="shared" si="103"/>
        <v>1</v>
      </c>
      <c r="T708" s="2">
        <v>1</v>
      </c>
    </row>
    <row r="709" spans="1:32">
      <c r="A709" s="7">
        <f>MAX($A$1:$A708)+1</f>
        <v>708</v>
      </c>
      <c r="B709" s="2" t="str">
        <f t="shared" si="99"/>
        <v>Em Lim</v>
      </c>
      <c r="C709" s="2" t="str">
        <f t="shared" si="100"/>
        <v>Jasmin Schuster</v>
      </c>
      <c r="D709" s="2" t="str">
        <f t="shared" si="104"/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 t="shared" si="105"/>
        <v>18/05/2023</v>
      </c>
      <c r="I709" s="2">
        <f t="shared" si="106"/>
        <v>6</v>
      </c>
      <c r="J709" s="2">
        <f t="shared" si="107"/>
        <v>40</v>
      </c>
      <c r="K709" s="6">
        <f t="shared" si="108"/>
        <v>0.4375</v>
      </c>
      <c r="L709" s="2" t="str">
        <f t="shared" si="101"/>
        <v>EGL</v>
      </c>
      <c r="M709" s="2">
        <f t="shared" si="102"/>
        <v>7</v>
      </c>
      <c r="N709" s="2">
        <f t="shared" si="109"/>
        <v>1</v>
      </c>
      <c r="O709" s="2">
        <f t="shared" si="109"/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 t="shared" si="103"/>
        <v>1</v>
      </c>
      <c r="T709" s="2">
        <v>0</v>
      </c>
      <c r="AF709" s="2">
        <v>1</v>
      </c>
    </row>
    <row r="710" spans="1:32">
      <c r="A710" s="7">
        <f>MAX($A$1:$A709)+1</f>
        <v>709</v>
      </c>
      <c r="B710" s="2" t="str">
        <f t="shared" si="99"/>
        <v>Em Lim</v>
      </c>
      <c r="C710" s="2" t="str">
        <f t="shared" si="100"/>
        <v>Jasmin Schuster</v>
      </c>
      <c r="D710" s="2" t="str">
        <f t="shared" si="104"/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 t="shared" si="105"/>
        <v>18/05/2023</v>
      </c>
      <c r="I710" s="2">
        <f t="shared" si="106"/>
        <v>6</v>
      </c>
      <c r="J710" s="2">
        <f t="shared" si="107"/>
        <v>40</v>
      </c>
      <c r="K710" s="6">
        <f t="shared" si="108"/>
        <v>0.4375</v>
      </c>
      <c r="L710" s="2" t="str">
        <f t="shared" si="101"/>
        <v>EGL</v>
      </c>
      <c r="M710" s="2">
        <f t="shared" si="102"/>
        <v>7</v>
      </c>
      <c r="N710" s="2">
        <v>0</v>
      </c>
      <c r="O710" s="2">
        <f t="shared" ref="O710:O739" si="110"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 t="shared" si="103"/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>
      <c r="A711" s="7">
        <f>MAX($A$1:$A710)+1</f>
        <v>710</v>
      </c>
      <c r="B711" s="2" t="str">
        <f t="shared" si="99"/>
        <v>Em Lim</v>
      </c>
      <c r="C711" s="2" t="str">
        <f t="shared" si="100"/>
        <v>Jasmin Schuster</v>
      </c>
      <c r="D711" s="2" t="str">
        <f t="shared" si="104"/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 t="shared" si="105"/>
        <v>18/05/2023</v>
      </c>
      <c r="I711" s="2">
        <f t="shared" si="106"/>
        <v>6</v>
      </c>
      <c r="J711" s="2">
        <f t="shared" si="107"/>
        <v>40</v>
      </c>
      <c r="K711" s="6">
        <f t="shared" si="108"/>
        <v>0.4375</v>
      </c>
      <c r="L711" s="2" t="str">
        <f t="shared" si="101"/>
        <v>EGL</v>
      </c>
      <c r="M711" s="2">
        <f t="shared" si="102"/>
        <v>7</v>
      </c>
      <c r="N711" s="2">
        <f>IF(ISERROR(N710),IF(ISERROR(N709),IF(ISERROR(N708),"BLANK",N708),N709),N710)</f>
        <v>0</v>
      </c>
      <c r="O711" s="2">
        <f t="shared" si="110"/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 t="shared" si="103"/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>
      <c r="A712" s="7">
        <f>MAX($A$1:$A711)+1</f>
        <v>711</v>
      </c>
      <c r="B712" s="2" t="str">
        <f t="shared" si="99"/>
        <v>Em Lim</v>
      </c>
      <c r="C712" s="2" t="str">
        <f t="shared" si="100"/>
        <v>Jasmin Schuster</v>
      </c>
      <c r="D712" s="2" t="str">
        <f t="shared" si="104"/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 t="shared" si="105"/>
        <v>18/05/2023</v>
      </c>
      <c r="I712" s="2">
        <f t="shared" si="106"/>
        <v>6</v>
      </c>
      <c r="J712" s="2">
        <f t="shared" si="107"/>
        <v>40</v>
      </c>
      <c r="K712" s="6">
        <f t="shared" si="108"/>
        <v>0.4375</v>
      </c>
      <c r="L712" s="2" t="str">
        <f t="shared" si="101"/>
        <v>EGL</v>
      </c>
      <c r="M712" s="2">
        <f t="shared" si="102"/>
        <v>7</v>
      </c>
      <c r="N712" s="2">
        <v>2</v>
      </c>
      <c r="O712" s="2">
        <f t="shared" si="110"/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 t="shared" si="103"/>
        <v>386</v>
      </c>
      <c r="T712" s="2">
        <v>386</v>
      </c>
    </row>
    <row r="713" spans="1:32">
      <c r="A713" s="7">
        <f>MAX($A$1:$A712)+1</f>
        <v>712</v>
      </c>
      <c r="B713" s="2" t="str">
        <f t="shared" si="99"/>
        <v>Em Lim</v>
      </c>
      <c r="C713" s="2" t="str">
        <f t="shared" si="100"/>
        <v>Jasmin Schuster</v>
      </c>
      <c r="D713" s="2" t="str">
        <f t="shared" si="104"/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 t="shared" si="105"/>
        <v>18/05/2023</v>
      </c>
      <c r="I713" s="2">
        <f t="shared" si="106"/>
        <v>6</v>
      </c>
      <c r="J713" s="2">
        <f t="shared" si="107"/>
        <v>40</v>
      </c>
      <c r="K713" s="6">
        <f t="shared" si="108"/>
        <v>0.4375</v>
      </c>
      <c r="L713" s="2" t="str">
        <f t="shared" si="101"/>
        <v>EGL</v>
      </c>
      <c r="M713" s="2">
        <f t="shared" si="102"/>
        <v>7</v>
      </c>
      <c r="N713" s="2">
        <f t="shared" ref="N713:N739" si="111">IF(ISERROR(N712),IF(ISERROR(N711),IF(ISERROR(N710),"BLANK",N710),N711),N712)</f>
        <v>2</v>
      </c>
      <c r="O713" s="2">
        <f t="shared" si="110"/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 t="shared" si="103"/>
        <v>24</v>
      </c>
      <c r="T713" s="2">
        <v>24</v>
      </c>
    </row>
    <row r="714" spans="1:32">
      <c r="A714" s="7">
        <f>MAX($A$1:$A713)+1</f>
        <v>713</v>
      </c>
      <c r="B714" s="2" t="str">
        <f t="shared" si="99"/>
        <v>Em Lim</v>
      </c>
      <c r="C714" s="2" t="str">
        <f t="shared" si="100"/>
        <v>Jasmin Schuster</v>
      </c>
      <c r="D714" s="2" t="str">
        <f t="shared" si="104"/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 t="shared" si="105"/>
        <v>18/05/2023</v>
      </c>
      <c r="I714" s="2">
        <f t="shared" si="106"/>
        <v>6</v>
      </c>
      <c r="J714" s="2">
        <f t="shared" si="107"/>
        <v>40</v>
      </c>
      <c r="K714" s="6">
        <f t="shared" si="108"/>
        <v>0.4375</v>
      </c>
      <c r="L714" s="2" t="str">
        <f t="shared" si="101"/>
        <v>EGL</v>
      </c>
      <c r="M714" s="2">
        <f t="shared" si="102"/>
        <v>7</v>
      </c>
      <c r="N714" s="2">
        <f t="shared" si="111"/>
        <v>2</v>
      </c>
      <c r="O714" s="2">
        <f t="shared" si="110"/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 t="shared" si="103"/>
        <v>57</v>
      </c>
      <c r="T714" s="2">
        <v>57</v>
      </c>
    </row>
    <row r="715" spans="1:32">
      <c r="A715" s="7">
        <f>MAX($A$1:$A714)+1</f>
        <v>714</v>
      </c>
      <c r="B715" s="2" t="str">
        <f t="shared" si="99"/>
        <v>Em Lim</v>
      </c>
      <c r="C715" s="2" t="str">
        <f t="shared" si="100"/>
        <v>Jasmin Schuster</v>
      </c>
      <c r="D715" s="2" t="str">
        <f t="shared" si="104"/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 t="shared" si="105"/>
        <v>18/05/2023</v>
      </c>
      <c r="I715" s="2">
        <f t="shared" si="106"/>
        <v>6</v>
      </c>
      <c r="J715" s="2">
        <f t="shared" si="107"/>
        <v>40</v>
      </c>
      <c r="K715" s="6">
        <f t="shared" si="108"/>
        <v>0.4375</v>
      </c>
      <c r="L715" s="2" t="str">
        <f t="shared" si="101"/>
        <v>EGL</v>
      </c>
      <c r="M715" s="2">
        <f t="shared" si="102"/>
        <v>7</v>
      </c>
      <c r="N715" s="2">
        <f t="shared" si="111"/>
        <v>2</v>
      </c>
      <c r="O715" s="2">
        <f t="shared" si="110"/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 t="shared" si="103"/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>
      <c r="A716" s="7">
        <f>MAX($A$1:$A715)+1</f>
        <v>715</v>
      </c>
      <c r="B716" s="2" t="str">
        <f t="shared" si="99"/>
        <v>Em Lim</v>
      </c>
      <c r="C716" s="2" t="str">
        <f t="shared" si="100"/>
        <v>Jasmin Schuster</v>
      </c>
      <c r="D716" s="2" t="str">
        <f t="shared" si="104"/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 t="shared" si="105"/>
        <v>18/05/2023</v>
      </c>
      <c r="I716" s="2">
        <f t="shared" si="106"/>
        <v>6</v>
      </c>
      <c r="J716" s="2">
        <f t="shared" si="107"/>
        <v>40</v>
      </c>
      <c r="K716" s="6">
        <f t="shared" si="108"/>
        <v>0.4375</v>
      </c>
      <c r="L716" s="2" t="str">
        <f t="shared" si="101"/>
        <v>EGL</v>
      </c>
      <c r="M716" s="2">
        <f t="shared" si="102"/>
        <v>7</v>
      </c>
      <c r="N716" s="2">
        <f t="shared" si="111"/>
        <v>2</v>
      </c>
      <c r="O716" s="2">
        <f t="shared" si="110"/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 t="shared" si="103"/>
        <v>9</v>
      </c>
      <c r="T716" s="2">
        <v>9</v>
      </c>
    </row>
    <row r="717" spans="1:32">
      <c r="A717" s="7">
        <f>MAX($A$1:$A716)+1</f>
        <v>716</v>
      </c>
      <c r="B717" s="2" t="str">
        <f t="shared" si="99"/>
        <v>Em Lim</v>
      </c>
      <c r="C717" s="2" t="str">
        <f t="shared" si="100"/>
        <v>Jasmin Schuster</v>
      </c>
      <c r="D717" s="2" t="str">
        <f t="shared" si="104"/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 t="shared" si="105"/>
        <v>18/05/2023</v>
      </c>
      <c r="I717" s="2">
        <f t="shared" si="106"/>
        <v>6</v>
      </c>
      <c r="J717" s="2">
        <f t="shared" si="107"/>
        <v>40</v>
      </c>
      <c r="K717" s="6">
        <f t="shared" si="108"/>
        <v>0.4375</v>
      </c>
      <c r="L717" s="2" t="str">
        <f t="shared" si="101"/>
        <v>EGL</v>
      </c>
      <c r="M717" s="2">
        <f t="shared" si="102"/>
        <v>7</v>
      </c>
      <c r="N717" s="2">
        <f t="shared" si="111"/>
        <v>2</v>
      </c>
      <c r="O717" s="2">
        <f t="shared" si="110"/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 t="shared" si="103"/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>
      <c r="A718" s="7">
        <f>MAX($A$1:$A717)+1</f>
        <v>717</v>
      </c>
      <c r="B718" s="2" t="str">
        <f t="shared" si="99"/>
        <v>Em Lim</v>
      </c>
      <c r="C718" s="2" t="str">
        <f t="shared" si="100"/>
        <v>Jasmin Schuster</v>
      </c>
      <c r="D718" s="2" t="str">
        <f t="shared" si="104"/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 t="shared" si="105"/>
        <v>18/05/2023</v>
      </c>
      <c r="I718" s="2">
        <f t="shared" si="106"/>
        <v>6</v>
      </c>
      <c r="J718" s="2">
        <f t="shared" si="107"/>
        <v>40</v>
      </c>
      <c r="K718" s="6">
        <f t="shared" si="108"/>
        <v>0.4375</v>
      </c>
      <c r="L718" s="2" t="str">
        <f t="shared" si="101"/>
        <v>EGL</v>
      </c>
      <c r="M718" s="2">
        <f t="shared" si="102"/>
        <v>7</v>
      </c>
      <c r="N718" s="2">
        <f t="shared" si="111"/>
        <v>2</v>
      </c>
      <c r="O718" s="2">
        <f t="shared" si="110"/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 t="shared" si="103"/>
        <v>4</v>
      </c>
      <c r="T718" s="2">
        <v>4</v>
      </c>
    </row>
    <row r="719" spans="1:32">
      <c r="A719" s="7">
        <f>MAX($A$1:$A718)+1</f>
        <v>718</v>
      </c>
      <c r="B719" s="2" t="str">
        <f t="shared" si="99"/>
        <v>Em Lim</v>
      </c>
      <c r="C719" s="2" t="str">
        <f t="shared" si="100"/>
        <v>Jasmin Schuster</v>
      </c>
      <c r="D719" s="2" t="str">
        <f t="shared" si="104"/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 t="shared" si="105"/>
        <v>18/05/2023</v>
      </c>
      <c r="I719" s="2">
        <f t="shared" si="106"/>
        <v>6</v>
      </c>
      <c r="J719" s="2">
        <f t="shared" si="107"/>
        <v>40</v>
      </c>
      <c r="K719" s="6">
        <f t="shared" si="108"/>
        <v>0.4375</v>
      </c>
      <c r="L719" s="2" t="str">
        <f t="shared" si="101"/>
        <v>EGL</v>
      </c>
      <c r="M719" s="2">
        <f t="shared" si="102"/>
        <v>7</v>
      </c>
      <c r="N719" s="2">
        <f t="shared" si="111"/>
        <v>2</v>
      </c>
      <c r="O719" s="2">
        <f t="shared" si="110"/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 t="shared" si="103"/>
        <v>12</v>
      </c>
      <c r="T719" s="2">
        <v>12</v>
      </c>
    </row>
    <row r="720" spans="1:32">
      <c r="A720" s="7">
        <f>MAX($A$1:$A719)+1</f>
        <v>719</v>
      </c>
      <c r="B720" s="2" t="str">
        <f t="shared" si="99"/>
        <v>Em Lim</v>
      </c>
      <c r="C720" s="2" t="str">
        <f t="shared" si="100"/>
        <v>Jasmin Schuster</v>
      </c>
      <c r="D720" s="2" t="str">
        <f t="shared" si="104"/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 t="shared" si="105"/>
        <v>18/05/2023</v>
      </c>
      <c r="I720" s="2">
        <f t="shared" si="106"/>
        <v>6</v>
      </c>
      <c r="J720" s="2">
        <f t="shared" si="107"/>
        <v>40</v>
      </c>
      <c r="K720" s="6">
        <f t="shared" si="108"/>
        <v>0.4375</v>
      </c>
      <c r="L720" s="2" t="str">
        <f t="shared" si="101"/>
        <v>EGL</v>
      </c>
      <c r="M720" s="2">
        <f t="shared" si="102"/>
        <v>7</v>
      </c>
      <c r="N720" s="2">
        <f t="shared" si="111"/>
        <v>2</v>
      </c>
      <c r="O720" s="2">
        <f t="shared" si="110"/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 t="shared" si="103"/>
        <v>11</v>
      </c>
      <c r="T720" s="2">
        <v>0</v>
      </c>
      <c r="U720" s="2">
        <v>6</v>
      </c>
      <c r="V720" s="2">
        <v>5</v>
      </c>
    </row>
    <row r="721" spans="1:26">
      <c r="A721" s="7">
        <f>MAX($A$1:$A720)+1</f>
        <v>720</v>
      </c>
      <c r="B721" s="2" t="str">
        <f t="shared" si="99"/>
        <v>Em Lim</v>
      </c>
      <c r="C721" s="2" t="str">
        <f t="shared" si="100"/>
        <v>Jasmin Schuster</v>
      </c>
      <c r="D721" s="2" t="str">
        <f t="shared" si="104"/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 t="shared" si="105"/>
        <v>18/05/2023</v>
      </c>
      <c r="I721" s="2">
        <f t="shared" si="106"/>
        <v>6</v>
      </c>
      <c r="J721" s="2">
        <f t="shared" si="107"/>
        <v>40</v>
      </c>
      <c r="K721" s="6">
        <f t="shared" si="108"/>
        <v>0.4375</v>
      </c>
      <c r="L721" s="2" t="str">
        <f t="shared" si="101"/>
        <v>EGL</v>
      </c>
      <c r="M721" s="2">
        <f t="shared" si="102"/>
        <v>7</v>
      </c>
      <c r="N721" s="2">
        <f t="shared" si="111"/>
        <v>2</v>
      </c>
      <c r="O721" s="2">
        <f t="shared" si="110"/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 t="shared" si="103"/>
        <v>8</v>
      </c>
      <c r="T721" s="2">
        <v>8</v>
      </c>
    </row>
    <row r="722" spans="1:26">
      <c r="A722" s="7">
        <f>MAX($A$1:$A721)+1</f>
        <v>721</v>
      </c>
      <c r="B722" s="2" t="str">
        <f t="shared" si="99"/>
        <v>Em Lim</v>
      </c>
      <c r="C722" s="2" t="str">
        <f t="shared" si="100"/>
        <v>Jasmin Schuster</v>
      </c>
      <c r="D722" s="2" t="str">
        <f t="shared" si="104"/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 t="shared" si="105"/>
        <v>18/05/2023</v>
      </c>
      <c r="I722" s="2">
        <f t="shared" si="106"/>
        <v>6</v>
      </c>
      <c r="J722" s="2">
        <f t="shared" si="107"/>
        <v>40</v>
      </c>
      <c r="K722" s="6">
        <f t="shared" si="108"/>
        <v>0.4375</v>
      </c>
      <c r="L722" s="2" t="str">
        <f t="shared" si="101"/>
        <v>EGL</v>
      </c>
      <c r="M722" s="2">
        <f t="shared" si="102"/>
        <v>7</v>
      </c>
      <c r="N722" s="2">
        <f t="shared" si="111"/>
        <v>2</v>
      </c>
      <c r="O722" s="2">
        <f t="shared" si="110"/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 t="shared" si="103"/>
        <v>25</v>
      </c>
      <c r="T722" s="2">
        <v>25</v>
      </c>
    </row>
    <row r="723" spans="1:26">
      <c r="A723" s="7">
        <f>MAX($A$1:$A722)+1</f>
        <v>722</v>
      </c>
      <c r="B723" s="2" t="str">
        <f t="shared" si="99"/>
        <v>Em Lim</v>
      </c>
      <c r="C723" s="2" t="str">
        <f t="shared" si="100"/>
        <v>Jasmin Schuster</v>
      </c>
      <c r="D723" s="2" t="str">
        <f t="shared" si="104"/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 t="shared" si="105"/>
        <v>18/05/2023</v>
      </c>
      <c r="I723" s="2">
        <f t="shared" si="106"/>
        <v>6</v>
      </c>
      <c r="J723" s="2">
        <f t="shared" si="107"/>
        <v>40</v>
      </c>
      <c r="K723" s="6">
        <f t="shared" si="108"/>
        <v>0.4375</v>
      </c>
      <c r="L723" s="2" t="str">
        <f t="shared" si="101"/>
        <v>EGL</v>
      </c>
      <c r="M723" s="2">
        <f t="shared" si="102"/>
        <v>7</v>
      </c>
      <c r="N723" s="2">
        <f t="shared" si="111"/>
        <v>2</v>
      </c>
      <c r="O723" s="2">
        <f t="shared" si="110"/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 t="shared" si="103"/>
        <v>1</v>
      </c>
      <c r="T723" s="2">
        <v>0</v>
      </c>
      <c r="X723" s="2">
        <v>1</v>
      </c>
    </row>
    <row r="724" spans="1:26">
      <c r="A724" s="7">
        <f>MAX($A$1:$A723)+1</f>
        <v>723</v>
      </c>
      <c r="B724" s="2" t="str">
        <f t="shared" si="99"/>
        <v>Em Lim</v>
      </c>
      <c r="C724" s="2" t="str">
        <f t="shared" si="100"/>
        <v>Jasmin Schuster</v>
      </c>
      <c r="D724" s="2" t="str">
        <f t="shared" si="104"/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 t="shared" si="105"/>
        <v>18/05/2023</v>
      </c>
      <c r="I724" s="2">
        <f t="shared" si="106"/>
        <v>6</v>
      </c>
      <c r="J724" s="2">
        <f t="shared" si="107"/>
        <v>40</v>
      </c>
      <c r="K724" s="6">
        <f t="shared" si="108"/>
        <v>0.4375</v>
      </c>
      <c r="L724" s="2" t="str">
        <f t="shared" si="101"/>
        <v>EGL</v>
      </c>
      <c r="M724" s="2">
        <f t="shared" si="102"/>
        <v>7</v>
      </c>
      <c r="N724" s="2">
        <f t="shared" si="111"/>
        <v>2</v>
      </c>
      <c r="O724" s="2">
        <f t="shared" si="110"/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 t="shared" si="103"/>
        <v>4</v>
      </c>
      <c r="T724" s="2">
        <v>4</v>
      </c>
    </row>
    <row r="725" spans="1:26">
      <c r="A725" s="7">
        <f>MAX($A$1:$A724)+1</f>
        <v>724</v>
      </c>
      <c r="B725" s="2" t="str">
        <f t="shared" si="99"/>
        <v>Em Lim</v>
      </c>
      <c r="C725" s="2" t="str">
        <f t="shared" si="100"/>
        <v>Jasmin Schuster</v>
      </c>
      <c r="D725" s="2" t="str">
        <f t="shared" si="104"/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 t="shared" si="105"/>
        <v>18/05/2023</v>
      </c>
      <c r="I725" s="2">
        <f t="shared" si="106"/>
        <v>6</v>
      </c>
      <c r="J725" s="2">
        <f t="shared" si="107"/>
        <v>40</v>
      </c>
      <c r="K725" s="6">
        <f t="shared" si="108"/>
        <v>0.4375</v>
      </c>
      <c r="L725" s="2" t="str">
        <f t="shared" si="101"/>
        <v>EGL</v>
      </c>
      <c r="M725" s="2">
        <f t="shared" si="102"/>
        <v>7</v>
      </c>
      <c r="N725" s="2">
        <f t="shared" si="111"/>
        <v>2</v>
      </c>
      <c r="O725" s="2">
        <f t="shared" si="110"/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 t="shared" si="103"/>
        <v>39</v>
      </c>
      <c r="T725" s="2">
        <v>39</v>
      </c>
    </row>
    <row r="726" spans="1:26">
      <c r="A726" s="7">
        <f>MAX($A$1:$A725)+1</f>
        <v>725</v>
      </c>
      <c r="B726" s="2" t="str">
        <f t="shared" si="99"/>
        <v>Em Lim</v>
      </c>
      <c r="C726" s="2" t="str">
        <f t="shared" si="100"/>
        <v>Jasmin Schuster</v>
      </c>
      <c r="D726" s="2" t="str">
        <f t="shared" si="104"/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 t="shared" si="105"/>
        <v>18/05/2023</v>
      </c>
      <c r="I726" s="2">
        <f t="shared" si="106"/>
        <v>6</v>
      </c>
      <c r="J726" s="2">
        <f t="shared" si="107"/>
        <v>40</v>
      </c>
      <c r="K726" s="6">
        <f t="shared" si="108"/>
        <v>0.4375</v>
      </c>
      <c r="L726" s="2" t="str">
        <f t="shared" si="101"/>
        <v>EGL</v>
      </c>
      <c r="M726" s="2">
        <f t="shared" si="102"/>
        <v>7</v>
      </c>
      <c r="N726" s="2">
        <f t="shared" si="111"/>
        <v>2</v>
      </c>
      <c r="O726" s="2">
        <f t="shared" si="110"/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 t="shared" si="103"/>
        <v>6</v>
      </c>
      <c r="T726" s="2">
        <v>6</v>
      </c>
    </row>
    <row r="727" spans="1:26">
      <c r="A727" s="7">
        <f>MAX($A$1:$A726)+1</f>
        <v>726</v>
      </c>
      <c r="B727" s="2" t="str">
        <f t="shared" si="99"/>
        <v>Em Lim</v>
      </c>
      <c r="C727" s="2" t="str">
        <f t="shared" si="100"/>
        <v>Jasmin Schuster</v>
      </c>
      <c r="D727" s="2" t="str">
        <f t="shared" si="104"/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 t="shared" si="105"/>
        <v>18/05/2023</v>
      </c>
      <c r="I727" s="2">
        <f t="shared" si="106"/>
        <v>6</v>
      </c>
      <c r="J727" s="2">
        <f t="shared" si="107"/>
        <v>40</v>
      </c>
      <c r="K727" s="6">
        <f t="shared" si="108"/>
        <v>0.4375</v>
      </c>
      <c r="L727" s="2" t="str">
        <f t="shared" si="101"/>
        <v>EGL</v>
      </c>
      <c r="M727" s="2">
        <f t="shared" si="102"/>
        <v>7</v>
      </c>
      <c r="N727" s="2">
        <f t="shared" si="111"/>
        <v>2</v>
      </c>
      <c r="O727" s="2">
        <f t="shared" si="110"/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 t="shared" si="103"/>
        <v>22</v>
      </c>
      <c r="T727" s="2">
        <v>22</v>
      </c>
    </row>
    <row r="728" spans="1:26">
      <c r="A728" s="7">
        <f>MAX($A$1:$A727)+1</f>
        <v>727</v>
      </c>
      <c r="B728" s="2" t="str">
        <f t="shared" si="99"/>
        <v>Em Lim</v>
      </c>
      <c r="C728" s="2" t="str">
        <f t="shared" si="100"/>
        <v>Jasmin Schuster</v>
      </c>
      <c r="D728" s="2" t="str">
        <f t="shared" si="104"/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 t="shared" si="105"/>
        <v>18/05/2023</v>
      </c>
      <c r="I728" s="2">
        <f t="shared" si="106"/>
        <v>6</v>
      </c>
      <c r="J728" s="2">
        <f t="shared" si="107"/>
        <v>40</v>
      </c>
      <c r="K728" s="6">
        <f t="shared" si="108"/>
        <v>0.4375</v>
      </c>
      <c r="L728" s="2" t="str">
        <f t="shared" si="101"/>
        <v>EGL</v>
      </c>
      <c r="M728" s="2">
        <f t="shared" si="102"/>
        <v>7</v>
      </c>
      <c r="N728" s="2">
        <f t="shared" si="111"/>
        <v>2</v>
      </c>
      <c r="O728" s="2">
        <f t="shared" si="110"/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 t="shared" si="103"/>
        <v>4</v>
      </c>
      <c r="T728" s="2">
        <v>4</v>
      </c>
    </row>
    <row r="729" spans="1:26">
      <c r="A729" s="7">
        <f>MAX($A$1:$A728)+1</f>
        <v>728</v>
      </c>
      <c r="B729" s="2" t="str">
        <f t="shared" si="99"/>
        <v>Em Lim</v>
      </c>
      <c r="C729" s="2" t="str">
        <f t="shared" si="100"/>
        <v>Jasmin Schuster</v>
      </c>
      <c r="D729" s="2" t="str">
        <f t="shared" si="104"/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 t="shared" si="105"/>
        <v>18/05/2023</v>
      </c>
      <c r="I729" s="2">
        <f t="shared" si="106"/>
        <v>6</v>
      </c>
      <c r="J729" s="2">
        <f t="shared" si="107"/>
        <v>40</v>
      </c>
      <c r="K729" s="6">
        <f t="shared" si="108"/>
        <v>0.4375</v>
      </c>
      <c r="L729" s="2" t="str">
        <f t="shared" si="101"/>
        <v>EGL</v>
      </c>
      <c r="M729" s="2">
        <f t="shared" si="102"/>
        <v>7</v>
      </c>
      <c r="N729" s="2">
        <f t="shared" si="111"/>
        <v>2</v>
      </c>
      <c r="O729" s="2">
        <f t="shared" si="110"/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 t="shared" si="103"/>
        <v>3</v>
      </c>
      <c r="T729" s="2">
        <v>3</v>
      </c>
    </row>
    <row r="730" spans="1:26">
      <c r="A730" s="7">
        <f>MAX($A$1:$A729)+1</f>
        <v>729</v>
      </c>
      <c r="B730" s="2" t="str">
        <f t="shared" si="99"/>
        <v>Em Lim</v>
      </c>
      <c r="C730" s="2" t="str">
        <f t="shared" si="100"/>
        <v>Jasmin Schuster</v>
      </c>
      <c r="D730" s="2" t="str">
        <f t="shared" si="104"/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 t="shared" si="105"/>
        <v>18/05/2023</v>
      </c>
      <c r="I730" s="2">
        <f t="shared" si="106"/>
        <v>6</v>
      </c>
      <c r="J730" s="2">
        <f t="shared" si="107"/>
        <v>40</v>
      </c>
      <c r="K730" s="6">
        <f t="shared" si="108"/>
        <v>0.4375</v>
      </c>
      <c r="L730" s="2" t="str">
        <f t="shared" si="101"/>
        <v>EGL</v>
      </c>
      <c r="M730" s="2">
        <f t="shared" si="102"/>
        <v>7</v>
      </c>
      <c r="N730" s="2">
        <f t="shared" si="111"/>
        <v>2</v>
      </c>
      <c r="O730" s="2">
        <f t="shared" si="110"/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 t="shared" si="103"/>
        <v>5</v>
      </c>
      <c r="T730" s="2">
        <v>5</v>
      </c>
    </row>
    <row r="731" spans="1:26">
      <c r="A731" s="7">
        <f>MAX($A$1:$A730)+1</f>
        <v>730</v>
      </c>
      <c r="B731" s="2" t="str">
        <f t="shared" si="99"/>
        <v>Em Lim</v>
      </c>
      <c r="C731" s="2" t="str">
        <f t="shared" si="100"/>
        <v>Jasmin Schuster</v>
      </c>
      <c r="D731" s="2" t="str">
        <f t="shared" si="104"/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 t="shared" si="105"/>
        <v>18/05/2023</v>
      </c>
      <c r="I731" s="2">
        <f t="shared" si="106"/>
        <v>6</v>
      </c>
      <c r="J731" s="2">
        <f t="shared" si="107"/>
        <v>40</v>
      </c>
      <c r="K731" s="6">
        <f t="shared" si="108"/>
        <v>0.4375</v>
      </c>
      <c r="L731" s="2" t="str">
        <f t="shared" si="101"/>
        <v>EGL</v>
      </c>
      <c r="M731" s="2">
        <f t="shared" si="102"/>
        <v>7</v>
      </c>
      <c r="N731" s="2">
        <f t="shared" si="111"/>
        <v>2</v>
      </c>
      <c r="O731" s="2">
        <f t="shared" si="110"/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 t="shared" si="103"/>
        <v>6</v>
      </c>
      <c r="T731" s="2">
        <v>6</v>
      </c>
    </row>
    <row r="732" spans="1:26">
      <c r="A732" s="7">
        <f>MAX($A$1:$A731)+1</f>
        <v>731</v>
      </c>
      <c r="B732" s="2" t="str">
        <f t="shared" si="99"/>
        <v>Em Lim</v>
      </c>
      <c r="C732" s="2" t="str">
        <f t="shared" si="100"/>
        <v>Jasmin Schuster</v>
      </c>
      <c r="D732" s="2" t="str">
        <f t="shared" si="104"/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 t="shared" si="105"/>
        <v>18/05/2023</v>
      </c>
      <c r="I732" s="2">
        <f t="shared" si="106"/>
        <v>6</v>
      </c>
      <c r="J732" s="2">
        <f t="shared" si="107"/>
        <v>40</v>
      </c>
      <c r="K732" s="6">
        <f t="shared" si="108"/>
        <v>0.4375</v>
      </c>
      <c r="L732" s="2" t="str">
        <f t="shared" si="101"/>
        <v>EGL</v>
      </c>
      <c r="M732" s="2">
        <f t="shared" si="102"/>
        <v>7</v>
      </c>
      <c r="N732" s="2">
        <f t="shared" si="111"/>
        <v>2</v>
      </c>
      <c r="O732" s="2">
        <f t="shared" si="110"/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 t="shared" si="103"/>
        <v>1</v>
      </c>
      <c r="T732" s="2">
        <v>0</v>
      </c>
      <c r="X732" s="2">
        <v>1</v>
      </c>
    </row>
    <row r="733" spans="1:26">
      <c r="A733" s="7">
        <f>MAX($A$1:$A732)+1</f>
        <v>732</v>
      </c>
      <c r="B733" s="2" t="str">
        <f t="shared" si="99"/>
        <v>Em Lim</v>
      </c>
      <c r="C733" s="2" t="str">
        <f t="shared" si="100"/>
        <v>Jasmin Schuster</v>
      </c>
      <c r="D733" s="2" t="str">
        <f t="shared" si="104"/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 t="shared" si="105"/>
        <v>18/05/2023</v>
      </c>
      <c r="I733" s="2">
        <f t="shared" si="106"/>
        <v>6</v>
      </c>
      <c r="J733" s="2">
        <f t="shared" si="107"/>
        <v>40</v>
      </c>
      <c r="K733" s="6">
        <f t="shared" si="108"/>
        <v>0.4375</v>
      </c>
      <c r="L733" s="2" t="str">
        <f t="shared" si="101"/>
        <v>EGL</v>
      </c>
      <c r="M733" s="2">
        <f t="shared" si="102"/>
        <v>7</v>
      </c>
      <c r="N733" s="2">
        <f t="shared" si="111"/>
        <v>2</v>
      </c>
      <c r="O733" s="2">
        <f t="shared" si="110"/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 t="shared" si="103"/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>
      <c r="A734" s="7">
        <f>MAX($A$1:$A733)+1</f>
        <v>733</v>
      </c>
      <c r="B734" s="2" t="str">
        <f t="shared" si="99"/>
        <v>Em Lim</v>
      </c>
      <c r="C734" s="2" t="str">
        <f t="shared" si="100"/>
        <v>Jasmin Schuster</v>
      </c>
      <c r="D734" s="2" t="str">
        <f t="shared" si="104"/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 t="shared" si="105"/>
        <v>18/05/2023</v>
      </c>
      <c r="I734" s="2">
        <f t="shared" si="106"/>
        <v>6</v>
      </c>
      <c r="J734" s="2">
        <f t="shared" si="107"/>
        <v>40</v>
      </c>
      <c r="K734" s="6">
        <f t="shared" si="108"/>
        <v>0.4375</v>
      </c>
      <c r="L734" s="2" t="str">
        <f t="shared" si="101"/>
        <v>EGL</v>
      </c>
      <c r="M734" s="2">
        <f t="shared" si="102"/>
        <v>7</v>
      </c>
      <c r="N734" s="2">
        <f t="shared" si="111"/>
        <v>2</v>
      </c>
      <c r="O734" s="2">
        <f t="shared" si="110"/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 t="shared" si="103"/>
        <v>1</v>
      </c>
      <c r="T734" s="2">
        <v>1</v>
      </c>
    </row>
    <row r="735" spans="1:26">
      <c r="A735" s="7">
        <f>MAX($A$1:$A734)+1</f>
        <v>734</v>
      </c>
      <c r="B735" s="2" t="str">
        <f t="shared" si="99"/>
        <v>Em Lim</v>
      </c>
      <c r="C735" s="2" t="str">
        <f t="shared" si="100"/>
        <v>Jasmin Schuster</v>
      </c>
      <c r="D735" s="2" t="str">
        <f t="shared" si="104"/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 t="shared" si="105"/>
        <v>18/05/2023</v>
      </c>
      <c r="I735" s="2">
        <f t="shared" si="106"/>
        <v>6</v>
      </c>
      <c r="J735" s="2">
        <f t="shared" si="107"/>
        <v>40</v>
      </c>
      <c r="K735" s="6">
        <f t="shared" si="108"/>
        <v>0.4375</v>
      </c>
      <c r="L735" s="2" t="str">
        <f t="shared" si="101"/>
        <v>EGL</v>
      </c>
      <c r="M735" s="2">
        <f t="shared" si="102"/>
        <v>7</v>
      </c>
      <c r="N735" s="2">
        <f t="shared" si="111"/>
        <v>2</v>
      </c>
      <c r="O735" s="2">
        <f t="shared" si="110"/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 t="shared" si="103"/>
        <v>7</v>
      </c>
      <c r="T735" s="2">
        <v>7</v>
      </c>
    </row>
    <row r="736" spans="1:26">
      <c r="A736" s="7">
        <f>MAX($A$1:$A735)+1</f>
        <v>735</v>
      </c>
      <c r="B736" s="2" t="str">
        <f t="shared" si="99"/>
        <v>Em Lim</v>
      </c>
      <c r="C736" s="2" t="str">
        <f t="shared" si="100"/>
        <v>Jasmin Schuster</v>
      </c>
      <c r="D736" s="2" t="str">
        <f t="shared" si="104"/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 t="shared" si="105"/>
        <v>18/05/2023</v>
      </c>
      <c r="I736" s="2">
        <f t="shared" si="106"/>
        <v>6</v>
      </c>
      <c r="J736" s="2">
        <f t="shared" si="107"/>
        <v>40</v>
      </c>
      <c r="K736" s="6">
        <f t="shared" si="108"/>
        <v>0.4375</v>
      </c>
      <c r="L736" s="2" t="str">
        <f t="shared" si="101"/>
        <v>EGL</v>
      </c>
      <c r="M736" s="2">
        <f t="shared" si="102"/>
        <v>7</v>
      </c>
      <c r="N736" s="2">
        <f t="shared" si="111"/>
        <v>2</v>
      </c>
      <c r="O736" s="2">
        <f t="shared" si="110"/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 t="shared" si="103"/>
        <v>3</v>
      </c>
      <c r="T736" s="2">
        <v>3</v>
      </c>
    </row>
    <row r="737" spans="1:35">
      <c r="A737" s="7">
        <f>MAX($A$1:$A736)+1</f>
        <v>736</v>
      </c>
      <c r="B737" s="2" t="str">
        <f t="shared" si="99"/>
        <v>Em Lim</v>
      </c>
      <c r="C737" s="2" t="str">
        <f t="shared" si="100"/>
        <v>Jasmin Schuster</v>
      </c>
      <c r="D737" s="2" t="str">
        <f t="shared" si="104"/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 t="shared" si="105"/>
        <v>18/05/2023</v>
      </c>
      <c r="I737" s="2">
        <f t="shared" si="106"/>
        <v>6</v>
      </c>
      <c r="J737" s="2">
        <f t="shared" si="107"/>
        <v>40</v>
      </c>
      <c r="K737" s="6">
        <f t="shared" si="108"/>
        <v>0.4375</v>
      </c>
      <c r="L737" s="2" t="str">
        <f t="shared" si="101"/>
        <v>EGL</v>
      </c>
      <c r="M737" s="2">
        <f t="shared" si="102"/>
        <v>7</v>
      </c>
      <c r="N737" s="2">
        <f t="shared" si="111"/>
        <v>2</v>
      </c>
      <c r="O737" s="2">
        <f t="shared" si="110"/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 t="shared" si="103"/>
        <v>1</v>
      </c>
      <c r="T737" s="2">
        <v>1</v>
      </c>
    </row>
    <row r="738" spans="1:35">
      <c r="A738" s="7">
        <f>MAX($A$1:$A737)+1</f>
        <v>737</v>
      </c>
      <c r="B738" s="2" t="str">
        <f t="shared" si="99"/>
        <v>Em Lim</v>
      </c>
      <c r="C738" s="2" t="str">
        <f t="shared" si="100"/>
        <v>Jasmin Schuster</v>
      </c>
      <c r="D738" s="2" t="str">
        <f t="shared" si="104"/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 t="shared" si="105"/>
        <v>18/05/2023</v>
      </c>
      <c r="I738" s="2">
        <f t="shared" si="106"/>
        <v>6</v>
      </c>
      <c r="J738" s="2">
        <f t="shared" si="107"/>
        <v>40</v>
      </c>
      <c r="K738" s="6">
        <f t="shared" si="108"/>
        <v>0.4375</v>
      </c>
      <c r="L738" s="2" t="str">
        <f t="shared" si="101"/>
        <v>EGL</v>
      </c>
      <c r="M738" s="2">
        <f t="shared" si="102"/>
        <v>7</v>
      </c>
      <c r="N738" s="2">
        <f t="shared" si="111"/>
        <v>2</v>
      </c>
      <c r="O738" s="2">
        <f t="shared" si="110"/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 t="shared" si="103"/>
        <v>1</v>
      </c>
      <c r="T738" s="2">
        <v>1</v>
      </c>
    </row>
    <row r="739" spans="1:35">
      <c r="A739" s="7">
        <f>MAX($A$1:$A738)+1</f>
        <v>738</v>
      </c>
      <c r="B739" s="2" t="str">
        <f t="shared" si="99"/>
        <v>Em Lim</v>
      </c>
      <c r="C739" s="2" t="str">
        <f t="shared" si="100"/>
        <v>Jasmin Schuster</v>
      </c>
      <c r="D739" s="2" t="str">
        <f t="shared" si="104"/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 t="shared" si="105"/>
        <v>18/05/2023</v>
      </c>
      <c r="I739" s="2">
        <f t="shared" si="106"/>
        <v>6</v>
      </c>
      <c r="J739" s="2">
        <f t="shared" si="107"/>
        <v>40</v>
      </c>
      <c r="K739" s="6">
        <f t="shared" si="108"/>
        <v>0.4375</v>
      </c>
      <c r="L739" s="2" t="str">
        <f t="shared" si="101"/>
        <v>EGL</v>
      </c>
      <c r="M739" s="2">
        <f t="shared" si="102"/>
        <v>7</v>
      </c>
      <c r="N739" s="2">
        <f t="shared" si="111"/>
        <v>2</v>
      </c>
      <c r="O739" s="2">
        <f t="shared" si="110"/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 t="shared" si="103"/>
        <v>2</v>
      </c>
      <c r="T739" s="2">
        <v>0</v>
      </c>
      <c r="X739" s="2">
        <v>2</v>
      </c>
    </row>
    <row r="740" spans="1:35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>
      <c r="A968" s="7">
        <f>MAX($A$1:$A967)+1</f>
        <v>967</v>
      </c>
      <c r="B968" s="2" t="str">
        <f t="shared" ref="B968:B1004" si="112"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 t="shared" ref="J968:J1004" si="113"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 t="shared" ref="S968:S1004" si="114">SUM(T968:AV968)</f>
        <v>1</v>
      </c>
      <c r="T968" s="2">
        <v>0</v>
      </c>
      <c r="AC968" s="2">
        <v>1</v>
      </c>
    </row>
    <row r="969" spans="1:29">
      <c r="A969" s="7">
        <f>MAX($A$1:$A968)+1</f>
        <v>968</v>
      </c>
      <c r="B969" s="2" t="str">
        <f t="shared" si="112"/>
        <v>Em Lim</v>
      </c>
      <c r="C969" s="2" t="str">
        <f t="shared" ref="C969:C1004" si="115">IF(ISERROR(C968),IF(ISERROR(C967),IF(ISERROR(C966),"BLANK",C966),C967),C968)</f>
        <v>Isabelle Cote</v>
      </c>
      <c r="D969" s="2" t="str">
        <f t="shared" ref="D969:D1004" si="116"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 t="shared" ref="H969:H1004" si="117">IF(ISERROR(H968),IF(ISERROR(H967),IF(ISERROR(H966),"BLANK",H966),H967),H968)</f>
        <v>19/05/2023</v>
      </c>
      <c r="I969" s="2">
        <f t="shared" ref="I969:I1004" si="118">IF(ISERROR(I968),IF(ISERROR(I967),IF(ISERROR(I966),"BLANK",I966),I967),I968)</f>
        <v>3</v>
      </c>
      <c r="J969" s="2">
        <f t="shared" si="113"/>
        <v>330</v>
      </c>
      <c r="K969" s="6">
        <f t="shared" ref="K969:O974" si="119">IF(ISERROR(K968),IF(ISERROR(K967),IF(ISERROR(K966),"BLANK",K966),K967),K968)</f>
        <v>0.4284722222222222</v>
      </c>
      <c r="L969" s="2" t="str">
        <f t="shared" si="119"/>
        <v>JMS</v>
      </c>
      <c r="M969" s="2">
        <f t="shared" si="119"/>
        <v>10</v>
      </c>
      <c r="N969" s="2">
        <f t="shared" si="119"/>
        <v>1</v>
      </c>
      <c r="O969" s="2">
        <f t="shared" si="119"/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 t="shared" si="114"/>
        <v>3</v>
      </c>
      <c r="T969" s="2">
        <v>0</v>
      </c>
      <c r="W969" s="2">
        <v>1</v>
      </c>
      <c r="X969" s="2">
        <v>2</v>
      </c>
    </row>
    <row r="970" spans="1:29">
      <c r="A970" s="7">
        <f>MAX($A$1:$A969)+1</f>
        <v>969</v>
      </c>
      <c r="B970" s="2" t="str">
        <f t="shared" si="112"/>
        <v>Em Lim</v>
      </c>
      <c r="C970" s="2" t="str">
        <f t="shared" si="115"/>
        <v>Isabelle Cote</v>
      </c>
      <c r="D970" s="2" t="str">
        <f t="shared" si="116"/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 t="shared" si="117"/>
        <v>19/05/2023</v>
      </c>
      <c r="I970" s="2">
        <f t="shared" si="118"/>
        <v>3</v>
      </c>
      <c r="J970" s="2">
        <f t="shared" si="113"/>
        <v>330</v>
      </c>
      <c r="K970" s="6">
        <f t="shared" si="119"/>
        <v>0.4284722222222222</v>
      </c>
      <c r="L970" s="2" t="str">
        <f t="shared" si="119"/>
        <v>JMS</v>
      </c>
      <c r="M970" s="2">
        <f t="shared" si="119"/>
        <v>10</v>
      </c>
      <c r="N970" s="2">
        <f t="shared" si="119"/>
        <v>1</v>
      </c>
      <c r="O970" s="2">
        <f t="shared" si="119"/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 t="shared" si="114"/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>
      <c r="A971" s="7">
        <f>MAX($A$1:$A970)+1</f>
        <v>970</v>
      </c>
      <c r="B971" s="2" t="str">
        <f t="shared" si="112"/>
        <v>Em Lim</v>
      </c>
      <c r="C971" s="2" t="str">
        <f t="shared" si="115"/>
        <v>Isabelle Cote</v>
      </c>
      <c r="D971" s="2" t="str">
        <f t="shared" si="116"/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 t="shared" si="117"/>
        <v>19/05/2023</v>
      </c>
      <c r="I971" s="2">
        <f t="shared" si="118"/>
        <v>3</v>
      </c>
      <c r="J971" s="2">
        <f t="shared" si="113"/>
        <v>330</v>
      </c>
      <c r="K971" s="6">
        <f t="shared" si="119"/>
        <v>0.4284722222222222</v>
      </c>
      <c r="L971" s="2" t="str">
        <f t="shared" si="119"/>
        <v>JMS</v>
      </c>
      <c r="M971" s="2">
        <f t="shared" si="119"/>
        <v>10</v>
      </c>
      <c r="N971" s="2">
        <f t="shared" si="119"/>
        <v>1</v>
      </c>
      <c r="O971" s="2">
        <f t="shared" si="119"/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 t="shared" si="114"/>
        <v>2</v>
      </c>
      <c r="T971" s="2">
        <v>0</v>
      </c>
      <c r="X971" s="2">
        <v>2</v>
      </c>
    </row>
    <row r="972" spans="1:29">
      <c r="A972" s="7">
        <f>MAX($A$1:$A971)+1</f>
        <v>971</v>
      </c>
      <c r="B972" s="2" t="str">
        <f t="shared" si="112"/>
        <v>Em Lim</v>
      </c>
      <c r="C972" s="2" t="str">
        <f t="shared" si="115"/>
        <v>Isabelle Cote</v>
      </c>
      <c r="D972" s="2" t="str">
        <f t="shared" si="116"/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 t="shared" si="117"/>
        <v>19/05/2023</v>
      </c>
      <c r="I972" s="2">
        <f t="shared" si="118"/>
        <v>3</v>
      </c>
      <c r="J972" s="2">
        <f t="shared" si="113"/>
        <v>330</v>
      </c>
      <c r="K972" s="6">
        <f t="shared" si="119"/>
        <v>0.4284722222222222</v>
      </c>
      <c r="L972" s="2" t="str">
        <f t="shared" si="119"/>
        <v>JMS</v>
      </c>
      <c r="M972" s="2">
        <f t="shared" si="119"/>
        <v>10</v>
      </c>
      <c r="N972" s="2">
        <f t="shared" si="119"/>
        <v>1</v>
      </c>
      <c r="O972" s="2">
        <f t="shared" si="119"/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 t="shared" si="114"/>
        <v>1</v>
      </c>
      <c r="T972" s="2">
        <v>1</v>
      </c>
    </row>
    <row r="973" spans="1:29">
      <c r="A973" s="7">
        <f>MAX($A$1:$A972)+1</f>
        <v>972</v>
      </c>
      <c r="B973" s="2" t="str">
        <f t="shared" si="112"/>
        <v>Em Lim</v>
      </c>
      <c r="C973" s="2" t="str">
        <f t="shared" si="115"/>
        <v>Isabelle Cote</v>
      </c>
      <c r="D973" s="2" t="str">
        <f t="shared" si="116"/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 t="shared" si="117"/>
        <v>19/05/2023</v>
      </c>
      <c r="I973" s="2">
        <f t="shared" si="118"/>
        <v>3</v>
      </c>
      <c r="J973" s="2">
        <f t="shared" si="113"/>
        <v>330</v>
      </c>
      <c r="K973" s="6">
        <f t="shared" si="119"/>
        <v>0.4284722222222222</v>
      </c>
      <c r="L973" s="2" t="str">
        <f t="shared" si="119"/>
        <v>JMS</v>
      </c>
      <c r="M973" s="2">
        <f t="shared" si="119"/>
        <v>10</v>
      </c>
      <c r="N973" s="2">
        <f t="shared" si="119"/>
        <v>1</v>
      </c>
      <c r="O973" s="2">
        <f t="shared" si="119"/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 t="shared" si="114"/>
        <v>1</v>
      </c>
      <c r="T973" s="2">
        <v>0</v>
      </c>
      <c r="Z973" s="2">
        <v>1</v>
      </c>
    </row>
    <row r="974" spans="1:29">
      <c r="A974" s="7">
        <f>MAX($A$1:$A973)+1</f>
        <v>973</v>
      </c>
      <c r="B974" s="2" t="str">
        <f t="shared" si="112"/>
        <v>Em Lim</v>
      </c>
      <c r="C974" s="2" t="str">
        <f t="shared" si="115"/>
        <v>Isabelle Cote</v>
      </c>
      <c r="D974" s="2" t="str">
        <f t="shared" si="116"/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 t="shared" si="117"/>
        <v>19/05/2023</v>
      </c>
      <c r="I974" s="2">
        <f t="shared" si="118"/>
        <v>3</v>
      </c>
      <c r="J974" s="2">
        <f t="shared" si="113"/>
        <v>330</v>
      </c>
      <c r="K974" s="6">
        <f t="shared" si="119"/>
        <v>0.4284722222222222</v>
      </c>
      <c r="L974" s="2" t="str">
        <f t="shared" si="119"/>
        <v>JMS</v>
      </c>
      <c r="M974" s="2">
        <f t="shared" si="119"/>
        <v>10</v>
      </c>
      <c r="N974" s="2">
        <f t="shared" si="119"/>
        <v>1</v>
      </c>
      <c r="O974" s="2">
        <f t="shared" si="119"/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 t="shared" si="114"/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>
      <c r="A975" s="7">
        <f>MAX($A$1:$A974)+1</f>
        <v>974</v>
      </c>
      <c r="B975" s="2" t="str">
        <f t="shared" si="112"/>
        <v>Em Lim</v>
      </c>
      <c r="C975" s="2" t="str">
        <f t="shared" si="115"/>
        <v>Isabelle Cote</v>
      </c>
      <c r="D975" s="2" t="str">
        <f t="shared" si="116"/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 t="shared" si="117"/>
        <v>19/05/2023</v>
      </c>
      <c r="I975" s="2">
        <f t="shared" si="118"/>
        <v>3</v>
      </c>
      <c r="J975" s="2">
        <f t="shared" si="113"/>
        <v>330</v>
      </c>
      <c r="K975" s="6">
        <f t="shared" ref="K975:K1004" si="120">IF(ISERROR(K974),IF(ISERROR(K973),IF(ISERROR(K972),"BLANK",K972),K973),K974)</f>
        <v>0.4284722222222222</v>
      </c>
      <c r="L975" s="2" t="str">
        <f t="shared" ref="L975:L1004" si="121">IF(ISERROR(L974),IF(ISERROR(L973),IF(ISERROR(L972),"BLANK",L972),L973),L974)</f>
        <v>JMS</v>
      </c>
      <c r="M975" s="2">
        <f t="shared" ref="M975:M1004" si="122">IF(ISERROR(M974),IF(ISERROR(M973),IF(ISERROR(M972),"BLANK",M972),M973),M974)</f>
        <v>10</v>
      </c>
      <c r="N975" s="2">
        <v>2</v>
      </c>
      <c r="O975" s="2">
        <f t="shared" ref="O975:O1004" si="123"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 t="shared" si="114"/>
        <v>17</v>
      </c>
      <c r="T975" s="2">
        <v>17</v>
      </c>
    </row>
    <row r="976" spans="1:29">
      <c r="A976" s="7">
        <f>MAX($A$1:$A975)+1</f>
        <v>975</v>
      </c>
      <c r="B976" s="2" t="str">
        <f t="shared" si="112"/>
        <v>Em Lim</v>
      </c>
      <c r="C976" s="2" t="str">
        <f t="shared" si="115"/>
        <v>Isabelle Cote</v>
      </c>
      <c r="D976" s="2" t="str">
        <f t="shared" si="116"/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 t="shared" si="117"/>
        <v>19/05/2023</v>
      </c>
      <c r="I976" s="2">
        <f t="shared" si="118"/>
        <v>3</v>
      </c>
      <c r="J976" s="2">
        <f t="shared" si="113"/>
        <v>330</v>
      </c>
      <c r="K976" s="6">
        <f t="shared" si="120"/>
        <v>0.4284722222222222</v>
      </c>
      <c r="L976" s="2" t="str">
        <f t="shared" si="121"/>
        <v>JMS</v>
      </c>
      <c r="M976" s="2">
        <f t="shared" si="122"/>
        <v>10</v>
      </c>
      <c r="N976" s="2">
        <f t="shared" ref="N976:N999" si="124">IF(ISERROR(N975),IF(ISERROR(N974),IF(ISERROR(N973),"BLANK",N973),N974),N975)</f>
        <v>2</v>
      </c>
      <c r="O976" s="2">
        <f t="shared" si="123"/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 t="shared" si="114"/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>
      <c r="A977" s="7">
        <f>MAX($A$1:$A976)+1</f>
        <v>976</v>
      </c>
      <c r="B977" s="2" t="str">
        <f t="shared" si="112"/>
        <v>Em Lim</v>
      </c>
      <c r="C977" s="2" t="str">
        <f t="shared" si="115"/>
        <v>Isabelle Cote</v>
      </c>
      <c r="D977" s="2" t="str">
        <f t="shared" si="116"/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 t="shared" si="117"/>
        <v>19/05/2023</v>
      </c>
      <c r="I977" s="2">
        <f t="shared" si="118"/>
        <v>3</v>
      </c>
      <c r="J977" s="2">
        <f t="shared" si="113"/>
        <v>330</v>
      </c>
      <c r="K977" s="6">
        <f t="shared" si="120"/>
        <v>0.4284722222222222</v>
      </c>
      <c r="L977" s="2" t="str">
        <f t="shared" si="121"/>
        <v>JMS</v>
      </c>
      <c r="M977" s="2">
        <f t="shared" si="122"/>
        <v>10</v>
      </c>
      <c r="N977" s="2">
        <f t="shared" si="124"/>
        <v>2</v>
      </c>
      <c r="O977" s="2">
        <f t="shared" si="123"/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 t="shared" si="114"/>
        <v>8</v>
      </c>
      <c r="T977" s="2">
        <v>8</v>
      </c>
    </row>
    <row r="978" spans="1:24">
      <c r="A978" s="7">
        <f>MAX($A$1:$A977)+1</f>
        <v>977</v>
      </c>
      <c r="B978" s="2" t="str">
        <f t="shared" si="112"/>
        <v>Em Lim</v>
      </c>
      <c r="C978" s="2" t="str">
        <f t="shared" si="115"/>
        <v>Isabelle Cote</v>
      </c>
      <c r="D978" s="2" t="str">
        <f t="shared" si="116"/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 t="shared" si="117"/>
        <v>19/05/2023</v>
      </c>
      <c r="I978" s="2">
        <f t="shared" si="118"/>
        <v>3</v>
      </c>
      <c r="J978" s="2">
        <f t="shared" si="113"/>
        <v>330</v>
      </c>
      <c r="K978" s="6">
        <f t="shared" si="120"/>
        <v>0.4284722222222222</v>
      </c>
      <c r="L978" s="2" t="str">
        <f t="shared" si="121"/>
        <v>JMS</v>
      </c>
      <c r="M978" s="2">
        <f t="shared" si="122"/>
        <v>10</v>
      </c>
      <c r="N978" s="2">
        <f t="shared" si="124"/>
        <v>2</v>
      </c>
      <c r="O978" s="2">
        <f t="shared" si="123"/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 t="shared" si="114"/>
        <v>6</v>
      </c>
      <c r="T978" s="2">
        <v>6</v>
      </c>
    </row>
    <row r="979" spans="1:24">
      <c r="A979" s="7">
        <f>MAX($A$1:$A978)+1</f>
        <v>978</v>
      </c>
      <c r="B979" s="2" t="str">
        <f t="shared" si="112"/>
        <v>Em Lim</v>
      </c>
      <c r="C979" s="2" t="str">
        <f t="shared" si="115"/>
        <v>Isabelle Cote</v>
      </c>
      <c r="D979" s="2" t="str">
        <f t="shared" si="116"/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 t="shared" si="117"/>
        <v>19/05/2023</v>
      </c>
      <c r="I979" s="2">
        <f t="shared" si="118"/>
        <v>3</v>
      </c>
      <c r="J979" s="2">
        <f t="shared" si="113"/>
        <v>330</v>
      </c>
      <c r="K979" s="6">
        <f t="shared" si="120"/>
        <v>0.4284722222222222</v>
      </c>
      <c r="L979" s="2" t="str">
        <f t="shared" si="121"/>
        <v>JMS</v>
      </c>
      <c r="M979" s="2">
        <f t="shared" si="122"/>
        <v>10</v>
      </c>
      <c r="N979" s="2">
        <f t="shared" si="124"/>
        <v>2</v>
      </c>
      <c r="O979" s="2">
        <f t="shared" si="123"/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 t="shared" si="114"/>
        <v>3</v>
      </c>
      <c r="T979" s="2">
        <v>3</v>
      </c>
    </row>
    <row r="980" spans="1:24">
      <c r="A980" s="7">
        <f>MAX($A$1:$A979)+1</f>
        <v>979</v>
      </c>
      <c r="B980" s="2" t="str">
        <f t="shared" si="112"/>
        <v>Em Lim</v>
      </c>
      <c r="C980" s="2" t="str">
        <f t="shared" si="115"/>
        <v>Isabelle Cote</v>
      </c>
      <c r="D980" s="2" t="str">
        <f t="shared" si="116"/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 t="shared" si="117"/>
        <v>19/05/2023</v>
      </c>
      <c r="I980" s="2">
        <f t="shared" si="118"/>
        <v>3</v>
      </c>
      <c r="J980" s="2">
        <f t="shared" si="113"/>
        <v>330</v>
      </c>
      <c r="K980" s="6">
        <f t="shared" si="120"/>
        <v>0.4284722222222222</v>
      </c>
      <c r="L980" s="2" t="str">
        <f t="shared" si="121"/>
        <v>JMS</v>
      </c>
      <c r="M980" s="2">
        <f t="shared" si="122"/>
        <v>10</v>
      </c>
      <c r="N980" s="2">
        <f t="shared" si="124"/>
        <v>2</v>
      </c>
      <c r="O980" s="2">
        <f t="shared" si="123"/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 t="shared" si="114"/>
        <v>3</v>
      </c>
      <c r="T980" s="2">
        <v>3</v>
      </c>
    </row>
    <row r="981" spans="1:24">
      <c r="A981" s="7">
        <f>MAX($A$1:$A980)+1</f>
        <v>980</v>
      </c>
      <c r="B981" s="2" t="str">
        <f t="shared" si="112"/>
        <v>Em Lim</v>
      </c>
      <c r="C981" s="2" t="str">
        <f t="shared" si="115"/>
        <v>Isabelle Cote</v>
      </c>
      <c r="D981" s="2" t="str">
        <f t="shared" si="116"/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 t="shared" si="117"/>
        <v>19/05/2023</v>
      </c>
      <c r="I981" s="2">
        <f t="shared" si="118"/>
        <v>3</v>
      </c>
      <c r="J981" s="2">
        <f t="shared" si="113"/>
        <v>330</v>
      </c>
      <c r="K981" s="6">
        <f t="shared" si="120"/>
        <v>0.4284722222222222</v>
      </c>
      <c r="L981" s="2" t="str">
        <f t="shared" si="121"/>
        <v>JMS</v>
      </c>
      <c r="M981" s="2">
        <f t="shared" si="122"/>
        <v>10</v>
      </c>
      <c r="N981" s="2">
        <f t="shared" si="124"/>
        <v>2</v>
      </c>
      <c r="O981" s="2">
        <f t="shared" si="123"/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 t="shared" si="114"/>
        <v>14</v>
      </c>
      <c r="T981" s="2">
        <v>14</v>
      </c>
    </row>
    <row r="982" spans="1:24">
      <c r="A982" s="7">
        <f>MAX($A$1:$A981)+1</f>
        <v>981</v>
      </c>
      <c r="B982" s="2" t="str">
        <f t="shared" si="112"/>
        <v>Em Lim</v>
      </c>
      <c r="C982" s="2" t="str">
        <f t="shared" si="115"/>
        <v>Isabelle Cote</v>
      </c>
      <c r="D982" s="2" t="str">
        <f t="shared" si="116"/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 t="shared" si="117"/>
        <v>19/05/2023</v>
      </c>
      <c r="I982" s="2">
        <f t="shared" si="118"/>
        <v>3</v>
      </c>
      <c r="J982" s="2">
        <f t="shared" si="113"/>
        <v>330</v>
      </c>
      <c r="K982" s="6">
        <f t="shared" si="120"/>
        <v>0.4284722222222222</v>
      </c>
      <c r="L982" s="2" t="str">
        <f t="shared" si="121"/>
        <v>JMS</v>
      </c>
      <c r="M982" s="2">
        <f t="shared" si="122"/>
        <v>10</v>
      </c>
      <c r="N982" s="2">
        <f t="shared" si="124"/>
        <v>2</v>
      </c>
      <c r="O982" s="2">
        <f t="shared" si="123"/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 t="shared" si="114"/>
        <v>4</v>
      </c>
      <c r="T982" s="2">
        <v>4</v>
      </c>
    </row>
    <row r="983" spans="1:24">
      <c r="A983" s="7">
        <f>MAX($A$1:$A982)+1</f>
        <v>982</v>
      </c>
      <c r="B983" s="2" t="str">
        <f t="shared" si="112"/>
        <v>Em Lim</v>
      </c>
      <c r="C983" s="2" t="str">
        <f t="shared" si="115"/>
        <v>Isabelle Cote</v>
      </c>
      <c r="D983" s="2" t="str">
        <f t="shared" si="116"/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 t="shared" si="117"/>
        <v>19/05/2023</v>
      </c>
      <c r="I983" s="2">
        <f t="shared" si="118"/>
        <v>3</v>
      </c>
      <c r="J983" s="2">
        <f t="shared" si="113"/>
        <v>330</v>
      </c>
      <c r="K983" s="6">
        <f t="shared" si="120"/>
        <v>0.4284722222222222</v>
      </c>
      <c r="L983" s="2" t="str">
        <f t="shared" si="121"/>
        <v>JMS</v>
      </c>
      <c r="M983" s="2">
        <f t="shared" si="122"/>
        <v>10</v>
      </c>
      <c r="N983" s="2">
        <f t="shared" si="124"/>
        <v>2</v>
      </c>
      <c r="O983" s="2">
        <f t="shared" si="123"/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 t="shared" si="114"/>
        <v>2</v>
      </c>
      <c r="T983" s="2">
        <v>2</v>
      </c>
    </row>
    <row r="984" spans="1:24">
      <c r="A984" s="7">
        <f>MAX($A$1:$A983)+1</f>
        <v>983</v>
      </c>
      <c r="B984" s="2" t="str">
        <f t="shared" si="112"/>
        <v>Em Lim</v>
      </c>
      <c r="C984" s="2" t="str">
        <f t="shared" si="115"/>
        <v>Isabelle Cote</v>
      </c>
      <c r="D984" s="2" t="str">
        <f t="shared" si="116"/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 t="shared" si="117"/>
        <v>19/05/2023</v>
      </c>
      <c r="I984" s="2">
        <f t="shared" si="118"/>
        <v>3</v>
      </c>
      <c r="J984" s="2">
        <f t="shared" si="113"/>
        <v>330</v>
      </c>
      <c r="K984" s="6">
        <f t="shared" si="120"/>
        <v>0.4284722222222222</v>
      </c>
      <c r="L984" s="2" t="str">
        <f t="shared" si="121"/>
        <v>JMS</v>
      </c>
      <c r="M984" s="2">
        <f t="shared" si="122"/>
        <v>10</v>
      </c>
      <c r="N984" s="2">
        <f t="shared" si="124"/>
        <v>2</v>
      </c>
      <c r="O984" s="2">
        <f t="shared" si="123"/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 t="shared" si="114"/>
        <v>1</v>
      </c>
      <c r="T984" s="2">
        <v>1</v>
      </c>
    </row>
    <row r="985" spans="1:24">
      <c r="A985" s="7">
        <f>MAX($A$1:$A984)+1</f>
        <v>984</v>
      </c>
      <c r="B985" s="2" t="str">
        <f t="shared" si="112"/>
        <v>Em Lim</v>
      </c>
      <c r="C985" s="2" t="str">
        <f t="shared" si="115"/>
        <v>Isabelle Cote</v>
      </c>
      <c r="D985" s="2" t="str">
        <f t="shared" si="116"/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 t="shared" si="117"/>
        <v>19/05/2023</v>
      </c>
      <c r="I985" s="2">
        <f t="shared" si="118"/>
        <v>3</v>
      </c>
      <c r="J985" s="2">
        <f t="shared" si="113"/>
        <v>330</v>
      </c>
      <c r="K985" s="6">
        <f t="shared" si="120"/>
        <v>0.4284722222222222</v>
      </c>
      <c r="L985" s="2" t="str">
        <f t="shared" si="121"/>
        <v>JMS</v>
      </c>
      <c r="M985" s="2">
        <f t="shared" si="122"/>
        <v>10</v>
      </c>
      <c r="N985" s="2">
        <f t="shared" si="124"/>
        <v>2</v>
      </c>
      <c r="O985" s="2">
        <f t="shared" si="123"/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 t="shared" si="114"/>
        <v>2</v>
      </c>
      <c r="T985" s="2">
        <v>2</v>
      </c>
    </row>
    <row r="986" spans="1:24">
      <c r="A986" s="7">
        <f>MAX($A$1:$A985)+1</f>
        <v>985</v>
      </c>
      <c r="B986" s="2" t="str">
        <f t="shared" si="112"/>
        <v>Em Lim</v>
      </c>
      <c r="C986" s="2" t="str">
        <f t="shared" si="115"/>
        <v>Isabelle Cote</v>
      </c>
      <c r="D986" s="2" t="str">
        <f t="shared" si="116"/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 t="shared" si="117"/>
        <v>19/05/2023</v>
      </c>
      <c r="I986" s="2">
        <f t="shared" si="118"/>
        <v>3</v>
      </c>
      <c r="J986" s="2">
        <f t="shared" si="113"/>
        <v>330</v>
      </c>
      <c r="K986" s="6">
        <f t="shared" si="120"/>
        <v>0.4284722222222222</v>
      </c>
      <c r="L986" s="2" t="str">
        <f t="shared" si="121"/>
        <v>JMS</v>
      </c>
      <c r="M986" s="2">
        <f t="shared" si="122"/>
        <v>10</v>
      </c>
      <c r="N986" s="2">
        <f t="shared" si="124"/>
        <v>2</v>
      </c>
      <c r="O986" s="2">
        <f t="shared" si="123"/>
        <v>2</v>
      </c>
      <c r="P986" s="27" t="s">
        <v>282</v>
      </c>
      <c r="Q986" s="7" t="s">
        <v>283</v>
      </c>
      <c r="R986" s="4" t="s">
        <v>136</v>
      </c>
      <c r="S986" s="20">
        <f t="shared" si="114"/>
        <v>3</v>
      </c>
      <c r="T986" s="2">
        <v>3</v>
      </c>
    </row>
    <row r="987" spans="1:24">
      <c r="A987" s="7">
        <f>MAX($A$1:$A986)+1</f>
        <v>986</v>
      </c>
      <c r="B987" s="2" t="str">
        <f t="shared" si="112"/>
        <v>Em Lim</v>
      </c>
      <c r="C987" s="2" t="str">
        <f t="shared" si="115"/>
        <v>Isabelle Cote</v>
      </c>
      <c r="D987" s="2" t="str">
        <f t="shared" si="116"/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 t="shared" si="117"/>
        <v>19/05/2023</v>
      </c>
      <c r="I987" s="2">
        <f t="shared" si="118"/>
        <v>3</v>
      </c>
      <c r="J987" s="2">
        <f t="shared" si="113"/>
        <v>330</v>
      </c>
      <c r="K987" s="6">
        <f t="shared" si="120"/>
        <v>0.4284722222222222</v>
      </c>
      <c r="L987" s="2" t="str">
        <f t="shared" si="121"/>
        <v>JMS</v>
      </c>
      <c r="M987" s="2">
        <f t="shared" si="122"/>
        <v>10</v>
      </c>
      <c r="N987" s="2">
        <f t="shared" si="124"/>
        <v>2</v>
      </c>
      <c r="O987" s="2">
        <f t="shared" si="123"/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 t="shared" si="114"/>
        <v>1</v>
      </c>
      <c r="T987" s="2">
        <v>0</v>
      </c>
      <c r="W987" s="2">
        <v>1</v>
      </c>
    </row>
    <row r="988" spans="1:24">
      <c r="A988" s="7">
        <f>MAX($A$1:$A987)+1</f>
        <v>987</v>
      </c>
      <c r="B988" s="2" t="str">
        <f t="shared" si="112"/>
        <v>Em Lim</v>
      </c>
      <c r="C988" s="2" t="str">
        <f t="shared" si="115"/>
        <v>Isabelle Cote</v>
      </c>
      <c r="D988" s="2" t="str">
        <f t="shared" si="116"/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 t="shared" si="117"/>
        <v>19/05/2023</v>
      </c>
      <c r="I988" s="2">
        <f t="shared" si="118"/>
        <v>3</v>
      </c>
      <c r="J988" s="2">
        <f t="shared" si="113"/>
        <v>330</v>
      </c>
      <c r="K988" s="6">
        <f t="shared" si="120"/>
        <v>0.4284722222222222</v>
      </c>
      <c r="L988" s="2" t="str">
        <f t="shared" si="121"/>
        <v>JMS</v>
      </c>
      <c r="M988" s="2">
        <f t="shared" si="122"/>
        <v>10</v>
      </c>
      <c r="N988" s="2">
        <f t="shared" si="124"/>
        <v>2</v>
      </c>
      <c r="O988" s="2">
        <f t="shared" si="123"/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 t="shared" si="114"/>
        <v>1</v>
      </c>
      <c r="T988" s="2">
        <v>1</v>
      </c>
    </row>
    <row r="989" spans="1:24">
      <c r="A989" s="7">
        <f>MAX($A$1:$A988)+1</f>
        <v>988</v>
      </c>
      <c r="B989" s="2" t="str">
        <f t="shared" si="112"/>
        <v>Em Lim</v>
      </c>
      <c r="C989" s="2" t="str">
        <f t="shared" si="115"/>
        <v>Isabelle Cote</v>
      </c>
      <c r="D989" s="2" t="str">
        <f t="shared" si="116"/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 t="shared" si="117"/>
        <v>19/05/2023</v>
      </c>
      <c r="I989" s="2">
        <f t="shared" si="118"/>
        <v>3</v>
      </c>
      <c r="J989" s="2">
        <f t="shared" si="113"/>
        <v>330</v>
      </c>
      <c r="K989" s="6">
        <f t="shared" si="120"/>
        <v>0.4284722222222222</v>
      </c>
      <c r="L989" s="2" t="str">
        <f t="shared" si="121"/>
        <v>JMS</v>
      </c>
      <c r="M989" s="2">
        <f t="shared" si="122"/>
        <v>10</v>
      </c>
      <c r="N989" s="2">
        <f t="shared" si="124"/>
        <v>2</v>
      </c>
      <c r="O989" s="2">
        <f t="shared" si="123"/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 t="shared" si="114"/>
        <v>8</v>
      </c>
      <c r="T989" s="2">
        <v>8</v>
      </c>
    </row>
    <row r="990" spans="1:24">
      <c r="A990" s="7">
        <f>MAX($A$1:$A989)+1</f>
        <v>989</v>
      </c>
      <c r="B990" s="2" t="str">
        <f t="shared" si="112"/>
        <v>Em Lim</v>
      </c>
      <c r="C990" s="2" t="str">
        <f t="shared" si="115"/>
        <v>Isabelle Cote</v>
      </c>
      <c r="D990" s="2" t="str">
        <f t="shared" si="116"/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 t="shared" si="117"/>
        <v>19/05/2023</v>
      </c>
      <c r="I990" s="2">
        <f t="shared" si="118"/>
        <v>3</v>
      </c>
      <c r="J990" s="2">
        <f t="shared" si="113"/>
        <v>330</v>
      </c>
      <c r="K990" s="6">
        <f t="shared" si="120"/>
        <v>0.4284722222222222</v>
      </c>
      <c r="L990" s="2" t="str">
        <f t="shared" si="121"/>
        <v>JMS</v>
      </c>
      <c r="M990" s="2">
        <f t="shared" si="122"/>
        <v>10</v>
      </c>
      <c r="N990" s="2">
        <f t="shared" si="124"/>
        <v>2</v>
      </c>
      <c r="O990" s="2">
        <f t="shared" si="123"/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 t="shared" si="114"/>
        <v>4</v>
      </c>
      <c r="T990" s="2">
        <v>4</v>
      </c>
    </row>
    <row r="991" spans="1:24">
      <c r="A991" s="7">
        <f>MAX($A$1:$A990)+1</f>
        <v>990</v>
      </c>
      <c r="B991" s="2" t="str">
        <f t="shared" si="112"/>
        <v>Em Lim</v>
      </c>
      <c r="C991" s="2" t="str">
        <f t="shared" si="115"/>
        <v>Isabelle Cote</v>
      </c>
      <c r="D991" s="2" t="str">
        <f t="shared" si="116"/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 t="shared" si="117"/>
        <v>19/05/2023</v>
      </c>
      <c r="I991" s="2">
        <f t="shared" si="118"/>
        <v>3</v>
      </c>
      <c r="J991" s="2">
        <f t="shared" si="113"/>
        <v>330</v>
      </c>
      <c r="K991" s="6">
        <f t="shared" si="120"/>
        <v>0.4284722222222222</v>
      </c>
      <c r="L991" s="2" t="str">
        <f t="shared" si="121"/>
        <v>JMS</v>
      </c>
      <c r="M991" s="2">
        <f t="shared" si="122"/>
        <v>10</v>
      </c>
      <c r="N991" s="2">
        <f t="shared" si="124"/>
        <v>2</v>
      </c>
      <c r="O991" s="2">
        <f t="shared" si="123"/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 t="shared" si="114"/>
        <v>10</v>
      </c>
      <c r="T991" s="2">
        <v>10</v>
      </c>
    </row>
    <row r="992" spans="1:24">
      <c r="A992" s="7">
        <f>MAX($A$1:$A991)+1</f>
        <v>991</v>
      </c>
      <c r="B992" s="2" t="str">
        <f t="shared" si="112"/>
        <v>Em Lim</v>
      </c>
      <c r="C992" s="2" t="str">
        <f t="shared" si="115"/>
        <v>Isabelle Cote</v>
      </c>
      <c r="D992" s="2" t="str">
        <f t="shared" si="116"/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 t="shared" si="117"/>
        <v>19/05/2023</v>
      </c>
      <c r="I992" s="2">
        <f t="shared" si="118"/>
        <v>3</v>
      </c>
      <c r="J992" s="2">
        <f t="shared" si="113"/>
        <v>330</v>
      </c>
      <c r="K992" s="6">
        <f t="shared" si="120"/>
        <v>0.4284722222222222</v>
      </c>
      <c r="L992" s="2" t="str">
        <f t="shared" si="121"/>
        <v>JMS</v>
      </c>
      <c r="M992" s="2">
        <f t="shared" si="122"/>
        <v>10</v>
      </c>
      <c r="N992" s="2">
        <f t="shared" si="124"/>
        <v>2</v>
      </c>
      <c r="O992" s="2">
        <f t="shared" si="123"/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 t="shared" si="114"/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>
      <c r="A993" s="7">
        <f>MAX($A$1:$A992)+1</f>
        <v>992</v>
      </c>
      <c r="B993" s="2" t="str">
        <f t="shared" si="112"/>
        <v>Em Lim</v>
      </c>
      <c r="C993" s="2" t="str">
        <f t="shared" si="115"/>
        <v>Isabelle Cote</v>
      </c>
      <c r="D993" s="2" t="str">
        <f t="shared" si="116"/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 t="shared" si="117"/>
        <v>19/05/2023</v>
      </c>
      <c r="I993" s="2">
        <f t="shared" si="118"/>
        <v>3</v>
      </c>
      <c r="J993" s="2">
        <f t="shared" si="113"/>
        <v>330</v>
      </c>
      <c r="K993" s="6">
        <f t="shared" si="120"/>
        <v>0.4284722222222222</v>
      </c>
      <c r="L993" s="2" t="str">
        <f t="shared" si="121"/>
        <v>JMS</v>
      </c>
      <c r="M993" s="2">
        <f t="shared" si="122"/>
        <v>10</v>
      </c>
      <c r="N993" s="2">
        <f t="shared" si="124"/>
        <v>2</v>
      </c>
      <c r="O993" s="2">
        <f t="shared" si="123"/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 t="shared" si="114"/>
        <v>3</v>
      </c>
      <c r="T993" s="2">
        <v>3</v>
      </c>
    </row>
    <row r="994" spans="1:30">
      <c r="A994" s="7">
        <f>MAX($A$1:$A993)+1</f>
        <v>993</v>
      </c>
      <c r="B994" s="2" t="str">
        <f t="shared" si="112"/>
        <v>Em Lim</v>
      </c>
      <c r="C994" s="2" t="str">
        <f t="shared" si="115"/>
        <v>Isabelle Cote</v>
      </c>
      <c r="D994" s="2" t="str">
        <f t="shared" si="116"/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 t="shared" si="117"/>
        <v>19/05/2023</v>
      </c>
      <c r="I994" s="2">
        <f t="shared" si="118"/>
        <v>3</v>
      </c>
      <c r="J994" s="2">
        <f t="shared" si="113"/>
        <v>330</v>
      </c>
      <c r="K994" s="6">
        <f t="shared" si="120"/>
        <v>0.4284722222222222</v>
      </c>
      <c r="L994" s="2" t="str">
        <f t="shared" si="121"/>
        <v>JMS</v>
      </c>
      <c r="M994" s="2">
        <f t="shared" si="122"/>
        <v>10</v>
      </c>
      <c r="N994" s="2">
        <f t="shared" si="124"/>
        <v>2</v>
      </c>
      <c r="O994" s="2">
        <f t="shared" si="123"/>
        <v>2</v>
      </c>
      <c r="P994" s="27" t="s">
        <v>285</v>
      </c>
      <c r="Q994" s="7" t="s">
        <v>286</v>
      </c>
      <c r="R994" s="4" t="s">
        <v>287</v>
      </c>
      <c r="S994" s="20">
        <f t="shared" si="114"/>
        <v>1</v>
      </c>
      <c r="T994" s="2">
        <v>1</v>
      </c>
    </row>
    <row r="995" spans="1:30">
      <c r="A995" s="7">
        <f>MAX($A$1:$A994)+1</f>
        <v>994</v>
      </c>
      <c r="B995" s="2" t="str">
        <f t="shared" si="112"/>
        <v>Em Lim</v>
      </c>
      <c r="C995" s="2" t="str">
        <f t="shared" si="115"/>
        <v>Isabelle Cote</v>
      </c>
      <c r="D995" s="2" t="str">
        <f t="shared" si="116"/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 t="shared" si="117"/>
        <v>19/05/2023</v>
      </c>
      <c r="I995" s="2">
        <f t="shared" si="118"/>
        <v>3</v>
      </c>
      <c r="J995" s="2">
        <f t="shared" si="113"/>
        <v>330</v>
      </c>
      <c r="K995" s="6">
        <f t="shared" si="120"/>
        <v>0.4284722222222222</v>
      </c>
      <c r="L995" s="2" t="str">
        <f t="shared" si="121"/>
        <v>JMS</v>
      </c>
      <c r="M995" s="2">
        <f t="shared" si="122"/>
        <v>10</v>
      </c>
      <c r="N995" s="2">
        <f t="shared" si="124"/>
        <v>2</v>
      </c>
      <c r="O995" s="2">
        <f t="shared" si="123"/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 t="shared" si="114"/>
        <v>2</v>
      </c>
      <c r="W995" s="2">
        <v>1</v>
      </c>
      <c r="X995" s="2">
        <v>1</v>
      </c>
    </row>
    <row r="996" spans="1:30">
      <c r="A996" s="7">
        <f>MAX($A$1:$A995)+1</f>
        <v>995</v>
      </c>
      <c r="B996" s="2" t="str">
        <f t="shared" si="112"/>
        <v>Em Lim</v>
      </c>
      <c r="C996" s="2" t="str">
        <f t="shared" si="115"/>
        <v>Isabelle Cote</v>
      </c>
      <c r="D996" s="2" t="str">
        <f t="shared" si="116"/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 t="shared" si="117"/>
        <v>19/05/2023</v>
      </c>
      <c r="I996" s="2">
        <f t="shared" si="118"/>
        <v>3</v>
      </c>
      <c r="J996" s="2">
        <f t="shared" si="113"/>
        <v>330</v>
      </c>
      <c r="K996" s="6">
        <f t="shared" si="120"/>
        <v>0.4284722222222222</v>
      </c>
      <c r="L996" s="2" t="str">
        <f t="shared" si="121"/>
        <v>JMS</v>
      </c>
      <c r="M996" s="2">
        <f t="shared" si="122"/>
        <v>10</v>
      </c>
      <c r="N996" s="2">
        <f t="shared" si="124"/>
        <v>2</v>
      </c>
      <c r="O996" s="2">
        <f t="shared" si="123"/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 t="shared" si="114"/>
        <v>2</v>
      </c>
      <c r="T996" s="2">
        <v>2</v>
      </c>
    </row>
    <row r="997" spans="1:30">
      <c r="A997" s="7">
        <f>MAX($A$1:$A996)+1</f>
        <v>996</v>
      </c>
      <c r="B997" s="2" t="str">
        <f t="shared" si="112"/>
        <v>Em Lim</v>
      </c>
      <c r="C997" s="2" t="str">
        <f t="shared" si="115"/>
        <v>Isabelle Cote</v>
      </c>
      <c r="D997" s="2" t="str">
        <f t="shared" si="116"/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 t="shared" si="117"/>
        <v>19/05/2023</v>
      </c>
      <c r="I997" s="2">
        <f t="shared" si="118"/>
        <v>3</v>
      </c>
      <c r="J997" s="2">
        <f t="shared" si="113"/>
        <v>330</v>
      </c>
      <c r="K997" s="6">
        <f t="shared" si="120"/>
        <v>0.4284722222222222</v>
      </c>
      <c r="L997" s="2" t="str">
        <f t="shared" si="121"/>
        <v>JMS</v>
      </c>
      <c r="M997" s="2">
        <f t="shared" si="122"/>
        <v>10</v>
      </c>
      <c r="N997" s="2">
        <f t="shared" si="124"/>
        <v>2</v>
      </c>
      <c r="O997" s="2">
        <f t="shared" si="123"/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 t="shared" si="114"/>
        <v>2</v>
      </c>
      <c r="X997" s="2">
        <v>1</v>
      </c>
      <c r="AD997" s="2">
        <v>1</v>
      </c>
    </row>
    <row r="998" spans="1:30">
      <c r="A998" s="7">
        <f>MAX($A$1:$A997)+1</f>
        <v>997</v>
      </c>
      <c r="B998" s="2" t="str">
        <f t="shared" si="112"/>
        <v>Em Lim</v>
      </c>
      <c r="C998" s="2" t="str">
        <f t="shared" si="115"/>
        <v>Isabelle Cote</v>
      </c>
      <c r="D998" s="2" t="str">
        <f t="shared" si="116"/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 t="shared" si="117"/>
        <v>19/05/2023</v>
      </c>
      <c r="I998" s="2">
        <f t="shared" si="118"/>
        <v>3</v>
      </c>
      <c r="J998" s="2">
        <f t="shared" si="113"/>
        <v>330</v>
      </c>
      <c r="K998" s="6">
        <f t="shared" si="120"/>
        <v>0.4284722222222222</v>
      </c>
      <c r="L998" s="2" t="str">
        <f t="shared" si="121"/>
        <v>JMS</v>
      </c>
      <c r="M998" s="2">
        <f t="shared" si="122"/>
        <v>10</v>
      </c>
      <c r="N998" s="2">
        <f t="shared" si="124"/>
        <v>2</v>
      </c>
      <c r="O998" s="2">
        <f t="shared" si="123"/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 t="shared" si="114"/>
        <v>2</v>
      </c>
      <c r="T998" s="2">
        <v>0</v>
      </c>
      <c r="V998" s="2">
        <v>1</v>
      </c>
      <c r="W998" s="2">
        <v>1</v>
      </c>
    </row>
    <row r="999" spans="1:30">
      <c r="A999" s="7">
        <f>MAX($A$1:$A998)+1</f>
        <v>998</v>
      </c>
      <c r="B999" s="2" t="str">
        <f t="shared" si="112"/>
        <v>Em Lim</v>
      </c>
      <c r="C999" s="2" t="str">
        <f t="shared" si="115"/>
        <v>Isabelle Cote</v>
      </c>
      <c r="D999" s="2" t="str">
        <f t="shared" si="116"/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 t="shared" si="117"/>
        <v>19/05/2023</v>
      </c>
      <c r="I999" s="2">
        <f t="shared" si="118"/>
        <v>3</v>
      </c>
      <c r="J999" s="2">
        <f t="shared" si="113"/>
        <v>330</v>
      </c>
      <c r="K999" s="6">
        <f t="shared" si="120"/>
        <v>0.4284722222222222</v>
      </c>
      <c r="L999" s="2" t="str">
        <f t="shared" si="121"/>
        <v>JMS</v>
      </c>
      <c r="M999" s="2">
        <f t="shared" si="122"/>
        <v>10</v>
      </c>
      <c r="N999" s="2">
        <f t="shared" si="124"/>
        <v>2</v>
      </c>
      <c r="O999" s="2">
        <f t="shared" si="123"/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 t="shared" si="114"/>
        <v>1</v>
      </c>
      <c r="T999" s="2">
        <v>1</v>
      </c>
    </row>
    <row r="1000" spans="1:30">
      <c r="A1000" s="7">
        <f>MAX($A$1:$A999)+1</f>
        <v>999</v>
      </c>
      <c r="B1000" s="2" t="str">
        <f t="shared" si="112"/>
        <v>Em Lim</v>
      </c>
      <c r="C1000" s="2" t="str">
        <f t="shared" si="115"/>
        <v>Isabelle Cote</v>
      </c>
      <c r="D1000" s="2" t="str">
        <f t="shared" si="116"/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 t="shared" si="117"/>
        <v>19/05/2023</v>
      </c>
      <c r="I1000" s="2">
        <f t="shared" si="118"/>
        <v>3</v>
      </c>
      <c r="J1000" s="2">
        <f t="shared" si="113"/>
        <v>330</v>
      </c>
      <c r="K1000" s="6">
        <f t="shared" si="120"/>
        <v>0.4284722222222222</v>
      </c>
      <c r="L1000" s="2" t="str">
        <f t="shared" si="121"/>
        <v>JMS</v>
      </c>
      <c r="M1000" s="2">
        <f t="shared" si="122"/>
        <v>10</v>
      </c>
      <c r="N1000" s="2">
        <v>0</v>
      </c>
      <c r="O1000" s="2">
        <f t="shared" si="123"/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 t="shared" si="114"/>
        <v>1</v>
      </c>
      <c r="T1000" s="2">
        <v>0</v>
      </c>
      <c r="Z1000" s="2">
        <v>1</v>
      </c>
    </row>
    <row r="1001" spans="1:30">
      <c r="A1001" s="7">
        <f>MAX($A$1:$A1000)+1</f>
        <v>1000</v>
      </c>
      <c r="B1001" s="2" t="str">
        <f t="shared" si="112"/>
        <v>Em Lim</v>
      </c>
      <c r="C1001" s="2" t="str">
        <f t="shared" si="115"/>
        <v>Isabelle Cote</v>
      </c>
      <c r="D1001" s="2" t="str">
        <f t="shared" si="116"/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 t="shared" si="117"/>
        <v>19/05/2023</v>
      </c>
      <c r="I1001" s="2">
        <f t="shared" si="118"/>
        <v>3</v>
      </c>
      <c r="J1001" s="2">
        <f t="shared" si="113"/>
        <v>330</v>
      </c>
      <c r="K1001" s="6">
        <f t="shared" si="120"/>
        <v>0.4284722222222222</v>
      </c>
      <c r="L1001" s="2" t="str">
        <f t="shared" si="121"/>
        <v>JMS</v>
      </c>
      <c r="M1001" s="2">
        <f t="shared" si="122"/>
        <v>10</v>
      </c>
      <c r="N1001" s="2">
        <f>IF(ISERROR(N1000),IF(ISERROR(N999),IF(ISERROR(N998),"BLANK",N998),N999),N1000)</f>
        <v>0</v>
      </c>
      <c r="O1001" s="2">
        <f t="shared" si="123"/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 t="shared" si="114"/>
        <v>1</v>
      </c>
      <c r="T1001" s="2">
        <v>0</v>
      </c>
      <c r="Y1001" s="2">
        <v>1</v>
      </c>
    </row>
    <row r="1002" spans="1:30">
      <c r="A1002" s="7">
        <f>MAX($A$1:$A1001)+1</f>
        <v>1001</v>
      </c>
      <c r="B1002" s="2" t="str">
        <f t="shared" si="112"/>
        <v>Em Lim</v>
      </c>
      <c r="C1002" s="2" t="str">
        <f t="shared" si="115"/>
        <v>Isabelle Cote</v>
      </c>
      <c r="D1002" s="2" t="str">
        <f t="shared" si="116"/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 t="shared" si="117"/>
        <v>19/05/2023</v>
      </c>
      <c r="I1002" s="2">
        <f t="shared" si="118"/>
        <v>3</v>
      </c>
      <c r="J1002" s="2">
        <f t="shared" si="113"/>
        <v>330</v>
      </c>
      <c r="K1002" s="6">
        <f t="shared" si="120"/>
        <v>0.4284722222222222</v>
      </c>
      <c r="L1002" s="2" t="str">
        <f t="shared" si="121"/>
        <v>JMS</v>
      </c>
      <c r="M1002" s="2">
        <f t="shared" si="122"/>
        <v>10</v>
      </c>
      <c r="N1002" s="2">
        <f>IF(ISERROR(N1001),IF(ISERROR(N1000),IF(ISERROR(N999),"BLANK",N999),N1000),N1001)</f>
        <v>0</v>
      </c>
      <c r="O1002" s="2">
        <f t="shared" si="123"/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 t="shared" si="114"/>
        <v>1</v>
      </c>
      <c r="T1002" s="2">
        <v>0</v>
      </c>
      <c r="Z1002" s="2">
        <v>1</v>
      </c>
    </row>
    <row r="1003" spans="1:30">
      <c r="A1003" s="7">
        <f>MAX($A$1:$A1002)+1</f>
        <v>1002</v>
      </c>
      <c r="B1003" s="2" t="str">
        <f t="shared" si="112"/>
        <v>Em Lim</v>
      </c>
      <c r="C1003" s="2" t="str">
        <f t="shared" si="115"/>
        <v>Isabelle Cote</v>
      </c>
      <c r="D1003" s="2" t="str">
        <f t="shared" si="116"/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 t="shared" si="117"/>
        <v>19/05/2023</v>
      </c>
      <c r="I1003" s="2">
        <f t="shared" si="118"/>
        <v>3</v>
      </c>
      <c r="J1003" s="2">
        <f t="shared" si="113"/>
        <v>330</v>
      </c>
      <c r="K1003" s="6">
        <f t="shared" si="120"/>
        <v>0.4284722222222222</v>
      </c>
      <c r="L1003" s="2" t="str">
        <f t="shared" si="121"/>
        <v>JMS</v>
      </c>
      <c r="M1003" s="2">
        <f t="shared" si="122"/>
        <v>10</v>
      </c>
      <c r="N1003" s="2">
        <f>IF(ISERROR(N1002),IF(ISERROR(N1001),IF(ISERROR(N1000),"BLANK",N1000),N1001),N1002)</f>
        <v>0</v>
      </c>
      <c r="O1003" s="2">
        <f t="shared" si="123"/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 t="shared" si="114"/>
        <v>1</v>
      </c>
      <c r="T1003" s="2">
        <v>0</v>
      </c>
      <c r="Z1003" s="2">
        <v>1</v>
      </c>
    </row>
    <row r="1004" spans="1:30">
      <c r="A1004" s="7">
        <f>MAX($A$1:$A1003)+1</f>
        <v>1003</v>
      </c>
      <c r="B1004" s="2" t="str">
        <f t="shared" si="112"/>
        <v>Em Lim</v>
      </c>
      <c r="C1004" s="2" t="str">
        <f t="shared" si="115"/>
        <v>Isabelle Cote</v>
      </c>
      <c r="D1004" s="2" t="str">
        <f t="shared" si="116"/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 t="shared" si="117"/>
        <v>19/05/2023</v>
      </c>
      <c r="I1004" s="2">
        <f t="shared" si="118"/>
        <v>3</v>
      </c>
      <c r="J1004" s="2">
        <f t="shared" si="113"/>
        <v>330</v>
      </c>
      <c r="K1004" s="6">
        <f t="shared" si="120"/>
        <v>0.4284722222222222</v>
      </c>
      <c r="L1004" s="2" t="str">
        <f t="shared" si="121"/>
        <v>JMS</v>
      </c>
      <c r="M1004" s="2">
        <f t="shared" si="122"/>
        <v>10</v>
      </c>
      <c r="N1004" s="2">
        <f>IF(ISERROR(N1003),IF(ISERROR(N1002),IF(ISERROR(N1001),"BLANK",N1001),N1002),N1003)</f>
        <v>0</v>
      </c>
      <c r="O1004" s="2">
        <f t="shared" si="123"/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 t="shared" si="114"/>
        <v>1</v>
      </c>
      <c r="T1004" s="2">
        <v>1</v>
      </c>
    </row>
    <row r="1005" spans="1:30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>
      <c r="A1214" s="7">
        <f>MAX($A$1:$A1213)+1</f>
        <v>1213</v>
      </c>
      <c r="B1214" s="2" t="str">
        <f t="shared" ref="B1214:B1243" si="125">IF(ISERROR(B1213),IF(ISERROR(B1212),IF(ISERROR(B1211),"BLANK",B1211),B1212),B1213)</f>
        <v>Em Lim</v>
      </c>
      <c r="C1214" s="2" t="str">
        <f t="shared" ref="C1214:C1243" si="126"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 t="shared" ref="H1214:H1243" si="127"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 t="shared" ref="L1214:L1243" si="128"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 t="shared" ref="S1214:S1243" si="129"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>
      <c r="A1215" s="7">
        <f>MAX($A$1:$A1214)+1</f>
        <v>1214</v>
      </c>
      <c r="B1215" s="2" t="str">
        <f t="shared" si="125"/>
        <v>Em Lim</v>
      </c>
      <c r="C1215" s="2" t="str">
        <f t="shared" si="126"/>
        <v>Isabelle Côté</v>
      </c>
      <c r="D1215" s="2" t="str">
        <f t="shared" ref="D1215:D1243" si="130"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 t="shared" si="127"/>
        <v>19/05/2023</v>
      </c>
      <c r="I1215" s="2">
        <f t="shared" ref="I1215:I1243" si="131">IF(ISERROR(I1214),IF(ISERROR(I1213),IF(ISERROR(I1212),"BLANK",I1212),I1213),I1214)</f>
        <v>1</v>
      </c>
      <c r="J1215" s="2">
        <f t="shared" ref="J1215:J1243" si="132">IF(ISERROR(J1214),IF(ISERROR(J1213),IF(ISERROR(J1212),"BLANK",J1212),J1213),J1214)</f>
        <v>270</v>
      </c>
      <c r="K1215" s="6">
        <f t="shared" ref="K1215:K1243" si="133">IF(ISERROR(K1214),IF(ISERROR(K1213),IF(ISERROR(K1212),"BLANK",K1212),K1213),K1214)</f>
        <v>0.52777777777777779</v>
      </c>
      <c r="L1215" s="2" t="str">
        <f t="shared" si="128"/>
        <v>EGL</v>
      </c>
      <c r="M1215" s="2">
        <f t="shared" ref="M1215:O1217" si="134">IF(ISERROR(M1214),IF(ISERROR(M1213),IF(ISERROR(M1212),"BLANK",M1212),M1213),M1214)</f>
        <v>7.5</v>
      </c>
      <c r="N1215" s="2">
        <f t="shared" si="134"/>
        <v>1</v>
      </c>
      <c r="O1215" s="2">
        <f t="shared" si="134"/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 t="shared" si="129"/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>
      <c r="A1216" s="7">
        <f>MAX($A$1:$A1215)+1</f>
        <v>1215</v>
      </c>
      <c r="B1216" s="2" t="str">
        <f t="shared" si="125"/>
        <v>Em Lim</v>
      </c>
      <c r="C1216" s="2" t="str">
        <f t="shared" si="126"/>
        <v>Isabelle Côté</v>
      </c>
      <c r="D1216" s="2" t="str">
        <f t="shared" si="130"/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 t="shared" si="127"/>
        <v>19/05/2023</v>
      </c>
      <c r="I1216" s="2">
        <f t="shared" si="131"/>
        <v>1</v>
      </c>
      <c r="J1216" s="2">
        <f t="shared" si="132"/>
        <v>270</v>
      </c>
      <c r="K1216" s="6">
        <f t="shared" si="133"/>
        <v>0.52777777777777779</v>
      </c>
      <c r="L1216" s="2" t="str">
        <f t="shared" si="128"/>
        <v>EGL</v>
      </c>
      <c r="M1216" s="2">
        <f t="shared" si="134"/>
        <v>7.5</v>
      </c>
      <c r="N1216" s="2">
        <f t="shared" si="134"/>
        <v>1</v>
      </c>
      <c r="O1216" s="2">
        <f t="shared" si="134"/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 t="shared" si="129"/>
        <v>1</v>
      </c>
      <c r="T1216" s="2">
        <v>0</v>
      </c>
      <c r="W1216" s="2">
        <v>1</v>
      </c>
    </row>
    <row r="1217" spans="1:31">
      <c r="A1217" s="7">
        <f>MAX($A$1:$A1216)+1</f>
        <v>1216</v>
      </c>
      <c r="B1217" s="2" t="str">
        <f t="shared" si="125"/>
        <v>Em Lim</v>
      </c>
      <c r="C1217" s="2" t="str">
        <f t="shared" si="126"/>
        <v>Isabelle Côté</v>
      </c>
      <c r="D1217" s="2" t="str">
        <f t="shared" si="130"/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 t="shared" si="127"/>
        <v>19/05/2023</v>
      </c>
      <c r="I1217" s="2">
        <f t="shared" si="131"/>
        <v>1</v>
      </c>
      <c r="J1217" s="2">
        <f t="shared" si="132"/>
        <v>270</v>
      </c>
      <c r="K1217" s="6">
        <f t="shared" si="133"/>
        <v>0.52777777777777779</v>
      </c>
      <c r="L1217" s="2" t="str">
        <f t="shared" si="128"/>
        <v>EGL</v>
      </c>
      <c r="M1217" s="2">
        <f t="shared" si="134"/>
        <v>7.5</v>
      </c>
      <c r="N1217" s="2">
        <f t="shared" si="134"/>
        <v>1</v>
      </c>
      <c r="O1217" s="2">
        <f t="shared" si="134"/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 t="shared" si="129"/>
        <v>1</v>
      </c>
      <c r="T1217" s="2">
        <v>0</v>
      </c>
      <c r="AE1217" s="2">
        <v>1</v>
      </c>
    </row>
    <row r="1218" spans="1:31">
      <c r="A1218" s="7">
        <f>MAX($A$1:$A1217)+1</f>
        <v>1217</v>
      </c>
      <c r="B1218" s="2" t="str">
        <f t="shared" si="125"/>
        <v>Em Lim</v>
      </c>
      <c r="C1218" s="2" t="str">
        <f t="shared" si="126"/>
        <v>Isabelle Côté</v>
      </c>
      <c r="D1218" s="2" t="str">
        <f t="shared" si="130"/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 t="shared" si="127"/>
        <v>19/05/2023</v>
      </c>
      <c r="I1218" s="2">
        <f t="shared" si="131"/>
        <v>1</v>
      </c>
      <c r="J1218" s="2">
        <f t="shared" si="132"/>
        <v>270</v>
      </c>
      <c r="K1218" s="6">
        <f t="shared" si="133"/>
        <v>0.52777777777777779</v>
      </c>
      <c r="L1218" s="2" t="str">
        <f t="shared" si="128"/>
        <v>EGL</v>
      </c>
      <c r="M1218" s="2">
        <f t="shared" ref="M1218:M1243" si="135">IF(ISERROR(M1217),IF(ISERROR(M1216),IF(ISERROR(M1215),"BLANK",M1215),M1216),M1217)</f>
        <v>7.5</v>
      </c>
      <c r="N1218" s="2">
        <v>2</v>
      </c>
      <c r="O1218" s="2">
        <f t="shared" ref="O1218:O1242" si="136"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 t="shared" si="129"/>
        <v>5</v>
      </c>
      <c r="T1218" s="2">
        <v>5</v>
      </c>
    </row>
    <row r="1219" spans="1:31">
      <c r="A1219" s="7">
        <f>MAX($A$1:$A1218)+1</f>
        <v>1218</v>
      </c>
      <c r="B1219" s="2" t="str">
        <f t="shared" si="125"/>
        <v>Em Lim</v>
      </c>
      <c r="C1219" s="2" t="str">
        <f t="shared" si="126"/>
        <v>Isabelle Côté</v>
      </c>
      <c r="D1219" s="2" t="str">
        <f t="shared" si="130"/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 t="shared" si="127"/>
        <v>19/05/2023</v>
      </c>
      <c r="I1219" s="2">
        <f t="shared" si="131"/>
        <v>1</v>
      </c>
      <c r="J1219" s="2">
        <f t="shared" si="132"/>
        <v>270</v>
      </c>
      <c r="K1219" s="6">
        <f t="shared" si="133"/>
        <v>0.52777777777777779</v>
      </c>
      <c r="L1219" s="2" t="str">
        <f t="shared" si="128"/>
        <v>EGL</v>
      </c>
      <c r="M1219" s="2">
        <f t="shared" si="135"/>
        <v>7.5</v>
      </c>
      <c r="N1219" s="2">
        <f t="shared" ref="N1219:N1226" si="137">IF(ISERROR(N1218),IF(ISERROR(N1217),IF(ISERROR(N1216),"BLANK",N1216),N1217),N1218)</f>
        <v>2</v>
      </c>
      <c r="O1219" s="2">
        <f t="shared" si="136"/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 t="shared" si="129"/>
        <v>10</v>
      </c>
      <c r="T1219" s="2">
        <v>0</v>
      </c>
      <c r="U1219" s="2">
        <v>9</v>
      </c>
      <c r="V1219" s="2">
        <v>1</v>
      </c>
    </row>
    <row r="1220" spans="1:31">
      <c r="A1220" s="7">
        <f>MAX($A$1:$A1219)+1</f>
        <v>1219</v>
      </c>
      <c r="B1220" s="2" t="str">
        <f t="shared" si="125"/>
        <v>Em Lim</v>
      </c>
      <c r="C1220" s="2" t="str">
        <f t="shared" si="126"/>
        <v>Isabelle Côté</v>
      </c>
      <c r="D1220" s="2" t="str">
        <f t="shared" si="130"/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 t="shared" si="127"/>
        <v>19/05/2023</v>
      </c>
      <c r="I1220" s="2">
        <f t="shared" si="131"/>
        <v>1</v>
      </c>
      <c r="J1220" s="2">
        <f t="shared" si="132"/>
        <v>270</v>
      </c>
      <c r="K1220" s="6">
        <f t="shared" si="133"/>
        <v>0.52777777777777779</v>
      </c>
      <c r="L1220" s="2" t="str">
        <f t="shared" si="128"/>
        <v>EGL</v>
      </c>
      <c r="M1220" s="2">
        <f t="shared" si="135"/>
        <v>7.5</v>
      </c>
      <c r="N1220" s="2">
        <f t="shared" si="137"/>
        <v>2</v>
      </c>
      <c r="O1220" s="2">
        <f t="shared" si="136"/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 t="shared" si="129"/>
        <v>460</v>
      </c>
      <c r="T1220" s="2">
        <v>460</v>
      </c>
    </row>
    <row r="1221" spans="1:31">
      <c r="A1221" s="7">
        <f>MAX($A$1:$A1220)+1</f>
        <v>1220</v>
      </c>
      <c r="B1221" s="2" t="str">
        <f t="shared" si="125"/>
        <v>Em Lim</v>
      </c>
      <c r="C1221" s="2" t="str">
        <f t="shared" si="126"/>
        <v>Isabelle Côté</v>
      </c>
      <c r="D1221" s="2" t="str">
        <f t="shared" si="130"/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 t="shared" si="127"/>
        <v>19/05/2023</v>
      </c>
      <c r="I1221" s="2">
        <f t="shared" si="131"/>
        <v>1</v>
      </c>
      <c r="J1221" s="2">
        <f t="shared" si="132"/>
        <v>270</v>
      </c>
      <c r="K1221" s="6">
        <f t="shared" si="133"/>
        <v>0.52777777777777779</v>
      </c>
      <c r="L1221" s="2" t="str">
        <f t="shared" si="128"/>
        <v>EGL</v>
      </c>
      <c r="M1221" s="2">
        <f t="shared" si="135"/>
        <v>7.5</v>
      </c>
      <c r="N1221" s="2">
        <f t="shared" si="137"/>
        <v>2</v>
      </c>
      <c r="O1221" s="2">
        <f t="shared" si="136"/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 t="shared" si="129"/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>
      <c r="A1222" s="7">
        <f>MAX($A$1:$A1221)+1</f>
        <v>1221</v>
      </c>
      <c r="B1222" s="2" t="str">
        <f t="shared" si="125"/>
        <v>Em Lim</v>
      </c>
      <c r="C1222" s="2" t="str">
        <f t="shared" si="126"/>
        <v>Isabelle Côté</v>
      </c>
      <c r="D1222" s="2" t="str">
        <f t="shared" si="130"/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 t="shared" si="127"/>
        <v>19/05/2023</v>
      </c>
      <c r="I1222" s="2">
        <f t="shared" si="131"/>
        <v>1</v>
      </c>
      <c r="J1222" s="2">
        <f t="shared" si="132"/>
        <v>270</v>
      </c>
      <c r="K1222" s="6">
        <f t="shared" si="133"/>
        <v>0.52777777777777779</v>
      </c>
      <c r="L1222" s="2" t="str">
        <f t="shared" si="128"/>
        <v>EGL</v>
      </c>
      <c r="M1222" s="2">
        <f t="shared" si="135"/>
        <v>7.5</v>
      </c>
      <c r="N1222" s="2">
        <f t="shared" si="137"/>
        <v>2</v>
      </c>
      <c r="O1222" s="2">
        <f t="shared" si="136"/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 t="shared" si="129"/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>
      <c r="A1223" s="7">
        <f>MAX($A$1:$A1222)+1</f>
        <v>1222</v>
      </c>
      <c r="B1223" s="2" t="str">
        <f t="shared" si="125"/>
        <v>Em Lim</v>
      </c>
      <c r="C1223" s="2" t="str">
        <f t="shared" si="126"/>
        <v>Isabelle Côté</v>
      </c>
      <c r="D1223" s="2" t="str">
        <f t="shared" si="130"/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 t="shared" si="127"/>
        <v>19/05/2023</v>
      </c>
      <c r="I1223" s="2">
        <f t="shared" si="131"/>
        <v>1</v>
      </c>
      <c r="J1223" s="2">
        <f t="shared" si="132"/>
        <v>270</v>
      </c>
      <c r="K1223" s="6">
        <f t="shared" si="133"/>
        <v>0.52777777777777779</v>
      </c>
      <c r="L1223" s="2" t="str">
        <f t="shared" si="128"/>
        <v>EGL</v>
      </c>
      <c r="M1223" s="2">
        <f t="shared" si="135"/>
        <v>7.5</v>
      </c>
      <c r="N1223" s="2">
        <f t="shared" si="137"/>
        <v>2</v>
      </c>
      <c r="O1223" s="2">
        <f t="shared" si="136"/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 t="shared" si="129"/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>
      <c r="A1224" s="7">
        <f>MAX($A$1:$A1223)+1</f>
        <v>1223</v>
      </c>
      <c r="B1224" s="2" t="str">
        <f t="shared" si="125"/>
        <v>Em Lim</v>
      </c>
      <c r="C1224" s="2" t="str">
        <f t="shared" si="126"/>
        <v>Isabelle Côté</v>
      </c>
      <c r="D1224" s="2" t="str">
        <f t="shared" si="130"/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 t="shared" si="127"/>
        <v>19/05/2023</v>
      </c>
      <c r="I1224" s="2">
        <f t="shared" si="131"/>
        <v>1</v>
      </c>
      <c r="J1224" s="2">
        <f t="shared" si="132"/>
        <v>270</v>
      </c>
      <c r="K1224" s="6">
        <f t="shared" si="133"/>
        <v>0.52777777777777779</v>
      </c>
      <c r="L1224" s="2" t="str">
        <f t="shared" si="128"/>
        <v>EGL</v>
      </c>
      <c r="M1224" s="2">
        <f t="shared" si="135"/>
        <v>7.5</v>
      </c>
      <c r="N1224" s="2">
        <f t="shared" si="137"/>
        <v>2</v>
      </c>
      <c r="O1224" s="2">
        <f t="shared" si="136"/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 t="shared" si="129"/>
        <v>12</v>
      </c>
      <c r="T1224" s="2">
        <v>12</v>
      </c>
    </row>
    <row r="1225" spans="1:31">
      <c r="A1225" s="7">
        <f>MAX($A$1:$A1224)+1</f>
        <v>1224</v>
      </c>
      <c r="B1225" s="2" t="str">
        <f t="shared" si="125"/>
        <v>Em Lim</v>
      </c>
      <c r="C1225" s="2" t="str">
        <f t="shared" si="126"/>
        <v>Isabelle Côté</v>
      </c>
      <c r="D1225" s="2" t="str">
        <f t="shared" si="130"/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 t="shared" si="127"/>
        <v>19/05/2023</v>
      </c>
      <c r="I1225" s="2">
        <f t="shared" si="131"/>
        <v>1</v>
      </c>
      <c r="J1225" s="2">
        <f t="shared" si="132"/>
        <v>270</v>
      </c>
      <c r="K1225" s="6">
        <f t="shared" si="133"/>
        <v>0.52777777777777779</v>
      </c>
      <c r="L1225" s="2" t="str">
        <f t="shared" si="128"/>
        <v>EGL</v>
      </c>
      <c r="M1225" s="2">
        <f t="shared" si="135"/>
        <v>7.5</v>
      </c>
      <c r="N1225" s="2">
        <f t="shared" si="137"/>
        <v>2</v>
      </c>
      <c r="O1225" s="2">
        <f t="shared" si="136"/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 t="shared" si="129"/>
        <v>11</v>
      </c>
      <c r="T1225" s="2">
        <v>11</v>
      </c>
    </row>
    <row r="1226" spans="1:31">
      <c r="A1226" s="7">
        <f>MAX($A$1:$A1225)+1</f>
        <v>1225</v>
      </c>
      <c r="B1226" s="2" t="str">
        <f t="shared" si="125"/>
        <v>Em Lim</v>
      </c>
      <c r="C1226" s="2" t="str">
        <f t="shared" si="126"/>
        <v>Isabelle Côté</v>
      </c>
      <c r="D1226" s="2" t="str">
        <f t="shared" si="130"/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 t="shared" si="127"/>
        <v>19/05/2023</v>
      </c>
      <c r="I1226" s="2">
        <f t="shared" si="131"/>
        <v>1</v>
      </c>
      <c r="J1226" s="2">
        <f t="shared" si="132"/>
        <v>270</v>
      </c>
      <c r="K1226" s="6">
        <f t="shared" si="133"/>
        <v>0.52777777777777779</v>
      </c>
      <c r="L1226" s="2" t="str">
        <f t="shared" si="128"/>
        <v>EGL</v>
      </c>
      <c r="M1226" s="2">
        <f t="shared" si="135"/>
        <v>7.5</v>
      </c>
      <c r="N1226" s="2">
        <f t="shared" si="137"/>
        <v>2</v>
      </c>
      <c r="O1226" s="2">
        <f t="shared" si="136"/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 t="shared" si="129"/>
        <v>1</v>
      </c>
      <c r="T1226" s="2">
        <v>1</v>
      </c>
    </row>
    <row r="1227" spans="1:31">
      <c r="A1227" s="7">
        <f>MAX($A$1:$A1226)+1</f>
        <v>1226</v>
      </c>
      <c r="B1227" s="2" t="str">
        <f t="shared" si="125"/>
        <v>Em Lim</v>
      </c>
      <c r="C1227" s="2" t="str">
        <f t="shared" si="126"/>
        <v>Isabelle Côté</v>
      </c>
      <c r="D1227" s="2" t="str">
        <f t="shared" si="130"/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 t="shared" si="127"/>
        <v>19/05/2023</v>
      </c>
      <c r="I1227" s="2">
        <f t="shared" si="131"/>
        <v>1</v>
      </c>
      <c r="J1227" s="2">
        <f t="shared" si="132"/>
        <v>270</v>
      </c>
      <c r="K1227" s="6">
        <f t="shared" si="133"/>
        <v>0.52777777777777779</v>
      </c>
      <c r="L1227" s="2" t="str">
        <f t="shared" si="128"/>
        <v>EGL</v>
      </c>
      <c r="M1227" s="2">
        <f t="shared" si="135"/>
        <v>7.5</v>
      </c>
      <c r="N1227" s="2">
        <v>0</v>
      </c>
      <c r="O1227" s="2">
        <f t="shared" si="136"/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 t="shared" si="129"/>
        <v>2</v>
      </c>
      <c r="T1227" s="2">
        <v>0</v>
      </c>
      <c r="Z1227" s="2">
        <v>1</v>
      </c>
      <c r="AA1227" s="2">
        <v>1</v>
      </c>
    </row>
    <row r="1228" spans="1:31">
      <c r="A1228" s="7">
        <f>MAX($A$1:$A1227)+1</f>
        <v>1227</v>
      </c>
      <c r="B1228" s="2" t="str">
        <f t="shared" si="125"/>
        <v>Em Lim</v>
      </c>
      <c r="C1228" s="2" t="str">
        <f t="shared" si="126"/>
        <v>Isabelle Côté</v>
      </c>
      <c r="D1228" s="2" t="str">
        <f t="shared" si="130"/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 t="shared" si="127"/>
        <v>19/05/2023</v>
      </c>
      <c r="I1228" s="2">
        <f t="shared" si="131"/>
        <v>1</v>
      </c>
      <c r="J1228" s="2">
        <f t="shared" si="132"/>
        <v>270</v>
      </c>
      <c r="K1228" s="6">
        <f t="shared" si="133"/>
        <v>0.52777777777777779</v>
      </c>
      <c r="L1228" s="2" t="str">
        <f t="shared" si="128"/>
        <v>EGL</v>
      </c>
      <c r="M1228" s="2">
        <f t="shared" si="135"/>
        <v>7.5</v>
      </c>
      <c r="N1228" s="2">
        <v>2</v>
      </c>
      <c r="O1228" s="2">
        <f t="shared" si="136"/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 t="shared" si="129"/>
        <v>2</v>
      </c>
      <c r="T1228" s="2">
        <v>0</v>
      </c>
      <c r="W1228" s="2">
        <v>1</v>
      </c>
      <c r="X1228" s="2">
        <v>1</v>
      </c>
    </row>
    <row r="1229" spans="1:31">
      <c r="A1229" s="7">
        <f>MAX($A$1:$A1228)+1</f>
        <v>1228</v>
      </c>
      <c r="B1229" s="2" t="str">
        <f t="shared" si="125"/>
        <v>Em Lim</v>
      </c>
      <c r="C1229" s="2" t="str">
        <f t="shared" si="126"/>
        <v>Isabelle Côté</v>
      </c>
      <c r="D1229" s="2" t="str">
        <f t="shared" si="130"/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 t="shared" si="127"/>
        <v>19/05/2023</v>
      </c>
      <c r="I1229" s="2">
        <f t="shared" si="131"/>
        <v>1</v>
      </c>
      <c r="J1229" s="2">
        <f t="shared" si="132"/>
        <v>270</v>
      </c>
      <c r="K1229" s="6">
        <f t="shared" si="133"/>
        <v>0.52777777777777779</v>
      </c>
      <c r="L1229" s="2" t="str">
        <f t="shared" si="128"/>
        <v>EGL</v>
      </c>
      <c r="M1229" s="2">
        <f t="shared" si="135"/>
        <v>7.5</v>
      </c>
      <c r="N1229" s="2">
        <f t="shared" ref="N1229:N1242" si="138">IF(ISERROR(N1228),IF(ISERROR(N1227),IF(ISERROR(N1226),"BLANK",N1226),N1227),N1228)</f>
        <v>2</v>
      </c>
      <c r="O1229" s="2">
        <f t="shared" si="136"/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 t="shared" si="129"/>
        <v>21</v>
      </c>
      <c r="T1229" s="2">
        <v>21</v>
      </c>
    </row>
    <row r="1230" spans="1:31">
      <c r="A1230" s="7">
        <f>MAX($A$1:$A1229)+1</f>
        <v>1229</v>
      </c>
      <c r="B1230" s="2" t="str">
        <f t="shared" si="125"/>
        <v>Em Lim</v>
      </c>
      <c r="C1230" s="2" t="str">
        <f t="shared" si="126"/>
        <v>Isabelle Côté</v>
      </c>
      <c r="D1230" s="2" t="str">
        <f t="shared" si="130"/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 t="shared" si="127"/>
        <v>19/05/2023</v>
      </c>
      <c r="I1230" s="2">
        <f t="shared" si="131"/>
        <v>1</v>
      </c>
      <c r="J1230" s="2">
        <f t="shared" si="132"/>
        <v>270</v>
      </c>
      <c r="K1230" s="6">
        <f t="shared" si="133"/>
        <v>0.52777777777777779</v>
      </c>
      <c r="L1230" s="2" t="str">
        <f t="shared" si="128"/>
        <v>EGL</v>
      </c>
      <c r="M1230" s="2">
        <f t="shared" si="135"/>
        <v>7.5</v>
      </c>
      <c r="N1230" s="2">
        <f t="shared" si="138"/>
        <v>2</v>
      </c>
      <c r="O1230" s="2">
        <f t="shared" si="136"/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 t="shared" si="129"/>
        <v>1</v>
      </c>
      <c r="T1230" s="2">
        <v>1</v>
      </c>
    </row>
    <row r="1231" spans="1:31">
      <c r="A1231" s="7">
        <f>MAX($A$1:$A1230)+1</f>
        <v>1230</v>
      </c>
      <c r="B1231" s="2" t="str">
        <f t="shared" si="125"/>
        <v>Em Lim</v>
      </c>
      <c r="C1231" s="2" t="str">
        <f t="shared" si="126"/>
        <v>Isabelle Côté</v>
      </c>
      <c r="D1231" s="2" t="str">
        <f t="shared" si="130"/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 t="shared" si="127"/>
        <v>19/05/2023</v>
      </c>
      <c r="I1231" s="2">
        <f t="shared" si="131"/>
        <v>1</v>
      </c>
      <c r="J1231" s="2">
        <f t="shared" si="132"/>
        <v>270</v>
      </c>
      <c r="K1231" s="6">
        <f t="shared" si="133"/>
        <v>0.52777777777777779</v>
      </c>
      <c r="L1231" s="2" t="str">
        <f t="shared" si="128"/>
        <v>EGL</v>
      </c>
      <c r="M1231" s="2">
        <f t="shared" si="135"/>
        <v>7.5</v>
      </c>
      <c r="N1231" s="2">
        <f t="shared" si="138"/>
        <v>2</v>
      </c>
      <c r="O1231" s="2">
        <f t="shared" si="136"/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 t="shared" si="129"/>
        <v>28</v>
      </c>
      <c r="T1231" s="2">
        <v>28</v>
      </c>
    </row>
    <row r="1232" spans="1:31">
      <c r="A1232" s="7">
        <f>MAX($A$1:$A1231)+1</f>
        <v>1231</v>
      </c>
      <c r="B1232" s="2" t="str">
        <f t="shared" si="125"/>
        <v>Em Lim</v>
      </c>
      <c r="C1232" s="2" t="str">
        <f t="shared" si="126"/>
        <v>Isabelle Côté</v>
      </c>
      <c r="D1232" s="2" t="str">
        <f t="shared" si="130"/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 t="shared" si="127"/>
        <v>19/05/2023</v>
      </c>
      <c r="I1232" s="2">
        <f t="shared" si="131"/>
        <v>1</v>
      </c>
      <c r="J1232" s="2">
        <f t="shared" si="132"/>
        <v>270</v>
      </c>
      <c r="K1232" s="6">
        <f t="shared" si="133"/>
        <v>0.52777777777777779</v>
      </c>
      <c r="L1232" s="2" t="str">
        <f t="shared" si="128"/>
        <v>EGL</v>
      </c>
      <c r="M1232" s="2">
        <f t="shared" si="135"/>
        <v>7.5</v>
      </c>
      <c r="N1232" s="2">
        <f t="shared" si="138"/>
        <v>2</v>
      </c>
      <c r="O1232" s="2">
        <f t="shared" si="136"/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 t="shared" si="129"/>
        <v>7</v>
      </c>
      <c r="T1232" s="2">
        <v>7</v>
      </c>
    </row>
    <row r="1233" spans="1:29">
      <c r="A1233" s="7">
        <f>MAX($A$1:$A1232)+1</f>
        <v>1232</v>
      </c>
      <c r="B1233" s="2" t="str">
        <f t="shared" si="125"/>
        <v>Em Lim</v>
      </c>
      <c r="C1233" s="2" t="str">
        <f t="shared" si="126"/>
        <v>Isabelle Côté</v>
      </c>
      <c r="D1233" s="2" t="str">
        <f t="shared" si="130"/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 t="shared" si="127"/>
        <v>19/05/2023</v>
      </c>
      <c r="I1233" s="2">
        <f t="shared" si="131"/>
        <v>1</v>
      </c>
      <c r="J1233" s="2">
        <f t="shared" si="132"/>
        <v>270</v>
      </c>
      <c r="K1233" s="6">
        <f t="shared" si="133"/>
        <v>0.52777777777777779</v>
      </c>
      <c r="L1233" s="2" t="str">
        <f t="shared" si="128"/>
        <v>EGL</v>
      </c>
      <c r="M1233" s="2">
        <f t="shared" si="135"/>
        <v>7.5</v>
      </c>
      <c r="N1233" s="2">
        <f t="shared" si="138"/>
        <v>2</v>
      </c>
      <c r="O1233" s="2">
        <f t="shared" si="136"/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 t="shared" si="129"/>
        <v>41</v>
      </c>
      <c r="T1233" s="2">
        <v>41</v>
      </c>
    </row>
    <row r="1234" spans="1:29">
      <c r="A1234" s="7">
        <f>MAX($A$1:$A1233)+1</f>
        <v>1233</v>
      </c>
      <c r="B1234" s="2" t="str">
        <f t="shared" si="125"/>
        <v>Em Lim</v>
      </c>
      <c r="C1234" s="2" t="str">
        <f t="shared" si="126"/>
        <v>Isabelle Côté</v>
      </c>
      <c r="D1234" s="2" t="str">
        <f t="shared" si="130"/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 t="shared" si="127"/>
        <v>19/05/2023</v>
      </c>
      <c r="I1234" s="2">
        <f t="shared" si="131"/>
        <v>1</v>
      </c>
      <c r="J1234" s="2">
        <f t="shared" si="132"/>
        <v>270</v>
      </c>
      <c r="K1234" s="6">
        <f t="shared" si="133"/>
        <v>0.52777777777777779</v>
      </c>
      <c r="L1234" s="2" t="str">
        <f t="shared" si="128"/>
        <v>EGL</v>
      </c>
      <c r="M1234" s="2">
        <f t="shared" si="135"/>
        <v>7.5</v>
      </c>
      <c r="N1234" s="2">
        <f t="shared" si="138"/>
        <v>2</v>
      </c>
      <c r="O1234" s="2">
        <f t="shared" si="136"/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 t="shared" si="129"/>
        <v>4</v>
      </c>
      <c r="T1234" s="2">
        <v>0</v>
      </c>
      <c r="U1234" s="2">
        <v>2</v>
      </c>
      <c r="V1234" s="2">
        <v>2</v>
      </c>
    </row>
    <row r="1235" spans="1:29">
      <c r="A1235" s="7">
        <f>MAX($A$1:$A1234)+1</f>
        <v>1234</v>
      </c>
      <c r="B1235" s="2" t="str">
        <f t="shared" si="125"/>
        <v>Em Lim</v>
      </c>
      <c r="C1235" s="2" t="str">
        <f t="shared" si="126"/>
        <v>Isabelle Côté</v>
      </c>
      <c r="D1235" s="2" t="str">
        <f t="shared" si="130"/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 t="shared" si="127"/>
        <v>19/05/2023</v>
      </c>
      <c r="I1235" s="2">
        <f t="shared" si="131"/>
        <v>1</v>
      </c>
      <c r="J1235" s="2">
        <f t="shared" si="132"/>
        <v>270</v>
      </c>
      <c r="K1235" s="6">
        <f t="shared" si="133"/>
        <v>0.52777777777777779</v>
      </c>
      <c r="L1235" s="2" t="str">
        <f t="shared" si="128"/>
        <v>EGL</v>
      </c>
      <c r="M1235" s="2">
        <f t="shared" si="135"/>
        <v>7.5</v>
      </c>
      <c r="N1235" s="2">
        <f t="shared" si="138"/>
        <v>2</v>
      </c>
      <c r="O1235" s="2">
        <f t="shared" si="136"/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 t="shared" si="129"/>
        <v>18</v>
      </c>
      <c r="T1235" s="2">
        <v>18</v>
      </c>
    </row>
    <row r="1236" spans="1:29">
      <c r="A1236" s="7">
        <f>MAX($A$1:$A1235)+1</f>
        <v>1235</v>
      </c>
      <c r="B1236" s="2" t="str">
        <f t="shared" si="125"/>
        <v>Em Lim</v>
      </c>
      <c r="C1236" s="2" t="str">
        <f t="shared" si="126"/>
        <v>Isabelle Côté</v>
      </c>
      <c r="D1236" s="2" t="str">
        <f t="shared" si="130"/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 t="shared" si="127"/>
        <v>19/05/2023</v>
      </c>
      <c r="I1236" s="2">
        <f t="shared" si="131"/>
        <v>1</v>
      </c>
      <c r="J1236" s="2">
        <f t="shared" si="132"/>
        <v>270</v>
      </c>
      <c r="K1236" s="6">
        <f t="shared" si="133"/>
        <v>0.52777777777777779</v>
      </c>
      <c r="L1236" s="2" t="str">
        <f t="shared" si="128"/>
        <v>EGL</v>
      </c>
      <c r="M1236" s="2">
        <f t="shared" si="135"/>
        <v>7.5</v>
      </c>
      <c r="N1236" s="2">
        <f t="shared" si="138"/>
        <v>2</v>
      </c>
      <c r="O1236" s="2">
        <f t="shared" si="136"/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 t="shared" si="129"/>
        <v>6</v>
      </c>
      <c r="T1236" s="2">
        <v>6</v>
      </c>
    </row>
    <row r="1237" spans="1:29">
      <c r="A1237" s="7">
        <f>MAX($A$1:$A1236)+1</f>
        <v>1236</v>
      </c>
      <c r="B1237" s="2" t="str">
        <f t="shared" si="125"/>
        <v>Em Lim</v>
      </c>
      <c r="C1237" s="2" t="str">
        <f t="shared" si="126"/>
        <v>Isabelle Côté</v>
      </c>
      <c r="D1237" s="2" t="str">
        <f t="shared" si="130"/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 t="shared" si="127"/>
        <v>19/05/2023</v>
      </c>
      <c r="I1237" s="2">
        <f t="shared" si="131"/>
        <v>1</v>
      </c>
      <c r="J1237" s="2">
        <f t="shared" si="132"/>
        <v>270</v>
      </c>
      <c r="K1237" s="6">
        <f t="shared" si="133"/>
        <v>0.52777777777777779</v>
      </c>
      <c r="L1237" s="2" t="str">
        <f t="shared" si="128"/>
        <v>EGL</v>
      </c>
      <c r="M1237" s="2">
        <f t="shared" si="135"/>
        <v>7.5</v>
      </c>
      <c r="N1237" s="2">
        <f t="shared" si="138"/>
        <v>2</v>
      </c>
      <c r="O1237" s="2">
        <f t="shared" si="136"/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 t="shared" si="129"/>
        <v>1</v>
      </c>
      <c r="T1237" s="2">
        <v>1</v>
      </c>
    </row>
    <row r="1238" spans="1:29">
      <c r="A1238" s="7">
        <f>MAX($A$1:$A1237)+1</f>
        <v>1237</v>
      </c>
      <c r="B1238" s="2" t="str">
        <f t="shared" si="125"/>
        <v>Em Lim</v>
      </c>
      <c r="C1238" s="2" t="str">
        <f t="shared" si="126"/>
        <v>Isabelle Côté</v>
      </c>
      <c r="D1238" s="2" t="str">
        <f t="shared" si="130"/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 t="shared" si="127"/>
        <v>19/05/2023</v>
      </c>
      <c r="I1238" s="2">
        <f t="shared" si="131"/>
        <v>1</v>
      </c>
      <c r="J1238" s="2">
        <f t="shared" si="132"/>
        <v>270</v>
      </c>
      <c r="K1238" s="6">
        <f t="shared" si="133"/>
        <v>0.52777777777777779</v>
      </c>
      <c r="L1238" s="2" t="str">
        <f t="shared" si="128"/>
        <v>EGL</v>
      </c>
      <c r="M1238" s="2">
        <f t="shared" si="135"/>
        <v>7.5</v>
      </c>
      <c r="N1238" s="2">
        <f t="shared" si="138"/>
        <v>2</v>
      </c>
      <c r="O1238" s="2">
        <f t="shared" si="136"/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 t="shared" si="129"/>
        <v>1</v>
      </c>
      <c r="T1238" s="2">
        <v>1</v>
      </c>
    </row>
    <row r="1239" spans="1:29">
      <c r="A1239" s="7">
        <f>MAX($A$1:$A1238)+1</f>
        <v>1238</v>
      </c>
      <c r="B1239" s="2" t="str">
        <f t="shared" si="125"/>
        <v>Em Lim</v>
      </c>
      <c r="C1239" s="2" t="str">
        <f t="shared" si="126"/>
        <v>Isabelle Côté</v>
      </c>
      <c r="D1239" s="2" t="str">
        <f t="shared" si="130"/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 t="shared" si="127"/>
        <v>19/05/2023</v>
      </c>
      <c r="I1239" s="2">
        <f t="shared" si="131"/>
        <v>1</v>
      </c>
      <c r="J1239" s="2">
        <f t="shared" si="132"/>
        <v>270</v>
      </c>
      <c r="K1239" s="6">
        <f t="shared" si="133"/>
        <v>0.52777777777777779</v>
      </c>
      <c r="L1239" s="2" t="str">
        <f t="shared" si="128"/>
        <v>EGL</v>
      </c>
      <c r="M1239" s="2">
        <f t="shared" si="135"/>
        <v>7.5</v>
      </c>
      <c r="N1239" s="2">
        <f t="shared" si="138"/>
        <v>2</v>
      </c>
      <c r="O1239" s="2">
        <f t="shared" si="136"/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 t="shared" si="129"/>
        <v>1</v>
      </c>
      <c r="T1239" s="2">
        <v>1</v>
      </c>
    </row>
    <row r="1240" spans="1:29">
      <c r="A1240" s="7">
        <f>MAX($A$1:$A1239)+1</f>
        <v>1239</v>
      </c>
      <c r="B1240" s="2" t="str">
        <f t="shared" si="125"/>
        <v>Em Lim</v>
      </c>
      <c r="C1240" s="2" t="str">
        <f t="shared" si="126"/>
        <v>Isabelle Côté</v>
      </c>
      <c r="D1240" s="2" t="str">
        <f t="shared" si="130"/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 t="shared" si="127"/>
        <v>19/05/2023</v>
      </c>
      <c r="I1240" s="2">
        <f t="shared" si="131"/>
        <v>1</v>
      </c>
      <c r="J1240" s="2">
        <f t="shared" si="132"/>
        <v>270</v>
      </c>
      <c r="K1240" s="6">
        <f t="shared" si="133"/>
        <v>0.52777777777777779</v>
      </c>
      <c r="L1240" s="2" t="str">
        <f t="shared" si="128"/>
        <v>EGL</v>
      </c>
      <c r="M1240" s="2">
        <f t="shared" si="135"/>
        <v>7.5</v>
      </c>
      <c r="N1240" s="2">
        <f t="shared" si="138"/>
        <v>2</v>
      </c>
      <c r="O1240" s="2">
        <f t="shared" si="136"/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 t="shared" si="129"/>
        <v>1</v>
      </c>
      <c r="T1240" s="2">
        <v>1</v>
      </c>
    </row>
    <row r="1241" spans="1:29">
      <c r="A1241" s="7">
        <f>MAX($A$1:$A1240)+1</f>
        <v>1240</v>
      </c>
      <c r="B1241" s="2" t="str">
        <f t="shared" si="125"/>
        <v>Em Lim</v>
      </c>
      <c r="C1241" s="2" t="str">
        <f t="shared" si="126"/>
        <v>Isabelle Côté</v>
      </c>
      <c r="D1241" s="2" t="str">
        <f t="shared" si="130"/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 t="shared" si="127"/>
        <v>19/05/2023</v>
      </c>
      <c r="I1241" s="2">
        <f t="shared" si="131"/>
        <v>1</v>
      </c>
      <c r="J1241" s="2">
        <f t="shared" si="132"/>
        <v>270</v>
      </c>
      <c r="K1241" s="6">
        <f t="shared" si="133"/>
        <v>0.52777777777777779</v>
      </c>
      <c r="L1241" s="2" t="str">
        <f t="shared" si="128"/>
        <v>EGL</v>
      </c>
      <c r="M1241" s="2">
        <f t="shared" si="135"/>
        <v>7.5</v>
      </c>
      <c r="N1241" s="2">
        <f t="shared" si="138"/>
        <v>2</v>
      </c>
      <c r="O1241" s="2">
        <f t="shared" si="136"/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 t="shared" si="129"/>
        <v>1</v>
      </c>
      <c r="T1241" s="2">
        <v>1</v>
      </c>
    </row>
    <row r="1242" spans="1:29">
      <c r="A1242" s="7">
        <f>MAX($A$1:$A1241)+1</f>
        <v>1241</v>
      </c>
      <c r="B1242" s="2" t="str">
        <f t="shared" si="125"/>
        <v>Em Lim</v>
      </c>
      <c r="C1242" s="2" t="str">
        <f t="shared" si="126"/>
        <v>Isabelle Côté</v>
      </c>
      <c r="D1242" s="2" t="str">
        <f t="shared" si="130"/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 t="shared" si="127"/>
        <v>19/05/2023</v>
      </c>
      <c r="I1242" s="2">
        <f t="shared" si="131"/>
        <v>1</v>
      </c>
      <c r="J1242" s="2">
        <f t="shared" si="132"/>
        <v>270</v>
      </c>
      <c r="K1242" s="6">
        <f t="shared" si="133"/>
        <v>0.52777777777777779</v>
      </c>
      <c r="L1242" s="2" t="str">
        <f t="shared" si="128"/>
        <v>EGL</v>
      </c>
      <c r="M1242" s="2">
        <f t="shared" si="135"/>
        <v>7.5</v>
      </c>
      <c r="N1242" s="2">
        <f t="shared" si="138"/>
        <v>2</v>
      </c>
      <c r="O1242" s="2">
        <f t="shared" si="136"/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 t="shared" si="129"/>
        <v>1</v>
      </c>
      <c r="T1242" s="2">
        <v>1</v>
      </c>
    </row>
    <row r="1243" spans="1:29">
      <c r="A1243" s="7">
        <f>MAX($A$1:$A1242)+1</f>
        <v>1242</v>
      </c>
      <c r="B1243" s="2" t="str">
        <f t="shared" si="125"/>
        <v>Em Lim</v>
      </c>
      <c r="C1243" s="2" t="str">
        <f t="shared" si="126"/>
        <v>Isabelle Côté</v>
      </c>
      <c r="D1243" s="2" t="str">
        <f t="shared" si="130"/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 t="shared" si="127"/>
        <v>19/05/2023</v>
      </c>
      <c r="I1243" s="2">
        <f t="shared" si="131"/>
        <v>1</v>
      </c>
      <c r="J1243" s="2">
        <f t="shared" si="132"/>
        <v>270</v>
      </c>
      <c r="K1243" s="6">
        <f t="shared" si="133"/>
        <v>0.52777777777777779</v>
      </c>
      <c r="L1243" s="2" t="str">
        <f t="shared" si="128"/>
        <v>EGL</v>
      </c>
      <c r="M1243" s="2">
        <f t="shared" si="135"/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 t="shared" si="129"/>
        <v>3</v>
      </c>
      <c r="T1243" s="2">
        <v>0</v>
      </c>
      <c r="Z1243" s="2">
        <v>1</v>
      </c>
      <c r="AA1243" s="2">
        <v>2</v>
      </c>
    </row>
    <row r="1244" spans="1:29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>
      <c r="A1277" s="7">
        <f>MAX($A$1:$A1276)+1</f>
        <v>1276</v>
      </c>
      <c r="B1277" s="2" t="str">
        <f t="shared" ref="B1277:B1298" si="139">IF(ISERROR(B1276),IF(ISERROR(B1275),IF(ISERROR(B1274),"BLANK",B1274),B1275),B1276)</f>
        <v>Em Lim</v>
      </c>
      <c r="C1277" s="2" t="str">
        <f t="shared" ref="C1277:C1298" si="140"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 t="shared" ref="J1277:J1298" si="141">IF(ISERROR(J1276),IF(ISERROR(J1275),IF(ISERROR(J1274),"BLANK",J1274),J1275),J1276)</f>
        <v>270</v>
      </c>
      <c r="K1277" s="6">
        <v>0.42152777777777778</v>
      </c>
      <c r="L1277" s="2" t="str">
        <f t="shared" ref="L1277:L1298" si="142"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 t="shared" ref="S1277:S1298" si="143"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>
      <c r="A1278" s="7">
        <f>MAX($A$1:$A1277)+1</f>
        <v>1277</v>
      </c>
      <c r="B1278" s="2" t="str">
        <f t="shared" si="139"/>
        <v>Em Lim</v>
      </c>
      <c r="C1278" s="2" t="str">
        <f t="shared" si="140"/>
        <v>Jasmin Schuster</v>
      </c>
      <c r="D1278" s="2" t="str">
        <f t="shared" ref="D1278:D1298" si="144"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 t="shared" ref="H1278:H1298" si="145">IF(ISERROR(H1277),IF(ISERROR(H1276),IF(ISERROR(H1275),"BLANK",H1275),H1276),H1277)</f>
        <v>12/05/2023</v>
      </c>
      <c r="I1278" s="2">
        <f t="shared" ref="I1278:I1298" si="146">IF(ISERROR(I1277),IF(ISERROR(I1276),IF(ISERROR(I1275),"BLANK",I1275),I1276),I1277)</f>
        <v>1.5</v>
      </c>
      <c r="J1278" s="2">
        <f t="shared" si="141"/>
        <v>270</v>
      </c>
      <c r="K1278" s="6">
        <f t="shared" ref="K1278:K1298" si="147">IF(ISERROR(K1277),IF(ISERROR(K1276),IF(ISERROR(K1275),"BLANK",K1275),K1276),K1277)</f>
        <v>0.42152777777777778</v>
      </c>
      <c r="L1278" s="2" t="str">
        <f t="shared" si="142"/>
        <v>EGL</v>
      </c>
      <c r="M1278" s="2">
        <f t="shared" ref="M1278:M1298" si="148">IF(ISERROR(M1277),IF(ISERROR(M1276),IF(ISERROR(M1275),"BLANK",M1275),M1276),M1277)</f>
        <v>8.5</v>
      </c>
      <c r="N1278" s="2">
        <v>2</v>
      </c>
      <c r="O1278" s="2">
        <f t="shared" ref="O1278:O1297" si="149"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 t="shared" si="143"/>
        <v>159</v>
      </c>
      <c r="T1278" s="2">
        <v>159</v>
      </c>
    </row>
    <row r="1279" spans="1:30">
      <c r="A1279" s="7">
        <f>MAX($A$1:$A1278)+1</f>
        <v>1278</v>
      </c>
      <c r="B1279" s="2" t="str">
        <f t="shared" si="139"/>
        <v>Em Lim</v>
      </c>
      <c r="C1279" s="2" t="str">
        <f t="shared" si="140"/>
        <v>Jasmin Schuster</v>
      </c>
      <c r="D1279" s="2" t="str">
        <f t="shared" si="144"/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 t="shared" si="145"/>
        <v>12/05/2023</v>
      </c>
      <c r="I1279" s="2">
        <f t="shared" si="146"/>
        <v>1.5</v>
      </c>
      <c r="J1279" s="2">
        <f t="shared" si="141"/>
        <v>270</v>
      </c>
      <c r="K1279" s="6">
        <f t="shared" si="147"/>
        <v>0.42152777777777778</v>
      </c>
      <c r="L1279" s="2" t="str">
        <f t="shared" si="142"/>
        <v>EGL</v>
      </c>
      <c r="M1279" s="2">
        <f t="shared" si="148"/>
        <v>8.5</v>
      </c>
      <c r="N1279" s="2">
        <f t="shared" ref="N1279:N1296" si="150">IF(ISERROR(N1278),IF(ISERROR(N1277),IF(ISERROR(N1276),"BLANK",N1276),N1277),N1278)</f>
        <v>2</v>
      </c>
      <c r="O1279" s="2">
        <f t="shared" si="149"/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 t="shared" si="143"/>
        <v>2</v>
      </c>
      <c r="T1279" s="2">
        <v>2</v>
      </c>
    </row>
    <row r="1280" spans="1:30">
      <c r="A1280" s="7">
        <f>MAX($A$1:$A1279)+1</f>
        <v>1279</v>
      </c>
      <c r="B1280" s="2" t="str">
        <f t="shared" si="139"/>
        <v>Em Lim</v>
      </c>
      <c r="C1280" s="2" t="str">
        <f t="shared" si="140"/>
        <v>Jasmin Schuster</v>
      </c>
      <c r="D1280" s="2" t="str">
        <f t="shared" si="144"/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 t="shared" si="145"/>
        <v>12/05/2023</v>
      </c>
      <c r="I1280" s="2">
        <f t="shared" si="146"/>
        <v>1.5</v>
      </c>
      <c r="J1280" s="2">
        <f t="shared" si="141"/>
        <v>270</v>
      </c>
      <c r="K1280" s="6">
        <f t="shared" si="147"/>
        <v>0.42152777777777778</v>
      </c>
      <c r="L1280" s="2" t="str">
        <f t="shared" si="142"/>
        <v>EGL</v>
      </c>
      <c r="M1280" s="2">
        <f t="shared" si="148"/>
        <v>8.5</v>
      </c>
      <c r="N1280" s="2">
        <f t="shared" si="150"/>
        <v>2</v>
      </c>
      <c r="O1280" s="2">
        <f t="shared" si="149"/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 t="shared" si="143"/>
        <v>5</v>
      </c>
      <c r="U1280" s="2">
        <v>5</v>
      </c>
    </row>
    <row r="1281" spans="1:24">
      <c r="A1281" s="7">
        <f>MAX($A$1:$A1280)+1</f>
        <v>1280</v>
      </c>
      <c r="B1281" s="2" t="str">
        <f t="shared" si="139"/>
        <v>Em Lim</v>
      </c>
      <c r="C1281" s="2" t="str">
        <f t="shared" si="140"/>
        <v>Jasmin Schuster</v>
      </c>
      <c r="D1281" s="2" t="str">
        <f t="shared" si="144"/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 t="shared" si="145"/>
        <v>12/05/2023</v>
      </c>
      <c r="I1281" s="2">
        <f t="shared" si="146"/>
        <v>1.5</v>
      </c>
      <c r="J1281" s="2">
        <f t="shared" si="141"/>
        <v>270</v>
      </c>
      <c r="K1281" s="6">
        <f t="shared" si="147"/>
        <v>0.42152777777777778</v>
      </c>
      <c r="L1281" s="2" t="str">
        <f t="shared" si="142"/>
        <v>EGL</v>
      </c>
      <c r="M1281" s="2">
        <f t="shared" si="148"/>
        <v>8.5</v>
      </c>
      <c r="N1281" s="2">
        <f t="shared" si="150"/>
        <v>2</v>
      </c>
      <c r="O1281" s="2">
        <f t="shared" si="149"/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 t="shared" si="143"/>
        <v>14</v>
      </c>
      <c r="T1281" s="2">
        <v>14</v>
      </c>
    </row>
    <row r="1282" spans="1:24">
      <c r="A1282" s="7">
        <f>MAX($A$1:$A1281)+1</f>
        <v>1281</v>
      </c>
      <c r="B1282" s="2" t="str">
        <f t="shared" si="139"/>
        <v>Em Lim</v>
      </c>
      <c r="C1282" s="2" t="str">
        <f t="shared" si="140"/>
        <v>Jasmin Schuster</v>
      </c>
      <c r="D1282" s="2" t="str">
        <f t="shared" si="144"/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 t="shared" si="145"/>
        <v>12/05/2023</v>
      </c>
      <c r="I1282" s="2">
        <f t="shared" si="146"/>
        <v>1.5</v>
      </c>
      <c r="J1282" s="2">
        <f t="shared" si="141"/>
        <v>270</v>
      </c>
      <c r="K1282" s="6">
        <f t="shared" si="147"/>
        <v>0.42152777777777778</v>
      </c>
      <c r="L1282" s="2" t="str">
        <f t="shared" si="142"/>
        <v>EGL</v>
      </c>
      <c r="M1282" s="2">
        <f t="shared" si="148"/>
        <v>8.5</v>
      </c>
      <c r="N1282" s="2">
        <f t="shared" si="150"/>
        <v>2</v>
      </c>
      <c r="O1282" s="2">
        <f t="shared" si="149"/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 t="shared" si="143"/>
        <v>3</v>
      </c>
      <c r="T1282" s="2">
        <v>3</v>
      </c>
    </row>
    <row r="1283" spans="1:24">
      <c r="A1283" s="7">
        <f>MAX($A$1:$A1282)+1</f>
        <v>1282</v>
      </c>
      <c r="B1283" s="2" t="str">
        <f t="shared" si="139"/>
        <v>Em Lim</v>
      </c>
      <c r="C1283" s="2" t="str">
        <f t="shared" si="140"/>
        <v>Jasmin Schuster</v>
      </c>
      <c r="D1283" s="2" t="str">
        <f t="shared" si="144"/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 t="shared" si="145"/>
        <v>12/05/2023</v>
      </c>
      <c r="I1283" s="2">
        <f t="shared" si="146"/>
        <v>1.5</v>
      </c>
      <c r="J1283" s="2">
        <f t="shared" si="141"/>
        <v>270</v>
      </c>
      <c r="K1283" s="6">
        <f t="shared" si="147"/>
        <v>0.42152777777777778</v>
      </c>
      <c r="L1283" s="2" t="str">
        <f t="shared" si="142"/>
        <v>EGL</v>
      </c>
      <c r="M1283" s="2">
        <f t="shared" si="148"/>
        <v>8.5</v>
      </c>
      <c r="N1283" s="2">
        <f t="shared" si="150"/>
        <v>2</v>
      </c>
      <c r="O1283" s="2">
        <f t="shared" si="149"/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 t="shared" si="143"/>
        <v>19</v>
      </c>
      <c r="T1283" s="2">
        <v>19</v>
      </c>
    </row>
    <row r="1284" spans="1:24">
      <c r="A1284" s="7">
        <f>MAX($A$1:$A1283)+1</f>
        <v>1283</v>
      </c>
      <c r="B1284" s="2" t="str">
        <f t="shared" si="139"/>
        <v>Em Lim</v>
      </c>
      <c r="C1284" s="2" t="str">
        <f t="shared" si="140"/>
        <v>Jasmin Schuster</v>
      </c>
      <c r="D1284" s="2" t="str">
        <f t="shared" si="144"/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 t="shared" si="145"/>
        <v>12/05/2023</v>
      </c>
      <c r="I1284" s="2">
        <f t="shared" si="146"/>
        <v>1.5</v>
      </c>
      <c r="J1284" s="2">
        <f t="shared" si="141"/>
        <v>270</v>
      </c>
      <c r="K1284" s="6">
        <f t="shared" si="147"/>
        <v>0.42152777777777778</v>
      </c>
      <c r="L1284" s="2" t="str">
        <f t="shared" si="142"/>
        <v>EGL</v>
      </c>
      <c r="M1284" s="2">
        <f t="shared" si="148"/>
        <v>8.5</v>
      </c>
      <c r="N1284" s="2">
        <f t="shared" si="150"/>
        <v>2</v>
      </c>
      <c r="O1284" s="2">
        <f t="shared" si="149"/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 t="shared" si="143"/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>
      <c r="A1285" s="7">
        <f>MAX($A$1:$A1284)+1</f>
        <v>1284</v>
      </c>
      <c r="B1285" s="2" t="str">
        <f t="shared" si="139"/>
        <v>Em Lim</v>
      </c>
      <c r="C1285" s="2" t="str">
        <f t="shared" si="140"/>
        <v>Jasmin Schuster</v>
      </c>
      <c r="D1285" s="2" t="str">
        <f t="shared" si="144"/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 t="shared" si="145"/>
        <v>12/05/2023</v>
      </c>
      <c r="I1285" s="2">
        <f t="shared" si="146"/>
        <v>1.5</v>
      </c>
      <c r="J1285" s="2">
        <f t="shared" si="141"/>
        <v>270</v>
      </c>
      <c r="K1285" s="6">
        <f t="shared" si="147"/>
        <v>0.42152777777777778</v>
      </c>
      <c r="L1285" s="2" t="str">
        <f t="shared" si="142"/>
        <v>EGL</v>
      </c>
      <c r="M1285" s="2">
        <f t="shared" si="148"/>
        <v>8.5</v>
      </c>
      <c r="N1285" s="2">
        <f t="shared" si="150"/>
        <v>2</v>
      </c>
      <c r="O1285" s="2">
        <f t="shared" si="149"/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 t="shared" si="143"/>
        <v>17</v>
      </c>
      <c r="T1285" s="2">
        <v>17</v>
      </c>
    </row>
    <row r="1286" spans="1:24">
      <c r="A1286" s="7">
        <f>MAX($A$1:$A1285)+1</f>
        <v>1285</v>
      </c>
      <c r="B1286" s="2" t="str">
        <f t="shared" si="139"/>
        <v>Em Lim</v>
      </c>
      <c r="C1286" s="2" t="str">
        <f t="shared" si="140"/>
        <v>Jasmin Schuster</v>
      </c>
      <c r="D1286" s="2" t="str">
        <f t="shared" si="144"/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 t="shared" si="145"/>
        <v>12/05/2023</v>
      </c>
      <c r="I1286" s="2">
        <f t="shared" si="146"/>
        <v>1.5</v>
      </c>
      <c r="J1286" s="2">
        <f t="shared" si="141"/>
        <v>270</v>
      </c>
      <c r="K1286" s="6">
        <f t="shared" si="147"/>
        <v>0.42152777777777778</v>
      </c>
      <c r="L1286" s="2" t="str">
        <f t="shared" si="142"/>
        <v>EGL</v>
      </c>
      <c r="M1286" s="2">
        <f t="shared" si="148"/>
        <v>8.5</v>
      </c>
      <c r="N1286" s="2">
        <f t="shared" si="150"/>
        <v>2</v>
      </c>
      <c r="O1286" s="2">
        <f t="shared" si="149"/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 t="shared" si="143"/>
        <v>20</v>
      </c>
      <c r="T1286" s="2">
        <v>20</v>
      </c>
    </row>
    <row r="1287" spans="1:24">
      <c r="A1287" s="7">
        <f>MAX($A$1:$A1286)+1</f>
        <v>1286</v>
      </c>
      <c r="B1287" s="2" t="str">
        <f t="shared" si="139"/>
        <v>Em Lim</v>
      </c>
      <c r="C1287" s="2" t="str">
        <f t="shared" si="140"/>
        <v>Jasmin Schuster</v>
      </c>
      <c r="D1287" s="2" t="str">
        <f t="shared" si="144"/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 t="shared" si="145"/>
        <v>12/05/2023</v>
      </c>
      <c r="I1287" s="2">
        <f t="shared" si="146"/>
        <v>1.5</v>
      </c>
      <c r="J1287" s="2">
        <f t="shared" si="141"/>
        <v>270</v>
      </c>
      <c r="K1287" s="6">
        <f t="shared" si="147"/>
        <v>0.42152777777777778</v>
      </c>
      <c r="L1287" s="2" t="str">
        <f t="shared" si="142"/>
        <v>EGL</v>
      </c>
      <c r="M1287" s="2">
        <f t="shared" si="148"/>
        <v>8.5</v>
      </c>
      <c r="N1287" s="2">
        <f t="shared" si="150"/>
        <v>2</v>
      </c>
      <c r="O1287" s="2">
        <f t="shared" si="149"/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 t="shared" si="143"/>
        <v>1</v>
      </c>
      <c r="T1287" s="2">
        <v>1</v>
      </c>
    </row>
    <row r="1288" spans="1:24">
      <c r="A1288" s="7">
        <f>MAX($A$1:$A1287)+1</f>
        <v>1287</v>
      </c>
      <c r="B1288" s="2" t="str">
        <f t="shared" si="139"/>
        <v>Em Lim</v>
      </c>
      <c r="C1288" s="2" t="str">
        <f t="shared" si="140"/>
        <v>Jasmin Schuster</v>
      </c>
      <c r="D1288" s="2" t="str">
        <f t="shared" si="144"/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 t="shared" si="145"/>
        <v>12/05/2023</v>
      </c>
      <c r="I1288" s="2">
        <f t="shared" si="146"/>
        <v>1.5</v>
      </c>
      <c r="J1288" s="2">
        <f t="shared" si="141"/>
        <v>270</v>
      </c>
      <c r="K1288" s="6">
        <f t="shared" si="147"/>
        <v>0.42152777777777778</v>
      </c>
      <c r="L1288" s="2" t="str">
        <f t="shared" si="142"/>
        <v>EGL</v>
      </c>
      <c r="M1288" s="2">
        <f t="shared" si="148"/>
        <v>8.5</v>
      </c>
      <c r="N1288" s="2">
        <f t="shared" si="150"/>
        <v>2</v>
      </c>
      <c r="O1288" s="2">
        <f t="shared" si="149"/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 t="shared" si="143"/>
        <v>5</v>
      </c>
      <c r="T1288" s="2">
        <v>5</v>
      </c>
    </row>
    <row r="1289" spans="1:24">
      <c r="A1289" s="7">
        <f>MAX($A$1:$A1288)+1</f>
        <v>1288</v>
      </c>
      <c r="B1289" s="2" t="str">
        <f t="shared" si="139"/>
        <v>Em Lim</v>
      </c>
      <c r="C1289" s="2" t="str">
        <f t="shared" si="140"/>
        <v>Jasmin Schuster</v>
      </c>
      <c r="D1289" s="2" t="str">
        <f t="shared" si="144"/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 t="shared" si="145"/>
        <v>12/05/2023</v>
      </c>
      <c r="I1289" s="2">
        <f t="shared" si="146"/>
        <v>1.5</v>
      </c>
      <c r="J1289" s="2">
        <f t="shared" si="141"/>
        <v>270</v>
      </c>
      <c r="K1289" s="6">
        <f t="shared" si="147"/>
        <v>0.42152777777777778</v>
      </c>
      <c r="L1289" s="2" t="str">
        <f t="shared" si="142"/>
        <v>EGL</v>
      </c>
      <c r="M1289" s="2">
        <f t="shared" si="148"/>
        <v>8.5</v>
      </c>
      <c r="N1289" s="2">
        <f t="shared" si="150"/>
        <v>2</v>
      </c>
      <c r="O1289" s="2">
        <f t="shared" si="149"/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 t="shared" si="143"/>
        <v>1</v>
      </c>
      <c r="T1289" s="2">
        <v>1</v>
      </c>
    </row>
    <row r="1290" spans="1:24">
      <c r="A1290" s="7">
        <f>MAX($A$1:$A1289)+1</f>
        <v>1289</v>
      </c>
      <c r="B1290" s="2" t="str">
        <f t="shared" si="139"/>
        <v>Em Lim</v>
      </c>
      <c r="C1290" s="2" t="str">
        <f t="shared" si="140"/>
        <v>Jasmin Schuster</v>
      </c>
      <c r="D1290" s="2" t="str">
        <f t="shared" si="144"/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 t="shared" si="145"/>
        <v>12/05/2023</v>
      </c>
      <c r="I1290" s="2">
        <f t="shared" si="146"/>
        <v>1.5</v>
      </c>
      <c r="J1290" s="2">
        <f t="shared" si="141"/>
        <v>270</v>
      </c>
      <c r="K1290" s="6">
        <f t="shared" si="147"/>
        <v>0.42152777777777778</v>
      </c>
      <c r="L1290" s="2" t="str">
        <f t="shared" si="142"/>
        <v>EGL</v>
      </c>
      <c r="M1290" s="2">
        <f t="shared" si="148"/>
        <v>8.5</v>
      </c>
      <c r="N1290" s="2">
        <f t="shared" si="150"/>
        <v>2</v>
      </c>
      <c r="O1290" s="2">
        <f t="shared" si="149"/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 t="shared" si="143"/>
        <v>1</v>
      </c>
      <c r="T1290" s="2">
        <v>1</v>
      </c>
    </row>
    <row r="1291" spans="1:24">
      <c r="A1291" s="7">
        <f>MAX($A$1:$A1290)+1</f>
        <v>1290</v>
      </c>
      <c r="B1291" s="2" t="str">
        <f t="shared" si="139"/>
        <v>Em Lim</v>
      </c>
      <c r="C1291" s="2" t="str">
        <f t="shared" si="140"/>
        <v>Jasmin Schuster</v>
      </c>
      <c r="D1291" s="2" t="str">
        <f t="shared" si="144"/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 t="shared" si="145"/>
        <v>12/05/2023</v>
      </c>
      <c r="I1291" s="2">
        <f t="shared" si="146"/>
        <v>1.5</v>
      </c>
      <c r="J1291" s="2">
        <f t="shared" si="141"/>
        <v>270</v>
      </c>
      <c r="K1291" s="6">
        <f t="shared" si="147"/>
        <v>0.42152777777777778</v>
      </c>
      <c r="L1291" s="2" t="str">
        <f t="shared" si="142"/>
        <v>EGL</v>
      </c>
      <c r="M1291" s="2">
        <f t="shared" si="148"/>
        <v>8.5</v>
      </c>
      <c r="N1291" s="2">
        <f t="shared" si="150"/>
        <v>2</v>
      </c>
      <c r="O1291" s="2">
        <f t="shared" si="149"/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 t="shared" si="143"/>
        <v>12</v>
      </c>
      <c r="T1291" s="2">
        <v>12</v>
      </c>
    </row>
    <row r="1292" spans="1:24">
      <c r="A1292" s="7">
        <f>MAX($A$1:$A1291)+1</f>
        <v>1291</v>
      </c>
      <c r="B1292" s="2" t="str">
        <f t="shared" si="139"/>
        <v>Em Lim</v>
      </c>
      <c r="C1292" s="2" t="str">
        <f t="shared" si="140"/>
        <v>Jasmin Schuster</v>
      </c>
      <c r="D1292" s="2" t="str">
        <f t="shared" si="144"/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 t="shared" si="145"/>
        <v>12/05/2023</v>
      </c>
      <c r="I1292" s="2">
        <f t="shared" si="146"/>
        <v>1.5</v>
      </c>
      <c r="J1292" s="2">
        <f t="shared" si="141"/>
        <v>270</v>
      </c>
      <c r="K1292" s="6">
        <f t="shared" si="147"/>
        <v>0.42152777777777778</v>
      </c>
      <c r="L1292" s="2" t="str">
        <f t="shared" si="142"/>
        <v>EGL</v>
      </c>
      <c r="M1292" s="2">
        <f t="shared" si="148"/>
        <v>8.5</v>
      </c>
      <c r="N1292" s="2">
        <f t="shared" si="150"/>
        <v>2</v>
      </c>
      <c r="O1292" s="2">
        <f t="shared" si="149"/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 t="shared" si="143"/>
        <v>1</v>
      </c>
      <c r="T1292" s="2">
        <v>1</v>
      </c>
    </row>
    <row r="1293" spans="1:24">
      <c r="A1293" s="7">
        <f>MAX($A$1:$A1292)+1</f>
        <v>1292</v>
      </c>
      <c r="B1293" s="2" t="str">
        <f t="shared" si="139"/>
        <v>Em Lim</v>
      </c>
      <c r="C1293" s="2" t="str">
        <f t="shared" si="140"/>
        <v>Jasmin Schuster</v>
      </c>
      <c r="D1293" s="2" t="str">
        <f t="shared" si="144"/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 t="shared" si="145"/>
        <v>12/05/2023</v>
      </c>
      <c r="I1293" s="2">
        <f t="shared" si="146"/>
        <v>1.5</v>
      </c>
      <c r="J1293" s="2">
        <f t="shared" si="141"/>
        <v>270</v>
      </c>
      <c r="K1293" s="6">
        <f t="shared" si="147"/>
        <v>0.42152777777777778</v>
      </c>
      <c r="L1293" s="2" t="str">
        <f t="shared" si="142"/>
        <v>EGL</v>
      </c>
      <c r="M1293" s="2">
        <f t="shared" si="148"/>
        <v>8.5</v>
      </c>
      <c r="N1293" s="2">
        <f t="shared" si="150"/>
        <v>2</v>
      </c>
      <c r="O1293" s="2">
        <f t="shared" si="149"/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 t="shared" si="143"/>
        <v>2</v>
      </c>
      <c r="T1293" s="2">
        <v>0</v>
      </c>
      <c r="V1293" s="2">
        <v>1</v>
      </c>
      <c r="W1293" s="2">
        <v>1</v>
      </c>
    </row>
    <row r="1294" spans="1:24">
      <c r="A1294" s="7">
        <f>MAX($A$1:$A1293)+1</f>
        <v>1293</v>
      </c>
      <c r="B1294" s="2" t="str">
        <f t="shared" si="139"/>
        <v>Em Lim</v>
      </c>
      <c r="C1294" s="2" t="str">
        <f t="shared" si="140"/>
        <v>Jasmin Schuster</v>
      </c>
      <c r="D1294" s="2" t="str">
        <f t="shared" si="144"/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 t="shared" si="145"/>
        <v>12/05/2023</v>
      </c>
      <c r="I1294" s="2">
        <f t="shared" si="146"/>
        <v>1.5</v>
      </c>
      <c r="J1294" s="2">
        <f t="shared" si="141"/>
        <v>270</v>
      </c>
      <c r="K1294" s="6">
        <f t="shared" si="147"/>
        <v>0.42152777777777778</v>
      </c>
      <c r="L1294" s="2" t="str">
        <f t="shared" si="142"/>
        <v>EGL</v>
      </c>
      <c r="M1294" s="2">
        <f t="shared" si="148"/>
        <v>8.5</v>
      </c>
      <c r="N1294" s="2">
        <f t="shared" si="150"/>
        <v>2</v>
      </c>
      <c r="O1294" s="2">
        <f t="shared" si="149"/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 t="shared" si="143"/>
        <v>1</v>
      </c>
      <c r="T1294" s="2">
        <v>1</v>
      </c>
    </row>
    <row r="1295" spans="1:24">
      <c r="A1295" s="7">
        <f>MAX($A$1:$A1294)+1</f>
        <v>1294</v>
      </c>
      <c r="B1295" s="2" t="str">
        <f t="shared" si="139"/>
        <v>Em Lim</v>
      </c>
      <c r="C1295" s="2" t="str">
        <f t="shared" si="140"/>
        <v>Jasmin Schuster</v>
      </c>
      <c r="D1295" s="2" t="str">
        <f t="shared" si="144"/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 t="shared" si="145"/>
        <v>12/05/2023</v>
      </c>
      <c r="I1295" s="2">
        <f t="shared" si="146"/>
        <v>1.5</v>
      </c>
      <c r="J1295" s="2">
        <f t="shared" si="141"/>
        <v>270</v>
      </c>
      <c r="K1295" s="6">
        <f t="shared" si="147"/>
        <v>0.42152777777777778</v>
      </c>
      <c r="L1295" s="2" t="str">
        <f t="shared" si="142"/>
        <v>EGL</v>
      </c>
      <c r="M1295" s="2">
        <f t="shared" si="148"/>
        <v>8.5</v>
      </c>
      <c r="N1295" s="2">
        <f t="shared" si="150"/>
        <v>2</v>
      </c>
      <c r="O1295" s="2">
        <f t="shared" si="149"/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 t="shared" si="143"/>
        <v>5</v>
      </c>
      <c r="T1295" s="2">
        <v>5</v>
      </c>
    </row>
    <row r="1296" spans="1:24">
      <c r="A1296" s="7">
        <f>MAX($A$1:$A1295)+1</f>
        <v>1295</v>
      </c>
      <c r="B1296" s="2" t="str">
        <f t="shared" si="139"/>
        <v>Em Lim</v>
      </c>
      <c r="C1296" s="2" t="str">
        <f t="shared" si="140"/>
        <v>Jasmin Schuster</v>
      </c>
      <c r="D1296" s="2" t="str">
        <f t="shared" si="144"/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 t="shared" si="145"/>
        <v>12/05/2023</v>
      </c>
      <c r="I1296" s="2">
        <f t="shared" si="146"/>
        <v>1.5</v>
      </c>
      <c r="J1296" s="2">
        <f t="shared" si="141"/>
        <v>270</v>
      </c>
      <c r="K1296" s="6">
        <f t="shared" si="147"/>
        <v>0.42152777777777778</v>
      </c>
      <c r="L1296" s="2" t="str">
        <f t="shared" si="142"/>
        <v>EGL</v>
      </c>
      <c r="M1296" s="2">
        <f t="shared" si="148"/>
        <v>8.5</v>
      </c>
      <c r="N1296" s="2">
        <f t="shared" si="150"/>
        <v>2</v>
      </c>
      <c r="O1296" s="2">
        <f t="shared" si="149"/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 t="shared" si="143"/>
        <v>1</v>
      </c>
      <c r="T1296" s="2">
        <v>1</v>
      </c>
    </row>
    <row r="1297" spans="1:28">
      <c r="A1297" s="7">
        <f>MAX($A$1:$A1296)+1</f>
        <v>1296</v>
      </c>
      <c r="B1297" s="2" t="str">
        <f t="shared" si="139"/>
        <v>Em Lim</v>
      </c>
      <c r="C1297" s="2" t="str">
        <f t="shared" si="140"/>
        <v>Jasmin Schuster</v>
      </c>
      <c r="D1297" s="2" t="str">
        <f t="shared" si="144"/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 t="shared" si="145"/>
        <v>12/05/2023</v>
      </c>
      <c r="I1297" s="2">
        <f t="shared" si="146"/>
        <v>1.5</v>
      </c>
      <c r="J1297" s="2">
        <f t="shared" si="141"/>
        <v>270</v>
      </c>
      <c r="K1297" s="6">
        <f t="shared" si="147"/>
        <v>0.42152777777777778</v>
      </c>
      <c r="L1297" s="2" t="str">
        <f t="shared" si="142"/>
        <v>EGL</v>
      </c>
      <c r="M1297" s="2">
        <f t="shared" si="148"/>
        <v>8.5</v>
      </c>
      <c r="N1297" s="2">
        <v>0</v>
      </c>
      <c r="O1297" s="2">
        <f t="shared" si="149"/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 t="shared" si="143"/>
        <v>1</v>
      </c>
      <c r="T1297" s="2">
        <v>1</v>
      </c>
    </row>
    <row r="1298" spans="1:28">
      <c r="A1298" s="7">
        <f>MAX($A$1:$A1297)+1</f>
        <v>1297</v>
      </c>
      <c r="B1298" s="2" t="str">
        <f t="shared" si="139"/>
        <v>Em Lim</v>
      </c>
      <c r="C1298" s="2" t="str">
        <f t="shared" si="140"/>
        <v>Jasmin Schuster</v>
      </c>
      <c r="D1298" s="2" t="str">
        <f t="shared" si="144"/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 t="shared" si="145"/>
        <v>12/05/2023</v>
      </c>
      <c r="I1298" s="2">
        <f t="shared" si="146"/>
        <v>1.5</v>
      </c>
      <c r="J1298" s="2">
        <f t="shared" si="141"/>
        <v>270</v>
      </c>
      <c r="K1298" s="6">
        <f t="shared" si="147"/>
        <v>0.42152777777777778</v>
      </c>
      <c r="L1298" s="2" t="str">
        <f t="shared" si="142"/>
        <v>EGL</v>
      </c>
      <c r="M1298" s="2">
        <f t="shared" si="148"/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 t="shared" si="143"/>
        <v>1</v>
      </c>
      <c r="T1298" s="2">
        <v>1</v>
      </c>
    </row>
    <row r="1299" spans="1:28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>
      <c r="A1324" s="7">
        <f>MAX($A$1:$A1323)+1</f>
        <v>1323</v>
      </c>
      <c r="B1324" s="2" t="str">
        <f t="shared" ref="B1324:B1329" si="151"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 t="shared" ref="J1324:J1329" si="152"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 t="shared" ref="S1324:S1345" si="153">SUM(T1324:AV1324)</f>
        <v>2</v>
      </c>
      <c r="T1324" s="2">
        <v>0</v>
      </c>
      <c r="V1324" s="2">
        <v>2</v>
      </c>
    </row>
    <row r="1325" spans="1:25">
      <c r="A1325" s="7">
        <f>MAX($A$1:$A1324)+1</f>
        <v>1324</v>
      </c>
      <c r="B1325" s="2" t="str">
        <f t="shared" si="151"/>
        <v>Em Lim</v>
      </c>
      <c r="C1325" s="2" t="str">
        <f t="shared" ref="C1325:D1329" si="154">IF(ISERROR(C1324),IF(ISERROR(C1323),IF(ISERROR(C1322),"BLANK",C1322),C1323),C1324)</f>
        <v>Valesca de Groot</v>
      </c>
      <c r="D1325" s="2" t="str">
        <f t="shared" si="154"/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 t="shared" ref="H1325:I1329" si="155">IF(ISERROR(H1324),IF(ISERROR(H1323),IF(ISERROR(H1322),"BLANK",H1322),H1323),H1324)</f>
        <v>15/05/2023</v>
      </c>
      <c r="I1325" s="2">
        <f t="shared" si="155"/>
        <v>0.5</v>
      </c>
      <c r="J1325" s="2">
        <f t="shared" si="152"/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 t="shared" si="153"/>
        <v>1</v>
      </c>
      <c r="T1325" s="2">
        <v>0</v>
      </c>
      <c r="Y1325" s="2">
        <v>1</v>
      </c>
    </row>
    <row r="1326" spans="1:25">
      <c r="A1326" s="7">
        <f>MAX($A$1:$A1325)+1</f>
        <v>1325</v>
      </c>
      <c r="B1326" s="2" t="str">
        <f t="shared" si="151"/>
        <v>Em Lim</v>
      </c>
      <c r="C1326" s="2" t="str">
        <f t="shared" si="154"/>
        <v>Valesca de Groot</v>
      </c>
      <c r="D1326" s="2" t="str">
        <f t="shared" si="154"/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 t="shared" si="155"/>
        <v>15/05/2023</v>
      </c>
      <c r="I1326" s="2">
        <f t="shared" si="155"/>
        <v>0.5</v>
      </c>
      <c r="J1326" s="2">
        <f t="shared" si="152"/>
        <v>30</v>
      </c>
      <c r="K1326" s="6">
        <f t="shared" ref="K1326:M1329" si="156">IF(ISERROR(K1325),IF(ISERROR(K1324),IF(ISERROR(K1323),"BLANK",K1323),K1324),K1325)</f>
        <v>0.51250000000000007</v>
      </c>
      <c r="L1326" s="2" t="str">
        <f t="shared" si="156"/>
        <v>VDG</v>
      </c>
      <c r="M1326" s="2">
        <f t="shared" si="156"/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 t="shared" si="153"/>
        <v>218</v>
      </c>
      <c r="T1326" s="2">
        <v>218</v>
      </c>
    </row>
    <row r="1327" spans="1:25">
      <c r="A1327" s="7">
        <f>MAX($A$1:$A1326)+1</f>
        <v>1326</v>
      </c>
      <c r="B1327" s="2" t="str">
        <f t="shared" si="151"/>
        <v>Em Lim</v>
      </c>
      <c r="C1327" s="2" t="str">
        <f t="shared" si="154"/>
        <v>Valesca de Groot</v>
      </c>
      <c r="D1327" s="2" t="str">
        <f t="shared" si="154"/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 t="shared" si="155"/>
        <v>15/05/2023</v>
      </c>
      <c r="I1327" s="2">
        <f t="shared" si="155"/>
        <v>0.5</v>
      </c>
      <c r="J1327" s="2">
        <f t="shared" si="152"/>
        <v>30</v>
      </c>
      <c r="K1327" s="6">
        <f t="shared" si="156"/>
        <v>0.51250000000000007</v>
      </c>
      <c r="L1327" s="2" t="str">
        <f t="shared" si="156"/>
        <v>VDG</v>
      </c>
      <c r="M1327" s="2">
        <f t="shared" si="156"/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 t="shared" si="153"/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>
      <c r="A1328" s="7">
        <f>MAX($A$1:$A1327)+1</f>
        <v>1327</v>
      </c>
      <c r="B1328" s="2" t="str">
        <f t="shared" si="151"/>
        <v>Em Lim</v>
      </c>
      <c r="C1328" s="2" t="str">
        <f t="shared" si="154"/>
        <v>Valesca de Groot</v>
      </c>
      <c r="D1328" s="2" t="str">
        <f t="shared" si="154"/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 t="shared" si="155"/>
        <v>15/05/2023</v>
      </c>
      <c r="I1328" s="2">
        <f t="shared" si="155"/>
        <v>0.5</v>
      </c>
      <c r="J1328" s="2">
        <f t="shared" si="152"/>
        <v>30</v>
      </c>
      <c r="K1328" s="6">
        <f t="shared" si="156"/>
        <v>0.51250000000000007</v>
      </c>
      <c r="L1328" s="2" t="str">
        <f t="shared" si="156"/>
        <v>VDG</v>
      </c>
      <c r="M1328" s="2">
        <f t="shared" si="156"/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 t="shared" si="153"/>
        <v>19</v>
      </c>
      <c r="T1328" s="2">
        <v>19</v>
      </c>
    </row>
    <row r="1329" spans="1:24">
      <c r="A1329" s="7">
        <f>MAX($A$1:$A1328)+1</f>
        <v>1328</v>
      </c>
      <c r="B1329" s="2" t="str">
        <f t="shared" si="151"/>
        <v>Em Lim</v>
      </c>
      <c r="C1329" s="2" t="str">
        <f t="shared" si="154"/>
        <v>Valesca de Groot</v>
      </c>
      <c r="D1329" s="2" t="str">
        <f t="shared" si="154"/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 t="shared" si="155"/>
        <v>15/05/2023</v>
      </c>
      <c r="I1329" s="2">
        <f t="shared" si="155"/>
        <v>0.5</v>
      </c>
      <c r="J1329" s="2">
        <f t="shared" si="152"/>
        <v>30</v>
      </c>
      <c r="K1329" s="6">
        <f t="shared" si="156"/>
        <v>0.51250000000000007</v>
      </c>
      <c r="L1329" s="2" t="str">
        <f t="shared" si="156"/>
        <v>VDG</v>
      </c>
      <c r="M1329" s="2">
        <f t="shared" si="156"/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 t="shared" si="153"/>
        <v>103</v>
      </c>
      <c r="T1329" s="2">
        <v>103</v>
      </c>
    </row>
    <row r="1330" spans="1:24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 t="shared" si="153"/>
        <v>1</v>
      </c>
      <c r="T1330" s="2">
        <v>1</v>
      </c>
    </row>
    <row r="1331" spans="1:24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 t="shared" si="153"/>
        <v>3</v>
      </c>
      <c r="T1331" s="2">
        <v>3</v>
      </c>
    </row>
    <row r="1332" spans="1:24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 t="shared" si="153"/>
        <v>3</v>
      </c>
      <c r="T1332" s="2">
        <v>3</v>
      </c>
    </row>
    <row r="1333" spans="1:24">
      <c r="A1333" s="7">
        <f>MAX($A$1:$A1332)+1</f>
        <v>1332</v>
      </c>
      <c r="B1333" s="2" t="str">
        <f t="shared" ref="B1333:B1345" si="157">IF(ISERROR(B1332),IF(ISERROR(B1331),IF(ISERROR(B1330),"BLANK",B1330),B1331),B1332)</f>
        <v>Em Lim</v>
      </c>
      <c r="C1333" s="2" t="str">
        <f t="shared" ref="C1333:C1345" si="158">IF(ISERROR(C1332),IF(ISERROR(C1331),IF(ISERROR(C1330),"BLANK",C1330),C1331),C1332)</f>
        <v>Valesca de Groot</v>
      </c>
      <c r="D1333" s="2" t="str">
        <f t="shared" ref="D1333:D1345" si="159"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 t="shared" ref="H1333:H1345" si="160">IF(ISERROR(H1332),IF(ISERROR(H1331),IF(ISERROR(H1330),"BLANK",H1330),H1331),H1332)</f>
        <v>15/05/2023</v>
      </c>
      <c r="I1333" s="2">
        <f t="shared" ref="I1333:I1345" si="161">IF(ISERROR(I1332),IF(ISERROR(I1331),IF(ISERROR(I1330),"BLANK",I1330),I1331),I1332)</f>
        <v>0.5</v>
      </c>
      <c r="J1333" s="2">
        <f t="shared" ref="J1333:J1345" si="162">IF(ISERROR(J1332),IF(ISERROR(J1331),IF(ISERROR(J1330),"BLANK",J1330),J1331),J1332)</f>
        <v>30</v>
      </c>
      <c r="K1333" s="6">
        <f t="shared" ref="K1333:K1345" si="163">IF(ISERROR(K1332),IF(ISERROR(K1331),IF(ISERROR(K1330),"BLANK",K1330),K1331),K1332)</f>
        <v>0.51250000000000007</v>
      </c>
      <c r="L1333" s="2" t="str">
        <f t="shared" ref="L1333:L1345" si="164">IF(ISERROR(L1332),IF(ISERROR(L1331),IF(ISERROR(L1330),"BLANK",L1330),L1331),L1332)</f>
        <v>VDG</v>
      </c>
      <c r="M1333" s="2">
        <f t="shared" ref="M1333:M1345" si="165">IF(ISERROR(M1332),IF(ISERROR(M1331),IF(ISERROR(M1330),"BLANK",M1330),M1331),M1332)</f>
        <v>8</v>
      </c>
      <c r="N1333" s="2">
        <f t="shared" ref="N1333:N1345" si="166">IF(ISERROR(N1332),IF(ISERROR(N1331),IF(ISERROR(N1330),"BLANK",N1330),N1331),N1332)</f>
        <v>2</v>
      </c>
      <c r="O1333" s="2">
        <f t="shared" ref="O1333:O1345" si="167"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 t="shared" si="153"/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>
      <c r="A1334" s="7">
        <f>MAX($A$1:$A1333)+1</f>
        <v>1333</v>
      </c>
      <c r="B1334" s="2" t="str">
        <f t="shared" si="157"/>
        <v>Em Lim</v>
      </c>
      <c r="C1334" s="2" t="str">
        <f t="shared" si="158"/>
        <v>Valesca de Groot</v>
      </c>
      <c r="D1334" s="2" t="str">
        <f t="shared" si="159"/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 t="shared" si="160"/>
        <v>15/05/2023</v>
      </c>
      <c r="I1334" s="2">
        <f t="shared" si="161"/>
        <v>0.5</v>
      </c>
      <c r="J1334" s="2">
        <f t="shared" si="162"/>
        <v>30</v>
      </c>
      <c r="K1334" s="6">
        <f t="shared" si="163"/>
        <v>0.51250000000000007</v>
      </c>
      <c r="L1334" s="2" t="str">
        <f t="shared" si="164"/>
        <v>VDG</v>
      </c>
      <c r="M1334" s="2">
        <f t="shared" si="165"/>
        <v>8</v>
      </c>
      <c r="N1334" s="2">
        <f t="shared" si="166"/>
        <v>2</v>
      </c>
      <c r="O1334" s="2">
        <f t="shared" si="167"/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 t="shared" si="153"/>
        <v>6</v>
      </c>
      <c r="T1334" s="2">
        <v>6</v>
      </c>
    </row>
    <row r="1335" spans="1:24">
      <c r="A1335" s="7">
        <f>MAX($A$1:$A1334)+1</f>
        <v>1334</v>
      </c>
      <c r="B1335" s="2" t="str">
        <f t="shared" si="157"/>
        <v>Em Lim</v>
      </c>
      <c r="C1335" s="2" t="str">
        <f t="shared" si="158"/>
        <v>Valesca de Groot</v>
      </c>
      <c r="D1335" s="2" t="str">
        <f t="shared" si="159"/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 t="shared" si="160"/>
        <v>15/05/2023</v>
      </c>
      <c r="I1335" s="2">
        <f t="shared" si="161"/>
        <v>0.5</v>
      </c>
      <c r="J1335" s="2">
        <f t="shared" si="162"/>
        <v>30</v>
      </c>
      <c r="K1335" s="6">
        <f t="shared" si="163"/>
        <v>0.51250000000000007</v>
      </c>
      <c r="L1335" s="2" t="str">
        <f t="shared" si="164"/>
        <v>VDG</v>
      </c>
      <c r="M1335" s="2">
        <f t="shared" si="165"/>
        <v>8</v>
      </c>
      <c r="N1335" s="2">
        <f t="shared" si="166"/>
        <v>2</v>
      </c>
      <c r="O1335" s="2">
        <f t="shared" si="167"/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 t="shared" si="153"/>
        <v>7</v>
      </c>
      <c r="T1335" s="2">
        <v>0</v>
      </c>
      <c r="U1335" s="2">
        <v>6</v>
      </c>
      <c r="V1335" s="2">
        <v>1</v>
      </c>
    </row>
    <row r="1336" spans="1:24">
      <c r="A1336" s="7">
        <f>MAX($A$1:$A1335)+1</f>
        <v>1335</v>
      </c>
      <c r="B1336" s="2" t="str">
        <f t="shared" si="157"/>
        <v>Em Lim</v>
      </c>
      <c r="C1336" s="2" t="str">
        <f t="shared" si="158"/>
        <v>Valesca de Groot</v>
      </c>
      <c r="D1336" s="2" t="str">
        <f t="shared" si="159"/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 t="shared" si="160"/>
        <v>15/05/2023</v>
      </c>
      <c r="I1336" s="2">
        <f t="shared" si="161"/>
        <v>0.5</v>
      </c>
      <c r="J1336" s="2">
        <f t="shared" si="162"/>
        <v>30</v>
      </c>
      <c r="K1336" s="6">
        <f t="shared" si="163"/>
        <v>0.51250000000000007</v>
      </c>
      <c r="L1336" s="2" t="str">
        <f t="shared" si="164"/>
        <v>VDG</v>
      </c>
      <c r="M1336" s="2">
        <f t="shared" si="165"/>
        <v>8</v>
      </c>
      <c r="N1336" s="2">
        <f t="shared" si="166"/>
        <v>2</v>
      </c>
      <c r="O1336" s="2">
        <f t="shared" si="167"/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 t="shared" si="153"/>
        <v>12</v>
      </c>
      <c r="T1336" s="2">
        <v>12</v>
      </c>
    </row>
    <row r="1337" spans="1:24">
      <c r="A1337" s="7">
        <f>MAX($A$1:$A1336)+1</f>
        <v>1336</v>
      </c>
      <c r="B1337" s="2" t="str">
        <f t="shared" si="157"/>
        <v>Em Lim</v>
      </c>
      <c r="C1337" s="2" t="str">
        <f t="shared" si="158"/>
        <v>Valesca de Groot</v>
      </c>
      <c r="D1337" s="2" t="str">
        <f t="shared" si="159"/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 t="shared" si="160"/>
        <v>15/05/2023</v>
      </c>
      <c r="I1337" s="2">
        <f t="shared" si="161"/>
        <v>0.5</v>
      </c>
      <c r="J1337" s="2">
        <f t="shared" si="162"/>
        <v>30</v>
      </c>
      <c r="K1337" s="6">
        <f t="shared" si="163"/>
        <v>0.51250000000000007</v>
      </c>
      <c r="L1337" s="2" t="str">
        <f t="shared" si="164"/>
        <v>VDG</v>
      </c>
      <c r="M1337" s="2">
        <f t="shared" si="165"/>
        <v>8</v>
      </c>
      <c r="N1337" s="2">
        <f t="shared" si="166"/>
        <v>2</v>
      </c>
      <c r="O1337" s="2">
        <f t="shared" si="167"/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 t="shared" si="153"/>
        <v>5</v>
      </c>
      <c r="T1337" s="2">
        <v>5</v>
      </c>
    </row>
    <row r="1338" spans="1:24">
      <c r="A1338" s="7">
        <f>MAX($A$1:$A1337)+1</f>
        <v>1337</v>
      </c>
      <c r="B1338" s="2" t="str">
        <f t="shared" si="157"/>
        <v>Em Lim</v>
      </c>
      <c r="C1338" s="2" t="str">
        <f t="shared" si="158"/>
        <v>Valesca de Groot</v>
      </c>
      <c r="D1338" s="2" t="str">
        <f t="shared" si="159"/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 t="shared" si="160"/>
        <v>15/05/2023</v>
      </c>
      <c r="I1338" s="2">
        <f t="shared" si="161"/>
        <v>0.5</v>
      </c>
      <c r="J1338" s="2">
        <f t="shared" si="162"/>
        <v>30</v>
      </c>
      <c r="K1338" s="6">
        <f t="shared" si="163"/>
        <v>0.51250000000000007</v>
      </c>
      <c r="L1338" s="2" t="str">
        <f t="shared" si="164"/>
        <v>VDG</v>
      </c>
      <c r="M1338" s="2">
        <f t="shared" si="165"/>
        <v>8</v>
      </c>
      <c r="N1338" s="2">
        <f t="shared" si="166"/>
        <v>2</v>
      </c>
      <c r="O1338" s="2">
        <f t="shared" si="167"/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 t="shared" si="153"/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>
      <c r="A1339" s="7">
        <f>MAX($A$1:$A1338)+1</f>
        <v>1338</v>
      </c>
      <c r="B1339" s="2" t="str">
        <f t="shared" si="157"/>
        <v>Em Lim</v>
      </c>
      <c r="C1339" s="2" t="str">
        <f t="shared" si="158"/>
        <v>Valesca de Groot</v>
      </c>
      <c r="D1339" s="2" t="str">
        <f t="shared" si="159"/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 t="shared" si="160"/>
        <v>15/05/2023</v>
      </c>
      <c r="I1339" s="2">
        <f t="shared" si="161"/>
        <v>0.5</v>
      </c>
      <c r="J1339" s="2">
        <f t="shared" si="162"/>
        <v>30</v>
      </c>
      <c r="K1339" s="6">
        <f t="shared" si="163"/>
        <v>0.51250000000000007</v>
      </c>
      <c r="L1339" s="2" t="str">
        <f t="shared" si="164"/>
        <v>VDG</v>
      </c>
      <c r="M1339" s="2">
        <f t="shared" si="165"/>
        <v>8</v>
      </c>
      <c r="N1339" s="2">
        <f t="shared" si="166"/>
        <v>2</v>
      </c>
      <c r="O1339" s="2">
        <f t="shared" si="167"/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 t="shared" si="153"/>
        <v>8</v>
      </c>
      <c r="T1339" s="2">
        <v>8</v>
      </c>
    </row>
    <row r="1340" spans="1:24">
      <c r="A1340" s="7">
        <f>MAX($A$1:$A1339)+1</f>
        <v>1339</v>
      </c>
      <c r="B1340" s="2" t="str">
        <f t="shared" si="157"/>
        <v>Em Lim</v>
      </c>
      <c r="C1340" s="2" t="str">
        <f t="shared" si="158"/>
        <v>Valesca de Groot</v>
      </c>
      <c r="D1340" s="2" t="str">
        <f t="shared" si="159"/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 t="shared" si="160"/>
        <v>15/05/2023</v>
      </c>
      <c r="I1340" s="2">
        <f t="shared" si="161"/>
        <v>0.5</v>
      </c>
      <c r="J1340" s="2">
        <f t="shared" si="162"/>
        <v>30</v>
      </c>
      <c r="K1340" s="6">
        <f t="shared" si="163"/>
        <v>0.51250000000000007</v>
      </c>
      <c r="L1340" s="2" t="str">
        <f t="shared" si="164"/>
        <v>VDG</v>
      </c>
      <c r="M1340" s="2">
        <f t="shared" si="165"/>
        <v>8</v>
      </c>
      <c r="N1340" s="2">
        <f t="shared" si="166"/>
        <v>2</v>
      </c>
      <c r="O1340" s="2">
        <f t="shared" si="167"/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 t="shared" si="153"/>
        <v>3</v>
      </c>
      <c r="T1340" s="2">
        <v>3</v>
      </c>
    </row>
    <row r="1341" spans="1:24">
      <c r="A1341" s="7">
        <f>MAX($A$1:$A1340)+1</f>
        <v>1340</v>
      </c>
      <c r="B1341" s="2" t="str">
        <f t="shared" si="157"/>
        <v>Em Lim</v>
      </c>
      <c r="C1341" s="2" t="str">
        <f t="shared" si="158"/>
        <v>Valesca de Groot</v>
      </c>
      <c r="D1341" s="2" t="str">
        <f t="shared" si="159"/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 t="shared" si="160"/>
        <v>15/05/2023</v>
      </c>
      <c r="I1341" s="2">
        <f t="shared" si="161"/>
        <v>0.5</v>
      </c>
      <c r="J1341" s="2">
        <f t="shared" si="162"/>
        <v>30</v>
      </c>
      <c r="K1341" s="6">
        <f t="shared" si="163"/>
        <v>0.51250000000000007</v>
      </c>
      <c r="L1341" s="2" t="str">
        <f t="shared" si="164"/>
        <v>VDG</v>
      </c>
      <c r="M1341" s="2">
        <f t="shared" si="165"/>
        <v>8</v>
      </c>
      <c r="N1341" s="2">
        <f t="shared" si="166"/>
        <v>2</v>
      </c>
      <c r="O1341" s="2">
        <f t="shared" si="167"/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 t="shared" si="153"/>
        <v>5</v>
      </c>
      <c r="T1341" s="2">
        <v>5</v>
      </c>
    </row>
    <row r="1342" spans="1:24">
      <c r="A1342" s="7">
        <f>MAX($A$1:$A1341)+1</f>
        <v>1341</v>
      </c>
      <c r="B1342" s="2" t="str">
        <f t="shared" si="157"/>
        <v>Em Lim</v>
      </c>
      <c r="C1342" s="2" t="str">
        <f t="shared" si="158"/>
        <v>Valesca de Groot</v>
      </c>
      <c r="D1342" s="2" t="str">
        <f t="shared" si="159"/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 t="shared" si="160"/>
        <v>15/05/2023</v>
      </c>
      <c r="I1342" s="2">
        <f t="shared" si="161"/>
        <v>0.5</v>
      </c>
      <c r="J1342" s="2">
        <f t="shared" si="162"/>
        <v>30</v>
      </c>
      <c r="K1342" s="6">
        <f t="shared" si="163"/>
        <v>0.51250000000000007</v>
      </c>
      <c r="L1342" s="2" t="str">
        <f t="shared" si="164"/>
        <v>VDG</v>
      </c>
      <c r="M1342" s="2">
        <f t="shared" si="165"/>
        <v>8</v>
      </c>
      <c r="N1342" s="2">
        <f t="shared" si="166"/>
        <v>2</v>
      </c>
      <c r="O1342" s="2">
        <f t="shared" si="167"/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 t="shared" si="153"/>
        <v>10</v>
      </c>
      <c r="T1342" s="2">
        <v>10</v>
      </c>
    </row>
    <row r="1343" spans="1:24">
      <c r="A1343" s="7">
        <f>MAX($A$1:$A1342)+1</f>
        <v>1342</v>
      </c>
      <c r="B1343" s="2" t="str">
        <f t="shared" si="157"/>
        <v>Em Lim</v>
      </c>
      <c r="C1343" s="2" t="str">
        <f t="shared" si="158"/>
        <v>Valesca de Groot</v>
      </c>
      <c r="D1343" s="2" t="str">
        <f t="shared" si="159"/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 t="shared" si="160"/>
        <v>15/05/2023</v>
      </c>
      <c r="I1343" s="2">
        <f t="shared" si="161"/>
        <v>0.5</v>
      </c>
      <c r="J1343" s="2">
        <f t="shared" si="162"/>
        <v>30</v>
      </c>
      <c r="K1343" s="6">
        <f t="shared" si="163"/>
        <v>0.51250000000000007</v>
      </c>
      <c r="L1343" s="2" t="str">
        <f t="shared" si="164"/>
        <v>VDG</v>
      </c>
      <c r="M1343" s="2">
        <f t="shared" si="165"/>
        <v>8</v>
      </c>
      <c r="N1343" s="2">
        <f t="shared" si="166"/>
        <v>2</v>
      </c>
      <c r="O1343" s="2">
        <f t="shared" si="167"/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 t="shared" si="153"/>
        <v>1</v>
      </c>
      <c r="T1343" s="2">
        <v>0</v>
      </c>
      <c r="W1343" s="2">
        <v>1</v>
      </c>
    </row>
    <row r="1344" spans="1:24">
      <c r="A1344" s="7">
        <f>MAX($A$1:$A1343)+1</f>
        <v>1343</v>
      </c>
      <c r="B1344" s="2" t="str">
        <f t="shared" si="157"/>
        <v>Em Lim</v>
      </c>
      <c r="C1344" s="2" t="str">
        <f t="shared" si="158"/>
        <v>Valesca de Groot</v>
      </c>
      <c r="D1344" s="2" t="str">
        <f t="shared" si="159"/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 t="shared" si="160"/>
        <v>15/05/2023</v>
      </c>
      <c r="I1344" s="2">
        <f t="shared" si="161"/>
        <v>0.5</v>
      </c>
      <c r="J1344" s="2">
        <f t="shared" si="162"/>
        <v>30</v>
      </c>
      <c r="K1344" s="6">
        <f t="shared" si="163"/>
        <v>0.51250000000000007</v>
      </c>
      <c r="L1344" s="2" t="str">
        <f t="shared" si="164"/>
        <v>VDG</v>
      </c>
      <c r="M1344" s="2">
        <f t="shared" si="165"/>
        <v>8</v>
      </c>
      <c r="N1344" s="2">
        <f t="shared" si="166"/>
        <v>2</v>
      </c>
      <c r="O1344" s="2">
        <f t="shared" si="167"/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 t="shared" si="153"/>
        <v>3</v>
      </c>
      <c r="T1344" s="2">
        <v>3</v>
      </c>
    </row>
    <row r="1345" spans="1:28">
      <c r="A1345" s="7">
        <f>MAX($A$1:$A1344)+1</f>
        <v>1344</v>
      </c>
      <c r="B1345" s="2" t="str">
        <f t="shared" si="157"/>
        <v>Em Lim</v>
      </c>
      <c r="C1345" s="2" t="str">
        <f t="shared" si="158"/>
        <v>Valesca de Groot</v>
      </c>
      <c r="D1345" s="2" t="str">
        <f t="shared" si="159"/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 t="shared" si="160"/>
        <v>15/05/2023</v>
      </c>
      <c r="I1345" s="2">
        <f t="shared" si="161"/>
        <v>0.5</v>
      </c>
      <c r="J1345" s="2">
        <f t="shared" si="162"/>
        <v>30</v>
      </c>
      <c r="K1345" s="6">
        <f t="shared" si="163"/>
        <v>0.51250000000000007</v>
      </c>
      <c r="L1345" s="2" t="str">
        <f t="shared" si="164"/>
        <v>VDG</v>
      </c>
      <c r="M1345" s="2">
        <f t="shared" si="165"/>
        <v>8</v>
      </c>
      <c r="N1345" s="2">
        <f t="shared" si="166"/>
        <v>2</v>
      </c>
      <c r="O1345" s="2">
        <f t="shared" si="167"/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 t="shared" si="153"/>
        <v>1</v>
      </c>
      <c r="T1345" s="2">
        <v>1</v>
      </c>
    </row>
    <row r="1346" spans="1:28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>
      <c r="A1411" s="7">
        <f>MAX($A$1:$A1410)+1</f>
        <v>1410</v>
      </c>
      <c r="B1411" s="2" t="str">
        <f t="shared" ref="B1411:B1438" si="168"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 t="shared" ref="S1411:S1438" si="169"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>
      <c r="A1412" s="7">
        <f>MAX($A$1:$A1411)+1</f>
        <v>1411</v>
      </c>
      <c r="B1412" s="2" t="str">
        <f t="shared" si="168"/>
        <v>Em Lim</v>
      </c>
      <c r="C1412" s="2" t="str">
        <f t="shared" ref="C1412:C1438" si="170">IF(ISERROR(C1411),IF(ISERROR(C1410),IF(ISERROR(C1409),"BLANK",C1409),C1410),C1411)</f>
        <v>Valesca de Groot</v>
      </c>
      <c r="D1412" s="2" t="str">
        <f t="shared" ref="D1412:D1438" si="171"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 t="shared" ref="H1412:O1413" si="172">IF(ISERROR(H1411),IF(ISERROR(H1410),IF(ISERROR(H1409),"BLANK",H1409),H1410),H1411)</f>
        <v>17/05/2023</v>
      </c>
      <c r="I1412" s="2">
        <f t="shared" si="172"/>
        <v>5</v>
      </c>
      <c r="J1412" s="2">
        <f t="shared" si="172"/>
        <v>240</v>
      </c>
      <c r="K1412" s="6">
        <f t="shared" si="172"/>
        <v>0.43055555555555558</v>
      </c>
      <c r="L1412" s="2" t="str">
        <f t="shared" si="172"/>
        <v>VDG</v>
      </c>
      <c r="M1412" s="2">
        <f t="shared" si="172"/>
        <v>5.5</v>
      </c>
      <c r="N1412" s="2">
        <f t="shared" si="172"/>
        <v>1</v>
      </c>
      <c r="O1412" s="2">
        <f t="shared" si="172"/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 t="shared" si="169"/>
        <v>1</v>
      </c>
      <c r="T1412" s="2">
        <v>0</v>
      </c>
      <c r="X1412" s="2">
        <v>1</v>
      </c>
    </row>
    <row r="1413" spans="1:36">
      <c r="A1413" s="7">
        <f>MAX($A$1:$A1412)+1</f>
        <v>1412</v>
      </c>
      <c r="B1413" s="2" t="str">
        <f t="shared" si="168"/>
        <v>Em Lim</v>
      </c>
      <c r="C1413" s="2" t="str">
        <f t="shared" si="170"/>
        <v>Valesca de Groot</v>
      </c>
      <c r="D1413" s="2" t="str">
        <f t="shared" si="171"/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 t="shared" si="172"/>
        <v>17/05/2023</v>
      </c>
      <c r="I1413" s="2">
        <f t="shared" si="172"/>
        <v>5</v>
      </c>
      <c r="J1413" s="2">
        <f t="shared" si="172"/>
        <v>240</v>
      </c>
      <c r="K1413" s="6">
        <f t="shared" si="172"/>
        <v>0.43055555555555558</v>
      </c>
      <c r="L1413" s="2" t="str">
        <f t="shared" si="172"/>
        <v>VDG</v>
      </c>
      <c r="M1413" s="2">
        <f t="shared" si="172"/>
        <v>5.5</v>
      </c>
      <c r="N1413" s="2">
        <f t="shared" si="172"/>
        <v>1</v>
      </c>
      <c r="O1413" s="2">
        <f t="shared" si="172"/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 t="shared" si="169"/>
        <v>1</v>
      </c>
      <c r="T1413" s="2">
        <v>0</v>
      </c>
      <c r="AJ1413" s="2">
        <v>1</v>
      </c>
    </row>
    <row r="1414" spans="1:36">
      <c r="A1414" s="7">
        <f>MAX($A$1:$A1413)+1</f>
        <v>1413</v>
      </c>
      <c r="B1414" s="2" t="str">
        <f t="shared" si="168"/>
        <v>Em Lim</v>
      </c>
      <c r="C1414" s="2" t="str">
        <f t="shared" si="170"/>
        <v>Valesca de Groot</v>
      </c>
      <c r="D1414" s="2" t="str">
        <f t="shared" si="171"/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 t="shared" ref="H1414:H1438" si="173">IF(ISERROR(H1413),IF(ISERROR(H1412),IF(ISERROR(H1411),"BLANK",H1411),H1412),H1413)</f>
        <v>17/05/2023</v>
      </c>
      <c r="I1414" s="2">
        <f t="shared" ref="I1414:I1438" si="174">IF(ISERROR(I1413),IF(ISERROR(I1412),IF(ISERROR(I1411),"BLANK",I1411),I1412),I1413)</f>
        <v>5</v>
      </c>
      <c r="J1414" s="2">
        <f t="shared" ref="J1414:J1438" si="175">IF(ISERROR(J1413),IF(ISERROR(J1412),IF(ISERROR(J1411),"BLANK",J1411),J1412),J1413)</f>
        <v>240</v>
      </c>
      <c r="K1414" s="6">
        <f t="shared" ref="K1414:K1438" si="176">IF(ISERROR(K1413),IF(ISERROR(K1412),IF(ISERROR(K1411),"BLANK",K1411),K1412),K1413)</f>
        <v>0.43055555555555558</v>
      </c>
      <c r="L1414" s="2" t="str">
        <f t="shared" ref="L1414:L1438" si="177">IF(ISERROR(L1413),IF(ISERROR(L1412),IF(ISERROR(L1411),"BLANK",L1411),L1412),L1413)</f>
        <v>VDG</v>
      </c>
      <c r="M1414" s="2">
        <f t="shared" ref="M1414:M1438" si="178">IF(ISERROR(M1413),IF(ISERROR(M1412),IF(ISERROR(M1411),"BLANK",M1411),M1412),M1413)</f>
        <v>5.5</v>
      </c>
      <c r="N1414" s="2">
        <v>0</v>
      </c>
      <c r="O1414" s="2">
        <f t="shared" ref="O1414:O1438" si="179"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 t="shared" si="169"/>
        <v>2</v>
      </c>
      <c r="T1414" s="2">
        <v>0</v>
      </c>
      <c r="Z1414" s="2">
        <v>2</v>
      </c>
    </row>
    <row r="1415" spans="1:36">
      <c r="A1415" s="7">
        <f>MAX($A$1:$A1414)+1</f>
        <v>1414</v>
      </c>
      <c r="B1415" s="2" t="str">
        <f t="shared" si="168"/>
        <v>Em Lim</v>
      </c>
      <c r="C1415" s="2" t="str">
        <f t="shared" si="170"/>
        <v>Valesca de Groot</v>
      </c>
      <c r="D1415" s="2" t="str">
        <f t="shared" si="171"/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 t="shared" si="173"/>
        <v>17/05/2023</v>
      </c>
      <c r="I1415" s="2">
        <f t="shared" si="174"/>
        <v>5</v>
      </c>
      <c r="J1415" s="2">
        <f t="shared" si="175"/>
        <v>240</v>
      </c>
      <c r="K1415" s="6">
        <f t="shared" si="176"/>
        <v>0.43055555555555558</v>
      </c>
      <c r="L1415" s="2" t="str">
        <f t="shared" si="177"/>
        <v>VDG</v>
      </c>
      <c r="M1415" s="2">
        <f t="shared" si="178"/>
        <v>5.5</v>
      </c>
      <c r="N1415" s="2">
        <v>2</v>
      </c>
      <c r="O1415" s="2">
        <f t="shared" si="179"/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 t="shared" si="169"/>
        <v>650</v>
      </c>
      <c r="T1415" s="2">
        <v>650</v>
      </c>
    </row>
    <row r="1416" spans="1:36">
      <c r="A1416" s="7">
        <f>MAX($A$1:$A1415)+1</f>
        <v>1415</v>
      </c>
      <c r="B1416" s="2" t="str">
        <f t="shared" si="168"/>
        <v>Em Lim</v>
      </c>
      <c r="C1416" s="2" t="str">
        <f t="shared" si="170"/>
        <v>Valesca de Groot</v>
      </c>
      <c r="D1416" s="2" t="str">
        <f t="shared" si="171"/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 t="shared" si="173"/>
        <v>17/05/2023</v>
      </c>
      <c r="I1416" s="2">
        <f t="shared" si="174"/>
        <v>5</v>
      </c>
      <c r="J1416" s="2">
        <f t="shared" si="175"/>
        <v>240</v>
      </c>
      <c r="K1416" s="6">
        <f t="shared" si="176"/>
        <v>0.43055555555555558</v>
      </c>
      <c r="L1416" s="2" t="str">
        <f t="shared" si="177"/>
        <v>VDG</v>
      </c>
      <c r="M1416" s="2">
        <f t="shared" si="178"/>
        <v>5.5</v>
      </c>
      <c r="N1416" s="2">
        <f t="shared" ref="N1416:N1438" si="180">IF(ISERROR(N1415),IF(ISERROR(N1414),IF(ISERROR(N1413),"BLANK",N1413),N1414),N1415)</f>
        <v>2</v>
      </c>
      <c r="O1416" s="2">
        <f t="shared" si="179"/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 t="shared" si="169"/>
        <v>5</v>
      </c>
      <c r="T1416" s="2">
        <v>5</v>
      </c>
    </row>
    <row r="1417" spans="1:36">
      <c r="A1417" s="7">
        <f>MAX($A$1:$A1416)+1</f>
        <v>1416</v>
      </c>
      <c r="B1417" s="2" t="str">
        <f t="shared" si="168"/>
        <v>Em Lim</v>
      </c>
      <c r="C1417" s="2" t="str">
        <f t="shared" si="170"/>
        <v>Valesca de Groot</v>
      </c>
      <c r="D1417" s="2" t="str">
        <f t="shared" si="171"/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 t="shared" si="173"/>
        <v>17/05/2023</v>
      </c>
      <c r="I1417" s="2">
        <f t="shared" si="174"/>
        <v>5</v>
      </c>
      <c r="J1417" s="2">
        <f t="shared" si="175"/>
        <v>240</v>
      </c>
      <c r="K1417" s="6">
        <f t="shared" si="176"/>
        <v>0.43055555555555558</v>
      </c>
      <c r="L1417" s="2" t="str">
        <f t="shared" si="177"/>
        <v>VDG</v>
      </c>
      <c r="M1417" s="2">
        <f t="shared" si="178"/>
        <v>5.5</v>
      </c>
      <c r="N1417" s="2">
        <f t="shared" si="180"/>
        <v>2</v>
      </c>
      <c r="O1417" s="2">
        <f t="shared" si="179"/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 t="shared" si="169"/>
        <v>43</v>
      </c>
      <c r="T1417" s="2">
        <v>43</v>
      </c>
    </row>
    <row r="1418" spans="1:36">
      <c r="A1418" s="7">
        <f>MAX($A$1:$A1417)+1</f>
        <v>1417</v>
      </c>
      <c r="B1418" s="2" t="str">
        <f t="shared" si="168"/>
        <v>Em Lim</v>
      </c>
      <c r="C1418" s="2" t="str">
        <f t="shared" si="170"/>
        <v>Valesca de Groot</v>
      </c>
      <c r="D1418" s="2" t="str">
        <f t="shared" si="171"/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 t="shared" si="173"/>
        <v>17/05/2023</v>
      </c>
      <c r="I1418" s="2">
        <f t="shared" si="174"/>
        <v>5</v>
      </c>
      <c r="J1418" s="2">
        <f t="shared" si="175"/>
        <v>240</v>
      </c>
      <c r="K1418" s="6">
        <f t="shared" si="176"/>
        <v>0.43055555555555558</v>
      </c>
      <c r="L1418" s="2" t="str">
        <f t="shared" si="177"/>
        <v>VDG</v>
      </c>
      <c r="M1418" s="2">
        <f t="shared" si="178"/>
        <v>5.5</v>
      </c>
      <c r="N1418" s="2">
        <f t="shared" si="180"/>
        <v>2</v>
      </c>
      <c r="O1418" s="2">
        <f t="shared" si="179"/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 t="shared" si="169"/>
        <v>45</v>
      </c>
      <c r="T1418" s="2">
        <v>45</v>
      </c>
    </row>
    <row r="1419" spans="1:36">
      <c r="A1419" s="7">
        <f>MAX($A$1:$A1418)+1</f>
        <v>1418</v>
      </c>
      <c r="B1419" s="2" t="str">
        <f t="shared" si="168"/>
        <v>Em Lim</v>
      </c>
      <c r="C1419" s="2" t="str">
        <f t="shared" si="170"/>
        <v>Valesca de Groot</v>
      </c>
      <c r="D1419" s="2" t="str">
        <f t="shared" si="171"/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 t="shared" si="173"/>
        <v>17/05/2023</v>
      </c>
      <c r="I1419" s="2">
        <f t="shared" si="174"/>
        <v>5</v>
      </c>
      <c r="J1419" s="2">
        <f t="shared" si="175"/>
        <v>240</v>
      </c>
      <c r="K1419" s="6">
        <f t="shared" si="176"/>
        <v>0.43055555555555558</v>
      </c>
      <c r="L1419" s="2" t="str">
        <f t="shared" si="177"/>
        <v>VDG</v>
      </c>
      <c r="M1419" s="2">
        <f t="shared" si="178"/>
        <v>5.5</v>
      </c>
      <c r="N1419" s="2">
        <f t="shared" si="180"/>
        <v>2</v>
      </c>
      <c r="O1419" s="2">
        <f t="shared" si="179"/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 t="shared" si="169"/>
        <v>29</v>
      </c>
      <c r="T1419" s="2">
        <v>29</v>
      </c>
    </row>
    <row r="1420" spans="1:36">
      <c r="A1420" s="7">
        <f>MAX($A$1:$A1419)+1</f>
        <v>1419</v>
      </c>
      <c r="B1420" s="2" t="str">
        <f t="shared" si="168"/>
        <v>Em Lim</v>
      </c>
      <c r="C1420" s="2" t="str">
        <f t="shared" si="170"/>
        <v>Valesca de Groot</v>
      </c>
      <c r="D1420" s="2" t="str">
        <f t="shared" si="171"/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 t="shared" si="173"/>
        <v>17/05/2023</v>
      </c>
      <c r="I1420" s="2">
        <f t="shared" si="174"/>
        <v>5</v>
      </c>
      <c r="J1420" s="2">
        <f t="shared" si="175"/>
        <v>240</v>
      </c>
      <c r="K1420" s="6">
        <f t="shared" si="176"/>
        <v>0.43055555555555558</v>
      </c>
      <c r="L1420" s="2" t="str">
        <f t="shared" si="177"/>
        <v>VDG</v>
      </c>
      <c r="M1420" s="2">
        <f t="shared" si="178"/>
        <v>5.5</v>
      </c>
      <c r="N1420" s="2">
        <f t="shared" si="180"/>
        <v>2</v>
      </c>
      <c r="O1420" s="2">
        <f t="shared" si="179"/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 t="shared" si="169"/>
        <v>8</v>
      </c>
      <c r="T1420" s="2">
        <v>8</v>
      </c>
    </row>
    <row r="1421" spans="1:36">
      <c r="A1421" s="7">
        <f>MAX($A$1:$A1420)+1</f>
        <v>1420</v>
      </c>
      <c r="B1421" s="2" t="str">
        <f t="shared" si="168"/>
        <v>Em Lim</v>
      </c>
      <c r="C1421" s="2" t="str">
        <f t="shared" si="170"/>
        <v>Valesca de Groot</v>
      </c>
      <c r="D1421" s="2" t="str">
        <f t="shared" si="171"/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 t="shared" si="173"/>
        <v>17/05/2023</v>
      </c>
      <c r="I1421" s="2">
        <f t="shared" si="174"/>
        <v>5</v>
      </c>
      <c r="J1421" s="2">
        <f t="shared" si="175"/>
        <v>240</v>
      </c>
      <c r="K1421" s="6">
        <f t="shared" si="176"/>
        <v>0.43055555555555558</v>
      </c>
      <c r="L1421" s="2" t="str">
        <f t="shared" si="177"/>
        <v>VDG</v>
      </c>
      <c r="M1421" s="2">
        <f t="shared" si="178"/>
        <v>5.5</v>
      </c>
      <c r="N1421" s="2">
        <f t="shared" si="180"/>
        <v>2</v>
      </c>
      <c r="O1421" s="2">
        <f t="shared" si="179"/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 t="shared" si="169"/>
        <v>9</v>
      </c>
      <c r="T1421" s="2">
        <v>9</v>
      </c>
    </row>
    <row r="1422" spans="1:36">
      <c r="A1422" s="7">
        <f>MAX($A$1:$A1421)+1</f>
        <v>1421</v>
      </c>
      <c r="B1422" s="2" t="str">
        <f t="shared" si="168"/>
        <v>Em Lim</v>
      </c>
      <c r="C1422" s="2" t="str">
        <f t="shared" si="170"/>
        <v>Valesca de Groot</v>
      </c>
      <c r="D1422" s="2" t="str">
        <f t="shared" si="171"/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 t="shared" si="173"/>
        <v>17/05/2023</v>
      </c>
      <c r="I1422" s="2">
        <f t="shared" si="174"/>
        <v>5</v>
      </c>
      <c r="J1422" s="2">
        <f t="shared" si="175"/>
        <v>240</v>
      </c>
      <c r="K1422" s="6">
        <f t="shared" si="176"/>
        <v>0.43055555555555558</v>
      </c>
      <c r="L1422" s="2" t="str">
        <f t="shared" si="177"/>
        <v>VDG</v>
      </c>
      <c r="M1422" s="2">
        <f t="shared" si="178"/>
        <v>5.5</v>
      </c>
      <c r="N1422" s="2">
        <f t="shared" si="180"/>
        <v>2</v>
      </c>
      <c r="O1422" s="2">
        <f t="shared" si="179"/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 t="shared" si="169"/>
        <v>6</v>
      </c>
      <c r="T1422" s="2">
        <v>6</v>
      </c>
    </row>
    <row r="1423" spans="1:36">
      <c r="A1423" s="7">
        <f>MAX($A$1:$A1422)+1</f>
        <v>1422</v>
      </c>
      <c r="B1423" s="2" t="str">
        <f t="shared" si="168"/>
        <v>Em Lim</v>
      </c>
      <c r="C1423" s="2" t="str">
        <f t="shared" si="170"/>
        <v>Valesca de Groot</v>
      </c>
      <c r="D1423" s="2" t="str">
        <f t="shared" si="171"/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 t="shared" si="173"/>
        <v>17/05/2023</v>
      </c>
      <c r="I1423" s="2">
        <f t="shared" si="174"/>
        <v>5</v>
      </c>
      <c r="J1423" s="2">
        <f t="shared" si="175"/>
        <v>240</v>
      </c>
      <c r="K1423" s="6">
        <f t="shared" si="176"/>
        <v>0.43055555555555558</v>
      </c>
      <c r="L1423" s="2" t="str">
        <f t="shared" si="177"/>
        <v>VDG</v>
      </c>
      <c r="M1423" s="2">
        <f t="shared" si="178"/>
        <v>5.5</v>
      </c>
      <c r="N1423" s="2">
        <f t="shared" si="180"/>
        <v>2</v>
      </c>
      <c r="O1423" s="2">
        <f t="shared" si="179"/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 t="shared" si="169"/>
        <v>1</v>
      </c>
      <c r="T1423" s="2">
        <v>1</v>
      </c>
    </row>
    <row r="1424" spans="1:36">
      <c r="A1424" s="7">
        <f>MAX($A$1:$A1423)+1</f>
        <v>1423</v>
      </c>
      <c r="B1424" s="2" t="str">
        <f t="shared" si="168"/>
        <v>Em Lim</v>
      </c>
      <c r="C1424" s="2" t="str">
        <f t="shared" si="170"/>
        <v>Valesca de Groot</v>
      </c>
      <c r="D1424" s="2" t="str">
        <f t="shared" si="171"/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 t="shared" si="173"/>
        <v>17/05/2023</v>
      </c>
      <c r="I1424" s="2">
        <f t="shared" si="174"/>
        <v>5</v>
      </c>
      <c r="J1424" s="2">
        <f t="shared" si="175"/>
        <v>240</v>
      </c>
      <c r="K1424" s="6">
        <f t="shared" si="176"/>
        <v>0.43055555555555558</v>
      </c>
      <c r="L1424" s="2" t="str">
        <f t="shared" si="177"/>
        <v>VDG</v>
      </c>
      <c r="M1424" s="2">
        <f t="shared" si="178"/>
        <v>5.5</v>
      </c>
      <c r="N1424" s="2">
        <f t="shared" si="180"/>
        <v>2</v>
      </c>
      <c r="O1424" s="2">
        <f t="shared" si="179"/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 t="shared" si="169"/>
        <v>24</v>
      </c>
      <c r="T1424" s="2">
        <v>24</v>
      </c>
    </row>
    <row r="1425" spans="1:32">
      <c r="A1425" s="7">
        <f>MAX($A$1:$A1424)+1</f>
        <v>1424</v>
      </c>
      <c r="B1425" s="2" t="str">
        <f t="shared" si="168"/>
        <v>Em Lim</v>
      </c>
      <c r="C1425" s="2" t="str">
        <f t="shared" si="170"/>
        <v>Valesca de Groot</v>
      </c>
      <c r="D1425" s="2" t="str">
        <f t="shared" si="171"/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 t="shared" si="173"/>
        <v>17/05/2023</v>
      </c>
      <c r="I1425" s="2">
        <f t="shared" si="174"/>
        <v>5</v>
      </c>
      <c r="J1425" s="2">
        <f t="shared" si="175"/>
        <v>240</v>
      </c>
      <c r="K1425" s="6">
        <f t="shared" si="176"/>
        <v>0.43055555555555558</v>
      </c>
      <c r="L1425" s="2" t="str">
        <f t="shared" si="177"/>
        <v>VDG</v>
      </c>
      <c r="M1425" s="2">
        <f t="shared" si="178"/>
        <v>5.5</v>
      </c>
      <c r="N1425" s="2">
        <f t="shared" si="180"/>
        <v>2</v>
      </c>
      <c r="O1425" s="2">
        <f t="shared" si="179"/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 t="shared" si="169"/>
        <v>3</v>
      </c>
      <c r="T1425" s="2">
        <v>0</v>
      </c>
      <c r="U1425" s="2">
        <v>2</v>
      </c>
      <c r="V1425" s="2">
        <v>1</v>
      </c>
    </row>
    <row r="1426" spans="1:32">
      <c r="A1426" s="7">
        <f>MAX($A$1:$A1425)+1</f>
        <v>1425</v>
      </c>
      <c r="B1426" s="2" t="str">
        <f t="shared" si="168"/>
        <v>Em Lim</v>
      </c>
      <c r="C1426" s="2" t="str">
        <f t="shared" si="170"/>
        <v>Valesca de Groot</v>
      </c>
      <c r="D1426" s="2" t="str">
        <f t="shared" si="171"/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 t="shared" si="173"/>
        <v>17/05/2023</v>
      </c>
      <c r="I1426" s="2">
        <f t="shared" si="174"/>
        <v>5</v>
      </c>
      <c r="J1426" s="2">
        <f t="shared" si="175"/>
        <v>240</v>
      </c>
      <c r="K1426" s="6">
        <f t="shared" si="176"/>
        <v>0.43055555555555558</v>
      </c>
      <c r="L1426" s="2" t="str">
        <f t="shared" si="177"/>
        <v>VDG</v>
      </c>
      <c r="M1426" s="2">
        <f t="shared" si="178"/>
        <v>5.5</v>
      </c>
      <c r="N1426" s="2">
        <f t="shared" si="180"/>
        <v>2</v>
      </c>
      <c r="O1426" s="2">
        <f t="shared" si="179"/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 t="shared" si="169"/>
        <v>5</v>
      </c>
      <c r="T1426" s="2">
        <v>0</v>
      </c>
      <c r="U1426" s="2">
        <v>4</v>
      </c>
      <c r="V1426" s="2">
        <v>1</v>
      </c>
    </row>
    <row r="1427" spans="1:32">
      <c r="A1427" s="7">
        <f>MAX($A$1:$A1426)+1</f>
        <v>1426</v>
      </c>
      <c r="B1427" s="2" t="str">
        <f t="shared" si="168"/>
        <v>Em Lim</v>
      </c>
      <c r="C1427" s="2" t="str">
        <f t="shared" si="170"/>
        <v>Valesca de Groot</v>
      </c>
      <c r="D1427" s="2" t="str">
        <f t="shared" si="171"/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 t="shared" si="173"/>
        <v>17/05/2023</v>
      </c>
      <c r="I1427" s="2">
        <f t="shared" si="174"/>
        <v>5</v>
      </c>
      <c r="J1427" s="2">
        <f t="shared" si="175"/>
        <v>240</v>
      </c>
      <c r="K1427" s="6">
        <f t="shared" si="176"/>
        <v>0.43055555555555558</v>
      </c>
      <c r="L1427" s="2" t="str">
        <f t="shared" si="177"/>
        <v>VDG</v>
      </c>
      <c r="M1427" s="2">
        <f t="shared" si="178"/>
        <v>5.5</v>
      </c>
      <c r="N1427" s="2">
        <f t="shared" si="180"/>
        <v>2</v>
      </c>
      <c r="O1427" s="2">
        <f t="shared" si="179"/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 t="shared" si="169"/>
        <v>1</v>
      </c>
      <c r="T1427" s="2">
        <v>1</v>
      </c>
    </row>
    <row r="1428" spans="1:32">
      <c r="A1428" s="7">
        <f>MAX($A$1:$A1427)+1</f>
        <v>1427</v>
      </c>
      <c r="B1428" s="2" t="str">
        <f t="shared" si="168"/>
        <v>Em Lim</v>
      </c>
      <c r="C1428" s="2" t="str">
        <f t="shared" si="170"/>
        <v>Valesca de Groot</v>
      </c>
      <c r="D1428" s="2" t="str">
        <f t="shared" si="171"/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 t="shared" si="173"/>
        <v>17/05/2023</v>
      </c>
      <c r="I1428" s="2">
        <f t="shared" si="174"/>
        <v>5</v>
      </c>
      <c r="J1428" s="2">
        <f t="shared" si="175"/>
        <v>240</v>
      </c>
      <c r="K1428" s="6">
        <f t="shared" si="176"/>
        <v>0.43055555555555558</v>
      </c>
      <c r="L1428" s="2" t="str">
        <f t="shared" si="177"/>
        <v>VDG</v>
      </c>
      <c r="M1428" s="2">
        <f t="shared" si="178"/>
        <v>5.5</v>
      </c>
      <c r="N1428" s="2">
        <f t="shared" si="180"/>
        <v>2</v>
      </c>
      <c r="O1428" s="2">
        <f t="shared" si="179"/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 t="shared" si="169"/>
        <v>15</v>
      </c>
      <c r="T1428" s="2">
        <v>15</v>
      </c>
    </row>
    <row r="1429" spans="1:32">
      <c r="A1429" s="7">
        <f>MAX($A$1:$A1428)+1</f>
        <v>1428</v>
      </c>
      <c r="B1429" s="2" t="str">
        <f t="shared" si="168"/>
        <v>Em Lim</v>
      </c>
      <c r="C1429" s="2" t="str">
        <f t="shared" si="170"/>
        <v>Valesca de Groot</v>
      </c>
      <c r="D1429" s="2" t="str">
        <f t="shared" si="171"/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 t="shared" si="173"/>
        <v>17/05/2023</v>
      </c>
      <c r="I1429" s="2">
        <f t="shared" si="174"/>
        <v>5</v>
      </c>
      <c r="J1429" s="2">
        <f t="shared" si="175"/>
        <v>240</v>
      </c>
      <c r="K1429" s="6">
        <f t="shared" si="176"/>
        <v>0.43055555555555558</v>
      </c>
      <c r="L1429" s="2" t="str">
        <f t="shared" si="177"/>
        <v>VDG</v>
      </c>
      <c r="M1429" s="2">
        <f t="shared" si="178"/>
        <v>5.5</v>
      </c>
      <c r="N1429" s="2">
        <f t="shared" si="180"/>
        <v>2</v>
      </c>
      <c r="O1429" s="2">
        <f t="shared" si="179"/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 t="shared" si="169"/>
        <v>4</v>
      </c>
      <c r="T1429" s="2">
        <v>4</v>
      </c>
    </row>
    <row r="1430" spans="1:32">
      <c r="A1430" s="7">
        <f>MAX($A$1:$A1429)+1</f>
        <v>1429</v>
      </c>
      <c r="B1430" s="2" t="str">
        <f t="shared" si="168"/>
        <v>Em Lim</v>
      </c>
      <c r="C1430" s="2" t="str">
        <f t="shared" si="170"/>
        <v>Valesca de Groot</v>
      </c>
      <c r="D1430" s="2" t="str">
        <f t="shared" si="171"/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 t="shared" si="173"/>
        <v>17/05/2023</v>
      </c>
      <c r="I1430" s="2">
        <f t="shared" si="174"/>
        <v>5</v>
      </c>
      <c r="J1430" s="2">
        <f t="shared" si="175"/>
        <v>240</v>
      </c>
      <c r="K1430" s="6">
        <f t="shared" si="176"/>
        <v>0.43055555555555558</v>
      </c>
      <c r="L1430" s="2" t="str">
        <f t="shared" si="177"/>
        <v>VDG</v>
      </c>
      <c r="M1430" s="2">
        <f t="shared" si="178"/>
        <v>5.5</v>
      </c>
      <c r="N1430" s="2">
        <f t="shared" si="180"/>
        <v>2</v>
      </c>
      <c r="O1430" s="2">
        <f t="shared" si="179"/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 t="shared" si="169"/>
        <v>2</v>
      </c>
      <c r="T1430" s="2">
        <v>0</v>
      </c>
      <c r="W1430" s="2">
        <v>1</v>
      </c>
      <c r="X1430" s="2">
        <v>1</v>
      </c>
    </row>
    <row r="1431" spans="1:32">
      <c r="A1431" s="7">
        <f>MAX($A$1:$A1430)+1</f>
        <v>1430</v>
      </c>
      <c r="B1431" s="2" t="str">
        <f t="shared" si="168"/>
        <v>Em Lim</v>
      </c>
      <c r="C1431" s="2" t="str">
        <f t="shared" si="170"/>
        <v>Valesca de Groot</v>
      </c>
      <c r="D1431" s="2" t="str">
        <f t="shared" si="171"/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 t="shared" si="173"/>
        <v>17/05/2023</v>
      </c>
      <c r="I1431" s="2">
        <f t="shared" si="174"/>
        <v>5</v>
      </c>
      <c r="J1431" s="2">
        <f t="shared" si="175"/>
        <v>240</v>
      </c>
      <c r="K1431" s="6">
        <f t="shared" si="176"/>
        <v>0.43055555555555558</v>
      </c>
      <c r="L1431" s="2" t="str">
        <f t="shared" si="177"/>
        <v>VDG</v>
      </c>
      <c r="M1431" s="2">
        <f t="shared" si="178"/>
        <v>5.5</v>
      </c>
      <c r="N1431" s="2">
        <f t="shared" si="180"/>
        <v>2</v>
      </c>
      <c r="O1431" s="2">
        <f t="shared" si="179"/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 t="shared" si="169"/>
        <v>3</v>
      </c>
      <c r="T1431" s="2">
        <v>0</v>
      </c>
      <c r="U1431" s="2">
        <v>1</v>
      </c>
      <c r="V1431" s="2">
        <v>2</v>
      </c>
    </row>
    <row r="1432" spans="1:32">
      <c r="A1432" s="7">
        <f>MAX($A$1:$A1431)+1</f>
        <v>1431</v>
      </c>
      <c r="B1432" s="2" t="str">
        <f t="shared" si="168"/>
        <v>Em Lim</v>
      </c>
      <c r="C1432" s="2" t="str">
        <f t="shared" si="170"/>
        <v>Valesca de Groot</v>
      </c>
      <c r="D1432" s="2" t="str">
        <f t="shared" si="171"/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 t="shared" si="173"/>
        <v>17/05/2023</v>
      </c>
      <c r="I1432" s="2">
        <f t="shared" si="174"/>
        <v>5</v>
      </c>
      <c r="J1432" s="2">
        <f t="shared" si="175"/>
        <v>240</v>
      </c>
      <c r="K1432" s="6">
        <f t="shared" si="176"/>
        <v>0.43055555555555558</v>
      </c>
      <c r="L1432" s="2" t="str">
        <f t="shared" si="177"/>
        <v>VDG</v>
      </c>
      <c r="M1432" s="2">
        <f t="shared" si="178"/>
        <v>5.5</v>
      </c>
      <c r="N1432" s="2">
        <f t="shared" si="180"/>
        <v>2</v>
      </c>
      <c r="O1432" s="2">
        <f t="shared" si="179"/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 t="shared" si="169"/>
        <v>1</v>
      </c>
      <c r="T1432" s="2">
        <v>0</v>
      </c>
      <c r="AF1432" s="2">
        <v>1</v>
      </c>
    </row>
    <row r="1433" spans="1:32">
      <c r="A1433" s="7">
        <f>MAX($A$1:$A1432)+1</f>
        <v>1432</v>
      </c>
      <c r="B1433" s="2" t="str">
        <f t="shared" si="168"/>
        <v>Em Lim</v>
      </c>
      <c r="C1433" s="2" t="str">
        <f t="shared" si="170"/>
        <v>Valesca de Groot</v>
      </c>
      <c r="D1433" s="2" t="str">
        <f t="shared" si="171"/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 t="shared" si="173"/>
        <v>17/05/2023</v>
      </c>
      <c r="I1433" s="2">
        <f t="shared" si="174"/>
        <v>5</v>
      </c>
      <c r="J1433" s="2">
        <f t="shared" si="175"/>
        <v>240</v>
      </c>
      <c r="K1433" s="6">
        <f t="shared" si="176"/>
        <v>0.43055555555555558</v>
      </c>
      <c r="L1433" s="2" t="str">
        <f t="shared" si="177"/>
        <v>VDG</v>
      </c>
      <c r="M1433" s="2">
        <f t="shared" si="178"/>
        <v>5.5</v>
      </c>
      <c r="N1433" s="2">
        <f t="shared" si="180"/>
        <v>2</v>
      </c>
      <c r="O1433" s="2">
        <f t="shared" si="179"/>
        <v>1</v>
      </c>
      <c r="P1433" s="27" t="s">
        <v>273</v>
      </c>
      <c r="Q1433" s="7" t="s">
        <v>274</v>
      </c>
      <c r="R1433" s="4" t="s">
        <v>275</v>
      </c>
      <c r="S1433" s="20">
        <f t="shared" si="169"/>
        <v>1</v>
      </c>
      <c r="T1433" s="2">
        <v>0</v>
      </c>
      <c r="U1433" s="2">
        <v>1</v>
      </c>
    </row>
    <row r="1434" spans="1:32">
      <c r="A1434" s="7">
        <f>MAX($A$1:$A1433)+1</f>
        <v>1433</v>
      </c>
      <c r="B1434" s="2" t="str">
        <f t="shared" si="168"/>
        <v>Em Lim</v>
      </c>
      <c r="C1434" s="2" t="str">
        <f t="shared" si="170"/>
        <v>Valesca de Groot</v>
      </c>
      <c r="D1434" s="2" t="str">
        <f t="shared" si="171"/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 t="shared" si="173"/>
        <v>17/05/2023</v>
      </c>
      <c r="I1434" s="2">
        <f t="shared" si="174"/>
        <v>5</v>
      </c>
      <c r="J1434" s="2">
        <f t="shared" si="175"/>
        <v>240</v>
      </c>
      <c r="K1434" s="6">
        <f t="shared" si="176"/>
        <v>0.43055555555555558</v>
      </c>
      <c r="L1434" s="2" t="str">
        <f t="shared" si="177"/>
        <v>VDG</v>
      </c>
      <c r="M1434" s="2">
        <f t="shared" si="178"/>
        <v>5.5</v>
      </c>
      <c r="N1434" s="2">
        <f t="shared" si="180"/>
        <v>2</v>
      </c>
      <c r="O1434" s="2">
        <f t="shared" si="179"/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 t="shared" si="169"/>
        <v>1</v>
      </c>
      <c r="T1434" s="2">
        <v>0</v>
      </c>
      <c r="V1434" s="2">
        <v>1</v>
      </c>
    </row>
    <row r="1435" spans="1:32">
      <c r="A1435" s="7">
        <f>MAX($A$1:$A1434)+1</f>
        <v>1434</v>
      </c>
      <c r="B1435" s="2" t="str">
        <f t="shared" si="168"/>
        <v>Em Lim</v>
      </c>
      <c r="C1435" s="2" t="str">
        <f t="shared" si="170"/>
        <v>Valesca de Groot</v>
      </c>
      <c r="D1435" s="2" t="str">
        <f t="shared" si="171"/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 t="shared" si="173"/>
        <v>17/05/2023</v>
      </c>
      <c r="I1435" s="2">
        <f t="shared" si="174"/>
        <v>5</v>
      </c>
      <c r="J1435" s="2">
        <f t="shared" si="175"/>
        <v>240</v>
      </c>
      <c r="K1435" s="6">
        <f t="shared" si="176"/>
        <v>0.43055555555555558</v>
      </c>
      <c r="L1435" s="2" t="str">
        <f t="shared" si="177"/>
        <v>VDG</v>
      </c>
      <c r="M1435" s="2">
        <f t="shared" si="178"/>
        <v>5.5</v>
      </c>
      <c r="N1435" s="2">
        <f t="shared" si="180"/>
        <v>2</v>
      </c>
      <c r="O1435" s="2">
        <f t="shared" si="179"/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 t="shared" si="169"/>
        <v>1</v>
      </c>
      <c r="T1435" s="2">
        <v>0</v>
      </c>
      <c r="U1435" s="2">
        <v>1</v>
      </c>
    </row>
    <row r="1436" spans="1:32">
      <c r="A1436" s="7">
        <f>MAX($A$1:$A1435)+1</f>
        <v>1435</v>
      </c>
      <c r="B1436" s="2" t="str">
        <f t="shared" si="168"/>
        <v>Em Lim</v>
      </c>
      <c r="C1436" s="2" t="str">
        <f t="shared" si="170"/>
        <v>Valesca de Groot</v>
      </c>
      <c r="D1436" s="2" t="str">
        <f t="shared" si="171"/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 t="shared" si="173"/>
        <v>17/05/2023</v>
      </c>
      <c r="I1436" s="2">
        <f t="shared" si="174"/>
        <v>5</v>
      </c>
      <c r="J1436" s="2">
        <f t="shared" si="175"/>
        <v>240</v>
      </c>
      <c r="K1436" s="6">
        <f t="shared" si="176"/>
        <v>0.43055555555555558</v>
      </c>
      <c r="L1436" s="2" t="str">
        <f t="shared" si="177"/>
        <v>VDG</v>
      </c>
      <c r="M1436" s="2">
        <f t="shared" si="178"/>
        <v>5.5</v>
      </c>
      <c r="N1436" s="2">
        <f t="shared" si="180"/>
        <v>2</v>
      </c>
      <c r="O1436" s="2">
        <f t="shared" si="179"/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 t="shared" si="169"/>
        <v>1</v>
      </c>
      <c r="T1436" s="2">
        <v>1</v>
      </c>
    </row>
    <row r="1437" spans="1:32">
      <c r="A1437" s="7">
        <f>MAX($A$1:$A1436)+1</f>
        <v>1436</v>
      </c>
      <c r="B1437" s="2" t="str">
        <f t="shared" si="168"/>
        <v>Em Lim</v>
      </c>
      <c r="C1437" s="2" t="str">
        <f t="shared" si="170"/>
        <v>Valesca de Groot</v>
      </c>
      <c r="D1437" s="2" t="str">
        <f t="shared" si="171"/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 t="shared" si="173"/>
        <v>17/05/2023</v>
      </c>
      <c r="I1437" s="2">
        <f t="shared" si="174"/>
        <v>5</v>
      </c>
      <c r="J1437" s="2">
        <f t="shared" si="175"/>
        <v>240</v>
      </c>
      <c r="K1437" s="6">
        <f t="shared" si="176"/>
        <v>0.43055555555555558</v>
      </c>
      <c r="L1437" s="2" t="str">
        <f t="shared" si="177"/>
        <v>VDG</v>
      </c>
      <c r="M1437" s="2">
        <f t="shared" si="178"/>
        <v>5.5</v>
      </c>
      <c r="N1437" s="2">
        <f t="shared" si="180"/>
        <v>2</v>
      </c>
      <c r="O1437" s="2">
        <f t="shared" si="179"/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 t="shared" si="169"/>
        <v>2</v>
      </c>
      <c r="T1437" s="2">
        <v>2</v>
      </c>
    </row>
    <row r="1438" spans="1:32">
      <c r="A1438" s="7">
        <f>MAX($A$1:$A1437)+1</f>
        <v>1437</v>
      </c>
      <c r="B1438" s="2" t="str">
        <f t="shared" si="168"/>
        <v>Em Lim</v>
      </c>
      <c r="C1438" s="2" t="str">
        <f t="shared" si="170"/>
        <v>Valesca de Groot</v>
      </c>
      <c r="D1438" s="2" t="str">
        <f t="shared" si="171"/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 t="shared" si="173"/>
        <v>17/05/2023</v>
      </c>
      <c r="I1438" s="2">
        <f t="shared" si="174"/>
        <v>5</v>
      </c>
      <c r="J1438" s="2">
        <f t="shared" si="175"/>
        <v>240</v>
      </c>
      <c r="K1438" s="6">
        <f t="shared" si="176"/>
        <v>0.43055555555555558</v>
      </c>
      <c r="L1438" s="2" t="str">
        <f t="shared" si="177"/>
        <v>VDG</v>
      </c>
      <c r="M1438" s="2">
        <f t="shared" si="178"/>
        <v>5.5</v>
      </c>
      <c r="N1438" s="2">
        <f t="shared" si="180"/>
        <v>2</v>
      </c>
      <c r="O1438" s="2">
        <f t="shared" si="179"/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 t="shared" si="169"/>
        <v>1</v>
      </c>
      <c r="T1438" s="2">
        <v>1</v>
      </c>
    </row>
    <row r="1439" spans="1:32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>
      <c r="A1513" s="7">
        <f>MAX($A$1:$A1512)+1</f>
        <v>1512</v>
      </c>
      <c r="B1513" s="2" t="str">
        <f t="shared" ref="B1513:B1529" si="181">IF(ISERROR(B1512),IF(ISERROR(B1511),IF(ISERROR(B1510),"BLANK",B1510),B1511),B1512)</f>
        <v>Em Lim</v>
      </c>
      <c r="C1513" s="2" t="str">
        <f t="shared" ref="C1513:C1529" si="182"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 t="shared" ref="H1513:H1529" si="183">IF(ISERROR(H1512),IF(ISERROR(H1511),IF(ISERROR(H1510),"BLANK",H1510),H1511),H1512)</f>
        <v>17/05/2023</v>
      </c>
      <c r="I1513" s="2">
        <f t="shared" ref="I1513:I1529" si="184"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 t="shared" ref="L1513:L1529" si="185"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 t="shared" ref="S1513:S1529" si="186">SUM(T1513:AV1513)</f>
        <v>2</v>
      </c>
      <c r="T1513" s="2">
        <v>2</v>
      </c>
    </row>
    <row r="1514" spans="1:33">
      <c r="A1514" s="7">
        <f>MAX($A$1:$A1513)+1</f>
        <v>1513</v>
      </c>
      <c r="B1514" s="2" t="str">
        <f t="shared" si="181"/>
        <v>Em Lim</v>
      </c>
      <c r="C1514" s="2" t="str">
        <f t="shared" si="182"/>
        <v>Isabelle Côté</v>
      </c>
      <c r="D1514" s="2" t="str">
        <f t="shared" ref="D1514:D1529" si="187"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 t="shared" si="183"/>
        <v>17/05/2023</v>
      </c>
      <c r="I1514" s="2">
        <f t="shared" si="184"/>
        <v>5</v>
      </c>
      <c r="J1514" s="53">
        <f t="shared" ref="J1514:J1529" si="188">IF(ISERROR(J1513),IF(ISERROR(J1512),IF(ISERROR(J1511),"BLANK",J1511),J1512),J1513)</f>
        <v>300</v>
      </c>
      <c r="K1514" s="6">
        <f t="shared" ref="K1514:K1529" si="189">IF(ISERROR(K1513),IF(ISERROR(K1512),IF(ISERROR(K1511),"BLANK",K1511),K1512),K1513)</f>
        <v>0.54166666666666663</v>
      </c>
      <c r="L1514" s="2" t="str">
        <f t="shared" si="185"/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 t="shared" si="186"/>
        <v>1</v>
      </c>
      <c r="T1514" s="2">
        <v>0</v>
      </c>
      <c r="AD1514" s="2">
        <v>1</v>
      </c>
    </row>
    <row r="1515" spans="1:33">
      <c r="A1515" s="7">
        <f>MAX($A$1:$A1514)+1</f>
        <v>1514</v>
      </c>
      <c r="B1515" s="2" t="str">
        <f t="shared" si="181"/>
        <v>Em Lim</v>
      </c>
      <c r="C1515" s="2" t="str">
        <f t="shared" si="182"/>
        <v>Isabelle Côté</v>
      </c>
      <c r="D1515" s="2" t="str">
        <f t="shared" si="187"/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 t="shared" si="183"/>
        <v>17/05/2023</v>
      </c>
      <c r="I1515" s="2">
        <f t="shared" si="184"/>
        <v>5</v>
      </c>
      <c r="J1515" s="53">
        <f t="shared" si="188"/>
        <v>300</v>
      </c>
      <c r="K1515" s="6">
        <f t="shared" si="189"/>
        <v>0.54166666666666663</v>
      </c>
      <c r="L1515" s="2" t="str">
        <f t="shared" si="185"/>
        <v>EGL</v>
      </c>
      <c r="M1515" s="2">
        <f t="shared" ref="M1515:M1529" si="190">IF(ISERROR(M1514),IF(ISERROR(M1513),IF(ISERROR(M1512),"BLANK",M1512),M1513),M1514)</f>
        <v>7.5</v>
      </c>
      <c r="N1515" s="2">
        <v>2</v>
      </c>
      <c r="O1515" s="2">
        <f t="shared" ref="O1515:O1529" si="191"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 t="shared" si="186"/>
        <v>262</v>
      </c>
      <c r="T1515" s="2">
        <v>262</v>
      </c>
    </row>
    <row r="1516" spans="1:33">
      <c r="A1516" s="7">
        <f>MAX($A$1:$A1515)+1</f>
        <v>1515</v>
      </c>
      <c r="B1516" s="2" t="str">
        <f t="shared" si="181"/>
        <v>Em Lim</v>
      </c>
      <c r="C1516" s="2" t="str">
        <f t="shared" si="182"/>
        <v>Isabelle Côté</v>
      </c>
      <c r="D1516" s="2" t="str">
        <f t="shared" si="187"/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 t="shared" si="183"/>
        <v>17/05/2023</v>
      </c>
      <c r="I1516" s="2">
        <f t="shared" si="184"/>
        <v>5</v>
      </c>
      <c r="J1516" s="53">
        <f t="shared" si="188"/>
        <v>300</v>
      </c>
      <c r="K1516" s="6">
        <f t="shared" si="189"/>
        <v>0.54166666666666663</v>
      </c>
      <c r="L1516" s="2" t="str">
        <f t="shared" si="185"/>
        <v>EGL</v>
      </c>
      <c r="M1516" s="2">
        <f t="shared" si="190"/>
        <v>7.5</v>
      </c>
      <c r="N1516" s="2">
        <f t="shared" ref="N1516:N1529" si="192">IF(ISERROR(N1515),IF(ISERROR(N1514),IF(ISERROR(N1513),"BLANK",N1513),N1514),N1515)</f>
        <v>2</v>
      </c>
      <c r="O1516" s="2">
        <f t="shared" si="191"/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 t="shared" si="186"/>
        <v>116</v>
      </c>
      <c r="T1516" s="2">
        <v>116</v>
      </c>
    </row>
    <row r="1517" spans="1:33">
      <c r="A1517" s="7">
        <f>MAX($A$1:$A1516)+1</f>
        <v>1516</v>
      </c>
      <c r="B1517" s="2" t="str">
        <f t="shared" si="181"/>
        <v>Em Lim</v>
      </c>
      <c r="C1517" s="2" t="str">
        <f t="shared" si="182"/>
        <v>Isabelle Côté</v>
      </c>
      <c r="D1517" s="2" t="str">
        <f t="shared" si="187"/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 t="shared" si="183"/>
        <v>17/05/2023</v>
      </c>
      <c r="I1517" s="2">
        <f t="shared" si="184"/>
        <v>5</v>
      </c>
      <c r="J1517" s="53">
        <f t="shared" si="188"/>
        <v>300</v>
      </c>
      <c r="K1517" s="6">
        <f t="shared" si="189"/>
        <v>0.54166666666666663</v>
      </c>
      <c r="L1517" s="2" t="str">
        <f t="shared" si="185"/>
        <v>EGL</v>
      </c>
      <c r="M1517" s="2">
        <f t="shared" si="190"/>
        <v>7.5</v>
      </c>
      <c r="N1517" s="2">
        <f t="shared" si="192"/>
        <v>2</v>
      </c>
      <c r="O1517" s="2">
        <f t="shared" si="191"/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 t="shared" si="186"/>
        <v>35</v>
      </c>
      <c r="T1517" s="2">
        <v>35</v>
      </c>
    </row>
    <row r="1518" spans="1:33">
      <c r="A1518" s="7">
        <f>MAX($A$1:$A1517)+1</f>
        <v>1517</v>
      </c>
      <c r="B1518" s="2" t="str">
        <f t="shared" si="181"/>
        <v>Em Lim</v>
      </c>
      <c r="C1518" s="2" t="str">
        <f t="shared" si="182"/>
        <v>Isabelle Côté</v>
      </c>
      <c r="D1518" s="2" t="str">
        <f t="shared" si="187"/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 t="shared" si="183"/>
        <v>17/05/2023</v>
      </c>
      <c r="I1518" s="2">
        <f t="shared" si="184"/>
        <v>5</v>
      </c>
      <c r="J1518" s="53">
        <f t="shared" si="188"/>
        <v>300</v>
      </c>
      <c r="K1518" s="6">
        <f t="shared" si="189"/>
        <v>0.54166666666666663</v>
      </c>
      <c r="L1518" s="2" t="str">
        <f t="shared" si="185"/>
        <v>EGL</v>
      </c>
      <c r="M1518" s="2">
        <f t="shared" si="190"/>
        <v>7.5</v>
      </c>
      <c r="N1518" s="2">
        <f t="shared" si="192"/>
        <v>2</v>
      </c>
      <c r="O1518" s="2">
        <f t="shared" si="191"/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 t="shared" si="186"/>
        <v>106</v>
      </c>
      <c r="T1518" s="2">
        <v>106</v>
      </c>
    </row>
    <row r="1519" spans="1:33">
      <c r="A1519" s="7">
        <f>MAX($A$1:$A1518)+1</f>
        <v>1518</v>
      </c>
      <c r="B1519" s="2" t="str">
        <f t="shared" si="181"/>
        <v>Em Lim</v>
      </c>
      <c r="C1519" s="2" t="str">
        <f t="shared" si="182"/>
        <v>Isabelle Côté</v>
      </c>
      <c r="D1519" s="2" t="str">
        <f t="shared" si="187"/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 t="shared" si="183"/>
        <v>17/05/2023</v>
      </c>
      <c r="I1519" s="2">
        <f t="shared" si="184"/>
        <v>5</v>
      </c>
      <c r="J1519" s="53">
        <f t="shared" si="188"/>
        <v>300</v>
      </c>
      <c r="K1519" s="6">
        <f t="shared" si="189"/>
        <v>0.54166666666666663</v>
      </c>
      <c r="L1519" s="2" t="str">
        <f t="shared" si="185"/>
        <v>EGL</v>
      </c>
      <c r="M1519" s="2">
        <f t="shared" si="190"/>
        <v>7.5</v>
      </c>
      <c r="N1519" s="2">
        <f t="shared" si="192"/>
        <v>2</v>
      </c>
      <c r="O1519" s="2">
        <f t="shared" si="191"/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 t="shared" si="186"/>
        <v>13</v>
      </c>
      <c r="T1519" s="2">
        <v>13</v>
      </c>
    </row>
    <row r="1520" spans="1:33">
      <c r="A1520" s="7">
        <f>MAX($A$1:$A1519)+1</f>
        <v>1519</v>
      </c>
      <c r="B1520" s="2" t="str">
        <f t="shared" si="181"/>
        <v>Em Lim</v>
      </c>
      <c r="C1520" s="2" t="str">
        <f t="shared" si="182"/>
        <v>Isabelle Côté</v>
      </c>
      <c r="D1520" s="2" t="str">
        <f t="shared" si="187"/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 t="shared" si="183"/>
        <v>17/05/2023</v>
      </c>
      <c r="I1520" s="2">
        <f t="shared" si="184"/>
        <v>5</v>
      </c>
      <c r="J1520" s="53">
        <f t="shared" si="188"/>
        <v>300</v>
      </c>
      <c r="K1520" s="6">
        <f t="shared" si="189"/>
        <v>0.54166666666666663</v>
      </c>
      <c r="L1520" s="2" t="str">
        <f t="shared" si="185"/>
        <v>EGL</v>
      </c>
      <c r="M1520" s="2">
        <f t="shared" si="190"/>
        <v>7.5</v>
      </c>
      <c r="N1520" s="2">
        <f t="shared" si="192"/>
        <v>2</v>
      </c>
      <c r="O1520" s="2">
        <f t="shared" si="191"/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 t="shared" si="186"/>
        <v>4</v>
      </c>
      <c r="T1520" s="2">
        <v>4</v>
      </c>
    </row>
    <row r="1521" spans="1:32">
      <c r="A1521" s="7">
        <f>MAX($A$1:$A1520)+1</f>
        <v>1520</v>
      </c>
      <c r="B1521" s="2" t="str">
        <f t="shared" si="181"/>
        <v>Em Lim</v>
      </c>
      <c r="C1521" s="2" t="str">
        <f t="shared" si="182"/>
        <v>Isabelle Côté</v>
      </c>
      <c r="D1521" s="2" t="str">
        <f t="shared" si="187"/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 t="shared" si="183"/>
        <v>17/05/2023</v>
      </c>
      <c r="I1521" s="2">
        <f t="shared" si="184"/>
        <v>5</v>
      </c>
      <c r="J1521" s="53">
        <f t="shared" si="188"/>
        <v>300</v>
      </c>
      <c r="K1521" s="6">
        <f t="shared" si="189"/>
        <v>0.54166666666666663</v>
      </c>
      <c r="L1521" s="2" t="str">
        <f t="shared" si="185"/>
        <v>EGL</v>
      </c>
      <c r="M1521" s="2">
        <f t="shared" si="190"/>
        <v>7.5</v>
      </c>
      <c r="N1521" s="2">
        <f t="shared" si="192"/>
        <v>2</v>
      </c>
      <c r="O1521" s="2">
        <f t="shared" si="191"/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 t="shared" si="186"/>
        <v>8</v>
      </c>
      <c r="T1521" s="2">
        <v>0</v>
      </c>
      <c r="U1521" s="2">
        <v>7</v>
      </c>
      <c r="V1521" s="2">
        <v>1</v>
      </c>
    </row>
    <row r="1522" spans="1:32">
      <c r="A1522" s="7">
        <f>MAX($A$1:$A1521)+1</f>
        <v>1521</v>
      </c>
      <c r="B1522" s="2" t="str">
        <f t="shared" si="181"/>
        <v>Em Lim</v>
      </c>
      <c r="C1522" s="2" t="str">
        <f t="shared" si="182"/>
        <v>Isabelle Côté</v>
      </c>
      <c r="D1522" s="2" t="str">
        <f t="shared" si="187"/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 t="shared" si="183"/>
        <v>17/05/2023</v>
      </c>
      <c r="I1522" s="2">
        <f t="shared" si="184"/>
        <v>5</v>
      </c>
      <c r="J1522" s="53">
        <f t="shared" si="188"/>
        <v>300</v>
      </c>
      <c r="K1522" s="6">
        <f t="shared" si="189"/>
        <v>0.54166666666666663</v>
      </c>
      <c r="L1522" s="2" t="str">
        <f t="shared" si="185"/>
        <v>EGL</v>
      </c>
      <c r="M1522" s="2">
        <f t="shared" si="190"/>
        <v>7.5</v>
      </c>
      <c r="N1522" s="2">
        <f t="shared" si="192"/>
        <v>2</v>
      </c>
      <c r="O1522" s="2">
        <f t="shared" si="191"/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 t="shared" si="186"/>
        <v>3</v>
      </c>
      <c r="T1522" s="2">
        <v>0</v>
      </c>
      <c r="U1522" s="2">
        <v>1</v>
      </c>
      <c r="V1522" s="2">
        <v>2</v>
      </c>
    </row>
    <row r="1523" spans="1:32">
      <c r="A1523" s="7">
        <f>MAX($A$1:$A1522)+1</f>
        <v>1522</v>
      </c>
      <c r="B1523" s="2" t="str">
        <f t="shared" si="181"/>
        <v>Em Lim</v>
      </c>
      <c r="C1523" s="2" t="str">
        <f t="shared" si="182"/>
        <v>Isabelle Côté</v>
      </c>
      <c r="D1523" s="2" t="str">
        <f t="shared" si="187"/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 t="shared" si="183"/>
        <v>17/05/2023</v>
      </c>
      <c r="I1523" s="2">
        <f t="shared" si="184"/>
        <v>5</v>
      </c>
      <c r="J1523" s="53">
        <f t="shared" si="188"/>
        <v>300</v>
      </c>
      <c r="K1523" s="6">
        <f t="shared" si="189"/>
        <v>0.54166666666666663</v>
      </c>
      <c r="L1523" s="2" t="str">
        <f t="shared" si="185"/>
        <v>EGL</v>
      </c>
      <c r="M1523" s="2">
        <f t="shared" si="190"/>
        <v>7.5</v>
      </c>
      <c r="N1523" s="2">
        <f t="shared" si="192"/>
        <v>2</v>
      </c>
      <c r="O1523" s="2">
        <f t="shared" si="191"/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 t="shared" si="186"/>
        <v>3</v>
      </c>
      <c r="T1523" s="2">
        <v>3</v>
      </c>
    </row>
    <row r="1524" spans="1:32">
      <c r="A1524" s="7">
        <f>MAX($A$1:$A1523)+1</f>
        <v>1523</v>
      </c>
      <c r="B1524" s="2" t="str">
        <f t="shared" si="181"/>
        <v>Em Lim</v>
      </c>
      <c r="C1524" s="2" t="str">
        <f t="shared" si="182"/>
        <v>Isabelle Côté</v>
      </c>
      <c r="D1524" s="2" t="str">
        <f t="shared" si="187"/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 t="shared" si="183"/>
        <v>17/05/2023</v>
      </c>
      <c r="I1524" s="2">
        <f t="shared" si="184"/>
        <v>5</v>
      </c>
      <c r="J1524" s="53">
        <f t="shared" si="188"/>
        <v>300</v>
      </c>
      <c r="K1524" s="6">
        <f t="shared" si="189"/>
        <v>0.54166666666666663</v>
      </c>
      <c r="L1524" s="2" t="str">
        <f t="shared" si="185"/>
        <v>EGL</v>
      </c>
      <c r="M1524" s="2">
        <f t="shared" si="190"/>
        <v>7.5</v>
      </c>
      <c r="N1524" s="2">
        <f t="shared" si="192"/>
        <v>2</v>
      </c>
      <c r="O1524" s="2">
        <f t="shared" si="191"/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 t="shared" si="186"/>
        <v>3</v>
      </c>
      <c r="T1524" s="2">
        <v>0</v>
      </c>
      <c r="V1524" s="2">
        <v>2</v>
      </c>
      <c r="W1524" s="2">
        <v>1</v>
      </c>
    </row>
    <row r="1525" spans="1:32">
      <c r="A1525" s="7">
        <f>MAX($A$1:$A1524)+1</f>
        <v>1524</v>
      </c>
      <c r="B1525" s="2" t="str">
        <f t="shared" si="181"/>
        <v>Em Lim</v>
      </c>
      <c r="C1525" s="2" t="str">
        <f t="shared" si="182"/>
        <v>Isabelle Côté</v>
      </c>
      <c r="D1525" s="2" t="str">
        <f t="shared" si="187"/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 t="shared" si="183"/>
        <v>17/05/2023</v>
      </c>
      <c r="I1525" s="2">
        <f t="shared" si="184"/>
        <v>5</v>
      </c>
      <c r="J1525" s="53">
        <f t="shared" si="188"/>
        <v>300</v>
      </c>
      <c r="K1525" s="6">
        <f t="shared" si="189"/>
        <v>0.54166666666666663</v>
      </c>
      <c r="L1525" s="2" t="str">
        <f t="shared" si="185"/>
        <v>EGL</v>
      </c>
      <c r="M1525" s="2">
        <f t="shared" si="190"/>
        <v>7.5</v>
      </c>
      <c r="N1525" s="2">
        <f t="shared" si="192"/>
        <v>2</v>
      </c>
      <c r="O1525" s="2">
        <f t="shared" si="191"/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 t="shared" si="186"/>
        <v>5</v>
      </c>
      <c r="T1525" s="2">
        <v>5</v>
      </c>
    </row>
    <row r="1526" spans="1:32">
      <c r="A1526" s="7">
        <f>MAX($A$1:$A1525)+1</f>
        <v>1525</v>
      </c>
      <c r="B1526" s="2" t="str">
        <f t="shared" si="181"/>
        <v>Em Lim</v>
      </c>
      <c r="C1526" s="2" t="str">
        <f t="shared" si="182"/>
        <v>Isabelle Côté</v>
      </c>
      <c r="D1526" s="2" t="str">
        <f t="shared" si="187"/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 t="shared" si="183"/>
        <v>17/05/2023</v>
      </c>
      <c r="I1526" s="2">
        <f t="shared" si="184"/>
        <v>5</v>
      </c>
      <c r="J1526" s="53">
        <f t="shared" si="188"/>
        <v>300</v>
      </c>
      <c r="K1526" s="6">
        <f t="shared" si="189"/>
        <v>0.54166666666666663</v>
      </c>
      <c r="L1526" s="2" t="str">
        <f t="shared" si="185"/>
        <v>EGL</v>
      </c>
      <c r="M1526" s="2">
        <f t="shared" si="190"/>
        <v>7.5</v>
      </c>
      <c r="N1526" s="2">
        <f t="shared" si="192"/>
        <v>2</v>
      </c>
      <c r="O1526" s="2">
        <f t="shared" si="191"/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 t="shared" si="186"/>
        <v>1</v>
      </c>
      <c r="T1526" s="2">
        <v>1</v>
      </c>
    </row>
    <row r="1527" spans="1:32">
      <c r="A1527" s="7">
        <f>MAX($A$1:$A1526)+1</f>
        <v>1526</v>
      </c>
      <c r="B1527" s="2" t="str">
        <f t="shared" si="181"/>
        <v>Em Lim</v>
      </c>
      <c r="C1527" s="2" t="str">
        <f t="shared" si="182"/>
        <v>Isabelle Côté</v>
      </c>
      <c r="D1527" s="2" t="str">
        <f t="shared" si="187"/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 t="shared" si="183"/>
        <v>17/05/2023</v>
      </c>
      <c r="I1527" s="2">
        <f t="shared" si="184"/>
        <v>5</v>
      </c>
      <c r="J1527" s="53">
        <f t="shared" si="188"/>
        <v>300</v>
      </c>
      <c r="K1527" s="6">
        <f t="shared" si="189"/>
        <v>0.54166666666666663</v>
      </c>
      <c r="L1527" s="2" t="str">
        <f t="shared" si="185"/>
        <v>EGL</v>
      </c>
      <c r="M1527" s="2">
        <f t="shared" si="190"/>
        <v>7.5</v>
      </c>
      <c r="N1527" s="2">
        <f t="shared" si="192"/>
        <v>2</v>
      </c>
      <c r="O1527" s="2">
        <f t="shared" si="191"/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 t="shared" si="186"/>
        <v>1</v>
      </c>
      <c r="T1527" s="2">
        <v>1</v>
      </c>
    </row>
    <row r="1528" spans="1:32">
      <c r="A1528" s="7">
        <f>MAX($A$1:$A1527)+1</f>
        <v>1527</v>
      </c>
      <c r="B1528" s="2" t="str">
        <f t="shared" si="181"/>
        <v>Em Lim</v>
      </c>
      <c r="C1528" s="2" t="str">
        <f t="shared" si="182"/>
        <v>Isabelle Côté</v>
      </c>
      <c r="D1528" s="2" t="str">
        <f t="shared" si="187"/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 t="shared" si="183"/>
        <v>17/05/2023</v>
      </c>
      <c r="I1528" s="2">
        <f t="shared" si="184"/>
        <v>5</v>
      </c>
      <c r="J1528" s="53">
        <f t="shared" si="188"/>
        <v>300</v>
      </c>
      <c r="K1528" s="6">
        <f t="shared" si="189"/>
        <v>0.54166666666666663</v>
      </c>
      <c r="L1528" s="2" t="str">
        <f t="shared" si="185"/>
        <v>EGL</v>
      </c>
      <c r="M1528" s="2">
        <f t="shared" si="190"/>
        <v>7.5</v>
      </c>
      <c r="N1528" s="2">
        <f t="shared" si="192"/>
        <v>2</v>
      </c>
      <c r="O1528" s="2">
        <f t="shared" si="191"/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 t="shared" si="186"/>
        <v>1</v>
      </c>
      <c r="T1528" s="2">
        <v>0</v>
      </c>
      <c r="AF1528" s="2">
        <v>1</v>
      </c>
    </row>
    <row r="1529" spans="1:32">
      <c r="A1529" s="7">
        <f>MAX($A$1:$A1528)+1</f>
        <v>1528</v>
      </c>
      <c r="B1529" s="2" t="str">
        <f t="shared" si="181"/>
        <v>Em Lim</v>
      </c>
      <c r="C1529" s="2" t="str">
        <f t="shared" si="182"/>
        <v>Isabelle Côté</v>
      </c>
      <c r="D1529" s="2" t="str">
        <f t="shared" si="187"/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 t="shared" si="183"/>
        <v>17/05/2023</v>
      </c>
      <c r="I1529" s="2">
        <f t="shared" si="184"/>
        <v>5</v>
      </c>
      <c r="J1529" s="53">
        <f t="shared" si="188"/>
        <v>300</v>
      </c>
      <c r="K1529" s="6">
        <f t="shared" si="189"/>
        <v>0.54166666666666663</v>
      </c>
      <c r="L1529" s="2" t="str">
        <f t="shared" si="185"/>
        <v>EGL</v>
      </c>
      <c r="M1529" s="2">
        <f t="shared" si="190"/>
        <v>7.5</v>
      </c>
      <c r="N1529" s="2">
        <f t="shared" si="192"/>
        <v>2</v>
      </c>
      <c r="O1529" s="2">
        <f t="shared" si="191"/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 t="shared" si="186"/>
        <v>1</v>
      </c>
      <c r="T1529" s="2">
        <v>1</v>
      </c>
    </row>
    <row r="1530" spans="1:32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>
      <c r="A1601" s="7">
        <f>MAX($A$1:$A1600)+1</f>
        <v>1600</v>
      </c>
      <c r="B1601" s="2" t="str">
        <f t="shared" ref="B1601:B1643" si="193">IF(ISERROR(B1600),IF(ISERROR(B1599),IF(ISERROR(B1598),"BLANK",B1598),B1599),B1600)</f>
        <v>Em Lim</v>
      </c>
      <c r="C1601" s="2" t="str">
        <f t="shared" ref="C1601:C1643" si="194"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 t="shared" ref="O1601:O1643" si="195"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 t="shared" ref="S1601:S1643" si="196"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>
      <c r="A1602" s="7">
        <f>MAX($A$1:$A1601)+1</f>
        <v>1601</v>
      </c>
      <c r="B1602" s="2" t="str">
        <f t="shared" si="193"/>
        <v>Em Lim</v>
      </c>
      <c r="C1602" s="2" t="str">
        <f t="shared" si="194"/>
        <v>Isabelle Côté</v>
      </c>
      <c r="D1602" s="2" t="str">
        <f t="shared" ref="D1602:D1643" si="197"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 t="shared" ref="H1602:N1608" si="198">IF(ISERROR(H1601),IF(ISERROR(H1600),IF(ISERROR(H1599),"BLANK",H1599),H1600),H1601)</f>
        <v>11/05/2023</v>
      </c>
      <c r="I1602" s="2">
        <f t="shared" si="198"/>
        <v>2</v>
      </c>
      <c r="J1602" s="2">
        <f t="shared" si="198"/>
        <v>220</v>
      </c>
      <c r="K1602" s="52">
        <f t="shared" si="198"/>
        <v>0.41666666666666669</v>
      </c>
      <c r="L1602" s="2" t="str">
        <f t="shared" si="198"/>
        <v>EGL</v>
      </c>
      <c r="M1602" s="2">
        <f t="shared" si="198"/>
        <v>6</v>
      </c>
      <c r="N1602" s="2">
        <f t="shared" si="198"/>
        <v>1</v>
      </c>
      <c r="O1602" s="2">
        <f t="shared" si="195"/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 t="shared" si="196"/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>
      <c r="A1603" s="7">
        <f>MAX($A$1:$A1602)+1</f>
        <v>1602</v>
      </c>
      <c r="B1603" s="2" t="str">
        <f t="shared" si="193"/>
        <v>Em Lim</v>
      </c>
      <c r="C1603" s="2" t="str">
        <f t="shared" si="194"/>
        <v>Isabelle Côté</v>
      </c>
      <c r="D1603" s="2" t="str">
        <f t="shared" si="197"/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 t="shared" si="198"/>
        <v>11/05/2023</v>
      </c>
      <c r="I1603" s="2">
        <f t="shared" si="198"/>
        <v>2</v>
      </c>
      <c r="J1603" s="2">
        <f t="shared" si="198"/>
        <v>220</v>
      </c>
      <c r="K1603" s="52">
        <f t="shared" si="198"/>
        <v>0.41666666666666669</v>
      </c>
      <c r="L1603" s="2" t="str">
        <f t="shared" si="198"/>
        <v>EGL</v>
      </c>
      <c r="M1603" s="2">
        <f t="shared" si="198"/>
        <v>6</v>
      </c>
      <c r="N1603" s="2">
        <f t="shared" si="198"/>
        <v>1</v>
      </c>
      <c r="O1603" s="2">
        <f t="shared" si="195"/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 t="shared" si="196"/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>
      <c r="A1604" s="7">
        <f>MAX($A$1:$A1603)+1</f>
        <v>1603</v>
      </c>
      <c r="B1604" s="2" t="str">
        <f t="shared" si="193"/>
        <v>Em Lim</v>
      </c>
      <c r="C1604" s="2" t="str">
        <f t="shared" si="194"/>
        <v>Isabelle Côté</v>
      </c>
      <c r="D1604" s="2" t="str">
        <f t="shared" si="197"/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 t="shared" si="198"/>
        <v>11/05/2023</v>
      </c>
      <c r="I1604" s="2">
        <f t="shared" si="198"/>
        <v>2</v>
      </c>
      <c r="J1604" s="2">
        <f t="shared" si="198"/>
        <v>220</v>
      </c>
      <c r="K1604" s="52">
        <f t="shared" si="198"/>
        <v>0.41666666666666669</v>
      </c>
      <c r="L1604" s="2" t="str">
        <f t="shared" si="198"/>
        <v>EGL</v>
      </c>
      <c r="M1604" s="2">
        <f t="shared" si="198"/>
        <v>6</v>
      </c>
      <c r="N1604" s="2">
        <f t="shared" si="198"/>
        <v>1</v>
      </c>
      <c r="O1604" s="2">
        <f t="shared" si="195"/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 t="shared" si="196"/>
        <v>1</v>
      </c>
      <c r="T1604" s="2">
        <v>0</v>
      </c>
      <c r="Y1604" s="2">
        <v>1</v>
      </c>
    </row>
    <row r="1605" spans="1:32">
      <c r="A1605" s="7">
        <f>MAX($A$1:$A1604)+1</f>
        <v>1604</v>
      </c>
      <c r="B1605" s="2" t="str">
        <f t="shared" si="193"/>
        <v>Em Lim</v>
      </c>
      <c r="C1605" s="2" t="str">
        <f t="shared" si="194"/>
        <v>Isabelle Côté</v>
      </c>
      <c r="D1605" s="2" t="str">
        <f t="shared" si="197"/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 t="shared" si="198"/>
        <v>11/05/2023</v>
      </c>
      <c r="I1605" s="2">
        <f t="shared" si="198"/>
        <v>2</v>
      </c>
      <c r="J1605" s="2">
        <f t="shared" si="198"/>
        <v>220</v>
      </c>
      <c r="K1605" s="52">
        <f t="shared" si="198"/>
        <v>0.41666666666666669</v>
      </c>
      <c r="L1605" s="2" t="str">
        <f t="shared" si="198"/>
        <v>EGL</v>
      </c>
      <c r="M1605" s="2">
        <f t="shared" si="198"/>
        <v>6</v>
      </c>
      <c r="N1605" s="2">
        <f t="shared" si="198"/>
        <v>1</v>
      </c>
      <c r="O1605" s="2">
        <f t="shared" si="195"/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 t="shared" si="196"/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>
      <c r="A1606" s="7">
        <f>MAX($A$1:$A1605)+1</f>
        <v>1605</v>
      </c>
      <c r="B1606" s="2" t="str">
        <f t="shared" si="193"/>
        <v>Em Lim</v>
      </c>
      <c r="C1606" s="2" t="str">
        <f t="shared" si="194"/>
        <v>Isabelle Côté</v>
      </c>
      <c r="D1606" s="2" t="str">
        <f t="shared" si="197"/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 t="shared" si="198"/>
        <v>11/05/2023</v>
      </c>
      <c r="I1606" s="2">
        <f t="shared" si="198"/>
        <v>2</v>
      </c>
      <c r="J1606" s="2">
        <f t="shared" si="198"/>
        <v>220</v>
      </c>
      <c r="K1606" s="52">
        <f t="shared" si="198"/>
        <v>0.41666666666666669</v>
      </c>
      <c r="L1606" s="2" t="str">
        <f t="shared" si="198"/>
        <v>EGL</v>
      </c>
      <c r="M1606" s="2">
        <f t="shared" si="198"/>
        <v>6</v>
      </c>
      <c r="N1606" s="2">
        <f t="shared" si="198"/>
        <v>1</v>
      </c>
      <c r="O1606" s="2">
        <f t="shared" si="195"/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 t="shared" si="196"/>
        <v>1</v>
      </c>
      <c r="T1606" s="2">
        <v>0</v>
      </c>
      <c r="AA1606" s="2">
        <v>1</v>
      </c>
    </row>
    <row r="1607" spans="1:32">
      <c r="A1607" s="7">
        <f>MAX($A$1:$A1606)+1</f>
        <v>1606</v>
      </c>
      <c r="B1607" s="2" t="str">
        <f t="shared" si="193"/>
        <v>Em Lim</v>
      </c>
      <c r="C1607" s="2" t="str">
        <f t="shared" si="194"/>
        <v>Isabelle Côté</v>
      </c>
      <c r="D1607" s="2" t="str">
        <f t="shared" si="197"/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 t="shared" si="198"/>
        <v>11/05/2023</v>
      </c>
      <c r="I1607" s="2">
        <f t="shared" si="198"/>
        <v>2</v>
      </c>
      <c r="J1607" s="2">
        <f t="shared" si="198"/>
        <v>220</v>
      </c>
      <c r="K1607" s="52">
        <f t="shared" si="198"/>
        <v>0.41666666666666669</v>
      </c>
      <c r="L1607" s="2" t="str">
        <f t="shared" si="198"/>
        <v>EGL</v>
      </c>
      <c r="M1607" s="2">
        <f t="shared" si="198"/>
        <v>6</v>
      </c>
      <c r="N1607" s="2">
        <f t="shared" si="198"/>
        <v>1</v>
      </c>
      <c r="O1607" s="2">
        <f t="shared" si="195"/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 t="shared" si="196"/>
        <v>2</v>
      </c>
      <c r="T1607" s="2">
        <v>0</v>
      </c>
      <c r="Y1607" s="2">
        <v>2</v>
      </c>
    </row>
    <row r="1608" spans="1:32">
      <c r="A1608" s="7">
        <f>MAX($A$1:$A1607)+1</f>
        <v>1607</v>
      </c>
      <c r="B1608" s="2" t="str">
        <f t="shared" si="193"/>
        <v>Em Lim</v>
      </c>
      <c r="C1608" s="2" t="str">
        <f t="shared" si="194"/>
        <v>Isabelle Côté</v>
      </c>
      <c r="D1608" s="2" t="str">
        <f t="shared" si="197"/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 t="shared" si="198"/>
        <v>11/05/2023</v>
      </c>
      <c r="I1608" s="2">
        <f t="shared" si="198"/>
        <v>2</v>
      </c>
      <c r="J1608" s="2">
        <f t="shared" si="198"/>
        <v>220</v>
      </c>
      <c r="K1608" s="52">
        <f t="shared" si="198"/>
        <v>0.41666666666666669</v>
      </c>
      <c r="L1608" s="2" t="str">
        <f t="shared" si="198"/>
        <v>EGL</v>
      </c>
      <c r="M1608" s="2">
        <f t="shared" si="198"/>
        <v>6</v>
      </c>
      <c r="N1608" s="2">
        <f t="shared" si="198"/>
        <v>1</v>
      </c>
      <c r="O1608" s="2">
        <f t="shared" si="195"/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 t="shared" si="196"/>
        <v>1</v>
      </c>
      <c r="T1608" s="2">
        <v>0</v>
      </c>
      <c r="AF1608" s="2">
        <v>1</v>
      </c>
    </row>
    <row r="1609" spans="1:32">
      <c r="A1609" s="7">
        <f>MAX($A$1:$A1608)+1</f>
        <v>1608</v>
      </c>
      <c r="B1609" s="2" t="str">
        <f t="shared" si="193"/>
        <v>Em Lim</v>
      </c>
      <c r="C1609" s="2" t="str">
        <f t="shared" si="194"/>
        <v>Isabelle Côté</v>
      </c>
      <c r="D1609" s="2" t="str">
        <f t="shared" si="197"/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 t="shared" ref="H1609:H1643" si="199">IF(ISERROR(H1608),IF(ISERROR(H1607),IF(ISERROR(H1606),"BLANK",H1606),H1607),H1608)</f>
        <v>11/05/2023</v>
      </c>
      <c r="I1609" s="2">
        <f t="shared" ref="I1609:I1643" si="200">IF(ISERROR(I1608),IF(ISERROR(I1607),IF(ISERROR(I1606),"BLANK",I1606),I1607),I1608)</f>
        <v>2</v>
      </c>
      <c r="J1609" s="2">
        <f t="shared" ref="J1609:J1643" si="201">IF(ISERROR(J1608),IF(ISERROR(J1607),IF(ISERROR(J1606),"BLANK",J1606),J1607),J1608)</f>
        <v>220</v>
      </c>
      <c r="K1609" s="52">
        <f t="shared" ref="K1609:K1643" si="202">IF(ISERROR(K1608),IF(ISERROR(K1607),IF(ISERROR(K1606),"BLANK",K1606),K1607),K1608)</f>
        <v>0.41666666666666669</v>
      </c>
      <c r="L1609" s="2" t="str">
        <f t="shared" ref="L1609:L1643" si="203">IF(ISERROR(L1608),IF(ISERROR(L1607),IF(ISERROR(L1606),"BLANK",L1606),L1607),L1608)</f>
        <v>EGL</v>
      </c>
      <c r="M1609" s="2">
        <f t="shared" ref="M1609:M1643" si="204">IF(ISERROR(M1608),IF(ISERROR(M1607),IF(ISERROR(M1606),"BLANK",M1606),M1607),M1608)</f>
        <v>6</v>
      </c>
      <c r="N1609" s="2">
        <v>2</v>
      </c>
      <c r="O1609" s="2">
        <f t="shared" si="195"/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 t="shared" si="196"/>
        <v>15</v>
      </c>
      <c r="T1609" s="2">
        <v>15</v>
      </c>
    </row>
    <row r="1610" spans="1:32">
      <c r="A1610" s="7">
        <f>MAX($A$1:$A1609)+1</f>
        <v>1609</v>
      </c>
      <c r="B1610" s="2" t="str">
        <f t="shared" si="193"/>
        <v>Em Lim</v>
      </c>
      <c r="C1610" s="2" t="str">
        <f t="shared" si="194"/>
        <v>Isabelle Côté</v>
      </c>
      <c r="D1610" s="2" t="str">
        <f t="shared" si="197"/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 t="shared" si="199"/>
        <v>11/05/2023</v>
      </c>
      <c r="I1610" s="2">
        <f t="shared" si="200"/>
        <v>2</v>
      </c>
      <c r="J1610" s="2">
        <f t="shared" si="201"/>
        <v>220</v>
      </c>
      <c r="K1610" s="52">
        <f t="shared" si="202"/>
        <v>0.41666666666666669</v>
      </c>
      <c r="L1610" s="2" t="str">
        <f t="shared" si="203"/>
        <v>EGL</v>
      </c>
      <c r="M1610" s="2">
        <f t="shared" si="204"/>
        <v>6</v>
      </c>
      <c r="N1610" s="2">
        <f t="shared" ref="N1610:N1629" si="205">IF(ISERROR(N1609),IF(ISERROR(N1608),IF(ISERROR(N1607),"BLANK",N1607),N1608),N1609)</f>
        <v>2</v>
      </c>
      <c r="O1610" s="2">
        <f t="shared" si="195"/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 t="shared" si="196"/>
        <v>45</v>
      </c>
      <c r="T1610" s="2">
        <v>45</v>
      </c>
    </row>
    <row r="1611" spans="1:32">
      <c r="A1611" s="7">
        <f>MAX($A$1:$A1610)+1</f>
        <v>1610</v>
      </c>
      <c r="B1611" s="2" t="str">
        <f t="shared" si="193"/>
        <v>Em Lim</v>
      </c>
      <c r="C1611" s="2" t="str">
        <f t="shared" si="194"/>
        <v>Isabelle Côté</v>
      </c>
      <c r="D1611" s="2" t="str">
        <f t="shared" si="197"/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 t="shared" si="199"/>
        <v>11/05/2023</v>
      </c>
      <c r="I1611" s="2">
        <f t="shared" si="200"/>
        <v>2</v>
      </c>
      <c r="J1611" s="2">
        <f t="shared" si="201"/>
        <v>220</v>
      </c>
      <c r="K1611" s="52">
        <f t="shared" si="202"/>
        <v>0.41666666666666669</v>
      </c>
      <c r="L1611" s="2" t="str">
        <f t="shared" si="203"/>
        <v>EGL</v>
      </c>
      <c r="M1611" s="2">
        <f t="shared" si="204"/>
        <v>6</v>
      </c>
      <c r="N1611" s="2">
        <f t="shared" si="205"/>
        <v>2</v>
      </c>
      <c r="O1611" s="2">
        <f t="shared" si="195"/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 t="shared" si="196"/>
        <v>19</v>
      </c>
      <c r="T1611" s="2">
        <v>19</v>
      </c>
    </row>
    <row r="1612" spans="1:32">
      <c r="A1612" s="7">
        <f>MAX($A$1:$A1611)+1</f>
        <v>1611</v>
      </c>
      <c r="B1612" s="2" t="str">
        <f t="shared" si="193"/>
        <v>Em Lim</v>
      </c>
      <c r="C1612" s="2" t="str">
        <f t="shared" si="194"/>
        <v>Isabelle Côté</v>
      </c>
      <c r="D1612" s="2" t="str">
        <f t="shared" si="197"/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 t="shared" si="199"/>
        <v>11/05/2023</v>
      </c>
      <c r="I1612" s="2">
        <f t="shared" si="200"/>
        <v>2</v>
      </c>
      <c r="J1612" s="2">
        <f t="shared" si="201"/>
        <v>220</v>
      </c>
      <c r="K1612" s="52">
        <f t="shared" si="202"/>
        <v>0.41666666666666669</v>
      </c>
      <c r="L1612" s="2" t="str">
        <f t="shared" si="203"/>
        <v>EGL</v>
      </c>
      <c r="M1612" s="2">
        <f t="shared" si="204"/>
        <v>6</v>
      </c>
      <c r="N1612" s="2">
        <f t="shared" si="205"/>
        <v>2</v>
      </c>
      <c r="O1612" s="2">
        <f t="shared" si="195"/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 t="shared" si="196"/>
        <v>42</v>
      </c>
      <c r="T1612" s="2">
        <v>42</v>
      </c>
    </row>
    <row r="1613" spans="1:32">
      <c r="A1613" s="7">
        <f>MAX($A$1:$A1612)+1</f>
        <v>1612</v>
      </c>
      <c r="B1613" s="2" t="str">
        <f t="shared" si="193"/>
        <v>Em Lim</v>
      </c>
      <c r="C1613" s="2" t="str">
        <f t="shared" si="194"/>
        <v>Isabelle Côté</v>
      </c>
      <c r="D1613" s="2" t="str">
        <f t="shared" si="197"/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 t="shared" si="199"/>
        <v>11/05/2023</v>
      </c>
      <c r="I1613" s="2">
        <f t="shared" si="200"/>
        <v>2</v>
      </c>
      <c r="J1613" s="2">
        <f t="shared" si="201"/>
        <v>220</v>
      </c>
      <c r="K1613" s="52">
        <f t="shared" si="202"/>
        <v>0.41666666666666669</v>
      </c>
      <c r="L1613" s="2" t="str">
        <f t="shared" si="203"/>
        <v>EGL</v>
      </c>
      <c r="M1613" s="2">
        <f t="shared" si="204"/>
        <v>6</v>
      </c>
      <c r="N1613" s="2">
        <f t="shared" si="205"/>
        <v>2</v>
      </c>
      <c r="O1613" s="2">
        <f t="shared" si="195"/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 t="shared" si="196"/>
        <v>155</v>
      </c>
      <c r="T1613" s="2">
        <v>155</v>
      </c>
    </row>
    <row r="1614" spans="1:32">
      <c r="A1614" s="7">
        <f>MAX($A$1:$A1613)+1</f>
        <v>1613</v>
      </c>
      <c r="B1614" s="2" t="str">
        <f t="shared" si="193"/>
        <v>Em Lim</v>
      </c>
      <c r="C1614" s="2" t="str">
        <f t="shared" si="194"/>
        <v>Isabelle Côté</v>
      </c>
      <c r="D1614" s="2" t="str">
        <f t="shared" si="197"/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 t="shared" si="199"/>
        <v>11/05/2023</v>
      </c>
      <c r="I1614" s="2">
        <f t="shared" si="200"/>
        <v>2</v>
      </c>
      <c r="J1614" s="2">
        <f t="shared" si="201"/>
        <v>220</v>
      </c>
      <c r="K1614" s="52">
        <f t="shared" si="202"/>
        <v>0.41666666666666669</v>
      </c>
      <c r="L1614" s="2" t="str">
        <f t="shared" si="203"/>
        <v>EGL</v>
      </c>
      <c r="M1614" s="2">
        <f t="shared" si="204"/>
        <v>6</v>
      </c>
      <c r="N1614" s="2">
        <f t="shared" si="205"/>
        <v>2</v>
      </c>
      <c r="O1614" s="2">
        <f t="shared" si="195"/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 t="shared" si="196"/>
        <v>1</v>
      </c>
      <c r="T1614" s="2">
        <v>1</v>
      </c>
    </row>
    <row r="1615" spans="1:32">
      <c r="A1615" s="7">
        <f>MAX($A$1:$A1614)+1</f>
        <v>1614</v>
      </c>
      <c r="B1615" s="2" t="str">
        <f t="shared" si="193"/>
        <v>Em Lim</v>
      </c>
      <c r="C1615" s="2" t="str">
        <f t="shared" si="194"/>
        <v>Isabelle Côté</v>
      </c>
      <c r="D1615" s="2" t="str">
        <f t="shared" si="197"/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 t="shared" si="199"/>
        <v>11/05/2023</v>
      </c>
      <c r="I1615" s="2">
        <f t="shared" si="200"/>
        <v>2</v>
      </c>
      <c r="J1615" s="2">
        <f t="shared" si="201"/>
        <v>220</v>
      </c>
      <c r="K1615" s="52">
        <f t="shared" si="202"/>
        <v>0.41666666666666669</v>
      </c>
      <c r="L1615" s="2" t="str">
        <f t="shared" si="203"/>
        <v>EGL</v>
      </c>
      <c r="M1615" s="2">
        <f t="shared" si="204"/>
        <v>6</v>
      </c>
      <c r="N1615" s="2">
        <f t="shared" si="205"/>
        <v>2</v>
      </c>
      <c r="O1615" s="2">
        <f t="shared" si="195"/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 t="shared" si="196"/>
        <v>30</v>
      </c>
      <c r="T1615" s="2">
        <v>30</v>
      </c>
    </row>
    <row r="1616" spans="1:32">
      <c r="A1616" s="7">
        <f>MAX($A$1:$A1615)+1</f>
        <v>1615</v>
      </c>
      <c r="B1616" s="2" t="str">
        <f t="shared" si="193"/>
        <v>Em Lim</v>
      </c>
      <c r="C1616" s="2" t="str">
        <f t="shared" si="194"/>
        <v>Isabelle Côté</v>
      </c>
      <c r="D1616" s="2" t="str">
        <f t="shared" si="197"/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 t="shared" si="199"/>
        <v>11/05/2023</v>
      </c>
      <c r="I1616" s="2">
        <f t="shared" si="200"/>
        <v>2</v>
      </c>
      <c r="J1616" s="2">
        <f t="shared" si="201"/>
        <v>220</v>
      </c>
      <c r="K1616" s="52">
        <f t="shared" si="202"/>
        <v>0.41666666666666669</v>
      </c>
      <c r="L1616" s="2" t="str">
        <f t="shared" si="203"/>
        <v>EGL</v>
      </c>
      <c r="M1616" s="2">
        <f t="shared" si="204"/>
        <v>6</v>
      </c>
      <c r="N1616" s="2">
        <f t="shared" si="205"/>
        <v>2</v>
      </c>
      <c r="O1616" s="2">
        <f t="shared" si="195"/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 t="shared" si="196"/>
        <v>34</v>
      </c>
      <c r="T1616" s="2">
        <v>34</v>
      </c>
    </row>
    <row r="1617" spans="1:26">
      <c r="A1617" s="7">
        <f>MAX($A$1:$A1616)+1</f>
        <v>1616</v>
      </c>
      <c r="B1617" s="2" t="str">
        <f t="shared" si="193"/>
        <v>Em Lim</v>
      </c>
      <c r="C1617" s="2" t="str">
        <f t="shared" si="194"/>
        <v>Isabelle Côté</v>
      </c>
      <c r="D1617" s="2" t="str">
        <f t="shared" si="197"/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 t="shared" si="199"/>
        <v>11/05/2023</v>
      </c>
      <c r="I1617" s="2">
        <f t="shared" si="200"/>
        <v>2</v>
      </c>
      <c r="J1617" s="2">
        <f t="shared" si="201"/>
        <v>220</v>
      </c>
      <c r="K1617" s="52">
        <f t="shared" si="202"/>
        <v>0.41666666666666669</v>
      </c>
      <c r="L1617" s="2" t="str">
        <f t="shared" si="203"/>
        <v>EGL</v>
      </c>
      <c r="M1617" s="2">
        <f t="shared" si="204"/>
        <v>6</v>
      </c>
      <c r="N1617" s="2">
        <f t="shared" si="205"/>
        <v>2</v>
      </c>
      <c r="O1617" s="2">
        <f t="shared" si="195"/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 t="shared" si="196"/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>
      <c r="A1618" s="7">
        <f>MAX($A$1:$A1617)+1</f>
        <v>1617</v>
      </c>
      <c r="B1618" s="2" t="str">
        <f t="shared" si="193"/>
        <v>Em Lim</v>
      </c>
      <c r="C1618" s="2" t="str">
        <f t="shared" si="194"/>
        <v>Isabelle Côté</v>
      </c>
      <c r="D1618" s="2" t="str">
        <f t="shared" si="197"/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 t="shared" si="199"/>
        <v>11/05/2023</v>
      </c>
      <c r="I1618" s="2">
        <f t="shared" si="200"/>
        <v>2</v>
      </c>
      <c r="J1618" s="2">
        <f t="shared" si="201"/>
        <v>220</v>
      </c>
      <c r="K1618" s="52">
        <f t="shared" si="202"/>
        <v>0.41666666666666669</v>
      </c>
      <c r="L1618" s="2" t="str">
        <f t="shared" si="203"/>
        <v>EGL</v>
      </c>
      <c r="M1618" s="2">
        <f t="shared" si="204"/>
        <v>6</v>
      </c>
      <c r="N1618" s="2">
        <f t="shared" si="205"/>
        <v>2</v>
      </c>
      <c r="O1618" s="2">
        <f t="shared" si="195"/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 t="shared" si="196"/>
        <v>16</v>
      </c>
      <c r="T1618" s="2">
        <v>16</v>
      </c>
    </row>
    <row r="1619" spans="1:26">
      <c r="A1619" s="7">
        <f>MAX($A$1:$A1618)+1</f>
        <v>1618</v>
      </c>
      <c r="B1619" s="2" t="str">
        <f t="shared" si="193"/>
        <v>Em Lim</v>
      </c>
      <c r="C1619" s="2" t="str">
        <f t="shared" si="194"/>
        <v>Isabelle Côté</v>
      </c>
      <c r="D1619" s="2" t="str">
        <f t="shared" si="197"/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 t="shared" si="199"/>
        <v>11/05/2023</v>
      </c>
      <c r="I1619" s="2">
        <f t="shared" si="200"/>
        <v>2</v>
      </c>
      <c r="J1619" s="2">
        <f t="shared" si="201"/>
        <v>220</v>
      </c>
      <c r="K1619" s="52">
        <f t="shared" si="202"/>
        <v>0.41666666666666669</v>
      </c>
      <c r="L1619" s="2" t="str">
        <f t="shared" si="203"/>
        <v>EGL</v>
      </c>
      <c r="M1619" s="2">
        <f t="shared" si="204"/>
        <v>6</v>
      </c>
      <c r="N1619" s="2">
        <f t="shared" si="205"/>
        <v>2</v>
      </c>
      <c r="O1619" s="2">
        <f t="shared" si="195"/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 t="shared" si="196"/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>
      <c r="A1620" s="7">
        <f>MAX($A$1:$A1619)+1</f>
        <v>1619</v>
      </c>
      <c r="B1620" s="2" t="str">
        <f t="shared" si="193"/>
        <v>Em Lim</v>
      </c>
      <c r="C1620" s="2" t="str">
        <f t="shared" si="194"/>
        <v>Isabelle Côté</v>
      </c>
      <c r="D1620" s="2" t="str">
        <f t="shared" si="197"/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 t="shared" si="199"/>
        <v>11/05/2023</v>
      </c>
      <c r="I1620" s="2">
        <f t="shared" si="200"/>
        <v>2</v>
      </c>
      <c r="J1620" s="2">
        <f t="shared" si="201"/>
        <v>220</v>
      </c>
      <c r="K1620" s="52">
        <f t="shared" si="202"/>
        <v>0.41666666666666669</v>
      </c>
      <c r="L1620" s="2" t="str">
        <f t="shared" si="203"/>
        <v>EGL</v>
      </c>
      <c r="M1620" s="2">
        <f t="shared" si="204"/>
        <v>6</v>
      </c>
      <c r="N1620" s="2">
        <f t="shared" si="205"/>
        <v>2</v>
      </c>
      <c r="O1620" s="2">
        <f t="shared" si="195"/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 t="shared" si="196"/>
        <v>14</v>
      </c>
      <c r="T1620" s="2">
        <v>14</v>
      </c>
    </row>
    <row r="1621" spans="1:26">
      <c r="A1621" s="7">
        <f>MAX($A$1:$A1620)+1</f>
        <v>1620</v>
      </c>
      <c r="B1621" s="2" t="str">
        <f t="shared" si="193"/>
        <v>Em Lim</v>
      </c>
      <c r="C1621" s="2" t="str">
        <f t="shared" si="194"/>
        <v>Isabelle Côté</v>
      </c>
      <c r="D1621" s="2" t="str">
        <f t="shared" si="197"/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 t="shared" si="199"/>
        <v>11/05/2023</v>
      </c>
      <c r="I1621" s="2">
        <f t="shared" si="200"/>
        <v>2</v>
      </c>
      <c r="J1621" s="2">
        <f t="shared" si="201"/>
        <v>220</v>
      </c>
      <c r="K1621" s="52">
        <f t="shared" si="202"/>
        <v>0.41666666666666669</v>
      </c>
      <c r="L1621" s="2" t="str">
        <f t="shared" si="203"/>
        <v>EGL</v>
      </c>
      <c r="M1621" s="2">
        <f t="shared" si="204"/>
        <v>6</v>
      </c>
      <c r="N1621" s="2">
        <f t="shared" si="205"/>
        <v>2</v>
      </c>
      <c r="O1621" s="2">
        <f t="shared" si="195"/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 t="shared" si="196"/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>
      <c r="A1622" s="7">
        <f>MAX($A$1:$A1621)+1</f>
        <v>1621</v>
      </c>
      <c r="B1622" s="2" t="str">
        <f t="shared" si="193"/>
        <v>Em Lim</v>
      </c>
      <c r="C1622" s="2" t="str">
        <f t="shared" si="194"/>
        <v>Isabelle Côté</v>
      </c>
      <c r="D1622" s="2" t="str">
        <f t="shared" si="197"/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 t="shared" si="199"/>
        <v>11/05/2023</v>
      </c>
      <c r="I1622" s="2">
        <f t="shared" si="200"/>
        <v>2</v>
      </c>
      <c r="J1622" s="2">
        <f t="shared" si="201"/>
        <v>220</v>
      </c>
      <c r="K1622" s="52">
        <f t="shared" si="202"/>
        <v>0.41666666666666669</v>
      </c>
      <c r="L1622" s="2" t="str">
        <f t="shared" si="203"/>
        <v>EGL</v>
      </c>
      <c r="M1622" s="2">
        <f t="shared" si="204"/>
        <v>6</v>
      </c>
      <c r="N1622" s="2">
        <f t="shared" si="205"/>
        <v>2</v>
      </c>
      <c r="O1622" s="2">
        <f t="shared" si="195"/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 t="shared" si="196"/>
        <v>1</v>
      </c>
      <c r="T1622" s="2">
        <v>1</v>
      </c>
    </row>
    <row r="1623" spans="1:26">
      <c r="A1623" s="7">
        <f>MAX($A$1:$A1622)+1</f>
        <v>1622</v>
      </c>
      <c r="B1623" s="2" t="str">
        <f t="shared" si="193"/>
        <v>Em Lim</v>
      </c>
      <c r="C1623" s="2" t="str">
        <f t="shared" si="194"/>
        <v>Isabelle Côté</v>
      </c>
      <c r="D1623" s="2" t="str">
        <f t="shared" si="197"/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 t="shared" si="199"/>
        <v>11/05/2023</v>
      </c>
      <c r="I1623" s="2">
        <f t="shared" si="200"/>
        <v>2</v>
      </c>
      <c r="J1623" s="2">
        <f t="shared" si="201"/>
        <v>220</v>
      </c>
      <c r="K1623" s="52">
        <f t="shared" si="202"/>
        <v>0.41666666666666669</v>
      </c>
      <c r="L1623" s="2" t="str">
        <f t="shared" si="203"/>
        <v>EGL</v>
      </c>
      <c r="M1623" s="2">
        <f t="shared" si="204"/>
        <v>6</v>
      </c>
      <c r="N1623" s="2">
        <f t="shared" si="205"/>
        <v>2</v>
      </c>
      <c r="O1623" s="2">
        <f t="shared" si="195"/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 t="shared" si="196"/>
        <v>5</v>
      </c>
      <c r="T1623" s="2">
        <v>5</v>
      </c>
    </row>
    <row r="1624" spans="1:26">
      <c r="A1624" s="7">
        <f>MAX($A$1:$A1623)+1</f>
        <v>1623</v>
      </c>
      <c r="B1624" s="2" t="str">
        <f t="shared" si="193"/>
        <v>Em Lim</v>
      </c>
      <c r="C1624" s="2" t="str">
        <f t="shared" si="194"/>
        <v>Isabelle Côté</v>
      </c>
      <c r="D1624" s="2" t="str">
        <f t="shared" si="197"/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 t="shared" si="199"/>
        <v>11/05/2023</v>
      </c>
      <c r="I1624" s="2">
        <f t="shared" si="200"/>
        <v>2</v>
      </c>
      <c r="J1624" s="2">
        <f t="shared" si="201"/>
        <v>220</v>
      </c>
      <c r="K1624" s="52">
        <f t="shared" si="202"/>
        <v>0.41666666666666669</v>
      </c>
      <c r="L1624" s="2" t="str">
        <f t="shared" si="203"/>
        <v>EGL</v>
      </c>
      <c r="M1624" s="2">
        <f t="shared" si="204"/>
        <v>6</v>
      </c>
      <c r="N1624" s="2">
        <f t="shared" si="205"/>
        <v>2</v>
      </c>
      <c r="O1624" s="2">
        <f t="shared" si="195"/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 t="shared" si="196"/>
        <v>4</v>
      </c>
      <c r="T1624" s="2">
        <v>0</v>
      </c>
      <c r="U1624" s="2">
        <v>2</v>
      </c>
      <c r="V1624" s="2">
        <v>2</v>
      </c>
    </row>
    <row r="1625" spans="1:26">
      <c r="A1625" s="7">
        <f>MAX($A$1:$A1624)+1</f>
        <v>1624</v>
      </c>
      <c r="B1625" s="2" t="str">
        <f t="shared" si="193"/>
        <v>Em Lim</v>
      </c>
      <c r="C1625" s="2" t="str">
        <f t="shared" si="194"/>
        <v>Isabelle Côté</v>
      </c>
      <c r="D1625" s="2" t="str">
        <f t="shared" si="197"/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 t="shared" si="199"/>
        <v>11/05/2023</v>
      </c>
      <c r="I1625" s="2">
        <f t="shared" si="200"/>
        <v>2</v>
      </c>
      <c r="J1625" s="2">
        <f t="shared" si="201"/>
        <v>220</v>
      </c>
      <c r="K1625" s="52">
        <f t="shared" si="202"/>
        <v>0.41666666666666669</v>
      </c>
      <c r="L1625" s="2" t="str">
        <f t="shared" si="203"/>
        <v>EGL</v>
      </c>
      <c r="M1625" s="2">
        <f t="shared" si="204"/>
        <v>6</v>
      </c>
      <c r="N1625" s="2">
        <f t="shared" si="205"/>
        <v>2</v>
      </c>
      <c r="O1625" s="2">
        <f t="shared" si="195"/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 t="shared" si="196"/>
        <v>3</v>
      </c>
      <c r="T1625" s="2">
        <v>3</v>
      </c>
    </row>
    <row r="1626" spans="1:26">
      <c r="A1626" s="7">
        <f>MAX($A$1:$A1625)+1</f>
        <v>1625</v>
      </c>
      <c r="B1626" s="2" t="str">
        <f t="shared" si="193"/>
        <v>Em Lim</v>
      </c>
      <c r="C1626" s="2" t="str">
        <f t="shared" si="194"/>
        <v>Isabelle Côté</v>
      </c>
      <c r="D1626" s="2" t="str">
        <f t="shared" si="197"/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 t="shared" si="199"/>
        <v>11/05/2023</v>
      </c>
      <c r="I1626" s="2">
        <f t="shared" si="200"/>
        <v>2</v>
      </c>
      <c r="J1626" s="2">
        <f t="shared" si="201"/>
        <v>220</v>
      </c>
      <c r="K1626" s="52">
        <f t="shared" si="202"/>
        <v>0.41666666666666669</v>
      </c>
      <c r="L1626" s="2" t="str">
        <f t="shared" si="203"/>
        <v>EGL</v>
      </c>
      <c r="M1626" s="2">
        <f t="shared" si="204"/>
        <v>6</v>
      </c>
      <c r="N1626" s="2">
        <f t="shared" si="205"/>
        <v>2</v>
      </c>
      <c r="O1626" s="2">
        <f t="shared" si="195"/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 t="shared" si="196"/>
        <v>1</v>
      </c>
      <c r="T1626" s="2">
        <v>1</v>
      </c>
    </row>
    <row r="1627" spans="1:26">
      <c r="A1627" s="7">
        <f>MAX($A$1:$A1626)+1</f>
        <v>1626</v>
      </c>
      <c r="B1627" s="2" t="str">
        <f t="shared" si="193"/>
        <v>Em Lim</v>
      </c>
      <c r="C1627" s="2" t="str">
        <f t="shared" si="194"/>
        <v>Isabelle Côté</v>
      </c>
      <c r="D1627" s="2" t="str">
        <f t="shared" si="197"/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 t="shared" si="199"/>
        <v>11/05/2023</v>
      </c>
      <c r="I1627" s="2">
        <f t="shared" si="200"/>
        <v>2</v>
      </c>
      <c r="J1627" s="2">
        <f t="shared" si="201"/>
        <v>220</v>
      </c>
      <c r="K1627" s="52">
        <f t="shared" si="202"/>
        <v>0.41666666666666669</v>
      </c>
      <c r="L1627" s="2" t="str">
        <f t="shared" si="203"/>
        <v>EGL</v>
      </c>
      <c r="M1627" s="2">
        <f t="shared" si="204"/>
        <v>6</v>
      </c>
      <c r="N1627" s="2">
        <f t="shared" si="205"/>
        <v>2</v>
      </c>
      <c r="O1627" s="2">
        <f t="shared" si="195"/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 t="shared" si="196"/>
        <v>3</v>
      </c>
      <c r="T1627" s="2">
        <v>3</v>
      </c>
    </row>
    <row r="1628" spans="1:26">
      <c r="A1628" s="7">
        <f>MAX($A$1:$A1627)+1</f>
        <v>1627</v>
      </c>
      <c r="B1628" s="2" t="str">
        <f t="shared" si="193"/>
        <v>Em Lim</v>
      </c>
      <c r="C1628" s="2" t="str">
        <f t="shared" si="194"/>
        <v>Isabelle Côté</v>
      </c>
      <c r="D1628" s="2" t="str">
        <f t="shared" si="197"/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 t="shared" si="199"/>
        <v>11/05/2023</v>
      </c>
      <c r="I1628" s="2">
        <f t="shared" si="200"/>
        <v>2</v>
      </c>
      <c r="J1628" s="2">
        <f t="shared" si="201"/>
        <v>220</v>
      </c>
      <c r="K1628" s="52">
        <f t="shared" si="202"/>
        <v>0.41666666666666669</v>
      </c>
      <c r="L1628" s="2" t="str">
        <f t="shared" si="203"/>
        <v>EGL</v>
      </c>
      <c r="M1628" s="2">
        <f t="shared" si="204"/>
        <v>6</v>
      </c>
      <c r="N1628" s="2">
        <f t="shared" si="205"/>
        <v>2</v>
      </c>
      <c r="O1628" s="2">
        <f t="shared" si="195"/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 t="shared" si="196"/>
        <v>1</v>
      </c>
      <c r="T1628" s="2">
        <v>1</v>
      </c>
    </row>
    <row r="1629" spans="1:26">
      <c r="A1629" s="7">
        <f>MAX($A$1:$A1628)+1</f>
        <v>1628</v>
      </c>
      <c r="B1629" s="2" t="str">
        <f t="shared" si="193"/>
        <v>Em Lim</v>
      </c>
      <c r="C1629" s="2" t="str">
        <f t="shared" si="194"/>
        <v>Isabelle Côté</v>
      </c>
      <c r="D1629" s="2" t="str">
        <f t="shared" si="197"/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 t="shared" si="199"/>
        <v>11/05/2023</v>
      </c>
      <c r="I1629" s="2">
        <f t="shared" si="200"/>
        <v>2</v>
      </c>
      <c r="J1629" s="2">
        <f t="shared" si="201"/>
        <v>220</v>
      </c>
      <c r="K1629" s="52">
        <f t="shared" si="202"/>
        <v>0.41666666666666669</v>
      </c>
      <c r="L1629" s="2" t="str">
        <f t="shared" si="203"/>
        <v>EGL</v>
      </c>
      <c r="M1629" s="2">
        <f t="shared" si="204"/>
        <v>6</v>
      </c>
      <c r="N1629" s="2">
        <f t="shared" si="205"/>
        <v>2</v>
      </c>
      <c r="O1629" s="2">
        <f t="shared" si="195"/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 t="shared" si="196"/>
        <v>1</v>
      </c>
      <c r="T1629" s="2">
        <v>0</v>
      </c>
      <c r="X1629" s="2">
        <v>1</v>
      </c>
    </row>
    <row r="1630" spans="1:26">
      <c r="A1630" s="7">
        <f>MAX($A$1:$A1629)+1</f>
        <v>1629</v>
      </c>
      <c r="B1630" s="2" t="str">
        <f t="shared" si="193"/>
        <v>Em Lim</v>
      </c>
      <c r="C1630" s="2" t="str">
        <f t="shared" si="194"/>
        <v>Isabelle Côté</v>
      </c>
      <c r="D1630" s="2" t="str">
        <f t="shared" si="197"/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 t="shared" si="199"/>
        <v>11/05/2023</v>
      </c>
      <c r="I1630" s="2">
        <f t="shared" si="200"/>
        <v>2</v>
      </c>
      <c r="J1630" s="2">
        <f t="shared" si="201"/>
        <v>220</v>
      </c>
      <c r="K1630" s="52">
        <f t="shared" si="202"/>
        <v>0.41666666666666669</v>
      </c>
      <c r="L1630" s="2" t="str">
        <f t="shared" si="203"/>
        <v>EGL</v>
      </c>
      <c r="M1630" s="2">
        <f t="shared" si="204"/>
        <v>6</v>
      </c>
      <c r="N1630" s="2">
        <v>0</v>
      </c>
      <c r="O1630" s="2">
        <f t="shared" si="195"/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 t="shared" si="196"/>
        <v>1</v>
      </c>
      <c r="T1630" s="2">
        <v>0</v>
      </c>
      <c r="W1630" s="2">
        <v>1</v>
      </c>
    </row>
    <row r="1631" spans="1:26">
      <c r="A1631" s="7">
        <f>MAX($A$1:$A1630)+1</f>
        <v>1630</v>
      </c>
      <c r="B1631" s="2" t="str">
        <f t="shared" si="193"/>
        <v>Em Lim</v>
      </c>
      <c r="C1631" s="2" t="str">
        <f t="shared" si="194"/>
        <v>Isabelle Côté</v>
      </c>
      <c r="D1631" s="2" t="str">
        <f t="shared" si="197"/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 t="shared" si="199"/>
        <v>11/05/2023</v>
      </c>
      <c r="I1631" s="2">
        <f t="shared" si="200"/>
        <v>2</v>
      </c>
      <c r="J1631" s="2">
        <f t="shared" si="201"/>
        <v>220</v>
      </c>
      <c r="K1631" s="52">
        <f t="shared" si="202"/>
        <v>0.41666666666666669</v>
      </c>
      <c r="L1631" s="2" t="str">
        <f t="shared" si="203"/>
        <v>EGL</v>
      </c>
      <c r="M1631" s="2">
        <f t="shared" si="204"/>
        <v>6</v>
      </c>
      <c r="N1631" s="2">
        <v>2</v>
      </c>
      <c r="O1631" s="2">
        <f t="shared" si="195"/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 t="shared" si="196"/>
        <v>2</v>
      </c>
      <c r="T1631" s="2">
        <v>2</v>
      </c>
    </row>
    <row r="1632" spans="1:26">
      <c r="A1632" s="7">
        <f>MAX($A$1:$A1631)+1</f>
        <v>1631</v>
      </c>
      <c r="B1632" s="2" t="str">
        <f t="shared" si="193"/>
        <v>Em Lim</v>
      </c>
      <c r="C1632" s="2" t="str">
        <f t="shared" si="194"/>
        <v>Isabelle Côté</v>
      </c>
      <c r="D1632" s="2" t="str">
        <f t="shared" si="197"/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 t="shared" si="199"/>
        <v>11/05/2023</v>
      </c>
      <c r="I1632" s="2">
        <f t="shared" si="200"/>
        <v>2</v>
      </c>
      <c r="J1632" s="2">
        <f t="shared" si="201"/>
        <v>220</v>
      </c>
      <c r="K1632" s="52">
        <f t="shared" si="202"/>
        <v>0.41666666666666669</v>
      </c>
      <c r="L1632" s="2" t="str">
        <f t="shared" si="203"/>
        <v>EGL</v>
      </c>
      <c r="M1632" s="2">
        <f t="shared" si="204"/>
        <v>6</v>
      </c>
      <c r="N1632" s="2">
        <f t="shared" ref="N1632:N1638" si="206">IF(ISERROR(N1631),IF(ISERROR(N1630),IF(ISERROR(N1629),"BLANK",N1629),N1630),N1631)</f>
        <v>2</v>
      </c>
      <c r="O1632" s="2">
        <f t="shared" si="195"/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 t="shared" si="196"/>
        <v>3</v>
      </c>
      <c r="T1632" s="2">
        <v>3</v>
      </c>
    </row>
    <row r="1633" spans="1:31">
      <c r="A1633" s="7">
        <f>MAX($A$1:$A1632)+1</f>
        <v>1632</v>
      </c>
      <c r="B1633" s="2" t="str">
        <f t="shared" si="193"/>
        <v>Em Lim</v>
      </c>
      <c r="C1633" s="2" t="str">
        <f t="shared" si="194"/>
        <v>Isabelle Côté</v>
      </c>
      <c r="D1633" s="2" t="str">
        <f t="shared" si="197"/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 t="shared" si="199"/>
        <v>11/05/2023</v>
      </c>
      <c r="I1633" s="2">
        <f t="shared" si="200"/>
        <v>2</v>
      </c>
      <c r="J1633" s="2">
        <f t="shared" si="201"/>
        <v>220</v>
      </c>
      <c r="K1633" s="52">
        <f t="shared" si="202"/>
        <v>0.41666666666666669</v>
      </c>
      <c r="L1633" s="2" t="str">
        <f t="shared" si="203"/>
        <v>EGL</v>
      </c>
      <c r="M1633" s="2">
        <f t="shared" si="204"/>
        <v>6</v>
      </c>
      <c r="N1633" s="2">
        <f t="shared" si="206"/>
        <v>2</v>
      </c>
      <c r="O1633" s="2">
        <f t="shared" si="195"/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 t="shared" si="196"/>
        <v>1</v>
      </c>
      <c r="T1633" s="2">
        <v>1</v>
      </c>
    </row>
    <row r="1634" spans="1:31">
      <c r="A1634" s="7">
        <f>MAX($A$1:$A1633)+1</f>
        <v>1633</v>
      </c>
      <c r="B1634" s="2" t="str">
        <f t="shared" si="193"/>
        <v>Em Lim</v>
      </c>
      <c r="C1634" s="2" t="str">
        <f t="shared" si="194"/>
        <v>Isabelle Côté</v>
      </c>
      <c r="D1634" s="2" t="str">
        <f t="shared" si="197"/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 t="shared" si="199"/>
        <v>11/05/2023</v>
      </c>
      <c r="I1634" s="2">
        <f t="shared" si="200"/>
        <v>2</v>
      </c>
      <c r="J1634" s="2">
        <f t="shared" si="201"/>
        <v>220</v>
      </c>
      <c r="K1634" s="52">
        <f t="shared" si="202"/>
        <v>0.41666666666666669</v>
      </c>
      <c r="L1634" s="2" t="str">
        <f t="shared" si="203"/>
        <v>EGL</v>
      </c>
      <c r="M1634" s="2">
        <f t="shared" si="204"/>
        <v>6</v>
      </c>
      <c r="N1634" s="2">
        <f t="shared" si="206"/>
        <v>2</v>
      </c>
      <c r="O1634" s="2">
        <f t="shared" si="195"/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 t="shared" si="196"/>
        <v>1</v>
      </c>
      <c r="T1634" s="2">
        <v>1</v>
      </c>
    </row>
    <row r="1635" spans="1:31">
      <c r="A1635" s="7">
        <f>MAX($A$1:$A1634)+1</f>
        <v>1634</v>
      </c>
      <c r="B1635" s="2" t="str">
        <f t="shared" si="193"/>
        <v>Em Lim</v>
      </c>
      <c r="C1635" s="2" t="str">
        <f t="shared" si="194"/>
        <v>Isabelle Côté</v>
      </c>
      <c r="D1635" s="2" t="str">
        <f t="shared" si="197"/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 t="shared" si="199"/>
        <v>11/05/2023</v>
      </c>
      <c r="I1635" s="2">
        <f t="shared" si="200"/>
        <v>2</v>
      </c>
      <c r="J1635" s="2">
        <f t="shared" si="201"/>
        <v>220</v>
      </c>
      <c r="K1635" s="52">
        <f t="shared" si="202"/>
        <v>0.41666666666666669</v>
      </c>
      <c r="L1635" s="2" t="str">
        <f t="shared" si="203"/>
        <v>EGL</v>
      </c>
      <c r="M1635" s="2">
        <f t="shared" si="204"/>
        <v>6</v>
      </c>
      <c r="N1635" s="2">
        <f t="shared" si="206"/>
        <v>2</v>
      </c>
      <c r="O1635" s="2">
        <f t="shared" si="195"/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 t="shared" si="196"/>
        <v>1</v>
      </c>
      <c r="T1635" s="2">
        <v>1</v>
      </c>
    </row>
    <row r="1636" spans="1:31">
      <c r="A1636" s="7">
        <f>MAX($A$1:$A1635)+1</f>
        <v>1635</v>
      </c>
      <c r="B1636" s="2" t="str">
        <f t="shared" si="193"/>
        <v>Em Lim</v>
      </c>
      <c r="C1636" s="2" t="str">
        <f t="shared" si="194"/>
        <v>Isabelle Côté</v>
      </c>
      <c r="D1636" s="2" t="str">
        <f t="shared" si="197"/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 t="shared" si="199"/>
        <v>11/05/2023</v>
      </c>
      <c r="I1636" s="2">
        <f t="shared" si="200"/>
        <v>2</v>
      </c>
      <c r="J1636" s="2">
        <f t="shared" si="201"/>
        <v>220</v>
      </c>
      <c r="K1636" s="52">
        <f t="shared" si="202"/>
        <v>0.41666666666666669</v>
      </c>
      <c r="L1636" s="2" t="str">
        <f t="shared" si="203"/>
        <v>EGL</v>
      </c>
      <c r="M1636" s="2">
        <f t="shared" si="204"/>
        <v>6</v>
      </c>
      <c r="N1636" s="2">
        <f t="shared" si="206"/>
        <v>2</v>
      </c>
      <c r="O1636" s="2">
        <f t="shared" si="195"/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 t="shared" si="196"/>
        <v>1</v>
      </c>
      <c r="T1636" s="2">
        <v>1</v>
      </c>
    </row>
    <row r="1637" spans="1:31">
      <c r="A1637" s="7">
        <f>MAX($A$1:$A1636)+1</f>
        <v>1636</v>
      </c>
      <c r="B1637" s="2" t="str">
        <f t="shared" si="193"/>
        <v>Em Lim</v>
      </c>
      <c r="C1637" s="2" t="str">
        <f t="shared" si="194"/>
        <v>Isabelle Côté</v>
      </c>
      <c r="D1637" s="2" t="str">
        <f t="shared" si="197"/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 t="shared" si="199"/>
        <v>11/05/2023</v>
      </c>
      <c r="I1637" s="2">
        <f t="shared" si="200"/>
        <v>2</v>
      </c>
      <c r="J1637" s="2">
        <f t="shared" si="201"/>
        <v>220</v>
      </c>
      <c r="K1637" s="52">
        <f t="shared" si="202"/>
        <v>0.41666666666666669</v>
      </c>
      <c r="L1637" s="2" t="str">
        <f t="shared" si="203"/>
        <v>EGL</v>
      </c>
      <c r="M1637" s="2">
        <f t="shared" si="204"/>
        <v>6</v>
      </c>
      <c r="N1637" s="2">
        <f t="shared" si="206"/>
        <v>2</v>
      </c>
      <c r="O1637" s="2">
        <f t="shared" si="195"/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 t="shared" si="196"/>
        <v>1</v>
      </c>
      <c r="T1637" s="2">
        <v>1</v>
      </c>
    </row>
    <row r="1638" spans="1:31">
      <c r="A1638" s="7">
        <f>MAX($A$1:$A1637)+1</f>
        <v>1637</v>
      </c>
      <c r="B1638" s="2" t="str">
        <f t="shared" si="193"/>
        <v>Em Lim</v>
      </c>
      <c r="C1638" s="2" t="str">
        <f t="shared" si="194"/>
        <v>Isabelle Côté</v>
      </c>
      <c r="D1638" s="2" t="str">
        <f t="shared" si="197"/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 t="shared" si="199"/>
        <v>11/05/2023</v>
      </c>
      <c r="I1638" s="2">
        <f t="shared" si="200"/>
        <v>2</v>
      </c>
      <c r="J1638" s="2">
        <f t="shared" si="201"/>
        <v>220</v>
      </c>
      <c r="K1638" s="52">
        <f t="shared" si="202"/>
        <v>0.41666666666666669</v>
      </c>
      <c r="L1638" s="2" t="str">
        <f t="shared" si="203"/>
        <v>EGL</v>
      </c>
      <c r="M1638" s="2">
        <f t="shared" si="204"/>
        <v>6</v>
      </c>
      <c r="N1638" s="2">
        <f t="shared" si="206"/>
        <v>2</v>
      </c>
      <c r="O1638" s="2">
        <f t="shared" si="195"/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 t="shared" si="196"/>
        <v>1</v>
      </c>
      <c r="T1638" s="2">
        <v>1</v>
      </c>
    </row>
    <row r="1639" spans="1:31">
      <c r="A1639" s="7">
        <f>MAX($A$1:$A1638)+1</f>
        <v>1638</v>
      </c>
      <c r="B1639" s="2" t="str">
        <f t="shared" si="193"/>
        <v>Em Lim</v>
      </c>
      <c r="C1639" s="2" t="str">
        <f t="shared" si="194"/>
        <v>Isabelle Côté</v>
      </c>
      <c r="D1639" s="2" t="str">
        <f t="shared" si="197"/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 t="shared" si="199"/>
        <v>11/05/2023</v>
      </c>
      <c r="I1639" s="2">
        <f t="shared" si="200"/>
        <v>2</v>
      </c>
      <c r="J1639" s="2">
        <f t="shared" si="201"/>
        <v>220</v>
      </c>
      <c r="K1639" s="52">
        <f t="shared" si="202"/>
        <v>0.41666666666666669</v>
      </c>
      <c r="L1639" s="2" t="str">
        <f t="shared" si="203"/>
        <v>EGL</v>
      </c>
      <c r="M1639" s="2">
        <f t="shared" si="204"/>
        <v>6</v>
      </c>
      <c r="N1639" s="2">
        <v>0</v>
      </c>
      <c r="O1639" s="2">
        <f t="shared" si="195"/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 t="shared" si="196"/>
        <v>1</v>
      </c>
      <c r="T1639" s="2">
        <v>0</v>
      </c>
      <c r="X1639" s="2">
        <v>1</v>
      </c>
    </row>
    <row r="1640" spans="1:31">
      <c r="A1640" s="7">
        <f>MAX($A$1:$A1639)+1</f>
        <v>1639</v>
      </c>
      <c r="B1640" s="2" t="str">
        <f t="shared" si="193"/>
        <v>Em Lim</v>
      </c>
      <c r="C1640" s="2" t="str">
        <f t="shared" si="194"/>
        <v>Isabelle Côté</v>
      </c>
      <c r="D1640" s="2" t="str">
        <f t="shared" si="197"/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 t="shared" si="199"/>
        <v>11/05/2023</v>
      </c>
      <c r="I1640" s="2">
        <f t="shared" si="200"/>
        <v>2</v>
      </c>
      <c r="J1640" s="2">
        <f t="shared" si="201"/>
        <v>220</v>
      </c>
      <c r="K1640" s="52">
        <f t="shared" si="202"/>
        <v>0.41666666666666669</v>
      </c>
      <c r="L1640" s="2" t="str">
        <f t="shared" si="203"/>
        <v>EGL</v>
      </c>
      <c r="M1640" s="2">
        <f t="shared" si="204"/>
        <v>6</v>
      </c>
      <c r="N1640" s="2">
        <v>2</v>
      </c>
      <c r="O1640" s="2">
        <f t="shared" si="195"/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 t="shared" si="196"/>
        <v>1</v>
      </c>
      <c r="T1640" s="2">
        <v>1</v>
      </c>
    </row>
    <row r="1641" spans="1:31">
      <c r="A1641" s="7">
        <f>MAX($A$1:$A1640)+1</f>
        <v>1640</v>
      </c>
      <c r="B1641" s="2" t="str">
        <f t="shared" si="193"/>
        <v>Em Lim</v>
      </c>
      <c r="C1641" s="2" t="str">
        <f t="shared" si="194"/>
        <v>Isabelle Côté</v>
      </c>
      <c r="D1641" s="2" t="str">
        <f t="shared" si="197"/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 t="shared" si="199"/>
        <v>11/05/2023</v>
      </c>
      <c r="I1641" s="2">
        <f t="shared" si="200"/>
        <v>2</v>
      </c>
      <c r="J1641" s="2">
        <f t="shared" si="201"/>
        <v>220</v>
      </c>
      <c r="K1641" s="52">
        <f t="shared" si="202"/>
        <v>0.41666666666666669</v>
      </c>
      <c r="L1641" s="2" t="str">
        <f t="shared" si="203"/>
        <v>EGL</v>
      </c>
      <c r="M1641" s="2">
        <f t="shared" si="204"/>
        <v>6</v>
      </c>
      <c r="N1641" s="2">
        <v>0</v>
      </c>
      <c r="O1641" s="2">
        <f t="shared" si="195"/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 t="shared" si="196"/>
        <v>1</v>
      </c>
      <c r="T1641" s="2">
        <v>0</v>
      </c>
      <c r="AE1641" s="2">
        <v>1</v>
      </c>
    </row>
    <row r="1642" spans="1:31">
      <c r="A1642" s="7">
        <f>MAX($A$1:$A1641)+1</f>
        <v>1641</v>
      </c>
      <c r="B1642" s="2" t="str">
        <f t="shared" si="193"/>
        <v>Em Lim</v>
      </c>
      <c r="C1642" s="2" t="str">
        <f t="shared" si="194"/>
        <v>Isabelle Côté</v>
      </c>
      <c r="D1642" s="2" t="str">
        <f t="shared" si="197"/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 t="shared" si="199"/>
        <v>11/05/2023</v>
      </c>
      <c r="I1642" s="2">
        <f t="shared" si="200"/>
        <v>2</v>
      </c>
      <c r="J1642" s="2">
        <f t="shared" si="201"/>
        <v>220</v>
      </c>
      <c r="K1642" s="52">
        <f t="shared" si="202"/>
        <v>0.41666666666666669</v>
      </c>
      <c r="L1642" s="2" t="str">
        <f t="shared" si="203"/>
        <v>EGL</v>
      </c>
      <c r="M1642" s="2">
        <f t="shared" si="204"/>
        <v>6</v>
      </c>
      <c r="N1642" s="2">
        <f>IF(ISERROR(N1641),IF(ISERROR(N1640),IF(ISERROR(N1639),"BLANK",N1639),N1640),N1641)</f>
        <v>0</v>
      </c>
      <c r="O1642" s="2">
        <f t="shared" si="195"/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 t="shared" si="196"/>
        <v>1</v>
      </c>
      <c r="T1642" s="2">
        <v>0</v>
      </c>
      <c r="Z1642" s="2">
        <v>1</v>
      </c>
    </row>
    <row r="1643" spans="1:31">
      <c r="A1643" s="7">
        <f>MAX($A$1:$A1642)+1</f>
        <v>1642</v>
      </c>
      <c r="B1643" s="2" t="str">
        <f t="shared" si="193"/>
        <v>Em Lim</v>
      </c>
      <c r="C1643" s="2" t="str">
        <f t="shared" si="194"/>
        <v>Isabelle Côté</v>
      </c>
      <c r="D1643" s="2" t="str">
        <f t="shared" si="197"/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 t="shared" si="199"/>
        <v>11/05/2023</v>
      </c>
      <c r="I1643" s="2">
        <f t="shared" si="200"/>
        <v>2</v>
      </c>
      <c r="J1643" s="2">
        <f t="shared" si="201"/>
        <v>220</v>
      </c>
      <c r="K1643" s="52">
        <f t="shared" si="202"/>
        <v>0.41666666666666669</v>
      </c>
      <c r="L1643" s="2" t="str">
        <f t="shared" si="203"/>
        <v>EGL</v>
      </c>
      <c r="M1643" s="2">
        <f t="shared" si="204"/>
        <v>6</v>
      </c>
      <c r="N1643" s="2">
        <f>IF(ISERROR(N1642),IF(ISERROR(N1641),IF(ISERROR(N1640),"BLANK",N1640),N1641),N1642)</f>
        <v>0</v>
      </c>
      <c r="O1643" s="2">
        <f t="shared" si="195"/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 t="shared" si="196"/>
        <v>1</v>
      </c>
      <c r="T1643" s="2">
        <v>0</v>
      </c>
      <c r="Z1643" s="2">
        <v>1</v>
      </c>
    </row>
    <row r="1644" spans="1:3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99" spans="2:3">
      <c r="B199" s="3"/>
      <c r="C199" s="3"/>
    </row>
    <row r="200" spans="2:3">
      <c r="B200" s="3"/>
      <c r="C200" s="3"/>
    </row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9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abSelected="1" topLeftCell="A146" workbookViewId="0">
      <selection activeCell="B167" sqref="B167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2024-09-25T03:35:52Z</dcterms:modified>
  <cp:category/>
  <cp:contentStatus/>
</cp:coreProperties>
</file>